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8" autoFilterDateGrouping="1"/>
  </bookViews>
  <sheets>
    <sheet xmlns:r="http://schemas.openxmlformats.org/officeDocument/2006/relationships" name="임장지" sheetId="1" state="visible" r:id="rId1"/>
    <sheet xmlns:r="http://schemas.openxmlformats.org/officeDocument/2006/relationships" name="대전동구" sheetId="2" state="visible" r:id="rId2"/>
    <sheet xmlns:r="http://schemas.openxmlformats.org/officeDocument/2006/relationships" name="천안동남구" sheetId="3" state="visible" r:id="rId3"/>
    <sheet xmlns:r="http://schemas.openxmlformats.org/officeDocument/2006/relationships" name="부산 남구" sheetId="4" state="visible" r:id="rId4"/>
    <sheet xmlns:r="http://schemas.openxmlformats.org/officeDocument/2006/relationships" name="부산수영구" sheetId="5" state="visible" r:id="rId5"/>
    <sheet xmlns:r="http://schemas.openxmlformats.org/officeDocument/2006/relationships" name="창원성산구" sheetId="6" state="visible" r:id="rId6"/>
    <sheet xmlns:r="http://schemas.openxmlformats.org/officeDocument/2006/relationships" name="송파구" sheetId="7" state="visible" r:id="rId7"/>
    <sheet xmlns:r="http://schemas.openxmlformats.org/officeDocument/2006/relationships" name="서울강서구" sheetId="8" state="visible" r:id="rId8"/>
    <sheet xmlns:r="http://schemas.openxmlformats.org/officeDocument/2006/relationships" name="성동구" sheetId="9" state="visible" r:id="rId9"/>
    <sheet xmlns:r="http://schemas.openxmlformats.org/officeDocument/2006/relationships" name="9.9.9." sheetId="10" state="visible" r:id="rId10"/>
    <sheet xmlns:r="http://schemas.openxmlformats.org/officeDocument/2006/relationships" name="안양동안구" sheetId="11" state="visible" r:id="rId11"/>
  </sheets>
  <definedNames>
    <definedName name="_xlnm._FilterDatabase" localSheetId="1" hidden="1">'대전동구'!$A$4:$AV$4</definedName>
    <definedName name="_xlnm._FilterDatabase" localSheetId="2" hidden="1">'천안동남구'!$A$4:$AY$4</definedName>
    <definedName name="_xlnm._FilterDatabase" localSheetId="3" hidden="1">'부산 남구'!$A$4:$AY$4</definedName>
    <definedName name="_xlnm._FilterDatabase" localSheetId="4" hidden="1">'부산수영구'!$A$4:$AR$4</definedName>
    <definedName name="_xlnm._FilterDatabase" localSheetId="6" hidden="1">'송파구'!$A$5:$AV$522</definedName>
    <definedName name="_xlnm._FilterDatabase" localSheetId="8" hidden="1">'성동구'!$A$4:$AW$347</definedName>
  </definedNames>
  <calcPr calcId="191029" fullCalcOnLoad="1"/>
</workbook>
</file>

<file path=xl/styles.xml><?xml version="1.0" encoding="utf-8"?>
<styleSheet xmlns="http://schemas.openxmlformats.org/spreadsheetml/2006/main">
  <numFmts count="1">
    <numFmt numFmtId="164" formatCode="_-* #,##0_-;\-* #,##0_-;_-* &quot;-&quot;_-;_-@_-"/>
  </numFmts>
  <fonts count="40">
    <font>
      <name val="이사만루체 Light"/>
      <charset val="129"/>
      <family val="2"/>
      <color theme="1"/>
      <sz val="11"/>
    </font>
    <font>
      <name val="이사만루체 Light"/>
      <charset val="129"/>
      <family val="2"/>
      <color theme="1"/>
      <sz val="11"/>
    </font>
    <font>
      <name val="이사만루체 Light"/>
      <charset val="129"/>
      <family val="2"/>
      <sz val="8"/>
    </font>
    <font>
      <name val="이사만루체 Light"/>
      <charset val="129"/>
      <family val="2"/>
      <color rgb="FF0070C0"/>
      <sz val="11"/>
    </font>
    <font>
      <name val="이사만루체 Light"/>
      <charset val="129"/>
      <family val="3"/>
      <color rgb="FFFF0000"/>
      <sz val="11"/>
    </font>
    <font>
      <name val="이사만루체 Light"/>
      <charset val="129"/>
      <family val="3"/>
      <color rgb="FF0000FF"/>
      <sz val="11"/>
    </font>
    <font>
      <name val="이사만루체 Light"/>
      <charset val="129"/>
      <family val="3"/>
      <color theme="1"/>
      <sz val="11"/>
    </font>
    <font>
      <name val="Pretendard"/>
      <family val="2"/>
      <b val="1"/>
      <color rgb="FF091227"/>
      <sz val="16"/>
    </font>
    <font>
      <name val="맑은 고딕"/>
      <charset val="129"/>
      <family val="2"/>
      <color theme="1"/>
      <sz val="11"/>
    </font>
    <font>
      <name val="굴림"/>
      <charset val="129"/>
      <family val="2"/>
      <color theme="1"/>
      <sz val="11"/>
    </font>
    <font>
      <name val="이사만루체 Light"/>
      <charset val="129"/>
      <family val="2"/>
      <color theme="0"/>
      <sz val="11"/>
    </font>
    <font>
      <name val="굴림"/>
      <charset val="129"/>
      <family val="2"/>
      <color theme="0"/>
      <sz val="11"/>
    </font>
    <font>
      <name val="이사만루체 Light"/>
      <charset val="129"/>
      <family val="3"/>
      <color theme="0"/>
      <sz val="11"/>
    </font>
    <font>
      <name val="맑은 고딕"/>
      <family val="2"/>
      <color theme="1"/>
      <sz val="11"/>
      <scheme val="minor"/>
    </font>
    <font>
      <name val="이사만루체 Light"/>
      <charset val="129"/>
      <family val="2"/>
      <sz val="11"/>
    </font>
    <font>
      <name val="이사만루체 Light"/>
      <charset val="129"/>
      <family val="3"/>
      <sz val="11"/>
    </font>
    <font>
      <name val="Arial"/>
      <family val="2"/>
      <color theme="1"/>
      <sz val="12"/>
    </font>
    <font>
      <name val="이사만루체 Light"/>
      <charset val="129"/>
      <family val="2"/>
      <sz val="10"/>
    </font>
    <font>
      <name val="이사만루체 Light"/>
      <charset val="129"/>
      <family val="2"/>
      <color theme="1"/>
      <sz val="10"/>
    </font>
    <font>
      <name val="Arial"/>
      <family val="2"/>
      <color theme="1"/>
      <sz val="10"/>
    </font>
    <font>
      <name val="Malgun Gothic"/>
      <charset val="129"/>
      <family val="2"/>
      <color theme="1"/>
      <sz val="11"/>
    </font>
    <font>
      <name val="이사만루체 Light"/>
      <charset val="129"/>
      <family val="2"/>
      <color theme="10"/>
      <sz val="11"/>
      <u val="single"/>
    </font>
    <font>
      <name val="이사만루체 Light"/>
      <charset val="129"/>
      <family val="3"/>
      <color rgb="FF0563C1"/>
      <sz val="11"/>
      <u val="single"/>
    </font>
    <font>
      <name val="맑은 고딕"/>
      <charset val="129"/>
      <family val="2"/>
      <sz val="11"/>
    </font>
    <font>
      <name val="이사만루체 Light"/>
      <charset val="129"/>
      <family val="3"/>
      <color rgb="FF0563C1"/>
      <sz val="11"/>
      <u val="single"/>
    </font>
    <font>
      <name val="이사만루체 Light"/>
      <charset val="129"/>
      <family val="3"/>
      <color rgb="FF0563C1"/>
      <sz val="11"/>
      <u val="single"/>
    </font>
    <font>
      <name val="Arial"/>
      <family val="2"/>
      <color rgb="FF0563C1"/>
      <sz val="12"/>
      <u val="single"/>
    </font>
    <font>
      <name val="이사만루체 Light"/>
      <charset val="129"/>
      <family val="3"/>
      <color rgb="FF0563C1"/>
      <sz val="11"/>
      <u val="single"/>
    </font>
    <font>
      <name val="이사만루체 Light"/>
      <charset val="129"/>
      <family val="3"/>
      <color rgb="FF0563C1"/>
      <sz val="11"/>
      <u val="single"/>
    </font>
    <font>
      <name val="이사만루체 Light"/>
      <family val="2"/>
      <color theme="1"/>
      <sz val="11"/>
    </font>
    <font>
      <name val="이사만루체 Light"/>
      <charset val="129"/>
      <family val="3"/>
      <color rgb="FF0563C1"/>
      <sz val="11"/>
      <u val="single"/>
    </font>
    <font>
      <name val="이사만루체 Light"/>
      <charset val="129"/>
      <family val="3"/>
      <color rgb="FF0563C1"/>
      <sz val="11"/>
      <u val="single"/>
    </font>
    <font>
      <name val="Tahoma"/>
      <family val="2"/>
      <color indexed="81"/>
      <sz val="9"/>
    </font>
    <font>
      <name val="Tahoma"/>
      <family val="2"/>
      <b val="1"/>
      <color indexed="81"/>
      <sz val="9"/>
    </font>
    <font>
      <name val="돋움"/>
      <charset val="129"/>
      <family val="3"/>
      <b val="1"/>
      <color indexed="81"/>
      <sz val="9"/>
    </font>
    <font>
      <name val="돋움"/>
      <charset val="129"/>
      <family val="3"/>
      <color indexed="81"/>
      <sz val="9"/>
    </font>
    <font>
      <name val="이사만루체 Light"/>
      <charset val="129"/>
      <family val="2"/>
      <b val="1"/>
      <color theme="1"/>
      <sz val="14"/>
    </font>
    <font>
      <name val="굴림"/>
      <charset val="129"/>
      <family val="2"/>
      <b val="1"/>
      <color theme="1"/>
      <sz val="14"/>
    </font>
    <font>
      <name val="이사만루체 Light"/>
      <charset val="129"/>
      <family val="2"/>
      <b val="1"/>
      <color theme="10"/>
      <sz val="14"/>
      <u val="single"/>
    </font>
    <font>
      <name val="이사만루체 Light"/>
      <color rgb="000563C1"/>
      <sz val="11"/>
      <u val="single"/>
    </font>
  </fonts>
  <fills count="18">
    <fill>
      <patternFill/>
    </fill>
    <fill>
      <patternFill patternType="gray125"/>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7"/>
        <bgColor indexed="64"/>
      </patternFill>
    </fill>
    <fill>
      <patternFill patternType="solid">
        <fgColor theme="4"/>
        <bgColor indexed="64"/>
      </patternFill>
    </fill>
    <fill>
      <patternFill patternType="solid">
        <fgColor theme="2" tint="-0.09997863704336681"/>
        <bgColor indexed="64"/>
      </patternFill>
    </fill>
    <fill>
      <patternFill patternType="solid">
        <fgColor theme="1" tint="0.499984740745262"/>
        <bgColor indexed="64"/>
      </patternFill>
    </fill>
    <fill>
      <patternFill patternType="solid">
        <fgColor theme="0"/>
        <bgColor indexed="64"/>
      </patternFill>
    </fill>
    <fill>
      <patternFill patternType="solid">
        <fgColor theme="0" tint="-0.1499984740745262"/>
        <bgColor indexed="64"/>
      </patternFill>
    </fill>
    <fill>
      <patternFill patternType="solid">
        <fgColor rgb="FFD9D9D9"/>
        <bgColor rgb="FFD9D9D9"/>
      </patternFill>
    </fill>
    <fill>
      <patternFill patternType="solid">
        <fgColor rgb="FFD9D9D9"/>
        <bgColor rgb="FFD9D9D9"/>
      </patternFill>
    </fill>
    <fill>
      <patternFill patternType="solid">
        <fgColor rgb="FFFFFF00"/>
        <bgColor indexed="64"/>
      </patternFill>
    </fill>
    <fill>
      <patternFill patternType="solid">
        <fgColor rgb="FFD9D9D9"/>
        <bgColor rgb="FFD9D9D9"/>
      </patternFill>
    </fill>
    <fill>
      <patternFill patternType="solid">
        <fgColor rgb="FFD9D9D9"/>
        <bgColor rgb="FFD9D9D9"/>
      </patternFill>
    </fill>
    <fill>
      <patternFill patternType="solid">
        <fgColor rgb="FFFF0000"/>
        <bgColor rgb="FFFF0000"/>
      </patternFill>
    </fill>
    <fill>
      <patternFill patternType="solid">
        <fgColor rgb="00D9D9D9"/>
        <bgColor rgb="00D9D9D9"/>
      </patternFill>
    </fill>
  </fills>
  <borders count="60">
    <border>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indexed="64"/>
      </right>
      <top/>
      <bottom style="thin">
        <color theme="2"/>
      </bottom>
      <diagonal/>
    </border>
    <border>
      <left/>
      <right/>
      <top/>
      <bottom style="thin">
        <color theme="2"/>
      </bottom>
      <diagonal/>
    </border>
    <border>
      <left style="thin">
        <color indexed="64"/>
      </left>
      <right/>
      <top/>
      <bottom style="thin">
        <color theme="2"/>
      </bottom>
      <diagonal/>
    </border>
    <border>
      <left/>
      <right style="thin">
        <color theme="2"/>
      </right>
      <top/>
      <bottom style="thin">
        <color theme="2"/>
      </bottom>
      <diagonal/>
    </border>
    <border>
      <left style="thin">
        <color indexed="64"/>
      </left>
      <right style="thin">
        <color indexed="64"/>
      </right>
      <top style="thin">
        <color theme="2"/>
      </top>
      <bottom style="thin">
        <color theme="2"/>
      </bottom>
      <diagonal/>
    </border>
    <border>
      <left style="thin">
        <color indexed="64"/>
      </left>
      <right style="thin">
        <color theme="2"/>
      </right>
      <top style="thin">
        <color theme="2"/>
      </top>
      <bottom style="thin">
        <color theme="2"/>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theme="2"/>
      </top>
      <bottom style="thin">
        <color theme="2"/>
      </bottom>
      <diagonal/>
    </border>
    <border>
      <left style="thin">
        <color indexed="64"/>
      </left>
      <right style="thin">
        <color indexed="64"/>
      </right>
      <top style="thin">
        <color theme="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s>
  <cellStyleXfs count="5">
    <xf numFmtId="0" fontId="1" fillId="0" borderId="0" applyAlignment="1">
      <alignment vertical="center"/>
    </xf>
    <xf numFmtId="41" fontId="1" fillId="0" borderId="0" applyAlignment="1">
      <alignment vertical="center"/>
    </xf>
    <xf numFmtId="9" fontId="1" fillId="0" borderId="0" applyAlignment="1">
      <alignment vertical="center"/>
    </xf>
    <xf numFmtId="0" fontId="13" fillId="0" borderId="0"/>
    <xf numFmtId="0" fontId="21" fillId="0" borderId="0" applyAlignment="1">
      <alignment vertical="center"/>
    </xf>
  </cellStyleXfs>
  <cellXfs count="640">
    <xf numFmtId="0" fontId="0" fillId="0" borderId="0" applyAlignment="1" pivotButton="0" quotePrefix="0" xfId="0">
      <alignment vertical="center"/>
    </xf>
    <xf numFmtId="0" fontId="0" fillId="0" borderId="0" applyAlignment="1" pivotButton="0" quotePrefix="0" xfId="0">
      <alignment horizontal="left" vertical="center" indent="1"/>
    </xf>
    <xf numFmtId="0" fontId="0" fillId="0" borderId="3" applyAlignment="1" pivotButton="0" quotePrefix="0" xfId="0">
      <alignment horizontal="right"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3" fillId="0" borderId="6" applyAlignment="1" pivotButton="0" quotePrefix="0" xfId="0">
      <alignment horizontal="center" vertical="center"/>
    </xf>
    <xf numFmtId="9" fontId="3" fillId="0" borderId="6" applyAlignment="1" pivotButton="0" quotePrefix="0" xfId="2">
      <alignment horizontal="center" vertical="center"/>
    </xf>
    <xf numFmtId="9" fontId="3" fillId="0" borderId="5" applyAlignment="1" pivotButton="0" quotePrefix="0" xfId="2">
      <alignment horizontal="center" vertical="center"/>
    </xf>
    <xf numFmtId="0" fontId="0" fillId="0" borderId="3" applyAlignment="1" pivotButton="0" quotePrefix="0" xfId="0">
      <alignment horizontal="center" vertical="center"/>
    </xf>
    <xf numFmtId="0" fontId="0" fillId="0" borderId="7" applyAlignment="1" pivotButton="0" quotePrefix="0" xfId="0">
      <alignment horizontal="center" vertical="center"/>
    </xf>
    <xf numFmtId="0" fontId="0" fillId="0" borderId="3" applyAlignment="1" pivotButton="0" quotePrefix="0" xfId="0">
      <alignment vertical="center"/>
    </xf>
    <xf numFmtId="0" fontId="0" fillId="0" borderId="8" applyAlignment="1" pivotButton="0" quotePrefix="0" xfId="0">
      <alignment horizontal="center" vertical="center"/>
    </xf>
    <xf numFmtId="0" fontId="4" fillId="0" borderId="8" applyAlignment="1" pivotButton="0" quotePrefix="0" xfId="0">
      <alignment horizontal="center" vertical="center"/>
    </xf>
    <xf numFmtId="0" fontId="6" fillId="0" borderId="0" applyAlignment="1" pivotButton="0" quotePrefix="0" xfId="0">
      <alignment horizontal="left" vertical="center" indent="1"/>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0" fillId="0" borderId="0" applyAlignment="1" pivotButton="0" quotePrefix="0" xfId="0">
      <alignment horizontal="left" vertical="center"/>
    </xf>
    <xf numFmtId="0" fontId="7" fillId="0" borderId="0" applyAlignment="1" pivotButton="0" quotePrefix="0" xfId="0">
      <alignment horizontal="left" vertical="center" wrapText="1"/>
    </xf>
    <xf numFmtId="0" fontId="7" fillId="0" borderId="0" applyAlignment="1" pivotButton="0" quotePrefix="0" xfId="0">
      <alignment horizontal="left" vertical="center"/>
    </xf>
    <xf numFmtId="0" fontId="0" fillId="5" borderId="0" applyAlignment="1" pivotButton="0" quotePrefix="0" xfId="0">
      <alignment horizontal="center" vertical="center"/>
    </xf>
    <xf numFmtId="0" fontId="10" fillId="6" borderId="0" applyAlignment="1" pivotButton="0" quotePrefix="0" xfId="0">
      <alignment horizontal="center" vertical="center"/>
    </xf>
    <xf numFmtId="0" fontId="11" fillId="6" borderId="0" applyAlignment="1" pivotButton="0" quotePrefix="0" xfId="0">
      <alignment horizontal="center" vertical="center"/>
    </xf>
    <xf numFmtId="0" fontId="9" fillId="5" borderId="0" applyAlignment="1" pivotButton="0" quotePrefix="0" xfId="0">
      <alignment horizontal="center" vertical="center"/>
    </xf>
    <xf numFmtId="0" fontId="3" fillId="0" borderId="0" applyAlignment="1" pivotButton="0" quotePrefix="0" xfId="0">
      <alignment horizontal="center" vertical="center"/>
    </xf>
    <xf numFmtId="9" fontId="3" fillId="0" borderId="0" applyAlignment="1" pivotButton="0" quotePrefix="0" xfId="2">
      <alignment horizontal="center" vertical="center"/>
    </xf>
    <xf numFmtId="9" fontId="3" fillId="0" borderId="7" applyAlignment="1" pivotButton="0" quotePrefix="0" xfId="2">
      <alignment horizontal="center" vertical="center"/>
    </xf>
    <xf numFmtId="9" fontId="0" fillId="0" borderId="12" applyAlignment="1" pivotButton="0" quotePrefix="0" xfId="2">
      <alignment vertical="center"/>
    </xf>
    <xf numFmtId="9" fontId="0" fillId="0" borderId="13" applyAlignment="1" pivotButton="0" quotePrefix="0" xfId="2">
      <alignment vertical="center"/>
    </xf>
    <xf numFmtId="9" fontId="0" fillId="0" borderId="15" applyAlignment="1" pivotButton="0" quotePrefix="0" xfId="2">
      <alignment vertical="center"/>
    </xf>
    <xf numFmtId="0" fontId="0" fillId="0" borderId="18" applyAlignment="1" pivotButton="0" quotePrefix="0" xfId="0">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2" applyAlignment="1" pivotButton="0" quotePrefix="0" xfId="0">
      <alignment vertical="center"/>
    </xf>
    <xf numFmtId="0" fontId="6" fillId="5" borderId="21" applyAlignment="1" pivotButton="0" quotePrefix="0" xfId="0">
      <alignment horizontal="center" vertical="center"/>
    </xf>
    <xf numFmtId="0" fontId="12" fillId="6" borderId="21" applyAlignment="1" pivotButton="0" quotePrefix="0" xfId="0">
      <alignment horizontal="center" vertical="center"/>
    </xf>
    <xf numFmtId="0" fontId="6" fillId="0" borderId="21" applyAlignment="1" pivotButton="0" quotePrefix="0" xfId="0">
      <alignment horizontal="center" vertical="center"/>
    </xf>
    <xf numFmtId="0" fontId="0" fillId="0" borderId="21" applyAlignment="1" pivotButton="0" quotePrefix="0" xfId="0">
      <alignment horizontal="center" vertical="center"/>
    </xf>
    <xf numFmtId="9" fontId="0" fillId="0" borderId="21" applyAlignment="1" pivotButton="0" quotePrefix="0" xfId="2">
      <alignment vertical="center"/>
    </xf>
    <xf numFmtId="3" fontId="0" fillId="0" borderId="22" applyAlignment="1" pivotButton="0" quotePrefix="0" xfId="2">
      <alignment vertical="center"/>
    </xf>
    <xf numFmtId="0" fontId="16" fillId="0" borderId="23"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24" applyAlignment="1" pivotButton="0" quotePrefix="0" xfId="0">
      <alignment horizontal="center" vertical="center" wrapText="1"/>
    </xf>
    <xf numFmtId="0" fontId="16" fillId="0" borderId="25" applyAlignment="1" pivotButton="0" quotePrefix="0" xfId="0">
      <alignment horizontal="center" vertical="center" wrapText="1"/>
    </xf>
    <xf numFmtId="0" fontId="16" fillId="0" borderId="9" applyAlignment="1" pivotButton="0" quotePrefix="0" xfId="0">
      <alignment horizontal="center" vertical="center" wrapText="1"/>
    </xf>
    <xf numFmtId="0" fontId="16" fillId="8" borderId="27" applyAlignment="1" pivotButton="0" quotePrefix="0" xfId="0">
      <alignment horizontal="center" vertical="center" wrapText="1"/>
    </xf>
    <xf numFmtId="0" fontId="16" fillId="8" borderId="23" applyAlignment="1" pivotButton="0" quotePrefix="0" xfId="0">
      <alignment horizontal="center" vertical="center" wrapText="1"/>
    </xf>
    <xf numFmtId="0" fontId="16" fillId="8" borderId="8" applyAlignment="1" pivotButton="0" quotePrefix="0" xfId="0">
      <alignment horizontal="center" vertical="center" wrapText="1"/>
    </xf>
    <xf numFmtId="0" fontId="16" fillId="0" borderId="27" applyAlignment="1" pivotButton="0" quotePrefix="0" xfId="0">
      <alignment horizontal="center" vertical="center" wrapText="1"/>
    </xf>
    <xf numFmtId="0" fontId="16" fillId="0" borderId="28"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30" applyAlignment="1" pivotButton="0" quotePrefix="0" xfId="0">
      <alignment horizontal="center" vertical="center" wrapText="1"/>
    </xf>
    <xf numFmtId="0" fontId="16" fillId="0" borderId="29" applyAlignment="1" pivotButton="0" quotePrefix="0" xfId="0">
      <alignment horizontal="center" vertical="center" wrapText="1"/>
    </xf>
    <xf numFmtId="0" fontId="16" fillId="0" borderId="23" applyAlignment="1" pivotButton="0" quotePrefix="0" xfId="0">
      <alignment vertical="center" wrapText="1"/>
    </xf>
    <xf numFmtId="0" fontId="16" fillId="0" borderId="8" applyAlignment="1" pivotButton="0" quotePrefix="0" xfId="0">
      <alignment vertical="center" wrapText="1"/>
    </xf>
    <xf numFmtId="0" fontId="16" fillId="0" borderId="33" applyAlignment="1" pivotButton="0" quotePrefix="0" xfId="0">
      <alignment horizontal="center" vertical="center" wrapText="1"/>
    </xf>
    <xf numFmtId="0" fontId="16" fillId="0" borderId="34" applyAlignment="1" pivotButton="0" quotePrefix="0" xfId="0">
      <alignment horizontal="center" vertical="center" wrapText="1"/>
    </xf>
    <xf numFmtId="0" fontId="18" fillId="7" borderId="0" applyAlignment="1" pivotButton="0" quotePrefix="0" xfId="0">
      <alignment horizontal="center" vertical="center"/>
    </xf>
    <xf numFmtId="0" fontId="19" fillId="0" borderId="23"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24" applyAlignment="1" pivotButton="0" quotePrefix="0" xfId="0">
      <alignment horizontal="center" vertical="center" wrapText="1"/>
    </xf>
    <xf numFmtId="0" fontId="19" fillId="0" borderId="25" applyAlignment="1" pivotButton="0" quotePrefix="0" xfId="0">
      <alignment horizontal="center" vertical="center" wrapText="1"/>
    </xf>
    <xf numFmtId="0" fontId="19" fillId="0" borderId="9" applyAlignment="1" pivotButton="0" quotePrefix="0" xfId="0">
      <alignment horizontal="center" vertical="center" wrapText="1"/>
    </xf>
    <xf numFmtId="0" fontId="19" fillId="8" borderId="8" applyAlignment="1" pivotButton="0" quotePrefix="0" xfId="0">
      <alignment horizontal="center" vertical="center" wrapText="1"/>
    </xf>
    <xf numFmtId="0" fontId="19" fillId="8" borderId="23" applyAlignment="1" pivotButton="0" quotePrefix="0" xfId="0">
      <alignment horizontal="center" vertical="center" wrapText="1"/>
    </xf>
    <xf numFmtId="0" fontId="4" fillId="0" borderId="14" applyAlignment="1" pivotButton="0" quotePrefix="0" xfId="0">
      <alignment horizontal="center" vertical="center"/>
    </xf>
    <xf numFmtId="0" fontId="4" fillId="0" borderId="7" applyAlignment="1" pivotButton="0" quotePrefix="0" xfId="0">
      <alignment horizontal="center" vertical="center"/>
    </xf>
    <xf numFmtId="0" fontId="16" fillId="0" borderId="24" applyAlignment="1" pivotButton="0" quotePrefix="0" xfId="0">
      <alignment vertical="center" wrapText="1"/>
    </xf>
    <xf numFmtId="0" fontId="20" fillId="7" borderId="0" applyAlignment="1" pivotButton="0" quotePrefix="0" xfId="0">
      <alignment horizontal="center" vertical="center"/>
    </xf>
    <xf numFmtId="0" fontId="0" fillId="0" borderId="42" applyAlignment="1" pivotButton="0" quotePrefix="0" xfId="0">
      <alignment horizontal="center" vertical="center"/>
    </xf>
    <xf numFmtId="0" fontId="6" fillId="0" borderId="42" applyAlignment="1" pivotButton="0" quotePrefix="0" xfId="0">
      <alignment horizontal="center" vertical="center"/>
    </xf>
    <xf numFmtId="9" fontId="15" fillId="7" borderId="43" applyAlignment="1" pivotButton="0" quotePrefix="0" xfId="2">
      <alignment horizontal="center" vertical="center"/>
    </xf>
    <xf numFmtId="0" fontId="0" fillId="2" borderId="2" applyAlignment="1" pivotButton="0" quotePrefix="0" xfId="0">
      <alignment horizontal="center" vertical="center"/>
    </xf>
    <xf numFmtId="0" fontId="0" fillId="3" borderId="2" applyAlignment="1" pivotButton="0" quotePrefix="0" xfId="0">
      <alignment vertical="center"/>
    </xf>
    <xf numFmtId="0" fontId="0" fillId="10" borderId="3" applyAlignment="1" pivotButton="0" quotePrefix="0" xfId="0">
      <alignment horizontal="center" vertical="center"/>
    </xf>
    <xf numFmtId="0" fontId="0" fillId="10" borderId="7" applyAlignment="1" pivotButton="0" quotePrefix="0" xfId="0">
      <alignment horizontal="center" vertical="center"/>
    </xf>
    <xf numFmtId="0" fontId="0" fillId="10" borderId="42" applyAlignment="1" pivotButton="0" quotePrefix="0" xfId="0">
      <alignment horizontal="center" vertical="center"/>
    </xf>
    <xf numFmtId="0" fontId="0" fillId="10" borderId="21" applyAlignment="1" pivotButton="0" quotePrefix="0" xfId="0">
      <alignment horizontal="center" vertical="center"/>
    </xf>
    <xf numFmtId="9" fontId="0" fillId="10" borderId="21" applyAlignment="1" pivotButton="0" quotePrefix="0" xfId="2">
      <alignment vertical="center"/>
    </xf>
    <xf numFmtId="3" fontId="0" fillId="10" borderId="22" applyAlignment="1" pivotButton="0" quotePrefix="0" xfId="2">
      <alignment vertical="center"/>
    </xf>
    <xf numFmtId="9" fontId="0" fillId="10" borderId="15" applyAlignment="1" pivotButton="0" quotePrefix="0" xfId="2">
      <alignment vertical="center"/>
    </xf>
    <xf numFmtId="0" fontId="0" fillId="10" borderId="0" applyAlignment="1" pivotButton="0" quotePrefix="0" xfId="0">
      <alignment horizontal="left" vertical="center" indent="1"/>
    </xf>
    <xf numFmtId="0" fontId="5" fillId="10" borderId="0" applyAlignment="1" pivotButton="0" quotePrefix="0" xfId="0">
      <alignment horizontal="left" vertical="center"/>
    </xf>
    <xf numFmtId="0" fontId="6" fillId="10" borderId="0" applyAlignment="1" pivotButton="0" quotePrefix="0" xfId="0">
      <alignment horizontal="left" vertical="center"/>
    </xf>
    <xf numFmtId="0" fontId="7" fillId="10" borderId="0" applyAlignment="1" pivotButton="0" quotePrefix="0" xfId="0">
      <alignment horizontal="left" vertical="center"/>
    </xf>
    <xf numFmtId="0" fontId="7" fillId="10" borderId="0" applyAlignment="1" pivotButton="0" quotePrefix="0" xfId="0">
      <alignment horizontal="left" vertical="center" wrapText="1"/>
    </xf>
    <xf numFmtId="0" fontId="0" fillId="0" borderId="27" applyAlignment="1" pivotButton="0" quotePrefix="0" xfId="0">
      <alignment vertical="center"/>
    </xf>
    <xf numFmtId="0" fontId="16" fillId="0" borderId="0" applyAlignment="1" pivotButton="0" quotePrefix="0" xfId="0">
      <alignment horizontal="center" vertical="center" wrapText="1"/>
    </xf>
    <xf numFmtId="0" fontId="0" fillId="10" borderId="3" pivotButton="0" quotePrefix="0" xfId="0"/>
    <xf numFmtId="0" fontId="0" fillId="10" borderId="7" pivotButton="0" quotePrefix="0" xfId="0"/>
    <xf numFmtId="0" fontId="0" fillId="0" borderId="7" applyAlignment="1" pivotButton="0" quotePrefix="0" xfId="0">
      <alignment horizontal="right" vertical="center"/>
    </xf>
    <xf numFmtId="0" fontId="16" fillId="0" borderId="0" applyAlignment="1" pivotButton="0" quotePrefix="0" xfId="0">
      <alignment horizontal="left" vertical="center" wrapText="1"/>
    </xf>
    <xf numFmtId="0" fontId="0" fillId="0" borderId="25" applyAlignment="1" pivotButton="0" quotePrefix="0" xfId="0">
      <alignment vertical="center"/>
    </xf>
    <xf numFmtId="0" fontId="0" fillId="0" borderId="21" applyAlignment="1" pivotButton="0" quotePrefix="0" xfId="0">
      <alignment vertical="center"/>
    </xf>
    <xf numFmtId="0" fontId="12" fillId="6" borderId="0" applyAlignment="1" pivotButton="0" quotePrefix="0" xfId="0">
      <alignment horizontal="center" vertical="center"/>
    </xf>
    <xf numFmtId="0" fontId="0" fillId="0" borderId="23" applyAlignment="1" pivotButton="0" quotePrefix="0" xfId="0">
      <alignment vertical="center"/>
    </xf>
    <xf numFmtId="0" fontId="0" fillId="10" borderId="8" pivotButton="0" quotePrefix="0" xfId="0"/>
    <xf numFmtId="0" fontId="19" fillId="0" borderId="0" applyAlignment="1" pivotButton="0" quotePrefix="0" xfId="0">
      <alignment horizontal="center" vertical="center" wrapText="1"/>
    </xf>
    <xf numFmtId="0" fontId="0" fillId="10" borderId="42" pivotButton="0" quotePrefix="0" xfId="0"/>
    <xf numFmtId="0" fontId="0" fillId="10" borderId="21" pivotButton="0" quotePrefix="0" xfId="0"/>
    <xf numFmtId="0" fontId="0" fillId="10" borderId="22" pivotButton="0" quotePrefix="0" xfId="0"/>
    <xf numFmtId="0" fontId="0" fillId="10" borderId="15" pivotButton="0" quotePrefix="0" xfId="0"/>
    <xf numFmtId="0" fontId="8" fillId="10" borderId="8" pivotButton="0" quotePrefix="0" xfId="0"/>
    <xf numFmtId="0" fontId="22" fillId="0" borderId="0" pivotButton="0" quotePrefix="0" xfId="4"/>
    <xf numFmtId="0" fontId="14" fillId="7" borderId="8" applyAlignment="1" pivotButton="0" quotePrefix="0" xfId="0">
      <alignment horizontal="center" vertical="center"/>
    </xf>
    <xf numFmtId="0" fontId="0" fillId="10" borderId="23" applyAlignment="1" pivotButton="0" quotePrefix="0" xfId="0">
      <alignment vertical="center"/>
    </xf>
    <xf numFmtId="0" fontId="23" fillId="7" borderId="8" applyAlignment="1" pivotButton="0" quotePrefix="0" xfId="0">
      <alignment horizontal="center" vertical="center"/>
    </xf>
    <xf numFmtId="0" fontId="8" fillId="7" borderId="8" applyAlignment="1" pivotButton="0" quotePrefix="0" xfId="0">
      <alignment horizontal="center" vertical="center"/>
    </xf>
    <xf numFmtId="0" fontId="0" fillId="0" borderId="21" pivotButton="0" quotePrefix="0" xfId="0"/>
    <xf numFmtId="0" fontId="0" fillId="0" borderId="22" pivotButton="0" quotePrefix="0" xfId="0"/>
    <xf numFmtId="0" fontId="0" fillId="10" borderId="3" applyAlignment="1" pivotButton="0" quotePrefix="0" xfId="0">
      <alignment vertical="center"/>
    </xf>
    <xf numFmtId="0" fontId="0" fillId="10" borderId="3" applyAlignment="1" pivotButton="0" quotePrefix="0" xfId="0">
      <alignment horizontal="right" vertical="center"/>
    </xf>
    <xf numFmtId="0" fontId="0" fillId="0" borderId="3" pivotButton="0" quotePrefix="0" xfId="0"/>
    <xf numFmtId="0" fontId="24" fillId="0" borderId="0" pivotButton="0" quotePrefix="0" xfId="0"/>
    <xf numFmtId="0" fontId="25" fillId="0" borderId="0" pivotButton="0" quotePrefix="0" xfId="0"/>
    <xf numFmtId="0" fontId="25" fillId="10" borderId="0" pivotButton="0" quotePrefix="0" xfId="0"/>
    <xf numFmtId="0" fontId="0" fillId="7" borderId="0" applyAlignment="1" pivotButton="0" quotePrefix="0" xfId="0">
      <alignment horizontal="center" vertical="center"/>
    </xf>
    <xf numFmtId="0" fontId="14" fillId="7" borderId="44" applyAlignment="1" pivotButton="0" quotePrefix="0" xfId="0">
      <alignment horizontal="center" vertical="center"/>
    </xf>
    <xf numFmtId="0" fontId="14" fillId="7" borderId="45" applyAlignment="1" pivotButton="0" quotePrefix="0" xfId="0">
      <alignment horizontal="center" vertical="center"/>
    </xf>
    <xf numFmtId="0" fontId="14" fillId="7" borderId="46" applyAlignment="1" pivotButton="0" quotePrefix="0" xfId="0">
      <alignment horizontal="center" vertical="center"/>
    </xf>
    <xf numFmtId="0" fontId="14" fillId="7" borderId="47" applyAlignment="1" pivotButton="0" quotePrefix="0" xfId="0">
      <alignment horizontal="center" vertical="center"/>
    </xf>
    <xf numFmtId="0" fontId="14" fillId="7" borderId="48" applyAlignment="1" pivotButton="0" quotePrefix="0" xfId="0">
      <alignment horizontal="center" vertical="center"/>
    </xf>
    <xf numFmtId="9" fontId="8" fillId="0" borderId="12" applyAlignment="1" pivotButton="0" quotePrefix="0" xfId="2">
      <alignment vertical="center"/>
    </xf>
    <xf numFmtId="0" fontId="0" fillId="10" borderId="27" applyAlignment="1" pivotButton="0" quotePrefix="0" xfId="0">
      <alignment vertical="center"/>
    </xf>
    <xf numFmtId="0" fontId="22" fillId="10" borderId="11" pivotButton="0" quotePrefix="0" xfId="0"/>
    <xf numFmtId="0" fontId="0" fillId="10" borderId="25" applyAlignment="1" pivotButton="0" quotePrefix="0" xfId="0">
      <alignment vertical="center"/>
    </xf>
    <xf numFmtId="0" fontId="0" fillId="10" borderId="21" applyAlignment="1" pivotButton="0" quotePrefix="0" xfId="0">
      <alignment vertical="center"/>
    </xf>
    <xf numFmtId="0" fontId="0" fillId="10" borderId="23" pivotButton="0" quotePrefix="0" xfId="0"/>
    <xf numFmtId="0" fontId="0" fillId="0" borderId="22" applyAlignment="1" pivotButton="0" quotePrefix="0" xfId="0">
      <alignment vertical="center"/>
    </xf>
    <xf numFmtId="0" fontId="0" fillId="10" borderId="12" pivotButton="0" quotePrefix="0" xfId="0"/>
    <xf numFmtId="0" fontId="0" fillId="0" borderId="15" applyAlignment="1" pivotButton="0" quotePrefix="0" xfId="0">
      <alignment vertical="center"/>
    </xf>
    <xf numFmtId="0" fontId="0" fillId="10" borderId="13" pivotButton="0" quotePrefix="0" xfId="0"/>
    <xf numFmtId="0" fontId="0" fillId="10" borderId="0" applyAlignment="1" pivotButton="0" quotePrefix="0" xfId="0">
      <alignment horizontal="center" vertical="center"/>
    </xf>
    <xf numFmtId="0" fontId="22" fillId="10" borderId="0" pivotButton="0" quotePrefix="0" xfId="0"/>
    <xf numFmtId="0" fontId="14" fillId="7" borderId="0" applyAlignment="1" pivotButton="0" quotePrefix="0" xfId="0">
      <alignment horizontal="center" vertical="center"/>
    </xf>
    <xf numFmtId="0" fontId="8" fillId="7" borderId="0" applyAlignment="1" pivotButton="0" quotePrefix="0" xfId="0">
      <alignment horizontal="center" vertical="center"/>
    </xf>
    <xf numFmtId="0" fontId="8" fillId="10" borderId="0" pivotButton="0" quotePrefix="0" xfId="0"/>
    <xf numFmtId="9" fontId="0" fillId="0" borderId="0" applyAlignment="1" pivotButton="0" quotePrefix="0" xfId="2">
      <alignment vertical="center"/>
    </xf>
    <xf numFmtId="0" fontId="0" fillId="10" borderId="0" applyAlignment="1" pivotButton="0" quotePrefix="0" xfId="0">
      <alignment horizontal="right" vertical="center"/>
    </xf>
    <xf numFmtId="0" fontId="0" fillId="10" borderId="25" pivotButton="0" quotePrefix="0" xfId="0"/>
    <xf numFmtId="0" fontId="0" fillId="10" borderId="38" pivotButton="0" quotePrefix="0" xfId="0"/>
    <xf numFmtId="0" fontId="6" fillId="10" borderId="0" applyAlignment="1" pivotButton="0" quotePrefix="0" xfId="0">
      <alignment horizontal="center" vertical="center"/>
    </xf>
    <xf numFmtId="9" fontId="0" fillId="10" borderId="0" applyAlignment="1" pivotButton="0" quotePrefix="0" xfId="2">
      <alignment vertical="center"/>
    </xf>
    <xf numFmtId="3" fontId="0" fillId="10" borderId="0" applyAlignment="1" pivotButton="0" quotePrefix="0" xfId="2">
      <alignment vertical="center"/>
    </xf>
    <xf numFmtId="3" fontId="0" fillId="0" borderId="0" applyAlignment="1" pivotButton="0" quotePrefix="0" xfId="2">
      <alignment vertical="center"/>
    </xf>
    <xf numFmtId="0" fontId="22" fillId="0" borderId="11" pivotButton="0" quotePrefix="0" xfId="0"/>
    <xf numFmtId="0" fontId="22" fillId="0" borderId="0" pivotButton="0" quotePrefix="0" xfId="0"/>
    <xf numFmtId="0" fontId="17" fillId="7" borderId="25" applyAlignment="1" pivotButton="0" quotePrefix="0" xfId="0">
      <alignment horizontal="center" vertical="center"/>
    </xf>
    <xf numFmtId="0" fontId="14" fillId="7" borderId="25" applyAlignment="1" pivotButton="0" quotePrefix="0" xfId="0">
      <alignment horizontal="center" vertical="center"/>
    </xf>
    <xf numFmtId="0" fontId="0" fillId="0" borderId="12" pivotButton="0" quotePrefix="0" xfId="0"/>
    <xf numFmtId="0" fontId="24" fillId="10" borderId="0" pivotButton="0" quotePrefix="0" xfId="0"/>
    <xf numFmtId="0" fontId="17" fillId="7" borderId="0" applyAlignment="1" pivotButton="0" quotePrefix="0" xfId="0">
      <alignment horizontal="center" vertical="center"/>
    </xf>
    <xf numFmtId="0" fontId="14" fillId="7" borderId="0" applyAlignment="1" pivotButton="0" quotePrefix="0" xfId="0">
      <alignment horizontal="right" vertical="center"/>
    </xf>
    <xf numFmtId="0" fontId="0" fillId="0" borderId="2" applyAlignment="1" pivotButton="0" quotePrefix="0" xfId="0">
      <alignment horizontal="right"/>
    </xf>
    <xf numFmtId="0" fontId="0" fillId="7" borderId="0" applyAlignment="1" pivotButton="0" quotePrefix="0" xfId="0">
      <alignment horizontal="right" vertical="center"/>
    </xf>
    <xf numFmtId="0" fontId="0" fillId="10" borderId="25" applyAlignment="1" pivotButton="0" quotePrefix="0" xfId="0">
      <alignment horizontal="right"/>
    </xf>
    <xf numFmtId="0" fontId="0" fillId="10" borderId="0" applyAlignment="1" pivotButton="0" quotePrefix="0" xfId="0">
      <alignment horizontal="right"/>
    </xf>
    <xf numFmtId="0" fontId="8" fillId="10" borderId="23" applyAlignment="1" pivotButton="0" quotePrefix="0" xfId="0">
      <alignment vertical="center"/>
    </xf>
    <xf numFmtId="9" fontId="0" fillId="0" borderId="20" applyAlignment="1" pivotButton="0" quotePrefix="0" xfId="2">
      <alignment vertical="center"/>
    </xf>
    <xf numFmtId="0" fontId="0" fillId="0" borderId="0" applyAlignment="1" pivotButton="0" quotePrefix="0" xfId="0">
      <alignment horizontal="center" vertical="center"/>
    </xf>
    <xf numFmtId="0" fontId="4" fillId="0" borderId="0" applyAlignment="1" pivotButton="0" quotePrefix="0" xfId="0">
      <alignment horizontal="center" vertical="center"/>
    </xf>
    <xf numFmtId="0" fontId="16" fillId="0" borderId="31" applyAlignment="1" pivotButton="0" quotePrefix="0" xfId="0">
      <alignment horizontal="center" vertical="center" wrapText="1"/>
    </xf>
    <xf numFmtId="0" fontId="6" fillId="0" borderId="18" applyAlignment="1" pivotButton="0" quotePrefix="0" xfId="0">
      <alignment horizontal="center" vertical="center"/>
    </xf>
    <xf numFmtId="0" fontId="1" fillId="0" borderId="8" applyAlignment="1" pivotButton="0" quotePrefix="0" xfId="0">
      <alignment horizontal="center" vertical="center"/>
    </xf>
    <xf numFmtId="9" fontId="1" fillId="0" borderId="0" applyAlignment="1" pivotButton="0" quotePrefix="0" xfId="0">
      <alignment vertical="center"/>
    </xf>
    <xf numFmtId="0" fontId="1" fillId="0" borderId="3" applyAlignment="1" pivotButton="0" quotePrefix="0" xfId="0">
      <alignment horizontal="center" vertical="center"/>
    </xf>
    <xf numFmtId="0" fontId="1" fillId="0" borderId="7" applyAlignment="1" pivotButton="0" quotePrefix="0" xfId="0">
      <alignment horizontal="center" vertical="center"/>
    </xf>
    <xf numFmtId="0" fontId="1" fillId="7" borderId="0" applyAlignment="1" pivotButton="0" quotePrefix="0" xfId="0">
      <alignment horizontal="center" vertical="center"/>
    </xf>
    <xf numFmtId="9" fontId="15" fillId="7" borderId="21" applyAlignment="1" pivotButton="0" quotePrefix="0" xfId="2">
      <alignment horizontal="center" vertical="center"/>
    </xf>
    <xf numFmtId="0" fontId="1" fillId="0" borderId="21" applyAlignment="1" pivotButton="0" quotePrefix="0" xfId="0">
      <alignment horizontal="center" vertical="center"/>
    </xf>
    <xf numFmtId="9" fontId="1" fillId="0" borderId="21" applyAlignment="1" pivotButton="0" quotePrefix="0" xfId="2">
      <alignment vertical="center"/>
    </xf>
    <xf numFmtId="3" fontId="1" fillId="0" borderId="22" applyAlignment="1" pivotButton="0" quotePrefix="0" xfId="2">
      <alignment vertical="center"/>
    </xf>
    <xf numFmtId="0" fontId="1" fillId="0" borderId="12" applyAlignment="1" pivotButton="0" quotePrefix="0" xfId="0">
      <alignment vertical="center"/>
    </xf>
    <xf numFmtId="9" fontId="1" fillId="0" borderId="12" applyAlignment="1" pivotButton="0" quotePrefix="0" xfId="2">
      <alignment vertical="center"/>
    </xf>
    <xf numFmtId="0" fontId="1" fillId="0" borderId="14" applyAlignment="1" pivotButton="0" quotePrefix="0" xfId="0">
      <alignment horizontal="center" vertical="center"/>
    </xf>
    <xf numFmtId="9" fontId="1" fillId="0" borderId="15" applyAlignment="1" pivotButton="0" quotePrefix="0" xfId="2">
      <alignment vertical="center"/>
    </xf>
    <xf numFmtId="0" fontId="1" fillId="0" borderId="0" applyAlignment="1" pivotButton="0" quotePrefix="0" xfId="0">
      <alignment horizontal="left" vertical="center" indent="1"/>
    </xf>
    <xf numFmtId="0" fontId="1" fillId="0" borderId="16" applyAlignment="1" pivotButton="0" quotePrefix="0" xfId="0">
      <alignment horizontal="center" vertical="center"/>
    </xf>
    <xf numFmtId="0" fontId="1" fillId="0" borderId="17" applyAlignment="1" pivotButton="0" quotePrefix="0" xfId="0">
      <alignment horizontal="center" vertical="center"/>
    </xf>
    <xf numFmtId="0" fontId="1" fillId="0" borderId="18" applyAlignment="1" pivotButton="0" quotePrefix="0" xfId="0">
      <alignment horizontal="center" vertical="center"/>
    </xf>
    <xf numFmtId="9" fontId="1" fillId="0" borderId="18" applyAlignment="1" pivotButton="0" quotePrefix="0" xfId="2">
      <alignment vertical="center"/>
    </xf>
    <xf numFmtId="9" fontId="1" fillId="0" borderId="20" applyAlignment="1" pivotButton="0" quotePrefix="0" xfId="2">
      <alignment vertical="center"/>
    </xf>
    <xf numFmtId="0" fontId="16" fillId="11" borderId="27" applyAlignment="1" pivotButton="0" quotePrefix="0" xfId="0">
      <alignment horizontal="center" vertical="center" wrapText="1"/>
    </xf>
    <xf numFmtId="0" fontId="1" fillId="11" borderId="8" applyAlignment="1" pivotButton="0" quotePrefix="0" xfId="0">
      <alignment horizontal="center" vertical="center"/>
    </xf>
    <xf numFmtId="0" fontId="6" fillId="11" borderId="21" applyAlignment="1" pivotButton="0" quotePrefix="0" xfId="0">
      <alignment horizontal="center" vertical="center"/>
    </xf>
    <xf numFmtId="0" fontId="16" fillId="11" borderId="25" applyAlignment="1" pivotButton="0" quotePrefix="0" xfId="0">
      <alignment horizontal="center" vertical="center" wrapText="1"/>
    </xf>
    <xf numFmtId="0" fontId="12" fillId="11" borderId="21" applyAlignment="1" pivotButton="0" quotePrefix="0" xfId="0">
      <alignment horizontal="center" vertical="center"/>
    </xf>
    <xf numFmtId="0" fontId="16" fillId="11" borderId="23" applyAlignment="1" pivotButton="0" quotePrefix="0" xfId="0">
      <alignment horizontal="center" vertical="center" wrapText="1"/>
    </xf>
    <xf numFmtId="9" fontId="15" fillId="11" borderId="21" applyAlignment="1" pivotButton="0" quotePrefix="0" xfId="2">
      <alignment horizontal="center" vertical="center"/>
    </xf>
    <xf numFmtId="0" fontId="19" fillId="11" borderId="23" applyAlignment="1" pivotButton="0" quotePrefix="0" xfId="0">
      <alignment horizontal="center" vertical="center" wrapText="1"/>
    </xf>
    <xf numFmtId="0" fontId="1" fillId="11" borderId="21" applyAlignment="1" pivotButton="0" quotePrefix="0" xfId="0">
      <alignment horizontal="center" vertical="center"/>
    </xf>
    <xf numFmtId="9" fontId="1" fillId="11" borderId="21" applyAlignment="1" pivotButton="0" quotePrefix="0" xfId="2">
      <alignment vertical="center"/>
    </xf>
    <xf numFmtId="3" fontId="1" fillId="11" borderId="22" applyAlignment="1" pivotButton="0" quotePrefix="0" xfId="2">
      <alignment vertical="center"/>
    </xf>
    <xf numFmtId="0" fontId="1" fillId="11" borderId="12" applyAlignment="1" pivotButton="0" quotePrefix="0" xfId="0">
      <alignment vertical="center"/>
    </xf>
    <xf numFmtId="9" fontId="1" fillId="11" borderId="12" applyAlignment="1" pivotButton="0" quotePrefix="0" xfId="2">
      <alignment vertical="center"/>
    </xf>
    <xf numFmtId="9" fontId="1" fillId="11" borderId="13" applyAlignment="1" pivotButton="0" quotePrefix="0" xfId="2">
      <alignment vertical="center"/>
    </xf>
    <xf numFmtId="0" fontId="1" fillId="11" borderId="14" applyAlignment="1" pivotButton="0" quotePrefix="0" xfId="0">
      <alignment horizontal="center" vertical="center"/>
    </xf>
    <xf numFmtId="0" fontId="16" fillId="11" borderId="8" applyAlignment="1" pivotButton="0" quotePrefix="0" xfId="0">
      <alignment horizontal="center" vertical="center" wrapText="1"/>
    </xf>
    <xf numFmtId="0" fontId="19" fillId="11" borderId="8" applyAlignment="1" pivotButton="0" quotePrefix="0" xfId="0">
      <alignment horizontal="center" vertical="center" wrapText="1"/>
    </xf>
    <xf numFmtId="9" fontId="8" fillId="11" borderId="12" applyAlignment="1" pivotButton="0" quotePrefix="0" xfId="2">
      <alignment vertical="center"/>
    </xf>
    <xf numFmtId="9" fontId="1" fillId="11" borderId="15" applyAlignment="1" pivotButton="0" quotePrefix="0" xfId="2">
      <alignment vertical="center"/>
    </xf>
    <xf numFmtId="0" fontId="16" fillId="11" borderId="24" applyAlignment="1" pivotButton="0" quotePrefix="0" xfId="0">
      <alignment horizontal="center" vertical="center" wrapText="1"/>
    </xf>
    <xf numFmtId="0" fontId="19" fillId="11" borderId="24" applyAlignment="1" pivotButton="0" quotePrefix="0" xfId="0">
      <alignment horizontal="center" vertical="center" wrapText="1"/>
    </xf>
    <xf numFmtId="0" fontId="16" fillId="11" borderId="29" applyAlignment="1" pivotButton="0" quotePrefix="0" xfId="0">
      <alignment horizontal="center" vertical="center" wrapText="1"/>
    </xf>
    <xf numFmtId="0" fontId="16" fillId="11" borderId="31" applyAlignment="1" pivotButton="0" quotePrefix="0" xfId="0">
      <alignment horizontal="center" vertical="center" wrapText="1"/>
    </xf>
    <xf numFmtId="0" fontId="16" fillId="11" borderId="9" applyAlignment="1" pivotButton="0" quotePrefix="0" xfId="0">
      <alignment horizontal="center" vertical="center" wrapText="1"/>
    </xf>
    <xf numFmtId="0" fontId="19" fillId="11" borderId="9" applyAlignment="1" pivotButton="0" quotePrefix="0" xfId="0">
      <alignment horizontal="center" vertical="center" wrapText="1"/>
    </xf>
    <xf numFmtId="0" fontId="19" fillId="11" borderId="25" applyAlignment="1" pivotButton="0" quotePrefix="0" xfId="0">
      <alignment horizontal="center" vertical="center" wrapText="1"/>
    </xf>
    <xf numFmtId="0" fontId="1" fillId="11" borderId="7" applyAlignment="1" pivotButton="0" quotePrefix="0" xfId="0">
      <alignment horizontal="center" vertical="center"/>
    </xf>
    <xf numFmtId="0" fontId="0" fillId="11" borderId="12" applyAlignment="1" pivotButton="0" quotePrefix="0" xfId="0">
      <alignment vertical="center"/>
    </xf>
    <xf numFmtId="0" fontId="16" fillId="11" borderId="23" applyAlignment="1" pivotButton="0" quotePrefix="0" xfId="0">
      <alignment vertical="center" wrapText="1"/>
    </xf>
    <xf numFmtId="0" fontId="16" fillId="11" borderId="8" applyAlignment="1" pivotButton="0" quotePrefix="0" xfId="0">
      <alignment vertical="center" wrapText="1"/>
    </xf>
    <xf numFmtId="0" fontId="4" fillId="11" borderId="7" applyAlignment="1" pivotButton="0" quotePrefix="0" xfId="0">
      <alignment horizontal="center" vertical="center"/>
    </xf>
    <xf numFmtId="0" fontId="4" fillId="11" borderId="14" applyAlignment="1" pivotButton="0" quotePrefix="0" xfId="0">
      <alignment horizontal="center" vertical="center"/>
    </xf>
    <xf numFmtId="0" fontId="19" fillId="11" borderId="29" applyAlignment="1" pivotButton="0" quotePrefix="0" xfId="0">
      <alignment horizontal="center" vertical="center" wrapText="1"/>
    </xf>
    <xf numFmtId="0" fontId="1" fillId="11" borderId="3" applyAlignment="1" pivotButton="0" quotePrefix="0" xfId="0">
      <alignment horizontal="center" vertical="center"/>
    </xf>
    <xf numFmtId="9" fontId="0" fillId="11" borderId="15" applyAlignment="1" pivotButton="0" quotePrefix="0" xfId="2">
      <alignment vertical="center"/>
    </xf>
    <xf numFmtId="0" fontId="26" fillId="11" borderId="11" applyAlignment="1" pivotButton="0" quotePrefix="0" xfId="0">
      <alignment horizontal="left" vertical="center" wrapText="1"/>
    </xf>
    <xf numFmtId="0" fontId="26" fillId="0" borderId="11" applyAlignment="1" pivotButton="0" quotePrefix="0" xfId="0">
      <alignment horizontal="left" vertical="center" wrapText="1"/>
    </xf>
    <xf numFmtId="0" fontId="26" fillId="8" borderId="11" applyAlignment="1" pivotButton="0" quotePrefix="0" xfId="0">
      <alignment horizontal="left" vertical="center" wrapText="1"/>
    </xf>
    <xf numFmtId="0" fontId="1" fillId="11" borderId="0" applyAlignment="1" pivotButton="0" quotePrefix="0" xfId="0">
      <alignment horizontal="center" vertical="center"/>
    </xf>
    <xf numFmtId="0" fontId="1" fillId="0" borderId="0" applyAlignment="1" pivotButton="0" quotePrefix="0" xfId="0">
      <alignment horizontal="center" vertical="center"/>
    </xf>
    <xf numFmtId="0" fontId="16" fillId="11" borderId="32" applyAlignment="1" pivotButton="0" quotePrefix="0" xfId="0">
      <alignment horizontal="center" vertical="center" wrapText="1"/>
    </xf>
    <xf numFmtId="0" fontId="16" fillId="11" borderId="25" applyAlignment="1" pivotButton="0" quotePrefix="0" xfId="0">
      <alignment vertical="center" wrapText="1"/>
    </xf>
    <xf numFmtId="0" fontId="6" fillId="11" borderId="0" applyAlignment="1" pivotButton="0" quotePrefix="0" xfId="0">
      <alignment horizontal="center" vertical="center"/>
    </xf>
    <xf numFmtId="0" fontId="6" fillId="0" borderId="0" applyAlignment="1" pivotButton="0" quotePrefix="0" xfId="0">
      <alignment horizontal="center" vertical="center"/>
    </xf>
    <xf numFmtId="0" fontId="0" fillId="11" borderId="0" applyAlignment="1" pivotButton="0" quotePrefix="0" xfId="0">
      <alignment vertical="center"/>
    </xf>
    <xf numFmtId="0" fontId="1" fillId="0" borderId="0" applyAlignment="1" pivotButton="0" quotePrefix="0" xfId="1">
      <alignment vertical="center"/>
    </xf>
    <xf numFmtId="0" fontId="1" fillId="11" borderId="49" applyAlignment="1" pivotButton="0" quotePrefix="0" xfId="1">
      <alignment vertical="center"/>
    </xf>
    <xf numFmtId="0" fontId="1" fillId="11" borderId="50" applyAlignment="1" pivotButton="0" quotePrefix="0" xfId="1">
      <alignment vertical="center"/>
    </xf>
    <xf numFmtId="0" fontId="1" fillId="11" borderId="0" applyAlignment="1" pivotButton="0" quotePrefix="0" xfId="1">
      <alignment vertical="center"/>
    </xf>
    <xf numFmtId="0" fontId="1" fillId="0" borderId="0" applyAlignment="1" pivotButton="0" quotePrefix="0" xfId="0">
      <alignment vertical="center"/>
    </xf>
    <xf numFmtId="0" fontId="1" fillId="11" borderId="0" applyAlignment="1" pivotButton="0" quotePrefix="0" xfId="0">
      <alignment vertical="center"/>
    </xf>
    <xf numFmtId="9" fontId="8" fillId="0" borderId="0" applyAlignment="1" pivotButton="0" quotePrefix="0" xfId="2">
      <alignment vertical="center"/>
    </xf>
    <xf numFmtId="9" fontId="8" fillId="11" borderId="0" applyAlignment="1" pivotButton="0" quotePrefix="0" xfId="2">
      <alignment vertical="center"/>
    </xf>
    <xf numFmtId="9" fontId="1" fillId="11" borderId="0" applyAlignment="1" pivotButton="0" quotePrefix="0" xfId="2">
      <alignment vertical="center"/>
    </xf>
    <xf numFmtId="0" fontId="0" fillId="0" borderId="0" applyAlignment="1" pivotButton="0" quotePrefix="0" xfId="0">
      <alignment horizontal="right" vertical="center"/>
    </xf>
    <xf numFmtId="0" fontId="1" fillId="0" borderId="3" applyAlignment="1" pivotButton="0" quotePrefix="0" xfId="0">
      <alignment horizontal="right" vertical="center"/>
    </xf>
    <xf numFmtId="0" fontId="1" fillId="0" borderId="0" applyAlignment="1" pivotButton="0" quotePrefix="0" xfId="0">
      <alignment horizontal="right" vertical="center"/>
    </xf>
    <xf numFmtId="0" fontId="4" fillId="11" borderId="8" applyAlignment="1" pivotButton="0" quotePrefix="0" xfId="0">
      <alignment horizontal="center" vertical="center"/>
    </xf>
    <xf numFmtId="0" fontId="8" fillId="0" borderId="7" applyAlignment="1" pivotButton="0" quotePrefix="0" xfId="0">
      <alignment horizontal="center" vertical="center"/>
    </xf>
    <xf numFmtId="0" fontId="16" fillId="0" borderId="32" applyAlignment="1" pivotButton="0" quotePrefix="0" xfId="0">
      <alignment horizontal="center" vertical="center" wrapText="1"/>
    </xf>
    <xf numFmtId="0" fontId="16" fillId="8" borderId="24" applyAlignment="1" pivotButton="0" quotePrefix="0" xfId="0">
      <alignment horizontal="center" vertical="center" wrapText="1"/>
    </xf>
    <xf numFmtId="0" fontId="16" fillId="11" borderId="26" applyAlignment="1" pivotButton="0" quotePrefix="0" xfId="0">
      <alignment horizontal="center" vertical="center" wrapText="1"/>
    </xf>
    <xf numFmtId="0" fontId="16" fillId="11" borderId="1" applyAlignment="1" pivotButton="0" quotePrefix="0" xfId="0">
      <alignment horizontal="center" vertical="center" wrapText="1"/>
    </xf>
    <xf numFmtId="0" fontId="16" fillId="11" borderId="10" applyAlignment="1" pivotButton="0" quotePrefix="0" xfId="0">
      <alignment horizontal="center" vertical="center" wrapText="1"/>
    </xf>
    <xf numFmtId="0" fontId="16" fillId="11" borderId="33" applyAlignment="1" pivotButton="0" quotePrefix="0" xfId="0">
      <alignment horizontal="center" vertical="center" wrapText="1"/>
    </xf>
    <xf numFmtId="0" fontId="16" fillId="8" borderId="9" applyAlignment="1" pivotButton="0" quotePrefix="0" xfId="0">
      <alignment horizontal="center" vertical="center" wrapText="1"/>
    </xf>
    <xf numFmtId="0" fontId="19" fillId="8" borderId="24" applyAlignment="1" pivotButton="0" quotePrefix="0" xfId="0">
      <alignment horizontal="center" vertical="center" wrapText="1"/>
    </xf>
    <xf numFmtId="0" fontId="19" fillId="11" borderId="26" applyAlignment="1" pivotButton="0" quotePrefix="0" xfId="0">
      <alignment horizontal="center" vertical="center" wrapText="1"/>
    </xf>
    <xf numFmtId="0" fontId="19" fillId="8" borderId="9" applyAlignment="1" pivotButton="0" quotePrefix="0" xfId="0">
      <alignment horizontal="center" vertical="center" wrapText="1"/>
    </xf>
    <xf numFmtId="0" fontId="0" fillId="11" borderId="21" pivotButton="0" quotePrefix="0" xfId="0"/>
    <xf numFmtId="0" fontId="0" fillId="11" borderId="21" applyAlignment="1" pivotButton="0" quotePrefix="0" xfId="0">
      <alignment vertical="center"/>
    </xf>
    <xf numFmtId="0" fontId="1" fillId="0" borderId="19" applyAlignment="1" pivotButton="0" quotePrefix="0" xfId="0">
      <alignment vertical="center"/>
    </xf>
    <xf numFmtId="0" fontId="1" fillId="0" borderId="49" applyAlignment="1" pivotButton="0" quotePrefix="0" xfId="1">
      <alignment vertical="center"/>
    </xf>
    <xf numFmtId="0" fontId="1" fillId="0" borderId="51" applyAlignment="1" pivotButton="0" quotePrefix="0" xfId="1">
      <alignment vertical="center"/>
    </xf>
    <xf numFmtId="0" fontId="1" fillId="2" borderId="2" applyAlignment="1" pivotButton="0" quotePrefix="0" xfId="0">
      <alignment horizontal="center" vertical="center"/>
    </xf>
    <xf numFmtId="0" fontId="1" fillId="3" borderId="2" applyAlignment="1" pivotButton="0" quotePrefix="0" xfId="0">
      <alignment vertical="center"/>
    </xf>
    <xf numFmtId="0" fontId="1" fillId="0" borderId="2" pivotButton="0" quotePrefix="0" xfId="0"/>
    <xf numFmtId="0" fontId="1" fillId="0" borderId="2" applyAlignment="1" pivotButton="0" quotePrefix="0" xfId="0">
      <alignment horizontal="right"/>
    </xf>
    <xf numFmtId="0" fontId="1" fillId="7" borderId="0" applyAlignment="1" pivotButton="0" quotePrefix="0" xfId="0">
      <alignment horizontal="right" vertical="center"/>
    </xf>
    <xf numFmtId="9" fontId="3" fillId="0" borderId="0" applyAlignment="1" pivotButton="0" quotePrefix="0" xfId="0">
      <alignment horizontal="center" vertical="center"/>
    </xf>
    <xf numFmtId="9" fontId="3" fillId="0" borderId="7" applyAlignment="1" pivotButton="0" quotePrefix="0" xfId="0">
      <alignment horizontal="center" vertical="center"/>
    </xf>
    <xf numFmtId="0" fontId="0" fillId="12" borderId="0" pivotButton="0" quotePrefix="0" xfId="0"/>
    <xf numFmtId="0" fontId="27" fillId="12" borderId="0" pivotButton="0" quotePrefix="0" xfId="0"/>
    <xf numFmtId="0" fontId="27" fillId="0" borderId="0" pivotButton="0" quotePrefix="0" xfId="0"/>
    <xf numFmtId="0" fontId="0" fillId="12" borderId="0" applyAlignment="1" pivotButton="0" quotePrefix="0" xfId="0">
      <alignment vertical="center"/>
    </xf>
    <xf numFmtId="0" fontId="28" fillId="12" borderId="0" pivotButton="0" quotePrefix="0" xfId="0"/>
    <xf numFmtId="0" fontId="28" fillId="0" borderId="0" pivotButton="0" quotePrefix="0" xfId="0"/>
    <xf numFmtId="0" fontId="22" fillId="12" borderId="0" pivotButton="0" quotePrefix="0" xfId="0"/>
    <xf numFmtId="0" fontId="8" fillId="0" borderId="0" pivotButton="0" quotePrefix="0" xfId="0"/>
    <xf numFmtId="0" fontId="29" fillId="12" borderId="0" pivotButton="0" quotePrefix="0" xfId="0"/>
    <xf numFmtId="0" fontId="8" fillId="12" borderId="0" pivotButton="0" quotePrefix="0" xfId="0"/>
    <xf numFmtId="0" fontId="0" fillId="13" borderId="0" pivotButton="0" quotePrefix="0" xfId="0"/>
    <xf numFmtId="0" fontId="0" fillId="14" borderId="0" pivotButton="0" quotePrefix="0" xfId="0"/>
    <xf numFmtId="0" fontId="30" fillId="14" borderId="0" pivotButton="0" quotePrefix="0" xfId="0"/>
    <xf numFmtId="0" fontId="0" fillId="14" borderId="0" applyAlignment="1" pivotButton="0" quotePrefix="0" xfId="0">
      <alignment vertical="center"/>
    </xf>
    <xf numFmtId="0" fontId="30" fillId="0" borderId="0" pivotButton="0" quotePrefix="0" xfId="0"/>
    <xf numFmtId="0" fontId="0" fillId="0" borderId="7" applyAlignment="1" pivotButton="0" quotePrefix="0" xfId="0">
      <alignment vertical="center"/>
    </xf>
    <xf numFmtId="0" fontId="9" fillId="0" borderId="3" pivotButton="0" quotePrefix="0" xfId="0"/>
    <xf numFmtId="0" fontId="9" fillId="0" borderId="3" applyAlignment="1" pivotButton="0" quotePrefix="0" xfId="0">
      <alignment vertical="center"/>
    </xf>
    <xf numFmtId="0" fontId="0" fillId="0" borderId="52" applyAlignment="1" pivotButton="0" quotePrefix="0" xfId="0">
      <alignment vertical="center"/>
    </xf>
    <xf numFmtId="0" fontId="9" fillId="0" borderId="53" pivotButton="0" quotePrefix="0" xfId="0"/>
    <xf numFmtId="0" fontId="9" fillId="0" borderId="52" applyAlignment="1" pivotButton="0" quotePrefix="0" xfId="0">
      <alignment vertical="center"/>
    </xf>
    <xf numFmtId="0" fontId="9" fillId="0" borderId="54" applyAlignment="1" pivotButton="0" quotePrefix="0" xfId="0">
      <alignment vertical="center"/>
    </xf>
    <xf numFmtId="0" fontId="0" fillId="15" borderId="0" pivotButton="0" quotePrefix="0" xfId="0"/>
    <xf numFmtId="0" fontId="31" fillId="15" borderId="0" pivotButton="0" quotePrefix="0" xfId="0"/>
    <xf numFmtId="0" fontId="0" fillId="15" borderId="0" applyAlignment="1" pivotButton="0" quotePrefix="0" xfId="0">
      <alignment vertical="center"/>
    </xf>
    <xf numFmtId="0" fontId="31" fillId="0" borderId="0" pivotButton="0" quotePrefix="0" xfId="0"/>
    <xf numFmtId="0" fontId="0" fillId="10" borderId="0" pivotButton="0" quotePrefix="0" xfId="0"/>
    <xf numFmtId="0" fontId="9" fillId="0" borderId="45" applyAlignment="1" pivotButton="0" quotePrefix="0" xfId="0">
      <alignment vertical="center"/>
    </xf>
    <xf numFmtId="0" fontId="0" fillId="0" borderId="45" applyAlignment="1" pivotButton="0" quotePrefix="0" xfId="0">
      <alignment vertical="center"/>
    </xf>
    <xf numFmtId="0" fontId="0" fillId="0" borderId="56" applyAlignment="1" pivotButton="0" quotePrefix="0" xfId="0">
      <alignment vertical="center"/>
    </xf>
    <xf numFmtId="0" fontId="0" fillId="0" borderId="55" applyAlignment="1" pivotButton="0" quotePrefix="0" xfId="0">
      <alignment vertical="center"/>
    </xf>
    <xf numFmtId="0" fontId="21" fillId="0" borderId="0" applyAlignment="1" pivotButton="0" quotePrefix="0" xfId="4">
      <alignment vertical="center"/>
    </xf>
    <xf numFmtId="0" fontId="0" fillId="10" borderId="0" applyAlignment="1" pivotButton="0" quotePrefix="0" xfId="0">
      <alignment vertical="center"/>
    </xf>
    <xf numFmtId="0" fontId="9" fillId="0" borderId="52" pivotButton="0" quotePrefix="0" xfId="0"/>
    <xf numFmtId="0" fontId="0" fillId="16" borderId="0" applyAlignment="1" pivotButton="0" quotePrefix="0" xfId="0">
      <alignment vertical="center"/>
    </xf>
    <xf numFmtId="0" fontId="0" fillId="16" borderId="0" pivotButton="0" quotePrefix="0" xfId="0"/>
    <xf numFmtId="0" fontId="31" fillId="16" borderId="0" pivotButton="0" quotePrefix="0" xfId="0"/>
    <xf numFmtId="0" fontId="0" fillId="0" borderId="0" applyAlignment="1" pivotButton="0" quotePrefix="0" xfId="0">
      <alignment vertical="center"/>
    </xf>
    <xf numFmtId="0" fontId="9" fillId="0" borderId="0" pivotButton="0" quotePrefix="0" xfId="0"/>
    <xf numFmtId="0" fontId="0" fillId="0" borderId="45" pivotButton="0" quotePrefix="0" xfId="0"/>
    <xf numFmtId="0" fontId="0" fillId="0" borderId="54" applyAlignment="1" pivotButton="0" quotePrefix="0" xfId="0">
      <alignment vertical="center"/>
    </xf>
    <xf numFmtId="0" fontId="9" fillId="0" borderId="56" applyAlignment="1" pivotButton="0" quotePrefix="0" xfId="0">
      <alignment vertical="center"/>
    </xf>
    <xf numFmtId="0" fontId="9" fillId="0" borderId="0" applyAlignment="1" pivotButton="0" quotePrefix="0" xfId="0">
      <alignment vertical="center"/>
    </xf>
    <xf numFmtId="0" fontId="9" fillId="0" borderId="7" applyAlignment="1" pivotButton="0" quotePrefix="0" xfId="0">
      <alignment vertical="center"/>
    </xf>
    <xf numFmtId="0" fontId="0" fillId="15" borderId="0" applyAlignment="1" pivotButton="0" quotePrefix="0" xfId="0">
      <alignment horizontal="center"/>
    </xf>
    <xf numFmtId="0" fontId="0" fillId="0" borderId="0" applyAlignment="1" pivotButton="0" quotePrefix="0" xfId="0">
      <alignment horizontal="center"/>
    </xf>
    <xf numFmtId="0" fontId="0" fillId="16" borderId="0" applyAlignment="1" pivotButton="0" quotePrefix="0" xfId="0">
      <alignment horizontal="center"/>
    </xf>
    <xf numFmtId="0" fontId="9" fillId="15" borderId="0" applyAlignment="1" pivotButton="0" quotePrefix="0" xfId="0">
      <alignment horizontal="center"/>
    </xf>
    <xf numFmtId="0" fontId="0" fillId="16" borderId="0" applyAlignment="1" pivotButton="0" quotePrefix="0" xfId="0">
      <alignment horizontal="center" vertical="center"/>
    </xf>
    <xf numFmtId="0" fontId="0" fillId="7" borderId="0" applyAlignment="1" pivotButton="0" quotePrefix="0" xfId="0">
      <alignment horizontal="left" vertical="center"/>
    </xf>
    <xf numFmtId="0" fontId="22" fillId="16" borderId="0" pivotButton="0" quotePrefix="0" xfId="0"/>
    <xf numFmtId="49" fontId="0" fillId="0" borderId="0" pivotButton="0" quotePrefix="0" xfId="0"/>
    <xf numFmtId="49" fontId="8" fillId="0" borderId="0" applyAlignment="1" pivotButton="0" quotePrefix="0" xfId="0">
      <alignment vertical="center"/>
    </xf>
    <xf numFmtId="49" fontId="0" fillId="15" borderId="0" pivotButton="0" quotePrefix="0" xfId="0"/>
    <xf numFmtId="49" fontId="0" fillId="15" borderId="0" applyAlignment="1" pivotButton="0" quotePrefix="0" xfId="0">
      <alignment vertical="center"/>
    </xf>
    <xf numFmtId="49" fontId="0" fillId="0" borderId="0" applyAlignment="1" pivotButton="0" quotePrefix="0" xfId="0">
      <alignment vertical="center"/>
    </xf>
    <xf numFmtId="49" fontId="8" fillId="16" borderId="0" applyAlignment="1" pivotButton="0" quotePrefix="0" xfId="0">
      <alignment vertical="center"/>
    </xf>
    <xf numFmtId="49" fontId="8" fillId="16" borderId="0" pivotButton="0" quotePrefix="0" xfId="0"/>
    <xf numFmtId="0" fontId="0" fillId="0" borderId="2" pivotButton="0" quotePrefix="0" xfId="0"/>
    <xf numFmtId="0" fontId="0" fillId="0" borderId="0" pivotButton="0" quotePrefix="0" xfId="0"/>
    <xf numFmtId="9" fontId="1" fillId="0" borderId="0" applyAlignment="1" pivotButton="0" quotePrefix="0" xfId="2">
      <alignment vertical="center"/>
    </xf>
    <xf numFmtId="164" fontId="0" fillId="0" borderId="0" applyAlignment="1" pivotButton="0" quotePrefix="0" xfId="1">
      <alignment vertical="center"/>
    </xf>
    <xf numFmtId="164" fontId="16" fillId="11" borderId="23" applyAlignment="1" pivotButton="0" quotePrefix="0" xfId="1">
      <alignment horizontal="center" vertical="center" wrapText="1"/>
    </xf>
    <xf numFmtId="164" fontId="16" fillId="11" borderId="23" applyAlignment="1" pivotButton="0" quotePrefix="0" xfId="1">
      <alignment vertical="center" wrapText="1"/>
    </xf>
    <xf numFmtId="164" fontId="15" fillId="11" borderId="21" applyAlignment="1" pivotButton="0" quotePrefix="0" xfId="0">
      <alignment horizontal="center" vertical="center"/>
    </xf>
    <xf numFmtId="164" fontId="16" fillId="11" borderId="35" applyAlignment="1" pivotButton="0" quotePrefix="0" xfId="1">
      <alignment vertical="center" wrapText="1"/>
    </xf>
    <xf numFmtId="164" fontId="1" fillId="11" borderId="21" applyAlignment="1" pivotButton="0" quotePrefix="0" xfId="1">
      <alignment vertical="center"/>
    </xf>
    <xf numFmtId="164" fontId="1" fillId="11" borderId="12" applyAlignment="1" pivotButton="0" quotePrefix="0" xfId="1">
      <alignment vertical="center"/>
    </xf>
    <xf numFmtId="164" fontId="1" fillId="11" borderId="12" applyAlignment="1" pivotButton="0" quotePrefix="0" xfId="0">
      <alignment vertical="center"/>
    </xf>
    <xf numFmtId="164" fontId="16" fillId="11" borderId="8" applyAlignment="1" pivotButton="0" quotePrefix="0" xfId="1">
      <alignment horizontal="center" vertical="center" wrapText="1"/>
    </xf>
    <xf numFmtId="164" fontId="16" fillId="11" borderId="8" applyAlignment="1" pivotButton="0" quotePrefix="0" xfId="1">
      <alignment vertical="center" wrapText="1"/>
    </xf>
    <xf numFmtId="164" fontId="16" fillId="11" borderId="36" applyAlignment="1" pivotButton="0" quotePrefix="0" xfId="1">
      <alignment vertical="center" wrapText="1"/>
    </xf>
    <xf numFmtId="164" fontId="1" fillId="11" borderId="0" applyAlignment="1" pivotButton="0" quotePrefix="0" xfId="1">
      <alignment vertical="center"/>
    </xf>
    <xf numFmtId="164" fontId="1" fillId="11" borderId="0" applyAlignment="1" pivotButton="0" quotePrefix="0" xfId="0">
      <alignment vertical="center"/>
    </xf>
    <xf numFmtId="164" fontId="16" fillId="0" borderId="24" applyAlignment="1" pivotButton="0" quotePrefix="0" xfId="1">
      <alignment horizontal="center" vertical="center" wrapText="1"/>
    </xf>
    <xf numFmtId="164" fontId="16" fillId="0" borderId="24" applyAlignment="1" pivotButton="0" quotePrefix="0" xfId="1">
      <alignment vertical="center" wrapText="1"/>
    </xf>
    <xf numFmtId="164" fontId="15" fillId="7" borderId="21" applyAlignment="1" pivotButton="0" quotePrefix="0" xfId="0">
      <alignment horizontal="center" vertical="center"/>
    </xf>
    <xf numFmtId="164" fontId="16" fillId="0" borderId="37" applyAlignment="1" pivotButton="0" quotePrefix="0" xfId="1">
      <alignment vertical="center" wrapText="1"/>
    </xf>
    <xf numFmtId="164" fontId="1" fillId="0" borderId="21" applyAlignment="1" pivotButton="0" quotePrefix="0" xfId="1">
      <alignment vertical="center"/>
    </xf>
    <xf numFmtId="164" fontId="16" fillId="0" borderId="23" applyAlignment="1" pivotButton="0" quotePrefix="0" xfId="1">
      <alignment horizontal="center" vertical="center" wrapText="1"/>
    </xf>
    <xf numFmtId="164" fontId="16" fillId="0" borderId="23" applyAlignment="1" pivotButton="0" quotePrefix="0" xfId="1">
      <alignment vertical="center" wrapText="1"/>
    </xf>
    <xf numFmtId="164" fontId="16" fillId="0" borderId="35" applyAlignment="1" pivotButton="0" quotePrefix="0" xfId="1">
      <alignment vertical="center" wrapText="1"/>
    </xf>
    <xf numFmtId="164" fontId="16" fillId="0" borderId="8" applyAlignment="1" pivotButton="0" quotePrefix="0" xfId="1">
      <alignment horizontal="center" vertical="center" wrapText="1"/>
    </xf>
    <xf numFmtId="164" fontId="16" fillId="0" borderId="8" applyAlignment="1" pivotButton="0" quotePrefix="0" xfId="1">
      <alignment vertical="center" wrapText="1"/>
    </xf>
    <xf numFmtId="164" fontId="16" fillId="0" borderId="36" applyAlignment="1" pivotButton="0" quotePrefix="0" xfId="1">
      <alignment vertical="center" wrapText="1"/>
    </xf>
    <xf numFmtId="164" fontId="16" fillId="11" borderId="24" applyAlignment="1" pivotButton="0" quotePrefix="0" xfId="1">
      <alignment horizontal="center" vertical="center" wrapText="1"/>
    </xf>
    <xf numFmtId="164" fontId="16" fillId="11" borderId="24" applyAlignment="1" pivotButton="0" quotePrefix="0" xfId="1">
      <alignment vertical="center" wrapText="1"/>
    </xf>
    <xf numFmtId="164" fontId="16" fillId="11" borderId="37" applyAlignment="1" pivotButton="0" quotePrefix="0" xfId="1">
      <alignment vertical="center" wrapText="1"/>
    </xf>
    <xf numFmtId="164" fontId="16" fillId="0" borderId="0" applyAlignment="1" pivotButton="0" quotePrefix="0" xfId="1">
      <alignment horizontal="center" vertical="center" wrapText="1"/>
    </xf>
    <xf numFmtId="164" fontId="0" fillId="0" borderId="0" applyAlignment="1" pivotButton="0" quotePrefix="0" xfId="0">
      <alignment vertical="center"/>
    </xf>
    <xf numFmtId="164" fontId="16" fillId="0" borderId="25" applyAlignment="1" pivotButton="0" quotePrefix="0" xfId="1">
      <alignment horizontal="center" vertical="center" wrapText="1"/>
    </xf>
    <xf numFmtId="164" fontId="16" fillId="0" borderId="25" applyAlignment="1" pivotButton="0" quotePrefix="0" xfId="1">
      <alignment vertical="center" wrapText="1"/>
    </xf>
    <xf numFmtId="164" fontId="16" fillId="0" borderId="38" applyAlignment="1" pivotButton="0" quotePrefix="0" xfId="1">
      <alignment vertical="center" wrapText="1"/>
    </xf>
    <xf numFmtId="164" fontId="16" fillId="8" borderId="0" applyAlignment="1" pivotButton="0" quotePrefix="0" xfId="1">
      <alignment horizontal="center" vertical="center" wrapText="1"/>
    </xf>
    <xf numFmtId="164" fontId="16" fillId="11" borderId="0" applyAlignment="1" pivotButton="0" quotePrefix="0" xfId="1">
      <alignment horizontal="center" vertical="center" wrapText="1"/>
    </xf>
    <xf numFmtId="164" fontId="0" fillId="11" borderId="0" applyAlignment="1" pivotButton="0" quotePrefix="0" xfId="0">
      <alignment vertical="center"/>
    </xf>
    <xf numFmtId="164" fontId="16" fillId="11" borderId="9" applyAlignment="1" pivotButton="0" quotePrefix="0" xfId="1">
      <alignment horizontal="center" vertical="center" wrapText="1"/>
    </xf>
    <xf numFmtId="164" fontId="16" fillId="11" borderId="9" applyAlignment="1" pivotButton="0" quotePrefix="0" xfId="1">
      <alignment vertical="center" wrapText="1"/>
    </xf>
    <xf numFmtId="164" fontId="16" fillId="11" borderId="39" applyAlignment="1" pivotButton="0" quotePrefix="0" xfId="1">
      <alignment vertical="center" wrapText="1"/>
    </xf>
    <xf numFmtId="164" fontId="16" fillId="11" borderId="26" applyAlignment="1" pivotButton="0" quotePrefix="0" xfId="1">
      <alignment horizontal="center" vertical="center" wrapText="1"/>
    </xf>
    <xf numFmtId="164" fontId="16" fillId="11" borderId="26" applyAlignment="1" pivotButton="0" quotePrefix="0" xfId="1">
      <alignment vertical="center" wrapText="1"/>
    </xf>
    <xf numFmtId="164" fontId="16" fillId="11" borderId="40" applyAlignment="1" pivotButton="0" quotePrefix="0" xfId="1">
      <alignment vertical="center" wrapText="1"/>
    </xf>
    <xf numFmtId="164" fontId="16" fillId="11" borderId="25" applyAlignment="1" pivotButton="0" quotePrefix="0" xfId="1">
      <alignment horizontal="center" vertical="center" wrapText="1"/>
    </xf>
    <xf numFmtId="164" fontId="16" fillId="11" borderId="25" applyAlignment="1" pivotButton="0" quotePrefix="0" xfId="1">
      <alignment vertical="center" wrapText="1"/>
    </xf>
    <xf numFmtId="164" fontId="16" fillId="11" borderId="38" applyAlignment="1" pivotButton="0" quotePrefix="0" xfId="1">
      <alignment vertical="center" wrapText="1"/>
    </xf>
    <xf numFmtId="164" fontId="16" fillId="0" borderId="9" applyAlignment="1" pivotButton="0" quotePrefix="0" xfId="1">
      <alignment horizontal="center" vertical="center" wrapText="1"/>
    </xf>
    <xf numFmtId="164" fontId="16" fillId="0" borderId="9" applyAlignment="1" pivotButton="0" quotePrefix="0" xfId="1">
      <alignment vertical="center" wrapText="1"/>
    </xf>
    <xf numFmtId="164" fontId="16" fillId="0" borderId="39" applyAlignment="1" pivotButton="0" quotePrefix="0" xfId="1">
      <alignment vertical="center" wrapText="1"/>
    </xf>
    <xf numFmtId="164" fontId="16" fillId="8" borderId="8" applyAlignment="1" pivotButton="0" quotePrefix="0" xfId="1">
      <alignment horizontal="center" vertical="center" wrapText="1"/>
    </xf>
    <xf numFmtId="164" fontId="16" fillId="8" borderId="8" applyAlignment="1" pivotButton="0" quotePrefix="0" xfId="1">
      <alignment vertical="center" wrapText="1"/>
    </xf>
    <xf numFmtId="164" fontId="16" fillId="8" borderId="36" applyAlignment="1" pivotButton="0" quotePrefix="0" xfId="1">
      <alignment vertical="center" wrapText="1"/>
    </xf>
    <xf numFmtId="164" fontId="16" fillId="8" borderId="24" applyAlignment="1" pivotButton="0" quotePrefix="0" xfId="1">
      <alignment horizontal="center" vertical="center" wrapText="1"/>
    </xf>
    <xf numFmtId="164" fontId="16" fillId="8" borderId="24" applyAlignment="1" pivotButton="0" quotePrefix="0" xfId="1">
      <alignment vertical="center" wrapText="1"/>
    </xf>
    <xf numFmtId="164" fontId="16" fillId="8" borderId="37" applyAlignment="1" pivotButton="0" quotePrefix="0" xfId="1">
      <alignment vertical="center" wrapText="1"/>
    </xf>
    <xf numFmtId="164" fontId="16" fillId="8" borderId="23" applyAlignment="1" pivotButton="0" quotePrefix="0" xfId="1">
      <alignment horizontal="center" vertical="center" wrapText="1"/>
    </xf>
    <xf numFmtId="164" fontId="16" fillId="8" borderId="23" applyAlignment="1" pivotButton="0" quotePrefix="0" xfId="1">
      <alignment vertical="center" wrapText="1"/>
    </xf>
    <xf numFmtId="164" fontId="16" fillId="8" borderId="35" applyAlignment="1" pivotButton="0" quotePrefix="0" xfId="1">
      <alignment vertical="center" wrapText="1"/>
    </xf>
    <xf numFmtId="164" fontId="16" fillId="8" borderId="9" applyAlignment="1" pivotButton="0" quotePrefix="0" xfId="1">
      <alignment horizontal="center" vertical="center" wrapText="1"/>
    </xf>
    <xf numFmtId="164" fontId="16" fillId="8" borderId="9" applyAlignment="1" pivotButton="0" quotePrefix="0" xfId="1">
      <alignment vertical="center" wrapText="1"/>
    </xf>
    <xf numFmtId="164" fontId="16" fillId="11" borderId="29" applyAlignment="1" pivotButton="0" quotePrefix="0" xfId="1">
      <alignment horizontal="center" vertical="center" wrapText="1"/>
    </xf>
    <xf numFmtId="164" fontId="16" fillId="11" borderId="29" applyAlignment="1" pivotButton="0" quotePrefix="0" xfId="1">
      <alignment vertical="center" wrapText="1"/>
    </xf>
    <xf numFmtId="164" fontId="1" fillId="0" borderId="0" applyAlignment="1" pivotButton="0" quotePrefix="0" xfId="1">
      <alignment vertical="center"/>
    </xf>
    <xf numFmtId="164" fontId="1" fillId="0" borderId="0" applyAlignment="1" pivotButton="0" quotePrefix="0" xfId="0">
      <alignment vertical="center"/>
    </xf>
    <xf numFmtId="164" fontId="1" fillId="0" borderId="50" applyAlignment="1" pivotButton="0" quotePrefix="0" xfId="1">
      <alignment vertical="center"/>
    </xf>
    <xf numFmtId="164" fontId="1" fillId="0" borderId="12" applyAlignment="1" pivotButton="0" quotePrefix="0" xfId="0">
      <alignment vertical="center"/>
    </xf>
    <xf numFmtId="164" fontId="1" fillId="0" borderId="18" applyAlignment="1" pivotButton="0" quotePrefix="0" xfId="1">
      <alignment vertical="center"/>
    </xf>
    <xf numFmtId="164" fontId="1" fillId="0" borderId="18" applyAlignment="1" pivotButton="0" quotePrefix="0" xfId="0">
      <alignment vertical="center"/>
    </xf>
    <xf numFmtId="164" fontId="16" fillId="11" borderId="37" applyAlignment="1" pivotButton="0" quotePrefix="0" xfId="1">
      <alignment horizontal="center" vertical="center" wrapText="1"/>
    </xf>
    <xf numFmtId="164" fontId="1" fillId="11" borderId="51" applyAlignment="1" pivotButton="0" quotePrefix="0" xfId="1">
      <alignment vertical="center"/>
    </xf>
    <xf numFmtId="164" fontId="1" fillId="11" borderId="49" applyAlignment="1" pivotButton="0" quotePrefix="0" xfId="1">
      <alignment vertical="center"/>
    </xf>
    <xf numFmtId="164" fontId="1" fillId="11" borderId="50" applyAlignment="1" pivotButton="0" quotePrefix="0" xfId="1">
      <alignment vertical="center"/>
    </xf>
    <xf numFmtId="164" fontId="16" fillId="9" borderId="25" applyAlignment="1" pivotButton="0" quotePrefix="0" xfId="1">
      <alignment horizontal="center" vertical="center" wrapText="1"/>
    </xf>
    <xf numFmtId="164" fontId="16" fillId="9" borderId="25" applyAlignment="1" pivotButton="0" quotePrefix="0" xfId="1">
      <alignment vertical="center" wrapText="1"/>
    </xf>
    <xf numFmtId="164" fontId="15" fillId="7" borderId="43" applyAlignment="1" pivotButton="0" quotePrefix="0" xfId="0">
      <alignment horizontal="center" vertical="center"/>
    </xf>
    <xf numFmtId="164" fontId="16" fillId="9" borderId="38" applyAlignment="1" pivotButton="0" quotePrefix="0" xfId="1">
      <alignment vertical="center" wrapText="1"/>
    </xf>
    <xf numFmtId="164" fontId="0" fillId="0" borderId="21" applyAlignment="1" pivotButton="0" quotePrefix="0" xfId="1">
      <alignment vertical="center"/>
    </xf>
    <xf numFmtId="164" fontId="16" fillId="10" borderId="8" applyAlignment="1" pivotButton="0" quotePrefix="0" xfId="1">
      <alignment horizontal="center" vertical="center" wrapText="1"/>
    </xf>
    <xf numFmtId="164" fontId="16" fillId="10" borderId="8" applyAlignment="1" pivotButton="0" quotePrefix="0" xfId="1">
      <alignment vertical="center" wrapText="1"/>
    </xf>
    <xf numFmtId="164" fontId="0" fillId="10" borderId="21" applyAlignment="1" pivotButton="0" quotePrefix="0" xfId="1">
      <alignment vertical="center"/>
    </xf>
    <xf numFmtId="164" fontId="16" fillId="9" borderId="8" applyAlignment="1" pivotButton="0" quotePrefix="0" xfId="1">
      <alignment horizontal="center" vertical="center" wrapText="1"/>
    </xf>
    <xf numFmtId="164" fontId="16" fillId="9" borderId="8" applyAlignment="1" pivotButton="0" quotePrefix="0" xfId="1">
      <alignment vertical="center" wrapText="1"/>
    </xf>
    <xf numFmtId="164" fontId="16" fillId="9" borderId="0" applyAlignment="1" pivotButton="0" quotePrefix="0" xfId="1">
      <alignment horizontal="center" vertical="center" wrapText="1"/>
    </xf>
    <xf numFmtId="164" fontId="16" fillId="9" borderId="0" applyAlignment="1" pivotButton="0" quotePrefix="0" xfId="1">
      <alignment vertical="center" wrapText="1"/>
    </xf>
    <xf numFmtId="164" fontId="0" fillId="10" borderId="0" applyAlignment="1" pivotButton="0" quotePrefix="0" xfId="1">
      <alignment vertical="center"/>
    </xf>
    <xf numFmtId="164" fontId="8" fillId="10" borderId="8" applyAlignment="1" pivotButton="0" quotePrefix="0" xfId="1">
      <alignment vertical="center" wrapText="1"/>
    </xf>
    <xf numFmtId="164" fontId="8" fillId="9" borderId="8" applyAlignment="1" pivotButton="0" quotePrefix="0" xfId="1">
      <alignment vertical="center" wrapText="1"/>
    </xf>
    <xf numFmtId="164" fontId="16" fillId="10" borderId="30" applyAlignment="1" pivotButton="0" quotePrefix="0" xfId="1">
      <alignment horizontal="center" vertical="center" wrapText="1"/>
    </xf>
    <xf numFmtId="164" fontId="8" fillId="10" borderId="30" applyAlignment="1" pivotButton="0" quotePrefix="0" xfId="1">
      <alignment vertical="center" wrapText="1"/>
    </xf>
    <xf numFmtId="164" fontId="16" fillId="10" borderId="30" applyAlignment="1" pivotButton="0" quotePrefix="0" xfId="1">
      <alignment vertical="center" wrapText="1"/>
    </xf>
    <xf numFmtId="164" fontId="16" fillId="10" borderId="41" applyAlignment="1" pivotButton="0" quotePrefix="0" xfId="1">
      <alignment vertical="center" wrapText="1"/>
    </xf>
    <xf numFmtId="164" fontId="16" fillId="10" borderId="36" applyAlignment="1" pivotButton="0" quotePrefix="0" xfId="1">
      <alignment vertical="center" wrapText="1"/>
    </xf>
    <xf numFmtId="164" fontId="16" fillId="9" borderId="24" applyAlignment="1" pivotButton="0" quotePrefix="0" xfId="1">
      <alignment horizontal="center" vertical="center" wrapText="1"/>
    </xf>
    <xf numFmtId="164" fontId="16" fillId="9" borderId="24" applyAlignment="1" pivotButton="0" quotePrefix="0" xfId="1">
      <alignment vertical="center" wrapText="1"/>
    </xf>
    <xf numFmtId="164" fontId="16" fillId="9" borderId="37" applyAlignment="1" pivotButton="0" quotePrefix="0" xfId="1">
      <alignment vertical="center" wrapText="1"/>
    </xf>
    <xf numFmtId="164" fontId="16" fillId="9" borderId="23" applyAlignment="1" pivotButton="0" quotePrefix="0" xfId="1">
      <alignment horizontal="center" vertical="center" wrapText="1"/>
    </xf>
    <xf numFmtId="164" fontId="16" fillId="9" borderId="23" applyAlignment="1" pivotButton="0" quotePrefix="0" xfId="1">
      <alignment vertical="center" wrapText="1"/>
    </xf>
    <xf numFmtId="164" fontId="16" fillId="9" borderId="35" applyAlignment="1" pivotButton="0" quotePrefix="0" xfId="1">
      <alignment vertical="center" wrapText="1"/>
    </xf>
    <xf numFmtId="164" fontId="8" fillId="9" borderId="24" applyAlignment="1" pivotButton="0" quotePrefix="0" xfId="1">
      <alignment vertical="center" wrapText="1"/>
    </xf>
    <xf numFmtId="164" fontId="16" fillId="10" borderId="23" applyAlignment="1" pivotButton="0" quotePrefix="0" xfId="1">
      <alignment vertical="center" wrapText="1"/>
    </xf>
    <xf numFmtId="164" fontId="16" fillId="10" borderId="35" applyAlignment="1" pivotButton="0" quotePrefix="0" xfId="1">
      <alignment vertical="center" wrapText="1"/>
    </xf>
    <xf numFmtId="164" fontId="16" fillId="10" borderId="9" applyAlignment="1" pivotButton="0" quotePrefix="0" xfId="1">
      <alignment horizontal="center" vertical="center" wrapText="1"/>
    </xf>
    <xf numFmtId="164" fontId="8" fillId="10" borderId="9" applyAlignment="1" pivotButton="0" quotePrefix="0" xfId="1">
      <alignment vertical="center" wrapText="1"/>
    </xf>
    <xf numFmtId="164" fontId="16" fillId="10" borderId="9" applyAlignment="1" pivotButton="0" quotePrefix="0" xfId="1">
      <alignment vertical="center" wrapText="1"/>
    </xf>
    <xf numFmtId="164" fontId="16" fillId="10" borderId="39" applyAlignment="1" pivotButton="0" quotePrefix="0" xfId="1">
      <alignment vertical="center" wrapText="1"/>
    </xf>
    <xf numFmtId="164" fontId="16" fillId="10" borderId="23" applyAlignment="1" pivotButton="0" quotePrefix="0" xfId="1">
      <alignment horizontal="center" vertical="center" wrapText="1"/>
    </xf>
    <xf numFmtId="164" fontId="8" fillId="10" borderId="23" applyAlignment="1" pivotButton="0" quotePrefix="0" xfId="1">
      <alignment vertical="center" wrapText="1"/>
    </xf>
    <xf numFmtId="164" fontId="16" fillId="9" borderId="36" applyAlignment="1" pivotButton="0" quotePrefix="0" xfId="1">
      <alignment vertical="center" wrapText="1"/>
    </xf>
    <xf numFmtId="164" fontId="16" fillId="10" borderId="24" applyAlignment="1" pivotButton="0" quotePrefix="0" xfId="1">
      <alignment horizontal="center" vertical="center" wrapText="1"/>
    </xf>
    <xf numFmtId="164" fontId="8" fillId="10" borderId="24" applyAlignment="1" pivotButton="0" quotePrefix="0" xfId="1">
      <alignment vertical="center" wrapText="1"/>
    </xf>
    <xf numFmtId="164" fontId="16" fillId="10" borderId="24" applyAlignment="1" pivotButton="0" quotePrefix="0" xfId="1">
      <alignment vertical="center" wrapText="1"/>
    </xf>
    <xf numFmtId="164" fontId="16" fillId="10" borderId="37" applyAlignment="1" pivotButton="0" quotePrefix="0" xfId="1">
      <alignment vertical="center" wrapText="1"/>
    </xf>
    <xf numFmtId="164" fontId="8" fillId="9" borderId="23" applyAlignment="1" pivotButton="0" quotePrefix="0" xfId="1">
      <alignment vertical="center" wrapText="1"/>
    </xf>
    <xf numFmtId="164" fontId="8" fillId="9" borderId="0" applyAlignment="1" pivotButton="0" quotePrefix="0" xfId="1">
      <alignment vertical="center" wrapText="1"/>
    </xf>
    <xf numFmtId="164" fontId="8" fillId="0" borderId="0" applyAlignment="1" pivotButton="0" quotePrefix="0" xfId="1">
      <alignment vertical="center" wrapText="1"/>
    </xf>
    <xf numFmtId="164" fontId="16" fillId="0" borderId="0" applyAlignment="1" pivotButton="0" quotePrefix="0" xfId="1">
      <alignment vertical="center" wrapText="1"/>
    </xf>
    <xf numFmtId="164" fontId="16" fillId="10" borderId="0" applyAlignment="1" pivotButton="0" quotePrefix="0" xfId="1">
      <alignment horizontal="center" vertical="center" wrapText="1"/>
    </xf>
    <xf numFmtId="164" fontId="8" fillId="10" borderId="0" applyAlignment="1" pivotButton="0" quotePrefix="0" xfId="1">
      <alignment vertical="center" wrapText="1"/>
    </xf>
    <xf numFmtId="164" fontId="16" fillId="10" borderId="0" applyAlignment="1" pivotButton="0" quotePrefix="0" xfId="1">
      <alignment vertical="center" wrapText="1"/>
    </xf>
    <xf numFmtId="164" fontId="16" fillId="9" borderId="0" applyAlignment="1" pivotButton="0" quotePrefix="0" xfId="1">
      <alignment horizontal="right" vertical="center" wrapText="1"/>
    </xf>
    <xf numFmtId="0" fontId="0" fillId="3" borderId="2" applyAlignment="1" pivotButton="0" quotePrefix="0" xfId="0">
      <alignment horizontal="center" vertical="center"/>
    </xf>
    <xf numFmtId="0" fontId="0" fillId="0" borderId="2" pivotButton="0" quotePrefix="0" xfId="0"/>
    <xf numFmtId="0" fontId="0" fillId="2" borderId="9" applyAlignment="1" pivotButton="0" quotePrefix="0" xfId="0">
      <alignment horizontal="center" vertical="center"/>
    </xf>
    <xf numFmtId="0" fontId="0" fillId="0" borderId="1" pivotButton="0" quotePrefix="0" xfId="0"/>
    <xf numFmtId="0" fontId="0" fillId="4" borderId="9" applyAlignment="1" pivotButton="0" quotePrefix="0" xfId="0">
      <alignment horizontal="center" vertical="center"/>
    </xf>
    <xf numFmtId="0" fontId="1" fillId="4" borderId="9" applyAlignment="1" pivotButton="0" quotePrefix="0" xfId="0">
      <alignment horizontal="center" vertical="center"/>
    </xf>
    <xf numFmtId="0" fontId="1" fillId="2" borderId="9" applyAlignment="1" pivotButton="0" quotePrefix="0" xfId="0">
      <alignment horizontal="center" vertical="center"/>
    </xf>
    <xf numFmtId="0" fontId="1" fillId="3" borderId="2" applyAlignment="1" pivotButton="0" quotePrefix="0" xfId="0">
      <alignment horizontal="center" vertical="center"/>
    </xf>
    <xf numFmtId="0" fontId="8" fillId="0" borderId="0" applyAlignment="1" pivotButton="0" quotePrefix="0" xfId="0">
      <alignment horizontal="center"/>
    </xf>
    <xf numFmtId="0" fontId="0" fillId="0" borderId="0" pivotButton="0" quotePrefix="0" xfId="0"/>
    <xf numFmtId="0" fontId="36" fillId="0" borderId="0" applyAlignment="1" pivotButton="0" quotePrefix="0" xfId="0">
      <alignment vertical="center"/>
    </xf>
    <xf numFmtId="0" fontId="36" fillId="0" borderId="7" applyAlignment="1" pivotButton="0" quotePrefix="0" xfId="0">
      <alignment vertical="center"/>
    </xf>
    <xf numFmtId="0" fontId="37" fillId="0" borderId="0" pivotButton="0" quotePrefix="0" xfId="0"/>
    <xf numFmtId="0" fontId="38" fillId="0" borderId="0" applyAlignment="1" pivotButton="0" quotePrefix="0" xfId="4">
      <alignment vertical="center"/>
    </xf>
    <xf numFmtId="0" fontId="37" fillId="0" borderId="0" applyAlignment="1" pivotButton="0" quotePrefix="0" xfId="0">
      <alignment vertical="center"/>
    </xf>
    <xf numFmtId="0" fontId="36" fillId="0" borderId="0" applyAlignment="1" pivotButton="0" quotePrefix="0" xfId="0">
      <alignment vertical="center"/>
    </xf>
    <xf numFmtId="0" fontId="0" fillId="0" borderId="0" applyAlignment="1" pivotButton="0" quotePrefix="0" xfId="0">
      <alignment vertical="center"/>
    </xf>
    <xf numFmtId="0" fontId="37" fillId="0" borderId="0" applyAlignment="1" pivotButton="0" quotePrefix="0" xfId="0">
      <alignment vertical="center"/>
    </xf>
    <xf numFmtId="0" fontId="9" fillId="0" borderId="0" pivotButton="0" quotePrefix="0" xfId="0"/>
    <xf numFmtId="0" fontId="37" fillId="0" borderId="44" applyAlignment="1" pivotButton="0" quotePrefix="0" xfId="0">
      <alignment vertical="center"/>
    </xf>
    <xf numFmtId="0" fontId="36" fillId="0" borderId="45" applyAlignment="1" pivotButton="0" quotePrefix="0" xfId="0">
      <alignment vertical="center"/>
    </xf>
    <xf numFmtId="0" fontId="36" fillId="0" borderId="46" applyAlignment="1" pivotButton="0" quotePrefix="0" xfId="0">
      <alignment vertical="center"/>
    </xf>
    <xf numFmtId="0" fontId="9" fillId="0" borderId="47" pivotButton="0" quotePrefix="0" xfId="0"/>
    <xf numFmtId="0" fontId="9" fillId="0" borderId="0" applyAlignment="1" pivotButton="0" quotePrefix="0" xfId="0">
      <alignment vertical="center"/>
    </xf>
    <xf numFmtId="0" fontId="0" fillId="0" borderId="48" applyAlignment="1" pivotButton="0" quotePrefix="0" xfId="0">
      <alignment vertical="center"/>
    </xf>
    <xf numFmtId="0" fontId="9" fillId="0" borderId="57" pivotButton="0" quotePrefix="0" xfId="0"/>
    <xf numFmtId="0" fontId="9" fillId="0" borderId="58" applyAlignment="1" pivotButton="0" quotePrefix="0" xfId="0">
      <alignment vertical="center"/>
    </xf>
    <xf numFmtId="0" fontId="0" fillId="0" borderId="44" applyAlignment="1" pivotButton="0" quotePrefix="0" xfId="0">
      <alignment vertical="center"/>
    </xf>
    <xf numFmtId="0" fontId="0" fillId="0" borderId="46" applyAlignment="1" pivotButton="0" quotePrefix="0" xfId="0">
      <alignment vertical="center"/>
    </xf>
    <xf numFmtId="0" fontId="0" fillId="0" borderId="47" applyAlignment="1" pivotButton="0" quotePrefix="0" xfId="0">
      <alignment vertical="center"/>
    </xf>
    <xf numFmtId="164" fontId="1" fillId="0" borderId="47" applyAlignment="1" pivotButton="0" quotePrefix="0" xfId="1">
      <alignment vertical="center"/>
    </xf>
    <xf numFmtId="164" fontId="1" fillId="0" borderId="0" applyAlignment="1" pivotButton="0" quotePrefix="0" xfId="1">
      <alignment vertical="center"/>
    </xf>
    <xf numFmtId="164" fontId="1" fillId="0" borderId="48" applyAlignment="1" pivotButton="0" quotePrefix="0" xfId="1">
      <alignment vertical="center"/>
    </xf>
    <xf numFmtId="0" fontId="0" fillId="0" borderId="47" pivotButton="0" quotePrefix="0" xfId="0"/>
    <xf numFmtId="0" fontId="0" fillId="0" borderId="0" pivotButton="0" quotePrefix="0" xfId="0"/>
    <xf numFmtId="0" fontId="0" fillId="0" borderId="48" pivotButton="0" quotePrefix="0" xfId="0"/>
    <xf numFmtId="0" fontId="36" fillId="0" borderId="59" applyAlignment="1" pivotButton="0" quotePrefix="0" xfId="0">
      <alignment vertical="center"/>
    </xf>
    <xf numFmtId="0" fontId="36" fillId="0" borderId="2" applyAlignment="1" pivotButton="0" quotePrefix="0" xfId="0">
      <alignment vertical="center"/>
    </xf>
    <xf numFmtId="0" fontId="36" fillId="0" borderId="1" applyAlignment="1" pivotButton="0" quotePrefix="0" xfId="0">
      <alignment vertical="center"/>
    </xf>
    <xf numFmtId="0" fontId="9" fillId="0" borderId="53" applyAlignment="1" pivotButton="0" quotePrefix="0" xfId="0">
      <alignment vertical="center"/>
    </xf>
    <xf numFmtId="164" fontId="1" fillId="0" borderId="3" applyAlignment="1" pivotButton="0" quotePrefix="0" xfId="1">
      <alignment vertical="center"/>
    </xf>
    <xf numFmtId="164" fontId="1" fillId="0" borderId="7" applyAlignment="1" pivotButton="0" quotePrefix="0" xfId="1">
      <alignment vertical="center"/>
    </xf>
    <xf numFmtId="0" fontId="0" fillId="0" borderId="7" pivotButton="0" quotePrefix="0" xfId="0"/>
    <xf numFmtId="0" fontId="9" fillId="10" borderId="2" applyAlignment="1" pivotButton="0" quotePrefix="0" xfId="0">
      <alignment horizontal="center" vertical="center"/>
    </xf>
    <xf numFmtId="0" fontId="9" fillId="10" borderId="1" applyAlignment="1" pivotButton="0" quotePrefix="0" xfId="0">
      <alignment vertical="center"/>
    </xf>
    <xf numFmtId="0" fontId="0" fillId="10" borderId="2" pivotButton="0" quotePrefix="0" xfId="0"/>
    <xf numFmtId="0" fontId="0" fillId="10" borderId="2" applyAlignment="1" pivotButton="0" quotePrefix="0" xfId="0">
      <alignment vertical="center"/>
    </xf>
    <xf numFmtId="164" fontId="1" fillId="10" borderId="47" applyAlignment="1" pivotButton="0" quotePrefix="0" xfId="1">
      <alignment vertical="center"/>
    </xf>
    <xf numFmtId="164" fontId="1" fillId="10" borderId="0" applyAlignment="1" pivotButton="0" quotePrefix="0" xfId="1">
      <alignment vertical="center"/>
    </xf>
    <xf numFmtId="164" fontId="1" fillId="10" borderId="3" applyAlignment="1" pivotButton="0" quotePrefix="0" xfId="1">
      <alignment vertical="center"/>
    </xf>
    <xf numFmtId="164" fontId="1" fillId="10" borderId="7" applyAlignment="1" pivotButton="0" quotePrefix="0" xfId="1">
      <alignment vertical="center"/>
    </xf>
    <xf numFmtId="164" fontId="1" fillId="10" borderId="48" applyAlignment="1" pivotButton="0" quotePrefix="0" xfId="1">
      <alignment vertical="center"/>
    </xf>
    <xf numFmtId="0" fontId="0" fillId="10" borderId="0" applyAlignment="1" pivotButton="0" quotePrefix="0" xfId="0">
      <alignment vertical="center"/>
    </xf>
    <xf numFmtId="0" fontId="9" fillId="10" borderId="7" applyAlignment="1" pivotButton="0" quotePrefix="0" xfId="0">
      <alignment vertical="center"/>
    </xf>
    <xf numFmtId="9" fontId="1" fillId="10" borderId="0" applyAlignment="1" pivotButton="0" quotePrefix="0" xfId="2">
      <alignment vertical="center"/>
    </xf>
    <xf numFmtId="9" fontId="1" fillId="10" borderId="47" applyAlignment="1" pivotButton="0" quotePrefix="0" xfId="2">
      <alignment vertical="center"/>
    </xf>
    <xf numFmtId="9" fontId="1" fillId="10" borderId="0" applyAlignment="1" pivotButton="0" quotePrefix="0" xfId="2">
      <alignment vertical="center"/>
    </xf>
    <xf numFmtId="9" fontId="1" fillId="10" borderId="3" applyAlignment="1" pivotButton="0" quotePrefix="0" xfId="2">
      <alignment vertical="center"/>
    </xf>
    <xf numFmtId="9" fontId="1" fillId="10" borderId="7" applyAlignment="1" pivotButton="0" quotePrefix="0" xfId="2">
      <alignment vertical="center"/>
    </xf>
    <xf numFmtId="9" fontId="1" fillId="10" borderId="48" applyAlignment="1" pivotButton="0" quotePrefix="0" xfId="2">
      <alignment vertical="center"/>
    </xf>
    <xf numFmtId="0" fontId="0" fillId="10" borderId="47" applyAlignment="1" pivotButton="0" quotePrefix="0" xfId="0">
      <alignment horizontal="right" vertical="center"/>
    </xf>
    <xf numFmtId="0" fontId="0" fillId="10" borderId="0" applyAlignment="1" pivotButton="0" quotePrefix="0" xfId="0">
      <alignment horizontal="right" vertical="center"/>
    </xf>
    <xf numFmtId="0" fontId="0" fillId="10" borderId="7" applyAlignment="1" pivotButton="0" quotePrefix="0" xfId="0">
      <alignment horizontal="right" vertical="center"/>
    </xf>
    <xf numFmtId="0" fontId="0" fillId="10" borderId="48" applyAlignment="1" pivotButton="0" quotePrefix="0" xfId="0">
      <alignment horizontal="right" vertical="center"/>
    </xf>
    <xf numFmtId="0" fontId="0" fillId="10" borderId="6" pivotButton="0" quotePrefix="0" xfId="0"/>
    <xf numFmtId="0" fontId="9" fillId="10" borderId="5" applyAlignment="1" pivotButton="0" quotePrefix="0" xfId="0">
      <alignment vertical="center"/>
    </xf>
    <xf numFmtId="0" fontId="0" fillId="10" borderId="6" applyAlignment="1" pivotButton="0" quotePrefix="0" xfId="0">
      <alignment vertical="center"/>
    </xf>
    <xf numFmtId="164" fontId="0" fillId="0" borderId="0" applyAlignment="1" pivotButton="0" quotePrefix="0" xfId="1">
      <alignment vertical="center"/>
    </xf>
    <xf numFmtId="164" fontId="16" fillId="11" borderId="23" applyAlignment="1" pivotButton="0" quotePrefix="0" xfId="1">
      <alignment horizontal="center" vertical="center" wrapText="1"/>
    </xf>
    <xf numFmtId="164" fontId="16" fillId="11" borderId="23" applyAlignment="1" pivotButton="0" quotePrefix="0" xfId="1">
      <alignment vertical="center" wrapText="1"/>
    </xf>
    <xf numFmtId="164" fontId="15" fillId="11" borderId="21" applyAlignment="1" pivotButton="0" quotePrefix="0" xfId="0">
      <alignment horizontal="center" vertical="center"/>
    </xf>
    <xf numFmtId="164" fontId="16" fillId="11" borderId="35" applyAlignment="1" pivotButton="0" quotePrefix="0" xfId="1">
      <alignment vertical="center" wrapText="1"/>
    </xf>
    <xf numFmtId="164" fontId="1" fillId="11" borderId="21" applyAlignment="1" pivotButton="0" quotePrefix="0" xfId="1">
      <alignment vertical="center"/>
    </xf>
    <xf numFmtId="164" fontId="1" fillId="11" borderId="12" applyAlignment="1" pivotButton="0" quotePrefix="0" xfId="1">
      <alignment vertical="center"/>
    </xf>
    <xf numFmtId="164" fontId="1" fillId="11" borderId="12" applyAlignment="1" pivotButton="0" quotePrefix="0" xfId="0">
      <alignment vertical="center"/>
    </xf>
    <xf numFmtId="164" fontId="16" fillId="11" borderId="8" applyAlignment="1" pivotButton="0" quotePrefix="0" xfId="1">
      <alignment horizontal="center" vertical="center" wrapText="1"/>
    </xf>
    <xf numFmtId="164" fontId="16" fillId="11" borderId="8" applyAlignment="1" pivotButton="0" quotePrefix="0" xfId="1">
      <alignment vertical="center" wrapText="1"/>
    </xf>
    <xf numFmtId="164" fontId="16" fillId="11" borderId="36" applyAlignment="1" pivotButton="0" quotePrefix="0" xfId="1">
      <alignment vertical="center" wrapText="1"/>
    </xf>
    <xf numFmtId="164" fontId="1" fillId="11" borderId="0" applyAlignment="1" pivotButton="0" quotePrefix="0" xfId="1">
      <alignment vertical="center"/>
    </xf>
    <xf numFmtId="164" fontId="1" fillId="11" borderId="0" applyAlignment="1" pivotButton="0" quotePrefix="0" xfId="0">
      <alignment vertical="center"/>
    </xf>
    <xf numFmtId="164" fontId="16" fillId="0" borderId="24" applyAlignment="1" pivotButton="0" quotePrefix="0" xfId="1">
      <alignment horizontal="center" vertical="center" wrapText="1"/>
    </xf>
    <xf numFmtId="164" fontId="16" fillId="0" borderId="24" applyAlignment="1" pivotButton="0" quotePrefix="0" xfId="1">
      <alignment vertical="center" wrapText="1"/>
    </xf>
    <xf numFmtId="164" fontId="15" fillId="7" borderId="21" applyAlignment="1" pivotButton="0" quotePrefix="0" xfId="0">
      <alignment horizontal="center" vertical="center"/>
    </xf>
    <xf numFmtId="164" fontId="16" fillId="0" borderId="37" applyAlignment="1" pivotButton="0" quotePrefix="0" xfId="1">
      <alignment vertical="center" wrapText="1"/>
    </xf>
    <xf numFmtId="164" fontId="1" fillId="0" borderId="21" applyAlignment="1" pivotButton="0" quotePrefix="0" xfId="1">
      <alignment vertical="center"/>
    </xf>
    <xf numFmtId="164" fontId="16" fillId="0" borderId="23" applyAlignment="1" pivotButton="0" quotePrefix="0" xfId="1">
      <alignment horizontal="center" vertical="center" wrapText="1"/>
    </xf>
    <xf numFmtId="164" fontId="16" fillId="0" borderId="23" applyAlignment="1" pivotButton="0" quotePrefix="0" xfId="1">
      <alignment vertical="center" wrapText="1"/>
    </xf>
    <xf numFmtId="164" fontId="16" fillId="0" borderId="35" applyAlignment="1" pivotButton="0" quotePrefix="0" xfId="1">
      <alignment vertical="center" wrapText="1"/>
    </xf>
    <xf numFmtId="164" fontId="16" fillId="0" borderId="8" applyAlignment="1" pivotButton="0" quotePrefix="0" xfId="1">
      <alignment horizontal="center" vertical="center" wrapText="1"/>
    </xf>
    <xf numFmtId="164" fontId="16" fillId="0" borderId="8" applyAlignment="1" pivotButton="0" quotePrefix="0" xfId="1">
      <alignment vertical="center" wrapText="1"/>
    </xf>
    <xf numFmtId="164" fontId="16" fillId="0" borderId="36" applyAlignment="1" pivotButton="0" quotePrefix="0" xfId="1">
      <alignment vertical="center" wrapText="1"/>
    </xf>
    <xf numFmtId="164" fontId="16" fillId="11" borderId="24" applyAlignment="1" pivotButton="0" quotePrefix="0" xfId="1">
      <alignment horizontal="center" vertical="center" wrapText="1"/>
    </xf>
    <xf numFmtId="164" fontId="16" fillId="11" borderId="24" applyAlignment="1" pivotButton="0" quotePrefix="0" xfId="1">
      <alignment vertical="center" wrapText="1"/>
    </xf>
    <xf numFmtId="164" fontId="16" fillId="11" borderId="37" applyAlignment="1" pivotButton="0" quotePrefix="0" xfId="1">
      <alignment vertical="center" wrapText="1"/>
    </xf>
    <xf numFmtId="164" fontId="16" fillId="0" borderId="0" applyAlignment="1" pivotButton="0" quotePrefix="0" xfId="1">
      <alignment horizontal="center" vertical="center" wrapText="1"/>
    </xf>
    <xf numFmtId="164" fontId="0" fillId="0" borderId="0" applyAlignment="1" pivotButton="0" quotePrefix="0" xfId="0">
      <alignment vertical="center"/>
    </xf>
    <xf numFmtId="164" fontId="16" fillId="0" borderId="25" applyAlignment="1" pivotButton="0" quotePrefix="0" xfId="1">
      <alignment horizontal="center" vertical="center" wrapText="1"/>
    </xf>
    <xf numFmtId="164" fontId="16" fillId="0" borderId="25" applyAlignment="1" pivotButton="0" quotePrefix="0" xfId="1">
      <alignment vertical="center" wrapText="1"/>
    </xf>
    <xf numFmtId="164" fontId="16" fillId="0" borderId="38" applyAlignment="1" pivotButton="0" quotePrefix="0" xfId="1">
      <alignment vertical="center" wrapText="1"/>
    </xf>
    <xf numFmtId="164" fontId="16" fillId="8" borderId="0" applyAlignment="1" pivotButton="0" quotePrefix="0" xfId="1">
      <alignment horizontal="center" vertical="center" wrapText="1"/>
    </xf>
    <xf numFmtId="164" fontId="16" fillId="11" borderId="0" applyAlignment="1" pivotButton="0" quotePrefix="0" xfId="1">
      <alignment horizontal="center" vertical="center" wrapText="1"/>
    </xf>
    <xf numFmtId="164" fontId="0" fillId="11" borderId="0" applyAlignment="1" pivotButton="0" quotePrefix="0" xfId="0">
      <alignment vertical="center"/>
    </xf>
    <xf numFmtId="164" fontId="16" fillId="11" borderId="9" applyAlignment="1" pivotButton="0" quotePrefix="0" xfId="1">
      <alignment horizontal="center" vertical="center" wrapText="1"/>
    </xf>
    <xf numFmtId="164" fontId="16" fillId="11" borderId="9" applyAlignment="1" pivotButton="0" quotePrefix="0" xfId="1">
      <alignment vertical="center" wrapText="1"/>
    </xf>
    <xf numFmtId="164" fontId="16" fillId="11" borderId="39" applyAlignment="1" pivotButton="0" quotePrefix="0" xfId="1">
      <alignment vertical="center" wrapText="1"/>
    </xf>
    <xf numFmtId="164" fontId="16" fillId="11" borderId="26" applyAlignment="1" pivotButton="0" quotePrefix="0" xfId="1">
      <alignment horizontal="center" vertical="center" wrapText="1"/>
    </xf>
    <xf numFmtId="164" fontId="16" fillId="11" borderId="26" applyAlignment="1" pivotButton="0" quotePrefix="0" xfId="1">
      <alignment vertical="center" wrapText="1"/>
    </xf>
    <xf numFmtId="164" fontId="16" fillId="11" borderId="40" applyAlignment="1" pivotButton="0" quotePrefix="0" xfId="1">
      <alignment vertical="center" wrapText="1"/>
    </xf>
    <xf numFmtId="164" fontId="16" fillId="11" borderId="25" applyAlignment="1" pivotButton="0" quotePrefix="0" xfId="1">
      <alignment horizontal="center" vertical="center" wrapText="1"/>
    </xf>
    <xf numFmtId="164" fontId="16" fillId="11" borderId="25" applyAlignment="1" pivotButton="0" quotePrefix="0" xfId="1">
      <alignment vertical="center" wrapText="1"/>
    </xf>
    <xf numFmtId="164" fontId="16" fillId="11" borderId="38" applyAlignment="1" pivotButton="0" quotePrefix="0" xfId="1">
      <alignment vertical="center" wrapText="1"/>
    </xf>
    <xf numFmtId="164" fontId="16" fillId="0" borderId="9" applyAlignment="1" pivotButton="0" quotePrefix="0" xfId="1">
      <alignment horizontal="center" vertical="center" wrapText="1"/>
    </xf>
    <xf numFmtId="164" fontId="16" fillId="0" borderId="9" applyAlignment="1" pivotButton="0" quotePrefix="0" xfId="1">
      <alignment vertical="center" wrapText="1"/>
    </xf>
    <xf numFmtId="164" fontId="16" fillId="0" borderId="39" applyAlignment="1" pivotButton="0" quotePrefix="0" xfId="1">
      <alignment vertical="center" wrapText="1"/>
    </xf>
    <xf numFmtId="164" fontId="16" fillId="8" borderId="8" applyAlignment="1" pivotButton="0" quotePrefix="0" xfId="1">
      <alignment horizontal="center" vertical="center" wrapText="1"/>
    </xf>
    <xf numFmtId="164" fontId="16" fillId="8" borderId="8" applyAlignment="1" pivotButton="0" quotePrefix="0" xfId="1">
      <alignment vertical="center" wrapText="1"/>
    </xf>
    <xf numFmtId="164" fontId="16" fillId="8" borderId="36" applyAlignment="1" pivotButton="0" quotePrefix="0" xfId="1">
      <alignment vertical="center" wrapText="1"/>
    </xf>
    <xf numFmtId="164" fontId="16" fillId="8" borderId="24" applyAlignment="1" pivotButton="0" quotePrefix="0" xfId="1">
      <alignment horizontal="center" vertical="center" wrapText="1"/>
    </xf>
    <xf numFmtId="164" fontId="16" fillId="8" borderId="24" applyAlignment="1" pivotButton="0" quotePrefix="0" xfId="1">
      <alignment vertical="center" wrapText="1"/>
    </xf>
    <xf numFmtId="164" fontId="16" fillId="8" borderId="37" applyAlignment="1" pivotButton="0" quotePrefix="0" xfId="1">
      <alignment vertical="center" wrapText="1"/>
    </xf>
    <xf numFmtId="164" fontId="16" fillId="8" borderId="23" applyAlignment="1" pivotButton="0" quotePrefix="0" xfId="1">
      <alignment horizontal="center" vertical="center" wrapText="1"/>
    </xf>
    <xf numFmtId="164" fontId="16" fillId="8" borderId="23" applyAlignment="1" pivotButton="0" quotePrefix="0" xfId="1">
      <alignment vertical="center" wrapText="1"/>
    </xf>
    <xf numFmtId="164" fontId="16" fillId="8" borderId="35" applyAlignment="1" pivotButton="0" quotePrefix="0" xfId="1">
      <alignment vertical="center" wrapText="1"/>
    </xf>
    <xf numFmtId="164" fontId="16" fillId="8" borderId="9" applyAlignment="1" pivotButton="0" quotePrefix="0" xfId="1">
      <alignment horizontal="center" vertical="center" wrapText="1"/>
    </xf>
    <xf numFmtId="164" fontId="16" fillId="8" borderId="9" applyAlignment="1" pivotButton="0" quotePrefix="0" xfId="1">
      <alignment vertical="center" wrapText="1"/>
    </xf>
    <xf numFmtId="164" fontId="16" fillId="11" borderId="29" applyAlignment="1" pivotButton="0" quotePrefix="0" xfId="1">
      <alignment horizontal="center" vertical="center" wrapText="1"/>
    </xf>
    <xf numFmtId="164" fontId="16" fillId="11" borderId="29" applyAlignment="1" pivotButton="0" quotePrefix="0" xfId="1">
      <alignment vertical="center" wrapText="1"/>
    </xf>
    <xf numFmtId="164" fontId="1" fillId="0" borderId="0" applyAlignment="1" pivotButton="0" quotePrefix="0" xfId="1">
      <alignment vertical="center"/>
    </xf>
    <xf numFmtId="164" fontId="1" fillId="0" borderId="0" applyAlignment="1" pivotButton="0" quotePrefix="0" xfId="0">
      <alignment vertical="center"/>
    </xf>
    <xf numFmtId="164" fontId="1" fillId="0" borderId="50" applyAlignment="1" pivotButton="0" quotePrefix="0" xfId="1">
      <alignment vertical="center"/>
    </xf>
    <xf numFmtId="164" fontId="1" fillId="0" borderId="12" applyAlignment="1" pivotButton="0" quotePrefix="0" xfId="0">
      <alignment vertical="center"/>
    </xf>
    <xf numFmtId="164" fontId="1" fillId="0" borderId="18" applyAlignment="1" pivotButton="0" quotePrefix="0" xfId="1">
      <alignment vertical="center"/>
    </xf>
    <xf numFmtId="164" fontId="1" fillId="0" borderId="18" applyAlignment="1" pivotButton="0" quotePrefix="0" xfId="0">
      <alignment vertical="center"/>
    </xf>
    <xf numFmtId="164" fontId="16" fillId="11" borderId="37" applyAlignment="1" pivotButton="0" quotePrefix="0" xfId="1">
      <alignment horizontal="center" vertical="center" wrapText="1"/>
    </xf>
    <xf numFmtId="164" fontId="1" fillId="11" borderId="51" applyAlignment="1" pivotButton="0" quotePrefix="0" xfId="1">
      <alignment vertical="center"/>
    </xf>
    <xf numFmtId="164" fontId="1" fillId="11" borderId="49" applyAlignment="1" pivotButton="0" quotePrefix="0" xfId="1">
      <alignment vertical="center"/>
    </xf>
    <xf numFmtId="164" fontId="1" fillId="11" borderId="50" applyAlignment="1" pivotButton="0" quotePrefix="0" xfId="1">
      <alignment vertical="center"/>
    </xf>
    <xf numFmtId="164" fontId="16" fillId="9" borderId="25" applyAlignment="1" pivotButton="0" quotePrefix="0" xfId="1">
      <alignment horizontal="center" vertical="center" wrapText="1"/>
    </xf>
    <xf numFmtId="164" fontId="16" fillId="9" borderId="25" applyAlignment="1" pivotButton="0" quotePrefix="0" xfId="1">
      <alignment vertical="center" wrapText="1"/>
    </xf>
    <xf numFmtId="164" fontId="15" fillId="7" borderId="43" applyAlignment="1" pivotButton="0" quotePrefix="0" xfId="0">
      <alignment horizontal="center" vertical="center"/>
    </xf>
    <xf numFmtId="164" fontId="16" fillId="9" borderId="38" applyAlignment="1" pivotButton="0" quotePrefix="0" xfId="1">
      <alignment vertical="center" wrapText="1"/>
    </xf>
    <xf numFmtId="164" fontId="0" fillId="0" borderId="21" applyAlignment="1" pivotButton="0" quotePrefix="0" xfId="1">
      <alignment vertical="center"/>
    </xf>
    <xf numFmtId="164" fontId="16" fillId="10" borderId="8" applyAlignment="1" pivotButton="0" quotePrefix="0" xfId="1">
      <alignment horizontal="center" vertical="center" wrapText="1"/>
    </xf>
    <xf numFmtId="164" fontId="16" fillId="10" borderId="8" applyAlignment="1" pivotButton="0" quotePrefix="0" xfId="1">
      <alignment vertical="center" wrapText="1"/>
    </xf>
    <xf numFmtId="164" fontId="0" fillId="10" borderId="21" applyAlignment="1" pivotButton="0" quotePrefix="0" xfId="1">
      <alignment vertical="center"/>
    </xf>
    <xf numFmtId="164" fontId="16" fillId="9" borderId="8" applyAlignment="1" pivotButton="0" quotePrefix="0" xfId="1">
      <alignment horizontal="center" vertical="center" wrapText="1"/>
    </xf>
    <xf numFmtId="164" fontId="16" fillId="9" borderId="8" applyAlignment="1" pivotButton="0" quotePrefix="0" xfId="1">
      <alignment vertical="center" wrapText="1"/>
    </xf>
    <xf numFmtId="164" fontId="16" fillId="9" borderId="0" applyAlignment="1" pivotButton="0" quotePrefix="0" xfId="1">
      <alignment horizontal="center" vertical="center" wrapText="1"/>
    </xf>
    <xf numFmtId="164" fontId="16" fillId="9" borderId="0" applyAlignment="1" pivotButton="0" quotePrefix="0" xfId="1">
      <alignment vertical="center" wrapText="1"/>
    </xf>
    <xf numFmtId="164" fontId="0" fillId="10" borderId="0" applyAlignment="1" pivotButton="0" quotePrefix="0" xfId="1">
      <alignment vertical="center"/>
    </xf>
    <xf numFmtId="164" fontId="8" fillId="10" borderId="8" applyAlignment="1" pivotButton="0" quotePrefix="0" xfId="1">
      <alignment vertical="center" wrapText="1"/>
    </xf>
    <xf numFmtId="164" fontId="8" fillId="9" borderId="8" applyAlignment="1" pivotButton="0" quotePrefix="0" xfId="1">
      <alignment vertical="center" wrapText="1"/>
    </xf>
    <xf numFmtId="164" fontId="16" fillId="10" borderId="30" applyAlignment="1" pivotButton="0" quotePrefix="0" xfId="1">
      <alignment horizontal="center" vertical="center" wrapText="1"/>
    </xf>
    <xf numFmtId="164" fontId="8" fillId="10" borderId="30" applyAlignment="1" pivotButton="0" quotePrefix="0" xfId="1">
      <alignment vertical="center" wrapText="1"/>
    </xf>
    <xf numFmtId="164" fontId="16" fillId="10" borderId="30" applyAlignment="1" pivotButton="0" quotePrefix="0" xfId="1">
      <alignment vertical="center" wrapText="1"/>
    </xf>
    <xf numFmtId="164" fontId="16" fillId="10" borderId="41" applyAlignment="1" pivotButton="0" quotePrefix="0" xfId="1">
      <alignment vertical="center" wrapText="1"/>
    </xf>
    <xf numFmtId="164" fontId="16" fillId="10" borderId="36" applyAlignment="1" pivotButton="0" quotePrefix="0" xfId="1">
      <alignment vertical="center" wrapText="1"/>
    </xf>
    <xf numFmtId="164" fontId="16" fillId="9" borderId="24" applyAlignment="1" pivotButton="0" quotePrefix="0" xfId="1">
      <alignment horizontal="center" vertical="center" wrapText="1"/>
    </xf>
    <xf numFmtId="164" fontId="16" fillId="9" borderId="24" applyAlignment="1" pivotButton="0" quotePrefix="0" xfId="1">
      <alignment vertical="center" wrapText="1"/>
    </xf>
    <xf numFmtId="164" fontId="16" fillId="9" borderId="37" applyAlignment="1" pivotButton="0" quotePrefix="0" xfId="1">
      <alignment vertical="center" wrapText="1"/>
    </xf>
    <xf numFmtId="164" fontId="16" fillId="9" borderId="23" applyAlignment="1" pivotButton="0" quotePrefix="0" xfId="1">
      <alignment horizontal="center" vertical="center" wrapText="1"/>
    </xf>
    <xf numFmtId="164" fontId="16" fillId="9" borderId="23" applyAlignment="1" pivotButton="0" quotePrefix="0" xfId="1">
      <alignment vertical="center" wrapText="1"/>
    </xf>
    <xf numFmtId="164" fontId="16" fillId="9" borderId="35" applyAlignment="1" pivotButton="0" quotePrefix="0" xfId="1">
      <alignment vertical="center" wrapText="1"/>
    </xf>
    <xf numFmtId="164" fontId="8" fillId="9" borderId="24" applyAlignment="1" pivotButton="0" quotePrefix="0" xfId="1">
      <alignment vertical="center" wrapText="1"/>
    </xf>
    <xf numFmtId="164" fontId="16" fillId="10" borderId="23" applyAlignment="1" pivotButton="0" quotePrefix="0" xfId="1">
      <alignment vertical="center" wrapText="1"/>
    </xf>
    <xf numFmtId="164" fontId="16" fillId="10" borderId="35" applyAlignment="1" pivotButton="0" quotePrefix="0" xfId="1">
      <alignment vertical="center" wrapText="1"/>
    </xf>
    <xf numFmtId="164" fontId="16" fillId="10" borderId="9" applyAlignment="1" pivotButton="0" quotePrefix="0" xfId="1">
      <alignment horizontal="center" vertical="center" wrapText="1"/>
    </xf>
    <xf numFmtId="164" fontId="8" fillId="10" borderId="9" applyAlignment="1" pivotButton="0" quotePrefix="0" xfId="1">
      <alignment vertical="center" wrapText="1"/>
    </xf>
    <xf numFmtId="164" fontId="16" fillId="10" borderId="9" applyAlignment="1" pivotButton="0" quotePrefix="0" xfId="1">
      <alignment vertical="center" wrapText="1"/>
    </xf>
    <xf numFmtId="164" fontId="16" fillId="10" borderId="39" applyAlignment="1" pivotButton="0" quotePrefix="0" xfId="1">
      <alignment vertical="center" wrapText="1"/>
    </xf>
    <xf numFmtId="164" fontId="16" fillId="10" borderId="23" applyAlignment="1" pivotButton="0" quotePrefix="0" xfId="1">
      <alignment horizontal="center" vertical="center" wrapText="1"/>
    </xf>
    <xf numFmtId="164" fontId="8" fillId="10" borderId="23" applyAlignment="1" pivotButton="0" quotePrefix="0" xfId="1">
      <alignment vertical="center" wrapText="1"/>
    </xf>
    <xf numFmtId="164" fontId="16" fillId="9" borderId="36" applyAlignment="1" pivotButton="0" quotePrefix="0" xfId="1">
      <alignment vertical="center" wrapText="1"/>
    </xf>
    <xf numFmtId="164" fontId="16" fillId="10" borderId="24" applyAlignment="1" pivotButton="0" quotePrefix="0" xfId="1">
      <alignment horizontal="center" vertical="center" wrapText="1"/>
    </xf>
    <xf numFmtId="164" fontId="8" fillId="10" borderId="24" applyAlignment="1" pivotButton="0" quotePrefix="0" xfId="1">
      <alignment vertical="center" wrapText="1"/>
    </xf>
    <xf numFmtId="164" fontId="16" fillId="10" borderId="24" applyAlignment="1" pivotButton="0" quotePrefix="0" xfId="1">
      <alignment vertical="center" wrapText="1"/>
    </xf>
    <xf numFmtId="164" fontId="16" fillId="10" borderId="37" applyAlignment="1" pivotButton="0" quotePrefix="0" xfId="1">
      <alignment vertical="center" wrapText="1"/>
    </xf>
    <xf numFmtId="164" fontId="8" fillId="9" borderId="23" applyAlignment="1" pivotButton="0" quotePrefix="0" xfId="1">
      <alignment vertical="center" wrapText="1"/>
    </xf>
    <xf numFmtId="164" fontId="8" fillId="9" borderId="0" applyAlignment="1" pivotButton="0" quotePrefix="0" xfId="1">
      <alignment vertical="center" wrapText="1"/>
    </xf>
    <xf numFmtId="164" fontId="8" fillId="0" borderId="0" applyAlignment="1" pivotButton="0" quotePrefix="0" xfId="1">
      <alignment vertical="center" wrapText="1"/>
    </xf>
    <xf numFmtId="164" fontId="16" fillId="0" borderId="0" applyAlignment="1" pivotButton="0" quotePrefix="0" xfId="1">
      <alignment vertical="center" wrapText="1"/>
    </xf>
    <xf numFmtId="164" fontId="16" fillId="10" borderId="0" applyAlignment="1" pivotButton="0" quotePrefix="0" xfId="1">
      <alignment horizontal="center" vertical="center" wrapText="1"/>
    </xf>
    <xf numFmtId="164" fontId="8" fillId="10" borderId="0" applyAlignment="1" pivotButton="0" quotePrefix="0" xfId="1">
      <alignment vertical="center" wrapText="1"/>
    </xf>
    <xf numFmtId="164" fontId="16" fillId="10" borderId="0" applyAlignment="1" pivotButton="0" quotePrefix="0" xfId="1">
      <alignment vertical="center" wrapText="1"/>
    </xf>
    <xf numFmtId="164" fontId="16" fillId="9" borderId="0" applyAlignment="1" pivotButton="0" quotePrefix="0" xfId="1">
      <alignment horizontal="right" vertical="center" wrapText="1"/>
    </xf>
    <xf numFmtId="164" fontId="1" fillId="0" borderId="47" applyAlignment="1" pivotButton="0" quotePrefix="0" xfId="1">
      <alignment vertical="center"/>
    </xf>
    <xf numFmtId="164" fontId="1" fillId="0" borderId="3" applyAlignment="1" pivotButton="0" quotePrefix="0" xfId="1">
      <alignment vertical="center"/>
    </xf>
    <xf numFmtId="164" fontId="1" fillId="0" borderId="7" applyAlignment="1" pivotButton="0" quotePrefix="0" xfId="1">
      <alignment vertical="center"/>
    </xf>
    <xf numFmtId="164" fontId="1" fillId="0" borderId="48" applyAlignment="1" pivotButton="0" quotePrefix="0" xfId="1">
      <alignment vertical="center"/>
    </xf>
    <xf numFmtId="164" fontId="1" fillId="10" borderId="47" applyAlignment="1" pivotButton="0" quotePrefix="0" xfId="1">
      <alignment vertical="center"/>
    </xf>
    <xf numFmtId="164" fontId="1" fillId="10" borderId="0" applyAlignment="1" pivotButton="0" quotePrefix="0" xfId="1">
      <alignment vertical="center"/>
    </xf>
    <xf numFmtId="164" fontId="1" fillId="10" borderId="3" applyAlignment="1" pivotButton="0" quotePrefix="0" xfId="1">
      <alignment vertical="center"/>
    </xf>
    <xf numFmtId="164" fontId="1" fillId="10" borderId="7" applyAlignment="1" pivotButton="0" quotePrefix="0" xfId="1">
      <alignment vertical="center"/>
    </xf>
    <xf numFmtId="164" fontId="1" fillId="10" borderId="48" applyAlignment="1" pivotButton="0" quotePrefix="0" xfId="1">
      <alignment vertical="center"/>
    </xf>
    <xf numFmtId="0" fontId="0" fillId="17" borderId="0" pivotButton="0" quotePrefix="0" xfId="0"/>
    <xf numFmtId="0" fontId="39" fillId="17" borderId="0" pivotButton="0" quotePrefix="0" xfId="0"/>
    <xf numFmtId="0" fontId="39" fillId="0" borderId="0" pivotButton="0" quotePrefix="0" xfId="0"/>
    <xf numFmtId="0" fontId="0" fillId="17" borderId="0" applyAlignment="1" pivotButton="0" quotePrefix="0" xfId="0">
      <alignment vertical="center"/>
    </xf>
  </cellXfs>
  <cellStyles count="5">
    <cellStyle name="표준" xfId="0" builtinId="0"/>
    <cellStyle name="쉼표 [0]" xfId="1" builtinId="6"/>
    <cellStyle name="백분율" xfId="2" builtinId="5"/>
    <cellStyle name="표준 6" xfId="3"/>
    <cellStyle name="하이퍼링크" xfId="4" builtinId="8"/>
  </cellStyles>
  <dxfs count="37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한나</author>
  </authors>
  <commentList>
    <comment ref="D134" authorId="0" shapeId="0">
      <text>
        <t xml:space="preserve">한나:
</t>
      </text>
    </comment>
  </commentList>
</comments>
</file>

<file path=xl/comments/comment2.xml><?xml version="1.0" encoding="utf-8"?>
<comments xmlns="http://schemas.openxmlformats.org/spreadsheetml/2006/main">
  <authors>
    <author>한나</author>
  </authors>
  <commentList>
    <comment ref="E199" authorId="0" shapeId="0">
      <text>
        <t xml:space="preserve">한나:
</t>
      </text>
    </comment>
  </commentList>
</comments>
</file>

<file path=xl/comments/comment3.xml><?xml version="1.0" encoding="utf-8"?>
<comments xmlns="http://schemas.openxmlformats.org/spreadsheetml/2006/main">
  <authors>
    <author>한나</author>
  </authors>
  <commentList>
    <comment ref="E9" authorId="0" shapeId="0">
      <text>
        <t>한나:
"가락금호 1997 915^
조은공인중개사 02-408-8484
010-3202-1004
24p 108동 고층 남서향 185,000 / 75,000 
[매물1]
10년 전 수리, 가락시장 방향(5~7호라인), 주인거주라 입주시기 맞춰줌, 다주택자 X
1층 호가와 같은 가격이라 저렴한 매물(이동하고자 하는 곳이 있어서 가격을 낮춘 상황)
[매물2] 32평 107동 18층 21.8억
부동산 59군데 광고중, 다주택자 X, 2년전 올수리
본인이 가고자하는 곳이 있는데 매도가 되지 않아 광고 많이 내놓은 상황인데 거래진행하면 가격 조율 가능성 높다하심
&lt;부동산 평가&gt;
적극적이지 않으신 편이시고 남자사장님은 매물에 대한 정보 전혀 없음. 여자사장님이 상담 진행해주심
&lt;얻은 정보&gt;
25평, 32평 모두 갈아타기하려는 실수요자
갈아타려는 실수요자와 매도가 되지 않아 이동하지 못하는 분위기"</t>
      </text>
    </comment>
    <comment ref="E21" authorId="0" shapeId="0">
      <text>
        <t>한나:
#보라매 "가락쌍용1차 1997.03 2064^ 탑 010-7068-3650 33p 103동 중층 동향 195,000 / 42,000 
- 어제 급하게 내놨는데... 오늘 최종 계약자 나타나서, 팔린 물건TT    (따라서, 전화하는 순간 같이 걸었던 다른 부동산은 물건 내림!)
- 103동 중층, 동향, 19.5억, 다주택자 물건/ 4.2억 세낀, 28/1/25 세입자 만기였으나, 최종 나감.    (사장님 표현, 본인한테 물어봤던 분이 망설이는 순간, 다른 부동산 손님이 주워감?TT)
- 이외 추천 가능 매물: +1억(20.4억/201동 4층 남향,  20.5억/105동 20층 동향) → 특히, 20층 물건은 동향이지만 올수리(외부 샷시까지  잘 해놓은집) 20.5억이지만 20.4억 으로 네고 가능~! (원래 21.5억에서 4/20 1억 내림) *추가 수리없이 바로 입주 가능하다는 사장님 이야기. 
&lt;부동산 평가&gt;
- 가락쌍용 단지내 사장님, 중간 친절- 가락한신을 추천하심...- 타 단지에 대한 내용은 신뢰도가 떨어지지만,가락쌍용에 대해서는 잘 아심
&lt;얻은 정보&gt;
- 가주초/송파중 배정- 쿼드러플(?) 역세권: 3호선(경찰병원역 도보 5분), 5호선 개롱역/8호선 가락시장역/9호선 석촌역(?)→ 다른데는 이해가 가나...9호선은 좀 억지인 듯TT
- 리모델링 이슈→ 가락쌍용 아파트 (3~4년 안에 이주를 목표로 하고 싶다.)→ 가락한신 리모델링 추진중! (오히려 입지가 쌍용 보다 더 낫다고 하심)
   =&gt; 송파대로변에 있고, 가락시장 사거리에 가까움. 18억 수준, 84제곱 기준 =&gt;조합설립중! (256세대! 93년식 아파트)   =&gt; 17.9억~부터 있는 이 단지가 저평가라는 사장님 추천 
- 문정 래미안 비교:→ 문정 래미안은, 교통이 불편해서 찾지 않는다!"</t>
      </text>
    </comment>
    <comment ref="E71" authorId="0" shapeId="0">
      <text>
        <t>한나:
가반 전임 #1"헬리오시티 2018.12 9510^
삼천 02-407-3000010-9728-3001
32p 402동 중층 남향 275,000 / 109,500 
반전세 문의 7억/200만
7월 중순 입주문의
현재 거주자는 이사갈 집을 알아봐야한다함 (세입자 아닌가?)
&lt;부동산 평가&gt;
일단 와서 보시라하시고, 설명을 두루뭉술하게 해주시는 편
&lt;얻은 정보&gt;
월세 1억에 40만원씩 계산
전세는 12억선이여서 지금 금액대가 비싼 건아님
반전세는 동에 따라 가격이 달라지기보다는 역세권 동들은 잘 안깎아주고, 단지내 있는 동들은 10만원 정도 깎아주기도하는 편
(이 말은 역세권 선호도가 더 높기 때문이라닐까?)
초등학교 2개에 대해 질문했는데 둘다 선호하는건 차이가 없긴한데 중학교가 1개 밖에 없는데 작년에 해누리중을 배정받지 못한 사람이 소수가 발생해서 중학교까지 생각하는 분들은 해누리초를 보내는걸 선호함."
 503동은 남향이지만 단지뷰+역세권의 장점이 있음. 
-----------------------------------------------------------------------------
일등 02-409-0010
010-6740-2627
25p 416동 11층 남향 260,000 / 99,000 
올현금 매수자 컨셉. 매도자가 마음이 살짝 바뀌고 있어서 가격을 더 올릴까 생각하고 있는 상황. 매수한다고 하면 조율 해본다고 함.처음에는 27억에 나온 매물인데 다른 부동산에서 26억애 해도 된다고 매수자 붙이고 해서 매도자가 매물 거둬들였다가 다시나온 매물
415동 9층 매물도 있는데 개인사정으로 빨리 팔고 싶어해서 가격 협상이 수월할거 같다함
&lt;부동산 평가&gt;
질문을 해야 대답을 해주시는 스타일
&lt;얻은 정보&gt;
25평은 남서향과 남향 2개로 나뉘는데 장단이 있음
남향은 가락시장쪽을 보고 있어서 뻥뷰이긴 한데 젊은 사람들은 가락시장 뷰를 좋아하지 않아하고 창문을 열면 차량 소음이 나는 편
남서향은 단지뷰라 좀 답답하긴 하지만 차량 소음이 없어 조용한 편
503동은 남향이지만 단지뷰+역세권 장점있다하심 (R동이라는 말씀인가?)
최근 실거래 - 사장님이 거래하신 매물이고 214동 22층 계약서는 썼는데 실거래 신고를 아직 안한 상황. 27억에 나온 매물을 500만원만 깎아서 그냥 계약서 작성 (26억 9500만원)
33평 매매가는 얼마인가요? 일반층은 28억 5천만원선에서 거래가 되고 있음. 25평하고 매매가 차이가 크지 않아서 실제 25평 보러왔다가 33평 매매 하시는 경우도 있다하심"</t>
      </text>
    </comment>
    <comment ref="E85" authorId="0" shapeId="0">
      <text>
        <t>한나:
#찬스 부동산뉴스공인중개사 02-404-6688
49p 고/12층 남향 123,000 / 55,000 
- 해당 물건이 가장 저렴한데 조건이 까다로움
- 내년 28년 5월 입주가능한 물건 / 전세입자 살고 있음
- 현재 거여쪽에 매물이 없다고 함. / 사장님 말로는 요즘 매매가 잘 되고 있는 편이긴한데 물건이 안 나오는건 아니라고 함.
- 이 물건이 마지막 12억대이고 나머지는 13억대로 형성된다고 함
- 거여5단지 59도 방2개 화1이라고함 다만, 거기가 그래도 평수는 조금 더 크다고 근데 방2개인건 같다고함.
- 거여5는 리모진행중이라고
&lt;부동산 평가&gt;
- 엄청 빠삭하게 한다는 느낌은 없음 
- 전세입자가 살고 있고 내년 8월 입주가능한 물건이라 본인도 이 물건에 대해 다소 회의적
&lt;얻은 정보&gt;
- 21평과 25평이 방 차이가 없고 단순한 평수 차이가 있음. - 거여쪽 현재 거래가 좀 잘 되는 편이라는게 느껴짐. "</t>
      </text>
    </comment>
    <comment ref="E125" authorId="0" shapeId="0">
      <text>
        <t>한나:
"현대1차 1992.03 497^
우리써브공인중개사 02-404-3311
84p 10층  140,000 / 60,000 
- 해당 물건이 가장 저렴함 / 이게 제일 나음 - 다주택자물건으로 매수자가 조율중임 / 매수자 희망가는 13억 9천5백 / 매도자는 14억 밑으로 절대 안판다고 함.
- 매수자는 강남에서 전세 살다가 집값이 자꾸 오르니까 사야겠다고 생각해서 사러온 사람임 - 매도자는 팔리면 그만 안 팔리면 그만이라고 생각하는 중
- 거여5단지 15억 넘게 거레되었고 4단지 25평도 14억 넘게 거래됨(엊그제) - 거여5단지는 15억 5천에 거래되는 추세 - 주변 시세 대비 이 물건이 제일 낫다. 요즘 거래 잘 된다. 내일도 14억 3천에 수리 안 된 물건 계약한다. - 수리는 필요하다. 올수리 필요
&lt;부동산 평가&gt;
- 적극적인 사장님 - 오늘 사는 집이 가장 싸다는 모토를 갖고 계심
&lt;얻은 정보&gt;
- 매수세가 확실히 여기도 붙었다는 것이 많이 느껴졌고 이번주 다주택자와 매수자 간의 실랑이가 장난아닐 것 같다는 생각이 듬. - 또한 사장님 말로는 다주택자들 5월 9일 이후 거둬들이면 물건 많이 없어질거다라고 얘기하심 - 확실히 나홀로 느낌의 현대보다는 조금 더 균질한 거여5가 낫다."</t>
      </text>
    </comment>
    <comment ref="E129" authorId="0" shapeId="0">
      <text>
        <t>한나:
#찬스 현대3차 010-2276-4969
84p 중층 126,000 / 65,000 
- 에이타입이 비타입보다 낫다고 함. 현재 가장 저렴하게 나온 물건
- 이 물건 다른 부동산에서 조율중이라 오늘 바로 와서 보는 거 아닌이상 힘들 것 같다고 함. 올 수 있냐고 여쭤보심.
- 현재 물건 계속 나가고 있는 상태이고 12억 후반대 물건은 아직 좀 있긴하다고 함.
- 어느 정도까지 금액 되는지 말해주면 준비해주겠다고 함. - 집 상태는 괜찮다고 함. 
&lt;부동산 평가&gt;
- 매우 적극적인 사장님 - 자꾸 오라고 하심
&lt;얻은 정보&gt;- 거여쪽 거래가 생각보다 활발한 것 같음"</t>
      </text>
    </comment>
    <comment ref="E147" authorId="0" shapeId="0">
      <text>
        <t>한나:
#보라매 "문정래미안 2004.09 1696^ 문정래미안 02-448-4600 33p 105동 12층 동향 220,000 / 92,000 
- 문의한 33평 해당물건 105동 12: 임차인 8월말에 나가서, 매도 의사 강함 (단, 1주택자라, 현재 ~5/9다주택자매물은 아님) =&gt; 중도금 먼저 드려, 임차인 먼저 퇴거 가능.
=&gt; 105동 16층&lt;단독물건&gt; 22억 집주인&lt;사모님, 안급함&gt; 거주 물건 있으나, 위의 12층 물건이 더 네고 가능성 높음.=&gt; 단, 33평 최근 실거래가는 19.85억(26년/1월/8일)인 상황에서 약 +2억 높은 호가
=&gt; 이후에는 33평이 22억 호가라서, 44평은 20억~21억 사이 실거래, 53평은 22.5억 실거래됨 (33평 호가가 비싸다TT)
*하지만 위의 대형평수는 다주택자의 월세낀 매물이라, 감당 가능한 매수자들이 빠르게 최근 ~5/9 이전에 매수함!
- 33평 로얄동: 104, 105(동향-두데미공원/힐스이편한문정/남한산성 뻥뷰) / 127(남향) 128(남향-문정초 뻥뷰) 가장 선호
- 44평 추천: 다주택자 물건 2개, 현재 33평 호가와 동일함. &lt;26.9월초까지 등기 가져와야 함&gt;
=&gt; 109동 603호(임차인, 27.3월만기, 7.77억 세낌, 22억 가능), 단 집을 못 보는 조건(올 확장된 집)=&gt; 109동 604호(공실, 22.5억 가능, 입주물건) 이유는 +5천만원만 더하면 살 수 있다. (22.5억) 단독보유 물건
=&gt; 109동이 남향중에는 가장 선호(단지내 메인광장 뷰_동간거리가 넒음)
*기타 44평 추천: 104동 1501호, 임차인 6월달에 나감(5억 월세 거주중, 올수리, 105동과 비슷한 뻥 공원+힐스뷰) 22.5억
=&gt; 53평 23억 매물도 있음.
#33평,44평,53평이 22~23억대 동일 호가로 보이나, 잘 뜯어보면...33평만 당장 실입주 물건이고, 44평/53평은 이번주내 거래 필수인 다주택자 물건임.44평은 원래 24억~, 53평은 원래 25억~ 부터 나왔다가, 다주택자 집주인들이 급해서 가격을 확 낮췄다는 설명.(5/9~이후에는 33평도 좋다는 사장님 의견)
&lt;부동산 평가&gt;
- 친절하심: 문정래미안 물건과 인근 단지에 대해 해박하심(하지만 어제 장지역 인근 건영 18:30 매물약속 잡았다가 급 캔슬한?깬 사람 아니냐는 의심ㅎ_역삼동부동산에서 19억 이하 물건 찾았다던?)*장지역 건영은, 학교가 애매해서, 신혼부부에게 적합하다는 의견- 보유 물건에 대한 장점을 막힘없이 설명(단, 타 부동산에 더블 크로스 필요)- 다주택자 ~5/9토(5/8금까지 모든 서류 정리 필요) 이전 거래 물건*당장 내일(5/6수)이라도 빨리 와야, 볼 수 있는 매물 추릴 수 있음.
&lt;얻은 정보&gt;
- 힐스테이트e편한문정에 대한 의견: 거기는 송파파인타운과 같은 입지라고 생각한다는 의견.  (송파파인타운은 절반이 임대라서 비선호하는 택지지구) 또한, 힐스(22.5억이 비싸다는 문정래미안 사장님)가 신축이지만...문정로 길 하나 사이를 두고, 선호가 크게 갈린다는 입장=&gt; 힐스에서 문정래미안 오는 5분 거리를 두고, 문정역까지 더 멀게 느껴진다는 사장님 의견.(전체적으로 가치가 다르다! 는 의견) (내 의견: 이렇게 따지면, 가락쌍용보다 교통이 문정래미안은 길 하나 사이에 두고 교통측면에서는 후순위 아닐까?) *힐스가 신축이라고 선택하면, 소형평수 위주라서 추후에 후회할꺼임 (힐스는 가장 큰 평형이 84이고, 문정래미안은 가장 작은 평형이 84)
- 문정초&lt;737명, 20.5명&gt;, 문정중&lt;83.6%&gt; 배정 (초중 품아) 
- 최근 흐름:
*가락쌍용 매도 =&gt; 문정래미안 매수. (반대는 절대 없다!) (가락쌍용 장점은 3호선 5분이내임, 그래도 가락쌍용 리모델링 추가분담금 4~5억 낼 바에야, 문정래미안도 옆의 현대1차&lt;2년안에 이주 예정&gt; 재건축 바람에 따른, 리모델링 호재를 얻고 가는게 더 좋은 선택이라는 설명)
=&gt; 현대1차 와는 하나같이 붙어있다는 사장님 생각에 동의합니다. =&gt; 리모델링: 쌍용은 지주연결 안되고...다 뜯어고쳐야함! 래미안은 당시에 커뮤니티가 부족한거 빼고, 지주 등 완벽함! (따라서, 쌍용과는 다르게 럭셔리 버전으로 갈 문정래미안)
*헬리오시티 84제곱 전세입자(신축 매수할려면 30억 필요TT) =&gt; 문정래미안 매수 많았음(20억 수준에 84 제곱 매수 가능!) =&gt; 헬리오시티보다 직장까지의 교통이 떨어지나, 문정래미안으로 이사와서, 버스 1번 더 타면 된다는 설명! =&gt; 엘리트 25평도 27.5억 호가라는 사장님...그만큼 문정래미안 84가 가격적이나 아이교육에 매력있다!"</t>
      </text>
    </comment>
    <comment ref="E181" authorId="0" shapeId="0">
      <text>
        <t>한나:
#보라매 31p 112동 10층 남서향 200,000 / 95,000 다주택자 물건 (이번주 지나면, 가격이 다 오를꺼 같다는 사장님 의견) - 로얄층 조합원옵션 시스템에어컨 막힘없는 뻥뷰
- 이번주 후에는 거둬들이고, 전세 놓을 예정 (현 세입자, 26년 10월 중순 만료)
- 이후에는 31평은 23억 물건 있음.
- 어제 나간 34평은, 22.5억(현재 호가는 25억물건 단 1개)
- 49제곱 호가 :15.9억(조정가능)
- 59제곱 호가 : 18.5억(타부동산 17.5억 물건 있음)
*그래도 이 단지는, 문정래미안과 다르게...각 평형별 가격차가 꽤 존재하는 편(84제곱 매물 단1개 남음)
=&gt; 입지가 살짝 떨어져도, 신축에 대한 사람들의 선호(특히 34평!)와, 아직 2년이 채 안되어 매물이 없는것일수도 있다는 개인 생각.
(다시 단지내 평형별, 구성을 보니,  총 세대수의 10%미만인 103세대만이 34평이네요^^;) *59제곱(25평)주력단지 =&gt; 505세대.
*따라서, 대형평수 위주인 문정래미안의 단지 쾌적도가 높은 것은 당연하다는 생각이 듭니다.
(어제 문정래미안 사장님 왈: 그 작은데로 왜 가냐?TT) - 문정초&lt;737명, 20.5명&gt;, 문정중&lt;83.6%&gt; 배정으로 문정래미안과 동일함(문정로 건너서 올라가야 함)
- 단, 어제 문정래미안 부사님 이야기대로, 이 신축단지는 기타임대 70세대가 포함되어 있고, 파인타운에 가까움
(실제 네이버 장기전세임대 카테고리에 2개 물건 분양중) *문정힐스 부사님은 더 이상 이런 형태 추가분양은 없다고 함.</t>
      </text>
    </comment>
    <comment ref="E185" authorId="0" shapeId="0">
      <text>
        <t xml:space="preserve">한나:
방이대림 30p 25.7억 5동 6층 남서향
랜드공인중개(현대부동산보다 주변단지에대해 브리핑을자연스럽게얘기해주심)
현재 일몰제기간(일정 기간 안에 정해진 단계까지 사업이 진행되지 않으면, 해당 정비구역을 자동으로 해제하는 제도)과 다주택자양도세이슈로 물건들이 좀나왔고 꾸준히거래된다하심재건축이슈로 싸게내놓으신물건임
방이대림은 26.2월까지 사업이잘진행되지않아 7월에 다시 재건축관련 신청을해야하는듯하다 이단지와 가격이 비슷한데 오늘나온 한양3차 44평 25.9억(200세대네요) 현대백조가 오금대림사이에 끼어있는거같았었는데 실제로 단지사이에 끼어있는단지이고 평형이 적은게있어 덜선호한다하심, 은연중 가격이말해준다고얘기해주심
코오롱단지같은경우 방산학군도있고 구조도 방3,화2구조로 젊은사람들수요가있다하심
방이대림과 래미안송파파인탑에 대한 비교가안되신다고 얘기해주심(현대부동산)
</t>
      </text>
    </comment>
    <comment ref="E188" authorId="0" shapeId="0">
      <text>
        <t>한나:
“전 조합원에 85㎡ 초과 배정”…올림픽선수기자촌아파트 재건축 ‘탄력’https://n.news.naver.com/article/119/0003087386 5540가구서 9218가구(임대 750가구 포함)로 재탄생
85㎡ 초과 특화 예상
--------------------------
#보라매 이화(올림픽단지내) 010-4499-7979
34p 128동 13층 남동향 277,000 / 60,000 
- 27년 2월 7일, 만기되는 세 낀 물건, 남동향(~5/6까지 거래라고 하심) - 등기는, 토허제허가신청 떨어지고 잔금 4개월 이내- 현재로는 전세낀 거로는 가장 가성비 좋음- 입주물은 28~30억선
&lt;부동산 평가&gt;
- 올림필선수기자촌 아파트 전문 부동산- 굉장히 차분하심- 하지만, 적극성도 그리 높지는 않음
&lt;얻은 정보&gt;
- 학군: 초등6학년 아이 부모라니까, 오륜중(학업성취도97.2%, 송파구1등) 보내려고 오시지 않나요? =&gt; 그러려면, 늦어도 올 가을에는 주소를 옮겨놔야 함(1차 배정을 꼭 받아야 하니까)=&gt; 오륜중의 경우는 대기가 문제가 아니고, 굉장히 까다롭게 교육지원청에서 보는중(실사까지 나와서 위장전입 점검중)=&gt; 방이역 위쪽과 고민중이라고 나는 고민 털어놓음!"
----------------------------
#노익
"올림픽선수기자촌아파트 1988.06 5540^이화(올림픽단지내)공인중개사사무소 010-4499-7979 34p 128동 13층 남동향 277,000 / 71,400 
- 방3 화1의 34평으로 6억/40만 반전세 물건으로 무주택자만 매수 가능.- 27년 초에 입주 가능하며 토지거래허가는 5월 8일까지 받아야 하는 급매라는 것으로 보아 다주택자 물건으로 보임. - 배관 포함 올수리된 물건이나 워낙 오래된 구축이어서 입주 시 부분수리가 추가로 필요할 듯.
- 재건축 호재가 있는 아파트로 올해 말 목표로 조합설립인가 진행중.
&lt;부동산 평가&gt;
- 갖고 계신 매물들로 보아 올림픽선수기자촌만 다루는 듯. 해당 단지에 대해서는 빠삭하지 않을까?- 다른 부동산에서 전화했냐고 물어봐서 임장 목적이란 것이 들키지 않았나 싶은데 그래도 친절히응대해줌.
&lt;얻은 정보&gt;
- 저층, 탑층 제외하고 현재 올라온 물건들 중 가장 저렴한 급매 물건.- 토지거래허가제로 인해 5/6일까지만 거래 가능한 물건.- 6억/40만 반전세가 끼어 있어 무주택자만 접근 가능하고 27년 초 입주 가능.- 한달 여유 좀 더 있는 물건으로 223동 27.8억, 7억 전세 끼어 있으며 10월 입주 가능.- 재건축 호재 있는 아파트로, 용적률이 작고 대지면적이 넓어 재건축 시 대지지분 크게 받음. "</t>
      </text>
    </comment>
    <comment ref="E317" authorId="0" shapeId="0">
      <text>
        <t>한나:
 3단지 잠실초 배정, 1단지가 잠현초 배정, 2단지가 성내천 쪽 잠현초 + 위쪽으로 가운데 나눠서 잠실초
   =&gt; 26년부터 중학교 배정 변경 1단지 잠실중, 2단지는 나눠짐 (풍납중/방이중), 3단지도 나눠짐 (풍납중/방이중)
*현재는 전월세가 희귀해, 각 단지별 차이없이 가격이 난립중.
 판상형(1,4호 라인/4베이구조,맞통풍) 타워형(2,3호라인 타워형/라운드 형태로 확장되면 더 큼!)
=&gt; 현재 가격대가 헬리오시티랑 비슷하다. 파크리오 18년차! // 이 이야기는 헬리오시티보다 2호선 입지의 파크리오가 좋다!
=&gt; 26년 3월말~4월초에 제일 싼 물건들 다 빠지고, 
     그 위에 물건들은...무주택가 세안고 살 수 있지만(조건이 어려워서 실제 거래는 어려웠다.) 하지만, 16평이 14억에 많이 팔림.(그나마 저렴)
=&gt; 리센츠 12평이 b,c타입(a타입은 비추천) 가운데 가격이 파크리오인데...
     지금은 더 아래쪽에 가격이 있다! 
 엘스,리센츠, 잠실주공5단지는 한 레벨 위의 다른 세상!
- 엘스,리센츠,잠실주공5단지가 위치가 좋지만, 파크리오가 가성비 좋다.
- 정신여중 가려면, 트리지움</t>
      </text>
    </comment>
    <comment ref="E334" authorId="0" shapeId="0">
      <text>
        <t>한나:
#노익 "오금대림1단지 1988.12 749^ 삼성(단지내)공인중개사사무소 010-9420-2099 31p 7동 9층 남서향 238,000 / 85,000 
- 요즘 지금 나와있는 물건들 중 가장 저렴함  수리가 잘된 물건은 전세가 8.5억, 안되면 7.5억 정도 가능  확장 올수리된 물건이나 입주 시 추가 수리 여부는 사람마다 취향이 달라서 직접 보지 않으면 모른다고 함. - 이사할 곳은 정해지지 않은 상태로 입주 날짜 협의 가능하다고 함. - 다른 물건으로 1동의 주인 거주하는 11층, 세입자 12월 만기인 15층 비확장 기본집 24억 있음.
&lt;부동산 평가&gt;
- 통화 중 내 집을 팔았냐고 묻는데 고가의 단지라서 올 현금으로 매수할 것이라는 생각을 안한 듯. - 바로 매물 볼 수 있는지 물어보는 것으로 보아 거래 성사에 매우 적극적임- 전화통화 종료 후 바로 문자로 통화했던 매물 리스트까지 보내줌
&lt;얻은 정보&gt;
- 전세가 희귀하다 보니 수리가 잘되어 있으면 전세가를 꽤 높게 올려받을 수 있다.- 단, 매매가에는 크게 영향을 주지 않는 듯. 수리 안된 기본집이 더 비싼 호가에 올라오기도 함.- 땅의 가치가 큰 지역이니 만큼 자산가치가 실거주가치와의 갭이 크다.- 토허제로 인한 양도세 중과 관련 얘기가 나오지 않는 것으로 보아 1주택자 거주 물건으로 보임."</t>
      </text>
    </comment>
    <comment ref="E418" authorId="0" shapeId="0">
      <text>
        <t xml:space="preserve">한나:
- 정신여중 가려면, 트리지움
</t>
      </text>
    </comment>
    <comment ref="E427" authorId="0" shapeId="0">
      <text>
        <t>한나:
"송파와이즈더샵 2016.02 390^
위례공인중개사사무소 02-470-9500, 010-6227-5454
38p 101동 20층↑ 남서향 230,000 / 100,000 
[매물1] 102동 고층 매매 23억 / 127.78㎡(전용96.71㎡) / 남서향 / 즉시입주
 [매물2] 101동 20층↑ 매매 23억 → 22억5천 조율 가능 (다주택자 급매)
 - 층 더 좋고 집 상태 좋음, 전망 뻥 뚫림
 - 기간 지나면 가격 오를 가능성 (타이밍 중요)
 - 최근 유사 물건 22억에 거래 완료
&lt;부동산 평가&gt;
최근 3개월 집주인확인 95건으로 물건 많음. 적극적. 단지 비교 솔직하게 설명. 실제적인 정보는 좀 두루뭉술 (대충 20층 이상이고, 그쯤하고…)
&lt;얻은 정보&gt;
[단지 비교]
 - 더샵 &gt; 중앙푸르지오: 중프는 상가 인접·주차 복잡·광장 소음 가능. 더샵은 트랩라인 배치라 전망 쾌적
 - 더샵(37평) vs 아이파크1차(35평): 가격차 약 5천, 더샵이 평수 크고 낫다
 - 꿈에그린 34평은 낡아서 리모델링 필수 → 비추</t>
      </text>
    </comment>
    <comment ref="E431" authorId="0" shapeId="0">
      <text>
        <t>한나:
위례대청 010-3897-8710
21p 2405동 5층 남동향 방2/화1 158,000 / 55,000 
다주택자 매물로, 21평(51제곱,방2/화1) 15.8억 최저가 5.5억 세낀(11월말 만기/현 전세가 6.3) 물건임. (부동산 24곳에 내놓음)
이 물건과, 바로 입주가능한 2421동 고층 15.8억 매물도 부동산 18곳 내놓음
&lt;부동산 평가&gt;
퇴근 하신 이후에도 많이 친절하심!
(다만, 세낀 물건임에도 현 전세가격을 몰라서
 임대인에게 물어봐서 1시간 뒤 다시 문자주심)
*다른 부동산에 연락하지 말고,
본인하고만 연락하자는 멘트가 인상적임!
&lt;얻은 정보&gt;
위례 송파의 소형평형 있는 대단지, 21평의 경우 지난달 16억으로 최고가를 찍었으나,
이후 주춤한 모습과 더불어 팔고자 하는 의지가 강한 다주택자와 일반 매물이 공존함"
---------------------------
스타 010-5795-5100
25p 2409동 12층 남동향 방3화2 186,000 / 20,000 
방3화2의 59제곱으로, 2.8억 저렴한 21평(방2/화1)보다 우선순위로 고려됨.(저층빼고는, 중층으로는 제일 저렴한 가격)
다주택자 매물로, 이번주(~5/7목 매매약정,~5/8토 허제신청)까지 계약서 불발시 매도 안할 예정인, 라스트 찬스의 물건. (총6군데 부동산에 내놓음).
현세입자 27.1월말 퇴거예정.(보증금 2억+월세&lt;25년1월 시세의 월세로 들어가 있음&gt;)
~올해 11월까지 소유권 이전 필요, 소유권 이전일로부터 늦어도 3개월 이전에 대출신청 실행해야 함.
&lt;부동산 평가&gt;
여자 대표님과 남자 팀장님(사무장)의 조합으로 이루어진 다수 매물 보유 부동산. 남 팀장님 친절하시며, 정리도 잘해주심!
*스타벅스 성남위례점(트램-위례중앙광장역)옆이라 스타 부동산! *위센자(성남 수정구)와 꿈에그린(송파위례24단지)  매물 다수 보유
&lt;얻은 정보&gt;
* 위례트램 (위로는 5호선 마천과 아래로는 2갈래로, 8호선/수인분당선 복정역과 8호선 남위례역으로 갈라져 연결됨 (12월초 시범운행중, 12월중하순 순차적 개통 예정) * 송례초(1311명, 23.4명)/송례중 품아로, 학교 규모 등에서 추천함"</t>
      </text>
    </comment>
    <comment ref="E437" authorId="0" shapeId="0">
      <text>
        <t>한나:
1,3,12,13단지는 임대없음. 파아테는 영구임대 아예없고, 장기전세와 국민임대만 있음. 장기전세는 곧 마감됨. 임대있는단지도 지하철역세권, 초중고가까워살기좋음.</t>
      </text>
    </comment>
    <comment ref="E461" authorId="0" shapeId="0">
      <text>
        <t>한나:
#그늘 "위례중앙푸르지오 2016 311^
스타부동산공인중개사사무소 02-543-1200, 010-5795-5100
32p 102동 11층 남향 230,000 / 90,000 
-현재 거주자 있음(매매 완료 상태), 
-입주 가능 시기는 새 매수자 일정에 맞춰 협의
 - 부동산 추천매물/ 관리상태 좋음 / 송파학군 / 중앙광장 핵심 입지
 - 푸르지오 자재가 탄탄해서 들어가서 보면 깔끔한 느낌. 도배 정도, 아쉬우면 화장실 정도만 손보면 됨.
&lt;부동산 평가&gt;
매우 적극적이고 영업 잘함. 단지마다 장단점 솔직하게 비교위례 전반을 코디네이트해주는 스타일. 임장 예약/매물 리스트 사전 발송 등 고객 케어 잘함. 여기도 스타벅스옆이라…스타부동산
&lt;얻은 정보&gt;
중앙공원 주변 단지를 가장 선호. 위례중앙푸르지오, 꿈에그린, 위례아이파크까지.
 [꿈에그린 vs 중앙푸르지오] 3년 차이지만 건설사/자재 차이로 체감 다름. 꿈에그린은 공공분양으로 자재 한계, 기본 리모델링 권장. 위례중앙푸르지오는 송파학군+중앙광장 입지로 핵심. 가격 23~25억 선이 위례 33평 메인 가격대"</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new.land.naver.com/complexes/168463?ms=2AfAQG,3zprE6,17&amp;a=APT:ABYG:JGC&amp;b=A1:B1&amp;e=RETAIL&amp;h=34&amp;i=132&amp;l=198&amp;ad=true" TargetMode="External" Id="rId1"/><Relationship Type="http://schemas.openxmlformats.org/officeDocument/2006/relationships/hyperlink" Target="https://new.land.naver.com/complexes/168463?ms=2AfAQG,3zprE6,17&amp;a=APT:ABYG:JGC&amp;b=A1:B1&amp;e=RETAIL&amp;h=34&amp;i=132&amp;l=198&amp;ad=true" TargetMode="External" Id="rId2"/><Relationship Type="http://schemas.openxmlformats.org/officeDocument/2006/relationships/hyperlink" Target="https://new.land.naver.com/complexes/168463?ms=2AfAQG,3zprE6,17&amp;a=APT:ABYG:JGC&amp;b=A1:B1&amp;e=RETAIL&amp;h=34&amp;i=132&amp;l=198&amp;ad=true" TargetMode="External" Id="rId3"/><Relationship Type="http://schemas.openxmlformats.org/officeDocument/2006/relationships/hyperlink" Target="https://new.land.naver.com/complexes/168463?ms=2AfAQG,3zprE6,17&amp;a=APT:ABYG:JGC&amp;b=A1:B1&amp;e=RETAIL&amp;h=34&amp;i=132&amp;l=198&amp;ad=true" TargetMode="External" Id="rId4"/><Relationship Type="http://schemas.openxmlformats.org/officeDocument/2006/relationships/hyperlink" Target="https://new.land.naver.com/complexes/101822?ms=2AfAQG,3zprE6,17&amp;a=APT:ABYG:JGC&amp;b=A1:B1&amp;e=RETAIL&amp;h=34&amp;i=132&amp;l=198&amp;ad=true" TargetMode="External" Id="rId5"/><Relationship Type="http://schemas.openxmlformats.org/officeDocument/2006/relationships/hyperlink" Target="https://new.land.naver.com/complexes/101822?ms=2AfAQG,3zprE6,17&amp;a=APT:ABYG:JGC&amp;b=A1:B1&amp;e=RETAIL&amp;h=34&amp;i=132&amp;l=198&amp;ad=true" TargetMode="External" Id="rId6"/><Relationship Type="http://schemas.openxmlformats.org/officeDocument/2006/relationships/hyperlink" Target="https://new.land.naver.com/complexes/101822?ms=2AfAQG,3zprE6,17&amp;a=APT:ABYG:JGC&amp;b=A1:B1&amp;e=RETAIL&amp;h=34&amp;i=132&amp;l=198&amp;ad=true" TargetMode="External" Id="rId7"/><Relationship Type="http://schemas.openxmlformats.org/officeDocument/2006/relationships/hyperlink" Target="https://new.land.naver.com/complexes/12930?ms=2AfAQG,3zprE6,17&amp;a=APT:ABYG:JGC&amp;b=A1:B1&amp;e=RETAIL&amp;h=34&amp;i=132&amp;l=198&amp;ad=true" TargetMode="External" Id="rId8"/><Relationship Type="http://schemas.openxmlformats.org/officeDocument/2006/relationships/hyperlink" Target="https://new.land.naver.com/complexes/12930?ms=2AfAQG,3zprE6,17&amp;a=APT:ABYG:JGC&amp;b=A1:B1&amp;e=RETAIL&amp;h=34&amp;i=132&amp;l=198&amp;ad=true" TargetMode="External" Id="rId9"/><Relationship Type="http://schemas.openxmlformats.org/officeDocument/2006/relationships/hyperlink" Target="https://new.land.naver.com/complexes/12930?ms=2AfAQG,3zprE6,17&amp;a=APT:ABYG:JGC&amp;b=A1:B1&amp;e=RETAIL&amp;h=34&amp;i=132&amp;l=198&amp;ad=true" TargetMode="External" Id="rId10"/><Relationship Type="http://schemas.openxmlformats.org/officeDocument/2006/relationships/hyperlink" Target="https://new.land.naver.com/complexes/12930?ms=2AfAQG,3zprE6,17&amp;a=APT:ABYG:JGC&amp;b=A1:B1&amp;e=RETAIL&amp;h=34&amp;i=132&amp;l=198&amp;ad=true" TargetMode="External" Id="rId11"/><Relationship Type="http://schemas.openxmlformats.org/officeDocument/2006/relationships/hyperlink" Target="https://new.land.naver.com/complexes/5730?ms=2AfAQG,3zprE6,17&amp;a=APT:ABYG:JGC&amp;b=A1:B1&amp;e=RETAIL&amp;h=34&amp;i=132&amp;l=198&amp;ad=true" TargetMode="External" Id="rId12"/><Relationship Type="http://schemas.openxmlformats.org/officeDocument/2006/relationships/hyperlink" Target="https://new.land.naver.com/complexes/5730?ms=2AfAQG,3zprE6,17&amp;a=APT:ABYG:JGC&amp;b=A1:B1&amp;e=RETAIL&amp;h=34&amp;i=132&amp;l=198&amp;ad=true" TargetMode="External" Id="rId13"/><Relationship Type="http://schemas.openxmlformats.org/officeDocument/2006/relationships/hyperlink" Target="https://new.land.naver.com/complexes/5730?ms=2AfAQG,3zprE6,17&amp;a=APT:ABYG:JGC&amp;b=A1:B1&amp;e=RETAIL&amp;h=34&amp;i=132&amp;l=198&amp;ad=true" TargetMode="External" Id="rId14"/><Relationship Type="http://schemas.openxmlformats.org/officeDocument/2006/relationships/hyperlink" Target="https://new.land.naver.com/complexes/5730?ms=2AfAQG,3zprE6,17&amp;a=APT:ABYG:JGC&amp;b=A1:B1&amp;e=RETAIL&amp;h=34&amp;i=132&amp;l=198&amp;ad=true" TargetMode="External" Id="rId15"/><Relationship Type="http://schemas.openxmlformats.org/officeDocument/2006/relationships/hyperlink" Target="https://new.land.naver.com/complexes/5730?ms=2AfAQG,3zprE6,17&amp;a=APT:ABYG:JGC&amp;b=A1:B1&amp;e=RETAIL&amp;h=34&amp;i=132&amp;l=198&amp;ad=true" TargetMode="External" Id="rId16"/><Relationship Type="http://schemas.openxmlformats.org/officeDocument/2006/relationships/hyperlink" Target="https://new.land.naver.com/complexes/5730?ms=2AfAQG,3zprE6,17&amp;a=APT:ABYG:JGC&amp;b=A1:B1&amp;e=RETAIL&amp;h=34&amp;i=132&amp;l=198&amp;ad=true" TargetMode="External" Id="rId17"/><Relationship Type="http://schemas.openxmlformats.org/officeDocument/2006/relationships/hyperlink" Target="https://new.land.naver.com/complexes/5718?ms=2AfAQG,3zprE6,17&amp;a=APT:ABYG:JGC&amp;b=A1:B1&amp;e=RETAIL&amp;h=34&amp;i=132&amp;l=198&amp;ad=true" TargetMode="External" Id="rId18"/><Relationship Type="http://schemas.openxmlformats.org/officeDocument/2006/relationships/hyperlink" Target="https://new.land.naver.com/complexes/5718?ms=2AfAQG,3zprE6,17&amp;a=APT:ABYG:JGC&amp;b=A1:B1&amp;e=RETAIL&amp;h=34&amp;i=132&amp;l=198&amp;ad=true" TargetMode="External" Id="rId19"/><Relationship Type="http://schemas.openxmlformats.org/officeDocument/2006/relationships/hyperlink" Target="https://new.land.naver.com/complexes/5718?ms=2AfAQG,3zprE6,17&amp;a=APT:ABYG:JGC&amp;b=A1:B1&amp;e=RETAIL&amp;h=34&amp;i=132&amp;l=198&amp;ad=true" TargetMode="External" Id="rId20"/><Relationship Type="http://schemas.openxmlformats.org/officeDocument/2006/relationships/hyperlink" Target="https://new.land.naver.com/complexes/5718?ms=2AfAQG,3zprE6,17&amp;a=APT:ABYG:JGC&amp;b=A1:B1&amp;e=RETAIL&amp;h=34&amp;i=132&amp;l=198&amp;ad=true" TargetMode="External" Id="rId21"/><Relationship Type="http://schemas.openxmlformats.org/officeDocument/2006/relationships/hyperlink" Target="https://new.land.naver.com/complexes/131686?ms=2AfAQG,3zprE6,17&amp;a=APT:ABYG:JGC&amp;b=A1:B1&amp;e=RETAIL&amp;h=34&amp;i=132&amp;l=198&amp;ad=true" TargetMode="External" Id="rId22"/><Relationship Type="http://schemas.openxmlformats.org/officeDocument/2006/relationships/hyperlink" Target="https://new.land.naver.com/complexes/131686?ms=2AfAQG,3zprE6,17&amp;a=APT:ABYG:JGC&amp;b=A1:B1&amp;e=RETAIL&amp;h=34&amp;i=132&amp;l=198&amp;ad=true" TargetMode="External" Id="rId23"/><Relationship Type="http://schemas.openxmlformats.org/officeDocument/2006/relationships/hyperlink" Target="https://new.land.naver.com/complexes/131686?ms=2AfAQG,3zprE6,17&amp;a=APT:ABYG:JGC&amp;b=A1:B1&amp;e=RETAIL&amp;h=34&amp;i=132&amp;l=198&amp;ad=true" TargetMode="External" Id="rId24"/><Relationship Type="http://schemas.openxmlformats.org/officeDocument/2006/relationships/hyperlink" Target="https://new.land.naver.com/complexes/5646?ms=2AfAQG,3zprE6,17&amp;a=APT:ABYG:JGC&amp;b=A1:B1&amp;e=RETAIL&amp;h=34&amp;i=132&amp;l=198&amp;ad=true" TargetMode="External" Id="rId25"/><Relationship Type="http://schemas.openxmlformats.org/officeDocument/2006/relationships/hyperlink" Target="https://new.land.naver.com/complexes/5646?ms=2AfAQG,3zprE6,17&amp;a=APT:ABYG:JGC&amp;b=A1:B1&amp;e=RETAIL&amp;h=34&amp;i=132&amp;l=198&amp;ad=true" TargetMode="External" Id="rId26"/><Relationship Type="http://schemas.openxmlformats.org/officeDocument/2006/relationships/hyperlink" Target="https://new.land.naver.com/complexes/5646?ms=2AfAQG,3zprE6,17&amp;a=APT:ABYG:JGC&amp;b=A1:B1&amp;e=RETAIL&amp;h=34&amp;i=132&amp;l=198&amp;ad=true" TargetMode="External" Id="rId27"/><Relationship Type="http://schemas.openxmlformats.org/officeDocument/2006/relationships/hyperlink" Target="https://new.land.naver.com/complexes/5646?ms=2AfAQG,3zprE6,17&amp;a=APT:ABYG:JGC&amp;b=A1:B1&amp;e=RETAIL&amp;h=34&amp;i=132&amp;l=198&amp;ad=true" TargetMode="External" Id="rId28"/><Relationship Type="http://schemas.openxmlformats.org/officeDocument/2006/relationships/hyperlink" Target="https://new.land.naver.com/complexes/5646?ms=2AfAQG,3zprE6,17&amp;a=APT:ABYG:JGC&amp;b=A1:B1&amp;e=RETAIL&amp;h=34&amp;i=132&amp;l=198&amp;ad=true" TargetMode="External" Id="rId29"/><Relationship Type="http://schemas.openxmlformats.org/officeDocument/2006/relationships/hyperlink" Target="https://new.land.naver.com/complexes/15501?ms=2AfAQG,3zprE6,17&amp;a=APT:ABYG:JGC&amp;b=A1:B1&amp;e=RETAIL&amp;h=34&amp;i=132&amp;l=198&amp;ad=true" TargetMode="External" Id="rId30"/><Relationship Type="http://schemas.openxmlformats.org/officeDocument/2006/relationships/hyperlink" Target="https://new.land.naver.com/complexes/15501?ms=2AfAQG,3zprE6,17&amp;a=APT:ABYG:JGC&amp;b=A1:B1&amp;e=RETAIL&amp;h=34&amp;i=132&amp;l=198&amp;ad=true" TargetMode="External" Id="rId31"/><Relationship Type="http://schemas.openxmlformats.org/officeDocument/2006/relationships/hyperlink" Target="https://new.land.naver.com/complexes/15501?ms=2AfAQG,3zprE6,17&amp;a=APT:ABYG:JGC&amp;b=A1:B1&amp;e=RETAIL&amp;h=34&amp;i=132&amp;l=198&amp;ad=true" TargetMode="External" Id="rId32"/><Relationship Type="http://schemas.openxmlformats.org/officeDocument/2006/relationships/hyperlink" Target="https://new.land.naver.com/complexes/15501?ms=2AfAQG,3zprE6,17&amp;a=APT:ABYG:JGC&amp;b=A1:B1&amp;e=RETAIL&amp;h=34&amp;i=132&amp;l=198&amp;ad=true" TargetMode="External" Id="rId33"/><Relationship Type="http://schemas.openxmlformats.org/officeDocument/2006/relationships/hyperlink" Target="https://new.land.naver.com/complexes/5710?ms=2AfAQG,3zprE6,17&amp;a=APT:ABYG:JGC&amp;b=A1:B1&amp;e=RETAIL&amp;h=34&amp;i=132&amp;l=198&amp;ad=true" TargetMode="External" Id="rId34"/><Relationship Type="http://schemas.openxmlformats.org/officeDocument/2006/relationships/hyperlink" Target="https://new.land.naver.com/complexes/5710?ms=2AfAQG,3zprE6,17&amp;a=APT:ABYG:JGC&amp;b=A1:B1&amp;e=RETAIL&amp;h=34&amp;i=132&amp;l=198&amp;ad=true" TargetMode="External" Id="rId35"/><Relationship Type="http://schemas.openxmlformats.org/officeDocument/2006/relationships/hyperlink" Target="https://new.land.naver.com/complexes/5710?ms=2AfAQG,3zprE6,17&amp;a=APT:ABYG:JGC&amp;b=A1:B1&amp;e=RETAIL&amp;h=34&amp;i=132&amp;l=198&amp;ad=true" TargetMode="External" Id="rId36"/><Relationship Type="http://schemas.openxmlformats.org/officeDocument/2006/relationships/hyperlink" Target="https://new.land.naver.com/complexes/5710?ms=2AfAQG,3zprE6,17&amp;a=APT:ABYG:JGC&amp;b=A1:B1&amp;e=RETAIL&amp;h=34&amp;i=132&amp;l=198&amp;ad=true" TargetMode="External" Id="rId37"/><Relationship Type="http://schemas.openxmlformats.org/officeDocument/2006/relationships/hyperlink" Target="https://new.land.naver.com/complexes/17579?ms=2AfAQG,3zprE6,17&amp;a=APT:ABYG:JGC&amp;b=A1:B1&amp;e=RETAIL&amp;h=34&amp;i=132&amp;l=198&amp;ad=true" TargetMode="External" Id="rId38"/><Relationship Type="http://schemas.openxmlformats.org/officeDocument/2006/relationships/hyperlink" Target="https://new.land.naver.com/complexes/17579?ms=2AfAQG,3zprE6,17&amp;a=APT:ABYG:JGC&amp;b=A1:B1&amp;e=RETAIL&amp;h=34&amp;i=132&amp;l=198&amp;ad=true" TargetMode="External" Id="rId39"/><Relationship Type="http://schemas.openxmlformats.org/officeDocument/2006/relationships/hyperlink" Target="https://new.land.naver.com/complexes/17579?ms=2AfAQG,3zprE6,17&amp;a=APT:ABYG:JGC&amp;b=A1:B1&amp;e=RETAIL&amp;h=34&amp;i=132&amp;l=198&amp;ad=true" TargetMode="External" Id="rId40"/><Relationship Type="http://schemas.openxmlformats.org/officeDocument/2006/relationships/hyperlink" Target="https://new.land.naver.com/complexes/103468?ms=2AfAQG,3zprE6,17&amp;a=APT:ABYG:JGC&amp;b=A1:B1&amp;e=RETAIL&amp;h=34&amp;i=132&amp;l=198&amp;ad=true" TargetMode="External" Id="rId41"/><Relationship Type="http://schemas.openxmlformats.org/officeDocument/2006/relationships/hyperlink" Target="https://new.land.naver.com/complexes/103468?ms=2AfAQG,3zprE6,17&amp;a=APT:ABYG:JGC&amp;b=A1:B1&amp;e=RETAIL&amp;h=34&amp;i=132&amp;l=198&amp;ad=true" TargetMode="External" Id="rId42"/><Relationship Type="http://schemas.openxmlformats.org/officeDocument/2006/relationships/hyperlink" Target="https://new.land.naver.com/complexes/103468?ms=2AfAQG,3zprE6,17&amp;a=APT:ABYG:JGC&amp;b=A1:B1&amp;e=RETAIL&amp;h=34&amp;i=132&amp;l=198&amp;ad=true" TargetMode="External" Id="rId43"/><Relationship Type="http://schemas.openxmlformats.org/officeDocument/2006/relationships/hyperlink" Target="https://new.land.naver.com/complexes/103468?ms=2AfAQG,3zprE6,17&amp;a=APT:ABYG:JGC&amp;b=A1:B1&amp;e=RETAIL&amp;h=34&amp;i=132&amp;l=198&amp;ad=true" TargetMode="External" Id="rId44"/><Relationship Type="http://schemas.openxmlformats.org/officeDocument/2006/relationships/hyperlink" Target="https://new.land.naver.com/complexes/17013?ms=2AfAQG,3zprE6,17&amp;a=APT:ABYG:JGC&amp;b=A1:B1&amp;e=RETAIL&amp;h=34&amp;i=132&amp;l=198&amp;ad=true" TargetMode="External" Id="rId45"/><Relationship Type="http://schemas.openxmlformats.org/officeDocument/2006/relationships/hyperlink" Target="https://new.land.naver.com/complexes/17013?ms=2AfAQG,3zprE6,17&amp;a=APT:ABYG:JGC&amp;b=A1:B1&amp;e=RETAIL&amp;h=34&amp;i=132&amp;l=198&amp;ad=true" TargetMode="External" Id="rId46"/><Relationship Type="http://schemas.openxmlformats.org/officeDocument/2006/relationships/hyperlink" Target="https://new.land.naver.com/complexes/17013?ms=2AfAQG,3zprE6,17&amp;a=APT:ABYG:JGC&amp;b=A1:B1&amp;e=RETAIL&amp;h=34&amp;i=132&amp;l=198&amp;ad=true" TargetMode="External" Id="rId47"/><Relationship Type="http://schemas.openxmlformats.org/officeDocument/2006/relationships/hyperlink" Target="https://new.land.naver.com/complexes/17013?ms=2AfAQG,3zprE6,17&amp;a=APT:ABYG:JGC&amp;b=A1:B1&amp;e=RETAIL&amp;h=34&amp;i=132&amp;l=198&amp;ad=true" TargetMode="External" Id="rId48"/><Relationship Type="http://schemas.openxmlformats.org/officeDocument/2006/relationships/hyperlink" Target="https://new.land.naver.com/complexes/17013?ms=2AfAQG,3zprE6,17&amp;a=APT:ABYG:JGC&amp;b=A1:B1&amp;e=RETAIL&amp;h=34&amp;i=132&amp;l=198&amp;ad=true" TargetMode="External" Id="rId49"/><Relationship Type="http://schemas.openxmlformats.org/officeDocument/2006/relationships/hyperlink" Target="https://new.land.naver.com/complexes/17013?ms=2AfAQG,3zprE6,17&amp;a=APT:ABYG:JGC&amp;b=A1:B1&amp;e=RETAIL&amp;h=34&amp;i=132&amp;l=198&amp;ad=true" TargetMode="External" Id="rId50"/><Relationship Type="http://schemas.openxmlformats.org/officeDocument/2006/relationships/hyperlink" Target="https://new.land.naver.com/complexes/17013?ms=2AfAQG,3zprE6,17&amp;a=APT:ABYG:JGC&amp;b=A1:B1&amp;e=RETAIL&amp;h=34&amp;i=132&amp;l=198&amp;ad=true" TargetMode="External" Id="rId51"/><Relationship Type="http://schemas.openxmlformats.org/officeDocument/2006/relationships/hyperlink" Target="https://new.land.naver.com/complexes/23829?ms=2AfAQG,3zprE6,17&amp;a=APT:ABYG:JGC&amp;b=A1:B1&amp;e=RETAIL&amp;h=34&amp;i=132&amp;l=198&amp;ad=true" TargetMode="External" Id="rId52"/><Relationship Type="http://schemas.openxmlformats.org/officeDocument/2006/relationships/hyperlink" Target="https://new.land.naver.com/complexes/23829?ms=2AfAQG,3zprE6,17&amp;a=APT:ABYG:JGC&amp;b=A1:B1&amp;e=RETAIL&amp;h=34&amp;i=132&amp;l=198&amp;ad=true" TargetMode="External" Id="rId53"/><Relationship Type="http://schemas.openxmlformats.org/officeDocument/2006/relationships/hyperlink" Target="https://new.land.naver.com/complexes/5657?ms=2AfAQG,3zprE6,17&amp;a=APT:ABYG:JGC&amp;b=A1:B1&amp;e=RETAIL&amp;h=34&amp;i=132&amp;l=198&amp;ad=true" TargetMode="External" Id="rId54"/><Relationship Type="http://schemas.openxmlformats.org/officeDocument/2006/relationships/hyperlink" Target="https://new.land.naver.com/complexes/5657?ms=2AfAQG,3zprE6,17&amp;a=APT:ABYG:JGC&amp;b=A1:B1&amp;e=RETAIL&amp;h=34&amp;i=132&amp;l=198&amp;ad=true" TargetMode="External" Id="rId55"/><Relationship Type="http://schemas.openxmlformats.org/officeDocument/2006/relationships/hyperlink" Target="https://new.land.naver.com/complexes/5650?ms=2AfAQG,3zprE6,17&amp;a=APT:ABYG:JGC&amp;b=A1:B1&amp;e=RETAIL&amp;h=34&amp;i=132&amp;l=198&amp;ad=true" TargetMode="External" Id="rId56"/><Relationship Type="http://schemas.openxmlformats.org/officeDocument/2006/relationships/hyperlink" Target="https://new.land.naver.com/complexes/5650?ms=2AfAQG,3zprE6,17&amp;a=APT:ABYG:JGC&amp;b=A1:B1&amp;e=RETAIL&amp;h=34&amp;i=132&amp;l=198&amp;ad=true" TargetMode="External" Id="rId57"/><Relationship Type="http://schemas.openxmlformats.org/officeDocument/2006/relationships/hyperlink" Target="https://new.land.naver.com/complexes/5650?ms=2AfAQG,3zprE6,17&amp;a=APT:ABYG:JGC&amp;b=A1:B1&amp;e=RETAIL&amp;h=34&amp;i=132&amp;l=198&amp;ad=true" TargetMode="External" Id="rId58"/><Relationship Type="http://schemas.openxmlformats.org/officeDocument/2006/relationships/hyperlink" Target="https://new.land.naver.com/complexes/5650?ms=2AfAQG,3zprE6,17&amp;a=APT:ABYG:JGC&amp;b=A1:B1&amp;e=RETAIL&amp;h=34&amp;i=132&amp;l=198&amp;ad=true" TargetMode="External" Id="rId59"/><Relationship Type="http://schemas.openxmlformats.org/officeDocument/2006/relationships/hyperlink" Target="https://new.land.naver.com/complexes/5650?ms=2AfAQG,3zprE6,17&amp;a=APT:ABYG:JGC&amp;b=A1:B1&amp;e=RETAIL&amp;h=34&amp;i=132&amp;l=198&amp;ad=true" TargetMode="External" Id="rId60"/><Relationship Type="http://schemas.openxmlformats.org/officeDocument/2006/relationships/hyperlink" Target="https://new.land.naver.com/complexes/5650?ms=2AfAQG,3zprE6,17&amp;a=APT:ABYG:JGC&amp;b=A1:B1&amp;e=RETAIL&amp;h=34&amp;i=132&amp;l=198&amp;ad=true" TargetMode="External" Id="rId61"/><Relationship Type="http://schemas.openxmlformats.org/officeDocument/2006/relationships/hyperlink" Target="https://new.land.naver.com/complexes/5650?ms=2AfAQG,3zprE6,17&amp;a=APT:ABYG:JGC&amp;b=A1:B1&amp;e=RETAIL&amp;h=34&amp;i=132&amp;l=198&amp;ad=true" TargetMode="External" Id="rId62"/><Relationship Type="http://schemas.openxmlformats.org/officeDocument/2006/relationships/hyperlink" Target="https://new.land.naver.com/complexes/5661?ms=2AfAQG,3zprE6,17&amp;a=APT:ABYG:JGC&amp;b=A1:B1&amp;e=RETAIL&amp;h=34&amp;i=132&amp;l=198&amp;ad=true" TargetMode="External" Id="rId63"/><Relationship Type="http://schemas.openxmlformats.org/officeDocument/2006/relationships/hyperlink" Target="https://new.land.naver.com/complexes/5661?ms=2AfAQG,3zprE6,17&amp;a=APT:ABYG:JGC&amp;b=A1:B1&amp;e=RETAIL&amp;h=34&amp;i=132&amp;l=198&amp;ad=true" TargetMode="External" Id="rId64"/><Relationship Type="http://schemas.openxmlformats.org/officeDocument/2006/relationships/hyperlink" Target="https://new.land.naver.com/complexes/5661?ms=2AfAQG,3zprE6,17&amp;a=APT:ABYG:JGC&amp;b=A1:B1&amp;e=RETAIL&amp;h=34&amp;i=132&amp;l=198&amp;ad=true" TargetMode="External" Id="rId65"/><Relationship Type="http://schemas.openxmlformats.org/officeDocument/2006/relationships/hyperlink" Target="https://new.land.naver.com/complexes/5661?ms=2AfAQG,3zprE6,17&amp;a=APT:ABYG:JGC&amp;b=A1:B1&amp;e=RETAIL&amp;h=34&amp;i=132&amp;l=198&amp;ad=true" TargetMode="External" Id="rId66"/><Relationship Type="http://schemas.openxmlformats.org/officeDocument/2006/relationships/hyperlink" Target="https://new.land.naver.com/complexes/5681?ms=2AfAQG,3zprE6,17&amp;a=APT:ABYG:JGC&amp;b=A1:B1&amp;e=RETAIL&amp;h=34&amp;i=132&amp;l=198&amp;ad=true" TargetMode="External" Id="rId67"/><Relationship Type="http://schemas.openxmlformats.org/officeDocument/2006/relationships/hyperlink" Target="https://new.land.naver.com/complexes/5681?ms=2AfAQG,3zprE6,17&amp;a=APT:ABYG:JGC&amp;b=A1:B1&amp;e=RETAIL&amp;h=34&amp;i=132&amp;l=198&amp;ad=true" TargetMode="External" Id="rId68"/><Relationship Type="http://schemas.openxmlformats.org/officeDocument/2006/relationships/hyperlink" Target="https://new.land.naver.com/complexes/5681?ms=2AfAQG,3zprE6,17&amp;a=APT:ABYG:JGC&amp;b=A1:B1&amp;e=RETAIL&amp;h=34&amp;i=132&amp;l=198&amp;ad=true" TargetMode="External" Id="rId69"/><Relationship Type="http://schemas.openxmlformats.org/officeDocument/2006/relationships/hyperlink" Target="https://new.land.naver.com/complexes/5681?ms=2AfAQG,3zprE6,17&amp;a=APT:ABYG:JGC&amp;b=A1:B1&amp;e=RETAIL&amp;h=34&amp;i=132&amp;l=198&amp;ad=true" TargetMode="External" Id="rId70"/><Relationship Type="http://schemas.openxmlformats.org/officeDocument/2006/relationships/hyperlink" Target="https://new.land.naver.com/complexes/5681?ms=2AfAQG,3zprE6,17&amp;a=APT:ABYG:JGC&amp;b=A1:B1&amp;e=RETAIL&amp;h=34&amp;i=132&amp;l=198&amp;ad=true" TargetMode="External" Id="rId71"/><Relationship Type="http://schemas.openxmlformats.org/officeDocument/2006/relationships/hyperlink" Target="https://new.land.naver.com/complexes/5681?ms=2AfAQG,3zprE6,17&amp;a=APT:ABYG:JGC&amp;b=A1:B1&amp;e=RETAIL&amp;h=34&amp;i=132&amp;l=198&amp;ad=true" TargetMode="External" Id="rId72"/><Relationship Type="http://schemas.openxmlformats.org/officeDocument/2006/relationships/hyperlink" Target="https://new.land.naver.com/complexes/5659?ms=2AfAQG,3zprE6,17&amp;a=APT:ABYG:JGC&amp;b=A1:B1&amp;e=RETAIL&amp;h=34&amp;i=132&amp;l=198&amp;ad=true" TargetMode="External" Id="rId73"/><Relationship Type="http://schemas.openxmlformats.org/officeDocument/2006/relationships/hyperlink" Target="https://new.land.naver.com/complexes/5659?ms=2AfAQG,3zprE6,17&amp;a=APT:ABYG:JGC&amp;b=A1:B1&amp;e=RETAIL&amp;h=34&amp;i=132&amp;l=198&amp;ad=true" TargetMode="External" Id="rId74"/><Relationship Type="http://schemas.openxmlformats.org/officeDocument/2006/relationships/hyperlink" Target="https://new.land.naver.com/complexes/5659?ms=2AfAQG,3zprE6,17&amp;a=APT:ABYG:JGC&amp;b=A1:B1&amp;e=RETAIL&amp;h=34&amp;i=132&amp;l=198&amp;ad=true" TargetMode="External" Id="rId75"/><Relationship Type="http://schemas.openxmlformats.org/officeDocument/2006/relationships/hyperlink" Target="https://new.land.naver.com/complexes/5659?ms=2AfAQG,3zprE6,17&amp;a=APT:ABYG:JGC&amp;b=A1:B1&amp;e=RETAIL&amp;h=34&amp;i=132&amp;l=198&amp;ad=true" TargetMode="External" Id="rId76"/><Relationship Type="http://schemas.openxmlformats.org/officeDocument/2006/relationships/hyperlink" Target="https://new.land.naver.com/complexes/5672?ms=2AfAQG,3zprE6,17&amp;a=APT:ABYG:JGC&amp;b=A1:B1&amp;e=RETAIL&amp;h=34&amp;i=132&amp;l=198&amp;ad=true" TargetMode="External" Id="rId77"/><Relationship Type="http://schemas.openxmlformats.org/officeDocument/2006/relationships/hyperlink" Target="https://new.land.naver.com/complexes/5672?ms=2AfAQG,3zprE6,17&amp;a=APT:ABYG:JGC&amp;b=A1:B1&amp;e=RETAIL&amp;h=34&amp;i=132&amp;l=198&amp;ad=true" TargetMode="External" Id="rId78"/><Relationship Type="http://schemas.openxmlformats.org/officeDocument/2006/relationships/hyperlink" Target="https://new.land.naver.com/complexes/5672?ms=2AfAQG,3zprE6,17&amp;a=APT:ABYG:JGC&amp;b=A1:B1&amp;e=RETAIL&amp;h=34&amp;i=132&amp;l=198&amp;ad=true" TargetMode="External" Id="rId79"/><Relationship Type="http://schemas.openxmlformats.org/officeDocument/2006/relationships/hyperlink" Target="https://new.land.naver.com/complexes/5672?ms=2AfAQG,3zprE6,17&amp;a=APT:ABYG:JGC&amp;b=A1:B1&amp;e=RETAIL&amp;h=34&amp;i=132&amp;l=198&amp;ad=true" TargetMode="External" Id="rId80"/><Relationship Type="http://schemas.openxmlformats.org/officeDocument/2006/relationships/hyperlink" Target="https://new.land.naver.com/complexes/115235?ms=2AfAQG,3zprE6,17&amp;a=APT:ABYG:JGC&amp;b=A1:B1&amp;e=RETAIL&amp;h=34&amp;i=132&amp;l=198&amp;ad=true" TargetMode="External" Id="rId81"/><Relationship Type="http://schemas.openxmlformats.org/officeDocument/2006/relationships/hyperlink" Target="https://new.land.naver.com/complexes/115235?ms=2AfAQG,3zprE6,17&amp;a=APT:ABYG:JGC&amp;b=A1:B1&amp;e=RETAIL&amp;h=34&amp;i=132&amp;l=198&amp;ad=true" TargetMode="External" Id="rId82"/><Relationship Type="http://schemas.openxmlformats.org/officeDocument/2006/relationships/hyperlink" Target="https://new.land.naver.com/complexes/115235?ms=2AfAQG,3zprE6,17&amp;a=APT:ABYG:JGC&amp;b=A1:B1&amp;e=RETAIL&amp;h=34&amp;i=132&amp;l=198&amp;ad=true" TargetMode="External" Id="rId83"/><Relationship Type="http://schemas.openxmlformats.org/officeDocument/2006/relationships/hyperlink" Target="https://new.land.naver.com/complexes/115235?ms=2AfAQG,3zprE6,17&amp;a=APT:ABYG:JGC&amp;b=A1:B1&amp;e=RETAIL&amp;h=34&amp;i=132&amp;l=198&amp;ad=true" TargetMode="External" Id="rId84"/><Relationship Type="http://schemas.openxmlformats.org/officeDocument/2006/relationships/hyperlink" Target="https://new.land.naver.com/complexes/115287?ms=2AfAQG,3zprE6,17&amp;a=APT:ABYG:JGC&amp;b=A1:B1&amp;e=RETAIL&amp;h=34&amp;i=132&amp;l=198&amp;ad=true" TargetMode="External" Id="rId85"/><Relationship Type="http://schemas.openxmlformats.org/officeDocument/2006/relationships/hyperlink" Target="https://new.land.naver.com/complexes/115287?ms=2AfAQG,3zprE6,17&amp;a=APT:ABYG:JGC&amp;b=A1:B1&amp;e=RETAIL&amp;h=34&amp;i=132&amp;l=198&amp;ad=true" TargetMode="External" Id="rId86"/><Relationship Type="http://schemas.openxmlformats.org/officeDocument/2006/relationships/hyperlink" Target="https://new.land.naver.com/complexes/115287?ms=2AfAQG,3zprE6,17&amp;a=APT:ABYG:JGC&amp;b=A1:B1&amp;e=RETAIL&amp;h=34&amp;i=132&amp;l=198&amp;ad=true" TargetMode="External" Id="rId87"/><Relationship Type="http://schemas.openxmlformats.org/officeDocument/2006/relationships/hyperlink" Target="https://new.land.naver.com/complexes/144177?ms=2AfAQG,3zprE6,17&amp;a=APT:ABYG:JGC&amp;b=A1:B1&amp;e=RETAIL&amp;h=34&amp;i=132&amp;l=198&amp;ad=true" TargetMode="External" Id="rId88"/><Relationship Type="http://schemas.openxmlformats.org/officeDocument/2006/relationships/hyperlink" Target="https://new.land.naver.com/complexes/144177?ms=2AfAQG,3zprE6,17&amp;a=APT:ABYG:JGC&amp;b=A1:B1&amp;e=RETAIL&amp;h=34&amp;i=132&amp;l=198&amp;ad=true" TargetMode="External" Id="rId89"/><Relationship Type="http://schemas.openxmlformats.org/officeDocument/2006/relationships/hyperlink" Target="https://new.land.naver.com/complexes/144177?ms=2AfAQG,3zprE6,17&amp;a=APT:ABYG:JGC&amp;b=A1:B1&amp;e=RETAIL&amp;h=34&amp;i=132&amp;l=198&amp;ad=true" TargetMode="External" Id="rId90"/><Relationship Type="http://schemas.openxmlformats.org/officeDocument/2006/relationships/hyperlink" Target="https://new.land.naver.com/complexes/109057?ms=2AfAQG,3zprE6,17&amp;a=APT:ABYG:JGC&amp;b=A1:B1&amp;e=RETAIL&amp;h=34&amp;i=132&amp;l=198&amp;ad=true" TargetMode="External" Id="rId91"/><Relationship Type="http://schemas.openxmlformats.org/officeDocument/2006/relationships/hyperlink" Target="https://new.land.naver.com/complexes/109057?ms=2AfAQG,3zprE6,17&amp;a=APT:ABYG:JGC&amp;b=A1:B1&amp;e=RETAIL&amp;h=34&amp;i=132&amp;l=198&amp;ad=true" TargetMode="External" Id="rId92"/><Relationship Type="http://schemas.openxmlformats.org/officeDocument/2006/relationships/hyperlink" Target="https://new.land.naver.com/complexes/109057?ms=2AfAQG,3zprE6,17&amp;a=APT:ABYG:JGC&amp;b=A1:B1&amp;e=RETAIL&amp;h=34&amp;i=132&amp;l=198&amp;ad=true" TargetMode="External" Id="rId93"/><Relationship Type="http://schemas.openxmlformats.org/officeDocument/2006/relationships/hyperlink" Target="https://new.land.naver.com/complexes/109057?ms=2AfAQG,3zprE6,17&amp;a=APT:ABYG:JGC&amp;b=A1:B1&amp;e=RETAIL&amp;h=34&amp;i=132&amp;l=198&amp;ad=true" TargetMode="External" Id="rId94"/><Relationship Type="http://schemas.openxmlformats.org/officeDocument/2006/relationships/hyperlink" Target="https://new.land.naver.com/complexes/27353?ms=2AfAQG,3zprE6,17&amp;a=APT:ABYG:JGC&amp;b=A1:B1&amp;e=RETAIL&amp;h=34&amp;i=132&amp;l=198&amp;ad=true" TargetMode="External" Id="rId95"/><Relationship Type="http://schemas.openxmlformats.org/officeDocument/2006/relationships/hyperlink" Target="https://new.land.naver.com/complexes/22434?ms=2AfAQG,3zprE6,17&amp;a=APT:ABYG:JGC&amp;b=A1:B1&amp;e=RETAIL&amp;h=34&amp;i=132&amp;l=198&amp;ad=true" TargetMode="External" Id="rId96"/><Relationship Type="http://schemas.openxmlformats.org/officeDocument/2006/relationships/hyperlink" Target="https://new.land.naver.com/complexes/19383?ms=2AfAQG,3zprE6,17&amp;a=APT:ABYG:JGC&amp;b=A1:B1&amp;e=RETAIL&amp;h=34&amp;i=132&amp;l=198&amp;ad=true" TargetMode="External" Id="rId97"/><Relationship Type="http://schemas.openxmlformats.org/officeDocument/2006/relationships/hyperlink" Target="https://new.land.naver.com/complexes/19383?ms=2AfAQG,3zprE6,17&amp;a=APT:ABYG:JGC&amp;b=A1:B1&amp;e=RETAIL&amp;h=34&amp;i=132&amp;l=198&amp;ad=true" TargetMode="External" Id="rId98"/><Relationship Type="http://schemas.openxmlformats.org/officeDocument/2006/relationships/hyperlink" Target="https://new.land.naver.com/complexes/19383?ms=2AfAQG,3zprE6,17&amp;a=APT:ABYG:JGC&amp;b=A1:B1&amp;e=RETAIL&amp;h=34&amp;i=132&amp;l=198&amp;ad=true" TargetMode="External" Id="rId99"/><Relationship Type="http://schemas.openxmlformats.org/officeDocument/2006/relationships/hyperlink" Target="https://new.land.naver.com/complexes/19583?ms=2AfAQG,3zprE6,17&amp;a=APT:ABYG:JGC&amp;b=A1:B1&amp;e=RETAIL&amp;h=34&amp;i=132&amp;l=198&amp;ad=true" TargetMode="External" Id="rId100"/><Relationship Type="http://schemas.openxmlformats.org/officeDocument/2006/relationships/hyperlink" Target="https://new.land.naver.com/complexes/19583?ms=2AfAQG,3zprE6,17&amp;a=APT:ABYG:JGC&amp;b=A1:B1&amp;e=RETAIL&amp;h=34&amp;i=132&amp;l=198&amp;ad=true" TargetMode="External" Id="rId101"/><Relationship Type="http://schemas.openxmlformats.org/officeDocument/2006/relationships/hyperlink" Target="https://new.land.naver.com/complexes/19583?ms=2AfAQG,3zprE6,17&amp;a=APT:ABYG:JGC&amp;b=A1:B1&amp;e=RETAIL&amp;h=34&amp;i=132&amp;l=198&amp;ad=true" TargetMode="External" Id="rId102"/><Relationship Type="http://schemas.openxmlformats.org/officeDocument/2006/relationships/hyperlink" Target="https://new.land.naver.com/complexes/24171?ms=2AfAQG,3zprE6,17&amp;a=APT:ABYG:JGC&amp;b=A1:B1&amp;e=RETAIL&amp;h=34&amp;i=132&amp;l=198&amp;ad=true" TargetMode="External" Id="rId103"/><Relationship Type="http://schemas.openxmlformats.org/officeDocument/2006/relationships/hyperlink" Target="https://new.land.naver.com/complexes/104970?ms=2AfAQG,3zprE6,17&amp;a=APT:ABYG:JGC&amp;b=A1:B1&amp;e=RETAIL&amp;h=34&amp;i=132&amp;l=198&amp;ad=true" TargetMode="External" Id="rId104"/><Relationship Type="http://schemas.openxmlformats.org/officeDocument/2006/relationships/hyperlink" Target="https://new.land.naver.com/complexes/104970?ms=2AfAQG,3zprE6,17&amp;a=APT:ABYG:JGC&amp;b=A1:B1&amp;e=RETAIL&amp;h=34&amp;i=132&amp;l=198&amp;ad=true" TargetMode="External" Id="rId105"/><Relationship Type="http://schemas.openxmlformats.org/officeDocument/2006/relationships/hyperlink" Target="https://new.land.naver.com/complexes/104970?ms=2AfAQG,3zprE6,17&amp;a=APT:ABYG:JGC&amp;b=A1:B1&amp;e=RETAIL&amp;h=34&amp;i=132&amp;l=198&amp;ad=true" TargetMode="External" Id="rId106"/><Relationship Type="http://schemas.openxmlformats.org/officeDocument/2006/relationships/hyperlink" Target="https://new.land.naver.com/complexes/12800?ms=2AfAQG,3zprE6,17&amp;a=APT:ABYG:JGC&amp;b=A1:B1&amp;e=RETAIL&amp;h=34&amp;i=132&amp;l=198&amp;ad=true" TargetMode="External" Id="rId107"/><Relationship Type="http://schemas.openxmlformats.org/officeDocument/2006/relationships/hyperlink" Target="https://new.land.naver.com/complexes/12800?ms=2AfAQG,3zprE6,17&amp;a=APT:ABYG:JGC&amp;b=A1:B1&amp;e=RETAIL&amp;h=34&amp;i=132&amp;l=198&amp;ad=true" TargetMode="External" Id="rId108"/><Relationship Type="http://schemas.openxmlformats.org/officeDocument/2006/relationships/hyperlink" Target="https://new.land.naver.com/complexes/12800?ms=2AfAQG,3zprE6,17&amp;a=APT:ABYG:JGC&amp;b=A1:B1&amp;e=RETAIL&amp;h=34&amp;i=132&amp;l=198&amp;ad=true" TargetMode="External" Id="rId109"/><Relationship Type="http://schemas.openxmlformats.org/officeDocument/2006/relationships/hyperlink" Target="https://new.land.naver.com/complexes/12800?ms=2AfAQG,3zprE6,17&amp;a=APT:ABYG:JGC&amp;b=A1:B1&amp;e=RETAIL&amp;h=34&amp;i=132&amp;l=198&amp;ad=true" TargetMode="External" Id="rId110"/><Relationship Type="http://schemas.openxmlformats.org/officeDocument/2006/relationships/hyperlink" Target="https://new.land.naver.com/complexes/12800?ms=2AfAQG,3zprE6,17&amp;a=APT:ABYG:JGC&amp;b=A1:B1&amp;e=RETAIL&amp;h=34&amp;i=132&amp;l=198&amp;ad=true" TargetMode="External" Id="rId111"/><Relationship Type="http://schemas.openxmlformats.org/officeDocument/2006/relationships/hyperlink" Target="https://new.land.naver.com/complexes/26064?ms=2AfAQG,3zprE6,17&amp;a=APT:ABYG:JGC&amp;b=A1:B1&amp;e=RETAIL&amp;h=34&amp;i=132&amp;l=198&amp;ad=true" TargetMode="External" Id="rId112"/><Relationship Type="http://schemas.openxmlformats.org/officeDocument/2006/relationships/hyperlink" Target="https://new.land.naver.com/complexes/26064?ms=2AfAQG,3zprE6,17&amp;a=APT:ABYG:JGC&amp;b=A1:B1&amp;e=RETAIL&amp;h=34&amp;i=132&amp;l=198&amp;ad=true" TargetMode="External" Id="rId113"/><Relationship Type="http://schemas.openxmlformats.org/officeDocument/2006/relationships/hyperlink" Target="https://new.land.naver.com/complexes/19734?ms=2AfAQG,3zprE6,17&amp;a=APT:ABYG:JGC&amp;b=A1:B1&amp;e=RETAIL&amp;h=34&amp;i=132&amp;l=198&amp;ad=true" TargetMode="External" Id="rId114"/><Relationship Type="http://schemas.openxmlformats.org/officeDocument/2006/relationships/hyperlink" Target="https://new.land.naver.com/complexes/19734?ms=2AfAQG,3zprE6,17&amp;a=APT:ABYG:JGC&amp;b=A1:B1&amp;e=RETAIL&amp;h=34&amp;i=132&amp;l=198&amp;ad=true" TargetMode="External" Id="rId115"/><Relationship Type="http://schemas.openxmlformats.org/officeDocument/2006/relationships/hyperlink" Target="https://new.land.naver.com/complexes/19734?ms=2AfAQG,3zprE6,17&amp;a=APT:ABYG:JGC&amp;b=A1:B1&amp;e=RETAIL&amp;h=34&amp;i=132&amp;l=198&amp;ad=true" TargetMode="External" Id="rId116"/><Relationship Type="http://schemas.openxmlformats.org/officeDocument/2006/relationships/hyperlink" Target="https://new.land.naver.com/complexes/19734?ms=2AfAQG,3zprE6,17&amp;a=APT:ABYG:JGC&amp;b=A1:B1&amp;e=RETAIL&amp;h=34&amp;i=132&amp;l=198&amp;ad=true" TargetMode="External" Id="rId117"/><Relationship Type="http://schemas.openxmlformats.org/officeDocument/2006/relationships/hyperlink" Target="https://new.land.naver.com/complexes/103233?ms=2AfAQG,3zprE6,17&amp;a=APT:ABYG:JGC&amp;b=A1:B1&amp;e=RETAIL&amp;h=34&amp;i=132&amp;l=198&amp;ad=true" TargetMode="External" Id="rId118"/><Relationship Type="http://schemas.openxmlformats.org/officeDocument/2006/relationships/hyperlink" Target="https://new.land.naver.com/complexes/103233?ms=2AfAQG,3zprE6,17&amp;a=APT:ABYG:JGC&amp;b=A1:B1&amp;e=RETAIL&amp;h=34&amp;i=132&amp;l=198&amp;ad=true" TargetMode="External" Id="rId119"/><Relationship Type="http://schemas.openxmlformats.org/officeDocument/2006/relationships/hyperlink" Target="https://new.land.naver.com/complexes/103233?ms=2AfAQG,3zprE6,17&amp;a=APT:ABYG:JGC&amp;b=A1:B1&amp;e=RETAIL&amp;h=34&amp;i=132&amp;l=198&amp;ad=true" TargetMode="External" Id="rId120"/><Relationship Type="http://schemas.openxmlformats.org/officeDocument/2006/relationships/hyperlink" Target="https://new.land.naver.com/complexes/18746?ms=2AfAQG,3zprE6,17&amp;a=APT:ABYG:JGC&amp;b=A1:B1&amp;e=RETAIL&amp;h=34&amp;i=132&amp;l=198&amp;ad=true" TargetMode="External" Id="rId121"/><Relationship Type="http://schemas.openxmlformats.org/officeDocument/2006/relationships/hyperlink" Target="https://new.land.naver.com/complexes/18746?ms=2AfAQG,3zprE6,17&amp;a=APT:ABYG:JGC&amp;b=A1:B1&amp;e=RETAIL&amp;h=34&amp;i=132&amp;l=198&amp;ad=true" TargetMode="External" Id="rId122"/><Relationship Type="http://schemas.openxmlformats.org/officeDocument/2006/relationships/hyperlink" Target="https://new.land.naver.com/complexes/18746?ms=2AfAQG,3zprE6,17&amp;a=APT:ABYG:JGC&amp;b=A1:B1&amp;e=RETAIL&amp;h=34&amp;i=132&amp;l=198&amp;ad=true" TargetMode="External" Id="rId123"/><Relationship Type="http://schemas.openxmlformats.org/officeDocument/2006/relationships/hyperlink" Target="https://new.land.naver.com/complexes/127001?ms=2AfAQG,3zprE6,17&amp;a=APT:ABYG:JGC&amp;b=A1:B1&amp;e=RETAIL&amp;h=34&amp;i=132&amp;l=198&amp;ad=true" TargetMode="External" Id="rId124"/><Relationship Type="http://schemas.openxmlformats.org/officeDocument/2006/relationships/hyperlink" Target="https://new.land.naver.com/complexes/127001?ms=2AfAQG,3zprE6,17&amp;a=APT:ABYG:JGC&amp;b=A1:B1&amp;e=RETAIL&amp;h=34&amp;i=132&amp;l=198&amp;ad=true" TargetMode="External" Id="rId125"/><Relationship Type="http://schemas.openxmlformats.org/officeDocument/2006/relationships/hyperlink" Target="https://new.land.naver.com/complexes/127001?ms=2AfAQG,3zprE6,17&amp;a=APT:ABYG:JGC&amp;b=A1:B1&amp;e=RETAIL&amp;h=34&amp;i=132&amp;l=198&amp;ad=true" TargetMode="External" Id="rId126"/><Relationship Type="http://schemas.openxmlformats.org/officeDocument/2006/relationships/hyperlink" Target="https://new.land.naver.com/complexes/127001?ms=2AfAQG,3zprE6,17&amp;a=APT:ABYG:JGC&amp;b=A1:B1&amp;e=RETAIL&amp;h=34&amp;i=132&amp;l=198&amp;ad=true" TargetMode="External" Id="rId127"/><Relationship Type="http://schemas.openxmlformats.org/officeDocument/2006/relationships/hyperlink" Target="https://new.land.naver.com/complexes/127001?ms=2AfAQG,3zprE6,17&amp;a=APT:ABYG:JGC&amp;b=A1:B1&amp;e=RETAIL&amp;h=34&amp;i=132&amp;l=198&amp;ad=true" TargetMode="External" Id="rId128"/><Relationship Type="http://schemas.openxmlformats.org/officeDocument/2006/relationships/hyperlink" Target="https://new.land.naver.com/complexes/101062?ms=2AfAQG,3zprE6,17&amp;a=APT:ABYG:JGC&amp;b=A1:B1&amp;e=RETAIL&amp;h=34&amp;i=132&amp;l=198&amp;ad=true" TargetMode="External" Id="rId129"/><Relationship Type="http://schemas.openxmlformats.org/officeDocument/2006/relationships/hyperlink" Target="https://new.land.naver.com/complexes/101062?ms=2AfAQG,3zprE6,17&amp;a=APT:ABYG:JGC&amp;b=A1:B1&amp;e=RETAIL&amp;h=34&amp;i=132&amp;l=198&amp;ad=true" TargetMode="External" Id="rId130"/><Relationship Type="http://schemas.openxmlformats.org/officeDocument/2006/relationships/hyperlink" Target="https://new.land.naver.com/complexes/5698?ms=2AfAQG,3zprE6,17&amp;a=APT:ABYG:JGC&amp;b=A1:B1&amp;e=RETAIL&amp;h=34&amp;i=132&amp;l=198&amp;ad=true" TargetMode="External" Id="rId131"/><Relationship Type="http://schemas.openxmlformats.org/officeDocument/2006/relationships/hyperlink" Target="https://new.land.naver.com/complexes/5698?ms=2AfAQG,3zprE6,17&amp;a=APT:ABYG:JGC&amp;b=A1:B1&amp;e=RETAIL&amp;h=34&amp;i=132&amp;l=198&amp;ad=true" TargetMode="External" Id="rId132"/><Relationship Type="http://schemas.openxmlformats.org/officeDocument/2006/relationships/hyperlink" Target="https://new.land.naver.com/complexes/5698?ms=2AfAQG,3zprE6,17&amp;a=APT:ABYG:JGC&amp;b=A1:B1&amp;e=RETAIL&amp;h=34&amp;i=132&amp;l=198&amp;ad=true" TargetMode="External" Id="rId133"/><Relationship Type="http://schemas.openxmlformats.org/officeDocument/2006/relationships/hyperlink" Target="https://new.land.naver.com/complexes/5698?ms=2AfAQG,3zprE6,17&amp;a=APT:ABYG:JGC&amp;b=A1:B1&amp;e=RETAIL&amp;h=34&amp;i=132&amp;l=198&amp;ad=true" TargetMode="External" Id="rId134"/><Relationship Type="http://schemas.openxmlformats.org/officeDocument/2006/relationships/hyperlink" Target="https://new.land.naver.com/complexes/103235?ms=2AfAQG,3zprE6,17&amp;a=APT:ABYG:JGC&amp;b=A1:B1&amp;e=RETAIL&amp;h=34&amp;i=132&amp;l=198&amp;ad=true" TargetMode="External" Id="rId135"/><Relationship Type="http://schemas.openxmlformats.org/officeDocument/2006/relationships/hyperlink" Target="https://new.land.naver.com/complexes/103235?ms=2AfAQG,3zprE6,17&amp;a=APT:ABYG:JGC&amp;b=A1:B1&amp;e=RETAIL&amp;h=34&amp;i=132&amp;l=198&amp;ad=true" TargetMode="External" Id="rId136"/><Relationship Type="http://schemas.openxmlformats.org/officeDocument/2006/relationships/hyperlink" Target="https://new.land.naver.com/complexes/103235?ms=2AfAQG,3zprE6,17&amp;a=APT:ABYG:JGC&amp;b=A1:B1&amp;e=RETAIL&amp;h=34&amp;i=132&amp;l=198&amp;ad=true" TargetMode="External" Id="rId137"/><Relationship Type="http://schemas.openxmlformats.org/officeDocument/2006/relationships/hyperlink" Target="https://new.land.naver.com/complexes/17019?ms=2AfAQG,3zprE6,17&amp;a=APT:ABYG:JGC&amp;b=A1:B1&amp;e=RETAIL&amp;h=34&amp;i=132&amp;l=198&amp;ad=true" TargetMode="External" Id="rId138"/><Relationship Type="http://schemas.openxmlformats.org/officeDocument/2006/relationships/hyperlink" Target="https://new.land.naver.com/complexes/17019?ms=2AfAQG,3zprE6,17&amp;a=APT:ABYG:JGC&amp;b=A1:B1&amp;e=RETAIL&amp;h=34&amp;i=132&amp;l=198&amp;ad=true" TargetMode="External" Id="rId139"/><Relationship Type="http://schemas.openxmlformats.org/officeDocument/2006/relationships/hyperlink" Target="https://new.land.naver.com/complexes/17019?ms=2AfAQG,3zprE6,17&amp;a=APT:ABYG:JGC&amp;b=A1:B1&amp;e=RETAIL&amp;h=34&amp;i=132&amp;l=198&amp;ad=true" TargetMode="External" Id="rId140"/><Relationship Type="http://schemas.openxmlformats.org/officeDocument/2006/relationships/hyperlink" Target="https://new.land.naver.com/complexes/17019?ms=2AfAQG,3zprE6,17&amp;a=APT:ABYG:JGC&amp;b=A1:B1&amp;e=RETAIL&amp;h=34&amp;i=132&amp;l=198&amp;ad=true" TargetMode="External" Id="rId141"/><Relationship Type="http://schemas.openxmlformats.org/officeDocument/2006/relationships/hyperlink" Target="https://new.land.naver.com/complexes/17019?ms=2AfAQG,3zprE6,17&amp;a=APT:ABYG:JGC&amp;b=A1:B1&amp;e=RETAIL&amp;h=34&amp;i=132&amp;l=198&amp;ad=true" TargetMode="External" Id="rId142"/><Relationship Type="http://schemas.openxmlformats.org/officeDocument/2006/relationships/hyperlink" Target="https://new.land.naver.com/complexes/27418?ms=2AfAQG,3zprE6,17&amp;a=APT:ABYG:JGC&amp;b=A1:B1&amp;e=RETAIL&amp;h=34&amp;i=132&amp;l=198&amp;ad=true" TargetMode="External" Id="rId143"/><Relationship Type="http://schemas.openxmlformats.org/officeDocument/2006/relationships/hyperlink" Target="https://new.land.naver.com/complexes/27418?ms=2AfAQG,3zprE6,17&amp;a=APT:ABYG:JGC&amp;b=A1:B1&amp;e=RETAIL&amp;h=34&amp;i=132&amp;l=198&amp;ad=true" TargetMode="External" Id="rId144"/><Relationship Type="http://schemas.openxmlformats.org/officeDocument/2006/relationships/hyperlink" Target="https://new.land.naver.com/complexes/27418?ms=2AfAQG,3zprE6,17&amp;a=APT:ABYG:JGC&amp;b=A1:B1&amp;e=RETAIL&amp;h=34&amp;i=132&amp;l=198&amp;ad=true" TargetMode="External" Id="rId145"/><Relationship Type="http://schemas.openxmlformats.org/officeDocument/2006/relationships/hyperlink" Target="https://new.land.naver.com/complexes/10709?ms=2AfAQG,3zprE6,17&amp;a=APT:ABYG:JGC&amp;b=A1:B1&amp;e=RETAIL&amp;h=34&amp;i=132&amp;l=198&amp;ad=true" TargetMode="External" Id="rId146"/><Relationship Type="http://schemas.openxmlformats.org/officeDocument/2006/relationships/hyperlink" Target="https://new.land.naver.com/complexes/10709?ms=2AfAQG,3zprE6,17&amp;a=APT:ABYG:JGC&amp;b=A1:B1&amp;e=RETAIL&amp;h=34&amp;i=132&amp;l=198&amp;ad=true" TargetMode="External" Id="rId147"/><Relationship Type="http://schemas.openxmlformats.org/officeDocument/2006/relationships/hyperlink" Target="https://new.land.naver.com/complexes/10709?ms=2AfAQG,3zprE6,17&amp;a=APT:ABYG:JGC&amp;b=A1:B1&amp;e=RETAIL&amp;h=34&amp;i=132&amp;l=198&amp;ad=true" TargetMode="External" Id="rId148"/><Relationship Type="http://schemas.openxmlformats.org/officeDocument/2006/relationships/hyperlink" Target="https://new.land.naver.com/complexes/110264?ms=2AfAQG,3zprE6,17&amp;a=APT:ABYG:JGC&amp;b=A1:B1&amp;e=RETAIL&amp;h=34&amp;i=132&amp;l=198&amp;ad=true" TargetMode="External" Id="rId149"/><Relationship Type="http://schemas.openxmlformats.org/officeDocument/2006/relationships/hyperlink" Target="https://new.land.naver.com/complexes/110264?ms=2AfAQG,3zprE6,17&amp;a=APT:ABYG:JGC&amp;b=A1:B1&amp;e=RETAIL&amp;h=34&amp;i=132&amp;l=198&amp;ad=true" TargetMode="External" Id="rId150"/><Relationship Type="http://schemas.openxmlformats.org/officeDocument/2006/relationships/hyperlink" Target="https://new.land.naver.com/complexes/110264?ms=2AfAQG,3zprE6,17&amp;a=APT:ABYG:JGC&amp;b=A1:B1&amp;e=RETAIL&amp;h=34&amp;i=132&amp;l=198&amp;ad=true" TargetMode="External" Id="rId151"/><Relationship Type="http://schemas.openxmlformats.org/officeDocument/2006/relationships/hyperlink" Target="https://new.land.naver.com/complexes/110264?ms=2AfAQG,3zprE6,17&amp;a=APT:ABYG:JGC&amp;b=A1:B1&amp;e=RETAIL&amp;h=34&amp;i=132&amp;l=198&amp;ad=true" TargetMode="External" Id="rId152"/><Relationship Type="http://schemas.openxmlformats.org/officeDocument/2006/relationships/hyperlink" Target="https://new.land.naver.com/complexes/110265?ms=2AfAQG,3zprE6,17&amp;a=APT:ABYG:JGC&amp;b=A1:B1&amp;e=RETAIL&amp;h=34&amp;i=132&amp;l=198&amp;ad=true" TargetMode="External" Id="rId153"/><Relationship Type="http://schemas.openxmlformats.org/officeDocument/2006/relationships/hyperlink" Target="https://new.land.naver.com/complexes/110265?ms=2AfAQG,3zprE6,17&amp;a=APT:ABYG:JGC&amp;b=A1:B1&amp;e=RETAIL&amp;h=34&amp;i=132&amp;l=198&amp;ad=true" TargetMode="External" Id="rId154"/><Relationship Type="http://schemas.openxmlformats.org/officeDocument/2006/relationships/hyperlink" Target="https://new.land.naver.com/complexes/110265?ms=2AfAQG,3zprE6,17&amp;a=APT:ABYG:JGC&amp;b=A1:B1&amp;e=RETAIL&amp;h=34&amp;i=132&amp;l=198&amp;ad=true" TargetMode="External" Id="rId155"/><Relationship Type="http://schemas.openxmlformats.org/officeDocument/2006/relationships/hyperlink" Target="https://new.land.naver.com/complexes/110265?ms=2AfAQG,3zprE6,17&amp;a=APT:ABYG:JGC&amp;b=A1:B1&amp;e=RETAIL&amp;h=34&amp;i=132&amp;l=198&amp;ad=true" TargetMode="External" Id="rId156"/><Relationship Type="http://schemas.openxmlformats.org/officeDocument/2006/relationships/hyperlink" Target="https://new.land.naver.com/complexes/110265?ms=2AfAQG,3zprE6,17&amp;a=APT:ABYG:JGC&amp;b=A1:B1&amp;e=RETAIL&amp;h=34&amp;i=132&amp;l=198&amp;ad=true" TargetMode="External" Id="rId157"/><Relationship Type="http://schemas.openxmlformats.org/officeDocument/2006/relationships/hyperlink" Target="https://new.land.naver.com/complexes/5695?ms=2AfAQG,3zprE6,17&amp;a=APT:ABYG:JGC&amp;b=A1:B1&amp;e=RETAIL&amp;h=34&amp;i=132&amp;l=198&amp;ad=true" TargetMode="External" Id="rId158"/><Relationship Type="http://schemas.openxmlformats.org/officeDocument/2006/relationships/hyperlink" Target="https://new.land.naver.com/complexes/5695?ms=2AfAQG,3zprE6,17&amp;a=APT:ABYG:JGC&amp;b=A1:B1&amp;e=RETAIL&amp;h=34&amp;i=132&amp;l=198&amp;ad=true" TargetMode="External" Id="rId159"/><Relationship Type="http://schemas.openxmlformats.org/officeDocument/2006/relationships/hyperlink" Target="https://new.land.naver.com/complexes/148696?ms=2AfAQG,3zprE6,17&amp;a=APT:ABYG:JGC&amp;b=A1:B1&amp;e=RETAIL&amp;h=34&amp;i=132&amp;l=198&amp;ad=true" TargetMode="External" Id="rId160"/><Relationship Type="http://schemas.openxmlformats.org/officeDocument/2006/relationships/hyperlink" Target="https://new.land.naver.com/complexes/148696?ms=2AfAQG,3zprE6,17&amp;a=APT:ABYG:JGC&amp;b=A1:B1&amp;e=RETAIL&amp;h=34&amp;i=132&amp;l=198&amp;ad=true" TargetMode="External" Id="rId161"/><Relationship Type="http://schemas.openxmlformats.org/officeDocument/2006/relationships/hyperlink" Target="https://new.land.naver.com/complexes/148696?ms=2AfAQG,3zprE6,17&amp;a=APT:ABYG:JGC&amp;b=A1:B1&amp;e=RETAIL&amp;h=34&amp;i=132&amp;l=198&amp;ad=true" TargetMode="External" Id="rId162"/><Relationship Type="http://schemas.openxmlformats.org/officeDocument/2006/relationships/hyperlink" Target="https://new.land.naver.com/complexes/148696?ms=2AfAQG,3zprE6,17&amp;a=APT:ABYG:JGC&amp;b=A1:B1&amp;e=RETAIL&amp;h=34&amp;i=132&amp;l=198&amp;ad=true" TargetMode="External" Id="rId163"/><Relationship Type="http://schemas.openxmlformats.org/officeDocument/2006/relationships/hyperlink" Target="https://new.land.naver.com/complexes/145049?ms=2AfAQG,3zprE6,17&amp;a=APT:ABYG:JGC&amp;b=A1:B1&amp;e=RETAIL&amp;h=34&amp;i=132&amp;l=198&amp;ad=true" TargetMode="External" Id="rId164"/><Relationship Type="http://schemas.openxmlformats.org/officeDocument/2006/relationships/hyperlink" Target="https://new.land.naver.com/complexes/145049?ms=2AfAQG,3zprE6,17&amp;a=APT:ABYG:JGC&amp;b=A1:B1&amp;e=RETAIL&amp;h=34&amp;i=132&amp;l=198&amp;ad=true" TargetMode="External" Id="rId165"/><Relationship Type="http://schemas.openxmlformats.org/officeDocument/2006/relationships/hyperlink" Target="https://new.land.naver.com/complexes/145049?ms=2AfAQG,3zprE6,17&amp;a=APT:ABYG:JGC&amp;b=A1:B1&amp;e=RETAIL&amp;h=34&amp;i=132&amp;l=198&amp;ad=true" TargetMode="External" Id="rId166"/><Relationship Type="http://schemas.openxmlformats.org/officeDocument/2006/relationships/hyperlink" Target="https://new.land.naver.com/complexes/145049?ms=2AfAQG,3zprE6,17&amp;a=APT:ABYG:JGC&amp;b=A1:B1&amp;e=RETAIL&amp;h=34&amp;i=132&amp;l=198&amp;ad=true" TargetMode="External" Id="rId167"/><Relationship Type="http://schemas.openxmlformats.org/officeDocument/2006/relationships/hyperlink" Target="https://new.land.naver.com/complexes/5686?ms=2AfAQG,3zprE6,17&amp;a=APT:ABYG:JGC&amp;b=A1:B1&amp;e=RETAIL&amp;h=34&amp;i=132&amp;l=198&amp;ad=true" TargetMode="External" Id="rId168"/><Relationship Type="http://schemas.openxmlformats.org/officeDocument/2006/relationships/hyperlink" Target="https://new.land.naver.com/complexes/5686?ms=2AfAQG,3zprE6,17&amp;a=APT:ABYG:JGC&amp;b=A1:B1&amp;e=RETAIL&amp;h=34&amp;i=132&amp;l=198&amp;ad=true" TargetMode="External" Id="rId169"/><Relationship Type="http://schemas.openxmlformats.org/officeDocument/2006/relationships/hyperlink" Target="https://new.land.naver.com/complexes/17582?ms=2AfAQG,3zprE6,17&amp;a=APT:ABYG:JGC&amp;b=A1:B1&amp;e=RETAIL&amp;h=34&amp;i=132&amp;l=198&amp;ad=true" TargetMode="External" Id="rId170"/><Relationship Type="http://schemas.openxmlformats.org/officeDocument/2006/relationships/hyperlink" Target="https://new.land.naver.com/complexes/17582?ms=2AfAQG,3zprE6,17&amp;a=APT:ABYG:JGC&amp;b=A1:B1&amp;e=RETAIL&amp;h=34&amp;i=132&amp;l=198&amp;ad=true" TargetMode="External" Id="rId171"/><Relationship Type="http://schemas.openxmlformats.org/officeDocument/2006/relationships/hyperlink" Target="https://new.land.naver.com/complexes/17582?ms=2AfAQG,3zprE6,17&amp;a=APT:ABYG:JGC&amp;b=A1:B1&amp;e=RETAIL&amp;h=34&amp;i=132&amp;l=198&amp;ad=true" TargetMode="External" Id="rId172"/><Relationship Type="http://schemas.openxmlformats.org/officeDocument/2006/relationships/hyperlink" Target="https://new.land.naver.com/complexes/103164?ms=2AfAQG,3zprE6,17&amp;a=APT:ABYG:JGC&amp;b=A1:B1&amp;e=RETAIL&amp;h=34&amp;i=132&amp;l=198&amp;ad=true" TargetMode="External" Id="rId173"/><Relationship Type="http://schemas.openxmlformats.org/officeDocument/2006/relationships/hyperlink" Target="https://new.land.naver.com/complexes/103164?ms=2AfAQG,3zprE6,17&amp;a=APT:ABYG:JGC&amp;b=A1:B1&amp;e=RETAIL&amp;h=34&amp;i=132&amp;l=198&amp;ad=true" TargetMode="External" Id="rId174"/><Relationship Type="http://schemas.openxmlformats.org/officeDocument/2006/relationships/hyperlink" Target="https://new.land.naver.com/complexes/103164?ms=2AfAQG,3zprE6,17&amp;a=APT:ABYG:JGC&amp;b=A1:B1&amp;e=RETAIL&amp;h=34&amp;i=132&amp;l=198&amp;ad=true" TargetMode="External" Id="rId175"/><Relationship Type="http://schemas.openxmlformats.org/officeDocument/2006/relationships/hyperlink" Target="https://new.land.naver.com/complexes/103164?ms=2AfAQG,3zprE6,17&amp;a=APT:ABYG:JGC&amp;b=A1:B1&amp;e=RETAIL&amp;h=34&amp;i=132&amp;l=198&amp;ad=true" TargetMode="External" Id="rId176"/><Relationship Type="http://schemas.openxmlformats.org/officeDocument/2006/relationships/hyperlink" Target="https://new.land.naver.com/complexes/135750?ms=2AfAQG,3zprE6,17&amp;a=APT:ABYG:JGC&amp;b=A1:B1&amp;e=RETAIL&amp;h=34&amp;i=132&amp;l=198&amp;ad=true" TargetMode="External" Id="rId177"/><Relationship Type="http://schemas.openxmlformats.org/officeDocument/2006/relationships/hyperlink" Target="https://new.land.naver.com/complexes/135750?ms=2AfAQG,3zprE6,17&amp;a=APT:ABYG:JGC&amp;b=A1:B1&amp;e=RETAIL&amp;h=34&amp;i=132&amp;l=198&amp;ad=true" TargetMode="External" Id="rId178"/><Relationship Type="http://schemas.openxmlformats.org/officeDocument/2006/relationships/hyperlink" Target="https://new.land.naver.com/complexes/135750?ms=2AfAQG,3zprE6,17&amp;a=APT:ABYG:JGC&amp;b=A1:B1&amp;e=RETAIL&amp;h=34&amp;i=132&amp;l=198&amp;ad=true" TargetMode="External" Id="rId179"/><Relationship Type="http://schemas.openxmlformats.org/officeDocument/2006/relationships/hyperlink" Target="https://new.land.naver.com/complexes/135750?ms=2AfAQG,3zprE6,17&amp;a=APT:ABYG:JGC&amp;b=A1:B1&amp;e=RETAIL&amp;h=34&amp;i=132&amp;l=198&amp;ad=true" TargetMode="External" Id="rId180"/><Relationship Type="http://schemas.openxmlformats.org/officeDocument/2006/relationships/hyperlink" Target="https://new.land.naver.com/complexes/135750?ms=2AfAQG,3zprE6,17&amp;a=APT:ABYG:JGC&amp;b=A1:B1&amp;e=RETAIL&amp;h=34&amp;i=132&amp;l=198&amp;ad=true" TargetMode="External" Id="rId181"/><Relationship Type="http://schemas.openxmlformats.org/officeDocument/2006/relationships/hyperlink" Target="https://new.land.naver.com/complexes/120741?ms=2AfAQG,3zprE6,17&amp;a=APT:ABYG:JGC&amp;b=A1:B1&amp;e=RETAIL&amp;h=34&amp;i=132&amp;l=198&amp;ad=true" TargetMode="External" Id="rId182"/><Relationship Type="http://schemas.openxmlformats.org/officeDocument/2006/relationships/hyperlink" Target="https://new.land.naver.com/complexes/120741?ms=2AfAQG,3zprE6,17&amp;a=APT:ABYG:JGC&amp;b=A1:B1&amp;e=RETAIL&amp;h=34&amp;i=132&amp;l=198&amp;ad=true" TargetMode="External" Id="rId183"/><Relationship Type="http://schemas.openxmlformats.org/officeDocument/2006/relationships/hyperlink" Target="https://new.land.naver.com/complexes/120741?ms=2AfAQG,3zprE6,17&amp;a=APT:ABYG:JGC&amp;b=A1:B1&amp;e=RETAIL&amp;h=34&amp;i=132&amp;l=198&amp;ad=true" TargetMode="External" Id="rId184"/><Relationship Type="http://schemas.openxmlformats.org/officeDocument/2006/relationships/hyperlink" Target="https://new.land.naver.com/complexes/120741?ms=2AfAQG,3zprE6,17&amp;a=APT:ABYG:JGC&amp;b=A1:B1&amp;e=RETAIL&amp;h=34&amp;i=132&amp;l=198&amp;ad=true" TargetMode="External" Id="rId185"/><Relationship Type="http://schemas.openxmlformats.org/officeDocument/2006/relationships/hyperlink" Target="https://new.land.naver.com/complexes/120741?ms=2AfAQG,3zprE6,17&amp;a=APT:ABYG:JGC&amp;b=A1:B1&amp;e=RETAIL&amp;h=34&amp;i=132&amp;l=198&amp;ad=true" TargetMode="External" Id="rId18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new.land.naver.com/complexes/143063?ms=2AfAQG,3zprE6,17&amp;a=APT:ABYG:JGC&amp;b=A1:B1&amp;e=RETAIL&amp;h=34&amp;i=132&amp;l=198&amp;ad=true" TargetMode="External" Id="rId1"/><Relationship Type="http://schemas.openxmlformats.org/officeDocument/2006/relationships/hyperlink" Target="https://new.land.naver.com/complexes/151758?ms=2AfAQG,3zprE6,17&amp;a=APT:ABYG:JGC&amp;b=A1:B1&amp;e=RETAIL&amp;h=34&amp;i=132&amp;l=198&amp;ad=true" TargetMode="External" Id="rId2"/><Relationship Type="http://schemas.openxmlformats.org/officeDocument/2006/relationships/hyperlink" Target="https://new.land.naver.com/complexes/137226?ms=2AfAQG,3zprE6,17&amp;a=APT:ABYG:JGC&amp;b=A1:B1&amp;e=RETAIL&amp;h=34&amp;i=132&amp;l=198&amp;ad=true" TargetMode="External" Id="rId3"/><Relationship Type="http://schemas.openxmlformats.org/officeDocument/2006/relationships/hyperlink" Target="https://new.land.naver.com/complexes/121930?ms=2AfAQG,3zprE6,17&amp;a=APT:ABYG:JGC&amp;b=A1:B1&amp;e=RETAIL&amp;h=34&amp;i=132&amp;l=198&amp;ad=true" TargetMode="External" Id="rId4"/><Relationship Type="http://schemas.openxmlformats.org/officeDocument/2006/relationships/hyperlink" Target="https://new.land.naver.com/complexes/146718?ms=2AfAQG,3zprE6,17&amp;a=APT:ABYG:JGC&amp;b=A1:B1&amp;e=RETAIL&amp;h=34&amp;i=132&amp;l=198&amp;ad=true" TargetMode="External" Id="rId5"/><Relationship Type="http://schemas.openxmlformats.org/officeDocument/2006/relationships/hyperlink" Target="https://new.land.naver.com/complexes/143063?ms=2AfAQG,3zprE6,17&amp;a=APT:ABYG:JGC&amp;b=A1:B1&amp;e=RETAIL&amp;h=34&amp;i=132&amp;l=198&amp;ad=true" TargetMode="External" Id="rId6"/><Relationship Type="http://schemas.openxmlformats.org/officeDocument/2006/relationships/hyperlink" Target="https://new.land.naver.com/complexes/186759?ms=2AfAQG,3zprE6,17&amp;a=APT:ABYG:JGC&amp;b=A1:B1&amp;e=RETAIL&amp;h=34&amp;i=132&amp;l=198&amp;ad=true" TargetMode="External" Id="rId7"/><Relationship Type="http://schemas.openxmlformats.org/officeDocument/2006/relationships/hyperlink" Target="https://new.land.naver.com/complexes/152942?ms=2AfAQG,3zprE6,17&amp;a=APT:ABYG:JGC&amp;b=A1:B1&amp;e=RETAIL&amp;h=34&amp;i=132&amp;l=198&amp;ad=true" TargetMode="External" Id="rId8"/><Relationship Type="http://schemas.openxmlformats.org/officeDocument/2006/relationships/hyperlink" Target="https://new.land.naver.com/complexes/153265?ms=2AfAQG,3zprE6,17&amp;a=APT:ABYG:JGC&amp;b=A1:B1&amp;e=RETAIL&amp;h=34&amp;i=132&amp;l=198&amp;ad=true" TargetMode="External" Id="rId9"/><Relationship Type="http://schemas.openxmlformats.org/officeDocument/2006/relationships/hyperlink" Target="https://new.land.naver.com/complexes/134767?ms=2AfAQG,3zprE6,17&amp;a=APT:ABYG:JGC&amp;b=A1:B1&amp;e=RETAIL&amp;h=34&amp;i=132&amp;l=198&amp;ad=true" TargetMode="External" Id="rId10"/><Relationship Type="http://schemas.openxmlformats.org/officeDocument/2006/relationships/hyperlink" Target="https://new.land.naver.com/complexes/146718?ms=2AfAQG,3zprE6,17&amp;a=APT:ABYG:JGC&amp;b=A1:B1&amp;e=RETAIL&amp;h=34&amp;i=132&amp;l=198&amp;ad=true" TargetMode="External" Id="rId11"/><Relationship Type="http://schemas.openxmlformats.org/officeDocument/2006/relationships/hyperlink" Target="https://new.land.naver.com/complexes/186759?ms=2AfAQG,3zprE6,17&amp;a=APT:ABYG:JGC&amp;b=A1:B1&amp;e=RETAIL&amp;h=34&amp;i=132&amp;l=198&amp;ad=true" TargetMode="External" Id="rId12"/><Relationship Type="http://schemas.openxmlformats.org/officeDocument/2006/relationships/hyperlink" Target="https://new.land.naver.com/complexes/126749?ms=2AfAQG,3zprE6,17&amp;a=APT:ABYG:JGC&amp;b=A1:B1&amp;e=RETAIL&amp;h=34&amp;i=132&amp;l=198&amp;ad=true" TargetMode="External" Id="rId13"/><Relationship Type="http://schemas.openxmlformats.org/officeDocument/2006/relationships/hyperlink" Target="https://new.land.naver.com/complexes/110256?ms=2AfAQG,3zprE6,17&amp;a=APT:ABYG:JGC&amp;b=A1:B1&amp;e=RETAIL&amp;h=34&amp;i=132&amp;l=198&amp;ad=true" TargetMode="External" Id="rId14"/><Relationship Type="http://schemas.openxmlformats.org/officeDocument/2006/relationships/hyperlink" Target="https://new.land.naver.com/complexes/145699?ms=2AfAQG,3zprE6,17&amp;a=APT:ABYG:JGC&amp;b=A1:B1&amp;e=RETAIL&amp;h=34&amp;i=132&amp;l=198&amp;ad=true" TargetMode="External" Id="rId15"/><Relationship Type="http://schemas.openxmlformats.org/officeDocument/2006/relationships/hyperlink" Target="https://new.land.naver.com/complexes/121930?ms=2AfAQG,3zprE6,17&amp;a=APT:ABYG:JGC&amp;b=A1:B1&amp;e=RETAIL&amp;h=34&amp;i=132&amp;l=198&amp;ad=true" TargetMode="External" Id="rId16"/><Relationship Type="http://schemas.openxmlformats.org/officeDocument/2006/relationships/hyperlink" Target="https://new.land.naver.com/complexes/124679?ms=2AfAQG,3zprE6,17&amp;a=APT:ABYG:JGC&amp;b=A1:B1&amp;e=RETAIL&amp;h=34&amp;i=132&amp;l=198&amp;ad=true" TargetMode="External" Id="rId17"/><Relationship Type="http://schemas.openxmlformats.org/officeDocument/2006/relationships/hyperlink" Target="https://new.land.naver.com/complexes/109735?ms=2AfAQG,3zprE6,17&amp;a=APT:ABYG:JGC&amp;b=A1:B1&amp;e=RETAIL&amp;h=34&amp;i=132&amp;l=198&amp;ad=true" TargetMode="External" Id="rId18"/><Relationship Type="http://schemas.openxmlformats.org/officeDocument/2006/relationships/hyperlink" Target="https://new.land.naver.com/complexes/129755?ms=2AfAQG,3zprE6,17&amp;a=APT:ABYG:JGC&amp;b=A1:B1&amp;e=RETAIL&amp;h=34&amp;i=132&amp;l=198&amp;ad=true" TargetMode="External" Id="rId19"/><Relationship Type="http://schemas.openxmlformats.org/officeDocument/2006/relationships/hyperlink" Target="https://new.land.naver.com/complexes/134767?ms=2AfAQG,3zprE6,17&amp;a=APT:ABYG:JGC&amp;b=A1:B1&amp;e=RETAIL&amp;h=34&amp;i=132&amp;l=198&amp;ad=true" TargetMode="External" Id="rId20"/><Relationship Type="http://schemas.openxmlformats.org/officeDocument/2006/relationships/hyperlink" Target="https://new.land.naver.com/complexes/107332?ms=2AfAQG,3zprE6,17&amp;a=APT:ABYG:JGC&amp;b=A1:B1&amp;e=RETAIL&amp;h=34&amp;i=132&amp;l=198&amp;ad=true" TargetMode="External" Id="rId21"/><Relationship Type="http://schemas.openxmlformats.org/officeDocument/2006/relationships/hyperlink" Target="https://new.land.naver.com/complexes/133523?ms=2AfAQG,3zprE6,17&amp;a=APT:ABYG:JGC&amp;b=A1:B1&amp;e=RETAIL&amp;h=34&amp;i=132&amp;l=198&amp;ad=true" TargetMode="External" Id="rId22"/><Relationship Type="http://schemas.openxmlformats.org/officeDocument/2006/relationships/hyperlink" Target="https://new.land.naver.com/complexes/113728?ms=2AfAQG,3zprE6,17&amp;a=APT:ABYG:JGC&amp;b=A1:B1&amp;e=RETAIL&amp;h=34&amp;i=132&amp;l=198&amp;ad=true" TargetMode="External" Id="rId23"/><Relationship Type="http://schemas.openxmlformats.org/officeDocument/2006/relationships/hyperlink" Target="https://new.land.naver.com/complexes/135648?ms=2AfAQG,3zprE6,17&amp;a=APT:ABYG:JGC&amp;b=A1:B1&amp;e=RETAIL&amp;h=34&amp;i=132&amp;l=198&amp;ad=true" TargetMode="External" Id="rId24"/><Relationship Type="http://schemas.openxmlformats.org/officeDocument/2006/relationships/hyperlink" Target="https://new.land.naver.com/complexes/116435?ms=2AfAQG,3zprE6,17&amp;a=APT:ABYG:JGC&amp;b=A1:B1&amp;e=RETAIL&amp;h=34&amp;i=132&amp;l=198&amp;ad=true" TargetMode="External" Id="rId25"/><Relationship Type="http://schemas.openxmlformats.org/officeDocument/2006/relationships/hyperlink" Target="https://new.land.naver.com/complexes/126749?ms=2AfAQG,3zprE6,17&amp;a=APT:ABYG:JGC&amp;b=A1:B1&amp;e=RETAIL&amp;h=34&amp;i=132&amp;l=198&amp;ad=true" TargetMode="External" Id="rId26"/><Relationship Type="http://schemas.openxmlformats.org/officeDocument/2006/relationships/hyperlink" Target="https://new.land.naver.com/complexes/137226?ms=2AfAQG,3zprE6,17&amp;a=APT:ABYG:JGC&amp;b=A1:B1&amp;e=RETAIL&amp;h=34&amp;i=132&amp;l=198&amp;ad=true" TargetMode="External" Id="rId27"/><Relationship Type="http://schemas.openxmlformats.org/officeDocument/2006/relationships/hyperlink" Target="https://new.land.naver.com/complexes/109735?ms=2AfAQG,3zprE6,17&amp;a=APT:ABYG:JGC&amp;b=A1:B1&amp;e=RETAIL&amp;h=34&amp;i=132&amp;l=198&amp;ad=true" TargetMode="External" Id="rId28"/><Relationship Type="http://schemas.openxmlformats.org/officeDocument/2006/relationships/hyperlink" Target="https://new.land.naver.com/complexes/129755?ms=2AfAQG,3zprE6,17&amp;a=APT:ABYG:JGC&amp;b=A1:B1&amp;e=RETAIL&amp;h=34&amp;i=132&amp;l=198&amp;ad=true" TargetMode="External" Id="rId29"/><Relationship Type="http://schemas.openxmlformats.org/officeDocument/2006/relationships/hyperlink" Target="https://new.land.naver.com/complexes/151758?ms=2AfAQG,3zprE6,17&amp;a=APT:ABYG:JGC&amp;b=A1:B1&amp;e=RETAIL&amp;h=34&amp;i=132&amp;l=198&amp;ad=true" TargetMode="External" Id="rId30"/><Relationship Type="http://schemas.openxmlformats.org/officeDocument/2006/relationships/hyperlink" Target="https://new.land.naver.com/complexes/111627?ms=2AfAQG,3zprE6,17&amp;a=APT:ABYG:JGC&amp;b=A1:B1&amp;e=RETAIL&amp;h=34&amp;i=132&amp;l=198&amp;ad=true" TargetMode="External" Id="rId31"/><Relationship Type="http://schemas.openxmlformats.org/officeDocument/2006/relationships/hyperlink" Target="https://new.land.naver.com/complexes/124679?ms=2AfAQG,3zprE6,17&amp;a=APT:ABYG:JGC&amp;b=A1:B1&amp;e=RETAIL&amp;h=34&amp;i=132&amp;l=198&amp;ad=true" TargetMode="External" Id="rId32"/><Relationship Type="http://schemas.openxmlformats.org/officeDocument/2006/relationships/hyperlink" Target="https://new.land.naver.com/complexes/110256?ms=2AfAQG,3zprE6,17&amp;a=APT:ABYG:JGC&amp;b=A1:B1&amp;e=RETAIL&amp;h=34&amp;i=132&amp;l=198&amp;ad=true" TargetMode="External" Id="rId33"/><Relationship Type="http://schemas.openxmlformats.org/officeDocument/2006/relationships/hyperlink" Target="https://new.land.naver.com/complexes/126749?ms=2AfAQG,3zprE6,17&amp;a=APT:ABYG:JGC&amp;b=A1:B1&amp;e=RETAIL&amp;h=34&amp;i=132&amp;l=198&amp;ad=true" TargetMode="External" Id="rId34"/><Relationship Type="http://schemas.openxmlformats.org/officeDocument/2006/relationships/hyperlink" Target="https://new.land.naver.com/complexes/152942?ms=2AfAQG,3zprE6,17&amp;a=APT:ABYG:JGC&amp;b=A1:B1&amp;e=RETAIL&amp;h=34&amp;i=132&amp;l=198&amp;ad=true" TargetMode="External" Id="rId35"/><Relationship Type="http://schemas.openxmlformats.org/officeDocument/2006/relationships/hyperlink" Target="https://new.land.naver.com/complexes/26534?ms=2AfAQG,3zprE6,17&amp;a=APT:ABYG:JGC&amp;b=A1:B1&amp;e=RETAIL&amp;h=34&amp;i=132&amp;l=198&amp;ad=true" TargetMode="External" Id="rId36"/><Relationship Type="http://schemas.openxmlformats.org/officeDocument/2006/relationships/hyperlink" Target="https://new.land.naver.com/complexes/26258?ms=2AfAQG,3zprE6,17&amp;a=APT:ABYG:JGC&amp;b=A1:B1&amp;e=RETAIL&amp;h=34&amp;i=132&amp;l=198&amp;ad=true" TargetMode="External" Id="rId37"/><Relationship Type="http://schemas.openxmlformats.org/officeDocument/2006/relationships/hyperlink" Target="https://new.land.naver.com/complexes/113728?ms=2AfAQG,3zprE6,17&amp;a=APT:ABYG:JGC&amp;b=A1:B1&amp;e=RETAIL&amp;h=34&amp;i=132&amp;l=198&amp;ad=true" TargetMode="External" Id="rId38"/><Relationship Type="http://schemas.openxmlformats.org/officeDocument/2006/relationships/hyperlink" Target="https://new.land.naver.com/complexes/109735?ms=2AfAQG,3zprE6,17&amp;a=APT:ABYG:JGC&amp;b=A1:B1&amp;e=RETAIL&amp;h=34&amp;i=132&amp;l=198&amp;ad=true" TargetMode="External" Id="rId39"/><Relationship Type="http://schemas.openxmlformats.org/officeDocument/2006/relationships/hyperlink" Target="https://new.land.naver.com/complexes/110995?ms=2AfAQG,3zprE6,17&amp;a=APT:ABYG:JGC&amp;b=A1:B1&amp;e=RETAIL&amp;h=34&amp;i=132&amp;l=198&amp;ad=true" TargetMode="External" Id="rId40"/><Relationship Type="http://schemas.openxmlformats.org/officeDocument/2006/relationships/hyperlink" Target="https://new.land.naver.com/complexes/116435?ms=2AfAQG,3zprE6,17&amp;a=APT:ABYG:JGC&amp;b=A1:B1&amp;e=RETAIL&amp;h=34&amp;i=132&amp;l=198&amp;ad=true" TargetMode="External" Id="rId41"/><Relationship Type="http://schemas.openxmlformats.org/officeDocument/2006/relationships/hyperlink" Target="https://new.land.naver.com/complexes/133523?ms=2AfAQG,3zprE6,17&amp;a=APT:ABYG:JGC&amp;b=A1:B1&amp;e=RETAIL&amp;h=34&amp;i=132&amp;l=198&amp;ad=true" TargetMode="External" Id="rId42"/><Relationship Type="http://schemas.openxmlformats.org/officeDocument/2006/relationships/hyperlink" Target="https://new.land.naver.com/complexes/121930?ms=2AfAQG,3zprE6,17&amp;a=APT:ABYG:JGC&amp;b=A1:B1&amp;e=RETAIL&amp;h=34&amp;i=132&amp;l=198&amp;ad=true" TargetMode="External" Id="rId43"/><Relationship Type="http://schemas.openxmlformats.org/officeDocument/2006/relationships/hyperlink" Target="https://new.land.naver.com/complexes/137226?ms=2AfAQG,3zprE6,17&amp;a=APT:ABYG:JGC&amp;b=A1:B1&amp;e=RETAIL&amp;h=34&amp;i=132&amp;l=198&amp;ad=true" TargetMode="External" Id="rId44"/><Relationship Type="http://schemas.openxmlformats.org/officeDocument/2006/relationships/hyperlink" Target="https://new.land.naver.com/complexes/26891?ms=2AfAQG,3zprE6,17&amp;a=APT:ABYG:JGC&amp;b=A1:B1&amp;e=RETAIL&amp;h=34&amp;i=132&amp;l=198&amp;ad=true" TargetMode="External" Id="rId45"/><Relationship Type="http://schemas.openxmlformats.org/officeDocument/2006/relationships/hyperlink" Target="https://new.land.naver.com/complexes/129755?ms=2AfAQG,3zprE6,17&amp;a=APT:ABYG:JGC&amp;b=A1:B1&amp;e=RETAIL&amp;h=34&amp;i=132&amp;l=198&amp;ad=true" TargetMode="External" Id="rId46"/><Relationship Type="http://schemas.openxmlformats.org/officeDocument/2006/relationships/hyperlink" Target="https://new.land.naver.com/complexes/110995?ms=2AfAQG,3zprE6,17&amp;a=APT:ABYG:JGC&amp;b=A1:B1&amp;e=RETAIL&amp;h=34&amp;i=132&amp;l=198&amp;ad=true" TargetMode="External" Id="rId47"/><Relationship Type="http://schemas.openxmlformats.org/officeDocument/2006/relationships/hyperlink" Target="https://new.land.naver.com/complexes/110256?ms=2AfAQG,3zprE6,17&amp;a=APT:ABYG:JGC&amp;b=A1:B1&amp;e=RETAIL&amp;h=34&amp;i=132&amp;l=198&amp;ad=true" TargetMode="External" Id="rId48"/><Relationship Type="http://schemas.openxmlformats.org/officeDocument/2006/relationships/hyperlink" Target="https://new.land.naver.com/complexes/111627?ms=2AfAQG,3zprE6,17&amp;a=APT:ABYG:JGC&amp;b=A1:B1&amp;e=RETAIL&amp;h=34&amp;i=132&amp;l=198&amp;ad=true" TargetMode="External" Id="rId49"/><Relationship Type="http://schemas.openxmlformats.org/officeDocument/2006/relationships/hyperlink" Target="https://new.land.naver.com/complexes/124679?ms=2AfAQG,3zprE6,17&amp;a=APT:ABYG:JGC&amp;b=A1:B1&amp;e=RETAIL&amp;h=34&amp;i=132&amp;l=198&amp;ad=true" TargetMode="External" Id="rId50"/><Relationship Type="http://schemas.openxmlformats.org/officeDocument/2006/relationships/hyperlink" Target="https://new.land.naver.com/complexes/137226?ms=2AfAQG,3zprE6,17&amp;a=APT:ABYG:JGC&amp;b=A1:B1&amp;e=RETAIL&amp;h=34&amp;i=132&amp;l=198&amp;ad=true" TargetMode="External" Id="rId51"/><Relationship Type="http://schemas.openxmlformats.org/officeDocument/2006/relationships/hyperlink" Target="https://new.land.naver.com/complexes/109735?ms=2AfAQG,3zprE6,17&amp;a=APT:ABYG:JGC&amp;b=A1:B1&amp;e=RETAIL&amp;h=34&amp;i=132&amp;l=198&amp;ad=true" TargetMode="External" Id="rId52"/><Relationship Type="http://schemas.openxmlformats.org/officeDocument/2006/relationships/hyperlink" Target="https://new.land.naver.com/complexes/107116?ms=2AfAQG,3zprE6,17&amp;a=APT:ABYG:JGC&amp;b=A1:B1&amp;e=RETAIL&amp;h=34&amp;i=132&amp;l=198&amp;ad=true" TargetMode="External" Id="rId53"/><Relationship Type="http://schemas.openxmlformats.org/officeDocument/2006/relationships/hyperlink" Target="https://new.land.naver.com/complexes/110996?ms=2AfAQG,3zprE6,17&amp;a=APT:ABYG:JGC&amp;b=A1:B1&amp;e=RETAIL&amp;h=34&amp;i=132&amp;l=198&amp;ad=true" TargetMode="External" Id="rId54"/><Relationship Type="http://schemas.openxmlformats.org/officeDocument/2006/relationships/hyperlink" Target="https://new.land.naver.com/complexes/133523?ms=2AfAQG,3zprE6,17&amp;a=APT:ABYG:JGC&amp;b=A1:B1&amp;e=RETAIL&amp;h=34&amp;i=132&amp;l=198&amp;ad=true" TargetMode="External" Id="rId55"/><Relationship Type="http://schemas.openxmlformats.org/officeDocument/2006/relationships/hyperlink" Target="https://new.land.naver.com/complexes/26534?ms=2AfAQG,3zprE6,17&amp;a=APT:ABYG:JGC&amp;b=A1:B1&amp;e=RETAIL&amp;h=34&amp;i=132&amp;l=198&amp;ad=true" TargetMode="External" Id="rId56"/><Relationship Type="http://schemas.openxmlformats.org/officeDocument/2006/relationships/hyperlink" Target="https://new.land.naver.com/complexes/145699?ms=2AfAQG,3zprE6,17&amp;a=APT:ABYG:JGC&amp;b=A1:B1&amp;e=RETAIL&amp;h=34&amp;i=132&amp;l=198&amp;ad=true" TargetMode="External" Id="rId57"/><Relationship Type="http://schemas.openxmlformats.org/officeDocument/2006/relationships/hyperlink" Target="https://new.land.naver.com/complexes/100359?ms=2AfAQG,3zprE6,17&amp;a=APT:ABYG:JGC&amp;b=A1:B1&amp;e=RETAIL&amp;h=34&amp;i=132&amp;l=198&amp;ad=true" TargetMode="External" Id="rId58"/><Relationship Type="http://schemas.openxmlformats.org/officeDocument/2006/relationships/hyperlink" Target="https://new.land.naver.com/complexes/26813?ms=2AfAQG,3zprE6,17&amp;a=APT:ABYG:JGC&amp;b=A1:B1&amp;e=RETAIL&amp;h=34&amp;i=132&amp;l=198&amp;ad=true" TargetMode="External" Id="rId59"/><Relationship Type="http://schemas.openxmlformats.org/officeDocument/2006/relationships/hyperlink" Target="https://new.land.naver.com/complexes/116435?ms=2AfAQG,3zprE6,17&amp;a=APT:ABYG:JGC&amp;b=A1:B1&amp;e=RETAIL&amp;h=34&amp;i=132&amp;l=198&amp;ad=true" TargetMode="External" Id="rId60"/><Relationship Type="http://schemas.openxmlformats.org/officeDocument/2006/relationships/hyperlink" Target="https://new.land.naver.com/complexes/110018?ms=2AfAQG,3zprE6,17&amp;a=APT:ABYG:JGC&amp;b=A1:B1&amp;e=RETAIL&amp;h=34&amp;i=132&amp;l=198&amp;ad=true" TargetMode="External" Id="rId61"/><Relationship Type="http://schemas.openxmlformats.org/officeDocument/2006/relationships/hyperlink" Target="https://new.land.naver.com/complexes/26577?ms=2AfAQG,3zprE6,17&amp;a=APT:ABYG:JGC&amp;b=A1:B1&amp;e=RETAIL&amp;h=34&amp;i=132&amp;l=198&amp;ad=true" TargetMode="External" Id="rId62"/><Relationship Type="http://schemas.openxmlformats.org/officeDocument/2006/relationships/hyperlink" Target="https://new.land.naver.com/complexes/140850?ms=2AfAQG,3zprE6,17&amp;a=APT:ABYG:JGC&amp;b=A1:B1&amp;e=RETAIL&amp;h=34&amp;i=132&amp;l=198&amp;ad=true" TargetMode="External" Id="rId63"/><Relationship Type="http://schemas.openxmlformats.org/officeDocument/2006/relationships/hyperlink" Target="https://new.land.naver.com/complexes/26517?ms=2AfAQG,3zprE6,17&amp;a=APT:ABYG:JGC&amp;b=A1:B1&amp;e=RETAIL&amp;h=34&amp;i=132&amp;l=198&amp;ad=true" TargetMode="External" Id="rId64"/><Relationship Type="http://schemas.openxmlformats.org/officeDocument/2006/relationships/hyperlink" Target="https://new.land.naver.com/complexes/114402?ms=2AfAQG,3zprE6,17&amp;a=APT:ABYG:JGC&amp;b=A1:B1&amp;e=RETAIL&amp;h=34&amp;i=132&amp;l=198&amp;ad=true" TargetMode="External" Id="rId65"/><Relationship Type="http://schemas.openxmlformats.org/officeDocument/2006/relationships/hyperlink" Target="https://new.land.naver.com/complexes/24363?ms=2AfAQG,3zprE6,17&amp;a=APT:ABYG:JGC&amp;b=A1:B1&amp;e=RETAIL&amp;h=34&amp;i=132&amp;l=198&amp;ad=true" TargetMode="External" Id="rId66"/><Relationship Type="http://schemas.openxmlformats.org/officeDocument/2006/relationships/hyperlink" Target="https://new.land.naver.com/complexes/135648?ms=2AfAQG,3zprE6,17&amp;a=APT:ABYG:JGC&amp;b=A1:B1&amp;e=RETAIL&amp;h=34&amp;i=132&amp;l=198&amp;ad=true" TargetMode="External" Id="rId67"/><Relationship Type="http://schemas.openxmlformats.org/officeDocument/2006/relationships/hyperlink" Target="https://new.land.naver.com/complexes/7421?ms=2AfAQG,3zprE6,17&amp;a=APT:ABYG:JGC&amp;b=A1:B1&amp;e=RETAIL&amp;h=34&amp;i=132&amp;l=198&amp;ad=true" TargetMode="External" Id="rId68"/><Relationship Type="http://schemas.openxmlformats.org/officeDocument/2006/relationships/hyperlink" Target="https://new.land.naver.com/complexes/7416?ms=2AfAQG,3zprE6,17&amp;a=APT:ABYG:JGC&amp;b=A1:B1&amp;e=RETAIL&amp;h=34&amp;i=132&amp;l=198&amp;ad=true" TargetMode="External" Id="rId69"/><Relationship Type="http://schemas.openxmlformats.org/officeDocument/2006/relationships/hyperlink" Target="https://new.land.naver.com/complexes/24363?ms=2AfAQG,3zprE6,17&amp;a=APT:ABYG:JGC&amp;b=A1:B1&amp;e=RETAIL&amp;h=34&amp;i=132&amp;l=198&amp;ad=true" TargetMode="External" Id="rId70"/><Relationship Type="http://schemas.openxmlformats.org/officeDocument/2006/relationships/hyperlink" Target="https://new.land.naver.com/complexes/7572?ms=2AfAQG,3zprE6,17&amp;a=APT:ABYG:JGC&amp;b=A1:B1&amp;e=RETAIL&amp;h=34&amp;i=132&amp;l=198&amp;ad=true" TargetMode="External" Id="rId71"/><Relationship Type="http://schemas.openxmlformats.org/officeDocument/2006/relationships/hyperlink" Target="https://new.land.naver.com/complexes/15430?ms=2AfAQG,3zprE6,17&amp;a=APT:ABYG:JGC&amp;b=A1:B1&amp;e=RETAIL&amp;h=34&amp;i=132&amp;l=198&amp;ad=true" TargetMode="External" Id="rId72"/><Relationship Type="http://schemas.openxmlformats.org/officeDocument/2006/relationships/hyperlink" Target="https://new.land.naver.com/complexes/27682?ms=2AfAQG,3zprE6,17&amp;a=APT:ABYG:JGC&amp;b=A1:B1&amp;e=RETAIL&amp;h=34&amp;i=132&amp;l=198&amp;ad=true" TargetMode="External" Id="rId73"/><Relationship Type="http://schemas.openxmlformats.org/officeDocument/2006/relationships/hyperlink" Target="https://new.land.naver.com/complexes/27431?ms=2AfAQG,3zprE6,17&amp;a=APT:ABYG:JGC&amp;b=A1:B1&amp;e=RETAIL&amp;h=34&amp;i=132&amp;l=198&amp;ad=true" TargetMode="External" Id="rId74"/><Relationship Type="http://schemas.openxmlformats.org/officeDocument/2006/relationships/hyperlink" Target="https://new.land.naver.com/complexes/7416?ms=2AfAQG,3zprE6,17&amp;a=APT:ABYG:JGC&amp;b=A1:B1&amp;e=RETAIL&amp;h=34&amp;i=132&amp;l=198&amp;ad=true" TargetMode="External" Id="rId75"/><Relationship Type="http://schemas.openxmlformats.org/officeDocument/2006/relationships/hyperlink" Target="https://new.land.naver.com/complexes/26157?ms=2AfAQG,3zprE6,17&amp;a=APT:ABYG:JGC&amp;b=A1:B1&amp;e=RETAIL&amp;h=34&amp;i=132&amp;l=198&amp;ad=true" TargetMode="External" Id="rId76"/><Relationship Type="http://schemas.openxmlformats.org/officeDocument/2006/relationships/hyperlink" Target="https://new.land.naver.com/complexes/19242?ms=2AfAQG,3zprE6,17&amp;a=APT:ABYG:JGC&amp;b=A1:B1&amp;e=RETAIL&amp;h=34&amp;i=132&amp;l=198&amp;ad=true" TargetMode="External" Id="rId77"/><Relationship Type="http://schemas.openxmlformats.org/officeDocument/2006/relationships/hyperlink" Target="https://new.land.naver.com/complexes/145699?ms=2AfAQG,3zprE6,17&amp;a=APT:ABYG:JGC&amp;b=A1:B1&amp;e=RETAIL&amp;h=34&amp;i=132&amp;l=198&amp;ad=true" TargetMode="External" Id="rId78"/><Relationship Type="http://schemas.openxmlformats.org/officeDocument/2006/relationships/hyperlink" Target="https://new.land.naver.com/complexes/135648?ms=2AfAQG,3zprE6,17&amp;a=APT:ABYG:JGC&amp;b=A1:B1&amp;e=RETAIL&amp;h=34&amp;i=132&amp;l=198&amp;ad=true" TargetMode="External" Id="rId79"/><Relationship Type="http://schemas.openxmlformats.org/officeDocument/2006/relationships/hyperlink" Target="https://new.land.naver.com/complexes/26577?ms=2AfAQG,3zprE6,17&amp;a=APT:ABYG:JGC&amp;b=A1:B1&amp;e=RETAIL&amp;h=34&amp;i=132&amp;l=198&amp;ad=true" TargetMode="External" Id="rId80"/><Relationship Type="http://schemas.openxmlformats.org/officeDocument/2006/relationships/hyperlink" Target="https://new.land.naver.com/complexes/7558?ms=2AfAQG,3zprE6,17&amp;a=APT:ABYG:JGC&amp;b=A1:B1&amp;e=RETAIL&amp;h=34&amp;i=132&amp;l=198&amp;ad=true" TargetMode="External" Id="rId81"/><Relationship Type="http://schemas.openxmlformats.org/officeDocument/2006/relationships/hyperlink" Target="https://new.land.naver.com/complexes/140850?ms=2AfAQG,3zprE6,17&amp;a=APT:ABYG:JGC&amp;b=A1:B1&amp;e=RETAIL&amp;h=34&amp;i=132&amp;l=198&amp;ad=true" TargetMode="External" Id="rId82"/><Relationship Type="http://schemas.openxmlformats.org/officeDocument/2006/relationships/hyperlink" Target="https://new.land.naver.com/complexes/7572?ms=2AfAQG,3zprE6,17&amp;a=APT:ABYG:JGC&amp;b=A1:B1&amp;e=RETAIL&amp;h=34&amp;i=132&amp;l=198&amp;ad=true" TargetMode="External" Id="rId83"/><Relationship Type="http://schemas.openxmlformats.org/officeDocument/2006/relationships/hyperlink" Target="https://new.land.naver.com/complexes/7395?ms=2AfAQG,3zprE6,17&amp;a=APT:ABYG:JGC&amp;b=A1:B1&amp;e=RETAIL&amp;h=34&amp;i=132&amp;l=198&amp;ad=true" TargetMode="External" Id="rId84"/><Relationship Type="http://schemas.openxmlformats.org/officeDocument/2006/relationships/hyperlink" Target="https://new.land.naver.com/complexes/7400?ms=2AfAQG,3zprE6,17&amp;a=APT:ABYG:JGC&amp;b=A1:B1&amp;e=RETAIL&amp;h=34&amp;i=132&amp;l=198&amp;ad=true" TargetMode="External" Id="rId85"/><Relationship Type="http://schemas.openxmlformats.org/officeDocument/2006/relationships/hyperlink" Target="https://new.land.naver.com/complexes/15420?ms=2AfAQG,3zprE6,17&amp;a=APT:ABYG:JGC&amp;b=A1:B1&amp;e=RETAIL&amp;h=34&amp;i=132&amp;l=198&amp;ad=true" TargetMode="External" Id="rId86"/><Relationship Type="http://schemas.openxmlformats.org/officeDocument/2006/relationships/hyperlink" Target="https://new.land.naver.com/complexes/7572?ms=2AfAQG,3zprE6,17&amp;a=APT:ABYG:JGC&amp;b=A1:B1&amp;e=RETAIL&amp;h=34&amp;i=132&amp;l=198&amp;ad=true" TargetMode="External" Id="rId87"/><Relationship Type="http://schemas.openxmlformats.org/officeDocument/2006/relationships/hyperlink" Target="https://new.land.naver.com/complexes/7569?ms=2AfAQG,3zprE6,17&amp;a=APT:ABYG:JGC&amp;b=A1:B1&amp;e=RETAIL&amp;h=34&amp;i=132&amp;l=198&amp;ad=true" TargetMode="External" Id="rId88"/><Relationship Type="http://schemas.openxmlformats.org/officeDocument/2006/relationships/hyperlink" Target="https://new.land.naver.com/complexes/7421?ms=2AfAQG,3zprE6,17&amp;a=APT:ABYG:JGC&amp;b=A1:B1&amp;e=RETAIL&amp;h=34&amp;i=132&amp;l=198&amp;ad=true" TargetMode="External" Id="rId89"/><Relationship Type="http://schemas.openxmlformats.org/officeDocument/2006/relationships/hyperlink" Target="https://new.land.naver.com/complexes/7421?ms=2AfAQG,3zprE6,17&amp;a=APT:ABYG:JGC&amp;b=A1:B1&amp;e=RETAIL&amp;h=34&amp;i=132&amp;l=198&amp;ad=true" TargetMode="External" Id="rId90"/><Relationship Type="http://schemas.openxmlformats.org/officeDocument/2006/relationships/hyperlink" Target="https://new.land.naver.com/complexes/7387?ms=2AfAQG,3zprE6,17&amp;a=APT:ABYG:JGC&amp;b=A1:B1&amp;e=RETAIL&amp;h=34&amp;i=132&amp;l=198&amp;ad=true" TargetMode="External" Id="rId91"/><Relationship Type="http://schemas.openxmlformats.org/officeDocument/2006/relationships/hyperlink" Target="https://new.land.naver.com/complexes/7414?ms=2AfAQG,3zprE6,17&amp;a=APT:ABYG:JGC&amp;b=A1:B1&amp;e=RETAIL&amp;h=34&amp;i=132&amp;l=198&amp;ad=true" TargetMode="External" Id="rId92"/><Relationship Type="http://schemas.openxmlformats.org/officeDocument/2006/relationships/hyperlink" Target="https://new.land.naver.com/complexes/7392?ms=2AfAQG,3zprE6,17&amp;a=APT:ABYG:JGC&amp;b=A1:B1&amp;e=RETAIL&amp;h=34&amp;i=132&amp;l=198&amp;ad=true" TargetMode="External" Id="rId93"/><Relationship Type="http://schemas.openxmlformats.org/officeDocument/2006/relationships/hyperlink" Target="https://new.land.naver.com/complexes/7400?ms=2AfAQG,3zprE6,17&amp;a=APT:ABYG:JGC&amp;b=A1:B1&amp;e=RETAIL&amp;h=34&amp;i=132&amp;l=198&amp;ad=true" TargetMode="External" Id="rId94"/><Relationship Type="http://schemas.openxmlformats.org/officeDocument/2006/relationships/hyperlink" Target="https://new.land.naver.com/complexes/17300?ms=2AfAQG,3zprE6,17&amp;a=APT:ABYG:JGC&amp;b=A1:B1&amp;e=RETAIL&amp;h=34&amp;i=132&amp;l=198&amp;ad=true" TargetMode="External" Id="rId95"/><Relationship Type="http://schemas.openxmlformats.org/officeDocument/2006/relationships/hyperlink" Target="https://new.land.naver.com/complexes/19124?ms=2AfAQG,3zprE6,17&amp;a=APT:ABYG:JGC&amp;b=A1:B1&amp;e=RETAIL&amp;h=34&amp;i=132&amp;l=198&amp;ad=true" TargetMode="External" Id="rId96"/><Relationship Type="http://schemas.openxmlformats.org/officeDocument/2006/relationships/hyperlink" Target="https://new.land.naver.com/complexes/7426?ms=2AfAQG,3zprE6,17&amp;a=APT:ABYG:JGC&amp;b=A1:B1&amp;e=RETAIL&amp;h=34&amp;i=132&amp;l=198&amp;ad=true" TargetMode="External" Id="rId97"/><Relationship Type="http://schemas.openxmlformats.org/officeDocument/2006/relationships/hyperlink" Target="https://new.land.naver.com/complexes/7395?ms=2AfAQG,3zprE6,17&amp;a=APT:ABYG:JGC&amp;b=A1:B1&amp;e=RETAIL&amp;h=34&amp;i=132&amp;l=198&amp;ad=true" TargetMode="External" Id="rId98"/><Relationship Type="http://schemas.openxmlformats.org/officeDocument/2006/relationships/hyperlink" Target="https://new.land.naver.com/complexes/7389?ms=2AfAQG,3zprE6,17&amp;a=APT:ABYG:JGC&amp;b=A1:B1&amp;e=RETAIL&amp;h=34&amp;i=132&amp;l=198&amp;ad=true" TargetMode="External" Id="rId99"/><Relationship Type="http://schemas.openxmlformats.org/officeDocument/2006/relationships/hyperlink" Target="https://new.land.naver.com/complexes/7393?ms=2AfAQG,3zprE6,17&amp;a=APT:ABYG:JGC&amp;b=A1:B1&amp;e=RETAIL&amp;h=34&amp;i=132&amp;l=198&amp;ad=true" TargetMode="External" Id="rId100"/><Relationship Type="http://schemas.openxmlformats.org/officeDocument/2006/relationships/hyperlink" Target="https://new.land.naver.com/complexes/17300?ms=2AfAQG,3zprE6,17&amp;a=APT:ABYG:JGC&amp;b=A1:B1&amp;e=RETAIL&amp;h=34&amp;i=132&amp;l=198&amp;ad=true" TargetMode="External" Id="rId101"/><Relationship Type="http://schemas.openxmlformats.org/officeDocument/2006/relationships/hyperlink" Target="https://new.land.naver.com/complexes/7392?ms=2AfAQG,3zprE6,17&amp;a=APT:ABYG:JGC&amp;b=A1:B1&amp;e=RETAIL&amp;h=34&amp;i=132&amp;l=198&amp;ad=true" TargetMode="External" Id="rId102"/><Relationship Type="http://schemas.openxmlformats.org/officeDocument/2006/relationships/hyperlink" Target="https://new.land.naver.com/complexes/7400?ms=2AfAQG,3zprE6,17&amp;a=APT:ABYG:JGC&amp;b=A1:B1&amp;e=RETAIL&amp;h=34&amp;i=132&amp;l=198&amp;ad=true" TargetMode="External" Id="rId103"/><Relationship Type="http://schemas.openxmlformats.org/officeDocument/2006/relationships/hyperlink" Target="https://new.land.naver.com/complexes/10920?ms=2AfAQG,3zprE6,17&amp;a=APT:ABYG:JGC&amp;b=A1:B1&amp;e=RETAIL&amp;h=34&amp;i=132&amp;l=198&amp;ad=true" TargetMode="External" Id="rId104"/><Relationship Type="http://schemas.openxmlformats.org/officeDocument/2006/relationships/hyperlink" Target="https://new.land.naver.com/complexes/140850?ms=2AfAQG,3zprE6,17&amp;a=APT:ABYG:JGC&amp;b=A1:B1&amp;e=RETAIL&amp;h=34&amp;i=132&amp;l=198&amp;ad=true" TargetMode="External" Id="rId105"/><Relationship Type="http://schemas.openxmlformats.org/officeDocument/2006/relationships/hyperlink" Target="https://new.land.naver.com/complexes/12895?ms=2AfAQG,3zprE6,17&amp;a=APT:ABYG:JGC&amp;b=A1:B1&amp;e=RETAIL&amp;h=34&amp;i=132&amp;l=198&amp;ad=true" TargetMode="External" Id="rId106"/><Relationship Type="http://schemas.openxmlformats.org/officeDocument/2006/relationships/hyperlink" Target="https://new.land.naver.com/complexes/13468?ms=2AfAQG,3zprE6,17&amp;a=APT:ABYG:JGC&amp;b=A1:B1&amp;e=RETAIL&amp;h=34&amp;i=132&amp;l=198&amp;ad=true" TargetMode="External" Id="rId107"/><Relationship Type="http://schemas.openxmlformats.org/officeDocument/2006/relationships/hyperlink" Target="https://new.land.naver.com/complexes/7389?ms=2AfAQG,3zprE6,17&amp;a=APT:ABYG:JGC&amp;b=A1:B1&amp;e=RETAIL&amp;h=34&amp;i=132&amp;l=198&amp;ad=true" TargetMode="External" Id="rId108"/><Relationship Type="http://schemas.openxmlformats.org/officeDocument/2006/relationships/hyperlink" Target="https://new.land.naver.com/complexes/7424?ms=2AfAQG,3zprE6,17&amp;a=APT:ABYG:JGC&amp;b=A1:B1&amp;e=RETAIL&amp;h=34&amp;i=132&amp;l=198&amp;ad=true" TargetMode="External" Id="rId109"/><Relationship Type="http://schemas.openxmlformats.org/officeDocument/2006/relationships/hyperlink" Target="https://new.land.naver.com/complexes/7569?ms=2AfAQG,3zprE6,17&amp;a=APT:ABYG:JGC&amp;b=A1:B1&amp;e=RETAIL&amp;h=34&amp;i=132&amp;l=198&amp;ad=true" TargetMode="External" Id="rId110"/><Relationship Type="http://schemas.openxmlformats.org/officeDocument/2006/relationships/hyperlink" Target="https://new.land.naver.com/complexes/7387?ms=2AfAQG,3zprE6,17&amp;a=APT:ABYG:JGC&amp;b=A1:B1&amp;e=RETAIL&amp;h=34&amp;i=132&amp;l=198&amp;ad=true" TargetMode="External" Id="rId111"/><Relationship Type="http://schemas.openxmlformats.org/officeDocument/2006/relationships/hyperlink" Target="https://new.land.naver.com/complexes/7567?ms=2AfAQG,3zprE6,17&amp;a=APT:ABYG:JGC&amp;b=A1:B1&amp;e=RETAIL&amp;h=34&amp;i=132&amp;l=198&amp;ad=true" TargetMode="External" Id="rId112"/><Relationship Type="http://schemas.openxmlformats.org/officeDocument/2006/relationships/hyperlink" Target="https://new.land.naver.com/complexes/7395?ms=2AfAQG,3zprE6,17&amp;a=APT:ABYG:JGC&amp;b=A1:B1&amp;e=RETAIL&amp;h=34&amp;i=132&amp;l=198&amp;ad=true" TargetMode="External" Id="rId113"/><Relationship Type="http://schemas.openxmlformats.org/officeDocument/2006/relationships/hyperlink" Target="https://new.land.naver.com/complexes/7426?ms=2AfAQG,3zprE6,17&amp;a=APT:ABYG:JGC&amp;b=A1:B1&amp;e=RETAIL&amp;h=34&amp;i=132&amp;l=198&amp;ad=true" TargetMode="External" Id="rId114"/><Relationship Type="http://schemas.openxmlformats.org/officeDocument/2006/relationships/hyperlink" Target="https://new.land.naver.com/complexes/102387?ms=2AfAQG,3zprE6,17&amp;a=APT:ABYG:JGC&amp;b=A1:B1&amp;e=RETAIL&amp;h=34&amp;i=132&amp;l=198&amp;ad=true" TargetMode="External" Id="rId115"/><Relationship Type="http://schemas.openxmlformats.org/officeDocument/2006/relationships/hyperlink" Target="https://new.land.naver.com/complexes/7392?ms=2AfAQG,3zprE6,17&amp;a=APT:ABYG:JGC&amp;b=A1:B1&amp;e=RETAIL&amp;h=34&amp;i=132&amp;l=198&amp;ad=true" TargetMode="External" Id="rId116"/><Relationship Type="http://schemas.openxmlformats.org/officeDocument/2006/relationships/hyperlink" Target="https://new.land.naver.com/complexes/102387?ms=2AfAQG,3zprE6,17&amp;a=APT:ABYG:JGC&amp;b=A1:B1&amp;e=RETAIL&amp;h=34&amp;i=132&amp;l=198&amp;ad=true" TargetMode="External" Id="rId117"/><Relationship Type="http://schemas.openxmlformats.org/officeDocument/2006/relationships/hyperlink" Target="https://new.land.naver.com/complexes/7271?ms=2AfAQG,3zprE6,17&amp;a=APT:ABYG:JGC&amp;b=A1:B1&amp;e=RETAIL&amp;h=34&amp;i=132&amp;l=198&amp;ad=true" TargetMode="External" Id="rId118"/><Relationship Type="http://schemas.openxmlformats.org/officeDocument/2006/relationships/hyperlink" Target="https://new.land.naver.com/complexes/12895?ms=2AfAQG,3zprE6,17&amp;a=APT:ABYG:JGC&amp;b=A1:B1&amp;e=RETAIL&amp;h=34&amp;i=132&amp;l=198&amp;ad=true" TargetMode="External" Id="rId119"/><Relationship Type="http://schemas.openxmlformats.org/officeDocument/2006/relationships/hyperlink" Target="https://new.land.naver.com/complexes/13468?ms=2AfAQG,3zprE6,17&amp;a=APT:ABYG:JGC&amp;b=A1:B1&amp;e=RETAIL&amp;h=34&amp;i=132&amp;l=198&amp;ad=true" TargetMode="External" Id="rId120"/><Relationship Type="http://schemas.openxmlformats.org/officeDocument/2006/relationships/hyperlink" Target="https://new.land.naver.com/complexes/7393?ms=2AfAQG,3zprE6,17&amp;a=APT:ABYG:JGC&amp;b=A1:B1&amp;e=RETAIL&amp;h=34&amp;i=132&amp;l=198&amp;ad=true" TargetMode="External" Id="rId121"/><Relationship Type="http://schemas.openxmlformats.org/officeDocument/2006/relationships/hyperlink" Target="https://new.land.naver.com/complexes/17300?ms=2AfAQG,3zprE6,17&amp;a=APT:ABYG:JGC&amp;b=A1:B1&amp;e=RETAIL&amp;h=34&amp;i=132&amp;l=198&amp;ad=true" TargetMode="External" Id="rId122"/><Relationship Type="http://schemas.openxmlformats.org/officeDocument/2006/relationships/hyperlink" Target="https://new.land.naver.com/complexes/7567?ms=2AfAQG,3zprE6,17&amp;a=APT:ABYG:JGC&amp;b=A1:B1&amp;e=RETAIL&amp;h=34&amp;i=132&amp;l=198&amp;ad=true" TargetMode="External" Id="rId123"/><Relationship Type="http://schemas.openxmlformats.org/officeDocument/2006/relationships/hyperlink" Target="https://new.land.naver.com/complexes/14265?ms=2AfAQG,3zprE6,17&amp;a=APT:ABYG:JGC&amp;b=A1:B1&amp;e=RETAIL&amp;h=34&amp;i=132&amp;l=198&amp;ad=true" TargetMode="External" Id="rId124"/><Relationship Type="http://schemas.openxmlformats.org/officeDocument/2006/relationships/hyperlink" Target="https://new.land.naver.com/complexes/7387?ms=2AfAQG,3zprE6,17&amp;a=APT:ABYG:JGC&amp;b=A1:B1&amp;e=RETAIL&amp;h=34&amp;i=132&amp;l=198&amp;ad=true" TargetMode="External" Id="rId125"/><Relationship Type="http://schemas.openxmlformats.org/officeDocument/2006/relationships/hyperlink" Target="https://new.land.naver.com/complexes/13053?ms=2AfAQG,3zprE6,17&amp;a=APT:ABYG:JGC&amp;b=A1:B1&amp;e=RETAIL&amp;h=34&amp;i=132&amp;l=198&amp;ad=true" TargetMode="External" Id="rId126"/><Relationship Type="http://schemas.openxmlformats.org/officeDocument/2006/relationships/hyperlink" Target="https://new.land.naver.com/complexes/7389?ms=2AfAQG,3zprE6,17&amp;a=APT:ABYG:JGC&amp;b=A1:B1&amp;e=RETAIL&amp;h=34&amp;i=132&amp;l=198&amp;ad=true" TargetMode="External" Id="rId127"/><Relationship Type="http://schemas.openxmlformats.org/officeDocument/2006/relationships/hyperlink" Target="https://new.land.naver.com/complexes/104607?ms=2AfAQG,3zprE6,17&amp;a=APT:ABYG:JGC&amp;b=A1:B1&amp;e=RETAIL&amp;h=34&amp;i=132&amp;l=198&amp;ad=true" TargetMode="External" Id="rId128"/><Relationship Type="http://schemas.openxmlformats.org/officeDocument/2006/relationships/hyperlink" Target="https://new.land.naver.com/complexes/7271?ms=2AfAQG,3zprE6,17&amp;a=APT:ABYG:JGC&amp;b=A1:B1&amp;e=RETAIL&amp;h=34&amp;i=132&amp;l=198&amp;ad=true" TargetMode="External" Id="rId129"/><Relationship Type="http://schemas.openxmlformats.org/officeDocument/2006/relationships/hyperlink" Target="https://new.land.naver.com/complexes/109731?ms=2AfAQG,3zprE6,17&amp;a=APT:ABYG:JGC&amp;b=A1:B1&amp;e=RETAIL&amp;h=34&amp;i=132&amp;l=198&amp;ad=true" TargetMode="External" Id="rId130"/><Relationship Type="http://schemas.openxmlformats.org/officeDocument/2006/relationships/hyperlink" Target="https://new.land.naver.com/complexes/22847?ms=2AfAQG,3zprE6,17&amp;a=APT:ABYG:JGC&amp;b=A1:B1&amp;e=RETAIL&amp;h=34&amp;i=132&amp;l=198&amp;ad=true" TargetMode="External" Id="rId131"/><Relationship Type="http://schemas.openxmlformats.org/officeDocument/2006/relationships/hyperlink" Target="https://new.land.naver.com/complexes/14265?ms=2AfAQG,3zprE6,17&amp;a=APT:ABYG:JGC&amp;b=A1:B1&amp;e=RETAIL&amp;h=34&amp;i=132&amp;l=198&amp;ad=true" TargetMode="External" Id="rId132"/><Relationship Type="http://schemas.openxmlformats.org/officeDocument/2006/relationships/hyperlink" Target="https://new.land.naver.com/complexes/109730?ms=2AfAQG,3zprE6,17&amp;a=APT:ABYG:JGC&amp;b=A1:B1&amp;e=RETAIL&amp;h=34&amp;i=132&amp;l=198&amp;ad=true" TargetMode="External" Id="rId133"/><Relationship Type="http://schemas.openxmlformats.org/officeDocument/2006/relationships/hyperlink" Target="https://new.land.naver.com/complexes/109731?ms=2AfAQG,3zprE6,17&amp;a=APT:ABYG:JGC&amp;b=A1:B1&amp;e=RETAIL&amp;h=34&amp;i=132&amp;l=198&amp;ad=true" TargetMode="External" Id="rId134"/><Relationship Type="http://schemas.openxmlformats.org/officeDocument/2006/relationships/hyperlink" Target="https://new.land.naver.com/complexes/109730?ms=2AfAQG,3zprE6,17&amp;a=APT:ABYG:JGC&amp;b=A1:B1&amp;e=RETAIL&amp;h=34&amp;i=132&amp;l=198&amp;ad=true" TargetMode="External" Id="rId135"/><Relationship Type="http://schemas.openxmlformats.org/officeDocument/2006/relationships/hyperlink" Target="https://new.land.naver.com/complexes/22847?ms=2AfAQG,3zprE6,17&amp;a=APT:ABYG:JGC&amp;b=A1:B1&amp;e=RETAIL&amp;h=34&amp;i=132&amp;l=198&amp;ad=true" TargetMode="External" Id="rId136"/><Relationship Type="http://schemas.openxmlformats.org/officeDocument/2006/relationships/hyperlink" Target="https://new.land.naver.com/complexes/106860?ms=2AfAQG,3zprE6,17&amp;a=APT:ABYG:JGC&amp;b=A1:B1&amp;e=RETAIL&amp;h=34&amp;i=132&amp;l=198&amp;ad=true" TargetMode="External" Id="rId137"/><Relationship Type="http://schemas.openxmlformats.org/officeDocument/2006/relationships/hyperlink" Target="https://new.land.naver.com/complexes/104607?ms=2AfAQG,3zprE6,17&amp;a=APT:ABYG:JGC&amp;b=A1:B1&amp;e=RETAIL&amp;h=34&amp;i=132&amp;l=198&amp;ad=true" TargetMode="External" Id="rId138"/><Relationship Type="http://schemas.openxmlformats.org/officeDocument/2006/relationships/hyperlink" Target="https://new.land.naver.com/complexes/104607?ms=2AfAQG,3zprE6,17&amp;a=APT:ABYG:JGC&amp;b=A1:B1&amp;e=RETAIL&amp;h=34&amp;i=132&amp;l=198&amp;ad=true" TargetMode="External" Id="rId139"/><Relationship Type="http://schemas.openxmlformats.org/officeDocument/2006/relationships/hyperlink" Target="https://new.land.naver.com/complexes/104607?ms=2AfAQG,3zprE6,17&amp;a=APT:ABYG:JGC&amp;b=A1:B1&amp;e=RETAIL&amp;h=34&amp;i=132&amp;l=198&amp;ad=true" TargetMode="External" Id="rId140"/><Relationship Type="http://schemas.openxmlformats.org/officeDocument/2006/relationships/hyperlink" Target="https://new.land.naver.com/complexes/14265?ms=2AfAQG,3zprE6,17&amp;a=APT:ABYG:JGC&amp;b=A1:B1&amp;e=RETAIL&amp;h=34&amp;i=132&amp;l=198&amp;ad=true" TargetMode="External" Id="rId141"/><Relationship Type="http://schemas.openxmlformats.org/officeDocument/2006/relationships/hyperlink" Target="https://new.land.naver.com/complexes/17369?ms=2AfAQG,3zprE6,17&amp;a=APT:ABYG:JGC&amp;b=A1:B1&amp;e=RETAIL&amp;h=34&amp;i=132&amp;l=198&amp;ad=true" TargetMode="External" Id="rId142"/><Relationship Type="http://schemas.openxmlformats.org/officeDocument/2006/relationships/hyperlink" Target="https://new.land.naver.com/complexes/17369?ms=2AfAQG,3zprE6,17&amp;a=APT:ABYG:JGC&amp;b=A1:B1&amp;e=RETAIL&amp;h=34&amp;i=132&amp;l=198&amp;ad=true" TargetMode="External" Id="rId143"/><Relationship Type="http://schemas.openxmlformats.org/officeDocument/2006/relationships/hyperlink" Target="https://new.land.naver.com/complexes/26577?ms=2AfAQG,3zprE6,17&amp;a=APT:ABYG:JGC&amp;b=A1:B1&amp;e=RETAIL&amp;h=34&amp;i=132&amp;l=198&amp;ad=true" TargetMode="External" Id="rId144"/><Relationship Type="http://schemas.openxmlformats.org/officeDocument/2006/relationships/hyperlink" Target="https://new.land.naver.com/complexes/26577?ms=2AfAQG,3zprE6,17&amp;a=APT:ABYG:JGC&amp;b=A1:B1&amp;e=RETAIL&amp;h=34&amp;i=132&amp;l=198&amp;ad=true" TargetMode="External" Id="rId145"/><Relationship Type="http://schemas.openxmlformats.org/officeDocument/2006/relationships/hyperlink" Target="https://new.land.naver.com/complexes/17369?ms=2AfAQG,3zprE6,17&amp;a=APT:ABYG:JGC&amp;b=A1:B1&amp;e=RETAIL&amp;h=34&amp;i=132&amp;l=198&amp;ad=true" TargetMode="External" Id="rId146"/><Relationship Type="http://schemas.openxmlformats.org/officeDocument/2006/relationships/hyperlink" Target="https://new.land.naver.com/complexes/13468?ms=2AfAQG,3zprE6,17&amp;a=APT:ABYG:JGC&amp;b=A1:B1&amp;e=RETAIL&amp;h=34&amp;i=132&amp;l=198&amp;ad=true" TargetMode="External" Id="rId147"/><Relationship Type="http://schemas.openxmlformats.org/officeDocument/2006/relationships/hyperlink" Target="https://new.land.naver.com/complexes/126749?ms=2AfAQG,3zprE6,17&amp;a=APT:ABYG:JGC&amp;b=A1:B1&amp;e=RETAIL&amp;h=34&amp;i=132&amp;l=198&amp;ad=true" TargetMode="External" Id="rId148"/><Relationship Type="http://schemas.openxmlformats.org/officeDocument/2006/relationships/hyperlink" Target="https://new.land.naver.com/complexes/26333?ms=2AfAQG,3zprE6,17&amp;a=APT:ABYG:JGC&amp;b=A1:B1&amp;e=RETAIL&amp;h=34&amp;i=132&amp;l=198&amp;ad=true" TargetMode="External" Id="rId149"/><Relationship Type="http://schemas.openxmlformats.org/officeDocument/2006/relationships/hyperlink" Target="https://new.land.naver.com/complexes/26333?ms=2AfAQG,3zprE6,17&amp;a=APT:ABYG:JGC&amp;b=A1:B1&amp;e=RETAIL&amp;h=34&amp;i=132&amp;l=198&amp;ad=true" TargetMode="External" Id="rId150"/><Relationship Type="http://schemas.openxmlformats.org/officeDocument/2006/relationships/hyperlink" Target="https://new.land.naver.com/complexes/26333?ms=2AfAQG,3zprE6,17&amp;a=APT:ABYG:JGC&amp;b=A1:B1&amp;e=RETAIL&amp;h=34&amp;i=132&amp;l=198&amp;ad=true" TargetMode="External" Id="rId151"/><Relationship Type="http://schemas.openxmlformats.org/officeDocument/2006/relationships/hyperlink" Target="https://new.land.naver.com/complexes/130948?ms=2AfAQG,3zprE6,17&amp;a=APT:ABYG:JGC&amp;b=A1:B1&amp;e=RETAIL&amp;h=34&amp;i=132&amp;l=198&amp;ad=true" TargetMode="External" Id="rId152"/><Relationship Type="http://schemas.openxmlformats.org/officeDocument/2006/relationships/hyperlink" Target="https://new.land.naver.com/complexes/130948?ms=2AfAQG,3zprE6,17&amp;a=APT:ABYG:JGC&amp;b=A1:B1&amp;e=RETAIL&amp;h=34&amp;i=132&amp;l=198&amp;ad=true" TargetMode="External" Id="rId153"/><Relationship Type="http://schemas.openxmlformats.org/officeDocument/2006/relationships/hyperlink" Target="https://new.land.naver.com/complexes/113728?ms=2AfAQG,3zprE6,17&amp;a=APT:ABYG:JGC&amp;b=A1:B1&amp;e=RETAIL&amp;h=34&amp;i=132&amp;l=198&amp;ad=true" TargetMode="External" Id="rId154"/><Relationship Type="http://schemas.openxmlformats.org/officeDocument/2006/relationships/hyperlink" Target="https://new.land.naver.com/complexes/113728?ms=2AfAQG,3zprE6,17&amp;a=APT:ABYG:JGC&amp;b=A1:B1&amp;e=RETAIL&amp;h=34&amp;i=132&amp;l=198&amp;ad=true" TargetMode="External" Id="rId155"/><Relationship Type="http://schemas.openxmlformats.org/officeDocument/2006/relationships/hyperlink" Target="https://new.land.naver.com/complexes/137226?ms=2AfAQG,3zprE6,17&amp;a=APT:ABYG:JGC&amp;b=A1:B1&amp;e=RETAIL&amp;h=34&amp;i=132&amp;l=198&amp;ad=true" TargetMode="External" Id="rId156"/><Relationship Type="http://schemas.openxmlformats.org/officeDocument/2006/relationships/hyperlink" Target="https://new.land.naver.com/complexes/137226?ms=2AfAQG,3zprE6,17&amp;a=APT:ABYG:JGC&amp;b=A1:B1&amp;e=RETAIL&amp;h=34&amp;i=132&amp;l=198&amp;ad=true" TargetMode="External" Id="rId157"/><Relationship Type="http://schemas.openxmlformats.org/officeDocument/2006/relationships/hyperlink" Target="https://new.land.naver.com/complexes/113728?ms=2AfAQG,3zprE6,17&amp;a=APT:ABYG:JGC&amp;b=A1:B1&amp;e=RETAIL&amp;h=34&amp;i=132&amp;l=198&amp;ad=true" TargetMode="External" Id="rId158"/><Relationship Type="http://schemas.openxmlformats.org/officeDocument/2006/relationships/hyperlink" Target="https://new.land.naver.com/complexes/25001?ms=2AfAQG,3zprE6,17&amp;a=APT:ABYG:JGC&amp;b=A1:B1&amp;e=RETAIL&amp;h=34&amp;i=132&amp;l=198&amp;ad=true" TargetMode="External" Id="rId159"/><Relationship Type="http://schemas.openxmlformats.org/officeDocument/2006/relationships/hyperlink" Target="https://new.land.naver.com/complexes/25001?ms=2AfAQG,3zprE6,17&amp;a=APT:ABYG:JGC&amp;b=A1:B1&amp;e=RETAIL&amp;h=34&amp;i=132&amp;l=198&amp;ad=true" TargetMode="External" Id="rId160"/><Relationship Type="http://schemas.openxmlformats.org/officeDocument/2006/relationships/hyperlink" Target="https://new.land.naver.com/complexes/25001?ms=2AfAQG,3zprE6,17&amp;a=APT:ABYG:JGC&amp;b=A1:B1&amp;e=RETAIL&amp;h=34&amp;i=132&amp;l=198&amp;ad=true" TargetMode="External" Id="rId161"/><Relationship Type="http://schemas.openxmlformats.org/officeDocument/2006/relationships/hyperlink" Target="https://new.land.naver.com/complexes/146718?ms=2AfAQG,3zprE6,17&amp;a=APT:ABYG:JGC&amp;b=A1:B1&amp;e=RETAIL&amp;h=34&amp;i=132&amp;l=198&amp;ad=true" TargetMode="External" Id="rId162"/><Relationship Type="http://schemas.openxmlformats.org/officeDocument/2006/relationships/hyperlink" Target="https://new.land.naver.com/complexes/146718?ms=2AfAQG,3zprE6,17&amp;a=APT:ABYG:JGC&amp;b=A1:B1&amp;e=RETAIL&amp;h=34&amp;i=132&amp;l=198&amp;ad=true" TargetMode="External" Id="rId163"/><Relationship Type="http://schemas.openxmlformats.org/officeDocument/2006/relationships/hyperlink" Target="https://new.land.naver.com/complexes/13543?ms=2AfAQG,3zprE6,17&amp;a=APT:ABYG:JGC&amp;b=A1:B1&amp;e=RETAIL&amp;h=34&amp;i=132&amp;l=198&amp;ad=true" TargetMode="External" Id="rId164"/><Relationship Type="http://schemas.openxmlformats.org/officeDocument/2006/relationships/hyperlink" Target="https://new.land.naver.com/complexes/100359?ms=2AfAQG,3zprE6,17&amp;a=APT:ABYG:JGC&amp;b=A1:B1&amp;e=RETAIL&amp;h=34&amp;i=132&amp;l=198&amp;ad=true" TargetMode="External" Id="rId165"/><Relationship Type="http://schemas.openxmlformats.org/officeDocument/2006/relationships/hyperlink" Target="https://new.land.naver.com/complexes/100359?ms=2AfAQG,3zprE6,17&amp;a=APT:ABYG:JGC&amp;b=A1:B1&amp;e=RETAIL&amp;h=34&amp;i=132&amp;l=198&amp;ad=true" TargetMode="External" Id="rId166"/><Relationship Type="http://schemas.openxmlformats.org/officeDocument/2006/relationships/hyperlink" Target="https://new.land.naver.com/complexes/120918?ms=2AfAQG,3zprE6,17&amp;a=APT:ABYG:JGC&amp;b=A1:B1&amp;e=RETAIL&amp;h=34&amp;i=132&amp;l=198&amp;ad=true" TargetMode="External" Id="rId167"/><Relationship Type="http://schemas.openxmlformats.org/officeDocument/2006/relationships/hyperlink" Target="https://new.land.naver.com/complexes/11266?ms=2AfAQG,3zprE6,17&amp;a=APT:ABYG:JGC&amp;b=A1:B1&amp;e=RETAIL&amp;h=34&amp;i=132&amp;l=198&amp;ad=true" TargetMode="External" Id="rId168"/><Relationship Type="http://schemas.openxmlformats.org/officeDocument/2006/relationships/hyperlink" Target="https://new.land.naver.com/complexes/11266?ms=2AfAQG,3zprE6,17&amp;a=APT:ABYG:JGC&amp;b=A1:B1&amp;e=RETAIL&amp;h=34&amp;i=132&amp;l=198&amp;ad=true" TargetMode="External" Id="rId169"/><Relationship Type="http://schemas.openxmlformats.org/officeDocument/2006/relationships/hyperlink" Target="https://new.land.naver.com/complexes/11266?ms=2AfAQG,3zprE6,17&amp;a=APT:ABYG:JGC&amp;b=A1:B1&amp;e=RETAIL&amp;h=34&amp;i=132&amp;l=198&amp;ad=true" TargetMode="External" Id="rId170"/><Relationship Type="http://schemas.openxmlformats.org/officeDocument/2006/relationships/hyperlink" Target="https://new.land.naver.com/complexes/11266?ms=2AfAQG,3zprE6,17&amp;a=APT:ABYG:JGC&amp;b=A1:B1&amp;e=RETAIL&amp;h=34&amp;i=132&amp;l=198&amp;ad=true" TargetMode="External" Id="rId171"/><Relationship Type="http://schemas.openxmlformats.org/officeDocument/2006/relationships/hyperlink" Target="https://new.land.naver.com/complexes/7395?ms=2AfAQG,3zprE6,17&amp;a=APT:ABYG:JGC&amp;b=A1:B1&amp;e=RETAIL&amp;h=34&amp;i=132&amp;l=198&amp;ad=true" TargetMode="External" Id="rId172"/><Relationship Type="http://schemas.openxmlformats.org/officeDocument/2006/relationships/hyperlink" Target="https://new.land.naver.com/complexes/7393?ms=2AfAQG,3zprE6,17&amp;a=APT:ABYG:JGC&amp;b=A1:B1&amp;e=RETAIL&amp;h=34&amp;i=132&amp;l=198&amp;ad=true" TargetMode="External" Id="rId173"/><Relationship Type="http://schemas.openxmlformats.org/officeDocument/2006/relationships/hyperlink" Target="https://new.land.naver.com/complexes/7400?ms=2AfAQG,3zprE6,17&amp;a=APT:ABYG:JGC&amp;b=A1:B1&amp;e=RETAIL&amp;h=34&amp;i=132&amp;l=198&amp;ad=true" TargetMode="External" Id="rId174"/><Relationship Type="http://schemas.openxmlformats.org/officeDocument/2006/relationships/hyperlink" Target="https://new.land.naver.com/complexes/7395?ms=2AfAQG,3zprE6,17&amp;a=APT:ABYG:JGC&amp;b=A1:B1&amp;e=RETAIL&amp;h=34&amp;i=132&amp;l=198&amp;ad=true" TargetMode="External" Id="rId175"/><Relationship Type="http://schemas.openxmlformats.org/officeDocument/2006/relationships/hyperlink" Target="https://new.land.naver.com/complexes/27682?ms=2AfAQG,3zprE6,17&amp;a=APT:ABYG:JGC&amp;b=A1:B1&amp;e=RETAIL&amp;h=34&amp;i=132&amp;l=198&amp;ad=true" TargetMode="External" Id="rId176"/><Relationship Type="http://schemas.openxmlformats.org/officeDocument/2006/relationships/hyperlink" Target="https://new.land.naver.com/complexes/100359?ms=2AfAQG,3zprE6,17&amp;a=APT:ABYG:JGC&amp;b=A1:B1&amp;e=RETAIL&amp;h=34&amp;i=132&amp;l=198&amp;ad=true" TargetMode="External" Id="rId177"/><Relationship Type="http://schemas.openxmlformats.org/officeDocument/2006/relationships/hyperlink" Target="https://new.land.naver.com/complexes/143063?ms=2AfAQG,3zprE6,17&amp;a=APT:ABYG:JGC&amp;b=A1:B1&amp;e=RETAIL&amp;h=34&amp;i=132&amp;l=198&amp;ad=true" TargetMode="External" Id="rId178"/><Relationship Type="http://schemas.openxmlformats.org/officeDocument/2006/relationships/hyperlink" Target="https://new.land.naver.com/complexes/143063?ms=2AfAQG,3zprE6,17&amp;a=APT:ABYG:JGC&amp;b=A1:B1&amp;e=RETAIL&amp;h=34&amp;i=132&amp;l=198&amp;ad=true" TargetMode="External" Id="rId179"/><Relationship Type="http://schemas.openxmlformats.org/officeDocument/2006/relationships/hyperlink" Target="https://new.land.naver.com/complexes/143063?ms=2AfAQG,3zprE6,17&amp;a=APT:ABYG:JGC&amp;b=A1:B1&amp;e=RETAIL&amp;h=34&amp;i=132&amp;l=198&amp;ad=true" TargetMode="External" Id="rId180"/><Relationship Type="http://schemas.openxmlformats.org/officeDocument/2006/relationships/hyperlink" Target="https://new.land.naver.com/complexes/152942?ms=2AfAQG,3zprE6,17&amp;a=APT:ABYG:JGC&amp;b=A1:B1&amp;e=RETAIL&amp;h=34&amp;i=132&amp;l=198&amp;ad=true" TargetMode="External" Id="rId181"/><Relationship Type="http://schemas.openxmlformats.org/officeDocument/2006/relationships/hyperlink" Target="https://new.land.naver.com/complexes/152942?ms=2AfAQG,3zprE6,17&amp;a=APT:ABYG:JGC&amp;b=A1:B1&amp;e=RETAIL&amp;h=34&amp;i=132&amp;l=198&amp;ad=true" TargetMode="External" Id="rId182"/><Relationship Type="http://schemas.openxmlformats.org/officeDocument/2006/relationships/hyperlink" Target="https://new.land.naver.com/complexes/7421?ms=2AfAQG,3zprE6,17&amp;a=APT:ABYG:JGC&amp;b=A1:B1&amp;e=RETAIL&amp;h=34&amp;i=132&amp;l=198&amp;ad=true" TargetMode="External" Id="rId183"/><Relationship Type="http://schemas.openxmlformats.org/officeDocument/2006/relationships/hyperlink" Target="https://new.land.naver.com/complexes/7420?ms=2AfAQG,3zprE6,17&amp;a=APT:ABYG:JGC&amp;b=A1:B1&amp;e=RETAIL&amp;h=34&amp;i=132&amp;l=198&amp;ad=true" TargetMode="External" Id="rId184"/><Relationship Type="http://schemas.openxmlformats.org/officeDocument/2006/relationships/hyperlink" Target="https://new.land.naver.com/complexes/26534?ms=2AfAQG,3zprE6,17&amp;a=APT:ABYG:JGC&amp;b=A1:B1&amp;e=RETAIL&amp;h=34&amp;i=132&amp;l=198&amp;ad=true" TargetMode="External" Id="rId185"/><Relationship Type="http://schemas.openxmlformats.org/officeDocument/2006/relationships/hyperlink" Target="https://new.land.naver.com/complexes/7420?ms=2AfAQG,3zprE6,17&amp;a=APT:ABYG:JGC&amp;b=A1:B1&amp;e=RETAIL&amp;h=34&amp;i=132&amp;l=198&amp;ad=true" TargetMode="External" Id="rId186"/><Relationship Type="http://schemas.openxmlformats.org/officeDocument/2006/relationships/hyperlink" Target="https://new.land.naver.com/complexes/10920?ms=2AfAQG,3zprE6,17&amp;a=APT:ABYG:JGC&amp;b=A1:B1&amp;e=RETAIL&amp;h=34&amp;i=132&amp;l=198&amp;ad=true" TargetMode="External" Id="rId187"/><Relationship Type="http://schemas.openxmlformats.org/officeDocument/2006/relationships/hyperlink" Target="https://new.land.naver.com/complexes/10920?ms=2AfAQG,3zprE6,17&amp;a=APT:ABYG:JGC&amp;b=A1:B1&amp;e=RETAIL&amp;h=34&amp;i=132&amp;l=198&amp;ad=true" TargetMode="External" Id="rId188"/><Relationship Type="http://schemas.openxmlformats.org/officeDocument/2006/relationships/hyperlink" Target="https://new.land.naver.com/complexes/100381?ms=2AfAQG,3zprE6,17&amp;a=APT:ABYG:JGC&amp;b=A1:B1&amp;e=RETAIL&amp;h=34&amp;i=132&amp;l=198&amp;ad=true" TargetMode="External" Id="rId189"/><Relationship Type="http://schemas.openxmlformats.org/officeDocument/2006/relationships/hyperlink" Target="https://new.land.naver.com/complexes/100381?ms=2AfAQG,3zprE6,17&amp;a=APT:ABYG:JGC&amp;b=A1:B1&amp;e=RETAIL&amp;h=34&amp;i=132&amp;l=198&amp;ad=true" TargetMode="External" Id="rId190"/><Relationship Type="http://schemas.openxmlformats.org/officeDocument/2006/relationships/hyperlink" Target="https://new.land.naver.com/complexes/100381?ms=2AfAQG,3zprE6,17&amp;a=APT:ABYG:JGC&amp;b=A1:B1&amp;e=RETAIL&amp;h=34&amp;i=132&amp;l=198&amp;ad=true" TargetMode="External" Id="rId191"/><Relationship Type="http://schemas.openxmlformats.org/officeDocument/2006/relationships/hyperlink" Target="https://new.land.naver.com/complexes/100381?ms=2AfAQG,3zprE6,17&amp;a=APT:ABYG:JGC&amp;b=A1:B1&amp;e=RETAIL&amp;h=34&amp;i=132&amp;l=198&amp;ad=true" TargetMode="External" Id="rId192"/><Relationship Type="http://schemas.openxmlformats.org/officeDocument/2006/relationships/hyperlink" Target="https://new.land.naver.com/complexes/10920?ms=2AfAQG,3zprE6,17&amp;a=APT:ABYG:JGC&amp;b=A1:B1&amp;e=RETAIL&amp;h=34&amp;i=132&amp;l=198&amp;ad=true" TargetMode="External" Id="rId193"/><Relationship Type="http://schemas.openxmlformats.org/officeDocument/2006/relationships/hyperlink" Target="https://new.land.naver.com/complexes/27431?ms=2AfAQG,3zprE6,17&amp;a=APT:ABYG:JGC&amp;b=A1:B1&amp;e=RETAIL&amp;h=34&amp;i=132&amp;l=198&amp;ad=true" TargetMode="External" Id="rId194"/><Relationship Type="http://schemas.openxmlformats.org/officeDocument/2006/relationships/hyperlink" Target="https://new.land.naver.com/complexes/17432?ms=2AfAQG,3zprE6,17&amp;a=APT:ABYG:JGC&amp;b=A1:B1&amp;e=RETAIL&amp;h=34&amp;i=132&amp;l=198&amp;ad=true" TargetMode="External" Id="rId195"/><Relationship Type="http://schemas.openxmlformats.org/officeDocument/2006/relationships/hyperlink" Target="https://new.land.naver.com/complexes/17432?ms=2AfAQG,3zprE6,17&amp;a=APT:ABYG:JGC&amp;b=A1:B1&amp;e=RETAIL&amp;h=34&amp;i=132&amp;l=198&amp;ad=true" TargetMode="External" Id="rId196"/><Relationship Type="http://schemas.openxmlformats.org/officeDocument/2006/relationships/hyperlink" Target="https://new.land.naver.com/complexes/27431?ms=2AfAQG,3zprE6,17&amp;a=APT:ABYG:JGC&amp;b=A1:B1&amp;e=RETAIL&amp;h=34&amp;i=132&amp;l=198&amp;ad=true" TargetMode="External" Id="rId197"/><Relationship Type="http://schemas.openxmlformats.org/officeDocument/2006/relationships/hyperlink" Target="https://new.land.naver.com/complexes/17432?ms=2AfAQG,3zprE6,17&amp;a=APT:ABYG:JGC&amp;b=A1:B1&amp;e=RETAIL&amp;h=34&amp;i=132&amp;l=198&amp;ad=true" TargetMode="External" Id="rId198"/><Relationship Type="http://schemas.openxmlformats.org/officeDocument/2006/relationships/hyperlink" Target="https://new.land.naver.com/complexes/15420?ms=2AfAQG,3zprE6,17&amp;a=APT:ABYG:JGC&amp;b=A1:B1&amp;e=RETAIL&amp;h=34&amp;i=132&amp;l=198&amp;ad=true" TargetMode="External" Id="rId199"/><Relationship Type="http://schemas.openxmlformats.org/officeDocument/2006/relationships/hyperlink" Target="https://new.land.naver.com/complexes/15420?ms=2AfAQG,3zprE6,17&amp;a=APT:ABYG:JGC&amp;b=A1:B1&amp;e=RETAIL&amp;h=34&amp;i=132&amp;l=198&amp;ad=true" TargetMode="External" Id="rId200"/><Relationship Type="http://schemas.openxmlformats.org/officeDocument/2006/relationships/hyperlink" Target="https://new.land.naver.com/complexes/15430?ms=2AfAQG,3zprE6,17&amp;a=APT:ABYG:JGC&amp;b=A1:B1&amp;e=RETAIL&amp;h=34&amp;i=132&amp;l=198&amp;ad=true" TargetMode="External" Id="rId201"/><Relationship Type="http://schemas.openxmlformats.org/officeDocument/2006/relationships/hyperlink" Target="https://new.land.naver.com/complexes/19242?ms=2AfAQG,3zprE6,17&amp;a=APT:ABYG:JGC&amp;b=A1:B1&amp;e=RETAIL&amp;h=34&amp;i=132&amp;l=198&amp;ad=true" TargetMode="External" Id="rId202"/><Relationship Type="http://schemas.openxmlformats.org/officeDocument/2006/relationships/hyperlink" Target="https://new.land.naver.com/complexes/26157?ms=2AfAQG,3zprE6,17&amp;a=APT:ABYG:JGC&amp;b=A1:B1&amp;e=RETAIL&amp;h=34&amp;i=132&amp;l=198&amp;ad=true" TargetMode="External" Id="rId203"/><Relationship Type="http://schemas.openxmlformats.org/officeDocument/2006/relationships/hyperlink" Target="https://new.land.naver.com/complexes/26157?ms=2AfAQG,3zprE6,17&amp;a=APT:ABYG:JGC&amp;b=A1:B1&amp;e=RETAIL&amp;h=34&amp;i=132&amp;l=198&amp;ad=true" TargetMode="External" Id="rId204"/><Relationship Type="http://schemas.openxmlformats.org/officeDocument/2006/relationships/hyperlink" Target="https://new.land.naver.com/complexes/26157?ms=2AfAQG,3zprE6,17&amp;a=APT:ABYG:JGC&amp;b=A1:B1&amp;e=RETAIL&amp;h=34&amp;i=132&amp;l=198&amp;ad=true" TargetMode="External" Id="rId205"/><Relationship Type="http://schemas.openxmlformats.org/officeDocument/2006/relationships/hyperlink" Target="https://new.land.naver.com/complexes/26157?ms=2AfAQG,3zprE6,17&amp;a=APT:ABYG:JGC&amp;b=A1:B1&amp;e=RETAIL&amp;h=34&amp;i=132&amp;l=198&amp;ad=true" TargetMode="External" Id="rId206"/><Relationship Type="http://schemas.openxmlformats.org/officeDocument/2006/relationships/hyperlink" Target="https://new.land.naver.com/complexes/26258?ms=2AfAQG,3zprE6,17&amp;a=APT:ABYG:JGC&amp;b=A1:B1&amp;e=RETAIL&amp;h=34&amp;i=132&amp;l=198&amp;ad=true" TargetMode="External" Id="rId207"/><Relationship Type="http://schemas.openxmlformats.org/officeDocument/2006/relationships/hyperlink" Target="https://new.land.naver.com/complexes/26813?ms=2AfAQG,3zprE6,17&amp;a=APT:ABYG:JGC&amp;b=A1:B1&amp;e=RETAIL&amp;h=34&amp;i=132&amp;l=198&amp;ad=true" TargetMode="External" Id="rId208"/><Relationship Type="http://schemas.openxmlformats.org/officeDocument/2006/relationships/hyperlink" Target="https://new.land.naver.com/complexes/26813?ms=2AfAQG,3zprE6,17&amp;a=APT:ABYG:JGC&amp;b=A1:B1&amp;e=RETAIL&amp;h=34&amp;i=132&amp;l=198&amp;ad=true" TargetMode="External" Id="rId209"/><Relationship Type="http://schemas.openxmlformats.org/officeDocument/2006/relationships/hyperlink" Target="https://new.land.naver.com/complexes/26813?ms=2AfAQG,3zprE6,17&amp;a=APT:ABYG:JGC&amp;b=A1:B1&amp;e=RETAIL&amp;h=34&amp;i=132&amp;l=198&amp;ad=true" TargetMode="External" Id="rId210"/><Relationship Type="http://schemas.openxmlformats.org/officeDocument/2006/relationships/hyperlink" Target="https://new.land.naver.com/complexes/153265?ms=2AfAQG,3zprE6,17&amp;a=APT:ABYG:JGC&amp;b=A1:B1&amp;e=RETAIL&amp;h=34&amp;i=132&amp;l=198&amp;ad=true" TargetMode="External" Id="rId211"/><Relationship Type="http://schemas.openxmlformats.org/officeDocument/2006/relationships/hyperlink" Target="https://new.land.naver.com/complexes/153265?ms=2AfAQG,3zprE6,17&amp;a=APT:ABYG:JGC&amp;b=A1:B1&amp;e=RETAIL&amp;h=34&amp;i=132&amp;l=198&amp;ad=true" TargetMode="External" Id="rId212"/><Relationship Type="http://schemas.openxmlformats.org/officeDocument/2006/relationships/hyperlink" Target="https://new.land.naver.com/complexes/186759?ms=2AfAQG,3zprE6,17&amp;a=APT:ABYG:JGC&amp;b=A1:B1&amp;e=RETAIL&amp;h=34&amp;i=132&amp;l=198&amp;ad=true" TargetMode="External" Id="rId213"/><Relationship Type="http://schemas.openxmlformats.org/officeDocument/2006/relationships/hyperlink" Target="https://new.land.naver.com/complexes/186759?ms=2AfAQG,3zprE6,17&amp;a=APT:ABYG:JGC&amp;b=A1:B1&amp;e=RETAIL&amp;h=34&amp;i=132&amp;l=198&amp;ad=true" TargetMode="External" Id="rId214"/><Relationship Type="http://schemas.openxmlformats.org/officeDocument/2006/relationships/hyperlink" Target="https://new.land.naver.com/complexes/15420?ms=2AfAQG,3zprE6,17&amp;a=APT:ABYG:JGC&amp;b=A1:B1&amp;e=RETAIL&amp;h=34&amp;i=132&amp;l=198&amp;ad=true" TargetMode="External" Id="rId215"/><Relationship Type="http://schemas.openxmlformats.org/officeDocument/2006/relationships/hyperlink" Target="https://new.land.naver.com/complexes/26157?ms=2AfAQG,3zprE6,17&amp;a=APT:ABYG:JGC&amp;b=A1:B1&amp;e=RETAIL&amp;h=34&amp;i=132&amp;l=198&amp;ad=true" TargetMode="External" Id="rId216"/><Relationship Type="http://schemas.openxmlformats.org/officeDocument/2006/relationships/hyperlink" Target="https://new.land.naver.com/complexes/15420?ms=2AfAQG,3zprE6,17&amp;a=APT:ABYG:JGC&amp;b=A1:B1&amp;e=RETAIL&amp;h=34&amp;i=132&amp;l=198&amp;ad=true" TargetMode="External" Id="rId217"/><Relationship Type="http://schemas.openxmlformats.org/officeDocument/2006/relationships/hyperlink" Target="https://new.land.naver.com/complexes/15430?ms=2AfAQG,3zprE6,17&amp;a=APT:ABYG:JGC&amp;b=A1:B1&amp;e=RETAIL&amp;h=34&amp;i=132&amp;l=198&amp;ad=true" TargetMode="External" Id="rId218"/><Relationship Type="http://schemas.openxmlformats.org/officeDocument/2006/relationships/hyperlink" Target="https://new.land.naver.com/complexes/26813?ms=2AfAQG,3zprE6,17&amp;a=APT:ABYG:JGC&amp;b=A1:B1&amp;e=RETAIL&amp;h=34&amp;i=132&amp;l=198&amp;ad=true" TargetMode="External" Id="rId219"/><Relationship Type="http://schemas.openxmlformats.org/officeDocument/2006/relationships/hyperlink" Target="https://new.land.naver.com/complexes/15420?ms=2AfAQG,3zprE6,17&amp;a=APT:ABYG:JGC&amp;b=A1:B1&amp;e=RETAIL&amp;h=34&amp;i=132&amp;l=198&amp;ad=true" TargetMode="External" Id="rId220"/><Relationship Type="http://schemas.openxmlformats.org/officeDocument/2006/relationships/hyperlink" Target="https://new.land.naver.com/complexes/26157?ms=2AfAQG,3zprE6,17&amp;a=APT:ABYG:JGC&amp;b=A1:B1&amp;e=RETAIL&amp;h=34&amp;i=132&amp;l=198&amp;ad=true" TargetMode="External" Id="rId221"/><Relationship Type="http://schemas.openxmlformats.org/officeDocument/2006/relationships/hyperlink" Target="https://new.land.naver.com/complexes/107116?ms=2AfAQG,3zprE6,17&amp;a=APT:ABYG:JGC&amp;b=A1:B1&amp;e=RETAIL&amp;h=34&amp;i=132&amp;l=198&amp;ad=true" TargetMode="External" Id="rId222"/><Relationship Type="http://schemas.openxmlformats.org/officeDocument/2006/relationships/hyperlink" Target="https://new.land.naver.com/complexes/19242?ms=2AfAQG,3zprE6,17&amp;a=APT:ABYG:JGC&amp;b=A1:B1&amp;e=RETAIL&amp;h=34&amp;i=132&amp;l=198&amp;ad=true" TargetMode="External" Id="rId223"/><Relationship Type="http://schemas.openxmlformats.org/officeDocument/2006/relationships/hyperlink" Target="https://new.land.naver.com/complexes/26258?ms=2AfAQG,3zprE6,17&amp;a=APT:ABYG:JGC&amp;b=A1:B1&amp;e=RETAIL&amp;h=34&amp;i=132&amp;l=198&amp;ad=true" TargetMode="External" Id="rId224"/><Relationship Type="http://schemas.openxmlformats.org/officeDocument/2006/relationships/hyperlink" Target="https://new.land.naver.com/complexes/26258?ms=2AfAQG,3zprE6,17&amp;a=APT:ABYG:JGC&amp;b=A1:B1&amp;e=RETAIL&amp;h=34&amp;i=132&amp;l=198&amp;ad=true" TargetMode="External" Id="rId225"/><Relationship Type="http://schemas.openxmlformats.org/officeDocument/2006/relationships/hyperlink" Target="https://new.land.naver.com/complexes/7558?ms=2AfAQG,3zprE6,17&amp;a=APT:ABYG:JGC&amp;b=A1:B1&amp;e=RETAIL&amp;h=34&amp;i=132&amp;l=198&amp;ad=true" TargetMode="External" Id="rId226"/><Relationship Type="http://schemas.openxmlformats.org/officeDocument/2006/relationships/hyperlink" Target="https://new.land.naver.com/complexes/7558?ms=2AfAQG,3zprE6,17&amp;a=APT:ABYG:JGC&amp;b=A1:B1&amp;e=RETAIL&amp;h=34&amp;i=132&amp;l=198&amp;ad=true" TargetMode="External" Id="rId227"/><Relationship Type="http://schemas.openxmlformats.org/officeDocument/2006/relationships/hyperlink" Target="https://new.land.naver.com/complexes/7558?ms=2AfAQG,3zprE6,17&amp;a=APT:ABYG:JGC&amp;b=A1:B1&amp;e=RETAIL&amp;h=34&amp;i=132&amp;l=198&amp;ad=true" TargetMode="External" Id="rId228"/><Relationship Type="http://schemas.openxmlformats.org/officeDocument/2006/relationships/hyperlink" Target="https://new.land.naver.com/complexes/7558?ms=2AfAQG,3zprE6,17&amp;a=APT:ABYG:JGC&amp;b=A1:B1&amp;e=RETAIL&amp;h=34&amp;i=132&amp;l=198&amp;ad=true" TargetMode="External" Id="rId229"/><Relationship Type="http://schemas.openxmlformats.org/officeDocument/2006/relationships/hyperlink" Target="https://new.land.naver.com/complexes/24363?ms=2AfAQG,3zprE6,17&amp;a=APT:ABYG:JGC&amp;b=A1:B1&amp;e=RETAIL&amp;h=34&amp;i=132&amp;l=198&amp;ad=true" TargetMode="External" Id="rId230"/><Relationship Type="http://schemas.openxmlformats.org/officeDocument/2006/relationships/hyperlink" Target="https://new.land.naver.com/complexes/24363?ms=2AfAQG,3zprE6,17&amp;a=APT:ABYG:JGC&amp;b=A1:B1&amp;e=RETAIL&amp;h=34&amp;i=132&amp;l=198&amp;ad=true" TargetMode="External" Id="rId231"/><Relationship Type="http://schemas.openxmlformats.org/officeDocument/2006/relationships/hyperlink" Target="https://new.land.naver.com/complexes/26943?ms=2AfAQG,3zprE6,17&amp;a=APT:ABYG:JGC&amp;b=A1:B1&amp;e=RETAIL&amp;h=34&amp;i=132&amp;l=198&amp;ad=true" TargetMode="External" Id="rId232"/><Relationship Type="http://schemas.openxmlformats.org/officeDocument/2006/relationships/hyperlink" Target="https://new.land.naver.com/complexes/26943?ms=2AfAQG,3zprE6,17&amp;a=APT:ABYG:JGC&amp;b=A1:B1&amp;e=RETAIL&amp;h=34&amp;i=132&amp;l=198&amp;ad=true" TargetMode="External" Id="rId233"/><Relationship Type="http://schemas.openxmlformats.org/officeDocument/2006/relationships/hyperlink" Target="https://new.land.naver.com/complexes/26943?ms=2AfAQG,3zprE6,17&amp;a=APT:ABYG:JGC&amp;b=A1:B1&amp;e=RETAIL&amp;h=34&amp;i=132&amp;l=198&amp;ad=true" TargetMode="External" Id="rId234"/><Relationship Type="http://schemas.openxmlformats.org/officeDocument/2006/relationships/hyperlink" Target="https://new.land.naver.com/complexes/151758?ms=2AfAQG,3zprE6,17&amp;a=APT:ABYG:JGC&amp;b=A1:B1&amp;e=RETAIL&amp;h=34&amp;i=132&amp;l=198&amp;ad=true" TargetMode="External" Id="rId235"/><Relationship Type="http://schemas.openxmlformats.org/officeDocument/2006/relationships/hyperlink" Target="https://new.land.naver.com/complexes/19124?ms=2AfAQG,3zprE6,17&amp;a=APT:ABYG:JGC&amp;b=A1:B1&amp;e=RETAIL&amp;h=34&amp;i=132&amp;l=198&amp;ad=true" TargetMode="External" Id="rId236"/><Relationship Type="http://schemas.openxmlformats.org/officeDocument/2006/relationships/hyperlink" Target="https://new.land.naver.com/complexes/26943?ms=2AfAQG,3zprE6,17&amp;a=APT:ABYG:JGC&amp;b=A1:B1&amp;e=RETAIL&amp;h=34&amp;i=132&amp;l=198&amp;ad=true" TargetMode="External" Id="rId237"/><Relationship Type="http://schemas.openxmlformats.org/officeDocument/2006/relationships/hyperlink" Target="https://new.land.naver.com/complexes/26943?ms=2AfAQG,3zprE6,17&amp;a=APT:ABYG:JGC&amp;b=A1:B1&amp;e=RETAIL&amp;h=34&amp;i=132&amp;l=198&amp;ad=true" TargetMode="External" Id="rId238"/><Relationship Type="http://schemas.openxmlformats.org/officeDocument/2006/relationships/hyperlink" Target="https://new.land.naver.com/complexes/26943?ms=2AfAQG,3zprE6,17&amp;a=APT:ABYG:JGC&amp;b=A1:B1&amp;e=RETAIL&amp;h=34&amp;i=132&amp;l=198&amp;ad=true" TargetMode="External" Id="rId239"/><Relationship Type="http://schemas.openxmlformats.org/officeDocument/2006/relationships/hyperlink" Target="https://new.land.naver.com/complexes/107332?ms=2AfAQG,3zprE6,17&amp;a=APT:ABYG:JGC&amp;b=A1:B1&amp;e=RETAIL&amp;h=34&amp;i=132&amp;l=198&amp;ad=true" TargetMode="External" Id="rId240"/><Relationship Type="http://schemas.openxmlformats.org/officeDocument/2006/relationships/hyperlink" Target="https://new.land.naver.com/complexes/26943?ms=2AfAQG,3zprE6,17&amp;a=APT:ABYG:JGC&amp;b=A1:B1&amp;e=RETAIL&amp;h=34&amp;i=132&amp;l=198&amp;ad=true" TargetMode="External" Id="rId241"/><Relationship Type="http://schemas.openxmlformats.org/officeDocument/2006/relationships/hyperlink" Target="https://new.land.naver.com/complexes/107332?ms=2AfAQG,3zprE6,17&amp;a=APT:ABYG:JGC&amp;b=A1:B1&amp;e=RETAIL&amp;h=34&amp;i=132&amp;l=198&amp;ad=true" TargetMode="External" Id="rId242"/><Relationship Type="http://schemas.openxmlformats.org/officeDocument/2006/relationships/hyperlink" Target="https://new.land.naver.com/complexes/7572?ms=2AfAQG,3zprE6,17&amp;a=APT:ABYG:JGC&amp;b=A1:B1&amp;e=RETAIL&amp;h=34&amp;i=132&amp;l=198&amp;ad=true" TargetMode="External" Id="rId243"/><Relationship Type="http://schemas.openxmlformats.org/officeDocument/2006/relationships/hyperlink" Target="https://new.land.naver.com/complexes/7567?ms=2AfAQG,3zprE6,17&amp;a=APT:ABYG:JGC&amp;b=A1:B1&amp;e=RETAIL&amp;h=34&amp;i=132&amp;l=198&amp;ad=true" TargetMode="External" Id="rId244"/><Relationship Type="http://schemas.openxmlformats.org/officeDocument/2006/relationships/hyperlink" Target="https://new.land.naver.com/complexes/102387?ms=2AfAQG,3zprE6,17&amp;a=APT:ABYG:JGC&amp;b=A1:B1&amp;e=RETAIL&amp;h=34&amp;i=132&amp;l=198&amp;ad=true" TargetMode="External" Id="rId245"/><Relationship Type="http://schemas.openxmlformats.org/officeDocument/2006/relationships/hyperlink" Target="https://new.land.naver.com/complexes/7569?ms=2AfAQG,3zprE6,17&amp;a=APT:ABYG:JGC&amp;b=A1:B1&amp;e=RETAIL&amp;h=34&amp;i=132&amp;l=198&amp;ad=true" TargetMode="External" Id="rId246"/><Relationship Type="http://schemas.openxmlformats.org/officeDocument/2006/relationships/hyperlink" Target="https://new.land.naver.com/complexes/7572?ms=2AfAQG,3zprE6,17&amp;a=APT:ABYG:JGC&amp;b=A1:B1&amp;e=RETAIL&amp;h=34&amp;i=132&amp;l=198&amp;ad=true" TargetMode="External" Id="rId247"/><Relationship Type="http://schemas.openxmlformats.org/officeDocument/2006/relationships/hyperlink" Target="https://new.land.naver.com/complexes/7572?ms=2AfAQG,3zprE6,17&amp;a=APT:ABYG:JGC&amp;b=A1:B1&amp;e=RETAIL&amp;h=34&amp;i=132&amp;l=198&amp;ad=true" TargetMode="External" Id="rId248"/><Relationship Type="http://schemas.openxmlformats.org/officeDocument/2006/relationships/hyperlink" Target="https://new.land.naver.com/complexes/7572?ms=2AfAQG,3zprE6,17&amp;a=APT:ABYG:JGC&amp;b=A1:B1&amp;e=RETAIL&amp;h=34&amp;i=132&amp;l=198&amp;ad=true" TargetMode="External" Id="rId249"/><Relationship Type="http://schemas.openxmlformats.org/officeDocument/2006/relationships/hyperlink" Target="https://new.land.naver.com/complexes/140850?ms=2AfAQG,3zprE6,17&amp;a=APT:ABYG:JGC&amp;b=A1:B1&amp;e=RETAIL&amp;h=34&amp;i=132&amp;l=198&amp;ad=true" TargetMode="External" Id="rId250"/></Relationships>
</file>

<file path=xl/worksheets/_rels/sheet4.xml.rels><Relationships xmlns="http://schemas.openxmlformats.org/package/2006/relationships"><Relationship Type="http://schemas.openxmlformats.org/officeDocument/2006/relationships/hyperlink" Target="https://new.land.naver.com/complexes/4526?ms=2AfAQG,3zprE6,17&amp;a=APT:ABYG:JGC&amp;b=A1:B1&amp;e=RETAIL&amp;h=34&amp;i=132&amp;l=198&amp;ad=true" TargetMode="External" Id="rId1"/><Relationship Type="http://schemas.openxmlformats.org/officeDocument/2006/relationships/hyperlink" Target="https://new.land.naver.com/complexes/161501?ms=2AfAQG,3zprE6,17&amp;a=APT:ABYG:JGC&amp;b=A1:B1&amp;e=RETAIL&amp;h=34&amp;i=132&amp;l=198&amp;ad=true" TargetMode="External" Id="rId2"/><Relationship Type="http://schemas.openxmlformats.org/officeDocument/2006/relationships/hyperlink" Target="https://new.land.naver.com/complexes/161501?ms=2AfAQG,3zprE6,17&amp;a=APT:ABYG:JGC&amp;b=A1:B1&amp;e=RETAIL&amp;h=34&amp;i=132&amp;l=198&amp;ad=true" TargetMode="External" Id="rId3"/><Relationship Type="http://schemas.openxmlformats.org/officeDocument/2006/relationships/hyperlink" Target="https://new.land.naver.com/complexes/161501?ms=2AfAQG,3zprE6,17&amp;a=APT:ABYG:JGC&amp;b=A1:B1&amp;e=RETAIL&amp;h=34&amp;i=132&amp;l=198&amp;ad=true" TargetMode="External" Id="rId4"/><Relationship Type="http://schemas.openxmlformats.org/officeDocument/2006/relationships/hyperlink" Target="https://new.land.naver.com/complexes/105323?ms=2AfAQG,3zprE6,17&amp;a=APT:ABYG:JGC&amp;b=A1:B1&amp;e=RETAIL&amp;h=34&amp;i=132&amp;l=198&amp;ad=true" TargetMode="External" Id="rId5"/><Relationship Type="http://schemas.openxmlformats.org/officeDocument/2006/relationships/hyperlink" Target="https://new.land.naver.com/complexes/110738?ms=2AfAQG,3zprE6,17&amp;a=APT:ABYG:JGC&amp;b=A1:B1&amp;e=RETAIL&amp;h=34&amp;i=132&amp;l=198&amp;ad=true" TargetMode="External" Id="rId6"/><Relationship Type="http://schemas.openxmlformats.org/officeDocument/2006/relationships/hyperlink" Target="https://new.land.naver.com/complexes/113686?ms=2AfAQG,3zprE6,17&amp;a=APT:ABYG:JGC&amp;b=A1:B1&amp;e=RETAIL&amp;h=34&amp;i=132&amp;l=198&amp;ad=true" TargetMode="External" Id="rId7"/><Relationship Type="http://schemas.openxmlformats.org/officeDocument/2006/relationships/hyperlink" Target="https://new.land.naver.com/complexes/22443?ms=2AfAQG,3zprE6,17&amp;a=APT:ABYG:JGC&amp;b=A1:B1&amp;e=RETAIL&amp;h=34&amp;i=132&amp;l=198&amp;ad=true" TargetMode="External" Id="rId8"/><Relationship Type="http://schemas.openxmlformats.org/officeDocument/2006/relationships/hyperlink" Target="https://new.land.naver.com/complexes/110738?ms=2AfAQG,3zprE6,17&amp;a=APT:ABYG:JGC&amp;b=A1:B1&amp;e=RETAIL&amp;h=34&amp;i=132&amp;l=198&amp;ad=true" TargetMode="External" Id="rId9"/><Relationship Type="http://schemas.openxmlformats.org/officeDocument/2006/relationships/hyperlink" Target="https://new.land.naver.com/complexes/145347?ms=2AfAQG,3zprE6,17&amp;a=APT:ABYG:JGC&amp;b=A1:B1&amp;e=RETAIL&amp;h=34&amp;i=132&amp;l=198&amp;ad=true" TargetMode="External" Id="rId10"/><Relationship Type="http://schemas.openxmlformats.org/officeDocument/2006/relationships/hyperlink" Target="https://new.land.naver.com/complexes/113686?ms=2AfAQG,3zprE6,17&amp;a=APT:ABYG:JGC&amp;b=A1:B1&amp;e=RETAIL&amp;h=34&amp;i=132&amp;l=198&amp;ad=true" TargetMode="External" Id="rId11"/><Relationship Type="http://schemas.openxmlformats.org/officeDocument/2006/relationships/hyperlink" Target="https://new.land.naver.com/complexes/105323?ms=2AfAQG,3zprE6,17&amp;a=APT:ABYG:JGC&amp;b=A1:B1&amp;e=RETAIL&amp;h=34&amp;i=132&amp;l=198&amp;ad=true" TargetMode="External" Id="rId12"/><Relationship Type="http://schemas.openxmlformats.org/officeDocument/2006/relationships/hyperlink" Target="https://new.land.naver.com/complexes/145347?ms=2AfAQG,3zprE6,17&amp;a=APT:ABYG:JGC&amp;b=A1:B1&amp;e=RETAIL&amp;h=34&amp;i=132&amp;l=198&amp;ad=true" TargetMode="External" Id="rId13"/><Relationship Type="http://schemas.openxmlformats.org/officeDocument/2006/relationships/hyperlink" Target="https://new.land.naver.com/complexes/114815?ms=2AfAQG,3zprE6,17&amp;a=APT:ABYG:JGC&amp;b=A1:B1&amp;e=RETAIL&amp;h=34&amp;i=132&amp;l=198&amp;ad=true" TargetMode="External" Id="rId14"/><Relationship Type="http://schemas.openxmlformats.org/officeDocument/2006/relationships/hyperlink" Target="https://new.land.naver.com/complexes/110738?ms=2AfAQG,3zprE6,17&amp;a=APT:ABYG:JGC&amp;b=A1:B1&amp;e=RETAIL&amp;h=34&amp;i=132&amp;l=198&amp;ad=true" TargetMode="External" Id="rId15"/><Relationship Type="http://schemas.openxmlformats.org/officeDocument/2006/relationships/hyperlink" Target="https://new.land.naver.com/complexes/133976?ms=2AfAQG,3zprE6,17&amp;a=APT:ABYG:JGC&amp;b=A1:B1&amp;e=RETAIL&amp;h=34&amp;i=132&amp;l=198&amp;ad=true" TargetMode="External" Id="rId16"/><Relationship Type="http://schemas.openxmlformats.org/officeDocument/2006/relationships/hyperlink" Target="https://new.land.naver.com/complexes/109359?ms=2AfAQG,3zprE6,17&amp;a=APT:ABYG:JGC&amp;b=A1:B1&amp;e=RETAIL&amp;h=34&amp;i=132&amp;l=198&amp;ad=true" TargetMode="External" Id="rId17"/><Relationship Type="http://schemas.openxmlformats.org/officeDocument/2006/relationships/hyperlink" Target="https://new.land.naver.com/complexes/9861?ms=2AfAQG,3zprE6,17&amp;a=APT:ABYG:JGC&amp;b=A1:B1&amp;e=RETAIL&amp;h=34&amp;i=132&amp;l=198&amp;ad=true" TargetMode="External" Id="rId18"/><Relationship Type="http://schemas.openxmlformats.org/officeDocument/2006/relationships/hyperlink" Target="https://new.land.naver.com/complexes/104716?ms=2AfAQG,3zprE6,17&amp;a=APT:ABYG:JGC&amp;b=A1:B1&amp;e=RETAIL&amp;h=34&amp;i=132&amp;l=198&amp;ad=true" TargetMode="External" Id="rId19"/><Relationship Type="http://schemas.openxmlformats.org/officeDocument/2006/relationships/hyperlink" Target="https://new.land.naver.com/complexes/145347?ms=2AfAQG,3zprE6,17&amp;a=APT:ABYG:JGC&amp;b=A1:B1&amp;e=RETAIL&amp;h=34&amp;i=132&amp;l=198&amp;ad=true" TargetMode="External" Id="rId20"/><Relationship Type="http://schemas.openxmlformats.org/officeDocument/2006/relationships/hyperlink" Target="https://new.land.naver.com/complexes/113686?ms=2AfAQG,3zprE6,17&amp;a=APT:ABYG:JGC&amp;b=A1:B1&amp;e=RETAIL&amp;h=34&amp;i=132&amp;l=198&amp;ad=true" TargetMode="External" Id="rId21"/><Relationship Type="http://schemas.openxmlformats.org/officeDocument/2006/relationships/hyperlink" Target="https://new.land.naver.com/complexes/104716?ms=2AfAQG,3zprE6,17&amp;a=APT:ABYG:JGC&amp;b=A1:B1&amp;e=RETAIL&amp;h=34&amp;i=132&amp;l=198&amp;ad=true" TargetMode="External" Id="rId22"/><Relationship Type="http://schemas.openxmlformats.org/officeDocument/2006/relationships/hyperlink" Target="https://new.land.naver.com/complexes/109359?ms=2AfAQG,3zprE6,17&amp;a=APT:ABYG:JGC&amp;b=A1:B1&amp;e=RETAIL&amp;h=34&amp;i=132&amp;l=198&amp;ad=true" TargetMode="External" Id="rId23"/><Relationship Type="http://schemas.openxmlformats.org/officeDocument/2006/relationships/hyperlink" Target="https://new.land.naver.com/complexes/133976?ms=2AfAQG,3zprE6,17&amp;a=APT:ABYG:JGC&amp;b=A1:B1&amp;e=RETAIL&amp;h=34&amp;i=132&amp;l=198&amp;ad=true" TargetMode="External" Id="rId24"/><Relationship Type="http://schemas.openxmlformats.org/officeDocument/2006/relationships/hyperlink" Target="https://new.land.naver.com/complexes/10107?ms=2AfAQG,3zprE6,17&amp;a=APT:ABYG:JGC&amp;b=A1:B1&amp;e=RETAIL&amp;h=34&amp;i=132&amp;l=198&amp;ad=true" TargetMode="External" Id="rId25"/><Relationship Type="http://schemas.openxmlformats.org/officeDocument/2006/relationships/hyperlink" Target="https://new.land.naver.com/complexes/112774?ms=2AfAQG,3zprE6,17&amp;a=APT:ABYG:JGC&amp;b=A1:B1&amp;e=RETAIL&amp;h=34&amp;i=132&amp;l=198&amp;ad=true" TargetMode="External" Id="rId26"/><Relationship Type="http://schemas.openxmlformats.org/officeDocument/2006/relationships/hyperlink" Target="https://new.land.naver.com/complexes/125376?ms=2AfAQG,3zprE6,17&amp;a=APT:ABYG:JGC&amp;b=A1:B1&amp;e=RETAIL&amp;h=34&amp;i=132&amp;l=198&amp;ad=true" TargetMode="External" Id="rId27"/><Relationship Type="http://schemas.openxmlformats.org/officeDocument/2006/relationships/hyperlink" Target="https://new.land.naver.com/complexes/9861?ms=2AfAQG,3zprE6,17&amp;a=APT:ABYG:JGC&amp;b=A1:B1&amp;e=RETAIL&amp;h=34&amp;i=132&amp;l=198&amp;ad=true" TargetMode="External" Id="rId28"/><Relationship Type="http://schemas.openxmlformats.org/officeDocument/2006/relationships/hyperlink" Target="https://new.land.naver.com/complexes/133976?ms=2AfAQG,3zprE6,17&amp;a=APT:ABYG:JGC&amp;b=A1:B1&amp;e=RETAIL&amp;h=34&amp;i=132&amp;l=198&amp;ad=true" TargetMode="External" Id="rId29"/><Relationship Type="http://schemas.openxmlformats.org/officeDocument/2006/relationships/hyperlink" Target="https://new.land.naver.com/complexes/9709?ms=2AfAQG,3zprE6,17&amp;a=APT:ABYG:JGC&amp;b=A1:B1&amp;e=RETAIL&amp;h=34&amp;i=132&amp;l=198&amp;ad=true" TargetMode="External" Id="rId30"/><Relationship Type="http://schemas.openxmlformats.org/officeDocument/2006/relationships/hyperlink" Target="https://new.land.naver.com/complexes/125376?ms=2AfAQG,3zprE6,17&amp;a=APT:ABYG:JGC&amp;b=A1:B1&amp;e=RETAIL&amp;h=34&amp;i=132&amp;l=198&amp;ad=true" TargetMode="External" Id="rId31"/><Relationship Type="http://schemas.openxmlformats.org/officeDocument/2006/relationships/hyperlink" Target="https://new.land.naver.com/complexes/9708?ms=2AfAQG,3zprE6,17&amp;a=APT:ABYG:JGC&amp;b=A1:B1&amp;e=RETAIL&amp;h=34&amp;i=132&amp;l=198&amp;ad=true" TargetMode="External" Id="rId32"/><Relationship Type="http://schemas.openxmlformats.org/officeDocument/2006/relationships/hyperlink" Target="https://new.land.naver.com/complexes/9710?ms=2AfAQG,3zprE6,17&amp;a=APT:ABYG:JGC&amp;b=A1:B1&amp;e=RETAIL&amp;h=34&amp;i=132&amp;l=198&amp;ad=true" TargetMode="External" Id="rId33"/><Relationship Type="http://schemas.openxmlformats.org/officeDocument/2006/relationships/hyperlink" Target="https://new.land.naver.com/complexes/127894?ms=2AfAQG,3zprE6,17&amp;a=APT:ABYG:JGC&amp;b=A1:B1&amp;e=RETAIL&amp;h=34&amp;i=132&amp;l=198&amp;ad=true" TargetMode="External" Id="rId34"/><Relationship Type="http://schemas.openxmlformats.org/officeDocument/2006/relationships/hyperlink" Target="https://new.land.naver.com/complexes/9710?ms=2AfAQG,3zprE6,17&amp;a=APT:ABYG:JGC&amp;b=A1:B1&amp;e=RETAIL&amp;h=34&amp;i=132&amp;l=198&amp;ad=true" TargetMode="External" Id="rId35"/><Relationship Type="http://schemas.openxmlformats.org/officeDocument/2006/relationships/hyperlink" Target="https://new.land.naver.com/complexes/110440?ms=2AfAQG,3zprE6,17&amp;a=APT:ABYG:JGC&amp;b=A1:B1&amp;e=RETAIL&amp;h=34&amp;i=132&amp;l=198&amp;ad=true" TargetMode="External" Id="rId36"/><Relationship Type="http://schemas.openxmlformats.org/officeDocument/2006/relationships/hyperlink" Target="https://new.land.naver.com/complexes/9706?ms=2AfAQG,3zprE6,17&amp;a=APT:ABYG:JGC&amp;b=A1:B1&amp;e=RETAIL&amp;h=34&amp;i=132&amp;l=198&amp;ad=true" TargetMode="External" Id="rId37"/><Relationship Type="http://schemas.openxmlformats.org/officeDocument/2006/relationships/hyperlink" Target="https://new.land.naver.com/complexes/9709?ms=2AfAQG,3zprE6,17&amp;a=APT:ABYG:JGC&amp;b=A1:B1&amp;e=RETAIL&amp;h=34&amp;i=132&amp;l=198&amp;ad=true" TargetMode="External" Id="rId38"/><Relationship Type="http://schemas.openxmlformats.org/officeDocument/2006/relationships/hyperlink" Target="https://new.land.naver.com/complexes/161277?ms=2AfAQG,3zprE6,17&amp;a=APT:ABYG:JGC&amp;b=A1:B1&amp;e=RETAIL&amp;h=34&amp;i=132&amp;l=198&amp;ad=true" TargetMode="External" Id="rId39"/><Relationship Type="http://schemas.openxmlformats.org/officeDocument/2006/relationships/hyperlink" Target="https://new.land.naver.com/complexes/112774?ms=2AfAQG,3zprE6,17&amp;a=APT:ABYG:JGC&amp;b=A1:B1&amp;e=RETAIL&amp;h=34&amp;i=132&amp;l=198&amp;ad=true" TargetMode="External" Id="rId40"/><Relationship Type="http://schemas.openxmlformats.org/officeDocument/2006/relationships/hyperlink" Target="https://new.land.naver.com/complexes/8039?ms=2AfAQG,3zprE6,17&amp;a=APT:ABYG:JGC&amp;b=A1:B1&amp;e=RETAIL&amp;h=34&amp;i=132&amp;l=198&amp;ad=true" TargetMode="External" Id="rId41"/><Relationship Type="http://schemas.openxmlformats.org/officeDocument/2006/relationships/hyperlink" Target="https://new.land.naver.com/complexes/9711?ms=2AfAQG,3zprE6,17&amp;a=APT:ABYG:JGC&amp;b=A1:B1&amp;e=RETAIL&amp;h=34&amp;i=132&amp;l=198&amp;ad=true" TargetMode="External" Id="rId42"/><Relationship Type="http://schemas.openxmlformats.org/officeDocument/2006/relationships/hyperlink" Target="https://new.land.naver.com/complexes/127894?ms=2AfAQG,3zprE6,17&amp;a=APT:ABYG:JGC&amp;b=A1:B1&amp;e=RETAIL&amp;h=34&amp;i=132&amp;l=198&amp;ad=true" TargetMode="External" Id="rId43"/><Relationship Type="http://schemas.openxmlformats.org/officeDocument/2006/relationships/hyperlink" Target="https://new.land.naver.com/complexes/110440?ms=2AfAQG,3zprE6,17&amp;a=APT:ABYG:JGC&amp;b=A1:B1&amp;e=RETAIL&amp;h=34&amp;i=132&amp;l=198&amp;ad=true" TargetMode="External" Id="rId44"/><Relationship Type="http://schemas.openxmlformats.org/officeDocument/2006/relationships/hyperlink" Target="https://new.land.naver.com/complexes/129153?ms=2AfAQG,3zprE6,17&amp;a=APT:ABYG:JGC&amp;b=A1:B1&amp;e=RETAIL&amp;h=34&amp;i=132&amp;l=198&amp;ad=true" TargetMode="External" Id="rId45"/><Relationship Type="http://schemas.openxmlformats.org/officeDocument/2006/relationships/hyperlink" Target="https://new.land.naver.com/complexes/110440?ms=2AfAQG,3zprE6,17&amp;a=APT:ABYG:JGC&amp;b=A1:B1&amp;e=RETAIL&amp;h=34&amp;i=132&amp;l=198&amp;ad=true" TargetMode="External" Id="rId46"/><Relationship Type="http://schemas.openxmlformats.org/officeDocument/2006/relationships/hyperlink" Target="https://new.land.naver.com/complexes/8039?ms=2AfAQG,3zprE6,17&amp;a=APT:ABYG:JGC&amp;b=A1:B1&amp;e=RETAIL&amp;h=34&amp;i=132&amp;l=198&amp;ad=true" TargetMode="External" Id="rId47"/><Relationship Type="http://schemas.openxmlformats.org/officeDocument/2006/relationships/hyperlink" Target="https://new.land.naver.com/complexes/22444?ms=2AfAQG,3zprE6,17&amp;a=APT:ABYG:JGC&amp;b=A1:B1&amp;e=RETAIL&amp;h=34&amp;i=132&amp;l=198&amp;ad=true" TargetMode="External" Id="rId48"/><Relationship Type="http://schemas.openxmlformats.org/officeDocument/2006/relationships/hyperlink" Target="https://new.land.naver.com/complexes/4649?ms=2AfAQG,3zprE6,17&amp;a=APT:ABYG:JGC&amp;b=A1:B1&amp;e=RETAIL&amp;h=34&amp;i=132&amp;l=198&amp;ad=true" TargetMode="External" Id="rId49"/><Relationship Type="http://schemas.openxmlformats.org/officeDocument/2006/relationships/hyperlink" Target="https://new.land.naver.com/complexes/161277?ms=2AfAQG,3zprE6,17&amp;a=APT:ABYG:JGC&amp;b=A1:B1&amp;e=RETAIL&amp;h=34&amp;i=132&amp;l=198&amp;ad=true" TargetMode="External" Id="rId50"/><Relationship Type="http://schemas.openxmlformats.org/officeDocument/2006/relationships/hyperlink" Target="https://new.land.naver.com/complexes/114815?ms=2AfAQG,3zprE6,17&amp;a=APT:ABYG:JGC&amp;b=A1:B1&amp;e=RETAIL&amp;h=34&amp;i=132&amp;l=198&amp;ad=true" TargetMode="External" Id="rId51"/><Relationship Type="http://schemas.openxmlformats.org/officeDocument/2006/relationships/hyperlink" Target="https://new.land.naver.com/complexes/125851?ms=2AfAQG,3zprE6,17&amp;a=APT:ABYG:JGC&amp;b=A1:B1&amp;e=RETAIL&amp;h=34&amp;i=132&amp;l=198&amp;ad=true" TargetMode="External" Id="rId52"/><Relationship Type="http://schemas.openxmlformats.org/officeDocument/2006/relationships/hyperlink" Target="https://new.land.naver.com/complexes/9708?ms=2AfAQG,3zprE6,17&amp;a=APT:ABYG:JGC&amp;b=A1:B1&amp;e=RETAIL&amp;h=34&amp;i=132&amp;l=198&amp;ad=true" TargetMode="External" Id="rId53"/><Relationship Type="http://schemas.openxmlformats.org/officeDocument/2006/relationships/hyperlink" Target="https://new.land.naver.com/complexes/9710?ms=2AfAQG,3zprE6,17&amp;a=APT:ABYG:JGC&amp;b=A1:B1&amp;e=RETAIL&amp;h=34&amp;i=132&amp;l=198&amp;ad=true" TargetMode="External" Id="rId54"/><Relationship Type="http://schemas.openxmlformats.org/officeDocument/2006/relationships/hyperlink" Target="https://new.land.naver.com/complexes/8039?ms=2AfAQG,3zprE6,17&amp;a=APT:ABYG:JGC&amp;b=A1:B1&amp;e=RETAIL&amp;h=34&amp;i=132&amp;l=198&amp;ad=true" TargetMode="External" Id="rId55"/><Relationship Type="http://schemas.openxmlformats.org/officeDocument/2006/relationships/hyperlink" Target="https://new.land.naver.com/complexes/9710?ms=2AfAQG,3zprE6,17&amp;a=APT:ABYG:JGC&amp;b=A1:B1&amp;e=RETAIL&amp;h=34&amp;i=132&amp;l=198&amp;ad=true" TargetMode="External" Id="rId56"/><Relationship Type="http://schemas.openxmlformats.org/officeDocument/2006/relationships/hyperlink" Target="https://new.land.naver.com/complexes/114815?ms=2AfAQG,3zprE6,17&amp;a=APT:ABYG:JGC&amp;b=A1:B1&amp;e=RETAIL&amp;h=34&amp;i=132&amp;l=198&amp;ad=true" TargetMode="External" Id="rId57"/><Relationship Type="http://schemas.openxmlformats.org/officeDocument/2006/relationships/hyperlink" Target="https://new.land.naver.com/complexes/9711?ms=2AfAQG,3zprE6,17&amp;a=APT:ABYG:JGC&amp;b=A1:B1&amp;e=RETAIL&amp;h=34&amp;i=132&amp;l=198&amp;ad=true" TargetMode="External" Id="rId58"/><Relationship Type="http://schemas.openxmlformats.org/officeDocument/2006/relationships/hyperlink" Target="https://new.land.naver.com/complexes/114815?ms=2AfAQG,3zprE6,17&amp;a=APT:ABYG:JGC&amp;b=A1:B1&amp;e=RETAIL&amp;h=34&amp;i=132&amp;l=198&amp;ad=true" TargetMode="External" Id="rId59"/><Relationship Type="http://schemas.openxmlformats.org/officeDocument/2006/relationships/hyperlink" Target="https://new.land.naver.com/complexes/129153?ms=2AfAQG,3zprE6,17&amp;a=APT:ABYG:JGC&amp;b=A1:B1&amp;e=RETAIL&amp;h=34&amp;i=132&amp;l=198&amp;ad=true" TargetMode="External" Id="rId60"/><Relationship Type="http://schemas.openxmlformats.org/officeDocument/2006/relationships/hyperlink" Target="https://new.land.naver.com/complexes/15166?ms=2AfAQG,3zprE6,17&amp;a=APT:ABYG:JGC&amp;b=A1:B1&amp;e=RETAIL&amp;h=34&amp;i=132&amp;l=198&amp;ad=true" TargetMode="External" Id="rId61"/><Relationship Type="http://schemas.openxmlformats.org/officeDocument/2006/relationships/hyperlink" Target="https://new.land.naver.com/complexes/125851?ms=2AfAQG,3zprE6,17&amp;a=APT:ABYG:JGC&amp;b=A1:B1&amp;e=RETAIL&amp;h=34&amp;i=132&amp;l=198&amp;ad=true" TargetMode="External" Id="rId62"/><Relationship Type="http://schemas.openxmlformats.org/officeDocument/2006/relationships/hyperlink" Target="https://new.land.naver.com/complexes/8039?ms=2AfAQG,3zprE6,17&amp;a=APT:ABYG:JGC&amp;b=A1:B1&amp;e=RETAIL&amp;h=34&amp;i=132&amp;l=198&amp;ad=true" TargetMode="External" Id="rId63"/><Relationship Type="http://schemas.openxmlformats.org/officeDocument/2006/relationships/hyperlink" Target="https://new.land.naver.com/complexes/4543?ms=2AfAQG,3zprE6,17&amp;a=APT:ABYG:JGC&amp;b=A1:B1&amp;e=RETAIL&amp;h=34&amp;i=132&amp;l=198&amp;ad=true" TargetMode="External" Id="rId64"/><Relationship Type="http://schemas.openxmlformats.org/officeDocument/2006/relationships/hyperlink" Target="https://new.land.naver.com/complexes/4577?ms=2AfAQG,3zprE6,17&amp;a=APT:ABYG:JGC&amp;b=A1:B1&amp;e=RETAIL&amp;h=34&amp;i=132&amp;l=198&amp;ad=true" TargetMode="External" Id="rId65"/><Relationship Type="http://schemas.openxmlformats.org/officeDocument/2006/relationships/hyperlink" Target="https://new.land.naver.com/complexes/104246?ms=2AfAQG,3zprE6,17&amp;a=APT:ABYG:JGC&amp;b=A1:B1&amp;e=RETAIL&amp;h=34&amp;i=132&amp;l=198&amp;ad=true" TargetMode="External" Id="rId66"/><Relationship Type="http://schemas.openxmlformats.org/officeDocument/2006/relationships/hyperlink" Target="https://new.land.naver.com/complexes/161277?ms=2AfAQG,3zprE6,17&amp;a=APT:ABYG:JGC&amp;b=A1:B1&amp;e=RETAIL&amp;h=34&amp;i=132&amp;l=198&amp;ad=true" TargetMode="External" Id="rId67"/><Relationship Type="http://schemas.openxmlformats.org/officeDocument/2006/relationships/hyperlink" Target="https://new.land.naver.com/complexes/15166?ms=2AfAQG,3zprE6,17&amp;a=APT:ABYG:JGC&amp;b=A1:B1&amp;e=RETAIL&amp;h=34&amp;i=132&amp;l=198&amp;ad=true" TargetMode="External" Id="rId68"/><Relationship Type="http://schemas.openxmlformats.org/officeDocument/2006/relationships/hyperlink" Target="https://new.land.naver.com/complexes/127894?ms=2AfAQG,3zprE6,17&amp;a=APT:ABYG:JGC&amp;b=A1:B1&amp;e=RETAIL&amp;h=34&amp;i=132&amp;l=198&amp;ad=true" TargetMode="External" Id="rId69"/><Relationship Type="http://schemas.openxmlformats.org/officeDocument/2006/relationships/hyperlink" Target="https://new.land.naver.com/complexes/13513?ms=2AfAQG,3zprE6,17&amp;a=APT:ABYG:JGC&amp;b=A1:B1&amp;e=RETAIL&amp;h=34&amp;i=132&amp;l=198&amp;ad=true" TargetMode="External" Id="rId70"/><Relationship Type="http://schemas.openxmlformats.org/officeDocument/2006/relationships/hyperlink" Target="https://new.land.naver.com/complexes/104246?ms=2AfAQG,3zprE6,17&amp;a=APT:ABYG:JGC&amp;b=A1:B1&amp;e=RETAIL&amp;h=34&amp;i=132&amp;l=198&amp;ad=true" TargetMode="External" Id="rId71"/><Relationship Type="http://schemas.openxmlformats.org/officeDocument/2006/relationships/hyperlink" Target="https://new.land.naver.com/complexes/24055?ms=2AfAQG,3zprE6,17&amp;a=APT:ABYG:JGC&amp;b=A1:B1&amp;e=RETAIL&amp;h=34&amp;i=132&amp;l=198&amp;ad=true" TargetMode="External" Id="rId72"/><Relationship Type="http://schemas.openxmlformats.org/officeDocument/2006/relationships/hyperlink" Target="https://new.land.naver.com/complexes/24055?ms=2AfAQG,3zprE6,17&amp;a=APT:ABYG:JGC&amp;b=A1:B1&amp;e=RETAIL&amp;h=34&amp;i=132&amp;l=198&amp;ad=true" TargetMode="External" Id="rId73"/><Relationship Type="http://schemas.openxmlformats.org/officeDocument/2006/relationships/hyperlink" Target="https://new.land.naver.com/complexes/125851?ms=2AfAQG,3zprE6,17&amp;a=APT:ABYG:JGC&amp;b=A1:B1&amp;e=RETAIL&amp;h=34&amp;i=132&amp;l=198&amp;ad=true" TargetMode="External" Id="rId74"/><Relationship Type="http://schemas.openxmlformats.org/officeDocument/2006/relationships/hyperlink" Target="https://new.land.naver.com/complexes/10488?ms=2AfAQG,3zprE6,17&amp;a=APT:ABYG:JGC&amp;b=A1:B1&amp;e=RETAIL&amp;h=34&amp;i=132&amp;l=198&amp;ad=true" TargetMode="External" Id="rId75"/><Relationship Type="http://schemas.openxmlformats.org/officeDocument/2006/relationships/hyperlink" Target="https://new.land.naver.com/complexes/4577?ms=2AfAQG,3zprE6,17&amp;a=APT:ABYG:JGC&amp;b=A1:B1&amp;e=RETAIL&amp;h=34&amp;i=132&amp;l=198&amp;ad=true" TargetMode="External" Id="rId76"/><Relationship Type="http://schemas.openxmlformats.org/officeDocument/2006/relationships/hyperlink" Target="https://new.land.naver.com/complexes/4649?ms=2AfAQG,3zprE6,17&amp;a=APT:ABYG:JGC&amp;b=A1:B1&amp;e=RETAIL&amp;h=34&amp;i=132&amp;l=198&amp;ad=true" TargetMode="External" Id="rId77"/><Relationship Type="http://schemas.openxmlformats.org/officeDocument/2006/relationships/hyperlink" Target="https://new.land.naver.com/complexes/22395?ms=2AfAQG,3zprE6,17&amp;a=APT:ABYG:JGC&amp;b=A1:B1&amp;e=RETAIL&amp;h=34&amp;i=132&amp;l=198&amp;ad=true" TargetMode="External" Id="rId78"/><Relationship Type="http://schemas.openxmlformats.org/officeDocument/2006/relationships/hyperlink" Target="https://new.land.naver.com/complexes/4646?ms=2AfAQG,3zprE6,17&amp;a=APT:ABYG:JGC&amp;b=A1:B1&amp;e=RETAIL&amp;h=34&amp;i=132&amp;l=198&amp;ad=true" TargetMode="External" Id="rId79"/><Relationship Type="http://schemas.openxmlformats.org/officeDocument/2006/relationships/hyperlink" Target="https://new.land.naver.com/complexes/4725?ms=2AfAQG,3zprE6,17&amp;a=APT:ABYG:JGC&amp;b=A1:B1&amp;e=RETAIL&amp;h=34&amp;i=132&amp;l=198&amp;ad=true" TargetMode="External" Id="rId80"/><Relationship Type="http://schemas.openxmlformats.org/officeDocument/2006/relationships/hyperlink" Target="https://new.land.naver.com/complexes/14171?ms=2AfAQG,3zprE6,17&amp;a=APT:ABYG:JGC&amp;b=A1:B1&amp;e=RETAIL&amp;h=34&amp;i=132&amp;l=198&amp;ad=true" TargetMode="External" Id="rId81"/><Relationship Type="http://schemas.openxmlformats.org/officeDocument/2006/relationships/hyperlink" Target="https://new.land.naver.com/complexes/4636?ms=2AfAQG,3zprE6,17&amp;a=APT:ABYG:JGC&amp;b=A1:B1&amp;e=RETAIL&amp;h=34&amp;i=132&amp;l=198&amp;ad=true" TargetMode="External" Id="rId82"/><Relationship Type="http://schemas.openxmlformats.org/officeDocument/2006/relationships/hyperlink" Target="https://new.land.naver.com/complexes/4579?ms=2AfAQG,3zprE6,17&amp;a=APT:ABYG:JGC&amp;b=A1:B1&amp;e=RETAIL&amp;h=34&amp;i=132&amp;l=198&amp;ad=true" TargetMode="External" Id="rId83"/><Relationship Type="http://schemas.openxmlformats.org/officeDocument/2006/relationships/hyperlink" Target="https://new.land.naver.com/complexes/13513?ms=2AfAQG,3zprE6,17&amp;a=APT:ABYG:JGC&amp;b=A1:B1&amp;e=RETAIL&amp;h=34&amp;i=132&amp;l=198&amp;ad=true" TargetMode="External" Id="rId84"/><Relationship Type="http://schemas.openxmlformats.org/officeDocument/2006/relationships/hyperlink" Target="https://new.land.naver.com/complexes/12935?ms=2AfAQG,3zprE6,17&amp;a=APT:ABYG:JGC&amp;b=A1:B1&amp;e=RETAIL&amp;h=34&amp;i=132&amp;l=198&amp;ad=true" TargetMode="External" Id="rId85"/><Relationship Type="http://schemas.openxmlformats.org/officeDocument/2006/relationships/hyperlink" Target="https://new.land.naver.com/complexes/11242?ms=2AfAQG,3zprE6,17&amp;a=APT:ABYG:JGC&amp;b=A1:B1&amp;e=RETAIL&amp;h=34&amp;i=132&amp;l=198&amp;ad=true" TargetMode="External" Id="rId86"/><Relationship Type="http://schemas.openxmlformats.org/officeDocument/2006/relationships/hyperlink" Target="https://new.land.naver.com/complexes/4725?ms=2AfAQG,3zprE6,17&amp;a=APT:ABYG:JGC&amp;b=A1:B1&amp;e=RETAIL&amp;h=34&amp;i=132&amp;l=198&amp;ad=true" TargetMode="External" Id="rId87"/><Relationship Type="http://schemas.openxmlformats.org/officeDocument/2006/relationships/hyperlink" Target="https://new.land.naver.com/complexes/11242?ms=2AfAQG,3zprE6,17&amp;a=APT:ABYG:JGC&amp;b=A1:B1&amp;e=RETAIL&amp;h=34&amp;i=132&amp;l=198&amp;ad=true" TargetMode="External" Id="rId88"/><Relationship Type="http://schemas.openxmlformats.org/officeDocument/2006/relationships/hyperlink" Target="https://new.land.naver.com/complexes/4575?ms=2AfAQG,3zprE6,17&amp;a=APT:ABYG:JGC&amp;b=A1:B1&amp;e=RETAIL&amp;h=34&amp;i=132&amp;l=198&amp;ad=true" TargetMode="External" Id="rId89"/><Relationship Type="http://schemas.openxmlformats.org/officeDocument/2006/relationships/hyperlink" Target="https://new.land.naver.com/complexes/104246?ms=2AfAQG,3zprE6,17&amp;a=APT:ABYG:JGC&amp;b=A1:B1&amp;e=RETAIL&amp;h=34&amp;i=132&amp;l=198&amp;ad=true" TargetMode="External" Id="rId90"/><Relationship Type="http://schemas.openxmlformats.org/officeDocument/2006/relationships/hyperlink" Target="https://new.land.naver.com/complexes/4649?ms=2AfAQG,3zprE6,17&amp;a=APT:ABYG:JGC&amp;b=A1:B1&amp;e=RETAIL&amp;h=34&amp;i=132&amp;l=198&amp;ad=true" TargetMode="External" Id="rId91"/><Relationship Type="http://schemas.openxmlformats.org/officeDocument/2006/relationships/hyperlink" Target="https://new.land.naver.com/complexes/12935?ms=2AfAQG,3zprE6,17&amp;a=APT:ABYG:JGC&amp;b=A1:B1&amp;e=RETAIL&amp;h=34&amp;i=132&amp;l=198&amp;ad=true" TargetMode="External" Id="rId92"/><Relationship Type="http://schemas.openxmlformats.org/officeDocument/2006/relationships/hyperlink" Target="https://new.land.naver.com/complexes/4521?ms=2AfAQG,3zprE6,17&amp;a=APT:ABYG:JGC&amp;b=A1:B1&amp;e=RETAIL&amp;h=34&amp;i=132&amp;l=198&amp;ad=true" TargetMode="External" Id="rId93"/><Relationship Type="http://schemas.openxmlformats.org/officeDocument/2006/relationships/hyperlink" Target="https://new.land.naver.com/complexes/4530?ms=2AfAQG,3zprE6,17&amp;a=APT:ABYG:JGC&amp;b=A1:B1&amp;e=RETAIL&amp;h=34&amp;i=132&amp;l=198&amp;ad=true" TargetMode="External" Id="rId94"/><Relationship Type="http://schemas.openxmlformats.org/officeDocument/2006/relationships/hyperlink" Target="https://new.land.naver.com/complexes/101068?ms=2AfAQG,3zprE6,17&amp;a=APT:ABYG:JGC&amp;b=A1:B1&amp;e=RETAIL&amp;h=34&amp;i=132&amp;l=198&amp;ad=true" TargetMode="External" Id="rId95"/><Relationship Type="http://schemas.openxmlformats.org/officeDocument/2006/relationships/hyperlink" Target="https://new.land.naver.com/complexes/4650?ms=2AfAQG,3zprE6,17&amp;a=APT:ABYG:JGC&amp;b=A1:B1&amp;e=RETAIL&amp;h=34&amp;i=132&amp;l=198&amp;ad=true" TargetMode="External" Id="rId96"/><Relationship Type="http://schemas.openxmlformats.org/officeDocument/2006/relationships/hyperlink" Target="https://new.land.naver.com/complexes/4592?ms=2AfAQG,3zprE6,17&amp;a=APT:ABYG:JGC&amp;b=A1:B1&amp;e=RETAIL&amp;h=34&amp;i=132&amp;l=198&amp;ad=true" TargetMode="External" Id="rId97"/><Relationship Type="http://schemas.openxmlformats.org/officeDocument/2006/relationships/hyperlink" Target="https://new.land.naver.com/complexes/4724?ms=2AfAQG,3zprE6,17&amp;a=APT:ABYG:JGC&amp;b=A1:B1&amp;e=RETAIL&amp;h=34&amp;i=132&amp;l=198&amp;ad=true" TargetMode="External" Id="rId98"/><Relationship Type="http://schemas.openxmlformats.org/officeDocument/2006/relationships/hyperlink" Target="https://new.land.naver.com/complexes/4477?ms=2AfAQG,3zprE6,17&amp;a=APT:ABYG:JGC&amp;b=A1:B1&amp;e=RETAIL&amp;h=34&amp;i=132&amp;l=198&amp;ad=true" TargetMode="External" Id="rId99"/><Relationship Type="http://schemas.openxmlformats.org/officeDocument/2006/relationships/hyperlink" Target="https://new.land.naver.com/complexes/4548?ms=2AfAQG,3zprE6,17&amp;a=APT:ABYG:JGC&amp;b=A1:B1&amp;e=RETAIL&amp;h=34&amp;i=132&amp;l=198&amp;ad=true" TargetMode="External" Id="rId100"/><Relationship Type="http://schemas.openxmlformats.org/officeDocument/2006/relationships/hyperlink" Target="https://new.land.naver.com/complexes/4543?ms=2AfAQG,3zprE6,17&amp;a=APT:ABYG:JGC&amp;b=A1:B1&amp;e=RETAIL&amp;h=34&amp;i=132&amp;l=198&amp;ad=true" TargetMode="External" Id="rId101"/><Relationship Type="http://schemas.openxmlformats.org/officeDocument/2006/relationships/hyperlink" Target="https://new.land.naver.com/complexes/11665?ms=2AfAQG,3zprE6,17&amp;a=APT:ABYG:JGC&amp;b=A1:B1&amp;e=RETAIL&amp;h=34&amp;i=132&amp;l=198&amp;ad=true" TargetMode="External" Id="rId102"/><Relationship Type="http://schemas.openxmlformats.org/officeDocument/2006/relationships/hyperlink" Target="https://new.land.naver.com/complexes/15882?ms=2AfAQG,3zprE6,17&amp;a=APT:ABYG:JGC&amp;b=A1:B1&amp;e=RETAIL&amp;h=34&amp;i=132&amp;l=198&amp;ad=true" TargetMode="External" Id="rId103"/><Relationship Type="http://schemas.openxmlformats.org/officeDocument/2006/relationships/hyperlink" Target="https://new.land.naver.com/complexes/12935?ms=2AfAQG,3zprE6,17&amp;a=APT:ABYG:JGC&amp;b=A1:B1&amp;e=RETAIL&amp;h=34&amp;i=132&amp;l=198&amp;ad=true" TargetMode="External" Id="rId104"/><Relationship Type="http://schemas.openxmlformats.org/officeDocument/2006/relationships/hyperlink" Target="https://new.land.naver.com/complexes/4502?ms=2AfAQG,3zprE6,17&amp;a=APT:ABYG:JGC&amp;b=A1:B1&amp;e=RETAIL&amp;h=34&amp;i=132&amp;l=198&amp;ad=true" TargetMode="External" Id="rId105"/><Relationship Type="http://schemas.openxmlformats.org/officeDocument/2006/relationships/hyperlink" Target="https://new.land.naver.com/complexes/14171?ms=2AfAQG,3zprE6,17&amp;a=APT:ABYG:JGC&amp;b=A1:B1&amp;e=RETAIL&amp;h=34&amp;i=132&amp;l=198&amp;ad=true" TargetMode="External" Id="rId106"/><Relationship Type="http://schemas.openxmlformats.org/officeDocument/2006/relationships/hyperlink" Target="https://new.land.naver.com/complexes/101068?ms=2AfAQG,3zprE6,17&amp;a=APT:ABYG:JGC&amp;b=A1:B1&amp;e=RETAIL&amp;h=34&amp;i=132&amp;l=198&amp;ad=true" TargetMode="External" Id="rId107"/><Relationship Type="http://schemas.openxmlformats.org/officeDocument/2006/relationships/hyperlink" Target="https://new.land.naver.com/complexes/4633?ms=2AfAQG,3zprE6,17&amp;a=APT:ABYG:JGC&amp;b=A1:B1&amp;e=RETAIL&amp;h=34&amp;i=132&amp;l=198&amp;ad=true" TargetMode="External" Id="rId108"/><Relationship Type="http://schemas.openxmlformats.org/officeDocument/2006/relationships/hyperlink" Target="https://new.land.naver.com/complexes/4633?ms=2AfAQG,3zprE6,17&amp;a=APT:ABYG:JGC&amp;b=A1:B1&amp;e=RETAIL&amp;h=34&amp;i=132&amp;l=198&amp;ad=true" TargetMode="External" Id="rId109"/><Relationship Type="http://schemas.openxmlformats.org/officeDocument/2006/relationships/hyperlink" Target="https://new.land.naver.com/complexes/4532?ms=2AfAQG,3zprE6,17&amp;a=APT:ABYG:JGC&amp;b=A1:B1&amp;e=RETAIL&amp;h=34&amp;i=132&amp;l=198&amp;ad=true" TargetMode="External" Id="rId110"/><Relationship Type="http://schemas.openxmlformats.org/officeDocument/2006/relationships/hyperlink" Target="https://new.land.naver.com/complexes/11665?ms=2AfAQG,3zprE6,17&amp;a=APT:ABYG:JGC&amp;b=A1:B1&amp;e=RETAIL&amp;h=34&amp;i=132&amp;l=198&amp;ad=true" TargetMode="External" Id="rId111"/><Relationship Type="http://schemas.openxmlformats.org/officeDocument/2006/relationships/hyperlink" Target="https://new.land.naver.com/complexes/4646?ms=2AfAQG,3zprE6,17&amp;a=APT:ABYG:JGC&amp;b=A1:B1&amp;e=RETAIL&amp;h=34&amp;i=132&amp;l=198&amp;ad=true" TargetMode="External" Id="rId112"/><Relationship Type="http://schemas.openxmlformats.org/officeDocument/2006/relationships/hyperlink" Target="https://new.land.naver.com/complexes/4737?ms=2AfAQG,3zprE6,17&amp;a=APT:ABYG:JGC&amp;b=A1:B1&amp;e=RETAIL&amp;h=34&amp;i=132&amp;l=198&amp;ad=true" TargetMode="External" Id="rId113"/><Relationship Type="http://schemas.openxmlformats.org/officeDocument/2006/relationships/hyperlink" Target="https://new.land.naver.com/complexes/4649?ms=2AfAQG,3zprE6,17&amp;a=APT:ABYG:JGC&amp;b=A1:B1&amp;e=RETAIL&amp;h=34&amp;i=132&amp;l=198&amp;ad=true" TargetMode="External" Id="rId114"/><Relationship Type="http://schemas.openxmlformats.org/officeDocument/2006/relationships/hyperlink" Target="https://new.land.naver.com/complexes/4530?ms=2AfAQG,3zprE6,17&amp;a=APT:ABYG:JGC&amp;b=A1:B1&amp;e=RETAIL&amp;h=34&amp;i=132&amp;l=198&amp;ad=true" TargetMode="External" Id="rId115"/><Relationship Type="http://schemas.openxmlformats.org/officeDocument/2006/relationships/hyperlink" Target="https://new.land.naver.com/complexes/15882?ms=2AfAQG,3zprE6,17&amp;a=APT:ABYG:JGC&amp;b=A1:B1&amp;e=RETAIL&amp;h=34&amp;i=132&amp;l=198&amp;ad=true" TargetMode="External" Id="rId116"/><Relationship Type="http://schemas.openxmlformats.org/officeDocument/2006/relationships/hyperlink" Target="https://new.land.naver.com/complexes/4731?ms=2AfAQG,3zprE6,17&amp;a=APT:ABYG:JGC&amp;b=A1:B1&amp;e=RETAIL&amp;h=34&amp;i=132&amp;l=198&amp;ad=true" TargetMode="External" Id="rId117"/><Relationship Type="http://schemas.openxmlformats.org/officeDocument/2006/relationships/hyperlink" Target="https://new.land.naver.com/complexes/4526?ms=2AfAQG,3zprE6,17&amp;a=APT:ABYG:JGC&amp;b=A1:B1&amp;e=RETAIL&amp;h=34&amp;i=132&amp;l=198&amp;ad=true" TargetMode="External" Id="rId118"/><Relationship Type="http://schemas.openxmlformats.org/officeDocument/2006/relationships/hyperlink" Target="https://new.land.naver.com/complexes/8861?ms=2AfAQG,3zprE6,17&amp;a=APT:ABYG:JGC&amp;b=A1:B1&amp;e=RETAIL&amp;h=34&amp;i=132&amp;l=198&amp;ad=true" TargetMode="External" Id="rId119"/><Relationship Type="http://schemas.openxmlformats.org/officeDocument/2006/relationships/hyperlink" Target="https://new.land.naver.com/complexes/11549?ms=2AfAQG,3zprE6,17&amp;a=APT:ABYG:JGC&amp;b=A1:B1&amp;e=RETAIL&amp;h=34&amp;i=132&amp;l=198&amp;ad=true" TargetMode="External" Id="rId120"/><Relationship Type="http://schemas.openxmlformats.org/officeDocument/2006/relationships/hyperlink" Target="https://new.land.naver.com/complexes/11665?ms=2AfAQG,3zprE6,17&amp;a=APT:ABYG:JGC&amp;b=A1:B1&amp;e=RETAIL&amp;h=34&amp;i=132&amp;l=198&amp;ad=true" TargetMode="External" Id="rId121"/><Relationship Type="http://schemas.openxmlformats.org/officeDocument/2006/relationships/hyperlink" Target="https://new.land.naver.com/complexes/4636?ms=2AfAQG,3zprE6,17&amp;a=APT:ABYG:JGC&amp;b=A1:B1&amp;e=RETAIL&amp;h=34&amp;i=132&amp;l=198&amp;ad=true" TargetMode="External" Id="rId122"/><Relationship Type="http://schemas.openxmlformats.org/officeDocument/2006/relationships/hyperlink" Target="https://new.land.naver.com/complexes/4650?ms=2AfAQG,3zprE6,17&amp;a=APT:ABYG:JGC&amp;b=A1:B1&amp;e=RETAIL&amp;h=34&amp;i=132&amp;l=198&amp;ad=true" TargetMode="External" Id="rId123"/><Relationship Type="http://schemas.openxmlformats.org/officeDocument/2006/relationships/hyperlink" Target="https://new.land.naver.com/complexes/4725?ms=2AfAQG,3zprE6,17&amp;a=APT:ABYG:JGC&amp;b=A1:B1&amp;e=RETAIL&amp;h=34&amp;i=132&amp;l=198&amp;ad=true" TargetMode="External" Id="rId124"/><Relationship Type="http://schemas.openxmlformats.org/officeDocument/2006/relationships/hyperlink" Target="https://new.land.naver.com/complexes/4725?ms=2AfAQG,3zprE6,17&amp;a=APT:ABYG:JGC&amp;b=A1:B1&amp;e=RETAIL&amp;h=34&amp;i=132&amp;l=198&amp;ad=true" TargetMode="External" Id="rId125"/><Relationship Type="http://schemas.openxmlformats.org/officeDocument/2006/relationships/hyperlink" Target="https://new.land.naver.com/complexes/10488?ms=2AfAQG,3zprE6,17&amp;a=APT:ABYG:JGC&amp;b=A1:B1&amp;e=RETAIL&amp;h=34&amp;i=132&amp;l=198&amp;ad=true" TargetMode="External" Id="rId126"/><Relationship Type="http://schemas.openxmlformats.org/officeDocument/2006/relationships/hyperlink" Target="https://new.land.naver.com/complexes/101068?ms=2AfAQG,3zprE6,17&amp;a=APT:ABYG:JGC&amp;b=A1:B1&amp;e=RETAIL&amp;h=34&amp;i=132&amp;l=198&amp;ad=true" TargetMode="External" Id="rId127"/><Relationship Type="http://schemas.openxmlformats.org/officeDocument/2006/relationships/hyperlink" Target="https://new.land.naver.com/complexes/4592?ms=2AfAQG,3zprE6,17&amp;a=APT:ABYG:JGC&amp;b=A1:B1&amp;e=RETAIL&amp;h=34&amp;i=132&amp;l=198&amp;ad=true" TargetMode="External" Id="rId128"/><Relationship Type="http://schemas.openxmlformats.org/officeDocument/2006/relationships/hyperlink" Target="https://new.land.naver.com/complexes/4725?ms=2AfAQG,3zprE6,17&amp;a=APT:ABYG:JGC&amp;b=A1:B1&amp;e=RETAIL&amp;h=34&amp;i=132&amp;l=198&amp;ad=true" TargetMode="External" Id="rId129"/><Relationship Type="http://schemas.openxmlformats.org/officeDocument/2006/relationships/hyperlink" Target="https://new.land.naver.com/complexes/4579?ms=2AfAQG,3zprE6,17&amp;a=APT:ABYG:JGC&amp;b=A1:B1&amp;e=RETAIL&amp;h=34&amp;i=132&amp;l=198&amp;ad=true" TargetMode="External" Id="rId130"/><Relationship Type="http://schemas.openxmlformats.org/officeDocument/2006/relationships/hyperlink" Target="https://new.land.naver.com/complexes/12935?ms=2AfAQG,3zprE6,17&amp;a=APT:ABYG:JGC&amp;b=A1:B1&amp;e=RETAIL&amp;h=34&amp;i=132&amp;l=198&amp;ad=true" TargetMode="External" Id="rId131"/><Relationship Type="http://schemas.openxmlformats.org/officeDocument/2006/relationships/hyperlink" Target="https://new.land.naver.com/complexes/4477?ms=2AfAQG,3zprE6,17&amp;a=APT:ABYG:JGC&amp;b=A1:B1&amp;e=RETAIL&amp;h=34&amp;i=132&amp;l=198&amp;ad=true" TargetMode="External" Id="rId132"/><Relationship Type="http://schemas.openxmlformats.org/officeDocument/2006/relationships/hyperlink" Target="https://new.land.naver.com/complexes/4548?ms=2AfAQG,3zprE6,17&amp;a=APT:ABYG:JGC&amp;b=A1:B1&amp;e=RETAIL&amp;h=34&amp;i=132&amp;l=198&amp;ad=true" TargetMode="External" Id="rId133"/><Relationship Type="http://schemas.openxmlformats.org/officeDocument/2006/relationships/hyperlink" Target="https://new.land.naver.com/complexes/4535?ms=2AfAQG,3zprE6,17&amp;a=APT:ABYG:JGC&amp;b=A1:B1&amp;e=RETAIL&amp;h=34&amp;i=132&amp;l=198&amp;ad=true" TargetMode="External" Id="rId134"/><Relationship Type="http://schemas.openxmlformats.org/officeDocument/2006/relationships/hyperlink" Target="https://new.land.naver.com/complexes/14076?ms=2AfAQG,3zprE6,17&amp;a=APT:ABYG:JGC&amp;b=A1:B1&amp;e=RETAIL&amp;h=34&amp;i=132&amp;l=198&amp;ad=true" TargetMode="External" Id="rId135"/><Relationship Type="http://schemas.openxmlformats.org/officeDocument/2006/relationships/hyperlink" Target="https://new.land.naver.com/complexes/4502?ms=2AfAQG,3zprE6,17&amp;a=APT:ABYG:JGC&amp;b=A1:B1&amp;e=RETAIL&amp;h=34&amp;i=132&amp;l=198&amp;ad=true" TargetMode="External" Id="rId136"/><Relationship Type="http://schemas.openxmlformats.org/officeDocument/2006/relationships/hyperlink" Target="https://new.land.naver.com/complexes/4633?ms=2AfAQG,3zprE6,17&amp;a=APT:ABYG:JGC&amp;b=A1:B1&amp;e=RETAIL&amp;h=34&amp;i=132&amp;l=198&amp;ad=true" TargetMode="External" Id="rId137"/><Relationship Type="http://schemas.openxmlformats.org/officeDocument/2006/relationships/hyperlink" Target="https://new.land.naver.com/complexes/4633?ms=2AfAQG,3zprE6,17&amp;a=APT:ABYG:JGC&amp;b=A1:B1&amp;e=RETAIL&amp;h=34&amp;i=132&amp;l=198&amp;ad=true" TargetMode="External" Id="rId138"/><Relationship Type="http://schemas.openxmlformats.org/officeDocument/2006/relationships/hyperlink" Target="https://new.land.naver.com/complexes/4724?ms=2AfAQG,3zprE6,17&amp;a=APT:ABYG:JGC&amp;b=A1:B1&amp;e=RETAIL&amp;h=34&amp;i=132&amp;l=198&amp;ad=true" TargetMode="External" Id="rId139"/><Relationship Type="http://schemas.openxmlformats.org/officeDocument/2006/relationships/hyperlink" Target="https://new.land.naver.com/complexes/4607?ms=2AfAQG,3zprE6,17&amp;a=APT:ABYG:JGC&amp;b=A1:B1&amp;e=RETAIL&amp;h=34&amp;i=132&amp;l=198&amp;ad=true" TargetMode="External" Id="rId140"/><Relationship Type="http://schemas.openxmlformats.org/officeDocument/2006/relationships/hyperlink" Target="https://new.land.naver.com/complexes/4521?ms=2AfAQG,3zprE6,17&amp;a=APT:ABYG:JGC&amp;b=A1:B1&amp;e=RETAIL&amp;h=34&amp;i=132&amp;l=198&amp;ad=true" TargetMode="External" Id="rId141"/><Relationship Type="http://schemas.openxmlformats.org/officeDocument/2006/relationships/hyperlink" Target="https://new.land.naver.com/complexes/8861?ms=2AfAQG,3zprE6,17&amp;a=APT:ABYG:JGC&amp;b=A1:B1&amp;e=RETAIL&amp;h=34&amp;i=132&amp;l=198&amp;ad=true" TargetMode="External" Id="rId142"/><Relationship Type="http://schemas.openxmlformats.org/officeDocument/2006/relationships/hyperlink" Target="https://new.land.naver.com/complexes/4612?ms=2AfAQG,3zprE6,17&amp;a=APT:ABYG:JGC&amp;b=A1:B1&amp;e=RETAIL&amp;h=34&amp;i=132&amp;l=198&amp;ad=true" TargetMode="External" Id="rId143"/><Relationship Type="http://schemas.openxmlformats.org/officeDocument/2006/relationships/hyperlink" Target="https://new.land.naver.com/complexes/15882?ms=2AfAQG,3zprE6,17&amp;a=APT:ABYG:JGC&amp;b=A1:B1&amp;e=RETAIL&amp;h=34&amp;i=132&amp;l=198&amp;ad=true" TargetMode="External" Id="rId144"/><Relationship Type="http://schemas.openxmlformats.org/officeDocument/2006/relationships/hyperlink" Target="https://new.land.naver.com/complexes/14076?ms=2AfAQG,3zprE6,17&amp;a=APT:ABYG:JGC&amp;b=A1:B1&amp;e=RETAIL&amp;h=34&amp;i=132&amp;l=198&amp;ad=true" TargetMode="External" Id="rId145"/><Relationship Type="http://schemas.openxmlformats.org/officeDocument/2006/relationships/hyperlink" Target="https://new.land.naver.com/complexes/4607?ms=2AfAQG,3zprE6,17&amp;a=APT:ABYG:JGC&amp;b=A1:B1&amp;e=RETAIL&amp;h=34&amp;i=132&amp;l=198&amp;ad=true" TargetMode="External" Id="rId146"/><Relationship Type="http://schemas.openxmlformats.org/officeDocument/2006/relationships/hyperlink" Target="https://new.land.naver.com/complexes/4650?ms=2AfAQG,3zprE6,17&amp;a=APT:ABYG:JGC&amp;b=A1:B1&amp;e=RETAIL&amp;h=34&amp;i=132&amp;l=198&amp;ad=true" TargetMode="External" Id="rId147"/><Relationship Type="http://schemas.openxmlformats.org/officeDocument/2006/relationships/hyperlink" Target="https://new.land.naver.com/complexes/4532?ms=2AfAQG,3zprE6,17&amp;a=APT:ABYG:JGC&amp;b=A1:B1&amp;e=RETAIL&amp;h=34&amp;i=132&amp;l=198&amp;ad=true" TargetMode="External" Id="rId148"/><Relationship Type="http://schemas.openxmlformats.org/officeDocument/2006/relationships/hyperlink" Target="https://new.land.naver.com/complexes/4731?ms=2AfAQG,3zprE6,17&amp;a=APT:ABYG:JGC&amp;b=A1:B1&amp;e=RETAIL&amp;h=34&amp;i=132&amp;l=198&amp;ad=true" TargetMode="External" Id="rId149"/><Relationship Type="http://schemas.openxmlformats.org/officeDocument/2006/relationships/hyperlink" Target="https://new.land.naver.com/complexes/4612?ms=2AfAQG,3zprE6,17&amp;a=APT:ABYG:JGC&amp;b=A1:B1&amp;e=RETAIL&amp;h=34&amp;i=132&amp;l=198&amp;ad=true" TargetMode="External" Id="rId150"/><Relationship Type="http://schemas.openxmlformats.org/officeDocument/2006/relationships/hyperlink" Target="https://new.land.naver.com/complexes/4535?ms=2AfAQG,3zprE6,17&amp;a=APT:ABYG:JGC&amp;b=A1:B1&amp;e=RETAIL&amp;h=34&amp;i=132&amp;l=198&amp;ad=true" TargetMode="External" Id="rId151"/><Relationship Type="http://schemas.openxmlformats.org/officeDocument/2006/relationships/hyperlink" Target="https://new.land.naver.com/complexes/4607?ms=2AfAQG,3zprE6,17&amp;a=APT:ABYG:JGC&amp;b=A1:B1&amp;e=RETAIL&amp;h=34&amp;i=132&amp;l=198&amp;ad=true" TargetMode="External" Id="rId152"/><Relationship Type="http://schemas.openxmlformats.org/officeDocument/2006/relationships/hyperlink" Target="https://new.land.naver.com/complexes/4607?ms=2AfAQG,3zprE6,17&amp;a=APT:ABYG:JGC&amp;b=A1:B1&amp;e=RETAIL&amp;h=34&amp;i=132&amp;l=198&amp;ad=true" TargetMode="External" Id="rId153"/><Relationship Type="http://schemas.openxmlformats.org/officeDocument/2006/relationships/hyperlink" Target="https://new.land.naver.com/complexes/4502?ms=2AfAQG,3zprE6,17&amp;a=APT:ABYG:JGC&amp;b=A1:B1&amp;e=RETAIL&amp;h=34&amp;i=132&amp;l=198&amp;ad=true" TargetMode="External" Id="rId154"/><Relationship Type="http://schemas.openxmlformats.org/officeDocument/2006/relationships/hyperlink" Target="https://new.land.naver.com/complexes/4607?ms=2AfAQG,3zprE6,17&amp;a=APT:ABYG:JGC&amp;b=A1:B1&amp;e=RETAIL&amp;h=34&amp;i=132&amp;l=198&amp;ad=true" TargetMode="External" Id="rId155"/><Relationship Type="http://schemas.openxmlformats.org/officeDocument/2006/relationships/hyperlink" Target="https://new.land.naver.com/complexes/14076?ms=2AfAQG,3zprE6,17&amp;a=APT:ABYG:JGC&amp;b=A1:B1&amp;e=RETAIL&amp;h=34&amp;i=132&amp;l=198&amp;ad=true" TargetMode="External" Id="rId156"/><Relationship Type="http://schemas.openxmlformats.org/officeDocument/2006/relationships/hyperlink" Target="https://new.land.naver.com/complexes/4612?ms=2AfAQG,3zprE6,17&amp;a=APT:ABYG:JGC&amp;b=A1:B1&amp;e=RETAIL&amp;h=34&amp;i=132&amp;l=198&amp;ad=true" TargetMode="External" Id="rId157"/><Relationship Type="http://schemas.openxmlformats.org/officeDocument/2006/relationships/hyperlink" Target="https://new.land.naver.com/complexes/12935?ms=2AfAQG,3zprE6,17&amp;a=APT:ABYG:JGC&amp;b=A1:B1&amp;e=RETAIL&amp;h=34&amp;i=132&amp;l=198&amp;ad=true" TargetMode="External" Id="rId158"/><Relationship Type="http://schemas.openxmlformats.org/officeDocument/2006/relationships/hyperlink" Target="https://new.land.naver.com/complexes/14076?ms=2AfAQG,3zprE6,17&amp;a=APT:ABYG:JGC&amp;b=A1:B1&amp;e=RETAIL&amp;h=34&amp;i=132&amp;l=198&amp;ad=true" TargetMode="External" Id="rId159"/><Relationship Type="http://schemas.openxmlformats.org/officeDocument/2006/relationships/hyperlink" Target="https://new.land.naver.com/complexes/14076?ms=2AfAQG,3zprE6,17&amp;a=APT:ABYG:JGC&amp;b=A1:B1&amp;e=RETAIL&amp;h=34&amp;i=132&amp;l=198&amp;ad=true" TargetMode="External" Id="rId160"/><Relationship Type="http://schemas.openxmlformats.org/officeDocument/2006/relationships/hyperlink" Target="https://new.land.naver.com/complexes/24055?ms=2AfAQG,3zprE6,17&amp;a=APT:ABYG:JGC&amp;b=A1:B1&amp;e=RETAIL&amp;h=34&amp;i=132&amp;l=198&amp;ad=true" TargetMode="External" Id="rId161"/><Relationship Type="http://schemas.openxmlformats.org/officeDocument/2006/relationships/hyperlink" Target="https://new.land.naver.com/complexes/24055?ms=2AfAQG,3zprE6,17&amp;a=APT:ABYG:JGC&amp;b=A1:B1&amp;e=RETAIL&amp;h=34&amp;i=132&amp;l=198&amp;ad=true" TargetMode="External" Id="rId162"/><Relationship Type="http://schemas.openxmlformats.org/officeDocument/2006/relationships/hyperlink" Target="https://new.land.naver.com/complexes/24055?ms=2AfAQG,3zprE6,17&amp;a=APT:ABYG:JGC&amp;b=A1:B1&amp;e=RETAIL&amp;h=34&amp;i=132&amp;l=198&amp;ad=true" TargetMode="External" Id="rId163"/><Relationship Type="http://schemas.openxmlformats.org/officeDocument/2006/relationships/hyperlink" Target="https://new.land.naver.com/complexes/24055?ms=2AfAQG,3zprE6,17&amp;a=APT:ABYG:JGC&amp;b=A1:B1&amp;e=RETAIL&amp;h=34&amp;i=132&amp;l=198&amp;ad=true" TargetMode="External" Id="rId164"/><Relationship Type="http://schemas.openxmlformats.org/officeDocument/2006/relationships/hyperlink" Target="https://new.land.naver.com/complexes/24055?ms=2AfAQG,3zprE6,17&amp;a=APT:ABYG:JGC&amp;b=A1:B1&amp;e=RETAIL&amp;h=34&amp;i=132&amp;l=198&amp;ad=true" TargetMode="External" Id="rId165"/><Relationship Type="http://schemas.openxmlformats.org/officeDocument/2006/relationships/hyperlink" Target="https://new.land.naver.com/complexes/24055?ms=2AfAQG,3zprE6,17&amp;a=APT:ABYG:JGC&amp;b=A1:B1&amp;e=RETAIL&amp;h=34&amp;i=132&amp;l=198&amp;ad=true" TargetMode="External" Id="rId166"/><Relationship Type="http://schemas.openxmlformats.org/officeDocument/2006/relationships/hyperlink" Target="https://new.land.naver.com/complexes/24055?ms=2AfAQG,3zprE6,17&amp;a=APT:ABYG:JGC&amp;b=A1:B1&amp;e=RETAIL&amp;h=34&amp;i=132&amp;l=198&amp;ad=true" TargetMode="External" Id="rId167"/><Relationship Type="http://schemas.openxmlformats.org/officeDocument/2006/relationships/hyperlink" Target="https://new.land.naver.com/complexes/110738?ms=2AfAQG,3zprE6,17&amp;a=APT:ABYG:JGC&amp;b=A1:B1&amp;e=RETAIL&amp;h=34&amp;i=132&amp;l=198&amp;ad=true" TargetMode="External" Id="rId168"/><Relationship Type="http://schemas.openxmlformats.org/officeDocument/2006/relationships/hyperlink" Target="https://new.land.naver.com/complexes/110738?ms=2AfAQG,3zprE6,17&amp;a=APT:ABYG:JGC&amp;b=A1:B1&amp;e=RETAIL&amp;h=34&amp;i=132&amp;l=198&amp;ad=true" TargetMode="External" Id="rId169"/><Relationship Type="http://schemas.openxmlformats.org/officeDocument/2006/relationships/hyperlink" Target="https://new.land.naver.com/complexes/14171?ms=2AfAQG,3zprE6,17&amp;a=APT:ABYG:JGC&amp;b=A1:B1&amp;e=RETAIL&amp;h=34&amp;i=132&amp;l=198&amp;ad=true" TargetMode="External" Id="rId170"/><Relationship Type="http://schemas.openxmlformats.org/officeDocument/2006/relationships/hyperlink" Target="https://new.land.naver.com/complexes/10488?ms=2AfAQG,3zprE6,17&amp;a=APT:ABYG:JGC&amp;b=A1:B1&amp;e=RETAIL&amp;h=34&amp;i=132&amp;l=198&amp;ad=true" TargetMode="External" Id="rId171"/><Relationship Type="http://schemas.openxmlformats.org/officeDocument/2006/relationships/hyperlink" Target="https://new.land.naver.com/complexes/10488?ms=2AfAQG,3zprE6,17&amp;a=APT:ABYG:JGC&amp;b=A1:B1&amp;e=RETAIL&amp;h=34&amp;i=132&amp;l=198&amp;ad=true" TargetMode="External" Id="rId172"/><Relationship Type="http://schemas.openxmlformats.org/officeDocument/2006/relationships/hyperlink" Target="https://new.land.naver.com/complexes/4521?ms=2AfAQG,3zprE6,17&amp;a=APT:ABYG:JGC&amp;b=A1:B1&amp;e=RETAIL&amp;h=34&amp;i=132&amp;l=198&amp;ad=true" TargetMode="External" Id="rId173"/><Relationship Type="http://schemas.openxmlformats.org/officeDocument/2006/relationships/hyperlink" Target="https://new.land.naver.com/complexes/4521?ms=2AfAQG,3zprE6,17&amp;a=APT:ABYG:JGC&amp;b=A1:B1&amp;e=RETAIL&amp;h=34&amp;i=132&amp;l=198&amp;ad=true" TargetMode="External" Id="rId174"/><Relationship Type="http://schemas.openxmlformats.org/officeDocument/2006/relationships/hyperlink" Target="https://new.land.naver.com/complexes/10107?ms=2AfAQG,3zprE6,17&amp;a=APT:ABYG:JGC&amp;b=A1:B1&amp;e=RETAIL&amp;h=34&amp;i=132&amp;l=198&amp;ad=true" TargetMode="External" Id="rId175"/><Relationship Type="http://schemas.openxmlformats.org/officeDocument/2006/relationships/hyperlink" Target="https://new.land.naver.com/complexes/10107?ms=2AfAQG,3zprE6,17&amp;a=APT:ABYG:JGC&amp;b=A1:B1&amp;e=RETAIL&amp;h=34&amp;i=132&amp;l=198&amp;ad=true" TargetMode="External" Id="rId176"/><Relationship Type="http://schemas.openxmlformats.org/officeDocument/2006/relationships/hyperlink" Target="https://new.land.naver.com/complexes/10107?ms=2AfAQG,3zprE6,17&amp;a=APT:ABYG:JGC&amp;b=A1:B1&amp;e=RETAIL&amp;h=34&amp;i=132&amp;l=198&amp;ad=true" TargetMode="External" Id="rId177"/><Relationship Type="http://schemas.openxmlformats.org/officeDocument/2006/relationships/hyperlink" Target="https://new.land.naver.com/complexes/101068?ms=2AfAQG,3zprE6,17&amp;a=APT:ABYG:JGC&amp;b=A1:B1&amp;e=RETAIL&amp;h=34&amp;i=132&amp;l=198&amp;ad=true" TargetMode="External" Id="rId178"/><Relationship Type="http://schemas.openxmlformats.org/officeDocument/2006/relationships/hyperlink" Target="https://new.land.naver.com/complexes/101068?ms=2AfAQG,3zprE6,17&amp;a=APT:ABYG:JGC&amp;b=A1:B1&amp;e=RETAIL&amp;h=34&amp;i=132&amp;l=198&amp;ad=true" TargetMode="External" Id="rId179"/><Relationship Type="http://schemas.openxmlformats.org/officeDocument/2006/relationships/hyperlink" Target="https://new.land.naver.com/complexes/101068?ms=2AfAQG,3zprE6,17&amp;a=APT:ABYG:JGC&amp;b=A1:B1&amp;e=RETAIL&amp;h=34&amp;i=132&amp;l=198&amp;ad=true" TargetMode="External" Id="rId180"/><Relationship Type="http://schemas.openxmlformats.org/officeDocument/2006/relationships/hyperlink" Target="https://new.land.naver.com/complexes/101068?ms=2AfAQG,3zprE6,17&amp;a=APT:ABYG:JGC&amp;b=A1:B1&amp;e=RETAIL&amp;h=34&amp;i=132&amp;l=198&amp;ad=true" TargetMode="External" Id="rId181"/><Relationship Type="http://schemas.openxmlformats.org/officeDocument/2006/relationships/hyperlink" Target="https://new.land.naver.com/complexes/101068?ms=2AfAQG,3zprE6,17&amp;a=APT:ABYG:JGC&amp;b=A1:B1&amp;e=RETAIL&amp;h=34&amp;i=132&amp;l=198&amp;ad=true" TargetMode="External" Id="rId182"/><Relationship Type="http://schemas.openxmlformats.org/officeDocument/2006/relationships/hyperlink" Target="https://new.land.naver.com/complexes/104716?ms=2AfAQG,3zprE6,17&amp;a=APT:ABYG:JGC&amp;b=A1:B1&amp;e=RETAIL&amp;h=34&amp;i=132&amp;l=198&amp;ad=true" TargetMode="External" Id="rId183"/><Relationship Type="http://schemas.openxmlformats.org/officeDocument/2006/relationships/hyperlink" Target="https://new.land.naver.com/complexes/109359?ms=2AfAQG,3zprE6,17&amp;a=APT:ABYG:JGC&amp;b=A1:B1&amp;e=RETAIL&amp;h=34&amp;i=132&amp;l=198&amp;ad=true" TargetMode="External" Id="rId184"/><Relationship Type="http://schemas.openxmlformats.org/officeDocument/2006/relationships/hyperlink" Target="https://new.land.naver.com/complexes/109359?ms=2AfAQG,3zprE6,17&amp;a=APT:ABYG:JGC&amp;b=A1:B1&amp;e=RETAIL&amp;h=34&amp;i=132&amp;l=198&amp;ad=true" TargetMode="External" Id="rId185"/><Relationship Type="http://schemas.openxmlformats.org/officeDocument/2006/relationships/hyperlink" Target="https://new.land.naver.com/complexes/109359?ms=2AfAQG,3zprE6,17&amp;a=APT:ABYG:JGC&amp;b=A1:B1&amp;e=RETAIL&amp;h=34&amp;i=132&amp;l=198&amp;ad=true" TargetMode="External" Id="rId186"/><Relationship Type="http://schemas.openxmlformats.org/officeDocument/2006/relationships/hyperlink" Target="https://new.land.naver.com/complexes/109359?ms=2AfAQG,3zprE6,17&amp;a=APT:ABYG:JGC&amp;b=A1:B1&amp;e=RETAIL&amp;h=34&amp;i=132&amp;l=198&amp;ad=true" TargetMode="External" Id="rId187"/><Relationship Type="http://schemas.openxmlformats.org/officeDocument/2006/relationships/hyperlink" Target="https://new.land.naver.com/complexes/109359?ms=2AfAQG,3zprE6,17&amp;a=APT:ABYG:JGC&amp;b=A1:B1&amp;e=RETAIL&amp;h=34&amp;i=132&amp;l=198&amp;ad=true" TargetMode="External" Id="rId188"/><Relationship Type="http://schemas.openxmlformats.org/officeDocument/2006/relationships/hyperlink" Target="https://new.land.naver.com/complexes/113686?ms=2AfAQG,3zprE6,17&amp;a=APT:ABYG:JGC&amp;b=A1:B1&amp;e=RETAIL&amp;h=34&amp;i=132&amp;l=198&amp;ad=true" TargetMode="External" Id="rId189"/><Relationship Type="http://schemas.openxmlformats.org/officeDocument/2006/relationships/hyperlink" Target="https://new.land.naver.com/complexes/113686?ms=2AfAQG,3zprE6,17&amp;a=APT:ABYG:JGC&amp;b=A1:B1&amp;e=RETAIL&amp;h=34&amp;i=132&amp;l=198&amp;ad=true" TargetMode="External" Id="rId190"/><Relationship Type="http://schemas.openxmlformats.org/officeDocument/2006/relationships/hyperlink" Target="https://new.land.naver.com/complexes/113686?ms=2AfAQG,3zprE6,17&amp;a=APT:ABYG:JGC&amp;b=A1:B1&amp;e=RETAIL&amp;h=34&amp;i=132&amp;l=198&amp;ad=true" TargetMode="External" Id="rId191"/><Relationship Type="http://schemas.openxmlformats.org/officeDocument/2006/relationships/hyperlink" Target="https://new.land.naver.com/complexes/4548?ms=2AfAQG,3zprE6,17&amp;a=APT:ABYG:JGC&amp;b=A1:B1&amp;e=RETAIL&amp;h=34&amp;i=132&amp;l=198&amp;ad=true" TargetMode="External" Id="rId192"/><Relationship Type="http://schemas.openxmlformats.org/officeDocument/2006/relationships/hyperlink" Target="https://new.land.naver.com/complexes/4548?ms=2AfAQG,3zprE6,17&amp;a=APT:ABYG:JGC&amp;b=A1:B1&amp;e=RETAIL&amp;h=34&amp;i=132&amp;l=198&amp;ad=true" TargetMode="External" Id="rId193"/><Relationship Type="http://schemas.openxmlformats.org/officeDocument/2006/relationships/hyperlink" Target="https://new.land.naver.com/complexes/4548?ms=2AfAQG,3zprE6,17&amp;a=APT:ABYG:JGC&amp;b=A1:B1&amp;e=RETAIL&amp;h=34&amp;i=132&amp;l=198&amp;ad=true" TargetMode="External" Id="rId194"/><Relationship Type="http://schemas.openxmlformats.org/officeDocument/2006/relationships/hyperlink" Target="https://new.land.naver.com/complexes/110440?ms=2AfAQG,3zprE6,17&amp;a=APT:ABYG:JGC&amp;b=A1:B1&amp;e=RETAIL&amp;h=34&amp;i=132&amp;l=198&amp;ad=true" TargetMode="External" Id="rId195"/><Relationship Type="http://schemas.openxmlformats.org/officeDocument/2006/relationships/hyperlink" Target="https://new.land.naver.com/complexes/110440?ms=2AfAQG,3zprE6,17&amp;a=APT:ABYG:JGC&amp;b=A1:B1&amp;e=RETAIL&amp;h=34&amp;i=132&amp;l=198&amp;ad=true" TargetMode="External" Id="rId196"/><Relationship Type="http://schemas.openxmlformats.org/officeDocument/2006/relationships/hyperlink" Target="https://new.land.naver.com/complexes/9861?ms=2AfAQG,3zprE6,17&amp;a=APT:ABYG:JGC&amp;b=A1:B1&amp;e=RETAIL&amp;h=34&amp;i=132&amp;l=198&amp;ad=true" TargetMode="External" Id="rId197"/><Relationship Type="http://schemas.openxmlformats.org/officeDocument/2006/relationships/hyperlink" Target="https://new.land.naver.com/complexes/9861?ms=2AfAQG,3zprE6,17&amp;a=APT:ABYG:JGC&amp;b=A1:B1&amp;e=RETAIL&amp;h=34&amp;i=132&amp;l=198&amp;ad=true" TargetMode="External" Id="rId198"/><Relationship Type="http://schemas.openxmlformats.org/officeDocument/2006/relationships/hyperlink" Target="https://new.land.naver.com/complexes/9861?ms=2AfAQG,3zprE6,17&amp;a=APT:ABYG:JGC&amp;b=A1:B1&amp;e=RETAIL&amp;h=34&amp;i=132&amp;l=198&amp;ad=true" TargetMode="External" Id="rId199"/><Relationship Type="http://schemas.openxmlformats.org/officeDocument/2006/relationships/hyperlink" Target="https://new.land.naver.com/complexes/9861?ms=2AfAQG,3zprE6,17&amp;a=APT:ABYG:JGC&amp;b=A1:B1&amp;e=RETAIL&amp;h=34&amp;i=132&amp;l=198&amp;ad=true" TargetMode="External" Id="rId200"/><Relationship Type="http://schemas.openxmlformats.org/officeDocument/2006/relationships/hyperlink" Target="https://new.land.naver.com/complexes/9861?ms=2AfAQG,3zprE6,17&amp;a=APT:ABYG:JGC&amp;b=A1:B1&amp;e=RETAIL&amp;h=34&amp;i=132&amp;l=198&amp;ad=true" TargetMode="External" Id="rId201"/><Relationship Type="http://schemas.openxmlformats.org/officeDocument/2006/relationships/hyperlink" Target="https://new.land.naver.com/complexes/9861?ms=2AfAQG,3zprE6,17&amp;a=APT:ABYG:JGC&amp;b=A1:B1&amp;e=RETAIL&amp;h=34&amp;i=132&amp;l=198&amp;ad=true" TargetMode="External" Id="rId202"/><Relationship Type="http://schemas.openxmlformats.org/officeDocument/2006/relationships/hyperlink" Target="https://new.land.naver.com/complexes/9861?ms=2AfAQG,3zprE6,17&amp;a=APT:ABYG:JGC&amp;b=A1:B1&amp;e=RETAIL&amp;h=34&amp;i=132&amp;l=198&amp;ad=true" TargetMode="External" Id="rId203"/><Relationship Type="http://schemas.openxmlformats.org/officeDocument/2006/relationships/hyperlink" Target="https://new.land.naver.com/complexes/9861?ms=2AfAQG,3zprE6,17&amp;a=APT:ABYG:JGC&amp;b=A1:B1&amp;e=RETAIL&amp;h=34&amp;i=132&amp;l=198&amp;ad=true" TargetMode="External" Id="rId204"/><Relationship Type="http://schemas.openxmlformats.org/officeDocument/2006/relationships/hyperlink" Target="https://new.land.naver.com/complexes/9861?ms=2AfAQG,3zprE6,17&amp;a=APT:ABYG:JGC&amp;b=A1:B1&amp;e=RETAIL&amp;h=34&amp;i=132&amp;l=198&amp;ad=true" TargetMode="External" Id="rId205"/><Relationship Type="http://schemas.openxmlformats.org/officeDocument/2006/relationships/hyperlink" Target="https://new.land.naver.com/complexes/133976?ms=2AfAQG,3zprE6,17&amp;a=APT:ABYG:JGC&amp;b=A1:B1&amp;e=RETAIL&amp;h=34&amp;i=132&amp;l=198&amp;ad=true" TargetMode="External" Id="rId206"/><Relationship Type="http://schemas.openxmlformats.org/officeDocument/2006/relationships/hyperlink" Target="https://new.land.naver.com/complexes/133976?ms=2AfAQG,3zprE6,17&amp;a=APT:ABYG:JGC&amp;b=A1:B1&amp;e=RETAIL&amp;h=34&amp;i=132&amp;l=198&amp;ad=true" TargetMode="External" Id="rId207"/><Relationship Type="http://schemas.openxmlformats.org/officeDocument/2006/relationships/hyperlink" Target="https://new.land.naver.com/complexes/4543?ms=2AfAQG,3zprE6,17&amp;a=APT:ABYG:JGC&amp;b=A1:B1&amp;e=RETAIL&amp;h=34&amp;i=132&amp;l=198&amp;ad=true" TargetMode="External" Id="rId208"/><Relationship Type="http://schemas.openxmlformats.org/officeDocument/2006/relationships/hyperlink" Target="https://new.land.naver.com/complexes/105323?ms=2AfAQG,3zprE6,17&amp;a=APT:ABYG:JGC&amp;b=A1:B1&amp;e=RETAIL&amp;h=34&amp;i=132&amp;l=198&amp;ad=true" TargetMode="External" Id="rId209"/><Relationship Type="http://schemas.openxmlformats.org/officeDocument/2006/relationships/hyperlink" Target="https://new.land.naver.com/complexes/105323?ms=2AfAQG,3zprE6,17&amp;a=APT:ABYG:JGC&amp;b=A1:B1&amp;e=RETAIL&amp;h=34&amp;i=132&amp;l=198&amp;ad=true" TargetMode="External" Id="rId210"/><Relationship Type="http://schemas.openxmlformats.org/officeDocument/2006/relationships/hyperlink" Target="https://new.land.naver.com/complexes/105323?ms=2AfAQG,3zprE6,17&amp;a=APT:ABYG:JGC&amp;b=A1:B1&amp;e=RETAIL&amp;h=34&amp;i=132&amp;l=198&amp;ad=true" TargetMode="External" Id="rId211"/><Relationship Type="http://schemas.openxmlformats.org/officeDocument/2006/relationships/hyperlink" Target="https://new.land.naver.com/complexes/105323?ms=2AfAQG,3zprE6,17&amp;a=APT:ABYG:JGC&amp;b=A1:B1&amp;e=RETAIL&amp;h=34&amp;i=132&amp;l=198&amp;ad=true" TargetMode="External" Id="rId212"/><Relationship Type="http://schemas.openxmlformats.org/officeDocument/2006/relationships/hyperlink" Target="https://new.land.naver.com/complexes/105323?ms=2AfAQG,3zprE6,17&amp;a=APT:ABYG:JGC&amp;b=A1:B1&amp;e=RETAIL&amp;h=34&amp;i=132&amp;l=198&amp;ad=true" TargetMode="External" Id="rId213"/><Relationship Type="http://schemas.openxmlformats.org/officeDocument/2006/relationships/hyperlink" Target="https://new.land.naver.com/complexes/105323?ms=2AfAQG,3zprE6,17&amp;a=APT:ABYG:JGC&amp;b=A1:B1&amp;e=RETAIL&amp;h=34&amp;i=132&amp;l=198&amp;ad=true" TargetMode="External" Id="rId214"/><Relationship Type="http://schemas.openxmlformats.org/officeDocument/2006/relationships/hyperlink" Target="https://new.land.naver.com/complexes/105323?ms=2AfAQG,3zprE6,17&amp;a=APT:ABYG:JGC&amp;b=A1:B1&amp;e=RETAIL&amp;h=34&amp;i=132&amp;l=198&amp;ad=true" TargetMode="External" Id="rId215"/><Relationship Type="http://schemas.openxmlformats.org/officeDocument/2006/relationships/hyperlink" Target="https://new.land.naver.com/complexes/105323?ms=2AfAQG,3zprE6,17&amp;a=APT:ABYG:JGC&amp;b=A1:B1&amp;e=RETAIL&amp;h=34&amp;i=132&amp;l=198&amp;ad=true" TargetMode="External" Id="rId216"/><Relationship Type="http://schemas.openxmlformats.org/officeDocument/2006/relationships/hyperlink" Target="https://new.land.naver.com/complexes/4526?ms=2AfAQG,3zprE6,17&amp;a=APT:ABYG:JGC&amp;b=A1:B1&amp;e=RETAIL&amp;h=34&amp;i=132&amp;l=198&amp;ad=true" TargetMode="External" Id="rId217"/><Relationship Type="http://schemas.openxmlformats.org/officeDocument/2006/relationships/hyperlink" Target="https://new.land.naver.com/complexes/161501?ms=2AfAQG,3zprE6,17&amp;a=APT:ABYG:JGC&amp;b=A1:B1&amp;e=RETAIL&amp;h=34&amp;i=132&amp;l=198&amp;ad=true" TargetMode="External" Id="rId218"/><Relationship Type="http://schemas.openxmlformats.org/officeDocument/2006/relationships/hyperlink" Target="https://new.land.naver.com/complexes/161501?ms=2AfAQG,3zprE6,17&amp;a=APT:ABYG:JGC&amp;b=A1:B1&amp;e=RETAIL&amp;h=34&amp;i=132&amp;l=198&amp;ad=true" TargetMode="External" Id="rId219"/><Relationship Type="http://schemas.openxmlformats.org/officeDocument/2006/relationships/hyperlink" Target="https://new.land.naver.com/complexes/4530?ms=2AfAQG,3zprE6,17&amp;a=APT:ABYG:JGC&amp;b=A1:B1&amp;e=RETAIL&amp;h=34&amp;i=132&amp;l=198&amp;ad=true" TargetMode="External" Id="rId220"/><Relationship Type="http://schemas.openxmlformats.org/officeDocument/2006/relationships/hyperlink" Target="https://new.land.naver.com/complexes/4532?ms=2AfAQG,3zprE6,17&amp;a=APT:ABYG:JGC&amp;b=A1:B1&amp;e=RETAIL&amp;h=34&amp;i=132&amp;l=198&amp;ad=true" TargetMode="External" Id="rId221"/><Relationship Type="http://schemas.openxmlformats.org/officeDocument/2006/relationships/hyperlink" Target="https://new.land.naver.com/complexes/4532?ms=2AfAQG,3zprE6,17&amp;a=APT:ABYG:JGC&amp;b=A1:B1&amp;e=RETAIL&amp;h=34&amp;i=132&amp;l=198&amp;ad=true" TargetMode="External" Id="rId222"/><Relationship Type="http://schemas.openxmlformats.org/officeDocument/2006/relationships/hyperlink" Target="https://new.land.naver.com/complexes/4532?ms=2AfAQG,3zprE6,17&amp;a=APT:ABYG:JGC&amp;b=A1:B1&amp;e=RETAIL&amp;h=34&amp;i=132&amp;l=198&amp;ad=true" TargetMode="External" Id="rId223"/><Relationship Type="http://schemas.openxmlformats.org/officeDocument/2006/relationships/hyperlink" Target="https://new.land.naver.com/complexes/4535?ms=2AfAQG,3zprE6,17&amp;a=APT:ABYG:JGC&amp;b=A1:B1&amp;e=RETAIL&amp;h=34&amp;i=132&amp;l=198&amp;ad=true" TargetMode="External" Id="rId224"/><Relationship Type="http://schemas.openxmlformats.org/officeDocument/2006/relationships/hyperlink" Target="https://new.land.naver.com/complexes/4535?ms=2AfAQG,3zprE6,17&amp;a=APT:ABYG:JGC&amp;b=A1:B1&amp;e=RETAIL&amp;h=34&amp;i=132&amp;l=198&amp;ad=true" TargetMode="External" Id="rId225"/><Relationship Type="http://schemas.openxmlformats.org/officeDocument/2006/relationships/hyperlink" Target="https://new.land.naver.com/complexes/4535?ms=2AfAQG,3zprE6,17&amp;a=APT:ABYG:JGC&amp;b=A1:B1&amp;e=RETAIL&amp;h=34&amp;i=132&amp;l=198&amp;ad=true" TargetMode="External" Id="rId226"/><Relationship Type="http://schemas.openxmlformats.org/officeDocument/2006/relationships/hyperlink" Target="https://new.land.naver.com/complexes/112774?ms=2AfAQG,3zprE6,17&amp;a=APT:ABYG:JGC&amp;b=A1:B1&amp;e=RETAIL&amp;h=34&amp;i=132&amp;l=198&amp;ad=true" TargetMode="External" Id="rId227"/><Relationship Type="http://schemas.openxmlformats.org/officeDocument/2006/relationships/hyperlink" Target="https://new.land.naver.com/complexes/4579?ms=2AfAQG,3zprE6,17&amp;a=APT:ABYG:JGC&amp;b=A1:B1&amp;e=RETAIL&amp;h=34&amp;i=132&amp;l=198&amp;ad=true" TargetMode="External" Id="rId228"/><Relationship Type="http://schemas.openxmlformats.org/officeDocument/2006/relationships/hyperlink" Target="https://new.land.naver.com/complexes/4579?ms=2AfAQG,3zprE6,17&amp;a=APT:ABYG:JGC&amp;b=A1:B1&amp;e=RETAIL&amp;h=34&amp;i=132&amp;l=198&amp;ad=true" TargetMode="External" Id="rId229"/><Relationship Type="http://schemas.openxmlformats.org/officeDocument/2006/relationships/hyperlink" Target="https://new.land.naver.com/complexes/4579?ms=2AfAQG,3zprE6,17&amp;a=APT:ABYG:JGC&amp;b=A1:B1&amp;e=RETAIL&amp;h=34&amp;i=132&amp;l=198&amp;ad=true" TargetMode="External" Id="rId230"/><Relationship Type="http://schemas.openxmlformats.org/officeDocument/2006/relationships/hyperlink" Target="https://new.land.naver.com/complexes/4579?ms=2AfAQG,3zprE6,17&amp;a=APT:ABYG:JGC&amp;b=A1:B1&amp;e=RETAIL&amp;h=34&amp;i=132&amp;l=198&amp;ad=true" TargetMode="External" Id="rId231"/><Relationship Type="http://schemas.openxmlformats.org/officeDocument/2006/relationships/hyperlink" Target="https://new.land.naver.com/complexes/4579?ms=2AfAQG,3zprE6,17&amp;a=APT:ABYG:JGC&amp;b=A1:B1&amp;e=RETAIL&amp;h=34&amp;i=132&amp;l=198&amp;ad=true" TargetMode="External" Id="rId232"/><Relationship Type="http://schemas.openxmlformats.org/officeDocument/2006/relationships/hyperlink" Target="https://new.land.naver.com/complexes/4579?ms=2AfAQG,3zprE6,17&amp;a=APT:ABYG:JGC&amp;b=A1:B1&amp;e=RETAIL&amp;h=34&amp;i=132&amp;l=198&amp;ad=true" TargetMode="External" Id="rId233"/><Relationship Type="http://schemas.openxmlformats.org/officeDocument/2006/relationships/hyperlink" Target="https://new.land.naver.com/complexes/4579?ms=2AfAQG,3zprE6,17&amp;a=APT:ABYG:JGC&amp;b=A1:B1&amp;e=RETAIL&amp;h=34&amp;i=132&amp;l=198&amp;ad=true" TargetMode="External" Id="rId234"/><Relationship Type="http://schemas.openxmlformats.org/officeDocument/2006/relationships/hyperlink" Target="https://new.land.naver.com/complexes/4579?ms=2AfAQG,3zprE6,17&amp;a=APT:ABYG:JGC&amp;b=A1:B1&amp;e=RETAIL&amp;h=34&amp;i=132&amp;l=198&amp;ad=true" TargetMode="External" Id="rId235"/><Relationship Type="http://schemas.openxmlformats.org/officeDocument/2006/relationships/hyperlink" Target="https://new.land.naver.com/complexes/4579?ms=2AfAQG,3zprE6,17&amp;a=APT:ABYG:JGC&amp;b=A1:B1&amp;e=RETAIL&amp;h=34&amp;i=132&amp;l=198&amp;ad=true" TargetMode="External" Id="rId236"/><Relationship Type="http://schemas.openxmlformats.org/officeDocument/2006/relationships/hyperlink" Target="https://new.land.naver.com/complexes/4579?ms=2AfAQG,3zprE6,17&amp;a=APT:ABYG:JGC&amp;b=A1:B1&amp;e=RETAIL&amp;h=34&amp;i=132&amp;l=198&amp;ad=true" TargetMode="External" Id="rId237"/><Relationship Type="http://schemas.openxmlformats.org/officeDocument/2006/relationships/hyperlink" Target="https://new.land.naver.com/complexes/4577?ms=2AfAQG,3zprE6,17&amp;a=APT:ABYG:JGC&amp;b=A1:B1&amp;e=RETAIL&amp;h=34&amp;i=132&amp;l=198&amp;ad=true" TargetMode="External" Id="rId238"/><Relationship Type="http://schemas.openxmlformats.org/officeDocument/2006/relationships/hyperlink" Target="https://new.land.naver.com/complexes/4577?ms=2AfAQG,3zprE6,17&amp;a=APT:ABYG:JGC&amp;b=A1:B1&amp;e=RETAIL&amp;h=34&amp;i=132&amp;l=198&amp;ad=true" TargetMode="External" Id="rId239"/><Relationship Type="http://schemas.openxmlformats.org/officeDocument/2006/relationships/hyperlink" Target="https://new.land.naver.com/complexes/4577?ms=2AfAQG,3zprE6,17&amp;a=APT:ABYG:JGC&amp;b=A1:B1&amp;e=RETAIL&amp;h=34&amp;i=132&amp;l=198&amp;ad=true" TargetMode="External" Id="rId240"/><Relationship Type="http://schemas.openxmlformats.org/officeDocument/2006/relationships/hyperlink" Target="https://new.land.naver.com/complexes/9996?ms=2AfAQG,3zprE6,17&amp;a=APT:ABYG:JGC&amp;b=A1:B1&amp;e=RETAIL&amp;h=34&amp;i=132&amp;l=198&amp;ad=true" TargetMode="External" Id="rId241"/><Relationship Type="http://schemas.openxmlformats.org/officeDocument/2006/relationships/hyperlink" Target="https://new.land.naver.com/complexes/9996?ms=2AfAQG,3zprE6,17&amp;a=APT:ABYG:JGC&amp;b=A1:B1&amp;e=RETAIL&amp;h=34&amp;i=132&amp;l=198&amp;ad=true" TargetMode="External" Id="rId242"/><Relationship Type="http://schemas.openxmlformats.org/officeDocument/2006/relationships/hyperlink" Target="https://new.land.naver.com/complexes/9996?ms=2AfAQG,3zprE6,17&amp;a=APT:ABYG:JGC&amp;b=A1:B1&amp;e=RETAIL&amp;h=34&amp;i=132&amp;l=198&amp;ad=true" TargetMode="External" Id="rId243"/><Relationship Type="http://schemas.openxmlformats.org/officeDocument/2006/relationships/hyperlink" Target="https://new.land.naver.com/complexes/15166?ms=2AfAQG,3zprE6,17&amp;a=APT:ABYG:JGC&amp;b=A1:B1&amp;e=RETAIL&amp;h=34&amp;i=132&amp;l=198&amp;ad=true" TargetMode="External" Id="rId244"/><Relationship Type="http://schemas.openxmlformats.org/officeDocument/2006/relationships/hyperlink" Target="https://new.land.naver.com/complexes/15166?ms=2AfAQG,3zprE6,17&amp;a=APT:ABYG:JGC&amp;b=A1:B1&amp;e=RETAIL&amp;h=34&amp;i=132&amp;l=198&amp;ad=true" TargetMode="External" Id="rId245"/><Relationship Type="http://schemas.openxmlformats.org/officeDocument/2006/relationships/hyperlink" Target="https://new.land.naver.com/complexes/8861?ms=2AfAQG,3zprE6,17&amp;a=APT:ABYG:JGC&amp;b=A1:B1&amp;e=RETAIL&amp;h=34&amp;i=132&amp;l=198&amp;ad=true" TargetMode="External" Id="rId246"/><Relationship Type="http://schemas.openxmlformats.org/officeDocument/2006/relationships/hyperlink" Target="https://new.land.naver.com/complexes/4592?ms=2AfAQG,3zprE6,17&amp;a=APT:ABYG:JGC&amp;b=A1:B1&amp;e=RETAIL&amp;h=34&amp;i=132&amp;l=198&amp;ad=true" TargetMode="External" Id="rId247"/><Relationship Type="http://schemas.openxmlformats.org/officeDocument/2006/relationships/hyperlink" Target="https://new.land.naver.com/complexes/22395?ms=2AfAQG,3zprE6,17&amp;a=APT:ABYG:JGC&amp;b=A1:B1&amp;e=RETAIL&amp;h=34&amp;i=132&amp;l=198&amp;ad=true" TargetMode="External" Id="rId248"/><Relationship Type="http://schemas.openxmlformats.org/officeDocument/2006/relationships/hyperlink" Target="https://new.land.naver.com/complexes/22395?ms=2AfAQG,3zprE6,17&amp;a=APT:ABYG:JGC&amp;b=A1:B1&amp;e=RETAIL&amp;h=34&amp;i=132&amp;l=198&amp;ad=true" TargetMode="External" Id="rId249"/><Relationship Type="http://schemas.openxmlformats.org/officeDocument/2006/relationships/hyperlink" Target="https://new.land.naver.com/complexes/11549?ms=2AfAQG,3zprE6,17&amp;a=APT:ABYG:JGC&amp;b=A1:B1&amp;e=RETAIL&amp;h=34&amp;i=132&amp;l=198&amp;ad=true" TargetMode="External" Id="rId250"/><Relationship Type="http://schemas.openxmlformats.org/officeDocument/2006/relationships/hyperlink" Target="https://new.land.naver.com/complexes/11549?ms=2AfAQG,3zprE6,17&amp;a=APT:ABYG:JGC&amp;b=A1:B1&amp;e=RETAIL&amp;h=34&amp;i=132&amp;l=198&amp;ad=true" TargetMode="External" Id="rId251"/><Relationship Type="http://schemas.openxmlformats.org/officeDocument/2006/relationships/hyperlink" Target="https://new.land.naver.com/complexes/11549?ms=2AfAQG,3zprE6,17&amp;a=APT:ABYG:JGC&amp;b=A1:B1&amp;e=RETAIL&amp;h=34&amp;i=132&amp;l=198&amp;ad=true" TargetMode="External" Id="rId252"/><Relationship Type="http://schemas.openxmlformats.org/officeDocument/2006/relationships/hyperlink" Target="https://new.land.naver.com/complexes/11549?ms=2AfAQG,3zprE6,17&amp;a=APT:ABYG:JGC&amp;b=A1:B1&amp;e=RETAIL&amp;h=34&amp;i=132&amp;l=198&amp;ad=true" TargetMode="External" Id="rId253"/><Relationship Type="http://schemas.openxmlformats.org/officeDocument/2006/relationships/hyperlink" Target="https://new.land.naver.com/complexes/11665?ms=2AfAQG,3zprE6,17&amp;a=APT:ABYG:JGC&amp;b=A1:B1&amp;e=RETAIL&amp;h=34&amp;i=132&amp;l=198&amp;ad=true" TargetMode="External" Id="rId254"/><Relationship Type="http://schemas.openxmlformats.org/officeDocument/2006/relationships/hyperlink" Target="https://new.land.naver.com/complexes/11665?ms=2AfAQG,3zprE6,17&amp;a=APT:ABYG:JGC&amp;b=A1:B1&amp;e=RETAIL&amp;h=34&amp;i=132&amp;l=198&amp;ad=true" TargetMode="External" Id="rId255"/><Relationship Type="http://schemas.openxmlformats.org/officeDocument/2006/relationships/hyperlink" Target="https://new.land.naver.com/complexes/22443?ms=2AfAQG,3zprE6,17&amp;a=APT:ABYG:JGC&amp;b=A1:B1&amp;e=RETAIL&amp;h=34&amp;i=132&amp;l=198&amp;ad=true" TargetMode="External" Id="rId256"/><Relationship Type="http://schemas.openxmlformats.org/officeDocument/2006/relationships/hyperlink" Target="https://new.land.naver.com/complexes/22443?ms=2AfAQG,3zprE6,17&amp;a=APT:ABYG:JGC&amp;b=A1:B1&amp;e=RETAIL&amp;h=34&amp;i=132&amp;l=198&amp;ad=true" TargetMode="External" Id="rId257"/><Relationship Type="http://schemas.openxmlformats.org/officeDocument/2006/relationships/hyperlink" Target="https://new.land.naver.com/complexes/22443?ms=2AfAQG,3zprE6,17&amp;a=APT:ABYG:JGC&amp;b=A1:B1&amp;e=RETAIL&amp;h=34&amp;i=132&amp;l=198&amp;ad=true" TargetMode="External" Id="rId258"/><Relationship Type="http://schemas.openxmlformats.org/officeDocument/2006/relationships/hyperlink" Target="https://new.land.naver.com/complexes/8039?ms=2AfAQG,3zprE6,17&amp;a=APT:ABYG:JGC&amp;b=A1:B1&amp;e=RETAIL&amp;h=34&amp;i=132&amp;l=198&amp;ad=true" TargetMode="External" Id="rId259"/><Relationship Type="http://schemas.openxmlformats.org/officeDocument/2006/relationships/hyperlink" Target="https://new.land.naver.com/complexes/8039?ms=2AfAQG,3zprE6,17&amp;a=APT:ABYG:JGC&amp;b=A1:B1&amp;e=RETAIL&amp;h=34&amp;i=132&amp;l=198&amp;ad=true" TargetMode="External" Id="rId260"/><Relationship Type="http://schemas.openxmlformats.org/officeDocument/2006/relationships/hyperlink" Target="https://new.land.naver.com/complexes/8039?ms=2AfAQG,3zprE6,17&amp;a=APT:ABYG:JGC&amp;b=A1:B1&amp;e=RETAIL&amp;h=34&amp;i=132&amp;l=198&amp;ad=true" TargetMode="External" Id="rId261"/><Relationship Type="http://schemas.openxmlformats.org/officeDocument/2006/relationships/hyperlink" Target="https://new.land.naver.com/complexes/8039?ms=2AfAQG,3zprE6,17&amp;a=APT:ABYG:JGC&amp;b=A1:B1&amp;e=RETAIL&amp;h=34&amp;i=132&amp;l=198&amp;ad=true" TargetMode="External" Id="rId262"/><Relationship Type="http://schemas.openxmlformats.org/officeDocument/2006/relationships/hyperlink" Target="https://new.land.naver.com/complexes/8039?ms=2AfAQG,3zprE6,17&amp;a=APT:ABYG:JGC&amp;b=A1:B1&amp;e=RETAIL&amp;h=34&amp;i=132&amp;l=198&amp;ad=true" TargetMode="External" Id="rId263"/><Relationship Type="http://schemas.openxmlformats.org/officeDocument/2006/relationships/hyperlink" Target="https://new.land.naver.com/complexes/8039?ms=2AfAQG,3zprE6,17&amp;a=APT:ABYG:JGC&amp;b=A1:B1&amp;e=RETAIL&amp;h=34&amp;i=132&amp;l=198&amp;ad=true" TargetMode="External" Id="rId264"/><Relationship Type="http://schemas.openxmlformats.org/officeDocument/2006/relationships/hyperlink" Target="https://new.land.naver.com/complexes/9706?ms=2AfAQG,3zprE6,17&amp;a=APT:ABYG:JGC&amp;b=A1:B1&amp;e=RETAIL&amp;h=34&amp;i=132&amp;l=198&amp;ad=true" TargetMode="External" Id="rId265"/><Relationship Type="http://schemas.openxmlformats.org/officeDocument/2006/relationships/hyperlink" Target="https://new.land.naver.com/complexes/9708?ms=2AfAQG,3zprE6,17&amp;a=APT:ABYG:JGC&amp;b=A1:B1&amp;e=RETAIL&amp;h=34&amp;i=132&amp;l=198&amp;ad=true" TargetMode="External" Id="rId266"/><Relationship Type="http://schemas.openxmlformats.org/officeDocument/2006/relationships/hyperlink" Target="https://new.land.naver.com/complexes/9708?ms=2AfAQG,3zprE6,17&amp;a=APT:ABYG:JGC&amp;b=A1:B1&amp;e=RETAIL&amp;h=34&amp;i=132&amp;l=198&amp;ad=true" TargetMode="External" Id="rId267"/><Relationship Type="http://schemas.openxmlformats.org/officeDocument/2006/relationships/hyperlink" Target="https://new.land.naver.com/complexes/9708?ms=2AfAQG,3zprE6,17&amp;a=APT:ABYG:JGC&amp;b=A1:B1&amp;e=RETAIL&amp;h=34&amp;i=132&amp;l=198&amp;ad=true" TargetMode="External" Id="rId268"/><Relationship Type="http://schemas.openxmlformats.org/officeDocument/2006/relationships/hyperlink" Target="https://new.land.naver.com/complexes/9708?ms=2AfAQG,3zprE6,17&amp;a=APT:ABYG:JGC&amp;b=A1:B1&amp;e=RETAIL&amp;h=34&amp;i=132&amp;l=198&amp;ad=true" TargetMode="External" Id="rId269"/><Relationship Type="http://schemas.openxmlformats.org/officeDocument/2006/relationships/hyperlink" Target="https://new.land.naver.com/complexes/9708?ms=2AfAQG,3zprE6,17&amp;a=APT:ABYG:JGC&amp;b=A1:B1&amp;e=RETAIL&amp;h=34&amp;i=132&amp;l=198&amp;ad=true" TargetMode="External" Id="rId270"/><Relationship Type="http://schemas.openxmlformats.org/officeDocument/2006/relationships/hyperlink" Target="https://new.land.naver.com/complexes/9709?ms=2AfAQG,3zprE6,17&amp;a=APT:ABYG:JGC&amp;b=A1:B1&amp;e=RETAIL&amp;h=34&amp;i=132&amp;l=198&amp;ad=true" TargetMode="External" Id="rId271"/><Relationship Type="http://schemas.openxmlformats.org/officeDocument/2006/relationships/hyperlink" Target="https://new.land.naver.com/complexes/9709?ms=2AfAQG,3zprE6,17&amp;a=APT:ABYG:JGC&amp;b=A1:B1&amp;e=RETAIL&amp;h=34&amp;i=132&amp;l=198&amp;ad=true" TargetMode="External" Id="rId272"/><Relationship Type="http://schemas.openxmlformats.org/officeDocument/2006/relationships/hyperlink" Target="https://new.land.naver.com/complexes/9709?ms=2AfAQG,3zprE6,17&amp;a=APT:ABYG:JGC&amp;b=A1:B1&amp;e=RETAIL&amp;h=34&amp;i=132&amp;l=198&amp;ad=true" TargetMode="External" Id="rId273"/><Relationship Type="http://schemas.openxmlformats.org/officeDocument/2006/relationships/hyperlink" Target="https://new.land.naver.com/complexes/9709?ms=2AfAQG,3zprE6,17&amp;a=APT:ABYG:JGC&amp;b=A1:B1&amp;e=RETAIL&amp;h=34&amp;i=132&amp;l=198&amp;ad=true" TargetMode="External" Id="rId274"/><Relationship Type="http://schemas.openxmlformats.org/officeDocument/2006/relationships/hyperlink" Target="https://new.land.naver.com/complexes/9709?ms=2AfAQG,3zprE6,17&amp;a=APT:ABYG:JGC&amp;b=A1:B1&amp;e=RETAIL&amp;h=34&amp;i=132&amp;l=198&amp;ad=true" TargetMode="External" Id="rId275"/><Relationship Type="http://schemas.openxmlformats.org/officeDocument/2006/relationships/hyperlink" Target="https://new.land.naver.com/complexes/9709?ms=2AfAQG,3zprE6,17&amp;a=APT:ABYG:JGC&amp;b=A1:B1&amp;e=RETAIL&amp;h=34&amp;i=132&amp;l=198&amp;ad=true" TargetMode="External" Id="rId276"/><Relationship Type="http://schemas.openxmlformats.org/officeDocument/2006/relationships/hyperlink" Target="https://new.land.naver.com/complexes/9710?ms=2AfAQG,3zprE6,17&amp;a=APT:ABYG:JGC&amp;b=A1:B1&amp;e=RETAIL&amp;h=34&amp;i=132&amp;l=198&amp;ad=true" TargetMode="External" Id="rId277"/><Relationship Type="http://schemas.openxmlformats.org/officeDocument/2006/relationships/hyperlink" Target="https://new.land.naver.com/complexes/9710?ms=2AfAQG,3zprE6,17&amp;a=APT:ABYG:JGC&amp;b=A1:B1&amp;e=RETAIL&amp;h=34&amp;i=132&amp;l=198&amp;ad=true" TargetMode="External" Id="rId278"/><Relationship Type="http://schemas.openxmlformats.org/officeDocument/2006/relationships/hyperlink" Target="https://new.land.naver.com/complexes/9711?ms=2AfAQG,3zprE6,17&amp;a=APT:ABYG:JGC&amp;b=A1:B1&amp;e=RETAIL&amp;h=34&amp;i=132&amp;l=198&amp;ad=true" TargetMode="External" Id="rId279"/><Relationship Type="http://schemas.openxmlformats.org/officeDocument/2006/relationships/hyperlink" Target="https://new.land.naver.com/complexes/4607?ms=2AfAQG,3zprE6,17&amp;a=APT:ABYG:JGC&amp;b=A1:B1&amp;e=RETAIL&amp;h=34&amp;i=132&amp;l=198&amp;ad=true" TargetMode="External" Id="rId280"/><Relationship Type="http://schemas.openxmlformats.org/officeDocument/2006/relationships/hyperlink" Target="https://new.land.naver.com/complexes/4607?ms=2AfAQG,3zprE6,17&amp;a=APT:ABYG:JGC&amp;b=A1:B1&amp;e=RETAIL&amp;h=34&amp;i=132&amp;l=198&amp;ad=true" TargetMode="External" Id="rId281"/><Relationship Type="http://schemas.openxmlformats.org/officeDocument/2006/relationships/hyperlink" Target="https://new.land.naver.com/complexes/4607?ms=2AfAQG,3zprE6,17&amp;a=APT:ABYG:JGC&amp;b=A1:B1&amp;e=RETAIL&amp;h=34&amp;i=132&amp;l=198&amp;ad=true" TargetMode="External" Id="rId282"/><Relationship Type="http://schemas.openxmlformats.org/officeDocument/2006/relationships/hyperlink" Target="https://new.land.naver.com/complexes/4607?ms=2AfAQG,3zprE6,17&amp;a=APT:ABYG:JGC&amp;b=A1:B1&amp;e=RETAIL&amp;h=34&amp;i=132&amp;l=198&amp;ad=true" TargetMode="External" Id="rId283"/><Relationship Type="http://schemas.openxmlformats.org/officeDocument/2006/relationships/hyperlink" Target="https://new.land.naver.com/complexes/4607?ms=2AfAQG,3zprE6,17&amp;a=APT:ABYG:JGC&amp;b=A1:B1&amp;e=RETAIL&amp;h=34&amp;i=132&amp;l=198&amp;ad=true" TargetMode="External" Id="rId284"/><Relationship Type="http://schemas.openxmlformats.org/officeDocument/2006/relationships/hyperlink" Target="https://new.land.naver.com/complexes/4607?ms=2AfAQG,3zprE6,17&amp;a=APT:ABYG:JGC&amp;b=A1:B1&amp;e=RETAIL&amp;h=34&amp;i=132&amp;l=198&amp;ad=true" TargetMode="External" Id="rId285"/><Relationship Type="http://schemas.openxmlformats.org/officeDocument/2006/relationships/hyperlink" Target="https://new.land.naver.com/complexes/4612?ms=2AfAQG,3zprE6,17&amp;a=APT:ABYG:JGC&amp;b=A1:B1&amp;e=RETAIL&amp;h=34&amp;i=132&amp;l=198&amp;ad=true" TargetMode="External" Id="rId286"/><Relationship Type="http://schemas.openxmlformats.org/officeDocument/2006/relationships/hyperlink" Target="https://new.land.naver.com/complexes/4612?ms=2AfAQG,3zprE6,17&amp;a=APT:ABYG:JGC&amp;b=A1:B1&amp;e=RETAIL&amp;h=34&amp;i=132&amp;l=198&amp;ad=true" TargetMode="External" Id="rId287"/><Relationship Type="http://schemas.openxmlformats.org/officeDocument/2006/relationships/hyperlink" Target="https://new.land.naver.com/complexes/108136?ms=2AfAQG,3zprE6,17&amp;a=APT:ABYG:JGC&amp;b=A1:B1&amp;e=RETAIL&amp;h=34&amp;i=132&amp;l=198&amp;ad=true" TargetMode="External" Id="rId288"/><Relationship Type="http://schemas.openxmlformats.org/officeDocument/2006/relationships/hyperlink" Target="https://new.land.naver.com/complexes/108136?ms=2AfAQG,3zprE6,17&amp;a=APT:ABYG:JGC&amp;b=A1:B1&amp;e=RETAIL&amp;h=34&amp;i=132&amp;l=198&amp;ad=true" TargetMode="External" Id="rId289"/><Relationship Type="http://schemas.openxmlformats.org/officeDocument/2006/relationships/hyperlink" Target="https://new.land.naver.com/complexes/108136?ms=2AfAQG,3zprE6,17&amp;a=APT:ABYG:JGC&amp;b=A1:B1&amp;e=RETAIL&amp;h=34&amp;i=132&amp;l=198&amp;ad=true" TargetMode="External" Id="rId290"/><Relationship Type="http://schemas.openxmlformats.org/officeDocument/2006/relationships/hyperlink" Target="https://new.land.naver.com/complexes/108136?ms=2AfAQG,3zprE6,17&amp;a=APT:ABYG:JGC&amp;b=A1:B1&amp;e=RETAIL&amp;h=34&amp;i=132&amp;l=198&amp;ad=true" TargetMode="External" Id="rId291"/><Relationship Type="http://schemas.openxmlformats.org/officeDocument/2006/relationships/hyperlink" Target="https://new.land.naver.com/complexes/108136?ms=2AfAQG,3zprE6,17&amp;a=APT:ABYG:JGC&amp;b=A1:B1&amp;e=RETAIL&amp;h=34&amp;i=132&amp;l=198&amp;ad=true" TargetMode="External" Id="rId292"/><Relationship Type="http://schemas.openxmlformats.org/officeDocument/2006/relationships/hyperlink" Target="https://new.land.naver.com/complexes/108136?ms=2AfAQG,3zprE6,17&amp;a=APT:ABYG:JGC&amp;b=A1:B1&amp;e=RETAIL&amp;h=34&amp;i=132&amp;l=198&amp;ad=true" TargetMode="External" Id="rId293"/><Relationship Type="http://schemas.openxmlformats.org/officeDocument/2006/relationships/hyperlink" Target="https://new.land.naver.com/complexes/108136?ms=2AfAQG,3zprE6,17&amp;a=APT:ABYG:JGC&amp;b=A1:B1&amp;e=RETAIL&amp;h=34&amp;i=132&amp;l=198&amp;ad=true" TargetMode="External" Id="rId294"/><Relationship Type="http://schemas.openxmlformats.org/officeDocument/2006/relationships/hyperlink" Target="https://new.land.naver.com/complexes/108136?ms=2AfAQG,3zprE6,17&amp;a=APT:ABYG:JGC&amp;b=A1:B1&amp;e=RETAIL&amp;h=34&amp;i=132&amp;l=198&amp;ad=true" TargetMode="External" Id="rId295"/><Relationship Type="http://schemas.openxmlformats.org/officeDocument/2006/relationships/hyperlink" Target="https://new.land.naver.com/complexes/108136?ms=2AfAQG,3zprE6,17&amp;a=APT:ABYG:JGC&amp;b=A1:B1&amp;e=RETAIL&amp;h=34&amp;i=132&amp;l=198&amp;ad=true" TargetMode="External" Id="rId296"/><Relationship Type="http://schemas.openxmlformats.org/officeDocument/2006/relationships/hyperlink" Target="https://new.land.naver.com/complexes/108136?ms=2AfAQG,3zprE6,17&amp;a=APT:ABYG:JGC&amp;b=A1:B1&amp;e=RETAIL&amp;h=34&amp;i=132&amp;l=198&amp;ad=true" TargetMode="External" Id="rId297"/><Relationship Type="http://schemas.openxmlformats.org/officeDocument/2006/relationships/hyperlink" Target="https://new.land.naver.com/complexes/108136?ms=2AfAQG,3zprE6,17&amp;a=APT:ABYG:JGC&amp;b=A1:B1&amp;e=RETAIL&amp;h=34&amp;i=132&amp;l=198&amp;ad=true" TargetMode="External" Id="rId298"/><Relationship Type="http://schemas.openxmlformats.org/officeDocument/2006/relationships/hyperlink" Target="https://new.land.naver.com/complexes/108136?ms=2AfAQG,3zprE6,17&amp;a=APT:ABYG:JGC&amp;b=A1:B1&amp;e=RETAIL&amp;h=34&amp;i=132&amp;l=198&amp;ad=true" TargetMode="External" Id="rId299"/><Relationship Type="http://schemas.openxmlformats.org/officeDocument/2006/relationships/hyperlink" Target="https://new.land.naver.com/complexes/108136?ms=2AfAQG,3zprE6,17&amp;a=APT:ABYG:JGC&amp;b=A1:B1&amp;e=RETAIL&amp;h=34&amp;i=132&amp;l=198&amp;ad=true" TargetMode="External" Id="rId300"/><Relationship Type="http://schemas.openxmlformats.org/officeDocument/2006/relationships/hyperlink" Target="https://new.land.naver.com/complexes/108136?ms=2AfAQG,3zprE6,17&amp;a=APT:ABYG:JGC&amp;b=A1:B1&amp;e=RETAIL&amp;h=34&amp;i=132&amp;l=198&amp;ad=true" TargetMode="External" Id="rId301"/><Relationship Type="http://schemas.openxmlformats.org/officeDocument/2006/relationships/hyperlink" Target="https://new.land.naver.com/complexes/108136?ms=2AfAQG,3zprE6,17&amp;a=APT:ABYG:JGC&amp;b=A1:B1&amp;e=RETAIL&amp;h=34&amp;i=132&amp;l=198&amp;ad=true" TargetMode="External" Id="rId302"/><Relationship Type="http://schemas.openxmlformats.org/officeDocument/2006/relationships/hyperlink" Target="https://new.land.naver.com/complexes/108136?ms=2AfAQG,3zprE6,17&amp;a=APT:ABYG:JGC&amp;b=A1:B1&amp;e=RETAIL&amp;h=34&amp;i=132&amp;l=198&amp;ad=true" TargetMode="External" Id="rId303"/><Relationship Type="http://schemas.openxmlformats.org/officeDocument/2006/relationships/hyperlink" Target="https://new.land.naver.com/complexes/108136?ms=2AfAQG,3zprE6,17&amp;a=APT:ABYG:JGC&amp;b=A1:B1&amp;e=RETAIL&amp;h=34&amp;i=132&amp;l=198&amp;ad=true" TargetMode="External" Id="rId304"/><Relationship Type="http://schemas.openxmlformats.org/officeDocument/2006/relationships/hyperlink" Target="https://new.land.naver.com/complexes/108136?ms=2AfAQG,3zprE6,17&amp;a=APT:ABYG:JGC&amp;b=A1:B1&amp;e=RETAIL&amp;h=34&amp;i=132&amp;l=198&amp;ad=true" TargetMode="External" Id="rId305"/><Relationship Type="http://schemas.openxmlformats.org/officeDocument/2006/relationships/hyperlink" Target="https://new.land.naver.com/complexes/108136?ms=2AfAQG,3zprE6,17&amp;a=APT:ABYG:JGC&amp;b=A1:B1&amp;e=RETAIL&amp;h=34&amp;i=132&amp;l=198&amp;ad=true" TargetMode="External" Id="rId306"/><Relationship Type="http://schemas.openxmlformats.org/officeDocument/2006/relationships/hyperlink" Target="https://new.land.naver.com/complexes/108136?ms=2AfAQG,3zprE6,17&amp;a=APT:ABYG:JGC&amp;b=A1:B1&amp;e=RETAIL&amp;h=34&amp;i=132&amp;l=198&amp;ad=true" TargetMode="External" Id="rId307"/><Relationship Type="http://schemas.openxmlformats.org/officeDocument/2006/relationships/hyperlink" Target="https://new.land.naver.com/complexes/108136?ms=2AfAQG,3zprE6,17&amp;a=APT:ABYG:JGC&amp;b=A1:B1&amp;e=RETAIL&amp;h=34&amp;i=132&amp;l=198&amp;ad=true" TargetMode="External" Id="rId308"/><Relationship Type="http://schemas.openxmlformats.org/officeDocument/2006/relationships/hyperlink" Target="https://new.land.naver.com/complexes/108136?ms=2AfAQG,3zprE6,17&amp;a=APT:ABYG:JGC&amp;b=A1:B1&amp;e=RETAIL&amp;h=34&amp;i=132&amp;l=198&amp;ad=true" TargetMode="External" Id="rId309"/><Relationship Type="http://schemas.openxmlformats.org/officeDocument/2006/relationships/hyperlink" Target="https://new.land.naver.com/complexes/108136?ms=2AfAQG,3zprE6,17&amp;a=APT:ABYG:JGC&amp;b=A1:B1&amp;e=RETAIL&amp;h=34&amp;i=132&amp;l=198&amp;ad=true" TargetMode="External" Id="rId310"/><Relationship Type="http://schemas.openxmlformats.org/officeDocument/2006/relationships/hyperlink" Target="https://new.land.naver.com/complexes/108136?ms=2AfAQG,3zprE6,17&amp;a=APT:ABYG:JGC&amp;b=A1:B1&amp;e=RETAIL&amp;h=34&amp;i=132&amp;l=198&amp;ad=true" TargetMode="External" Id="rId311"/><Relationship Type="http://schemas.openxmlformats.org/officeDocument/2006/relationships/hyperlink" Target="https://new.land.naver.com/complexes/108136?ms=2AfAQG,3zprE6,17&amp;a=APT:ABYG:JGC&amp;b=A1:B1&amp;e=RETAIL&amp;h=34&amp;i=132&amp;l=198&amp;ad=true" TargetMode="External" Id="rId312"/><Relationship Type="http://schemas.openxmlformats.org/officeDocument/2006/relationships/hyperlink" Target="https://new.land.naver.com/complexes/108136?ms=2AfAQG,3zprE6,17&amp;a=APT:ABYG:JGC&amp;b=A1:B1&amp;e=RETAIL&amp;h=34&amp;i=132&amp;l=198&amp;ad=true" TargetMode="External" Id="rId313"/><Relationship Type="http://schemas.openxmlformats.org/officeDocument/2006/relationships/hyperlink" Target="https://new.land.naver.com/complexes/108136?ms=2AfAQG,3zprE6,17&amp;a=APT:ABYG:JGC&amp;b=A1:B1&amp;e=RETAIL&amp;h=34&amp;i=132&amp;l=198&amp;ad=true" TargetMode="External" Id="rId314"/><Relationship Type="http://schemas.openxmlformats.org/officeDocument/2006/relationships/hyperlink" Target="https://new.land.naver.com/complexes/108136?ms=2AfAQG,3zprE6,17&amp;a=APT:ABYG:JGC&amp;b=A1:B1&amp;e=RETAIL&amp;h=34&amp;i=132&amp;l=198&amp;ad=true" TargetMode="External" Id="rId315"/><Relationship Type="http://schemas.openxmlformats.org/officeDocument/2006/relationships/hyperlink" Target="https://new.land.naver.com/complexes/108136?ms=2AfAQG,3zprE6,17&amp;a=APT:ABYG:JGC&amp;b=A1:B1&amp;e=RETAIL&amp;h=34&amp;i=132&amp;l=198&amp;ad=true" TargetMode="External" Id="rId316"/><Relationship Type="http://schemas.openxmlformats.org/officeDocument/2006/relationships/hyperlink" Target="https://new.land.naver.com/complexes/108136?ms=2AfAQG,3zprE6,17&amp;a=APT:ABYG:JGC&amp;b=A1:B1&amp;e=RETAIL&amp;h=34&amp;i=132&amp;l=198&amp;ad=true" TargetMode="External" Id="rId317"/><Relationship Type="http://schemas.openxmlformats.org/officeDocument/2006/relationships/hyperlink" Target="https://new.land.naver.com/complexes/108136?ms=2AfAQG,3zprE6,17&amp;a=APT:ABYG:JGC&amp;b=A1:B1&amp;e=RETAIL&amp;h=34&amp;i=132&amp;l=198&amp;ad=true" TargetMode="External" Id="rId318"/><Relationship Type="http://schemas.openxmlformats.org/officeDocument/2006/relationships/hyperlink" Target="https://new.land.naver.com/complexes/108136?ms=2AfAQG,3zprE6,17&amp;a=APT:ABYG:JGC&amp;b=A1:B1&amp;e=RETAIL&amp;h=34&amp;i=132&amp;l=198&amp;ad=true" TargetMode="External" Id="rId319"/><Relationship Type="http://schemas.openxmlformats.org/officeDocument/2006/relationships/hyperlink" Target="https://new.land.naver.com/complexes/108136?ms=2AfAQG,3zprE6,17&amp;a=APT:ABYG:JGC&amp;b=A1:B1&amp;e=RETAIL&amp;h=34&amp;i=132&amp;l=198&amp;ad=true" TargetMode="External" Id="rId320"/><Relationship Type="http://schemas.openxmlformats.org/officeDocument/2006/relationships/hyperlink" Target="https://new.land.naver.com/complexes/127894?ms=2AfAQG,3zprE6,17&amp;a=APT:ABYG:JGC&amp;b=A1:B1&amp;e=RETAIL&amp;h=34&amp;i=132&amp;l=198&amp;ad=true" TargetMode="External" Id="rId321"/><Relationship Type="http://schemas.openxmlformats.org/officeDocument/2006/relationships/hyperlink" Target="https://new.land.naver.com/complexes/14519?ms=2AfAQG,3zprE6,17&amp;a=APT:ABYG:JGC&amp;b=A1:B1&amp;e=RETAIL&amp;h=34&amp;i=132&amp;l=198&amp;ad=true" TargetMode="External" Id="rId322"/><Relationship Type="http://schemas.openxmlformats.org/officeDocument/2006/relationships/hyperlink" Target="https://new.land.naver.com/complexes/14519?ms=2AfAQG,3zprE6,17&amp;a=APT:ABYG:JGC&amp;b=A1:B1&amp;e=RETAIL&amp;h=34&amp;i=132&amp;l=198&amp;ad=true" TargetMode="External" Id="rId323"/><Relationship Type="http://schemas.openxmlformats.org/officeDocument/2006/relationships/hyperlink" Target="https://new.land.naver.com/complexes/104246?ms=2AfAQG,3zprE6,17&amp;a=APT:ABYG:JGC&amp;b=A1:B1&amp;e=RETAIL&amp;h=34&amp;i=132&amp;l=198&amp;ad=true" TargetMode="External" Id="rId324"/><Relationship Type="http://schemas.openxmlformats.org/officeDocument/2006/relationships/hyperlink" Target="https://new.land.naver.com/complexes/22444?ms=2AfAQG,3zprE6,17&amp;a=APT:ABYG:JGC&amp;b=A1:B1&amp;e=RETAIL&amp;h=34&amp;i=132&amp;l=198&amp;ad=true" TargetMode="External" Id="rId325"/><Relationship Type="http://schemas.openxmlformats.org/officeDocument/2006/relationships/hyperlink" Target="https://new.land.naver.com/complexes/22444?ms=2AfAQG,3zprE6,17&amp;a=APT:ABYG:JGC&amp;b=A1:B1&amp;e=RETAIL&amp;h=34&amp;i=132&amp;l=198&amp;ad=true" TargetMode="External" Id="rId326"/><Relationship Type="http://schemas.openxmlformats.org/officeDocument/2006/relationships/hyperlink" Target="https://new.land.naver.com/complexes/22444?ms=2AfAQG,3zprE6,17&amp;a=APT:ABYG:JGC&amp;b=A1:B1&amp;e=RETAIL&amp;h=34&amp;i=132&amp;l=198&amp;ad=true" TargetMode="External" Id="rId327"/><Relationship Type="http://schemas.openxmlformats.org/officeDocument/2006/relationships/hyperlink" Target="https://new.land.naver.com/complexes/22444?ms=2AfAQG,3zprE6,17&amp;a=APT:ABYG:JGC&amp;b=A1:B1&amp;e=RETAIL&amp;h=34&amp;i=132&amp;l=198&amp;ad=true" TargetMode="External" Id="rId328"/><Relationship Type="http://schemas.openxmlformats.org/officeDocument/2006/relationships/hyperlink" Target="https://new.land.naver.com/complexes/22444?ms=2AfAQG,3zprE6,17&amp;a=APT:ABYG:JGC&amp;b=A1:B1&amp;e=RETAIL&amp;h=34&amp;i=132&amp;l=198&amp;ad=true" TargetMode="External" Id="rId329"/><Relationship Type="http://schemas.openxmlformats.org/officeDocument/2006/relationships/hyperlink" Target="https://new.land.naver.com/complexes/22444?ms=2AfAQG,3zprE6,17&amp;a=APT:ABYG:JGC&amp;b=A1:B1&amp;e=RETAIL&amp;h=34&amp;i=132&amp;l=198&amp;ad=true" TargetMode="External" Id="rId330"/><Relationship Type="http://schemas.openxmlformats.org/officeDocument/2006/relationships/hyperlink" Target="https://new.land.naver.com/complexes/22444?ms=2AfAQG,3zprE6,17&amp;a=APT:ABYG:JGC&amp;b=A1:B1&amp;e=RETAIL&amp;h=34&amp;i=132&amp;l=198&amp;ad=true" TargetMode="External" Id="rId331"/><Relationship Type="http://schemas.openxmlformats.org/officeDocument/2006/relationships/hyperlink" Target="https://new.land.naver.com/complexes/22444?ms=2AfAQG,3zprE6,17&amp;a=APT:ABYG:JGC&amp;b=A1:B1&amp;e=RETAIL&amp;h=34&amp;i=132&amp;l=198&amp;ad=true" TargetMode="External" Id="rId332"/><Relationship Type="http://schemas.openxmlformats.org/officeDocument/2006/relationships/hyperlink" Target="https://new.land.naver.com/complexes/22444?ms=2AfAQG,3zprE6,17&amp;a=APT:ABYG:JGC&amp;b=A1:B1&amp;e=RETAIL&amp;h=34&amp;i=132&amp;l=198&amp;ad=true" TargetMode="External" Id="rId333"/><Relationship Type="http://schemas.openxmlformats.org/officeDocument/2006/relationships/hyperlink" Target="https://new.land.naver.com/complexes/22444?ms=2AfAQG,3zprE6,17&amp;a=APT:ABYG:JGC&amp;b=A1:B1&amp;e=RETAIL&amp;h=34&amp;i=132&amp;l=198&amp;ad=true" TargetMode="External" Id="rId334"/><Relationship Type="http://schemas.openxmlformats.org/officeDocument/2006/relationships/hyperlink" Target="https://new.land.naver.com/complexes/22444?ms=2AfAQG,3zprE6,17&amp;a=APT:ABYG:JGC&amp;b=A1:B1&amp;e=RETAIL&amp;h=34&amp;i=132&amp;l=198&amp;ad=true" TargetMode="External" Id="rId335"/><Relationship Type="http://schemas.openxmlformats.org/officeDocument/2006/relationships/hyperlink" Target="https://new.land.naver.com/complexes/15882?ms=2AfAQG,3zprE6,17&amp;a=APT:ABYG:JGC&amp;b=A1:B1&amp;e=RETAIL&amp;h=34&amp;i=132&amp;l=198&amp;ad=true" TargetMode="External" Id="rId336"/><Relationship Type="http://schemas.openxmlformats.org/officeDocument/2006/relationships/hyperlink" Target="https://new.land.naver.com/complexes/4633?ms=2AfAQG,3zprE6,17&amp;a=APT:ABYG:JGC&amp;b=A1:B1&amp;e=RETAIL&amp;h=34&amp;i=132&amp;l=198&amp;ad=true" TargetMode="External" Id="rId337"/><Relationship Type="http://schemas.openxmlformats.org/officeDocument/2006/relationships/hyperlink" Target="https://new.land.naver.com/complexes/4633?ms=2AfAQG,3zprE6,17&amp;a=APT:ABYG:JGC&amp;b=A1:B1&amp;e=RETAIL&amp;h=34&amp;i=132&amp;l=198&amp;ad=true" TargetMode="External" Id="rId338"/><Relationship Type="http://schemas.openxmlformats.org/officeDocument/2006/relationships/hyperlink" Target="https://new.land.naver.com/complexes/4633?ms=2AfAQG,3zprE6,17&amp;a=APT:ABYG:JGC&amp;b=A1:B1&amp;e=RETAIL&amp;h=34&amp;i=132&amp;l=198&amp;ad=true" TargetMode="External" Id="rId339"/><Relationship Type="http://schemas.openxmlformats.org/officeDocument/2006/relationships/hyperlink" Target="https://new.land.naver.com/complexes/13513?ms=2AfAQG,3zprE6,17&amp;a=APT:ABYG:JGC&amp;b=A1:B1&amp;e=RETAIL&amp;h=34&amp;i=132&amp;l=198&amp;ad=true" TargetMode="External" Id="rId340"/><Relationship Type="http://schemas.openxmlformats.org/officeDocument/2006/relationships/hyperlink" Target="https://new.land.naver.com/complexes/4646?ms=2AfAQG,3zprE6,17&amp;a=APT:ABYG:JGC&amp;b=A1:B1&amp;e=RETAIL&amp;h=34&amp;i=132&amp;l=198&amp;ad=true" TargetMode="External" Id="rId341"/><Relationship Type="http://schemas.openxmlformats.org/officeDocument/2006/relationships/hyperlink" Target="https://new.land.naver.com/complexes/4647?ms=2AfAQG,3zprE6,17&amp;a=APT:ABYG:JGC&amp;b=A1:B1&amp;e=RETAIL&amp;h=34&amp;i=132&amp;l=198&amp;ad=true" TargetMode="External" Id="rId342"/><Relationship Type="http://schemas.openxmlformats.org/officeDocument/2006/relationships/hyperlink" Target="https://new.land.naver.com/complexes/4650?ms=2AfAQG,3zprE6,17&amp;a=APT:ABYG:JGC&amp;b=A1:B1&amp;e=RETAIL&amp;h=34&amp;i=132&amp;l=198&amp;ad=true" TargetMode="External" Id="rId343"/><Relationship Type="http://schemas.openxmlformats.org/officeDocument/2006/relationships/hyperlink" Target="https://new.land.naver.com/complexes/4650?ms=2AfAQG,3zprE6,17&amp;a=APT:ABYG:JGC&amp;b=A1:B1&amp;e=RETAIL&amp;h=34&amp;i=132&amp;l=198&amp;ad=true" TargetMode="External" Id="rId344"/><Relationship Type="http://schemas.openxmlformats.org/officeDocument/2006/relationships/hyperlink" Target="https://new.land.naver.com/complexes/4650?ms=2AfAQG,3zprE6,17&amp;a=APT:ABYG:JGC&amp;b=A1:B1&amp;e=RETAIL&amp;h=34&amp;i=132&amp;l=198&amp;ad=true" TargetMode="External" Id="rId345"/><Relationship Type="http://schemas.openxmlformats.org/officeDocument/2006/relationships/hyperlink" Target="https://new.land.naver.com/complexes/4725?ms=2AfAQG,3zprE6,17&amp;a=APT:ABYG:JGC&amp;b=A1:B1&amp;e=RETAIL&amp;h=34&amp;i=132&amp;l=198&amp;ad=true" TargetMode="External" Id="rId346"/><Relationship Type="http://schemas.openxmlformats.org/officeDocument/2006/relationships/hyperlink" Target="https://new.land.naver.com/complexes/4725?ms=2AfAQG,3zprE6,17&amp;a=APT:ABYG:JGC&amp;b=A1:B1&amp;e=RETAIL&amp;h=34&amp;i=132&amp;l=198&amp;ad=true" TargetMode="External" Id="rId347"/><Relationship Type="http://schemas.openxmlformats.org/officeDocument/2006/relationships/hyperlink" Target="https://new.land.naver.com/complexes/4725?ms=2AfAQG,3zprE6,17&amp;a=APT:ABYG:JGC&amp;b=A1:B1&amp;e=RETAIL&amp;h=34&amp;i=132&amp;l=198&amp;ad=true" TargetMode="External" Id="rId348"/><Relationship Type="http://schemas.openxmlformats.org/officeDocument/2006/relationships/hyperlink" Target="https://new.land.naver.com/complexes/4725?ms=2AfAQG,3zprE6,17&amp;a=APT:ABYG:JGC&amp;b=A1:B1&amp;e=RETAIL&amp;h=34&amp;i=132&amp;l=198&amp;ad=true" TargetMode="External" Id="rId349"/><Relationship Type="http://schemas.openxmlformats.org/officeDocument/2006/relationships/hyperlink" Target="https://new.land.naver.com/complexes/4725?ms=2AfAQG,3zprE6,17&amp;a=APT:ABYG:JGC&amp;b=A1:B1&amp;e=RETAIL&amp;h=34&amp;i=132&amp;l=198&amp;ad=true" TargetMode="External" Id="rId350"/><Relationship Type="http://schemas.openxmlformats.org/officeDocument/2006/relationships/hyperlink" Target="https://new.land.naver.com/complexes/161277?ms=2AfAQG,3zprE6,17&amp;a=APT:ABYG:JGC&amp;b=A1:B1&amp;e=RETAIL&amp;h=34&amp;i=132&amp;l=198&amp;ad=true" TargetMode="External" Id="rId351"/><Relationship Type="http://schemas.openxmlformats.org/officeDocument/2006/relationships/hyperlink" Target="https://new.land.naver.com/complexes/4737?ms=2AfAQG,3zprE6,17&amp;a=APT:ABYG:JGC&amp;b=A1:B1&amp;e=RETAIL&amp;h=34&amp;i=132&amp;l=198&amp;ad=true" TargetMode="External" Id="rId352"/><Relationship Type="http://schemas.openxmlformats.org/officeDocument/2006/relationships/hyperlink" Target="https://new.land.naver.com/complexes/4737?ms=2AfAQG,3zprE6,17&amp;a=APT:ABYG:JGC&amp;b=A1:B1&amp;e=RETAIL&amp;h=34&amp;i=132&amp;l=198&amp;ad=true" TargetMode="External" Id="rId353"/><Relationship Type="http://schemas.openxmlformats.org/officeDocument/2006/relationships/hyperlink" Target="https://new.land.naver.com/complexes/11242?ms=2AfAQG,3zprE6,17&amp;a=APT:ABYG:JGC&amp;b=A1:B1&amp;e=RETAIL&amp;h=34&amp;i=132&amp;l=198&amp;ad=true" TargetMode="External" Id="rId354"/><Relationship Type="http://schemas.openxmlformats.org/officeDocument/2006/relationships/hyperlink" Target="https://new.land.naver.com/complexes/4731?ms=2AfAQG,3zprE6,17&amp;a=APT:ABYG:JGC&amp;b=A1:B1&amp;e=RETAIL&amp;h=34&amp;i=132&amp;l=198&amp;ad=true" TargetMode="External" Id="rId355"/><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hyperlink" Target="https://new.land.naver.com/complexes/154302?ms=2AfAQG,3zprE6,17&amp;a=APT:ABYG:JGC&amp;b=A1:B1&amp;e=RETAIL&amp;h=34&amp;i=132&amp;l=198&amp;ad=true" TargetMode="External" Id="rId1"/><Relationship Type="http://schemas.openxmlformats.org/officeDocument/2006/relationships/hyperlink" Target="https://new.land.naver.com/complexes/154302?ms=2AfAQG,3zprE6,17&amp;a=APT:ABYG:JGC&amp;b=A1:B1&amp;e=RETAIL&amp;h=34&amp;i=132&amp;l=198&amp;ad=true" TargetMode="External" Id="rId2"/><Relationship Type="http://schemas.openxmlformats.org/officeDocument/2006/relationships/hyperlink" Target="https://new.land.naver.com/complexes/154302?ms=2AfAQG,3zprE6,17&amp;a=APT:ABYG:JGC&amp;b=A1:B1&amp;e=RETAIL&amp;h=34&amp;i=132&amp;l=198&amp;ad=true" TargetMode="External" Id="rId3"/><Relationship Type="http://schemas.openxmlformats.org/officeDocument/2006/relationships/hyperlink" Target="https://new.land.naver.com/complexes/127133?ms=2AfAQG,3zprE6,17&amp;a=APT:ABYG:JGC&amp;b=A1:B1&amp;e=RETAIL&amp;h=34&amp;i=132&amp;l=198&amp;ad=true" TargetMode="External" Id="rId4"/><Relationship Type="http://schemas.openxmlformats.org/officeDocument/2006/relationships/hyperlink" Target="https://new.land.naver.com/complexes/7770?ms=2AfAQG,3zprE6,17&amp;a=APT:ABYG:JGC&amp;b=A1:B1&amp;e=RETAIL&amp;h=34&amp;i=132&amp;l=198&amp;ad=true" TargetMode="External" Id="rId5"/><Relationship Type="http://schemas.openxmlformats.org/officeDocument/2006/relationships/hyperlink" Target="https://new.land.naver.com/complexes/119208?ms=2AfAQG,3zprE6,17&amp;a=APT:ABYG:JGC&amp;b=A1:B1&amp;e=RETAIL&amp;h=34&amp;i=132&amp;l=198&amp;ad=true" TargetMode="External" Id="rId6"/><Relationship Type="http://schemas.openxmlformats.org/officeDocument/2006/relationships/hyperlink" Target="https://new.land.naver.com/complexes/24896?ms=2AfAQG,3zprE6,17&amp;a=APT:ABYG:JGC&amp;b=A1:B1&amp;e=RETAIL&amp;h=34&amp;i=132&amp;l=198&amp;ad=true" TargetMode="External" Id="rId7"/><Relationship Type="http://schemas.openxmlformats.org/officeDocument/2006/relationships/hyperlink" Target="https://new.land.naver.com/complexes/114752?ms=2AfAQG,3zprE6,17&amp;a=APT:ABYG:JGC&amp;b=A1:B1&amp;e=RETAIL&amp;h=34&amp;i=132&amp;l=198&amp;ad=true" TargetMode="External" Id="rId8"/><Relationship Type="http://schemas.openxmlformats.org/officeDocument/2006/relationships/hyperlink" Target="https://new.land.naver.com/complexes/7914?ms=2AfAQG,3zprE6,17&amp;a=APT:ABYG:JGC&amp;b=A1:B1&amp;e=RETAIL&amp;h=34&amp;i=132&amp;l=198&amp;ad=true" TargetMode="External" Id="rId9"/><Relationship Type="http://schemas.openxmlformats.org/officeDocument/2006/relationships/hyperlink" Target="https://new.land.naver.com/complexes/154302?ms=2AfAQG,3zprE6,17&amp;a=APT:ABYG:JGC&amp;b=A1:B1&amp;e=RETAIL&amp;h=34&amp;i=132&amp;l=198&amp;ad=true" TargetMode="External" Id="rId10"/><Relationship Type="http://schemas.openxmlformats.org/officeDocument/2006/relationships/hyperlink" Target="https://new.land.naver.com/complexes/7717?ms=2AfAQG,3zprE6,17&amp;a=APT:ABYG:JGC&amp;b=A1:B1&amp;e=RETAIL&amp;h=34&amp;i=132&amp;l=198&amp;ad=true" TargetMode="External" Id="rId11"/><Relationship Type="http://schemas.openxmlformats.org/officeDocument/2006/relationships/hyperlink" Target="https://new.land.naver.com/complexes/127133?ms=2AfAQG,3zprE6,17&amp;a=APT:ABYG:JGC&amp;b=A1:B1&amp;e=RETAIL&amp;h=34&amp;i=132&amp;l=198&amp;ad=true" TargetMode="External" Id="rId12"/><Relationship Type="http://schemas.openxmlformats.org/officeDocument/2006/relationships/hyperlink" Target="https://new.land.naver.com/complexes/7770?ms=2AfAQG,3zprE6,17&amp;a=APT:ABYG:JGC&amp;b=A1:B1&amp;e=RETAIL&amp;h=34&amp;i=132&amp;l=198&amp;ad=true" TargetMode="External" Id="rId13"/><Relationship Type="http://schemas.openxmlformats.org/officeDocument/2006/relationships/hyperlink" Target="https://new.land.naver.com/complexes/104037?ms=2AfAQG,3zprE6,17&amp;a=APT:ABYG:JGC&amp;b=A1:B1&amp;e=RETAIL&amp;h=34&amp;i=132&amp;l=198&amp;ad=true" TargetMode="External" Id="rId14"/><Relationship Type="http://schemas.openxmlformats.org/officeDocument/2006/relationships/hyperlink" Target="https://new.land.naver.com/complexes/119208?ms=2AfAQG,3zprE6,17&amp;a=APT:ABYG:JGC&amp;b=A1:B1&amp;e=RETAIL&amp;h=34&amp;i=132&amp;l=198&amp;ad=true" TargetMode="External" Id="rId15"/><Relationship Type="http://schemas.openxmlformats.org/officeDocument/2006/relationships/hyperlink" Target="https://new.land.naver.com/complexes/7770?ms=2AfAQG,3zprE6,17&amp;a=APT:ABYG:JGC&amp;b=A1:B1&amp;e=RETAIL&amp;h=34&amp;i=132&amp;l=198&amp;ad=true" TargetMode="External" Id="rId16"/><Relationship Type="http://schemas.openxmlformats.org/officeDocument/2006/relationships/hyperlink" Target="https://new.land.naver.com/complexes/7717?ms=2AfAQG,3zprE6,17&amp;a=APT:ABYG:JGC&amp;b=A1:B1&amp;e=RETAIL&amp;h=34&amp;i=132&amp;l=198&amp;ad=true" TargetMode="External" Id="rId17"/><Relationship Type="http://schemas.openxmlformats.org/officeDocument/2006/relationships/hyperlink" Target="https://new.land.naver.com/complexes/119208?ms=2AfAQG,3zprE6,17&amp;a=APT:ABYG:JGC&amp;b=A1:B1&amp;e=RETAIL&amp;h=34&amp;i=132&amp;l=198&amp;ad=true" TargetMode="External" Id="rId18"/><Relationship Type="http://schemas.openxmlformats.org/officeDocument/2006/relationships/hyperlink" Target="https://new.land.naver.com/complexes/103401?ms=2AfAQG,3zprE6,17&amp;a=APT:ABYG:JGC&amp;b=A1:B1&amp;e=RETAIL&amp;h=34&amp;i=132&amp;l=198&amp;ad=true" TargetMode="External" Id="rId19"/><Relationship Type="http://schemas.openxmlformats.org/officeDocument/2006/relationships/hyperlink" Target="https://new.land.naver.com/complexes/108274?ms=2AfAQG,3zprE6,17&amp;a=APT:ABYG:JGC&amp;b=A1:B1&amp;e=RETAIL&amp;h=34&amp;i=132&amp;l=198&amp;ad=true" TargetMode="External" Id="rId20"/><Relationship Type="http://schemas.openxmlformats.org/officeDocument/2006/relationships/hyperlink" Target="https://new.land.naver.com/complexes/117979?ms=2AfAQG,3zprE6,17&amp;a=APT:ABYG:JGC&amp;b=A1:B1&amp;e=RETAIL&amp;h=34&amp;i=132&amp;l=198&amp;ad=true" TargetMode="External" Id="rId21"/><Relationship Type="http://schemas.openxmlformats.org/officeDocument/2006/relationships/hyperlink" Target="https://new.land.naver.com/complexes/103401?ms=2AfAQG,3zprE6,17&amp;a=APT:ABYG:JGC&amp;b=A1:B1&amp;e=RETAIL&amp;h=34&amp;i=132&amp;l=198&amp;ad=true" TargetMode="External" Id="rId22"/><Relationship Type="http://schemas.openxmlformats.org/officeDocument/2006/relationships/hyperlink" Target="https://new.land.naver.com/complexes/7770?ms=2AfAQG,3zprE6,17&amp;a=APT:ABYG:JGC&amp;b=A1:B1&amp;e=RETAIL&amp;h=34&amp;i=132&amp;l=198&amp;ad=true" TargetMode="External" Id="rId23"/><Relationship Type="http://schemas.openxmlformats.org/officeDocument/2006/relationships/hyperlink" Target="https://new.land.naver.com/complexes/7914?ms=2AfAQG,3zprE6,17&amp;a=APT:ABYG:JGC&amp;b=A1:B1&amp;e=RETAIL&amp;h=34&amp;i=132&amp;l=198&amp;ad=true" TargetMode="External" Id="rId24"/><Relationship Type="http://schemas.openxmlformats.org/officeDocument/2006/relationships/hyperlink" Target="https://new.land.naver.com/complexes/10383?ms=2AfAQG,3zprE6,17&amp;a=APT:ABYG:JGC&amp;b=A1:B1&amp;e=RETAIL&amp;h=34&amp;i=132&amp;l=198&amp;ad=true" TargetMode="External" Id="rId25"/><Relationship Type="http://schemas.openxmlformats.org/officeDocument/2006/relationships/hyperlink" Target="https://new.land.naver.com/complexes/117980?ms=2AfAQG,3zprE6,17&amp;a=APT:ABYG:JGC&amp;b=A1:B1&amp;e=RETAIL&amp;h=34&amp;i=132&amp;l=198&amp;ad=true" TargetMode="External" Id="rId26"/><Relationship Type="http://schemas.openxmlformats.org/officeDocument/2006/relationships/hyperlink" Target="https://new.land.naver.com/complexes/111463?ms=2AfAQG,3zprE6,17&amp;a=APT:ABYG:JGC&amp;b=A1:B1&amp;e=RETAIL&amp;h=34&amp;i=132&amp;l=198&amp;ad=true" TargetMode="External" Id="rId27"/><Relationship Type="http://schemas.openxmlformats.org/officeDocument/2006/relationships/hyperlink" Target="https://new.land.naver.com/complexes/111463?ms=2AfAQG,3zprE6,17&amp;a=APT:ABYG:JGC&amp;b=A1:B1&amp;e=RETAIL&amp;h=34&amp;i=132&amp;l=198&amp;ad=true" TargetMode="External" Id="rId28"/><Relationship Type="http://schemas.openxmlformats.org/officeDocument/2006/relationships/hyperlink" Target="https://new.land.naver.com/complexes/7914?ms=2AfAQG,3zprE6,17&amp;a=APT:ABYG:JGC&amp;b=A1:B1&amp;e=RETAIL&amp;h=34&amp;i=132&amp;l=198&amp;ad=true" TargetMode="External" Id="rId29"/><Relationship Type="http://schemas.openxmlformats.org/officeDocument/2006/relationships/hyperlink" Target="https://new.land.naver.com/complexes/7717?ms=2AfAQG,3zprE6,17&amp;a=APT:ABYG:JGC&amp;b=A1:B1&amp;e=RETAIL&amp;h=34&amp;i=132&amp;l=198&amp;ad=true" TargetMode="External" Id="rId30"/><Relationship Type="http://schemas.openxmlformats.org/officeDocument/2006/relationships/hyperlink" Target="https://new.land.naver.com/complexes/19305?ms=2AfAQG,3zprE6,17&amp;a=APT:ABYG:JGC&amp;b=A1:B1&amp;e=RETAIL&amp;h=34&amp;i=132&amp;l=198&amp;ad=true" TargetMode="External" Id="rId31"/><Relationship Type="http://schemas.openxmlformats.org/officeDocument/2006/relationships/hyperlink" Target="https://new.land.naver.com/complexes/108276?ms=2AfAQG,3zprE6,17&amp;a=APT:ABYG:JGC&amp;b=A1:B1&amp;e=RETAIL&amp;h=34&amp;i=132&amp;l=198&amp;ad=true" TargetMode="External" Id="rId32"/><Relationship Type="http://schemas.openxmlformats.org/officeDocument/2006/relationships/hyperlink" Target="https://new.land.naver.com/complexes/7770?ms=2AfAQG,3zprE6,17&amp;a=APT:ABYG:JGC&amp;b=A1:B1&amp;e=RETAIL&amp;h=34&amp;i=132&amp;l=198&amp;ad=true" TargetMode="External" Id="rId33"/><Relationship Type="http://schemas.openxmlformats.org/officeDocument/2006/relationships/hyperlink" Target="https://new.land.naver.com/complexes/103803?ms=2AfAQG,3zprE6,17&amp;a=APT:ABYG:JGC&amp;b=A1:B1&amp;e=RETAIL&amp;h=34&amp;i=132&amp;l=198&amp;ad=true" TargetMode="External" Id="rId34"/><Relationship Type="http://schemas.openxmlformats.org/officeDocument/2006/relationships/hyperlink" Target="https://new.land.naver.com/complexes/11792?ms=2AfAQG,3zprE6,17&amp;a=APT:ABYG:JGC&amp;b=A1:B1&amp;e=RETAIL&amp;h=34&amp;i=132&amp;l=198&amp;ad=true" TargetMode="External" Id="rId35"/><Relationship Type="http://schemas.openxmlformats.org/officeDocument/2006/relationships/hyperlink" Target="https://new.land.naver.com/complexes/7717?ms=2AfAQG,3zprE6,17&amp;a=APT:ABYG:JGC&amp;b=A1:B1&amp;e=RETAIL&amp;h=34&amp;i=132&amp;l=198&amp;ad=true" TargetMode="External" Id="rId36"/><Relationship Type="http://schemas.openxmlformats.org/officeDocument/2006/relationships/hyperlink" Target="https://new.land.naver.com/complexes/103803?ms=2AfAQG,3zprE6,17&amp;a=APT:ABYG:JGC&amp;b=A1:B1&amp;e=RETAIL&amp;h=34&amp;i=132&amp;l=198&amp;ad=true" TargetMode="External" Id="rId37"/><Relationship Type="http://schemas.openxmlformats.org/officeDocument/2006/relationships/hyperlink" Target="https://new.land.naver.com/complexes/111463?ms=2AfAQG,3zprE6,17&amp;a=APT:ABYG:JGC&amp;b=A1:B1&amp;e=RETAIL&amp;h=34&amp;i=132&amp;l=198&amp;ad=true" TargetMode="External" Id="rId38"/><Relationship Type="http://schemas.openxmlformats.org/officeDocument/2006/relationships/hyperlink" Target="https://new.land.naver.com/complexes/9904?ms=2AfAQG,3zprE6,17&amp;a=APT:ABYG:JGC&amp;b=A1:B1&amp;e=RETAIL&amp;h=34&amp;i=132&amp;l=198&amp;ad=true" TargetMode="External" Id="rId39"/><Relationship Type="http://schemas.openxmlformats.org/officeDocument/2006/relationships/hyperlink" Target="https://new.land.naver.com/complexes/7888?ms=2AfAQG,3zprE6,17&amp;a=APT:ABYG:JGC&amp;b=A1:B1&amp;e=RETAIL&amp;h=34&amp;i=132&amp;l=198&amp;ad=true" TargetMode="External" Id="rId40"/><Relationship Type="http://schemas.openxmlformats.org/officeDocument/2006/relationships/hyperlink" Target="https://new.land.naver.com/complexes/7650?ms=2AfAQG,3zprE6,17&amp;a=APT:ABYG:JGC&amp;b=A1:B1&amp;e=RETAIL&amp;h=34&amp;i=132&amp;l=198&amp;ad=true" TargetMode="External" Id="rId41"/><Relationship Type="http://schemas.openxmlformats.org/officeDocument/2006/relationships/hyperlink" Target="https://new.land.naver.com/complexes/9904?ms=2AfAQG,3zprE6,17&amp;a=APT:ABYG:JGC&amp;b=A1:B1&amp;e=RETAIL&amp;h=34&amp;i=132&amp;l=198&amp;ad=true" TargetMode="External" Id="rId42"/><Relationship Type="http://schemas.openxmlformats.org/officeDocument/2006/relationships/hyperlink" Target="https://new.land.naver.com/complexes/7650?ms=2AfAQG,3zprE6,17&amp;a=APT:ABYG:JGC&amp;b=A1:B1&amp;e=RETAIL&amp;h=34&amp;i=132&amp;l=198&amp;ad=true" TargetMode="External" Id="rId43"/><Relationship Type="http://schemas.openxmlformats.org/officeDocument/2006/relationships/hyperlink" Target="https://new.land.naver.com/complexes/127133?ms=2AfAQG,3zprE6,17&amp;a=APT:ABYG:JGC&amp;b=A1:B1&amp;e=RETAIL&amp;h=34&amp;i=132&amp;l=198&amp;ad=true" TargetMode="External" Id="rId44"/><Relationship Type="http://schemas.openxmlformats.org/officeDocument/2006/relationships/hyperlink" Target="https://new.land.naver.com/complexes/109225?ms=2AfAQG,3zprE6,17&amp;a=APT:ABYG:JGC&amp;b=A1:B1&amp;e=RETAIL&amp;h=34&amp;i=132&amp;l=198&amp;ad=true" TargetMode="External" Id="rId45"/><Relationship Type="http://schemas.openxmlformats.org/officeDocument/2006/relationships/hyperlink" Target="https://new.land.naver.com/complexes/7509?ms=2AfAQG,3zprE6,17&amp;a=APT:ABYG:JGC&amp;b=A1:B1&amp;e=RETAIL&amp;h=34&amp;i=132&amp;l=198&amp;ad=true" TargetMode="External" Id="rId46"/><Relationship Type="http://schemas.openxmlformats.org/officeDocument/2006/relationships/hyperlink" Target="https://new.land.naver.com/complexes/7363?ms=2AfAQG,3zprE6,17&amp;a=APT:ABYG:JGC&amp;b=A1:B1&amp;e=RETAIL&amp;h=34&amp;i=132&amp;l=198&amp;ad=true" TargetMode="External" Id="rId47"/><Relationship Type="http://schemas.openxmlformats.org/officeDocument/2006/relationships/hyperlink" Target="https://new.land.naver.com/complexes/7888?ms=2AfAQG,3zprE6,17&amp;a=APT:ABYG:JGC&amp;b=A1:B1&amp;e=RETAIL&amp;h=34&amp;i=132&amp;l=198&amp;ad=true" TargetMode="External" Id="rId48"/><Relationship Type="http://schemas.openxmlformats.org/officeDocument/2006/relationships/hyperlink" Target="https://new.land.naver.com/complexes/9884?ms=2AfAQG,3zprE6,17&amp;a=APT:ABYG:JGC&amp;b=A1:B1&amp;e=RETAIL&amp;h=34&amp;i=132&amp;l=198&amp;ad=true" TargetMode="External" Id="rId49"/><Relationship Type="http://schemas.openxmlformats.org/officeDocument/2006/relationships/hyperlink" Target="https://new.land.naver.com/complexes/109225?ms=2AfAQG,3zprE6,17&amp;a=APT:ABYG:JGC&amp;b=A1:B1&amp;e=RETAIL&amp;h=34&amp;i=132&amp;l=198&amp;ad=true" TargetMode="External" Id="rId50"/><Relationship Type="http://schemas.openxmlformats.org/officeDocument/2006/relationships/hyperlink" Target="https://new.land.naver.com/complexes/9884?ms=2AfAQG,3zprE6,17&amp;a=APT:ABYG:JGC&amp;b=A1:B1&amp;e=RETAIL&amp;h=34&amp;i=132&amp;l=198&amp;ad=true" TargetMode="External" Id="rId51"/><Relationship Type="http://schemas.openxmlformats.org/officeDocument/2006/relationships/hyperlink" Target="https://new.land.naver.com/complexes/7881?ms=2AfAQG,3zprE6,17&amp;a=APT:ABYG:JGC&amp;b=A1:B1&amp;e=RETAIL&amp;h=34&amp;i=132&amp;l=198&amp;ad=true" TargetMode="External" Id="rId52"/><Relationship Type="http://schemas.openxmlformats.org/officeDocument/2006/relationships/hyperlink" Target="https://new.land.naver.com/complexes/7363?ms=2AfAQG,3zprE6,17&amp;a=APT:ABYG:JGC&amp;b=A1:B1&amp;e=RETAIL&amp;h=34&amp;i=132&amp;l=198&amp;ad=true" TargetMode="External" Id="rId53"/><Relationship Type="http://schemas.openxmlformats.org/officeDocument/2006/relationships/hyperlink" Target="https://new.land.naver.com/complexes/7509?ms=2AfAQG,3zprE6,17&amp;a=APT:ABYG:JGC&amp;b=A1:B1&amp;e=RETAIL&amp;h=34&amp;i=132&amp;l=198&amp;ad=true" TargetMode="External" Id="rId54"/><Relationship Type="http://schemas.openxmlformats.org/officeDocument/2006/relationships/hyperlink" Target="https://new.land.naver.com/complexes/7887?ms=2AfAQG,3zprE6,17&amp;a=APT:ABYG:JGC&amp;b=A1:B1&amp;e=RETAIL&amp;h=34&amp;i=132&amp;l=198&amp;ad=true" TargetMode="External" Id="rId55"/><Relationship Type="http://schemas.openxmlformats.org/officeDocument/2006/relationships/hyperlink" Target="https://new.land.naver.com/complexes/7878?ms=2AfAQG,3zprE6,17&amp;a=APT:ABYG:JGC&amp;b=A1:B1&amp;e=RETAIL&amp;h=34&amp;i=132&amp;l=198&amp;ad=true" TargetMode="External" Id="rId56"/><Relationship Type="http://schemas.openxmlformats.org/officeDocument/2006/relationships/hyperlink" Target="https://new.land.naver.com/complexes/7878?ms=2AfAQG,3zprE6,17&amp;a=APT:ABYG:JGC&amp;b=A1:B1&amp;e=RETAIL&amp;h=34&amp;i=132&amp;l=198&amp;ad=true" TargetMode="External" Id="rId57"/><Relationship Type="http://schemas.openxmlformats.org/officeDocument/2006/relationships/hyperlink" Target="https://new.land.naver.com/complexes/7878?ms=2AfAQG,3zprE6,17&amp;a=APT:ABYG:JGC&amp;b=A1:B1&amp;e=RETAIL&amp;h=34&amp;i=132&amp;l=198&amp;ad=true" TargetMode="External" Id="rId58"/><Relationship Type="http://schemas.openxmlformats.org/officeDocument/2006/relationships/hyperlink" Target="https://new.land.naver.com/complexes/104037?ms=2AfAQG,3zprE6,17&amp;a=APT:ABYG:JGC&amp;b=A1:B1&amp;e=RETAIL&amp;h=34&amp;i=132&amp;l=198&amp;ad=true" TargetMode="External" Id="rId59"/><Relationship Type="http://schemas.openxmlformats.org/officeDocument/2006/relationships/hyperlink" Target="https://new.land.naver.com/complexes/14059?ms=2AfAQG,3zprE6,17&amp;a=APT:ABYG:JGC&amp;b=A1:B1&amp;e=RETAIL&amp;h=34&amp;i=132&amp;l=198&amp;ad=true" TargetMode="External" Id="rId60"/><Relationship Type="http://schemas.openxmlformats.org/officeDocument/2006/relationships/hyperlink" Target="https://new.land.naver.com/complexes/14059?ms=2AfAQG,3zprE6,17&amp;a=APT:ABYG:JGC&amp;b=A1:B1&amp;e=RETAIL&amp;h=34&amp;i=132&amp;l=198&amp;ad=true" TargetMode="External" Id="rId61"/><Relationship Type="http://schemas.openxmlformats.org/officeDocument/2006/relationships/hyperlink" Target="https://new.land.naver.com/complexes/14059?ms=2AfAQG,3zprE6,17&amp;a=APT:ABYG:JGC&amp;b=A1:B1&amp;e=RETAIL&amp;h=34&amp;i=132&amp;l=198&amp;ad=true" TargetMode="External" Id="rId62"/><Relationship Type="http://schemas.openxmlformats.org/officeDocument/2006/relationships/hyperlink" Target="https://new.land.naver.com/complexes/19136?ms=2AfAQG,3zprE6,17&amp;a=APT:ABYG:JGC&amp;b=A1:B1&amp;e=RETAIL&amp;h=34&amp;i=132&amp;l=198&amp;ad=true" TargetMode="External" Id="rId63"/><Relationship Type="http://schemas.openxmlformats.org/officeDocument/2006/relationships/hyperlink" Target="https://new.land.naver.com/complexes/19136?ms=2AfAQG,3zprE6,17&amp;a=APT:ABYG:JGC&amp;b=A1:B1&amp;e=RETAIL&amp;h=34&amp;i=132&amp;l=198&amp;ad=true" TargetMode="External" Id="rId64"/><Relationship Type="http://schemas.openxmlformats.org/officeDocument/2006/relationships/hyperlink" Target="https://new.land.naver.com/complexes/19136?ms=2AfAQG,3zprE6,17&amp;a=APT:ABYG:JGC&amp;b=A1:B1&amp;e=RETAIL&amp;h=34&amp;i=132&amp;l=198&amp;ad=true" TargetMode="External" Id="rId65"/><Relationship Type="http://schemas.openxmlformats.org/officeDocument/2006/relationships/hyperlink" Target="https://new.land.naver.com/complexes/19136?ms=2AfAQG,3zprE6,17&amp;a=APT:ABYG:JGC&amp;b=A1:B1&amp;e=RETAIL&amp;h=34&amp;i=132&amp;l=198&amp;ad=true" TargetMode="External" Id="rId66"/><Relationship Type="http://schemas.openxmlformats.org/officeDocument/2006/relationships/hyperlink" Target="https://new.land.naver.com/complexes/119208?ms=2AfAQG,3zprE6,17&amp;a=APT:ABYG:JGC&amp;b=A1:B1&amp;e=RETAIL&amp;h=34&amp;i=132&amp;l=198&amp;ad=true" TargetMode="External" Id="rId67"/><Relationship Type="http://schemas.openxmlformats.org/officeDocument/2006/relationships/hyperlink" Target="https://new.land.naver.com/complexes/7363?ms=2AfAQG,3zprE6,17&amp;a=APT:ABYG:JGC&amp;b=A1:B1&amp;e=RETAIL&amp;h=34&amp;i=132&amp;l=198&amp;ad=true" TargetMode="External" Id="rId68"/><Relationship Type="http://schemas.openxmlformats.org/officeDocument/2006/relationships/hyperlink" Target="https://new.land.naver.com/complexes/104037?ms=2AfAQG,3zprE6,17&amp;a=APT:ABYG:JGC&amp;b=A1:B1&amp;e=RETAIL&amp;h=34&amp;i=132&amp;l=198&amp;ad=true" TargetMode="External" Id="rId69"/><Relationship Type="http://schemas.openxmlformats.org/officeDocument/2006/relationships/hyperlink" Target="https://new.land.naver.com/complexes/104037?ms=2AfAQG,3zprE6,17&amp;a=APT:ABYG:JGC&amp;b=A1:B1&amp;e=RETAIL&amp;h=34&amp;i=132&amp;l=198&amp;ad=true" TargetMode="External" Id="rId70"/><Relationship Type="http://schemas.openxmlformats.org/officeDocument/2006/relationships/hyperlink" Target="https://new.land.naver.com/complexes/104037?ms=2AfAQG,3zprE6,17&amp;a=APT:ABYG:JGC&amp;b=A1:B1&amp;e=RETAIL&amp;h=34&amp;i=132&amp;l=198&amp;ad=true" TargetMode="External" Id="rId71"/><Relationship Type="http://schemas.openxmlformats.org/officeDocument/2006/relationships/hyperlink" Target="https://new.land.naver.com/complexes/104037?ms=2AfAQG,3zprE6,17&amp;a=APT:ABYG:JGC&amp;b=A1:B1&amp;e=RETAIL&amp;h=34&amp;i=132&amp;l=198&amp;ad=true" TargetMode="External" Id="rId72"/><Relationship Type="http://schemas.openxmlformats.org/officeDocument/2006/relationships/hyperlink" Target="https://new.land.naver.com/complexes/104037?ms=2AfAQG,3zprE6,17&amp;a=APT:ABYG:JGC&amp;b=A1:B1&amp;e=RETAIL&amp;h=34&amp;i=132&amp;l=198&amp;ad=true" TargetMode="External" Id="rId73"/><Relationship Type="http://schemas.openxmlformats.org/officeDocument/2006/relationships/hyperlink" Target="https://new.land.naver.com/complexes/7509?ms=2AfAQG,3zprE6,17&amp;a=APT:ABYG:JGC&amp;b=A1:B1&amp;e=RETAIL&amp;h=34&amp;i=132&amp;l=198&amp;ad=true" TargetMode="External" Id="rId74"/><Relationship Type="http://schemas.openxmlformats.org/officeDocument/2006/relationships/hyperlink" Target="https://new.land.naver.com/complexes/114752?ms=2AfAQG,3zprE6,17&amp;a=APT:ABYG:JGC&amp;b=A1:B1&amp;e=RETAIL&amp;h=34&amp;i=132&amp;l=198&amp;ad=true" TargetMode="External" Id="rId75"/><Relationship Type="http://schemas.openxmlformats.org/officeDocument/2006/relationships/hyperlink" Target="https://new.land.naver.com/complexes/7650?ms=2AfAQG,3zprE6,17&amp;a=APT:ABYG:JGC&amp;b=A1:B1&amp;e=RETAIL&amp;h=34&amp;i=132&amp;l=198&amp;ad=true" TargetMode="External" Id="rId76"/><Relationship Type="http://schemas.openxmlformats.org/officeDocument/2006/relationships/hyperlink" Target="https://new.land.naver.com/complexes/7650?ms=2AfAQG,3zprE6,17&amp;a=APT:ABYG:JGC&amp;b=A1:B1&amp;e=RETAIL&amp;h=34&amp;i=132&amp;l=198&amp;ad=true" TargetMode="External" Id="rId77"/><Relationship Type="http://schemas.openxmlformats.org/officeDocument/2006/relationships/hyperlink" Target="https://new.land.naver.com/complexes/7650?ms=2AfAQG,3zprE6,17&amp;a=APT:ABYG:JGC&amp;b=A1:B1&amp;e=RETAIL&amp;h=34&amp;i=132&amp;l=198&amp;ad=true" TargetMode="External" Id="rId78"/><Relationship Type="http://schemas.openxmlformats.org/officeDocument/2006/relationships/hyperlink" Target="https://new.land.naver.com/complexes/154302?ms=2AfAQG,3zprE6,17&amp;a=APT:ABYG:JGC&amp;b=A1:B1&amp;e=RETAIL&amp;h=34&amp;i=132&amp;l=198&amp;ad=true" TargetMode="External" Id="rId79"/><Relationship Type="http://schemas.openxmlformats.org/officeDocument/2006/relationships/hyperlink" Target="https://new.land.naver.com/complexes/154302?ms=2AfAQG,3zprE6,17&amp;a=APT:ABYG:JGC&amp;b=A1:B1&amp;e=RETAIL&amp;h=34&amp;i=132&amp;l=198&amp;ad=true" TargetMode="External" Id="rId80"/><Relationship Type="http://schemas.openxmlformats.org/officeDocument/2006/relationships/hyperlink" Target="https://new.land.naver.com/complexes/154302?ms=2AfAQG,3zprE6,17&amp;a=APT:ABYG:JGC&amp;b=A1:B1&amp;e=RETAIL&amp;h=34&amp;i=132&amp;l=198&amp;ad=true" TargetMode="External" Id="rId81"/><Relationship Type="http://schemas.openxmlformats.org/officeDocument/2006/relationships/hyperlink" Target="https://new.land.naver.com/complexes/154302?ms=2AfAQG,3zprE6,17&amp;a=APT:ABYG:JGC&amp;b=A1:B1&amp;e=RETAIL&amp;h=34&amp;i=132&amp;l=198&amp;ad=true" TargetMode="External" Id="rId82"/><Relationship Type="http://schemas.openxmlformats.org/officeDocument/2006/relationships/hyperlink" Target="https://new.land.naver.com/complexes/154302?ms=2AfAQG,3zprE6,17&amp;a=APT:ABYG:JGC&amp;b=A1:B1&amp;e=RETAIL&amp;h=34&amp;i=132&amp;l=198&amp;ad=true" TargetMode="External" Id="rId83"/><Relationship Type="http://schemas.openxmlformats.org/officeDocument/2006/relationships/hyperlink" Target="https://new.land.naver.com/complexes/154302?ms=2AfAQG,3zprE6,17&amp;a=APT:ABYG:JGC&amp;b=A1:B1&amp;e=RETAIL&amp;h=34&amp;i=132&amp;l=198&amp;ad=true" TargetMode="External" Id="rId84"/><Relationship Type="http://schemas.openxmlformats.org/officeDocument/2006/relationships/hyperlink" Target="https://new.land.naver.com/complexes/24896?ms=2AfAQG,3zprE6,17&amp;a=APT:ABYG:JGC&amp;b=A1:B1&amp;e=RETAIL&amp;h=34&amp;i=132&amp;l=198&amp;ad=true" TargetMode="External" Id="rId85"/><Relationship Type="http://schemas.openxmlformats.org/officeDocument/2006/relationships/hyperlink" Target="https://new.land.naver.com/complexes/24896?ms=2AfAQG,3zprE6,17&amp;a=APT:ABYG:JGC&amp;b=A1:B1&amp;e=RETAIL&amp;h=34&amp;i=132&amp;l=198&amp;ad=true" TargetMode="External" Id="rId86"/><Relationship Type="http://schemas.openxmlformats.org/officeDocument/2006/relationships/hyperlink" Target="https://new.land.naver.com/complexes/24896?ms=2AfAQG,3zprE6,17&amp;a=APT:ABYG:JGC&amp;b=A1:B1&amp;e=RETAIL&amp;h=34&amp;i=132&amp;l=198&amp;ad=true" TargetMode="External" Id="rId87"/><Relationship Type="http://schemas.openxmlformats.org/officeDocument/2006/relationships/hyperlink" Target="https://new.land.naver.com/complexes/24896?ms=2AfAQG,3zprE6,17&amp;a=APT:ABYG:JGC&amp;b=A1:B1&amp;e=RETAIL&amp;h=34&amp;i=132&amp;l=198&amp;ad=true" TargetMode="External" Id="rId88"/><Relationship Type="http://schemas.openxmlformats.org/officeDocument/2006/relationships/hyperlink" Target="https://new.land.naver.com/complexes/24896?ms=2AfAQG,3zprE6,17&amp;a=APT:ABYG:JGC&amp;b=A1:B1&amp;e=RETAIL&amp;h=34&amp;i=132&amp;l=198&amp;ad=true" TargetMode="External" Id="rId89"/><Relationship Type="http://schemas.openxmlformats.org/officeDocument/2006/relationships/hyperlink" Target="https://new.land.naver.com/complexes/24896?ms=2AfAQG,3zprE6,17&amp;a=APT:ABYG:JGC&amp;b=A1:B1&amp;e=RETAIL&amp;h=34&amp;i=132&amp;l=198&amp;ad=true" TargetMode="External" Id="rId90"/><Relationship Type="http://schemas.openxmlformats.org/officeDocument/2006/relationships/hyperlink" Target="https://new.land.naver.com/complexes/24896?ms=2AfAQG,3zprE6,17&amp;a=APT:ABYG:JGC&amp;b=A1:B1&amp;e=RETAIL&amp;h=34&amp;i=132&amp;l=198&amp;ad=true" TargetMode="External" Id="rId91"/><Relationship Type="http://schemas.openxmlformats.org/officeDocument/2006/relationships/hyperlink" Target="https://new.land.naver.com/complexes/24896?ms=2AfAQG,3zprE6,17&amp;a=APT:ABYG:JGC&amp;b=A1:B1&amp;e=RETAIL&amp;h=34&amp;i=132&amp;l=198&amp;ad=true" TargetMode="External" Id="rId92"/><Relationship Type="http://schemas.openxmlformats.org/officeDocument/2006/relationships/hyperlink" Target="https://new.land.naver.com/complexes/24896?ms=2AfAQG,3zprE6,17&amp;a=APT:ABYG:JGC&amp;b=A1:B1&amp;e=RETAIL&amp;h=34&amp;i=132&amp;l=198&amp;ad=true" TargetMode="External" Id="rId93"/><Relationship Type="http://schemas.openxmlformats.org/officeDocument/2006/relationships/hyperlink" Target="https://new.land.naver.com/complexes/7717?ms=2AfAQG,3zprE6,17&amp;a=APT:ABYG:JGC&amp;b=A1:B1&amp;e=RETAIL&amp;h=34&amp;i=132&amp;l=198&amp;ad=true" TargetMode="External" Id="rId94"/><Relationship Type="http://schemas.openxmlformats.org/officeDocument/2006/relationships/hyperlink" Target="https://new.land.naver.com/complexes/7717?ms=2AfAQG,3zprE6,17&amp;a=APT:ABYG:JGC&amp;b=A1:B1&amp;e=RETAIL&amp;h=34&amp;i=132&amp;l=198&amp;ad=true" TargetMode="External" Id="rId95"/><Relationship Type="http://schemas.openxmlformats.org/officeDocument/2006/relationships/hyperlink" Target="https://new.land.naver.com/complexes/7717?ms=2AfAQG,3zprE6,17&amp;a=APT:ABYG:JGC&amp;b=A1:B1&amp;e=RETAIL&amp;h=34&amp;i=132&amp;l=198&amp;ad=true" TargetMode="External" Id="rId96"/><Relationship Type="http://schemas.openxmlformats.org/officeDocument/2006/relationships/hyperlink" Target="https://new.land.naver.com/complexes/7717?ms=2AfAQG,3zprE6,17&amp;a=APT:ABYG:JGC&amp;b=A1:B1&amp;e=RETAIL&amp;h=34&amp;i=132&amp;l=198&amp;ad=true" TargetMode="External" Id="rId97"/><Relationship Type="http://schemas.openxmlformats.org/officeDocument/2006/relationships/hyperlink" Target="https://new.land.naver.com/complexes/7717?ms=2AfAQG,3zprE6,17&amp;a=APT:ABYG:JGC&amp;b=A1:B1&amp;e=RETAIL&amp;h=34&amp;i=132&amp;l=198&amp;ad=true" TargetMode="External" Id="rId98"/><Relationship Type="http://schemas.openxmlformats.org/officeDocument/2006/relationships/hyperlink" Target="https://new.land.naver.com/complexes/127133?ms=2AfAQG,3zprE6,17&amp;a=APT:ABYG:JGC&amp;b=A1:B1&amp;e=RETAIL&amp;h=34&amp;i=132&amp;l=198&amp;ad=true" TargetMode="External" Id="rId99"/><Relationship Type="http://schemas.openxmlformats.org/officeDocument/2006/relationships/hyperlink" Target="https://new.land.naver.com/complexes/127133?ms=2AfAQG,3zprE6,17&amp;a=APT:ABYG:JGC&amp;b=A1:B1&amp;e=RETAIL&amp;h=34&amp;i=132&amp;l=198&amp;ad=true" TargetMode="External" Id="rId100"/><Relationship Type="http://schemas.openxmlformats.org/officeDocument/2006/relationships/hyperlink" Target="https://new.land.naver.com/complexes/127133?ms=2AfAQG,3zprE6,17&amp;a=APT:ABYG:JGC&amp;b=A1:B1&amp;e=RETAIL&amp;h=34&amp;i=132&amp;l=198&amp;ad=true" TargetMode="External" Id="rId101"/><Relationship Type="http://schemas.openxmlformats.org/officeDocument/2006/relationships/hyperlink" Target="https://new.land.naver.com/complexes/7770?ms=2AfAQG,3zprE6,17&amp;a=APT:ABYG:JGC&amp;b=A1:B1&amp;e=RETAIL&amp;h=34&amp;i=132&amp;l=198&amp;ad=true" TargetMode="External" Id="rId102"/><Relationship Type="http://schemas.openxmlformats.org/officeDocument/2006/relationships/hyperlink" Target="https://new.land.naver.com/complexes/7770?ms=2AfAQG,3zprE6,17&amp;a=APT:ABYG:JGC&amp;b=A1:B1&amp;e=RETAIL&amp;h=34&amp;i=132&amp;l=198&amp;ad=true" TargetMode="External" Id="rId103"/><Relationship Type="http://schemas.openxmlformats.org/officeDocument/2006/relationships/hyperlink" Target="https://new.land.naver.com/complexes/7770?ms=2AfAQG,3zprE6,17&amp;a=APT:ABYG:JGC&amp;b=A1:B1&amp;e=RETAIL&amp;h=34&amp;i=132&amp;l=198&amp;ad=true" TargetMode="External" Id="rId104"/><Relationship Type="http://schemas.openxmlformats.org/officeDocument/2006/relationships/hyperlink" Target="https://new.land.naver.com/complexes/7770?ms=2AfAQG,3zprE6,17&amp;a=APT:ABYG:JGC&amp;b=A1:B1&amp;e=RETAIL&amp;h=34&amp;i=132&amp;l=198&amp;ad=true" TargetMode="External" Id="rId105"/><Relationship Type="http://schemas.openxmlformats.org/officeDocument/2006/relationships/hyperlink" Target="https://new.land.naver.com/complexes/19305?ms=2AfAQG,3zprE6,17&amp;a=APT:ABYG:JGC&amp;b=A1:B1&amp;e=RETAIL&amp;h=34&amp;i=132&amp;l=198&amp;ad=true" TargetMode="External" Id="rId106"/><Relationship Type="http://schemas.openxmlformats.org/officeDocument/2006/relationships/hyperlink" Target="https://new.land.naver.com/complexes/19305?ms=2AfAQG,3zprE6,17&amp;a=APT:ABYG:JGC&amp;b=A1:B1&amp;e=RETAIL&amp;h=34&amp;i=132&amp;l=198&amp;ad=true" TargetMode="External" Id="rId107"/><Relationship Type="http://schemas.openxmlformats.org/officeDocument/2006/relationships/hyperlink" Target="https://new.land.naver.com/complexes/19305?ms=2AfAQG,3zprE6,17&amp;a=APT:ABYG:JGC&amp;b=A1:B1&amp;e=RETAIL&amp;h=34&amp;i=132&amp;l=198&amp;ad=true" TargetMode="External" Id="rId108"/><Relationship Type="http://schemas.openxmlformats.org/officeDocument/2006/relationships/hyperlink" Target="https://new.land.naver.com/complexes/19305?ms=2AfAQG,3zprE6,17&amp;a=APT:ABYG:JGC&amp;b=A1:B1&amp;e=RETAIL&amp;h=34&amp;i=132&amp;l=198&amp;ad=true" TargetMode="External" Id="rId109"/><Relationship Type="http://schemas.openxmlformats.org/officeDocument/2006/relationships/hyperlink" Target="https://new.land.naver.com/complexes/19305?ms=2AfAQG,3zprE6,17&amp;a=APT:ABYG:JGC&amp;b=A1:B1&amp;e=RETAIL&amp;h=34&amp;i=132&amp;l=198&amp;ad=true" TargetMode="External" Id="rId110"/><Relationship Type="http://schemas.openxmlformats.org/officeDocument/2006/relationships/hyperlink" Target="https://new.land.naver.com/complexes/19305?ms=2AfAQG,3zprE6,17&amp;a=APT:ABYG:JGC&amp;b=A1:B1&amp;e=RETAIL&amp;h=34&amp;i=132&amp;l=198&amp;ad=true" TargetMode="External" Id="rId111"/><Relationship Type="http://schemas.openxmlformats.org/officeDocument/2006/relationships/hyperlink" Target="https://new.land.naver.com/complexes/7878?ms=2AfAQG,3zprE6,17&amp;a=APT:ABYG:JGC&amp;b=A1:B1&amp;e=RETAIL&amp;h=34&amp;i=132&amp;l=198&amp;ad=true" TargetMode="External" Id="rId112"/><Relationship Type="http://schemas.openxmlformats.org/officeDocument/2006/relationships/hyperlink" Target="https://new.land.naver.com/complexes/7878?ms=2AfAQG,3zprE6,17&amp;a=APT:ABYG:JGC&amp;b=A1:B1&amp;e=RETAIL&amp;h=34&amp;i=132&amp;l=198&amp;ad=true" TargetMode="External" Id="rId113"/><Relationship Type="http://schemas.openxmlformats.org/officeDocument/2006/relationships/hyperlink" Target="https://new.land.naver.com/complexes/7878?ms=2AfAQG,3zprE6,17&amp;a=APT:ABYG:JGC&amp;b=A1:B1&amp;e=RETAIL&amp;h=34&amp;i=132&amp;l=198&amp;ad=true" TargetMode="External" Id="rId114"/><Relationship Type="http://schemas.openxmlformats.org/officeDocument/2006/relationships/hyperlink" Target="https://new.land.naver.com/complexes/109225?ms=2AfAQG,3zprE6,17&amp;a=APT:ABYG:JGC&amp;b=A1:B1&amp;e=RETAIL&amp;h=34&amp;i=132&amp;l=198&amp;ad=true" TargetMode="External" Id="rId115"/><Relationship Type="http://schemas.openxmlformats.org/officeDocument/2006/relationships/hyperlink" Target="https://new.land.naver.com/complexes/7881?ms=2AfAQG,3zprE6,17&amp;a=APT:ABYG:JGC&amp;b=A1:B1&amp;e=RETAIL&amp;h=34&amp;i=132&amp;l=198&amp;ad=true" TargetMode="External" Id="rId116"/><Relationship Type="http://schemas.openxmlformats.org/officeDocument/2006/relationships/hyperlink" Target="https://new.land.naver.com/complexes/7881?ms=2AfAQG,3zprE6,17&amp;a=APT:ABYG:JGC&amp;b=A1:B1&amp;e=RETAIL&amp;h=34&amp;i=132&amp;l=198&amp;ad=true" TargetMode="External" Id="rId117"/><Relationship Type="http://schemas.openxmlformats.org/officeDocument/2006/relationships/hyperlink" Target="https://new.land.naver.com/complexes/7881?ms=2AfAQG,3zprE6,17&amp;a=APT:ABYG:JGC&amp;b=A1:B1&amp;e=RETAIL&amp;h=34&amp;i=132&amp;l=198&amp;ad=true" TargetMode="External" Id="rId118"/><Relationship Type="http://schemas.openxmlformats.org/officeDocument/2006/relationships/hyperlink" Target="https://new.land.naver.com/complexes/7881?ms=2AfAQG,3zprE6,17&amp;a=APT:ABYG:JGC&amp;b=A1:B1&amp;e=RETAIL&amp;h=34&amp;i=132&amp;l=198&amp;ad=true" TargetMode="External" Id="rId119"/><Relationship Type="http://schemas.openxmlformats.org/officeDocument/2006/relationships/hyperlink" Target="https://new.land.naver.com/complexes/7881?ms=2AfAQG,3zprE6,17&amp;a=APT:ABYG:JGC&amp;b=A1:B1&amp;e=RETAIL&amp;h=34&amp;i=132&amp;l=198&amp;ad=true" TargetMode="External" Id="rId120"/><Relationship Type="http://schemas.openxmlformats.org/officeDocument/2006/relationships/hyperlink" Target="https://new.land.naver.com/complexes/9885?ms=2AfAQG,3zprE6,17&amp;a=APT:ABYG:JGC&amp;b=A1:B1&amp;e=RETAIL&amp;h=34&amp;i=132&amp;l=198&amp;ad=true" TargetMode="External" Id="rId121"/><Relationship Type="http://schemas.openxmlformats.org/officeDocument/2006/relationships/hyperlink" Target="https://new.land.naver.com/complexes/11005?ms=2AfAQG,3zprE6,17&amp;a=APT:ABYG:JGC&amp;b=A1:B1&amp;e=RETAIL&amp;h=34&amp;i=132&amp;l=198&amp;ad=true" TargetMode="External" Id="rId122"/><Relationship Type="http://schemas.openxmlformats.org/officeDocument/2006/relationships/hyperlink" Target="https://new.land.naver.com/complexes/7887?ms=2AfAQG,3zprE6,17&amp;a=APT:ABYG:JGC&amp;b=A1:B1&amp;e=RETAIL&amp;h=34&amp;i=132&amp;l=198&amp;ad=true" TargetMode="External" Id="rId123"/><Relationship Type="http://schemas.openxmlformats.org/officeDocument/2006/relationships/hyperlink" Target="https://new.land.naver.com/complexes/7887?ms=2AfAQG,3zprE6,17&amp;a=APT:ABYG:JGC&amp;b=A1:B1&amp;e=RETAIL&amp;h=34&amp;i=132&amp;l=198&amp;ad=true" TargetMode="External" Id="rId124"/><Relationship Type="http://schemas.openxmlformats.org/officeDocument/2006/relationships/hyperlink" Target="https://new.land.naver.com/complexes/117979?ms=2AfAQG,3zprE6,17&amp;a=APT:ABYG:JGC&amp;b=A1:B1&amp;e=RETAIL&amp;h=34&amp;i=132&amp;l=198&amp;ad=true" TargetMode="External" Id="rId125"/><Relationship Type="http://schemas.openxmlformats.org/officeDocument/2006/relationships/hyperlink" Target="https://new.land.naver.com/complexes/117979?ms=2AfAQG,3zprE6,17&amp;a=APT:ABYG:JGC&amp;b=A1:B1&amp;e=RETAIL&amp;h=34&amp;i=132&amp;l=198&amp;ad=true" TargetMode="External" Id="rId126"/><Relationship Type="http://schemas.openxmlformats.org/officeDocument/2006/relationships/hyperlink" Target="https://new.land.naver.com/complexes/117979?ms=2AfAQG,3zprE6,17&amp;a=APT:ABYG:JGC&amp;b=A1:B1&amp;e=RETAIL&amp;h=34&amp;i=132&amp;l=198&amp;ad=true" TargetMode="External" Id="rId127"/><Relationship Type="http://schemas.openxmlformats.org/officeDocument/2006/relationships/hyperlink" Target="https://new.land.naver.com/complexes/117979?ms=2AfAQG,3zprE6,17&amp;a=APT:ABYG:JGC&amp;b=A1:B1&amp;e=RETAIL&amp;h=34&amp;i=132&amp;l=198&amp;ad=true" TargetMode="External" Id="rId128"/><Relationship Type="http://schemas.openxmlformats.org/officeDocument/2006/relationships/hyperlink" Target="https://new.land.naver.com/complexes/117980?ms=2AfAQG,3zprE6,17&amp;a=APT:ABYG:JGC&amp;b=A1:B1&amp;e=RETAIL&amp;h=34&amp;i=132&amp;l=198&amp;ad=true" TargetMode="External" Id="rId129"/><Relationship Type="http://schemas.openxmlformats.org/officeDocument/2006/relationships/hyperlink" Target="https://new.land.naver.com/complexes/117980?ms=2AfAQG,3zprE6,17&amp;a=APT:ABYG:JGC&amp;b=A1:B1&amp;e=RETAIL&amp;h=34&amp;i=132&amp;l=198&amp;ad=true" TargetMode="External" Id="rId130"/><Relationship Type="http://schemas.openxmlformats.org/officeDocument/2006/relationships/hyperlink" Target="https://new.land.naver.com/complexes/117980?ms=2AfAQG,3zprE6,17&amp;a=APT:ABYG:JGC&amp;b=A1:B1&amp;e=RETAIL&amp;h=34&amp;i=132&amp;l=198&amp;ad=true" TargetMode="External" Id="rId131"/><Relationship Type="http://schemas.openxmlformats.org/officeDocument/2006/relationships/hyperlink" Target="https://new.land.naver.com/complexes/117980?ms=2AfAQG,3zprE6,17&amp;a=APT:ABYG:JGC&amp;b=A1:B1&amp;e=RETAIL&amp;h=34&amp;i=132&amp;l=198&amp;ad=true" TargetMode="External" Id="rId132"/><Relationship Type="http://schemas.openxmlformats.org/officeDocument/2006/relationships/hyperlink" Target="https://new.land.naver.com/complexes/11792?ms=2AfAQG,3zprE6,17&amp;a=APT:ABYG:JGC&amp;b=A1:B1&amp;e=RETAIL&amp;h=34&amp;i=132&amp;l=198&amp;ad=true" TargetMode="External" Id="rId133"/><Relationship Type="http://schemas.openxmlformats.org/officeDocument/2006/relationships/hyperlink" Target="https://new.land.naver.com/complexes/11792?ms=2AfAQG,3zprE6,17&amp;a=APT:ABYG:JGC&amp;b=A1:B1&amp;e=RETAIL&amp;h=34&amp;i=132&amp;l=198&amp;ad=true" TargetMode="External" Id="rId134"/><Relationship Type="http://schemas.openxmlformats.org/officeDocument/2006/relationships/hyperlink" Target="https://new.land.naver.com/complexes/11792?ms=2AfAQG,3zprE6,17&amp;a=APT:ABYG:JGC&amp;b=A1:B1&amp;e=RETAIL&amp;h=34&amp;i=132&amp;l=198&amp;ad=true" TargetMode="External" Id="rId135"/><Relationship Type="http://schemas.openxmlformats.org/officeDocument/2006/relationships/hyperlink" Target="https://new.land.naver.com/complexes/103401?ms=2AfAQG,3zprE6,17&amp;a=APT:ABYG:JGC&amp;b=A1:B1&amp;e=RETAIL&amp;h=34&amp;i=132&amp;l=198&amp;ad=true" TargetMode="External" Id="rId136"/><Relationship Type="http://schemas.openxmlformats.org/officeDocument/2006/relationships/hyperlink" Target="https://new.land.naver.com/complexes/103401?ms=2AfAQG,3zprE6,17&amp;a=APT:ABYG:JGC&amp;b=A1:B1&amp;e=RETAIL&amp;h=34&amp;i=132&amp;l=198&amp;ad=true" TargetMode="External" Id="rId137"/><Relationship Type="http://schemas.openxmlformats.org/officeDocument/2006/relationships/hyperlink" Target="https://new.land.naver.com/complexes/103401?ms=2AfAQG,3zprE6,17&amp;a=APT:ABYG:JGC&amp;b=A1:B1&amp;e=RETAIL&amp;h=34&amp;i=132&amp;l=198&amp;ad=true" TargetMode="External" Id="rId138"/><Relationship Type="http://schemas.openxmlformats.org/officeDocument/2006/relationships/hyperlink" Target="https://new.land.naver.com/complexes/103401?ms=2AfAQG,3zprE6,17&amp;a=APT:ABYG:JGC&amp;b=A1:B1&amp;e=RETAIL&amp;h=34&amp;i=132&amp;l=198&amp;ad=true" TargetMode="External" Id="rId139"/><Relationship Type="http://schemas.openxmlformats.org/officeDocument/2006/relationships/hyperlink" Target="https://new.land.naver.com/complexes/108274?ms=2AfAQG,3zprE6,17&amp;a=APT:ABYG:JGC&amp;b=A1:B1&amp;e=RETAIL&amp;h=34&amp;i=132&amp;l=198&amp;ad=true" TargetMode="External" Id="rId140"/><Relationship Type="http://schemas.openxmlformats.org/officeDocument/2006/relationships/hyperlink" Target="https://new.land.naver.com/complexes/108274?ms=2AfAQG,3zprE6,17&amp;a=APT:ABYG:JGC&amp;b=A1:B1&amp;e=RETAIL&amp;h=34&amp;i=132&amp;l=198&amp;ad=true" TargetMode="External" Id="rId141"/><Relationship Type="http://schemas.openxmlformats.org/officeDocument/2006/relationships/hyperlink" Target="https://new.land.naver.com/complexes/106850?ms=2AfAQG,3zprE6,17&amp;a=APT:ABYG:JGC&amp;b=A1:B1&amp;e=RETAIL&amp;h=34&amp;i=132&amp;l=198&amp;ad=true" TargetMode="External" Id="rId142"/><Relationship Type="http://schemas.openxmlformats.org/officeDocument/2006/relationships/hyperlink" Target="https://new.land.naver.com/complexes/9904?ms=2AfAQG,3zprE6,17&amp;a=APT:ABYG:JGC&amp;b=A1:B1&amp;e=RETAIL&amp;h=34&amp;i=132&amp;l=198&amp;ad=true" TargetMode="External" Id="rId143"/><Relationship Type="http://schemas.openxmlformats.org/officeDocument/2006/relationships/hyperlink" Target="https://new.land.naver.com/complexes/9904?ms=2AfAQG,3zprE6,17&amp;a=APT:ABYG:JGC&amp;b=A1:B1&amp;e=RETAIL&amp;h=34&amp;i=132&amp;l=198&amp;ad=true" TargetMode="External" Id="rId144"/><Relationship Type="http://schemas.openxmlformats.org/officeDocument/2006/relationships/hyperlink" Target="https://new.land.naver.com/complexes/9904?ms=2AfAQG,3zprE6,17&amp;a=APT:ABYG:JGC&amp;b=A1:B1&amp;e=RETAIL&amp;h=34&amp;i=132&amp;l=198&amp;ad=true" TargetMode="External" Id="rId145"/><Relationship Type="http://schemas.openxmlformats.org/officeDocument/2006/relationships/hyperlink" Target="https://new.land.naver.com/complexes/9904?ms=2AfAQG,3zprE6,17&amp;a=APT:ABYG:JGC&amp;b=A1:B1&amp;e=RETAIL&amp;h=34&amp;i=132&amp;l=198&amp;ad=true" TargetMode="External" Id="rId146"/><Relationship Type="http://schemas.openxmlformats.org/officeDocument/2006/relationships/hyperlink" Target="https://new.land.naver.com/complexes/7888?ms=2AfAQG,3zprE6,17&amp;a=APT:ABYG:JGC&amp;b=A1:B1&amp;e=RETAIL&amp;h=34&amp;i=132&amp;l=198&amp;ad=true" TargetMode="External" Id="rId147"/><Relationship Type="http://schemas.openxmlformats.org/officeDocument/2006/relationships/hyperlink" Target="https://new.land.naver.com/complexes/10383?ms=2AfAQG,3zprE6,17&amp;a=APT:ABYG:JGC&amp;b=A1:B1&amp;e=RETAIL&amp;h=34&amp;i=132&amp;l=198&amp;ad=true" TargetMode="External" Id="rId148"/><Relationship Type="http://schemas.openxmlformats.org/officeDocument/2006/relationships/hyperlink" Target="https://new.land.naver.com/complexes/10383?ms=2AfAQG,3zprE6,17&amp;a=APT:ABYG:JGC&amp;b=A1:B1&amp;e=RETAIL&amp;h=34&amp;i=132&amp;l=198&amp;ad=true" TargetMode="External" Id="rId149"/><Relationship Type="http://schemas.openxmlformats.org/officeDocument/2006/relationships/hyperlink" Target="https://new.land.naver.com/complexes/10383?ms=2AfAQG,3zprE6,17&amp;a=APT:ABYG:JGC&amp;b=A1:B1&amp;e=RETAIL&amp;h=34&amp;i=132&amp;l=198&amp;ad=true" TargetMode="External" Id="rId150"/><Relationship Type="http://schemas.openxmlformats.org/officeDocument/2006/relationships/hyperlink" Target="https://new.land.naver.com/complexes/7914?ms=2AfAQG,3zprE6,17&amp;a=APT:ABYG:JGC&amp;b=A1:B1&amp;e=RETAIL&amp;h=34&amp;i=132&amp;l=198&amp;ad=true" TargetMode="External" Id="rId151"/><Relationship Type="http://schemas.openxmlformats.org/officeDocument/2006/relationships/hyperlink" Target="https://new.land.naver.com/complexes/7914?ms=2AfAQG,3zprE6,17&amp;a=APT:ABYG:JGC&amp;b=A1:B1&amp;e=RETAIL&amp;h=34&amp;i=132&amp;l=198&amp;ad=true" TargetMode="External" Id="rId152"/></Relationships>
</file>

<file path=xl/worksheets/_rels/sheet6.xml.rels><Relationships xmlns="http://schemas.openxmlformats.org/package/2006/relationships"><Relationship Type="http://schemas.openxmlformats.org/officeDocument/2006/relationships/hyperlink" Target="https://new.land.naver.com/complexes/16761?ms=2AfAQG,3zprE6,17&amp;a=APT:ABYG:JGC&amp;b=A1:B1&amp;e=RETAIL&amp;h=34&amp;i=132&amp;l=198&amp;ad=true" TargetMode="External" Id="rId1"/><Relationship Type="http://schemas.openxmlformats.org/officeDocument/2006/relationships/hyperlink" Target="https://new.land.naver.com/complexes/112175?ms=2AfAQG,3zprE6,17&amp;a=APT:ABYG:JGC&amp;b=A1:B1&amp;e=RETAIL&amp;h=34&amp;i=132&amp;l=198&amp;ad=true" TargetMode="External" Id="rId2"/><Relationship Type="http://schemas.openxmlformats.org/officeDocument/2006/relationships/hyperlink" Target="https://new.land.naver.com/complexes/112175?ms=2AfAQG,3zprE6,17&amp;a=APT:ABYG:JGC&amp;b=A1:B1&amp;e=RETAIL&amp;h=34&amp;i=132&amp;l=198&amp;ad=true" TargetMode="External" Id="rId3"/><Relationship Type="http://schemas.openxmlformats.org/officeDocument/2006/relationships/hyperlink" Target="https://new.land.naver.com/complexes/109672?ms=2AfAQG,3zprE6,17&amp;a=APT:ABYG:JGC&amp;b=A1:B1&amp;e=RETAIL&amp;h=34&amp;i=132&amp;l=198&amp;ad=true" TargetMode="External" Id="rId4"/><Relationship Type="http://schemas.openxmlformats.org/officeDocument/2006/relationships/hyperlink" Target="https://new.land.naver.com/complexes/109672?ms=2AfAQG,3zprE6,17&amp;a=APT:ABYG:JGC&amp;b=A1:B1&amp;e=RETAIL&amp;h=34&amp;i=132&amp;l=198&amp;ad=true" TargetMode="External" Id="rId5"/><Relationship Type="http://schemas.openxmlformats.org/officeDocument/2006/relationships/hyperlink" Target="https://new.land.naver.com/complexes/109672?ms=2AfAQG,3zprE6,17&amp;a=APT:ABYG:JGC&amp;b=A1:B1&amp;e=RETAIL&amp;h=34&amp;i=132&amp;l=198&amp;ad=true" TargetMode="External" Id="rId6"/><Relationship Type="http://schemas.openxmlformats.org/officeDocument/2006/relationships/hyperlink" Target="https://new.land.naver.com/complexes/109672?ms=2AfAQG,3zprE6,17&amp;a=APT:ABYG:JGC&amp;b=A1:B1&amp;e=RETAIL&amp;h=34&amp;i=132&amp;l=198&amp;ad=true" TargetMode="External" Id="rId7"/><Relationship Type="http://schemas.openxmlformats.org/officeDocument/2006/relationships/hyperlink" Target="https://new.land.naver.com/complexes/109672?ms=2AfAQG,3zprE6,17&amp;a=APT:ABYG:JGC&amp;b=A1:B1&amp;e=RETAIL&amp;h=34&amp;i=132&amp;l=198&amp;ad=true" TargetMode="External" Id="rId8"/><Relationship Type="http://schemas.openxmlformats.org/officeDocument/2006/relationships/hyperlink" Target="https://new.land.naver.com/complexes/109271?ms=2AfAQG,3zprE6,17&amp;a=APT:ABYG:JGC&amp;b=A1:B1&amp;e=RETAIL&amp;h=34&amp;i=132&amp;l=198&amp;ad=true" TargetMode="External" Id="rId9"/><Relationship Type="http://schemas.openxmlformats.org/officeDocument/2006/relationships/hyperlink" Target="https://new.land.naver.com/complexes/109271?ms=2AfAQG,3zprE6,17&amp;a=APT:ABYG:JGC&amp;b=A1:B1&amp;e=RETAIL&amp;h=34&amp;i=132&amp;l=198&amp;ad=true" TargetMode="External" Id="rId10"/><Relationship Type="http://schemas.openxmlformats.org/officeDocument/2006/relationships/hyperlink" Target="https://new.land.naver.com/complexes/109271?ms=2AfAQG,3zprE6,17&amp;a=APT:ABYG:JGC&amp;b=A1:B1&amp;e=RETAIL&amp;h=34&amp;i=132&amp;l=198&amp;ad=true" TargetMode="External" Id="rId11"/><Relationship Type="http://schemas.openxmlformats.org/officeDocument/2006/relationships/hyperlink" Target="https://new.land.naver.com/complexes/109272?ms=2AfAQG,3zprE6,17&amp;a=APT:ABYG:JGC&amp;b=A1:B1&amp;e=RETAIL&amp;h=34&amp;i=132&amp;l=198&amp;ad=true" TargetMode="External" Id="rId12"/><Relationship Type="http://schemas.openxmlformats.org/officeDocument/2006/relationships/hyperlink" Target="https://new.land.naver.com/complexes/109272?ms=2AfAQG,3zprE6,17&amp;a=APT:ABYG:JGC&amp;b=A1:B1&amp;e=RETAIL&amp;h=34&amp;i=132&amp;l=198&amp;ad=true" TargetMode="External" Id="rId13"/><Relationship Type="http://schemas.openxmlformats.org/officeDocument/2006/relationships/hyperlink" Target="https://new.land.naver.com/complexes/109272?ms=2AfAQG,3zprE6,17&amp;a=APT:ABYG:JGC&amp;b=A1:B1&amp;e=RETAIL&amp;h=34&amp;i=132&amp;l=198&amp;ad=true" TargetMode="External" Id="rId14"/><Relationship Type="http://schemas.openxmlformats.org/officeDocument/2006/relationships/hyperlink" Target="https://new.land.naver.com/complexes/109273?ms=2AfAQG,3zprE6,17&amp;a=APT:ABYG:JGC&amp;b=A1:B1&amp;e=RETAIL&amp;h=34&amp;i=132&amp;l=198&amp;ad=true" TargetMode="External" Id="rId15"/><Relationship Type="http://schemas.openxmlformats.org/officeDocument/2006/relationships/hyperlink" Target="https://new.land.naver.com/complexes/109273?ms=2AfAQG,3zprE6,17&amp;a=APT:ABYG:JGC&amp;b=A1:B1&amp;e=RETAIL&amp;h=34&amp;i=132&amp;l=198&amp;ad=true" TargetMode="External" Id="rId16"/><Relationship Type="http://schemas.openxmlformats.org/officeDocument/2006/relationships/hyperlink" Target="https://new.land.naver.com/complexes/109273?ms=2AfAQG,3zprE6,17&amp;a=APT:ABYG:JGC&amp;b=A1:B1&amp;e=RETAIL&amp;h=34&amp;i=132&amp;l=198&amp;ad=true" TargetMode="External" Id="rId17"/><Relationship Type="http://schemas.openxmlformats.org/officeDocument/2006/relationships/hyperlink" Target="https://new.land.naver.com/complexes/118728?ms=2AfAQG,3zprE6,17&amp;a=APT:ABYG:JGC&amp;b=A1:B1&amp;e=RETAIL&amp;h=34&amp;i=132&amp;l=198&amp;ad=true" TargetMode="External" Id="rId18"/><Relationship Type="http://schemas.openxmlformats.org/officeDocument/2006/relationships/hyperlink" Target="https://new.land.naver.com/complexes/118728?ms=2AfAQG,3zprE6,17&amp;a=APT:ABYG:JGC&amp;b=A1:B1&amp;e=RETAIL&amp;h=34&amp;i=132&amp;l=198&amp;ad=true" TargetMode="External" Id="rId19"/><Relationship Type="http://schemas.openxmlformats.org/officeDocument/2006/relationships/hyperlink" Target="https://new.land.naver.com/complexes/118728?ms=2AfAQG,3zprE6,17&amp;a=APT:ABYG:JGC&amp;b=A1:B1&amp;e=RETAIL&amp;h=34&amp;i=132&amp;l=198&amp;ad=true" TargetMode="External" Id="rId20"/><Relationship Type="http://schemas.openxmlformats.org/officeDocument/2006/relationships/hyperlink" Target="https://new.land.naver.com/complexes/118728?ms=2AfAQG,3zprE6,17&amp;a=APT:ABYG:JGC&amp;b=A1:B1&amp;e=RETAIL&amp;h=34&amp;i=132&amp;l=198&amp;ad=true" TargetMode="External" Id="rId21"/><Relationship Type="http://schemas.openxmlformats.org/officeDocument/2006/relationships/hyperlink" Target="https://new.land.naver.com/complexes/151284?ms=2AfAQG,3zprE6,17&amp;a=APT:ABYG:JGC&amp;b=A1:B1&amp;e=RETAIL&amp;h=34&amp;i=132&amp;l=198&amp;ad=true" TargetMode="External" Id="rId22"/><Relationship Type="http://schemas.openxmlformats.org/officeDocument/2006/relationships/hyperlink" Target="https://new.land.naver.com/complexes/151284?ms=2AfAQG,3zprE6,17&amp;a=APT:ABYG:JGC&amp;b=A1:B1&amp;e=RETAIL&amp;h=34&amp;i=132&amp;l=198&amp;ad=true" TargetMode="External" Id="rId23"/><Relationship Type="http://schemas.openxmlformats.org/officeDocument/2006/relationships/hyperlink" Target="https://new.land.naver.com/complexes/151284?ms=2AfAQG,3zprE6,17&amp;a=APT:ABYG:JGC&amp;b=A1:B1&amp;e=RETAIL&amp;h=34&amp;i=132&amp;l=198&amp;ad=true" TargetMode="External" Id="rId24"/><Relationship Type="http://schemas.openxmlformats.org/officeDocument/2006/relationships/hyperlink" Target="https://new.land.naver.com/complexes/7600?ms=2AfAQG,3zprE6,17&amp;a=APT:ABYG:JGC&amp;b=A1:B1&amp;e=RETAIL&amp;h=34&amp;i=132&amp;l=198&amp;ad=true" TargetMode="External" Id="rId25"/><Relationship Type="http://schemas.openxmlformats.org/officeDocument/2006/relationships/hyperlink" Target="https://new.land.naver.com/complexes/7600?ms=2AfAQG,3zprE6,17&amp;a=APT:ABYG:JGC&amp;b=A1:B1&amp;e=RETAIL&amp;h=34&amp;i=132&amp;l=198&amp;ad=true" TargetMode="External" Id="rId26"/><Relationship Type="http://schemas.openxmlformats.org/officeDocument/2006/relationships/hyperlink" Target="https://new.land.naver.com/complexes/115783?ms=2AfAQG,3zprE6,17&amp;a=APT:ABYG:JGC&amp;b=A1:B1&amp;e=RETAIL&amp;h=34&amp;i=132&amp;l=198&amp;ad=true" TargetMode="External" Id="rId27"/><Relationship Type="http://schemas.openxmlformats.org/officeDocument/2006/relationships/hyperlink" Target="https://new.land.naver.com/complexes/115783?ms=2AfAQG,3zprE6,17&amp;a=APT:ABYG:JGC&amp;b=A1:B1&amp;e=RETAIL&amp;h=34&amp;i=132&amp;l=198&amp;ad=true" TargetMode="External" Id="rId28"/><Relationship Type="http://schemas.openxmlformats.org/officeDocument/2006/relationships/hyperlink" Target="https://new.land.naver.com/complexes/115783?ms=2AfAQG,3zprE6,17&amp;a=APT:ABYG:JGC&amp;b=A1:B1&amp;e=RETAIL&amp;h=34&amp;i=132&amp;l=198&amp;ad=true" TargetMode="External" Id="rId29"/><Relationship Type="http://schemas.openxmlformats.org/officeDocument/2006/relationships/hyperlink" Target="https://new.land.naver.com/complexes/7616?ms=2AfAQG,3zprE6,17&amp;a=APT:ABYG:JGC&amp;b=A1:B1&amp;e=RETAIL&amp;h=34&amp;i=132&amp;l=198&amp;ad=true" TargetMode="External" Id="rId30"/><Relationship Type="http://schemas.openxmlformats.org/officeDocument/2006/relationships/hyperlink" Target="https://new.land.naver.com/complexes/7616?ms=2AfAQG,3zprE6,17&amp;a=APT:ABYG:JGC&amp;b=A1:B1&amp;e=RETAIL&amp;h=34&amp;i=132&amp;l=198&amp;ad=true" TargetMode="External" Id="rId31"/><Relationship Type="http://schemas.openxmlformats.org/officeDocument/2006/relationships/hyperlink" Target="https://new.land.naver.com/complexes/7610?ms=2AfAQG,3zprE6,17&amp;a=APT:ABYG:JGC&amp;b=A1:B1&amp;e=RETAIL&amp;h=34&amp;i=132&amp;l=198&amp;ad=true" TargetMode="External" Id="rId32"/><Relationship Type="http://schemas.openxmlformats.org/officeDocument/2006/relationships/hyperlink" Target="https://new.land.naver.com/complexes/7610?ms=2AfAQG,3zprE6,17&amp;a=APT:ABYG:JGC&amp;b=A1:B1&amp;e=RETAIL&amp;h=34&amp;i=132&amp;l=198&amp;ad=true" TargetMode="External" Id="rId33"/><Relationship Type="http://schemas.openxmlformats.org/officeDocument/2006/relationships/hyperlink" Target="https://new.land.naver.com/complexes/7610?ms=2AfAQG,3zprE6,17&amp;a=APT:ABYG:JGC&amp;b=A1:B1&amp;e=RETAIL&amp;h=34&amp;i=132&amp;l=198&amp;ad=true" TargetMode="External" Id="rId34"/><Relationship Type="http://schemas.openxmlformats.org/officeDocument/2006/relationships/hyperlink" Target="https://new.land.naver.com/complexes/7610?ms=2AfAQG,3zprE6,17&amp;a=APT:ABYG:JGC&amp;b=A1:B1&amp;e=RETAIL&amp;h=34&amp;i=132&amp;l=198&amp;ad=true" TargetMode="External" Id="rId35"/><Relationship Type="http://schemas.openxmlformats.org/officeDocument/2006/relationships/hyperlink" Target="https://new.land.naver.com/complexes/7610?ms=2AfAQG,3zprE6,17&amp;a=APT:ABYG:JGC&amp;b=A1:B1&amp;e=RETAIL&amp;h=34&amp;i=132&amp;l=198&amp;ad=true" TargetMode="External" Id="rId36"/><Relationship Type="http://schemas.openxmlformats.org/officeDocument/2006/relationships/hyperlink" Target="https://new.land.naver.com/complexes/15723?ms=2AfAQG,3zprE6,17&amp;a=APT:ABYG:JGC&amp;b=A1:B1&amp;e=RETAIL&amp;h=34&amp;i=132&amp;l=198&amp;ad=true" TargetMode="External" Id="rId37"/><Relationship Type="http://schemas.openxmlformats.org/officeDocument/2006/relationships/hyperlink" Target="https://new.land.naver.com/complexes/15723?ms=2AfAQG,3zprE6,17&amp;a=APT:ABYG:JGC&amp;b=A1:B1&amp;e=RETAIL&amp;h=34&amp;i=132&amp;l=198&amp;ad=true" TargetMode="External" Id="rId38"/><Relationship Type="http://schemas.openxmlformats.org/officeDocument/2006/relationships/hyperlink" Target="https://new.land.naver.com/complexes/15723?ms=2AfAQG,3zprE6,17&amp;a=APT:ABYG:JGC&amp;b=A1:B1&amp;e=RETAIL&amp;h=34&amp;i=132&amp;l=198&amp;ad=true" TargetMode="External" Id="rId39"/><Relationship Type="http://schemas.openxmlformats.org/officeDocument/2006/relationships/hyperlink" Target="https://new.land.naver.com/complexes/7626?ms=2AfAQG,3zprE6,17&amp;a=APT:ABYG:JGC&amp;b=A1:B1&amp;e=RETAIL&amp;h=34&amp;i=132&amp;l=198&amp;ad=true" TargetMode="External" Id="rId40"/><Relationship Type="http://schemas.openxmlformats.org/officeDocument/2006/relationships/hyperlink" Target="https://new.land.naver.com/complexes/7626?ms=2AfAQG,3zprE6,17&amp;a=APT:ABYG:JGC&amp;b=A1:B1&amp;e=RETAIL&amp;h=34&amp;i=132&amp;l=198&amp;ad=true" TargetMode="External" Id="rId41"/><Relationship Type="http://schemas.openxmlformats.org/officeDocument/2006/relationships/hyperlink" Target="https://new.land.naver.com/complexes/7626?ms=2AfAQG,3zprE6,17&amp;a=APT:ABYG:JGC&amp;b=A1:B1&amp;e=RETAIL&amp;h=34&amp;i=132&amp;l=198&amp;ad=true" TargetMode="External" Id="rId42"/><Relationship Type="http://schemas.openxmlformats.org/officeDocument/2006/relationships/hyperlink" Target="https://new.land.naver.com/complexes/7624?ms=2AfAQG,3zprE6,17&amp;a=APT:ABYG:JGC&amp;b=A1:B1&amp;e=RETAIL&amp;h=34&amp;i=132&amp;l=198&amp;ad=true" TargetMode="External" Id="rId43"/><Relationship Type="http://schemas.openxmlformats.org/officeDocument/2006/relationships/hyperlink" Target="https://new.land.naver.com/complexes/7624?ms=2AfAQG,3zprE6,17&amp;a=APT:ABYG:JGC&amp;b=A1:B1&amp;e=RETAIL&amp;h=34&amp;i=132&amp;l=198&amp;ad=true" TargetMode="External" Id="rId44"/><Relationship Type="http://schemas.openxmlformats.org/officeDocument/2006/relationships/hyperlink" Target="https://new.land.naver.com/complexes/7624?ms=2AfAQG,3zprE6,17&amp;a=APT:ABYG:JGC&amp;b=A1:B1&amp;e=RETAIL&amp;h=34&amp;i=132&amp;l=198&amp;ad=true" TargetMode="External" Id="rId45"/><Relationship Type="http://schemas.openxmlformats.org/officeDocument/2006/relationships/hyperlink" Target="https://new.land.naver.com/complexes/7631?ms=2AfAQG,3zprE6,17&amp;a=APT:ABYG:JGC&amp;b=A1:B1&amp;e=RETAIL&amp;h=34&amp;i=132&amp;l=198&amp;ad=true" TargetMode="External" Id="rId46"/><Relationship Type="http://schemas.openxmlformats.org/officeDocument/2006/relationships/hyperlink" Target="https://new.land.naver.com/complexes/7631?ms=2AfAQG,3zprE6,17&amp;a=APT:ABYG:JGC&amp;b=A1:B1&amp;e=RETAIL&amp;h=34&amp;i=132&amp;l=198&amp;ad=true" TargetMode="External" Id="rId47"/><Relationship Type="http://schemas.openxmlformats.org/officeDocument/2006/relationships/hyperlink" Target="https://new.land.naver.com/complexes/7631?ms=2AfAQG,3zprE6,17&amp;a=APT:ABYG:JGC&amp;b=A1:B1&amp;e=RETAIL&amp;h=34&amp;i=132&amp;l=198&amp;ad=true" TargetMode="External" Id="rId48"/><Relationship Type="http://schemas.openxmlformats.org/officeDocument/2006/relationships/hyperlink" Target="https://new.land.naver.com/complexes/7631?ms=2AfAQG,3zprE6,17&amp;a=APT:ABYG:JGC&amp;b=A1:B1&amp;e=RETAIL&amp;h=34&amp;i=132&amp;l=198&amp;ad=true" TargetMode="External" Id="rId49"/><Relationship Type="http://schemas.openxmlformats.org/officeDocument/2006/relationships/hyperlink" Target="https://new.land.naver.com/complexes/7631?ms=2AfAQG,3zprE6,17&amp;a=APT:ABYG:JGC&amp;b=A1:B1&amp;e=RETAIL&amp;h=34&amp;i=132&amp;l=198&amp;ad=true" TargetMode="External" Id="rId50"/><Relationship Type="http://schemas.openxmlformats.org/officeDocument/2006/relationships/hyperlink" Target="https://new.land.naver.com/complexes/7637?ms=2AfAQG,3zprE6,17&amp;a=APT:ABYG:JGC&amp;b=A1:B1&amp;e=RETAIL&amp;h=34&amp;i=132&amp;l=198&amp;ad=true" TargetMode="External" Id="rId51"/><Relationship Type="http://schemas.openxmlformats.org/officeDocument/2006/relationships/hyperlink" Target="https://new.land.naver.com/complexes/7637?ms=2AfAQG,3zprE6,17&amp;a=APT:ABYG:JGC&amp;b=A1:B1&amp;e=RETAIL&amp;h=34&amp;i=132&amp;l=198&amp;ad=true" TargetMode="External" Id="rId52"/><Relationship Type="http://schemas.openxmlformats.org/officeDocument/2006/relationships/hyperlink" Target="https://new.land.naver.com/complexes/7637?ms=2AfAQG,3zprE6,17&amp;a=APT:ABYG:JGC&amp;b=A1:B1&amp;e=RETAIL&amp;h=34&amp;i=132&amp;l=198&amp;ad=true" TargetMode="External" Id="rId53"/><Relationship Type="http://schemas.openxmlformats.org/officeDocument/2006/relationships/hyperlink" Target="https://new.land.naver.com/complexes/7637?ms=2AfAQG,3zprE6,17&amp;a=APT:ABYG:JGC&amp;b=A1:B1&amp;e=RETAIL&amp;h=34&amp;i=132&amp;l=198&amp;ad=true" TargetMode="External" Id="rId54"/><Relationship Type="http://schemas.openxmlformats.org/officeDocument/2006/relationships/hyperlink" Target="https://new.land.naver.com/complexes/7637?ms=2AfAQG,3zprE6,17&amp;a=APT:ABYG:JGC&amp;b=A1:B1&amp;e=RETAIL&amp;h=34&amp;i=132&amp;l=198&amp;ad=true" TargetMode="External" Id="rId55"/><Relationship Type="http://schemas.openxmlformats.org/officeDocument/2006/relationships/hyperlink" Target="https://new.land.naver.com/complexes/7637?ms=2AfAQG,3zprE6,17&amp;a=APT:ABYG:JGC&amp;b=A1:B1&amp;e=RETAIL&amp;h=34&amp;i=132&amp;l=198&amp;ad=true" TargetMode="External" Id="rId56"/><Relationship Type="http://schemas.openxmlformats.org/officeDocument/2006/relationships/hyperlink" Target="https://new.land.naver.com/complexes/7637?ms=2AfAQG,3zprE6,17&amp;a=APT:ABYG:JGC&amp;b=A1:B1&amp;e=RETAIL&amp;h=34&amp;i=132&amp;l=198&amp;ad=true" TargetMode="External" Id="rId57"/><Relationship Type="http://schemas.openxmlformats.org/officeDocument/2006/relationships/hyperlink" Target="https://new.land.naver.com/complexes/7646?ms=2AfAQG,3zprE6,17&amp;a=APT:ABYG:JGC&amp;b=A1:B1&amp;e=RETAIL&amp;h=34&amp;i=132&amp;l=198&amp;ad=true" TargetMode="External" Id="rId58"/><Relationship Type="http://schemas.openxmlformats.org/officeDocument/2006/relationships/hyperlink" Target="https://new.land.naver.com/complexes/7646?ms=2AfAQG,3zprE6,17&amp;a=APT:ABYG:JGC&amp;b=A1:B1&amp;e=RETAIL&amp;h=34&amp;i=132&amp;l=198&amp;ad=true" TargetMode="External" Id="rId59"/><Relationship Type="http://schemas.openxmlformats.org/officeDocument/2006/relationships/hyperlink" Target="https://new.land.naver.com/complexes/7646?ms=2AfAQG,3zprE6,17&amp;a=APT:ABYG:JGC&amp;b=A1:B1&amp;e=RETAIL&amp;h=34&amp;i=132&amp;l=198&amp;ad=true" TargetMode="External" Id="rId60"/><Relationship Type="http://schemas.openxmlformats.org/officeDocument/2006/relationships/hyperlink" Target="https://new.land.naver.com/complexes/22621?ms=2AfAQG,3zprE6,17&amp;a=APT:ABYG:JGC&amp;b=A1:B1&amp;e=RETAIL&amp;h=34&amp;i=132&amp;l=198&amp;ad=true" TargetMode="External" Id="rId61"/><Relationship Type="http://schemas.openxmlformats.org/officeDocument/2006/relationships/hyperlink" Target="https://new.land.naver.com/complexes/22621?ms=2AfAQG,3zprE6,17&amp;a=APT:ABYG:JGC&amp;b=A1:B1&amp;e=RETAIL&amp;h=34&amp;i=132&amp;l=198&amp;ad=true" TargetMode="External" Id="rId62"/><Relationship Type="http://schemas.openxmlformats.org/officeDocument/2006/relationships/hyperlink" Target="https://new.land.naver.com/complexes/22621?ms=2AfAQG,3zprE6,17&amp;a=APT:ABYG:JGC&amp;b=A1:B1&amp;e=RETAIL&amp;h=34&amp;i=132&amp;l=198&amp;ad=true" TargetMode="External" Id="rId63"/><Relationship Type="http://schemas.openxmlformats.org/officeDocument/2006/relationships/hyperlink" Target="https://new.land.naver.com/complexes/22621?ms=2AfAQG,3zprE6,17&amp;a=APT:ABYG:JGC&amp;b=A1:B1&amp;e=RETAIL&amp;h=34&amp;i=132&amp;l=198&amp;ad=true" TargetMode="External" Id="rId64"/><Relationship Type="http://schemas.openxmlformats.org/officeDocument/2006/relationships/hyperlink" Target="https://new.land.naver.com/complexes/15724?ms=2AfAQG,3zprE6,17&amp;a=APT:ABYG:JGC&amp;b=A1:B1&amp;e=RETAIL&amp;h=34&amp;i=132&amp;l=198&amp;ad=true" TargetMode="External" Id="rId65"/><Relationship Type="http://schemas.openxmlformats.org/officeDocument/2006/relationships/hyperlink" Target="https://new.land.naver.com/complexes/15724?ms=2AfAQG,3zprE6,17&amp;a=APT:ABYG:JGC&amp;b=A1:B1&amp;e=RETAIL&amp;h=34&amp;i=132&amp;l=198&amp;ad=true" TargetMode="External" Id="rId66"/><Relationship Type="http://schemas.openxmlformats.org/officeDocument/2006/relationships/hyperlink" Target="https://new.land.naver.com/complexes/15726?ms=2AfAQG,3zprE6,17&amp;a=APT:ABYG:JGC&amp;b=A1:B1&amp;e=RETAIL&amp;h=34&amp;i=132&amp;l=198&amp;ad=true" TargetMode="External" Id="rId67"/><Relationship Type="http://schemas.openxmlformats.org/officeDocument/2006/relationships/hyperlink" Target="https://new.land.naver.com/complexes/15736?ms=2AfAQG,3zprE6,17&amp;a=APT:ABYG:JGC&amp;b=A1:B1&amp;e=RETAIL&amp;h=34&amp;i=132&amp;l=198&amp;ad=true" TargetMode="External" Id="rId68"/><Relationship Type="http://schemas.openxmlformats.org/officeDocument/2006/relationships/hyperlink" Target="https://new.land.naver.com/complexes/15727?ms=2AfAQG,3zprE6,17&amp;a=APT:ABYG:JGC&amp;b=A1:B1&amp;e=RETAIL&amp;h=34&amp;i=132&amp;l=198&amp;ad=true" TargetMode="External" Id="rId69"/><Relationship Type="http://schemas.openxmlformats.org/officeDocument/2006/relationships/hyperlink" Target="https://new.land.naver.com/complexes/15727?ms=2AfAQG,3zprE6,17&amp;a=APT:ABYG:JGC&amp;b=A1:B1&amp;e=RETAIL&amp;h=34&amp;i=132&amp;l=198&amp;ad=true" TargetMode="External" Id="rId70"/><Relationship Type="http://schemas.openxmlformats.org/officeDocument/2006/relationships/hyperlink" Target="https://new.land.naver.com/complexes/15727?ms=2AfAQG,3zprE6,17&amp;a=APT:ABYG:JGC&amp;b=A1:B1&amp;e=RETAIL&amp;h=34&amp;i=132&amp;l=198&amp;ad=true" TargetMode="External" Id="rId71"/><Relationship Type="http://schemas.openxmlformats.org/officeDocument/2006/relationships/hyperlink" Target="https://new.land.naver.com/complexes/15727?ms=2AfAQG,3zprE6,17&amp;a=APT:ABYG:JGC&amp;b=A1:B1&amp;e=RETAIL&amp;h=34&amp;i=132&amp;l=198&amp;ad=true" TargetMode="External" Id="rId72"/><Relationship Type="http://schemas.openxmlformats.org/officeDocument/2006/relationships/hyperlink" Target="https://new.land.naver.com/complexes/15727?ms=2AfAQG,3zprE6,17&amp;a=APT:ABYG:JGC&amp;b=A1:B1&amp;e=RETAIL&amp;h=34&amp;i=132&amp;l=198&amp;ad=true" TargetMode="External" Id="rId73"/><Relationship Type="http://schemas.openxmlformats.org/officeDocument/2006/relationships/hyperlink" Target="https://new.land.naver.com/complexes/15735?ms=2AfAQG,3zprE6,17&amp;a=APT:ABYG:JGC&amp;b=A1:B1&amp;e=RETAIL&amp;h=34&amp;i=132&amp;l=198&amp;ad=true" TargetMode="External" Id="rId74"/><Relationship Type="http://schemas.openxmlformats.org/officeDocument/2006/relationships/hyperlink" Target="https://new.land.naver.com/complexes/15735?ms=2AfAQG,3zprE6,17&amp;a=APT:ABYG:JGC&amp;b=A1:B1&amp;e=RETAIL&amp;h=34&amp;i=132&amp;l=198&amp;ad=true" TargetMode="External" Id="rId75"/><Relationship Type="http://schemas.openxmlformats.org/officeDocument/2006/relationships/hyperlink" Target="https://new.land.naver.com/complexes/10888?ms=2AfAQG,3zprE6,17&amp;a=APT:ABYG:JGC&amp;b=A1:B1&amp;e=RETAIL&amp;h=34&amp;i=132&amp;l=198&amp;ad=true" TargetMode="External" Id="rId76"/><Relationship Type="http://schemas.openxmlformats.org/officeDocument/2006/relationships/hyperlink" Target="https://new.land.naver.com/complexes/10888?ms=2AfAQG,3zprE6,17&amp;a=APT:ABYG:JGC&amp;b=A1:B1&amp;e=RETAIL&amp;h=34&amp;i=132&amp;l=198&amp;ad=true" TargetMode="External" Id="rId77"/><Relationship Type="http://schemas.openxmlformats.org/officeDocument/2006/relationships/hyperlink" Target="https://new.land.naver.com/complexes/10888?ms=2AfAQG,3zprE6,17&amp;a=APT:ABYG:JGC&amp;b=A1:B1&amp;e=RETAIL&amp;h=34&amp;i=132&amp;l=198&amp;ad=true" TargetMode="External" Id="rId78"/><Relationship Type="http://schemas.openxmlformats.org/officeDocument/2006/relationships/hyperlink" Target="https://new.land.naver.com/complexes/7674?ms=2AfAQG,3zprE6,17&amp;a=APT:ABYG:JGC&amp;b=A1:B1&amp;e=RETAIL&amp;h=34&amp;i=132&amp;l=198&amp;ad=true" TargetMode="External" Id="rId79"/><Relationship Type="http://schemas.openxmlformats.org/officeDocument/2006/relationships/hyperlink" Target="https://new.land.naver.com/complexes/7674?ms=2AfAQG,3zprE6,17&amp;a=APT:ABYG:JGC&amp;b=A1:B1&amp;e=RETAIL&amp;h=34&amp;i=132&amp;l=198&amp;ad=true" TargetMode="External" Id="rId80"/><Relationship Type="http://schemas.openxmlformats.org/officeDocument/2006/relationships/hyperlink" Target="https://new.land.naver.com/complexes/7674?ms=2AfAQG,3zprE6,17&amp;a=APT:ABYG:JGC&amp;b=A1:B1&amp;e=RETAIL&amp;h=34&amp;i=132&amp;l=198&amp;ad=true" TargetMode="External" Id="rId81"/><Relationship Type="http://schemas.openxmlformats.org/officeDocument/2006/relationships/hyperlink" Target="https://new.land.naver.com/complexes/7692?ms=2AfAQG,3zprE6,17&amp;a=APT:ABYG:JGC&amp;b=A1:B1&amp;e=RETAIL&amp;h=34&amp;i=132&amp;l=198&amp;ad=true" TargetMode="External" Id="rId82"/><Relationship Type="http://schemas.openxmlformats.org/officeDocument/2006/relationships/hyperlink" Target="https://new.land.naver.com/complexes/7692?ms=2AfAQG,3zprE6,17&amp;a=APT:ABYG:JGC&amp;b=A1:B1&amp;e=RETAIL&amp;h=34&amp;i=132&amp;l=198&amp;ad=true" TargetMode="External" Id="rId83"/><Relationship Type="http://schemas.openxmlformats.org/officeDocument/2006/relationships/hyperlink" Target="https://new.land.naver.com/complexes/7683?ms=2AfAQG,3zprE6,17&amp;a=APT:ABYG:JGC&amp;b=A1:B1&amp;e=RETAIL&amp;h=34&amp;i=132&amp;l=198&amp;ad=true" TargetMode="External" Id="rId84"/><Relationship Type="http://schemas.openxmlformats.org/officeDocument/2006/relationships/hyperlink" Target="https://new.land.naver.com/complexes/7683?ms=2AfAQG,3zprE6,17&amp;a=APT:ABYG:JGC&amp;b=A1:B1&amp;e=RETAIL&amp;h=34&amp;i=132&amp;l=198&amp;ad=true" TargetMode="External" Id="rId85"/><Relationship Type="http://schemas.openxmlformats.org/officeDocument/2006/relationships/hyperlink" Target="https://new.land.naver.com/complexes/7677?ms=2AfAQG,3zprE6,17&amp;a=APT:ABYG:JGC&amp;b=A1:B1&amp;e=RETAIL&amp;h=34&amp;i=132&amp;l=198&amp;ad=true" TargetMode="External" Id="rId86"/><Relationship Type="http://schemas.openxmlformats.org/officeDocument/2006/relationships/hyperlink" Target="https://new.land.naver.com/complexes/7677?ms=2AfAQG,3zprE6,17&amp;a=APT:ABYG:JGC&amp;b=A1:B1&amp;e=RETAIL&amp;h=34&amp;i=132&amp;l=198&amp;ad=true" TargetMode="External" Id="rId87"/><Relationship Type="http://schemas.openxmlformats.org/officeDocument/2006/relationships/hyperlink" Target="https://new.land.naver.com/complexes/7677?ms=2AfAQG,3zprE6,17&amp;a=APT:ABYG:JGC&amp;b=A1:B1&amp;e=RETAIL&amp;h=34&amp;i=132&amp;l=198&amp;ad=true" TargetMode="External" Id="rId88"/><Relationship Type="http://schemas.openxmlformats.org/officeDocument/2006/relationships/hyperlink" Target="https://new.land.naver.com/complexes/7677?ms=2AfAQG,3zprE6,17&amp;a=APT:ABYG:JGC&amp;b=A1:B1&amp;e=RETAIL&amp;h=34&amp;i=132&amp;l=198&amp;ad=true" TargetMode="External" Id="rId89"/><Relationship Type="http://schemas.openxmlformats.org/officeDocument/2006/relationships/hyperlink" Target="https://new.land.naver.com/complexes/100888?ms=2AfAQG,3zprE6,17&amp;a=APT:ABYG:JGC&amp;b=A1:B1&amp;e=RETAIL&amp;h=34&amp;i=132&amp;l=198&amp;ad=true" TargetMode="External" Id="rId90"/><Relationship Type="http://schemas.openxmlformats.org/officeDocument/2006/relationships/hyperlink" Target="https://new.land.naver.com/complexes/100888?ms=2AfAQG,3zprE6,17&amp;a=APT:ABYG:JGC&amp;b=A1:B1&amp;e=RETAIL&amp;h=34&amp;i=132&amp;l=198&amp;ad=true" TargetMode="External" Id="rId91"/><Relationship Type="http://schemas.openxmlformats.org/officeDocument/2006/relationships/hyperlink" Target="https://new.land.naver.com/complexes/100888?ms=2AfAQG,3zprE6,17&amp;a=APT:ABYG:JGC&amp;b=A1:B1&amp;e=RETAIL&amp;h=34&amp;i=132&amp;l=198&amp;ad=true" TargetMode="External" Id="rId92"/><Relationship Type="http://schemas.openxmlformats.org/officeDocument/2006/relationships/hyperlink" Target="https://new.land.naver.com/complexes/7695?ms=2AfAQG,3zprE6,17&amp;a=APT:ABYG:JGC&amp;b=A1:B1&amp;e=RETAIL&amp;h=34&amp;i=132&amp;l=198&amp;ad=true" TargetMode="External" Id="rId93"/><Relationship Type="http://schemas.openxmlformats.org/officeDocument/2006/relationships/hyperlink" Target="https://new.land.naver.com/complexes/7695?ms=2AfAQG,3zprE6,17&amp;a=APT:ABYG:JGC&amp;b=A1:B1&amp;e=RETAIL&amp;h=34&amp;i=132&amp;l=198&amp;ad=true" TargetMode="External" Id="rId94"/><Relationship Type="http://schemas.openxmlformats.org/officeDocument/2006/relationships/hyperlink" Target="https://new.land.naver.com/complexes/7695?ms=2AfAQG,3zprE6,17&amp;a=APT:ABYG:JGC&amp;b=A1:B1&amp;e=RETAIL&amp;h=34&amp;i=132&amp;l=198&amp;ad=true" TargetMode="External" Id="rId95"/><Relationship Type="http://schemas.openxmlformats.org/officeDocument/2006/relationships/hyperlink" Target="https://new.land.naver.com/complexes/7695?ms=2AfAQG,3zprE6,17&amp;a=APT:ABYG:JGC&amp;b=A1:B1&amp;e=RETAIL&amp;h=34&amp;i=132&amp;l=198&amp;ad=true" TargetMode="External" Id="rId96"/><Relationship Type="http://schemas.openxmlformats.org/officeDocument/2006/relationships/hyperlink" Target="https://new.land.naver.com/complexes/7695?ms=2AfAQG,3zprE6,17&amp;a=APT:ABYG:JGC&amp;b=A1:B1&amp;e=RETAIL&amp;h=34&amp;i=132&amp;l=198&amp;ad=true" TargetMode="External" Id="rId97"/><Relationship Type="http://schemas.openxmlformats.org/officeDocument/2006/relationships/hyperlink" Target="https://new.land.naver.com/complexes/7685?ms=2AfAQG,3zprE6,17&amp;a=APT:ABYG:JGC&amp;b=A1:B1&amp;e=RETAIL&amp;h=34&amp;i=132&amp;l=198&amp;ad=true" TargetMode="External" Id="rId98"/><Relationship Type="http://schemas.openxmlformats.org/officeDocument/2006/relationships/hyperlink" Target="https://new.land.naver.com/complexes/7685?ms=2AfAQG,3zprE6,17&amp;a=APT:ABYG:JGC&amp;b=A1:B1&amp;e=RETAIL&amp;h=34&amp;i=132&amp;l=198&amp;ad=true" TargetMode="External" Id="rId99"/><Relationship Type="http://schemas.openxmlformats.org/officeDocument/2006/relationships/hyperlink" Target="https://new.land.naver.com/complexes/7685?ms=2AfAQG,3zprE6,17&amp;a=APT:ABYG:JGC&amp;b=A1:B1&amp;e=RETAIL&amp;h=34&amp;i=132&amp;l=198&amp;ad=true" TargetMode="External" Id="rId100"/><Relationship Type="http://schemas.openxmlformats.org/officeDocument/2006/relationships/hyperlink" Target="https://new.land.naver.com/complexes/7693?ms=2AfAQG,3zprE6,17&amp;a=APT:ABYG:JGC&amp;b=A1:B1&amp;e=RETAIL&amp;h=34&amp;i=132&amp;l=198&amp;ad=true" TargetMode="External" Id="rId101"/><Relationship Type="http://schemas.openxmlformats.org/officeDocument/2006/relationships/hyperlink" Target="https://new.land.naver.com/complexes/7693?ms=2AfAQG,3zprE6,17&amp;a=APT:ABYG:JGC&amp;b=A1:B1&amp;e=RETAIL&amp;h=34&amp;i=132&amp;l=198&amp;ad=true" TargetMode="External" Id="rId102"/><Relationship Type="http://schemas.openxmlformats.org/officeDocument/2006/relationships/hyperlink" Target="https://new.land.naver.com/complexes/7693?ms=2AfAQG,3zprE6,17&amp;a=APT:ABYG:JGC&amp;b=A1:B1&amp;e=RETAIL&amp;h=34&amp;i=132&amp;l=198&amp;ad=true" TargetMode="External" Id="rId103"/><Relationship Type="http://schemas.openxmlformats.org/officeDocument/2006/relationships/hyperlink" Target="https://new.land.naver.com/complexes/106374?ms=2AfAQG,3zprE6,17&amp;a=APT:ABYG:JGC&amp;b=A1:B1&amp;e=RETAIL&amp;h=34&amp;i=132&amp;l=198&amp;ad=true" TargetMode="External" Id="rId104"/><Relationship Type="http://schemas.openxmlformats.org/officeDocument/2006/relationships/hyperlink" Target="https://new.land.naver.com/complexes/106374?ms=2AfAQG,3zprE6,17&amp;a=APT:ABYG:JGC&amp;b=A1:B1&amp;e=RETAIL&amp;h=34&amp;i=132&amp;l=198&amp;ad=true" TargetMode="External" Id="rId105"/><Relationship Type="http://schemas.openxmlformats.org/officeDocument/2006/relationships/hyperlink" Target="https://new.land.naver.com/complexes/106374?ms=2AfAQG,3zprE6,17&amp;a=APT:ABYG:JGC&amp;b=A1:B1&amp;e=RETAIL&amp;h=34&amp;i=132&amp;l=198&amp;ad=true" TargetMode="External" Id="rId106"/><Relationship Type="http://schemas.openxmlformats.org/officeDocument/2006/relationships/hyperlink" Target="https://new.land.naver.com/complexes/7688?ms=2AfAQG,3zprE6,17&amp;a=APT:ABYG:JGC&amp;b=A1:B1&amp;e=RETAIL&amp;h=34&amp;i=132&amp;l=198&amp;ad=true" TargetMode="External" Id="rId107"/><Relationship Type="http://schemas.openxmlformats.org/officeDocument/2006/relationships/hyperlink" Target="https://new.land.naver.com/complexes/7701?ms=2AfAQG,3zprE6,17&amp;a=APT:ABYG:JGC&amp;b=A1:B1&amp;e=RETAIL&amp;h=34&amp;i=132&amp;l=198&amp;ad=true" TargetMode="External" Id="rId108"/><Relationship Type="http://schemas.openxmlformats.org/officeDocument/2006/relationships/hyperlink" Target="https://new.land.naver.com/complexes/7701?ms=2AfAQG,3zprE6,17&amp;a=APT:ABYG:JGC&amp;b=A1:B1&amp;e=RETAIL&amp;h=34&amp;i=132&amp;l=198&amp;ad=true" TargetMode="External" Id="rId109"/><Relationship Type="http://schemas.openxmlformats.org/officeDocument/2006/relationships/hyperlink" Target="https://new.land.naver.com/complexes/15745?ms=2AfAQG,3zprE6,17&amp;a=APT:ABYG:JGC&amp;b=A1:B1&amp;e=RETAIL&amp;h=34&amp;i=132&amp;l=198&amp;ad=true" TargetMode="External" Id="rId110"/><Relationship Type="http://schemas.openxmlformats.org/officeDocument/2006/relationships/hyperlink" Target="https://new.land.naver.com/complexes/153685?ms=2AfAQG,3zprE6,17&amp;a=APT:ABYG:JGC&amp;b=A1:B1&amp;e=RETAIL&amp;h=34&amp;i=132&amp;l=198&amp;ad=true" TargetMode="External" Id="rId111"/><Relationship Type="http://schemas.openxmlformats.org/officeDocument/2006/relationships/hyperlink" Target="https://new.land.naver.com/complexes/153685?ms=2AfAQG,3zprE6,17&amp;a=APT:ABYG:JGC&amp;b=A1:B1&amp;e=RETAIL&amp;h=34&amp;i=132&amp;l=198&amp;ad=true" TargetMode="External" Id="rId112"/><Relationship Type="http://schemas.openxmlformats.org/officeDocument/2006/relationships/hyperlink" Target="https://new.land.naver.com/complexes/153685?ms=2AfAQG,3zprE6,17&amp;a=APT:ABYG:JGC&amp;b=A1:B1&amp;e=RETAIL&amp;h=34&amp;i=132&amp;l=198&amp;ad=true" TargetMode="External" Id="rId113"/><Relationship Type="http://schemas.openxmlformats.org/officeDocument/2006/relationships/hyperlink" Target="https://new.land.naver.com/complexes/153685?ms=2AfAQG,3zprE6,17&amp;a=APT:ABYG:JGC&amp;b=A1:B1&amp;e=RETAIL&amp;h=34&amp;i=132&amp;l=198&amp;ad=true" TargetMode="External" Id="rId114"/><Relationship Type="http://schemas.openxmlformats.org/officeDocument/2006/relationships/hyperlink" Target="https://new.land.naver.com/complexes/153685?ms=2AfAQG,3zprE6,17&amp;a=APT:ABYG:JGC&amp;b=A1:B1&amp;e=RETAIL&amp;h=34&amp;i=132&amp;l=198&amp;ad=true" TargetMode="External" Id="rId115"/><Relationship Type="http://schemas.openxmlformats.org/officeDocument/2006/relationships/hyperlink" Target="https://new.land.naver.com/complexes/112657?ms=2AfAQG,3zprE6,17&amp;a=APT:ABYG:JGC&amp;b=A1:B1&amp;e=RETAIL&amp;h=34&amp;i=132&amp;l=198&amp;ad=true" TargetMode="External" Id="rId116"/><Relationship Type="http://schemas.openxmlformats.org/officeDocument/2006/relationships/hyperlink" Target="https://new.land.naver.com/complexes/112657?ms=2AfAQG,3zprE6,17&amp;a=APT:ABYG:JGC&amp;b=A1:B1&amp;e=RETAIL&amp;h=34&amp;i=132&amp;l=198&amp;ad=true" TargetMode="External" Id="rId117"/><Relationship Type="http://schemas.openxmlformats.org/officeDocument/2006/relationships/hyperlink" Target="https://new.land.naver.com/complexes/112657?ms=2AfAQG,3zprE6,17&amp;a=APT:ABYG:JGC&amp;b=A1:B1&amp;e=RETAIL&amp;h=34&amp;i=132&amp;l=198&amp;ad=true" TargetMode="External" Id="rId118"/><Relationship Type="http://schemas.openxmlformats.org/officeDocument/2006/relationships/hyperlink" Target="https://new.land.naver.com/complexes/112657?ms=2AfAQG,3zprE6,17&amp;a=APT:ABYG:JGC&amp;b=A1:B1&amp;e=RETAIL&amp;h=34&amp;i=132&amp;l=198&amp;ad=true" TargetMode="External" Id="rId119"/><Relationship Type="http://schemas.openxmlformats.org/officeDocument/2006/relationships/hyperlink" Target="https://new.land.naver.com/complexes/151257?ms=2AfAQG,3zprE6,17&amp;a=APT:ABYG:JGC&amp;b=A1:B1&amp;e=RETAIL&amp;h=34&amp;i=132&amp;l=198&amp;ad=true" TargetMode="External" Id="rId120"/><Relationship Type="http://schemas.openxmlformats.org/officeDocument/2006/relationships/hyperlink" Target="https://new.land.naver.com/complexes/151257?ms=2AfAQG,3zprE6,17&amp;a=APT:ABYG:JGC&amp;b=A1:B1&amp;e=RETAIL&amp;h=34&amp;i=132&amp;l=198&amp;ad=true" TargetMode="External" Id="rId121"/><Relationship Type="http://schemas.openxmlformats.org/officeDocument/2006/relationships/hyperlink" Target="https://new.land.naver.com/complexes/151257?ms=2AfAQG,3zprE6,17&amp;a=APT:ABYG:JGC&amp;b=A1:B1&amp;e=RETAIL&amp;h=34&amp;i=132&amp;l=198&amp;ad=true" TargetMode="External" Id="rId122"/><Relationship Type="http://schemas.openxmlformats.org/officeDocument/2006/relationships/hyperlink" Target="https://new.land.naver.com/complexes/25168?ms=2AfAQG,3zprE6,17&amp;a=APT:ABYG:JGC&amp;b=A1:B1&amp;e=RETAIL&amp;h=34&amp;i=132&amp;l=198&amp;ad=true" TargetMode="External" Id="rId123"/><Relationship Type="http://schemas.openxmlformats.org/officeDocument/2006/relationships/hyperlink" Target="https://new.land.naver.com/complexes/25168?ms=2AfAQG,3zprE6,17&amp;a=APT:ABYG:JGC&amp;b=A1:B1&amp;e=RETAIL&amp;h=34&amp;i=132&amp;l=198&amp;ad=true" TargetMode="External" Id="rId124"/><Relationship Type="http://schemas.openxmlformats.org/officeDocument/2006/relationships/hyperlink" Target="https://new.land.naver.com/complexes/25168?ms=2AfAQG,3zprE6,17&amp;a=APT:ABYG:JGC&amp;b=A1:B1&amp;e=RETAIL&amp;h=34&amp;i=132&amp;l=198&amp;ad=true" TargetMode="External" Id="rId125"/><Relationship Type="http://schemas.openxmlformats.org/officeDocument/2006/relationships/hyperlink" Target="https://new.land.naver.com/complexes/25168?ms=2AfAQG,3zprE6,17&amp;a=APT:ABYG:JGC&amp;b=A1:B1&amp;e=RETAIL&amp;h=34&amp;i=132&amp;l=198&amp;ad=true" TargetMode="External" Id="rId126"/><Relationship Type="http://schemas.openxmlformats.org/officeDocument/2006/relationships/hyperlink" Target="https://new.land.naver.com/complexes/25168?ms=2AfAQG,3zprE6,17&amp;a=APT:ABYG:JGC&amp;b=A1:B1&amp;e=RETAIL&amp;h=34&amp;i=132&amp;l=198&amp;ad=true" TargetMode="External" Id="rId127"/><Relationship Type="http://schemas.openxmlformats.org/officeDocument/2006/relationships/hyperlink" Target="https://new.land.naver.com/complexes/25168?ms=2AfAQG,3zprE6,17&amp;a=APT:ABYG:JGC&amp;b=A1:B1&amp;e=RETAIL&amp;h=34&amp;i=132&amp;l=198&amp;ad=true" TargetMode="External" Id="rId128"/><Relationship Type="http://schemas.openxmlformats.org/officeDocument/2006/relationships/hyperlink" Target="https://new.land.naver.com/complexes/25168?ms=2AfAQG,3zprE6,17&amp;a=APT:ABYG:JGC&amp;b=A1:B1&amp;e=RETAIL&amp;h=34&amp;i=132&amp;l=198&amp;ad=true" TargetMode="External" Id="rId129"/><Relationship Type="http://schemas.openxmlformats.org/officeDocument/2006/relationships/hyperlink" Target="https://new.land.naver.com/complexes/25168?ms=2AfAQG,3zprE6,17&amp;a=APT:ABYG:JGC&amp;b=A1:B1&amp;e=RETAIL&amp;h=34&amp;i=132&amp;l=198&amp;ad=true" TargetMode="External" Id="rId130"/><Relationship Type="http://schemas.openxmlformats.org/officeDocument/2006/relationships/hyperlink" Target="https://new.land.naver.com/complexes/25168?ms=2AfAQG,3zprE6,17&amp;a=APT:ABYG:JGC&amp;b=A1:B1&amp;e=RETAIL&amp;h=34&amp;i=132&amp;l=198&amp;ad=true" TargetMode="External" Id="rId131"/><Relationship Type="http://schemas.openxmlformats.org/officeDocument/2006/relationships/hyperlink" Target="https://new.land.naver.com/complexes/15778?ms=2AfAQG,3zprE6,17&amp;a=APT:ABYG:JGC&amp;b=A1:B1&amp;e=RETAIL&amp;h=34&amp;i=132&amp;l=198&amp;ad=true" TargetMode="External" Id="rId132"/><Relationship Type="http://schemas.openxmlformats.org/officeDocument/2006/relationships/hyperlink" Target="https://new.land.naver.com/complexes/15778?ms=2AfAQG,3zprE6,17&amp;a=APT:ABYG:JGC&amp;b=A1:B1&amp;e=RETAIL&amp;h=34&amp;i=132&amp;l=198&amp;ad=true" TargetMode="External" Id="rId133"/><Relationship Type="http://schemas.openxmlformats.org/officeDocument/2006/relationships/hyperlink" Target="https://new.land.naver.com/complexes/15778?ms=2AfAQG,3zprE6,17&amp;a=APT:ABYG:JGC&amp;b=A1:B1&amp;e=RETAIL&amp;h=34&amp;i=132&amp;l=198&amp;ad=true" TargetMode="External" Id="rId134"/><Relationship Type="http://schemas.openxmlformats.org/officeDocument/2006/relationships/hyperlink" Target="https://new.land.naver.com/complexes/15778?ms=2AfAQG,3zprE6,17&amp;a=APT:ABYG:JGC&amp;b=A1:B1&amp;e=RETAIL&amp;h=34&amp;i=132&amp;l=198&amp;ad=true" TargetMode="External" Id="rId135"/><Relationship Type="http://schemas.openxmlformats.org/officeDocument/2006/relationships/hyperlink" Target="https://new.land.naver.com/complexes/19740?ms=2AfAQG,3zprE6,17&amp;a=APT:ABYG:JGC&amp;b=A1:B1&amp;e=RETAIL&amp;h=34&amp;i=132&amp;l=198&amp;ad=true" TargetMode="External" Id="rId136"/><Relationship Type="http://schemas.openxmlformats.org/officeDocument/2006/relationships/hyperlink" Target="https://new.land.naver.com/complexes/19740?ms=2AfAQG,3zprE6,17&amp;a=APT:ABYG:JGC&amp;b=A1:B1&amp;e=RETAIL&amp;h=34&amp;i=132&amp;l=198&amp;ad=true" TargetMode="External" Id="rId137"/><Relationship Type="http://schemas.openxmlformats.org/officeDocument/2006/relationships/hyperlink" Target="https://new.land.naver.com/complexes/19740?ms=2AfAQG,3zprE6,17&amp;a=APT:ABYG:JGC&amp;b=A1:B1&amp;e=RETAIL&amp;h=34&amp;i=132&amp;l=198&amp;ad=true" TargetMode="External" Id="rId138"/><Relationship Type="http://schemas.openxmlformats.org/officeDocument/2006/relationships/hyperlink" Target="https://new.land.naver.com/complexes/19740?ms=2AfAQG,3zprE6,17&amp;a=APT:ABYG:JGC&amp;b=A1:B1&amp;e=RETAIL&amp;h=34&amp;i=132&amp;l=198&amp;ad=true" TargetMode="External" Id="rId139"/><Relationship Type="http://schemas.openxmlformats.org/officeDocument/2006/relationships/hyperlink" Target="https://new.land.naver.com/complexes/19740?ms=2AfAQG,3zprE6,17&amp;a=APT:ABYG:JGC&amp;b=A1:B1&amp;e=RETAIL&amp;h=34&amp;i=132&amp;l=198&amp;ad=true" TargetMode="External" Id="rId140"/><Relationship Type="http://schemas.openxmlformats.org/officeDocument/2006/relationships/hyperlink" Target="https://new.land.naver.com/complexes/19740?ms=2AfAQG,3zprE6,17&amp;a=APT:ABYG:JGC&amp;b=A1:B1&amp;e=RETAIL&amp;h=34&amp;i=132&amp;l=198&amp;ad=true" TargetMode="External" Id="rId141"/><Relationship Type="http://schemas.openxmlformats.org/officeDocument/2006/relationships/hyperlink" Target="https://new.land.naver.com/complexes/19740?ms=2AfAQG,3zprE6,17&amp;a=APT:ABYG:JGC&amp;b=A1:B1&amp;e=RETAIL&amp;h=34&amp;i=132&amp;l=198&amp;ad=true" TargetMode="External" Id="rId142"/><Relationship Type="http://schemas.openxmlformats.org/officeDocument/2006/relationships/hyperlink" Target="https://new.land.naver.com/complexes/19740?ms=2AfAQG,3zprE6,17&amp;a=APT:ABYG:JGC&amp;b=A1:B1&amp;e=RETAIL&amp;h=34&amp;i=132&amp;l=198&amp;ad=true" TargetMode="External" Id="rId143"/><Relationship Type="http://schemas.openxmlformats.org/officeDocument/2006/relationships/hyperlink" Target="https://new.land.naver.com/complexes/19740?ms=2AfAQG,3zprE6,17&amp;a=APT:ABYG:JGC&amp;b=A1:B1&amp;e=RETAIL&amp;h=34&amp;i=132&amp;l=198&amp;ad=true" TargetMode="External" Id="rId144"/><Relationship Type="http://schemas.openxmlformats.org/officeDocument/2006/relationships/hyperlink" Target="https://new.land.naver.com/complexes/7743?ms=2AfAQG,3zprE6,17&amp;a=APT:ABYG:JGC&amp;b=A1:B1&amp;e=RETAIL&amp;h=34&amp;i=132&amp;l=198&amp;ad=true" TargetMode="External" Id="rId145"/><Relationship Type="http://schemas.openxmlformats.org/officeDocument/2006/relationships/hyperlink" Target="https://new.land.naver.com/complexes/7743?ms=2AfAQG,3zprE6,17&amp;a=APT:ABYG:JGC&amp;b=A1:B1&amp;e=RETAIL&amp;h=34&amp;i=132&amp;l=198&amp;ad=true" TargetMode="External" Id="rId146"/><Relationship Type="http://schemas.openxmlformats.org/officeDocument/2006/relationships/hyperlink" Target="https://new.land.naver.com/complexes/7743?ms=2AfAQG,3zprE6,17&amp;a=APT:ABYG:JGC&amp;b=A1:B1&amp;e=RETAIL&amp;h=34&amp;i=132&amp;l=198&amp;ad=true" TargetMode="External" Id="rId147"/><Relationship Type="http://schemas.openxmlformats.org/officeDocument/2006/relationships/hyperlink" Target="https://new.land.naver.com/complexes/7743?ms=2AfAQG,3zprE6,17&amp;a=APT:ABYG:JGC&amp;b=A1:B1&amp;e=RETAIL&amp;h=34&amp;i=132&amp;l=198&amp;ad=true" TargetMode="External" Id="rId148"/><Relationship Type="http://schemas.openxmlformats.org/officeDocument/2006/relationships/hyperlink" Target="https://new.land.naver.com/complexes/7743?ms=2AfAQG,3zprE6,17&amp;a=APT:ABYG:JGC&amp;b=A1:B1&amp;e=RETAIL&amp;h=34&amp;i=132&amp;l=198&amp;ad=true" TargetMode="External" Id="rId149"/><Relationship Type="http://schemas.openxmlformats.org/officeDocument/2006/relationships/hyperlink" Target="https://new.land.naver.com/complexes/7743?ms=2AfAQG,3zprE6,17&amp;a=APT:ABYG:JGC&amp;b=A1:B1&amp;e=RETAIL&amp;h=34&amp;i=132&amp;l=198&amp;ad=true" TargetMode="External" Id="rId150"/><Relationship Type="http://schemas.openxmlformats.org/officeDocument/2006/relationships/hyperlink" Target="https://new.land.naver.com/complexes/100902?ms=2AfAQG,3zprE6,17&amp;a=APT:ABYG:JGC&amp;b=A1:B1&amp;e=RETAIL&amp;h=34&amp;i=132&amp;l=198&amp;ad=true" TargetMode="External" Id="rId151"/><Relationship Type="http://schemas.openxmlformats.org/officeDocument/2006/relationships/hyperlink" Target="https://new.land.naver.com/complexes/100902?ms=2AfAQG,3zprE6,17&amp;a=APT:ABYG:JGC&amp;b=A1:B1&amp;e=RETAIL&amp;h=34&amp;i=132&amp;l=198&amp;ad=true" TargetMode="External" Id="rId152"/><Relationship Type="http://schemas.openxmlformats.org/officeDocument/2006/relationships/hyperlink" Target="https://new.land.naver.com/complexes/100902?ms=2AfAQG,3zprE6,17&amp;a=APT:ABYG:JGC&amp;b=A1:B1&amp;e=RETAIL&amp;h=34&amp;i=132&amp;l=198&amp;ad=true" TargetMode="External" Id="rId153"/><Relationship Type="http://schemas.openxmlformats.org/officeDocument/2006/relationships/hyperlink" Target="https://new.land.naver.com/complexes/100902?ms=2AfAQG,3zprE6,17&amp;a=APT:ABYG:JGC&amp;b=A1:B1&amp;e=RETAIL&amp;h=34&amp;i=132&amp;l=198&amp;ad=true" TargetMode="External" Id="rId154"/><Relationship Type="http://schemas.openxmlformats.org/officeDocument/2006/relationships/hyperlink" Target="https://new.land.naver.com/complexes/7751?ms=2AfAQG,3zprE6,17&amp;a=APT:ABYG:JGC&amp;b=A1:B1&amp;e=RETAIL&amp;h=34&amp;i=132&amp;l=198&amp;ad=true" TargetMode="External" Id="rId155"/><Relationship Type="http://schemas.openxmlformats.org/officeDocument/2006/relationships/hyperlink" Target="https://new.land.naver.com/complexes/7751?ms=2AfAQG,3zprE6,17&amp;a=APT:ABYG:JGC&amp;b=A1:B1&amp;e=RETAIL&amp;h=34&amp;i=132&amp;l=198&amp;ad=true" TargetMode="External" Id="rId156"/><Relationship Type="http://schemas.openxmlformats.org/officeDocument/2006/relationships/hyperlink" Target="https://new.land.naver.com/complexes/7752?ms=2AfAQG,3zprE6,17&amp;a=APT:ABYG:JGC&amp;b=A1:B1&amp;e=RETAIL&amp;h=34&amp;i=132&amp;l=198&amp;ad=true" TargetMode="External" Id="rId157"/><Relationship Type="http://schemas.openxmlformats.org/officeDocument/2006/relationships/hyperlink" Target="https://new.land.naver.com/complexes/7754?ms=2AfAQG,3zprE6,17&amp;a=APT:ABYG:JGC&amp;b=A1:B1&amp;e=RETAIL&amp;h=34&amp;i=132&amp;l=198&amp;ad=true" TargetMode="External" Id="rId158"/><Relationship Type="http://schemas.openxmlformats.org/officeDocument/2006/relationships/hyperlink" Target="https://new.land.naver.com/complexes/7754?ms=2AfAQG,3zprE6,17&amp;a=APT:ABYG:JGC&amp;b=A1:B1&amp;e=RETAIL&amp;h=34&amp;i=132&amp;l=198&amp;ad=true" TargetMode="External" Id="rId159"/><Relationship Type="http://schemas.openxmlformats.org/officeDocument/2006/relationships/hyperlink" Target="https://new.land.naver.com/complexes/7754?ms=2AfAQG,3zprE6,17&amp;a=APT:ABYG:JGC&amp;b=A1:B1&amp;e=RETAIL&amp;h=34&amp;i=132&amp;l=198&amp;ad=true" TargetMode="External" Id="rId160"/><Relationship Type="http://schemas.openxmlformats.org/officeDocument/2006/relationships/hyperlink" Target="https://new.land.naver.com/complexes/7754?ms=2AfAQG,3zprE6,17&amp;a=APT:ABYG:JGC&amp;b=A1:B1&amp;e=RETAIL&amp;h=34&amp;i=132&amp;l=198&amp;ad=true" TargetMode="External" Id="rId161"/><Relationship Type="http://schemas.openxmlformats.org/officeDocument/2006/relationships/hyperlink" Target="https://new.land.naver.com/complexes/7768?ms=2AfAQG,3zprE6,17&amp;a=APT:ABYG:JGC&amp;b=A1:B1&amp;e=RETAIL&amp;h=34&amp;i=132&amp;l=198&amp;ad=true" TargetMode="External" Id="rId162"/><Relationship Type="http://schemas.openxmlformats.org/officeDocument/2006/relationships/hyperlink" Target="https://new.land.naver.com/complexes/7768?ms=2AfAQG,3zprE6,17&amp;a=APT:ABYG:JGC&amp;b=A1:B1&amp;e=RETAIL&amp;h=34&amp;i=132&amp;l=198&amp;ad=true" TargetMode="External" Id="rId163"/><Relationship Type="http://schemas.openxmlformats.org/officeDocument/2006/relationships/hyperlink" Target="https://new.land.naver.com/complexes/7768?ms=2AfAQG,3zprE6,17&amp;a=APT:ABYG:JGC&amp;b=A1:B1&amp;e=RETAIL&amp;h=34&amp;i=132&amp;l=198&amp;ad=true" TargetMode="External" Id="rId164"/><Relationship Type="http://schemas.openxmlformats.org/officeDocument/2006/relationships/hyperlink" Target="https://new.land.naver.com/complexes/7771?ms=2AfAQG,3zprE6,17&amp;a=APT:ABYG:JGC&amp;b=A1:B1&amp;e=RETAIL&amp;h=34&amp;i=132&amp;l=198&amp;ad=true" TargetMode="External" Id="rId165"/><Relationship Type="http://schemas.openxmlformats.org/officeDocument/2006/relationships/hyperlink" Target="https://new.land.naver.com/complexes/7771?ms=2AfAQG,3zprE6,17&amp;a=APT:ABYG:JGC&amp;b=A1:B1&amp;e=RETAIL&amp;h=34&amp;i=132&amp;l=198&amp;ad=true" TargetMode="External" Id="rId166"/><Relationship Type="http://schemas.openxmlformats.org/officeDocument/2006/relationships/hyperlink" Target="https://new.land.naver.com/complexes/7771?ms=2AfAQG,3zprE6,17&amp;a=APT:ABYG:JGC&amp;b=A1:B1&amp;e=RETAIL&amp;h=34&amp;i=132&amp;l=198&amp;ad=true" TargetMode="External" Id="rId167"/><Relationship Type="http://schemas.openxmlformats.org/officeDocument/2006/relationships/hyperlink" Target="https://new.land.naver.com/complexes/7771?ms=2AfAQG,3zprE6,17&amp;a=APT:ABYG:JGC&amp;b=A1:B1&amp;e=RETAIL&amp;h=34&amp;i=132&amp;l=198&amp;ad=true" TargetMode="External" Id="rId168"/><Relationship Type="http://schemas.openxmlformats.org/officeDocument/2006/relationships/hyperlink" Target="https://new.land.naver.com/complexes/7771?ms=2AfAQG,3zprE6,17&amp;a=APT:ABYG:JGC&amp;b=A1:B1&amp;e=RETAIL&amp;h=34&amp;i=132&amp;l=198&amp;ad=true" TargetMode="External" Id="rId169"/><Relationship Type="http://schemas.openxmlformats.org/officeDocument/2006/relationships/hyperlink" Target="https://new.land.naver.com/complexes/7771?ms=2AfAQG,3zprE6,17&amp;a=APT:ABYG:JGC&amp;b=A1:B1&amp;e=RETAIL&amp;h=34&amp;i=132&amp;l=198&amp;ad=true" TargetMode="External" Id="rId170"/><Relationship Type="http://schemas.openxmlformats.org/officeDocument/2006/relationships/hyperlink" Target="https://new.land.naver.com/complexes/7781?ms=2AfAQG,3zprE6,17&amp;a=APT:ABYG:JGC&amp;b=A1:B1&amp;e=RETAIL&amp;h=34&amp;i=132&amp;l=198&amp;ad=true" TargetMode="External" Id="rId171"/><Relationship Type="http://schemas.openxmlformats.org/officeDocument/2006/relationships/hyperlink" Target="https://new.land.naver.com/complexes/7781?ms=2AfAQG,3zprE6,17&amp;a=APT:ABYG:JGC&amp;b=A1:B1&amp;e=RETAIL&amp;h=34&amp;i=132&amp;l=198&amp;ad=true" TargetMode="External" Id="rId172"/><Relationship Type="http://schemas.openxmlformats.org/officeDocument/2006/relationships/hyperlink" Target="https://new.land.naver.com/complexes/7779?ms=2AfAQG,3zprE6,17&amp;a=APT:ABYG:JGC&amp;b=A1:B1&amp;e=RETAIL&amp;h=34&amp;i=132&amp;l=198&amp;ad=true" TargetMode="External" Id="rId173"/><Relationship Type="http://schemas.openxmlformats.org/officeDocument/2006/relationships/hyperlink" Target="https://new.land.naver.com/complexes/7779?ms=2AfAQG,3zprE6,17&amp;a=APT:ABYG:JGC&amp;b=A1:B1&amp;e=RETAIL&amp;h=34&amp;i=132&amp;l=198&amp;ad=true" TargetMode="External" Id="rId174"/><Relationship Type="http://schemas.openxmlformats.org/officeDocument/2006/relationships/hyperlink" Target="https://new.land.naver.com/complexes/7779?ms=2AfAQG,3zprE6,17&amp;a=APT:ABYG:JGC&amp;b=A1:B1&amp;e=RETAIL&amp;h=34&amp;i=132&amp;l=198&amp;ad=true" TargetMode="External" Id="rId175"/><Relationship Type="http://schemas.openxmlformats.org/officeDocument/2006/relationships/hyperlink" Target="https://new.land.naver.com/complexes/7779?ms=2AfAQG,3zprE6,17&amp;a=APT:ABYG:JGC&amp;b=A1:B1&amp;e=RETAIL&amp;h=34&amp;i=132&amp;l=198&amp;ad=true" TargetMode="External" Id="rId176"/><Relationship Type="http://schemas.openxmlformats.org/officeDocument/2006/relationships/hyperlink" Target="https://new.land.naver.com/complexes/7783?ms=2AfAQG,3zprE6,17&amp;a=APT:ABYG:JGC&amp;b=A1:B1&amp;e=RETAIL&amp;h=34&amp;i=132&amp;l=198&amp;ad=true" TargetMode="External" Id="rId177"/><Relationship Type="http://schemas.openxmlformats.org/officeDocument/2006/relationships/hyperlink" Target="https://new.land.naver.com/complexes/7783?ms=2AfAQG,3zprE6,17&amp;a=APT:ABYG:JGC&amp;b=A1:B1&amp;e=RETAIL&amp;h=34&amp;i=132&amp;l=198&amp;ad=true" TargetMode="External" Id="rId178"/><Relationship Type="http://schemas.openxmlformats.org/officeDocument/2006/relationships/hyperlink" Target="https://new.land.naver.com/complexes/7783?ms=2AfAQG,3zprE6,17&amp;a=APT:ABYG:JGC&amp;b=A1:B1&amp;e=RETAIL&amp;h=34&amp;i=132&amp;l=198&amp;ad=true" TargetMode="External" Id="rId179"/><Relationship Type="http://schemas.openxmlformats.org/officeDocument/2006/relationships/hyperlink" Target="https://new.land.naver.com/complexes/7786?ms=2AfAQG,3zprE6,17&amp;a=APT:ABYG:JGC&amp;b=A1:B1&amp;e=RETAIL&amp;h=34&amp;i=132&amp;l=198&amp;ad=true" TargetMode="External" Id="rId180"/><Relationship Type="http://schemas.openxmlformats.org/officeDocument/2006/relationships/hyperlink" Target="https://new.land.naver.com/complexes/7786?ms=2AfAQG,3zprE6,17&amp;a=APT:ABYG:JGC&amp;b=A1:B1&amp;e=RETAIL&amp;h=34&amp;i=132&amp;l=198&amp;ad=true" TargetMode="External" Id="rId181"/><Relationship Type="http://schemas.openxmlformats.org/officeDocument/2006/relationships/hyperlink" Target="https://new.land.naver.com/complexes/7786?ms=2AfAQG,3zprE6,17&amp;a=APT:ABYG:JGC&amp;b=A1:B1&amp;e=RETAIL&amp;h=34&amp;i=132&amp;l=198&amp;ad=true" TargetMode="External" Id="rId182"/><Relationship Type="http://schemas.openxmlformats.org/officeDocument/2006/relationships/hyperlink" Target="https://new.land.naver.com/complexes/7786?ms=2AfAQG,3zprE6,17&amp;a=APT:ABYG:JGC&amp;b=A1:B1&amp;e=RETAIL&amp;h=34&amp;i=132&amp;l=198&amp;ad=true" TargetMode="External" Id="rId183"/><Relationship Type="http://schemas.openxmlformats.org/officeDocument/2006/relationships/hyperlink" Target="https://new.land.naver.com/complexes/132290?ms=2AfAQG,3zprE6,17&amp;a=APT:ABYG:JGC&amp;b=A1:B1&amp;e=RETAIL&amp;h=34&amp;i=132&amp;l=198&amp;ad=true" TargetMode="External" Id="rId184"/><Relationship Type="http://schemas.openxmlformats.org/officeDocument/2006/relationships/hyperlink" Target="https://new.land.naver.com/complexes/132290?ms=2AfAQG,3zprE6,17&amp;a=APT:ABYG:JGC&amp;b=A1:B1&amp;e=RETAIL&amp;h=34&amp;i=132&amp;l=198&amp;ad=true" TargetMode="External" Id="rId185"/><Relationship Type="http://schemas.openxmlformats.org/officeDocument/2006/relationships/hyperlink" Target="https://new.land.naver.com/complexes/132290?ms=2AfAQG,3zprE6,17&amp;a=APT:ABYG:JGC&amp;b=A1:B1&amp;e=RETAIL&amp;h=34&amp;i=132&amp;l=198&amp;ad=true" TargetMode="External" Id="rId186"/><Relationship Type="http://schemas.openxmlformats.org/officeDocument/2006/relationships/hyperlink" Target="https://new.land.naver.com/complexes/132290?ms=2AfAQG,3zprE6,17&amp;a=APT:ABYG:JGC&amp;b=A1:B1&amp;e=RETAIL&amp;h=34&amp;i=132&amp;l=198&amp;ad=true" TargetMode="External" Id="rId187"/><Relationship Type="http://schemas.openxmlformats.org/officeDocument/2006/relationships/hyperlink" Target="https://new.land.naver.com/complexes/132290?ms=2AfAQG,3zprE6,17&amp;a=APT:ABYG:JGC&amp;b=A1:B1&amp;e=RETAIL&amp;h=34&amp;i=132&amp;l=198&amp;ad=true" TargetMode="External" Id="rId188"/><Relationship Type="http://schemas.openxmlformats.org/officeDocument/2006/relationships/hyperlink" Target="https://new.land.naver.com/complexes/7799?ms=2AfAQG,3zprE6,17&amp;a=APT:ABYG:JGC&amp;b=A1:B1&amp;e=RETAIL&amp;h=34&amp;i=132&amp;l=198&amp;ad=true" TargetMode="External" Id="rId189"/><Relationship Type="http://schemas.openxmlformats.org/officeDocument/2006/relationships/hyperlink" Target="https://new.land.naver.com/complexes/7799?ms=2AfAQG,3zprE6,17&amp;a=APT:ABYG:JGC&amp;b=A1:B1&amp;e=RETAIL&amp;h=34&amp;i=132&amp;l=198&amp;ad=true" TargetMode="External" Id="rId190"/><Relationship Type="http://schemas.openxmlformats.org/officeDocument/2006/relationships/hyperlink" Target="https://new.land.naver.com/complexes/7799?ms=2AfAQG,3zprE6,17&amp;a=APT:ABYG:JGC&amp;b=A1:B1&amp;e=RETAIL&amp;h=34&amp;i=132&amp;l=198&amp;ad=true" TargetMode="External" Id="rId191"/><Relationship Type="http://schemas.openxmlformats.org/officeDocument/2006/relationships/hyperlink" Target="https://new.land.naver.com/complexes/7799?ms=2AfAQG,3zprE6,17&amp;a=APT:ABYG:JGC&amp;b=A1:B1&amp;e=RETAIL&amp;h=34&amp;i=132&amp;l=198&amp;ad=true" TargetMode="External" Id="rId192"/><Relationship Type="http://schemas.openxmlformats.org/officeDocument/2006/relationships/hyperlink" Target="https://new.land.naver.com/complexes/7799?ms=2AfAQG,3zprE6,17&amp;a=APT:ABYG:JGC&amp;b=A1:B1&amp;e=RETAIL&amp;h=34&amp;i=132&amp;l=198&amp;ad=true" TargetMode="External" Id="rId193"/><Relationship Type="http://schemas.openxmlformats.org/officeDocument/2006/relationships/hyperlink" Target="https://new.land.naver.com/complexes/7799?ms=2AfAQG,3zprE6,17&amp;a=APT:ABYG:JGC&amp;b=A1:B1&amp;e=RETAIL&amp;h=34&amp;i=132&amp;l=198&amp;ad=true" TargetMode="External" Id="rId194"/><Relationship Type="http://schemas.openxmlformats.org/officeDocument/2006/relationships/hyperlink" Target="https://new.land.naver.com/complexes/7799?ms=2AfAQG,3zprE6,17&amp;a=APT:ABYG:JGC&amp;b=A1:B1&amp;e=RETAIL&amp;h=34&amp;i=132&amp;l=198&amp;ad=true" TargetMode="External" Id="rId195"/><Relationship Type="http://schemas.openxmlformats.org/officeDocument/2006/relationships/hyperlink" Target="https://new.land.naver.com/complexes/7789?ms=2AfAQG,3zprE6,17&amp;a=APT:ABYG:JGC&amp;b=A1:B1&amp;e=RETAIL&amp;h=34&amp;i=132&amp;l=198&amp;ad=true" TargetMode="External" Id="rId196"/><Relationship Type="http://schemas.openxmlformats.org/officeDocument/2006/relationships/hyperlink" Target="https://new.land.naver.com/complexes/7789?ms=2AfAQG,3zprE6,17&amp;a=APT:ABYG:JGC&amp;b=A1:B1&amp;e=RETAIL&amp;h=34&amp;i=132&amp;l=198&amp;ad=true" TargetMode="External" Id="rId197"/><Relationship Type="http://schemas.openxmlformats.org/officeDocument/2006/relationships/hyperlink" Target="https://new.land.naver.com/complexes/7789?ms=2AfAQG,3zprE6,17&amp;a=APT:ABYG:JGC&amp;b=A1:B1&amp;e=RETAIL&amp;h=34&amp;i=132&amp;l=198&amp;ad=true" TargetMode="External" Id="rId198"/><Relationship Type="http://schemas.openxmlformats.org/officeDocument/2006/relationships/hyperlink" Target="https://new.land.naver.com/complexes/7789?ms=2AfAQG,3zprE6,17&amp;a=APT:ABYG:JGC&amp;b=A1:B1&amp;e=RETAIL&amp;h=34&amp;i=132&amp;l=198&amp;ad=true" TargetMode="External" Id="rId199"/><Relationship Type="http://schemas.openxmlformats.org/officeDocument/2006/relationships/hyperlink" Target="https://new.land.naver.com/complexes/7789?ms=2AfAQG,3zprE6,17&amp;a=APT:ABYG:JGC&amp;b=A1:B1&amp;e=RETAIL&amp;h=34&amp;i=132&amp;l=198&amp;ad=true" TargetMode="External" Id="rId200"/><Relationship Type="http://schemas.openxmlformats.org/officeDocument/2006/relationships/hyperlink" Target="https://new.land.naver.com/complexes/7789?ms=2AfAQG,3zprE6,17&amp;a=APT:ABYG:JGC&amp;b=A1:B1&amp;e=RETAIL&amp;h=34&amp;i=132&amp;l=198&amp;ad=true" TargetMode="External" Id="rId201"/><Relationship Type="http://schemas.openxmlformats.org/officeDocument/2006/relationships/hyperlink" Target="https://new.land.naver.com/complexes/105570?ms=2AfAQG,3zprE6,17&amp;a=APT:ABYG:JGC&amp;b=A1:B1&amp;e=RETAIL&amp;h=34&amp;i=132&amp;l=198&amp;ad=true" TargetMode="External" Id="rId202"/><Relationship Type="http://schemas.openxmlformats.org/officeDocument/2006/relationships/hyperlink" Target="https://new.land.naver.com/complexes/105570?ms=2AfAQG,3zprE6,17&amp;a=APT:ABYG:JGC&amp;b=A1:B1&amp;e=RETAIL&amp;h=34&amp;i=132&amp;l=198&amp;ad=true" TargetMode="External" Id="rId203"/><Relationship Type="http://schemas.openxmlformats.org/officeDocument/2006/relationships/hyperlink" Target="https://new.land.naver.com/complexes/105570?ms=2AfAQG,3zprE6,17&amp;a=APT:ABYG:JGC&amp;b=A1:B1&amp;e=RETAIL&amp;h=34&amp;i=132&amp;l=198&amp;ad=true" TargetMode="External" Id="rId204"/><Relationship Type="http://schemas.openxmlformats.org/officeDocument/2006/relationships/hyperlink" Target="https://new.land.naver.com/complexes/105570?ms=2AfAQG,3zprE6,17&amp;a=APT:ABYG:JGC&amp;b=A1:B1&amp;e=RETAIL&amp;h=34&amp;i=132&amp;l=198&amp;ad=true" TargetMode="External" Id="rId205"/><Relationship Type="http://schemas.openxmlformats.org/officeDocument/2006/relationships/hyperlink" Target="https://new.land.naver.com/complexes/7810?ms=2AfAQG,3zprE6,17&amp;a=APT:ABYG:JGC&amp;b=A1:B1&amp;e=RETAIL&amp;h=34&amp;i=132&amp;l=198&amp;ad=true" TargetMode="External" Id="rId206"/><Relationship Type="http://schemas.openxmlformats.org/officeDocument/2006/relationships/hyperlink" Target="https://new.land.naver.com/complexes/7810?ms=2AfAQG,3zprE6,17&amp;a=APT:ABYG:JGC&amp;b=A1:B1&amp;e=RETAIL&amp;h=34&amp;i=132&amp;l=198&amp;ad=true" TargetMode="External" Id="rId207"/><Relationship Type="http://schemas.openxmlformats.org/officeDocument/2006/relationships/hyperlink" Target="https://new.land.naver.com/complexes/7810?ms=2AfAQG,3zprE6,17&amp;a=APT:ABYG:JGC&amp;b=A1:B1&amp;e=RETAIL&amp;h=34&amp;i=132&amp;l=198&amp;ad=true" TargetMode="External" Id="rId208"/><Relationship Type="http://schemas.openxmlformats.org/officeDocument/2006/relationships/hyperlink" Target="https://new.land.naver.com/complexes/7810?ms=2AfAQG,3zprE6,17&amp;a=APT:ABYG:JGC&amp;b=A1:B1&amp;e=RETAIL&amp;h=34&amp;i=132&amp;l=198&amp;ad=true" TargetMode="External" Id="rId209"/><Relationship Type="http://schemas.openxmlformats.org/officeDocument/2006/relationships/hyperlink" Target="https://new.land.naver.com/complexes/7810?ms=2AfAQG,3zprE6,17&amp;a=APT:ABYG:JGC&amp;b=A1:B1&amp;e=RETAIL&amp;h=34&amp;i=132&amp;l=198&amp;ad=true" TargetMode="External" Id="rId210"/><Relationship Type="http://schemas.openxmlformats.org/officeDocument/2006/relationships/hyperlink" Target="https://new.land.naver.com/complexes/7810?ms=2AfAQG,3zprE6,17&amp;a=APT:ABYG:JGC&amp;b=A1:B1&amp;e=RETAIL&amp;h=34&amp;i=132&amp;l=198&amp;ad=true" TargetMode="External" Id="rId211"/><Relationship Type="http://schemas.openxmlformats.org/officeDocument/2006/relationships/hyperlink" Target="https://new.land.naver.com/complexes/105107?ms=2AfAQG,3zprE6,17&amp;a=APT:ABYG:JGC&amp;b=A1:B1&amp;e=RETAIL&amp;h=34&amp;i=132&amp;l=198&amp;ad=true" TargetMode="External" Id="rId212"/><Relationship Type="http://schemas.openxmlformats.org/officeDocument/2006/relationships/hyperlink" Target="https://new.land.naver.com/complexes/105107?ms=2AfAQG,3zprE6,17&amp;a=APT:ABYG:JGC&amp;b=A1:B1&amp;e=RETAIL&amp;h=34&amp;i=132&amp;l=198&amp;ad=true" TargetMode="External" Id="rId213"/><Relationship Type="http://schemas.openxmlformats.org/officeDocument/2006/relationships/hyperlink" Target="https://new.land.naver.com/complexes/105107?ms=2AfAQG,3zprE6,17&amp;a=APT:ABYG:JGC&amp;b=A1:B1&amp;e=RETAIL&amp;h=34&amp;i=132&amp;l=198&amp;ad=true" TargetMode="External" Id="rId214"/><Relationship Type="http://schemas.openxmlformats.org/officeDocument/2006/relationships/hyperlink" Target="https://new.land.naver.com/complexes/17375?ms=2AfAQG,3zprE6,17&amp;a=APT:ABYG:JGC&amp;b=A1:B1&amp;e=RETAIL&amp;h=34&amp;i=132&amp;l=198&amp;ad=true" TargetMode="External" Id="rId215"/><Relationship Type="http://schemas.openxmlformats.org/officeDocument/2006/relationships/hyperlink" Target="https://new.land.naver.com/complexes/17375?ms=2AfAQG,3zprE6,17&amp;a=APT:ABYG:JGC&amp;b=A1:B1&amp;e=RETAIL&amp;h=34&amp;i=132&amp;l=198&amp;ad=true" TargetMode="External" Id="rId216"/><Relationship Type="http://schemas.openxmlformats.org/officeDocument/2006/relationships/hyperlink" Target="https://new.land.naver.com/complexes/17375?ms=2AfAQG,3zprE6,17&amp;a=APT:ABYG:JGC&amp;b=A1:B1&amp;e=RETAIL&amp;h=34&amp;i=132&amp;l=198&amp;ad=true" TargetMode="External" Id="rId217"/><Relationship Type="http://schemas.openxmlformats.org/officeDocument/2006/relationships/hyperlink" Target="https://new.land.naver.com/complexes/17375?ms=2AfAQG,3zprE6,17&amp;a=APT:ABYG:JGC&amp;b=A1:B1&amp;e=RETAIL&amp;h=34&amp;i=132&amp;l=198&amp;ad=true" TargetMode="External" Id="rId218"/><Relationship Type="http://schemas.openxmlformats.org/officeDocument/2006/relationships/hyperlink" Target="https://new.land.naver.com/complexes/17375?ms=2AfAQG,3zprE6,17&amp;a=APT:ABYG:JGC&amp;b=A1:B1&amp;e=RETAIL&amp;h=34&amp;i=132&amp;l=198&amp;ad=true" TargetMode="External" Id="rId219"/><Relationship Type="http://schemas.openxmlformats.org/officeDocument/2006/relationships/hyperlink" Target="https://new.land.naver.com/complexes/101107?ms=2AfAQG,3zprE6,17&amp;a=APT:ABYG:JGC&amp;b=A1:B1&amp;e=RETAIL&amp;h=34&amp;i=132&amp;l=198&amp;ad=true" TargetMode="External" Id="rId220"/><Relationship Type="http://schemas.openxmlformats.org/officeDocument/2006/relationships/hyperlink" Target="https://new.land.naver.com/complexes/101107?ms=2AfAQG,3zprE6,17&amp;a=APT:ABYG:JGC&amp;b=A1:B1&amp;e=RETAIL&amp;h=34&amp;i=132&amp;l=198&amp;ad=true" TargetMode="External" Id="rId221"/><Relationship Type="http://schemas.openxmlformats.org/officeDocument/2006/relationships/hyperlink" Target="https://new.land.naver.com/complexes/101107?ms=2AfAQG,3zprE6,17&amp;a=APT:ABYG:JGC&amp;b=A1:B1&amp;e=RETAIL&amp;h=34&amp;i=132&amp;l=198&amp;ad=true" TargetMode="External" Id="rId222"/><Relationship Type="http://schemas.openxmlformats.org/officeDocument/2006/relationships/hyperlink" Target="https://new.land.naver.com/complexes/101107?ms=2AfAQG,3zprE6,17&amp;a=APT:ABYG:JGC&amp;b=A1:B1&amp;e=RETAIL&amp;h=34&amp;i=132&amp;l=198&amp;ad=true" TargetMode="External" Id="rId223"/><Relationship Type="http://schemas.openxmlformats.org/officeDocument/2006/relationships/hyperlink" Target="https://new.land.naver.com/complexes/101107?ms=2AfAQG,3zprE6,17&amp;a=APT:ABYG:JGC&amp;b=A1:B1&amp;e=RETAIL&amp;h=34&amp;i=132&amp;l=198&amp;ad=true" TargetMode="External" Id="rId224"/><Relationship Type="http://schemas.openxmlformats.org/officeDocument/2006/relationships/hyperlink" Target="https://new.land.naver.com/complexes/106792?ms=2AfAQG,3zprE6,17&amp;a=APT:ABYG:JGC&amp;b=A1:B1&amp;e=RETAIL&amp;h=34&amp;i=132&amp;l=198&amp;ad=true" TargetMode="External" Id="rId225"/><Relationship Type="http://schemas.openxmlformats.org/officeDocument/2006/relationships/hyperlink" Target="https://new.land.naver.com/complexes/106792?ms=2AfAQG,3zprE6,17&amp;a=APT:ABYG:JGC&amp;b=A1:B1&amp;e=RETAIL&amp;h=34&amp;i=132&amp;l=198&amp;ad=true" TargetMode="External" Id="rId226"/><Relationship Type="http://schemas.openxmlformats.org/officeDocument/2006/relationships/hyperlink" Target="https://new.land.naver.com/complexes/106792?ms=2AfAQG,3zprE6,17&amp;a=APT:ABYG:JGC&amp;b=A1:B1&amp;e=RETAIL&amp;h=34&amp;i=132&amp;l=198&amp;ad=true" TargetMode="External" Id="rId227"/><Relationship Type="http://schemas.openxmlformats.org/officeDocument/2006/relationships/hyperlink" Target="https://new.land.naver.com/complexes/106792?ms=2AfAQG,3zprE6,17&amp;a=APT:ABYG:JGC&amp;b=A1:B1&amp;e=RETAIL&amp;h=34&amp;i=132&amp;l=198&amp;ad=true" TargetMode="External" Id="rId228"/><Relationship Type="http://schemas.openxmlformats.org/officeDocument/2006/relationships/hyperlink" Target="https://new.land.naver.com/complexes/17376?ms=2AfAQG,3zprE6,17&amp;a=APT:ABYG:JGC&amp;b=A1:B1&amp;e=RETAIL&amp;h=34&amp;i=132&amp;l=198&amp;ad=true" TargetMode="External" Id="rId229"/><Relationship Type="http://schemas.openxmlformats.org/officeDocument/2006/relationships/hyperlink" Target="https://new.land.naver.com/complexes/17376?ms=2AfAQG,3zprE6,17&amp;a=APT:ABYG:JGC&amp;b=A1:B1&amp;e=RETAIL&amp;h=34&amp;i=132&amp;l=198&amp;ad=true" TargetMode="External" Id="rId230"/><Relationship Type="http://schemas.openxmlformats.org/officeDocument/2006/relationships/hyperlink" Target="https://new.land.naver.com/complexes/17376?ms=2AfAQG,3zprE6,17&amp;a=APT:ABYG:JGC&amp;b=A1:B1&amp;e=RETAIL&amp;h=34&amp;i=132&amp;l=198&amp;ad=true" TargetMode="External" Id="rId231"/><Relationship Type="http://schemas.openxmlformats.org/officeDocument/2006/relationships/hyperlink" Target="https://new.land.naver.com/complexes/17376?ms=2AfAQG,3zprE6,17&amp;a=APT:ABYG:JGC&amp;b=A1:B1&amp;e=RETAIL&amp;h=34&amp;i=132&amp;l=198&amp;ad=true" TargetMode="External" Id="rId232"/><Relationship Type="http://schemas.openxmlformats.org/officeDocument/2006/relationships/hyperlink" Target="https://new.land.naver.com/complexes/7847?ms=2AfAQG,3zprE6,17&amp;a=APT:ABYG:JGC&amp;b=A1:B1&amp;e=RETAIL&amp;h=34&amp;i=132&amp;l=198&amp;ad=true" TargetMode="External" Id="rId233"/><Relationship Type="http://schemas.openxmlformats.org/officeDocument/2006/relationships/hyperlink" Target="https://new.land.naver.com/complexes/7847?ms=2AfAQG,3zprE6,17&amp;a=APT:ABYG:JGC&amp;b=A1:B1&amp;e=RETAIL&amp;h=34&amp;i=132&amp;l=198&amp;ad=true" TargetMode="External" Id="rId234"/><Relationship Type="http://schemas.openxmlformats.org/officeDocument/2006/relationships/hyperlink" Target="https://new.land.naver.com/complexes/7847?ms=2AfAQG,3zprE6,17&amp;a=APT:ABYG:JGC&amp;b=A1:B1&amp;e=RETAIL&amp;h=34&amp;i=132&amp;l=198&amp;ad=true" TargetMode="External" Id="rId235"/><Relationship Type="http://schemas.openxmlformats.org/officeDocument/2006/relationships/hyperlink" Target="https://new.land.naver.com/complexes/7847?ms=2AfAQG,3zprE6,17&amp;a=APT:ABYG:JGC&amp;b=A1:B1&amp;e=RETAIL&amp;h=34&amp;i=132&amp;l=198&amp;ad=true" TargetMode="External" Id="rId236"/><Relationship Type="http://schemas.openxmlformats.org/officeDocument/2006/relationships/hyperlink" Target="https://new.land.naver.com/complexes/7847?ms=2AfAQG,3zprE6,17&amp;a=APT:ABYG:JGC&amp;b=A1:B1&amp;e=RETAIL&amp;h=34&amp;i=132&amp;l=198&amp;ad=true" TargetMode="External" Id="rId237"/><Relationship Type="http://schemas.openxmlformats.org/officeDocument/2006/relationships/hyperlink" Target="https://new.land.naver.com/complexes/7847?ms=2AfAQG,3zprE6,17&amp;a=APT:ABYG:JGC&amp;b=A1:B1&amp;e=RETAIL&amp;h=34&amp;i=132&amp;l=198&amp;ad=true" TargetMode="External" Id="rId238"/><Relationship Type="http://schemas.openxmlformats.org/officeDocument/2006/relationships/hyperlink" Target="https://new.land.naver.com/complexes/7847?ms=2AfAQG,3zprE6,17&amp;a=APT:ABYG:JGC&amp;b=A1:B1&amp;e=RETAIL&amp;h=34&amp;i=132&amp;l=198&amp;ad=true" TargetMode="External" Id="rId239"/><Relationship Type="http://schemas.openxmlformats.org/officeDocument/2006/relationships/hyperlink" Target="https://new.land.naver.com/complexes/7847?ms=2AfAQG,3zprE6,17&amp;a=APT:ABYG:JGC&amp;b=A1:B1&amp;e=RETAIL&amp;h=34&amp;i=132&amp;l=198&amp;ad=true" TargetMode="External" Id="rId240"/><Relationship Type="http://schemas.openxmlformats.org/officeDocument/2006/relationships/hyperlink" Target="https://new.land.naver.com/complexes/7853?ms=2AfAQG,3zprE6,17&amp;a=APT:ABYG:JGC&amp;b=A1:B1&amp;e=RETAIL&amp;h=34&amp;i=132&amp;l=198&amp;ad=true" TargetMode="External" Id="rId241"/><Relationship Type="http://schemas.openxmlformats.org/officeDocument/2006/relationships/hyperlink" Target="https://new.land.naver.com/complexes/7854?ms=2AfAQG,3zprE6,17&amp;a=APT:ABYG:JGC&amp;b=A1:B1&amp;e=RETAIL&amp;h=34&amp;i=132&amp;l=198&amp;ad=true" TargetMode="External" Id="rId242"/><Relationship Type="http://schemas.openxmlformats.org/officeDocument/2006/relationships/hyperlink" Target="https://new.land.naver.com/complexes/7854?ms=2AfAQG,3zprE6,17&amp;a=APT:ABYG:JGC&amp;b=A1:B1&amp;e=RETAIL&amp;h=34&amp;i=132&amp;l=198&amp;ad=true" TargetMode="External" Id="rId243"/><Relationship Type="http://schemas.openxmlformats.org/officeDocument/2006/relationships/hyperlink" Target="https://new.land.naver.com/complexes/16828?ms=2AfAQG,3zprE6,17&amp;a=APT:ABYG:JGC&amp;b=A1:B1&amp;e=RETAIL&amp;h=34&amp;i=132&amp;l=198&amp;ad=true" TargetMode="External" Id="rId244"/><Relationship Type="http://schemas.openxmlformats.org/officeDocument/2006/relationships/hyperlink" Target="https://new.land.naver.com/complexes/16828?ms=2AfAQG,3zprE6,17&amp;a=APT:ABYG:JGC&amp;b=A1:B1&amp;e=RETAIL&amp;h=34&amp;i=132&amp;l=198&amp;ad=true" TargetMode="External" Id="rId245"/><Relationship Type="http://schemas.openxmlformats.org/officeDocument/2006/relationships/hyperlink" Target="https://new.land.naver.com/complexes/16828?ms=2AfAQG,3zprE6,17&amp;a=APT:ABYG:JGC&amp;b=A1:B1&amp;e=RETAIL&amp;h=34&amp;i=132&amp;l=198&amp;ad=true" TargetMode="External" Id="rId246"/><Relationship Type="http://schemas.openxmlformats.org/officeDocument/2006/relationships/hyperlink" Target="https://new.land.naver.com/complexes/16828?ms=2AfAQG,3zprE6,17&amp;a=APT:ABYG:JGC&amp;b=A1:B1&amp;e=RETAIL&amp;h=34&amp;i=132&amp;l=198&amp;ad=true" TargetMode="External" Id="rId247"/><Relationship Type="http://schemas.openxmlformats.org/officeDocument/2006/relationships/hyperlink" Target="https://new.land.naver.com/complexes/7856?ms=2AfAQG,3zprE6,17&amp;a=APT:ABYG:JGC&amp;b=A1:B1&amp;e=RETAIL&amp;h=34&amp;i=132&amp;l=198&amp;ad=true" TargetMode="External" Id="rId248"/><Relationship Type="http://schemas.openxmlformats.org/officeDocument/2006/relationships/hyperlink" Target="https://new.land.naver.com/complexes/7856?ms=2AfAQG,3zprE6,17&amp;a=APT:ABYG:JGC&amp;b=A1:B1&amp;e=RETAIL&amp;h=34&amp;i=132&amp;l=198&amp;ad=true" TargetMode="External" Id="rId249"/><Relationship Type="http://schemas.openxmlformats.org/officeDocument/2006/relationships/hyperlink" Target="https://new.land.naver.com/complexes/27288?ms=2AfAQG,3zprE6,17&amp;a=APT:ABYG:JGC&amp;b=A1:B1&amp;e=RETAIL&amp;h=34&amp;i=132&amp;l=198&amp;ad=true" TargetMode="External" Id="rId250"/><Relationship Type="http://schemas.openxmlformats.org/officeDocument/2006/relationships/hyperlink" Target="https://new.land.naver.com/complexes/27288?ms=2AfAQG,3zprE6,17&amp;a=APT:ABYG:JGC&amp;b=A1:B1&amp;e=RETAIL&amp;h=34&amp;i=132&amp;l=198&amp;ad=true" TargetMode="External" Id="rId251"/><Relationship Type="http://schemas.openxmlformats.org/officeDocument/2006/relationships/hyperlink" Target="https://new.land.naver.com/complexes/15802?ms=2AfAQG,3zprE6,17&amp;a=APT:ABYG:JGC&amp;b=A1:B1&amp;e=RETAIL&amp;h=34&amp;i=132&amp;l=198&amp;ad=true" TargetMode="External" Id="rId252"/><Relationship Type="http://schemas.openxmlformats.org/officeDocument/2006/relationships/hyperlink" Target="https://new.land.naver.com/complexes/15802?ms=2AfAQG,3zprE6,17&amp;a=APT:ABYG:JGC&amp;b=A1:B1&amp;e=RETAIL&amp;h=34&amp;i=132&amp;l=198&amp;ad=true" TargetMode="External" Id="rId253"/><Relationship Type="http://schemas.openxmlformats.org/officeDocument/2006/relationships/hyperlink" Target="https://new.land.naver.com/complexes/15802?ms=2AfAQG,3zprE6,17&amp;a=APT:ABYG:JGC&amp;b=A1:B1&amp;e=RETAIL&amp;h=34&amp;i=132&amp;l=198&amp;ad=true" TargetMode="External" Id="rId254"/><Relationship Type="http://schemas.openxmlformats.org/officeDocument/2006/relationships/hyperlink" Target="https://new.land.naver.com/complexes/141478?ms=2AfAQG,3zprE6,17&amp;a=APT:ABYG:JGC&amp;b=A1:B1&amp;e=RETAIL&amp;h=34&amp;i=132&amp;l=198&amp;ad=true" TargetMode="External" Id="rId255"/><Relationship Type="http://schemas.openxmlformats.org/officeDocument/2006/relationships/hyperlink" Target="https://new.land.naver.com/complexes/141478?ms=2AfAQG,3zprE6,17&amp;a=APT:ABYG:JGC&amp;b=A1:B1&amp;e=RETAIL&amp;h=34&amp;i=132&amp;l=198&amp;ad=true" TargetMode="External" Id="rId256"/><Relationship Type="http://schemas.openxmlformats.org/officeDocument/2006/relationships/hyperlink" Target="https://new.land.naver.com/complexes/7858?ms=2AfAQG,3zprE6,17&amp;a=APT:ABYG:JGC&amp;b=A1:B1&amp;e=RETAIL&amp;h=34&amp;i=132&amp;l=198&amp;ad=true" TargetMode="External" Id="rId257"/><Relationship Type="http://schemas.openxmlformats.org/officeDocument/2006/relationships/hyperlink" Target="https://new.land.naver.com/complexes/7858?ms=2AfAQG,3zprE6,17&amp;a=APT:ABYG:JGC&amp;b=A1:B1&amp;e=RETAIL&amp;h=34&amp;i=132&amp;l=198&amp;ad=true" TargetMode="External" Id="rId258"/><Relationship Type="http://schemas.openxmlformats.org/officeDocument/2006/relationships/hyperlink" Target="https://new.land.naver.com/complexes/7858?ms=2AfAQG,3zprE6,17&amp;a=APT:ABYG:JGC&amp;b=A1:B1&amp;e=RETAIL&amp;h=34&amp;i=132&amp;l=198&amp;ad=true" TargetMode="External" Id="rId259"/><Relationship Type="http://schemas.openxmlformats.org/officeDocument/2006/relationships/hyperlink" Target="https://new.land.naver.com/complexes/7858?ms=2AfAQG,3zprE6,17&amp;a=APT:ABYG:JGC&amp;b=A1:B1&amp;e=RETAIL&amp;h=34&amp;i=132&amp;l=198&amp;ad=true" TargetMode="External" Id="rId260"/><Relationship Type="http://schemas.openxmlformats.org/officeDocument/2006/relationships/hyperlink" Target="https://new.land.naver.com/complexes/7862?ms=2AfAQG,3zprE6,17&amp;a=APT:ABYG:JGC&amp;b=A1:B1&amp;e=RETAIL&amp;h=34&amp;i=132&amp;l=198&amp;ad=true" TargetMode="External" Id="rId261"/><Relationship Type="http://schemas.openxmlformats.org/officeDocument/2006/relationships/hyperlink" Target="https://new.land.naver.com/complexes/7862?ms=2AfAQG,3zprE6,17&amp;a=APT:ABYG:JGC&amp;b=A1:B1&amp;e=RETAIL&amp;h=34&amp;i=132&amp;l=198&amp;ad=true" TargetMode="External" Id="rId262"/><Relationship Type="http://schemas.openxmlformats.org/officeDocument/2006/relationships/hyperlink" Target="https://new.land.naver.com/complexes/101485?ms=2AfAQG,3zprE6,17&amp;a=APT:ABYG:JGC&amp;b=A1:B1&amp;e=RETAIL&amp;h=34&amp;i=132&amp;l=198&amp;ad=true" TargetMode="External" Id="rId263"/><Relationship Type="http://schemas.openxmlformats.org/officeDocument/2006/relationships/hyperlink" Target="https://new.land.naver.com/complexes/101485?ms=2AfAQG,3zprE6,17&amp;a=APT:ABYG:JGC&amp;b=A1:B1&amp;e=RETAIL&amp;h=34&amp;i=132&amp;l=198&amp;ad=true" TargetMode="External" Id="rId264"/><Relationship Type="http://schemas.openxmlformats.org/officeDocument/2006/relationships/hyperlink" Target="https://new.land.naver.com/complexes/101485?ms=2AfAQG,3zprE6,17&amp;a=APT:ABYG:JGC&amp;b=A1:B1&amp;e=RETAIL&amp;h=34&amp;i=132&amp;l=198&amp;ad=true" TargetMode="External" Id="rId265"/><Relationship Type="http://schemas.openxmlformats.org/officeDocument/2006/relationships/hyperlink" Target="https://new.land.naver.com/complexes/14858?ms=2AfAQG,3zprE6,17&amp;a=APT:ABYG:JGC&amp;b=A1:B1&amp;e=RETAIL&amp;h=34&amp;i=132&amp;l=198&amp;ad=true" TargetMode="External" Id="rId266"/><Relationship Type="http://schemas.openxmlformats.org/officeDocument/2006/relationships/hyperlink" Target="https://new.land.naver.com/complexes/14858?ms=2AfAQG,3zprE6,17&amp;a=APT:ABYG:JGC&amp;b=A1:B1&amp;e=RETAIL&amp;h=34&amp;i=132&amp;l=198&amp;ad=true" TargetMode="External" Id="rId267"/><Relationship Type="http://schemas.openxmlformats.org/officeDocument/2006/relationships/hyperlink" Target="https://new.land.naver.com/complexes/14858?ms=2AfAQG,3zprE6,17&amp;a=APT:ABYG:JGC&amp;b=A1:B1&amp;e=RETAIL&amp;h=34&amp;i=132&amp;l=198&amp;ad=true" TargetMode="External" Id="rId268"/><Relationship Type="http://schemas.openxmlformats.org/officeDocument/2006/relationships/hyperlink" Target="https://new.land.naver.com/complexes/14858?ms=2AfAQG,3zprE6,17&amp;a=APT:ABYG:JGC&amp;b=A1:B1&amp;e=RETAIL&amp;h=34&amp;i=132&amp;l=198&amp;ad=true" TargetMode="External" Id="rId269"/><Relationship Type="http://schemas.openxmlformats.org/officeDocument/2006/relationships/hyperlink" Target="https://new.land.naver.com/complexes/14858?ms=2AfAQG,3zprE6,17&amp;a=APT:ABYG:JGC&amp;b=A1:B1&amp;e=RETAIL&amp;h=34&amp;i=132&amp;l=198&amp;ad=true" TargetMode="External" Id="rId270"/><Relationship Type="http://schemas.openxmlformats.org/officeDocument/2006/relationships/hyperlink" Target="https://new.land.naver.com/complexes/14858?ms=2AfAQG,3zprE6,17&amp;a=APT:ABYG:JGC&amp;b=A1:B1&amp;e=RETAIL&amp;h=34&amp;i=132&amp;l=198&amp;ad=true" TargetMode="External" Id="rId271"/><Relationship Type="http://schemas.openxmlformats.org/officeDocument/2006/relationships/hyperlink" Target="https://new.land.naver.com/complexes/14858?ms=2AfAQG,3zprE6,17&amp;a=APT:ABYG:JGC&amp;b=A1:B1&amp;e=RETAIL&amp;h=34&amp;i=132&amp;l=198&amp;ad=true" TargetMode="External" Id="rId272"/><Relationship Type="http://schemas.openxmlformats.org/officeDocument/2006/relationships/hyperlink" Target="https://new.land.naver.com/complexes/14858?ms=2AfAQG,3zprE6,17&amp;a=APT:ABYG:JGC&amp;b=A1:B1&amp;e=RETAIL&amp;h=34&amp;i=132&amp;l=198&amp;ad=true" TargetMode="External" Id="rId273"/><Relationship Type="http://schemas.openxmlformats.org/officeDocument/2006/relationships/hyperlink" Target="https://new.land.naver.com/complexes/141629?ms=2AfAQG,3zprE6,17&amp;a=APT:ABYG:JGC&amp;b=A1:B1&amp;e=RETAIL&amp;h=34&amp;i=132&amp;l=198&amp;ad=true" TargetMode="External" Id="rId274"/><Relationship Type="http://schemas.openxmlformats.org/officeDocument/2006/relationships/hyperlink" Target="https://new.land.naver.com/complexes/141629?ms=2AfAQG,3zprE6,17&amp;a=APT:ABYG:JGC&amp;b=A1:B1&amp;e=RETAIL&amp;h=34&amp;i=132&amp;l=198&amp;ad=true" TargetMode="External" Id="rId275"/><Relationship Type="http://schemas.openxmlformats.org/officeDocument/2006/relationships/hyperlink" Target="https://new.land.naver.com/complexes/141629?ms=2AfAQG,3zprE6,17&amp;a=APT:ABYG:JGC&amp;b=A1:B1&amp;e=RETAIL&amp;h=34&amp;i=132&amp;l=198&amp;ad=true" TargetMode="External" Id="rId276"/><Relationship Type="http://schemas.openxmlformats.org/officeDocument/2006/relationships/hyperlink" Target="https://new.land.naver.com/complexes/141629?ms=2AfAQG,3zprE6,17&amp;a=APT:ABYG:JGC&amp;b=A1:B1&amp;e=RETAIL&amp;h=34&amp;i=132&amp;l=198&amp;ad=true" TargetMode="External" Id="rId277"/><Relationship Type="http://schemas.openxmlformats.org/officeDocument/2006/relationships/hyperlink" Target="https://new.land.naver.com/complexes/141629?ms=2AfAQG,3zprE6,17&amp;a=APT:ABYG:JGC&amp;b=A1:B1&amp;e=RETAIL&amp;h=34&amp;i=132&amp;l=198&amp;ad=true" TargetMode="External" Id="rId278"/><Relationship Type="http://schemas.openxmlformats.org/officeDocument/2006/relationships/hyperlink" Target="https://new.land.naver.com/complexes/141629?ms=2AfAQG,3zprE6,17&amp;a=APT:ABYG:JGC&amp;b=A1:B1&amp;e=RETAIL&amp;h=34&amp;i=132&amp;l=198&amp;ad=true" TargetMode="External" Id="rId279"/><Relationship Type="http://schemas.openxmlformats.org/officeDocument/2006/relationships/hyperlink" Target="https://new.land.naver.com/complexes/141629?ms=2AfAQG,3zprE6,17&amp;a=APT:ABYG:JGC&amp;b=A1:B1&amp;e=RETAIL&amp;h=34&amp;i=132&amp;l=198&amp;ad=true" TargetMode="External" Id="rId280"/><Relationship Type="http://schemas.openxmlformats.org/officeDocument/2006/relationships/hyperlink" Target="https://new.land.naver.com/complexes/112307?ms=2AfAQG,3zprE6,17&amp;a=APT:ABYG:JGC&amp;b=A1:B1&amp;e=RETAIL&amp;h=34&amp;i=132&amp;l=198&amp;ad=true" TargetMode="External" Id="rId281"/><Relationship Type="http://schemas.openxmlformats.org/officeDocument/2006/relationships/hyperlink" Target="https://new.land.naver.com/complexes/112307?ms=2AfAQG,3zprE6,17&amp;a=APT:ABYG:JGC&amp;b=A1:B1&amp;e=RETAIL&amp;h=34&amp;i=132&amp;l=198&amp;ad=true" TargetMode="External" Id="rId282"/><Relationship Type="http://schemas.openxmlformats.org/officeDocument/2006/relationships/hyperlink" Target="https://new.land.naver.com/complexes/112307?ms=2AfAQG,3zprE6,17&amp;a=APT:ABYG:JGC&amp;b=A1:B1&amp;e=RETAIL&amp;h=34&amp;i=132&amp;l=198&amp;ad=true" TargetMode="External" Id="rId283"/><Relationship Type="http://schemas.openxmlformats.org/officeDocument/2006/relationships/hyperlink" Target="https://new.land.naver.com/complexes/112307?ms=2AfAQG,3zprE6,17&amp;a=APT:ABYG:JGC&amp;b=A1:B1&amp;e=RETAIL&amp;h=34&amp;i=132&amp;l=198&amp;ad=true" TargetMode="External" Id="rId284"/><Relationship Type="http://schemas.openxmlformats.org/officeDocument/2006/relationships/hyperlink" Target="https://new.land.naver.com/complexes/16836?ms=2AfAQG,3zprE6,17&amp;a=APT:ABYG:JGC&amp;b=A1:B1&amp;e=RETAIL&amp;h=34&amp;i=132&amp;l=198&amp;ad=true" TargetMode="External" Id="rId285"/><Relationship Type="http://schemas.openxmlformats.org/officeDocument/2006/relationships/hyperlink" Target="https://new.land.naver.com/complexes/16836?ms=2AfAQG,3zprE6,17&amp;a=APT:ABYG:JGC&amp;b=A1:B1&amp;e=RETAIL&amp;h=34&amp;i=132&amp;l=198&amp;ad=true" TargetMode="External" Id="rId286"/><Relationship Type="http://schemas.openxmlformats.org/officeDocument/2006/relationships/hyperlink" Target="https://new.land.naver.com/complexes/109465?ms=2AfAQG,3zprE6,17&amp;a=APT:ABYG:JGC&amp;b=A1:B1&amp;e=RETAIL&amp;h=34&amp;i=132&amp;l=198&amp;ad=true" TargetMode="External" Id="rId287"/><Relationship Type="http://schemas.openxmlformats.org/officeDocument/2006/relationships/hyperlink" Target="https://new.land.naver.com/complexes/109465?ms=2AfAQG,3zprE6,17&amp;a=APT:ABYG:JGC&amp;b=A1:B1&amp;e=RETAIL&amp;h=34&amp;i=132&amp;l=198&amp;ad=true" TargetMode="External" Id="rId288"/><Relationship Type="http://schemas.openxmlformats.org/officeDocument/2006/relationships/hyperlink" Target="https://new.land.naver.com/complexes/109465?ms=2AfAQG,3zprE6,17&amp;a=APT:ABYG:JGC&amp;b=A1:B1&amp;e=RETAIL&amp;h=34&amp;i=132&amp;l=198&amp;ad=true" TargetMode="External" Id="rId289"/><Relationship Type="http://schemas.openxmlformats.org/officeDocument/2006/relationships/hyperlink" Target="https://new.land.naver.com/complexes/109465?ms=2AfAQG,3zprE6,17&amp;a=APT:ABYG:JGC&amp;b=A1:B1&amp;e=RETAIL&amp;h=34&amp;i=132&amp;l=198&amp;ad=true" TargetMode="External" Id="rId290"/><Relationship Type="http://schemas.openxmlformats.org/officeDocument/2006/relationships/hyperlink" Target="https://new.land.naver.com/complexes/109465?ms=2AfAQG,3zprE6,17&amp;a=APT:ABYG:JGC&amp;b=A1:B1&amp;e=RETAIL&amp;h=34&amp;i=132&amp;l=198&amp;ad=true" TargetMode="External" Id="rId291"/><Relationship Type="http://schemas.openxmlformats.org/officeDocument/2006/relationships/hyperlink" Target="https://new.land.naver.com/complexes/11007?ms=2AfAQG,3zprE6,17&amp;a=APT:ABYG:JGC&amp;b=A1:B1&amp;e=RETAIL&amp;h=34&amp;i=132&amp;l=198&amp;ad=true" TargetMode="External" Id="rId292"/><Relationship Type="http://schemas.openxmlformats.org/officeDocument/2006/relationships/hyperlink" Target="https://new.land.naver.com/complexes/11007?ms=2AfAQG,3zprE6,17&amp;a=APT:ABYG:JGC&amp;b=A1:B1&amp;e=RETAIL&amp;h=34&amp;i=132&amp;l=198&amp;ad=true" TargetMode="External" Id="rId293"/><Relationship Type="http://schemas.openxmlformats.org/officeDocument/2006/relationships/hyperlink" Target="https://new.land.naver.com/complexes/148119?ms=2AfAQG,3zprE6,17&amp;a=APT:ABYG:JGC&amp;b=A1:B1&amp;e=RETAIL&amp;h=34&amp;i=132&amp;l=198&amp;ad=true" TargetMode="External" Id="rId294"/><Relationship Type="http://schemas.openxmlformats.org/officeDocument/2006/relationships/hyperlink" Target="https://new.land.naver.com/complexes/148119?ms=2AfAQG,3zprE6,17&amp;a=APT:ABYG:JGC&amp;b=A1:B1&amp;e=RETAIL&amp;h=34&amp;i=132&amp;l=198&amp;ad=true" TargetMode="External" Id="rId295"/><Relationship Type="http://schemas.openxmlformats.org/officeDocument/2006/relationships/hyperlink" Target="https://new.land.naver.com/complexes/148119?ms=2AfAQG,3zprE6,17&amp;a=APT:ABYG:JGC&amp;b=A1:B1&amp;e=RETAIL&amp;h=34&amp;i=132&amp;l=198&amp;ad=true" TargetMode="External" Id="rId296"/><Relationship Type="http://schemas.openxmlformats.org/officeDocument/2006/relationships/hyperlink" Target="https://new.land.naver.com/complexes/148119?ms=2AfAQG,3zprE6,17&amp;a=APT:ABYG:JGC&amp;b=A1:B1&amp;e=RETAIL&amp;h=34&amp;i=132&amp;l=198&amp;ad=true" TargetMode="External" Id="rId297"/></Relationships>
</file>

<file path=xl/worksheets/_rels/sheet7.xml.rels><Relationships xmlns="http://schemas.openxmlformats.org/package/2006/relationships"><Relationship Type="http://schemas.openxmlformats.org/officeDocument/2006/relationships/hyperlink" Target="https://m.blog.naver.com/daphney79/224191714135" TargetMode="External" Id="rId1"/><Relationship Type="http://schemas.openxmlformats.org/officeDocument/2006/relationships/hyperlink" Target="https://www.sisajournal-e.com/news/articleView.html?idxno=420828" TargetMode="External" Id="rId2"/><Relationship Type="http://schemas.openxmlformats.org/officeDocument/2006/relationships/hyperlink" Target="https://weolbu.com/community/4102956/%ED%95%9C-%EB%8B%AC-5kg-%EA%B0%90%EB%9F%89%ED%95%98%EB%A9%B0-%EA%B9%A8%EB%8B%AC%EC%9D%80-%EC%9D%98%EC%A7%80%EB%A0%A5-%EC%97%86%EC%9D%B4-%EC%84%B1%EA%B3%BC%EB%A5%BC-%EB%82%B4%EB%8A%94-%ED%99%98%EA%B2%BD%EC%85%8B%ED%8C%85%EC%9D%98-%EB%B9%84%EB%B0%80-%EA%B3%A8%EB%93%9C%ED%8A%B8%EC%9C%88?inviteCode=EC3C58&amp;utm_source=user_share&amp;utm_medium=referral&amp;utm_campaign=user_share_button" TargetMode="External" Id="rId3"/><Relationship Type="http://schemas.openxmlformats.org/officeDocument/2006/relationships/hyperlink" Target="https://namu.wiki/w/%EC%84%B1%EB%8F%99%EA%B5%AC%EC%B9%98%EC%86%8C%20%EA%B0%9C%EB%B0%9C%20%EB%85%BC%EB%9E%80" TargetMode="External" Id="rId4"/><Relationship Type="http://schemas.openxmlformats.org/officeDocument/2006/relationships/hyperlink" Target="https://n.news.naver.com/article/119/0003084715?lfrom=kakao" TargetMode="External" Id="rId5"/><Relationship Type="http://schemas.openxmlformats.org/officeDocument/2006/relationships/hyperlink" Target="https://m.edaily.co.kr/News/Read?newsId=01197206612744368" TargetMode="External" Id="rId6"/><Relationship Type="http://schemas.openxmlformats.org/officeDocument/2006/relationships/hyperlink" Target="&#51648;&#48169;&#53804;&#51088;&#49892;&#51204;&#48152;%20'&#51076;&#51109;&#48372;&#44256;&#49436;'%2020&#51109;%20&#50416;&#45716;%20&#48169;&#48277;_&#51077;&#51648;&#54200;%20%5b&#49457;&#44277;&#47336;&#54004;%5d" TargetMode="External" Id="rId7"/><Relationship Type="http://schemas.openxmlformats.org/officeDocument/2006/relationships/hyperlink" Target="https://new.land.naver.com/complexes/594?ms=2AfAQG,3zprE6,17&amp;a=APT:ABYG:JGC&amp;b=A1:B1&amp;e=RETAIL&amp;h=34&amp;i=132&amp;l=198&amp;ad=true" TargetMode="External" Id="rId8"/><Relationship Type="http://schemas.openxmlformats.org/officeDocument/2006/relationships/hyperlink" Target="https://new.land.naver.com/complexes/594?ms=2AfAQG,3zprE6,17&amp;a=APT:ABYG:JGC&amp;b=A1:B1&amp;e=RETAIL&amp;h=34&amp;i=132&amp;l=198&amp;ad=true" TargetMode="External" Id="rId9"/><Relationship Type="http://schemas.openxmlformats.org/officeDocument/2006/relationships/hyperlink" Target="https://new.land.naver.com/complexes/594?ms=2AfAQG,3zprE6,17&amp;a=APT:ABYG:JGC&amp;b=A1:B1&amp;e=RETAIL&amp;h=34&amp;i=132&amp;l=198&amp;ad=true" TargetMode="External" Id="rId10"/><Relationship Type="http://schemas.openxmlformats.org/officeDocument/2006/relationships/hyperlink" Target="https://new.land.naver.com/complexes/594?ms=2AfAQG,3zprE6,17&amp;a=APT:ABYG:JGC&amp;b=A1:B1&amp;e=RETAIL&amp;h=34&amp;i=132&amp;l=198&amp;ad=true" TargetMode="External" Id="rId11"/><Relationship Type="http://schemas.openxmlformats.org/officeDocument/2006/relationships/hyperlink" Target="https://new.land.naver.com/complexes/594?ms=2AfAQG,3zprE6,17&amp;a=APT:ABYG:JGC&amp;b=A1:B1&amp;e=RETAIL&amp;h=34&amp;i=132&amp;l=198&amp;ad=true" TargetMode="External" Id="rId12"/><Relationship Type="http://schemas.openxmlformats.org/officeDocument/2006/relationships/hyperlink" Target="https://new.land.naver.com/complexes/595?ms=2AfAQG,3zprE6,17&amp;a=APT:ABYG:JGC&amp;b=A1:B1&amp;e=RETAIL&amp;h=34&amp;i=132&amp;l=198&amp;ad=true" TargetMode="External" Id="rId13"/><Relationship Type="http://schemas.openxmlformats.org/officeDocument/2006/relationships/hyperlink" Target="https://new.land.naver.com/complexes/595?ms=2AfAQG,3zprE6,17&amp;a=APT:ABYG:JGC&amp;b=A1:B1&amp;e=RETAIL&amp;h=34&amp;i=132&amp;l=198&amp;ad=true" TargetMode="External" Id="rId14"/><Relationship Type="http://schemas.openxmlformats.org/officeDocument/2006/relationships/hyperlink" Target="https://new.land.naver.com/complexes/595?ms=2AfAQG,3zprE6,17&amp;a=APT:ABYG:JGC&amp;b=A1:B1&amp;e=RETAIL&amp;h=34&amp;i=132&amp;l=198&amp;ad=true" TargetMode="External" Id="rId15"/><Relationship Type="http://schemas.openxmlformats.org/officeDocument/2006/relationships/hyperlink" Target="https://new.land.naver.com/complexes/595?ms=2AfAQG,3zprE6,17&amp;a=APT:ABYG:JGC&amp;b=A1:B1&amp;e=RETAIL&amp;h=34&amp;i=132&amp;l=198&amp;ad=true" TargetMode="External" Id="rId16"/><Relationship Type="http://schemas.openxmlformats.org/officeDocument/2006/relationships/hyperlink" Target="https://new.land.naver.com/complexes/595?ms=2AfAQG,3zprE6,17&amp;a=APT:ABYG:JGC&amp;b=A1:B1&amp;e=RETAIL&amp;h=34&amp;i=132&amp;l=198&amp;ad=true" TargetMode="External" Id="rId17"/><Relationship Type="http://schemas.openxmlformats.org/officeDocument/2006/relationships/hyperlink" Target="https://new.land.naver.com/complexes/595?ms=2AfAQG,3zprE6,17&amp;a=APT:ABYG:JGC&amp;b=A1:B1&amp;e=RETAIL&amp;h=34&amp;i=132&amp;l=198&amp;ad=true" TargetMode="External" Id="rId18"/><Relationship Type="http://schemas.openxmlformats.org/officeDocument/2006/relationships/hyperlink" Target="https://new.land.naver.com/complexes/595?ms=2AfAQG,3zprE6,17&amp;a=APT:ABYG:JGC&amp;b=A1:B1&amp;e=RETAIL&amp;h=34&amp;i=132&amp;l=198&amp;ad=true" TargetMode="External" Id="rId19"/><Relationship Type="http://schemas.openxmlformats.org/officeDocument/2006/relationships/hyperlink" Target="https://new.land.naver.com/complexes/595?ms=2AfAQG,3zprE6,17&amp;a=APT:ABYG:JGC&amp;b=A1:B1&amp;e=RETAIL&amp;h=34&amp;i=132&amp;l=198&amp;ad=true" TargetMode="External" Id="rId20"/><Relationship Type="http://schemas.openxmlformats.org/officeDocument/2006/relationships/hyperlink" Target="https://new.land.naver.com/complexes/2997?ms=2AfAQG,3zprE6,17&amp;a=APT:ABYG:JGC&amp;b=A1:B1&amp;e=RETAIL&amp;h=34&amp;i=132&amp;l=198&amp;ad=true" TargetMode="External" Id="rId21"/><Relationship Type="http://schemas.openxmlformats.org/officeDocument/2006/relationships/hyperlink" Target="https://new.land.naver.com/complexes/2997?ms=2AfAQG,3zprE6,17&amp;a=APT:ABYG:JGC&amp;b=A1:B1&amp;e=RETAIL&amp;h=34&amp;i=132&amp;l=198&amp;ad=true" TargetMode="External" Id="rId22"/><Relationship Type="http://schemas.openxmlformats.org/officeDocument/2006/relationships/hyperlink" Target="https://new.land.naver.com/complexes/598?ms=2AfAQG,3zprE6,17&amp;a=APT:ABYG:JGC&amp;b=A1:B1&amp;e=RETAIL&amp;h=34&amp;i=132&amp;l=198&amp;ad=true" TargetMode="External" Id="rId23"/><Relationship Type="http://schemas.openxmlformats.org/officeDocument/2006/relationships/hyperlink" Target="https://new.land.naver.com/complexes/598?ms=2AfAQG,3zprE6,17&amp;a=APT:ABYG:JGC&amp;b=A1:B1&amp;e=RETAIL&amp;h=34&amp;i=132&amp;l=198&amp;ad=true" TargetMode="External" Id="rId24"/><Relationship Type="http://schemas.openxmlformats.org/officeDocument/2006/relationships/hyperlink" Target="https://new.land.naver.com/complexes/1196?ms=2AfAQG,3zprE6,17&amp;a=APT:ABYG:JGC&amp;b=A1:B1&amp;e=RETAIL&amp;h=34&amp;i=132&amp;l=198&amp;ad=true" TargetMode="External" Id="rId25"/><Relationship Type="http://schemas.openxmlformats.org/officeDocument/2006/relationships/hyperlink" Target="https://new.land.naver.com/complexes/1196?ms=2AfAQG,3zprE6,17&amp;a=APT:ABYG:JGC&amp;b=A1:B1&amp;e=RETAIL&amp;h=34&amp;i=132&amp;l=198&amp;ad=true" TargetMode="External" Id="rId26"/><Relationship Type="http://schemas.openxmlformats.org/officeDocument/2006/relationships/hyperlink" Target="https://new.land.naver.com/complexes/13643?ms=2AfAQG,3zprE6,17&amp;a=APT:ABYG:JGC&amp;b=A1:B1&amp;e=RETAIL&amp;h=34&amp;i=132&amp;l=198&amp;ad=true" TargetMode="External" Id="rId27"/><Relationship Type="http://schemas.openxmlformats.org/officeDocument/2006/relationships/hyperlink" Target="https://new.land.naver.com/complexes/13643?ms=2AfAQG,3zprE6,17&amp;a=APT:ABYG:JGC&amp;b=A1:B1&amp;e=RETAIL&amp;h=34&amp;i=132&amp;l=198&amp;ad=true" TargetMode="External" Id="rId28"/><Relationship Type="http://schemas.openxmlformats.org/officeDocument/2006/relationships/hyperlink" Target="https://new.land.naver.com/complexes/13643?ms=2AfAQG,3zprE6,17&amp;a=APT:ABYG:JGC&amp;b=A1:B1&amp;e=RETAIL&amp;h=34&amp;i=132&amp;l=198&amp;ad=true" TargetMode="External" Id="rId29"/><Relationship Type="http://schemas.openxmlformats.org/officeDocument/2006/relationships/hyperlink" Target="https://new.land.naver.com/complexes/13643?ms=2AfAQG,3zprE6,17&amp;a=APT:ABYG:JGC&amp;b=A1:B1&amp;e=RETAIL&amp;h=34&amp;i=132&amp;l=198&amp;ad=true" TargetMode="External" Id="rId30"/><Relationship Type="http://schemas.openxmlformats.org/officeDocument/2006/relationships/hyperlink" Target="https://new.land.naver.com/complexes/348?ms=2AfAQG,3zprE6,17&amp;a=APT:ABYG:JGC&amp;b=A1:B1&amp;e=RETAIL&amp;h=34&amp;i=132&amp;l=198&amp;ad=true" TargetMode="External" Id="rId31"/><Relationship Type="http://schemas.openxmlformats.org/officeDocument/2006/relationships/hyperlink" Target="https://new.land.naver.com/complexes/348?ms=2AfAQG,3zprE6,17&amp;a=APT:ABYG:JGC&amp;b=A1:B1&amp;e=RETAIL&amp;h=34&amp;i=132&amp;l=198&amp;ad=true" TargetMode="External" Id="rId32"/><Relationship Type="http://schemas.openxmlformats.org/officeDocument/2006/relationships/hyperlink" Target="https://new.land.naver.com/complexes/348?ms=2AfAQG,3zprE6,17&amp;a=APT:ABYG:JGC&amp;b=A1:B1&amp;e=RETAIL&amp;h=34&amp;i=132&amp;l=198&amp;ad=true" TargetMode="External" Id="rId33"/><Relationship Type="http://schemas.openxmlformats.org/officeDocument/2006/relationships/hyperlink" Target="https://new.land.naver.com/complexes/348?ms=2AfAQG,3zprE6,17&amp;a=APT:ABYG:JGC&amp;b=A1:B1&amp;e=RETAIL&amp;h=34&amp;i=132&amp;l=198&amp;ad=true" TargetMode="External" Id="rId34"/><Relationship Type="http://schemas.openxmlformats.org/officeDocument/2006/relationships/hyperlink" Target="https://new.land.naver.com/complexes/341?ms=2AfAQG,3zprE6,17&amp;a=APT:ABYG:JGC&amp;b=A1:B1&amp;e=RETAIL&amp;h=34&amp;i=132&amp;l=198&amp;ad=true" TargetMode="External" Id="rId35"/><Relationship Type="http://schemas.openxmlformats.org/officeDocument/2006/relationships/hyperlink" Target="https://new.land.naver.com/complexes/341?ms=2AfAQG,3zprE6,17&amp;a=APT:ABYG:JGC&amp;b=A1:B1&amp;e=RETAIL&amp;h=34&amp;i=132&amp;l=198&amp;ad=true" TargetMode="External" Id="rId36"/><Relationship Type="http://schemas.openxmlformats.org/officeDocument/2006/relationships/hyperlink" Target="https://new.land.naver.com/complexes/593?ms=2AfAQG,3zprE6,17&amp;a=APT:ABYG:JGC&amp;b=A1:B1&amp;e=RETAIL&amp;h=34&amp;i=132&amp;l=198&amp;ad=true" TargetMode="External" Id="rId37"/><Relationship Type="http://schemas.openxmlformats.org/officeDocument/2006/relationships/hyperlink" Target="https://new.land.naver.com/complexes/593?ms=2AfAQG,3zprE6,17&amp;a=APT:ABYG:JGC&amp;b=A1:B1&amp;e=RETAIL&amp;h=34&amp;i=132&amp;l=198&amp;ad=true" TargetMode="External" Id="rId38"/><Relationship Type="http://schemas.openxmlformats.org/officeDocument/2006/relationships/hyperlink" Target="https://new.land.naver.com/complexes/593?ms=2AfAQG,3zprE6,17&amp;a=APT:ABYG:JGC&amp;b=A1:B1&amp;e=RETAIL&amp;h=34&amp;i=132&amp;l=198&amp;ad=true" TargetMode="External" Id="rId39"/><Relationship Type="http://schemas.openxmlformats.org/officeDocument/2006/relationships/hyperlink" Target="https://new.land.naver.com/complexes/593?ms=2AfAQG,3zprE6,17&amp;a=APT:ABYG:JGC&amp;b=A1:B1&amp;e=RETAIL&amp;h=34&amp;i=132&amp;l=198&amp;ad=true" TargetMode="External" Id="rId40"/><Relationship Type="http://schemas.openxmlformats.org/officeDocument/2006/relationships/hyperlink" Target="https://new.land.naver.com/complexes/22809?ms=2AfAQG,3zprE6,17&amp;a=APT:ABYG:JGC&amp;b=A1:B1&amp;e=RETAIL&amp;h=34&amp;i=132&amp;l=198&amp;ad=true" TargetMode="External" Id="rId41"/><Relationship Type="http://schemas.openxmlformats.org/officeDocument/2006/relationships/hyperlink" Target="https://new.land.naver.com/complexes/22809?ms=2AfAQG,3zprE6,17&amp;a=APT:ABYG:JGC&amp;b=A1:B1&amp;e=RETAIL&amp;h=34&amp;i=132&amp;l=198&amp;ad=true" TargetMode="External" Id="rId42"/><Relationship Type="http://schemas.openxmlformats.org/officeDocument/2006/relationships/hyperlink" Target="https://new.land.naver.com/complexes/22809?ms=2AfAQG,3zprE6,17&amp;a=APT:ABYG:JGC&amp;b=A1:B1&amp;e=RETAIL&amp;h=34&amp;i=132&amp;l=198&amp;ad=true" TargetMode="External" Id="rId43"/><Relationship Type="http://schemas.openxmlformats.org/officeDocument/2006/relationships/hyperlink" Target="https://new.land.naver.com/complexes/22809?ms=2AfAQG,3zprE6,17&amp;a=APT:ABYG:JGC&amp;b=A1:B1&amp;e=RETAIL&amp;h=34&amp;i=132&amp;l=198&amp;ad=true" TargetMode="External" Id="rId44"/><Relationship Type="http://schemas.openxmlformats.org/officeDocument/2006/relationships/hyperlink" Target="https://new.land.naver.com/complexes/596?ms=2AfAQG,3zprE6,17&amp;a=APT:ABYG:JGC&amp;b=A1:B1&amp;e=RETAIL&amp;h=34&amp;i=132&amp;l=198&amp;ad=true" TargetMode="External" Id="rId45"/><Relationship Type="http://schemas.openxmlformats.org/officeDocument/2006/relationships/hyperlink" Target="https://new.land.naver.com/complexes/596?ms=2AfAQG,3zprE6,17&amp;a=APT:ABYG:JGC&amp;b=A1:B1&amp;e=RETAIL&amp;h=34&amp;i=132&amp;l=198&amp;ad=true" TargetMode="External" Id="rId46"/><Relationship Type="http://schemas.openxmlformats.org/officeDocument/2006/relationships/hyperlink" Target="https://new.land.naver.com/complexes/596?ms=2AfAQG,3zprE6,17&amp;a=APT:ABYG:JGC&amp;b=A1:B1&amp;e=RETAIL&amp;h=34&amp;i=132&amp;l=198&amp;ad=true" TargetMode="External" Id="rId47"/><Relationship Type="http://schemas.openxmlformats.org/officeDocument/2006/relationships/hyperlink" Target="https://new.land.naver.com/complexes/596?ms=2AfAQG,3zprE6,17&amp;a=APT:ABYG:JGC&amp;b=A1:B1&amp;e=RETAIL&amp;h=34&amp;i=132&amp;l=198&amp;ad=true" TargetMode="External" Id="rId48"/><Relationship Type="http://schemas.openxmlformats.org/officeDocument/2006/relationships/hyperlink" Target="https://new.land.naver.com/complexes/597?ms=2AfAQG,3zprE6,17&amp;a=APT:ABYG:JGC&amp;b=A1:B1&amp;e=RETAIL&amp;h=34&amp;i=132&amp;l=198&amp;ad=true" TargetMode="External" Id="rId49"/><Relationship Type="http://schemas.openxmlformats.org/officeDocument/2006/relationships/hyperlink" Target="https://new.land.naver.com/complexes/597?ms=2AfAQG,3zprE6,17&amp;a=APT:ABYG:JGC&amp;b=A1:B1&amp;e=RETAIL&amp;h=34&amp;i=132&amp;l=198&amp;ad=true" TargetMode="External" Id="rId50"/><Relationship Type="http://schemas.openxmlformats.org/officeDocument/2006/relationships/hyperlink" Target="https://new.land.naver.com/complexes/597?ms=2AfAQG,3zprE6,17&amp;a=APT:ABYG:JGC&amp;b=A1:B1&amp;e=RETAIL&amp;h=34&amp;i=132&amp;l=198&amp;ad=true" TargetMode="External" Id="rId51"/><Relationship Type="http://schemas.openxmlformats.org/officeDocument/2006/relationships/hyperlink" Target="https://new.land.naver.com/complexes/11733?ms=2AfAQG,3zprE6,17&amp;a=APT:ABYG:JGC&amp;b=A1:B1&amp;e=RETAIL&amp;h=34&amp;i=132&amp;l=198&amp;ad=true" TargetMode="External" Id="rId52"/><Relationship Type="http://schemas.openxmlformats.org/officeDocument/2006/relationships/hyperlink" Target="https://new.land.naver.com/complexes/12948?ms=2AfAQG,3zprE6,17&amp;a=APT:ABYG:JGC&amp;b=A1:B1&amp;e=RETAIL&amp;h=34&amp;i=132&amp;l=198&amp;ad=true" TargetMode="External" Id="rId53"/><Relationship Type="http://schemas.openxmlformats.org/officeDocument/2006/relationships/hyperlink" Target="https://new.land.naver.com/complexes/12948?ms=2AfAQG,3zprE6,17&amp;a=APT:ABYG:JGC&amp;b=A1:B1&amp;e=RETAIL&amp;h=34&amp;i=132&amp;l=198&amp;ad=true" TargetMode="External" Id="rId54"/><Relationship Type="http://schemas.openxmlformats.org/officeDocument/2006/relationships/hyperlink" Target="https://new.land.naver.com/complexes/12948?ms=2AfAQG,3zprE6,17&amp;a=APT:ABYG:JGC&amp;b=A1:B1&amp;e=RETAIL&amp;h=34&amp;i=132&amp;l=198&amp;ad=true" TargetMode="External" Id="rId55"/><Relationship Type="http://schemas.openxmlformats.org/officeDocument/2006/relationships/hyperlink" Target="https://new.land.naver.com/complexes/12948?ms=2AfAQG,3zprE6,17&amp;a=APT:ABYG:JGC&amp;b=A1:B1&amp;e=RETAIL&amp;h=34&amp;i=132&amp;l=198&amp;ad=true" TargetMode="External" Id="rId56"/><Relationship Type="http://schemas.openxmlformats.org/officeDocument/2006/relationships/hyperlink" Target="https://new.land.naver.com/complexes/12948?ms=2AfAQG,3zprE6,17&amp;a=APT:ABYG:JGC&amp;b=A1:B1&amp;e=RETAIL&amp;h=34&amp;i=132&amp;l=198&amp;ad=true" TargetMode="External" Id="rId57"/><Relationship Type="http://schemas.openxmlformats.org/officeDocument/2006/relationships/hyperlink" Target="https://new.land.naver.com/complexes/12948?ms=2AfAQG,3zprE6,17&amp;a=APT:ABYG:JGC&amp;b=A1:B1&amp;e=RETAIL&amp;h=34&amp;i=132&amp;l=198&amp;ad=true" TargetMode="External" Id="rId58"/><Relationship Type="http://schemas.openxmlformats.org/officeDocument/2006/relationships/hyperlink" Target="https://new.land.naver.com/complexes/12948?ms=2AfAQG,3zprE6,17&amp;a=APT:ABYG:JGC&amp;b=A1:B1&amp;e=RETAIL&amp;h=34&amp;i=132&amp;l=198&amp;ad=true" TargetMode="External" Id="rId59"/><Relationship Type="http://schemas.openxmlformats.org/officeDocument/2006/relationships/hyperlink" Target="https://new.land.naver.com/complexes/12948?ms=2AfAQG,3zprE6,17&amp;a=APT:ABYG:JGC&amp;b=A1:B1&amp;e=RETAIL&amp;h=34&amp;i=132&amp;l=198&amp;ad=true" TargetMode="External" Id="rId60"/><Relationship Type="http://schemas.openxmlformats.org/officeDocument/2006/relationships/hyperlink" Target="https://new.land.naver.com/complexes/12948?ms=2AfAQG,3zprE6,17&amp;a=APT:ABYG:JGC&amp;b=A1:B1&amp;e=RETAIL&amp;h=34&amp;i=132&amp;l=198&amp;ad=true" TargetMode="External" Id="rId61"/><Relationship Type="http://schemas.openxmlformats.org/officeDocument/2006/relationships/hyperlink" Target="https://new.land.naver.com/complexes/12948?ms=2AfAQG,3zprE6,17&amp;a=APT:ABYG:JGC&amp;b=A1:B1&amp;e=RETAIL&amp;h=34&amp;i=132&amp;l=198&amp;ad=true" TargetMode="External" Id="rId62"/><Relationship Type="http://schemas.openxmlformats.org/officeDocument/2006/relationships/hyperlink" Target="https://new.land.naver.com/complexes/12948?ms=2AfAQG,3zprE6,17&amp;a=APT:ABYG:JGC&amp;b=A1:B1&amp;e=RETAIL&amp;h=34&amp;i=132&amp;l=198&amp;ad=true" TargetMode="External" Id="rId63"/><Relationship Type="http://schemas.openxmlformats.org/officeDocument/2006/relationships/hyperlink" Target="https://new.land.naver.com/complexes/12948?ms=2AfAQG,3zprE6,17&amp;a=APT:ABYG:JGC&amp;b=A1:B1&amp;e=RETAIL&amp;h=34&amp;i=132&amp;l=198&amp;ad=true" TargetMode="External" Id="rId64"/><Relationship Type="http://schemas.openxmlformats.org/officeDocument/2006/relationships/hyperlink" Target="https://new.land.naver.com/complexes/12948?ms=2AfAQG,3zprE6,17&amp;a=APT:ABYG:JGC&amp;b=A1:B1&amp;e=RETAIL&amp;h=34&amp;i=132&amp;l=198&amp;ad=true" TargetMode="External" Id="rId65"/><Relationship Type="http://schemas.openxmlformats.org/officeDocument/2006/relationships/hyperlink" Target="https://new.land.naver.com/complexes/12948?ms=2AfAQG,3zprE6,17&amp;a=APT:ABYG:JGC&amp;b=A1:B1&amp;e=RETAIL&amp;h=34&amp;i=132&amp;l=198&amp;ad=true" TargetMode="External" Id="rId66"/><Relationship Type="http://schemas.openxmlformats.org/officeDocument/2006/relationships/hyperlink" Target="https://new.land.naver.com/complexes/12948?ms=2AfAQG,3zprE6,17&amp;a=APT:ABYG:JGC&amp;b=A1:B1&amp;e=RETAIL&amp;h=34&amp;i=132&amp;l=198&amp;ad=true" TargetMode="External" Id="rId67"/><Relationship Type="http://schemas.openxmlformats.org/officeDocument/2006/relationships/hyperlink" Target="https://new.land.naver.com/complexes/12948?ms=2AfAQG,3zprE6,17&amp;a=APT:ABYG:JGC&amp;b=A1:B1&amp;e=RETAIL&amp;h=34&amp;i=132&amp;l=198&amp;ad=true" TargetMode="External" Id="rId68"/><Relationship Type="http://schemas.openxmlformats.org/officeDocument/2006/relationships/hyperlink" Target="https://new.land.naver.com/complexes/600?ms=2AfAQG,3zprE6,17&amp;a=APT:ABYG:JGC&amp;b=A1:B1&amp;e=RETAIL&amp;h=34&amp;i=132&amp;l=198&amp;ad=true" TargetMode="External" Id="rId69"/><Relationship Type="http://schemas.openxmlformats.org/officeDocument/2006/relationships/hyperlink" Target="https://new.land.naver.com/complexes/600?ms=2AfAQG,3zprE6,17&amp;a=APT:ABYG:JGC&amp;b=A1:B1&amp;e=RETAIL&amp;h=34&amp;i=132&amp;l=198&amp;ad=true" TargetMode="External" Id="rId70"/><Relationship Type="http://schemas.openxmlformats.org/officeDocument/2006/relationships/hyperlink" Target="https://new.land.naver.com/complexes/600?ms=2AfAQG,3zprE6,17&amp;a=APT:ABYG:JGC&amp;b=A1:B1&amp;e=RETAIL&amp;h=34&amp;i=132&amp;l=198&amp;ad=true" TargetMode="External" Id="rId71"/><Relationship Type="http://schemas.openxmlformats.org/officeDocument/2006/relationships/hyperlink" Target="https://new.land.naver.com/complexes/600?ms=2AfAQG,3zprE6,17&amp;a=APT:ABYG:JGC&amp;b=A1:B1&amp;e=RETAIL&amp;h=34&amp;i=132&amp;l=198&amp;ad=true" TargetMode="External" Id="rId72"/><Relationship Type="http://schemas.openxmlformats.org/officeDocument/2006/relationships/hyperlink" Target="https://new.land.naver.com/complexes/111515?ms=2AfAQG,3zprE6,17&amp;a=APT:ABYG:JGC&amp;b=A1:B1&amp;e=RETAIL&amp;h=34&amp;i=132&amp;l=198&amp;ad=true" TargetMode="External" Id="rId73"/><Relationship Type="http://schemas.openxmlformats.org/officeDocument/2006/relationships/hyperlink" Target="https://new.land.naver.com/complexes/111515?ms=2AfAQG,3zprE6,17&amp;a=APT:ABYG:JGC&amp;b=A1:B1&amp;e=RETAIL&amp;h=34&amp;i=132&amp;l=198&amp;ad=true" TargetMode="External" Id="rId74"/><Relationship Type="http://schemas.openxmlformats.org/officeDocument/2006/relationships/hyperlink" Target="https://new.land.naver.com/complexes/111515?ms=2AfAQG,3zprE6,17&amp;a=APT:ABYG:JGC&amp;b=A1:B1&amp;e=RETAIL&amp;h=34&amp;i=132&amp;l=198&amp;ad=true" TargetMode="External" Id="rId75"/><Relationship Type="http://schemas.openxmlformats.org/officeDocument/2006/relationships/hyperlink" Target="https://new.land.naver.com/complexes/111515?ms=2AfAQG,3zprE6,17&amp;a=APT:ABYG:JGC&amp;b=A1:B1&amp;e=RETAIL&amp;h=34&amp;i=132&amp;l=198&amp;ad=true" TargetMode="External" Id="rId76"/><Relationship Type="http://schemas.openxmlformats.org/officeDocument/2006/relationships/hyperlink" Target="https://new.land.naver.com/complexes/111515?ms=2AfAQG,3zprE6,17&amp;a=APT:ABYG:JGC&amp;b=A1:B1&amp;e=RETAIL&amp;h=34&amp;i=132&amp;l=198&amp;ad=true" TargetMode="External" Id="rId77"/><Relationship Type="http://schemas.openxmlformats.org/officeDocument/2006/relationships/hyperlink" Target="https://new.land.naver.com/complexes/111515?ms=2AfAQG,3zprE6,17&amp;a=APT:ABYG:JGC&amp;b=A1:B1&amp;e=RETAIL&amp;h=34&amp;i=132&amp;l=198&amp;ad=true" TargetMode="External" Id="rId78"/><Relationship Type="http://schemas.openxmlformats.org/officeDocument/2006/relationships/hyperlink" Target="https://new.land.naver.com/complexes/111515?ms=2AfAQG,3zprE6,17&amp;a=APT:ABYG:JGC&amp;b=A1:B1&amp;e=RETAIL&amp;h=34&amp;i=132&amp;l=198&amp;ad=true" TargetMode="External" Id="rId79"/><Relationship Type="http://schemas.openxmlformats.org/officeDocument/2006/relationships/hyperlink" Target="https://new.land.naver.com/complexes/111515?ms=2AfAQG,3zprE6,17&amp;a=APT:ABYG:JGC&amp;b=A1:B1&amp;e=RETAIL&amp;h=34&amp;i=132&amp;l=198&amp;ad=true" TargetMode="External" Id="rId80"/><Relationship Type="http://schemas.openxmlformats.org/officeDocument/2006/relationships/hyperlink" Target="https://new.land.naver.com/complexes/119875?ms=2AfAQG,3zprE6,17&amp;a=APT:ABYG:JGC&amp;b=A1:B1&amp;e=RETAIL&amp;h=34&amp;i=132&amp;l=198&amp;ad=true" TargetMode="External" Id="rId81"/><Relationship Type="http://schemas.openxmlformats.org/officeDocument/2006/relationships/hyperlink" Target="https://new.land.naver.com/complexes/119875?ms=2AfAQG,3zprE6,17&amp;a=APT:ABYG:JGC&amp;b=A1:B1&amp;e=RETAIL&amp;h=34&amp;i=132&amp;l=198&amp;ad=true" TargetMode="External" Id="rId82"/><Relationship Type="http://schemas.openxmlformats.org/officeDocument/2006/relationships/hyperlink" Target="https://new.land.naver.com/complexes/119875?ms=2AfAQG,3zprE6,17&amp;a=APT:ABYG:JGC&amp;b=A1:B1&amp;e=RETAIL&amp;h=34&amp;i=132&amp;l=198&amp;ad=true" TargetMode="External" Id="rId83"/><Relationship Type="http://schemas.openxmlformats.org/officeDocument/2006/relationships/hyperlink" Target="https://new.land.naver.com/complexes/119875?ms=2AfAQG,3zprE6,17&amp;a=APT:ABYG:JGC&amp;b=A1:B1&amp;e=RETAIL&amp;h=34&amp;i=132&amp;l=198&amp;ad=true" TargetMode="External" Id="rId84"/><Relationship Type="http://schemas.openxmlformats.org/officeDocument/2006/relationships/hyperlink" Target="https://new.land.naver.com/complexes/119875?ms=2AfAQG,3zprE6,17&amp;a=APT:ABYG:JGC&amp;b=A1:B1&amp;e=RETAIL&amp;h=34&amp;i=132&amp;l=198&amp;ad=true" TargetMode="External" Id="rId85"/><Relationship Type="http://schemas.openxmlformats.org/officeDocument/2006/relationships/hyperlink" Target="https://new.land.naver.com/complexes/119875?ms=2AfAQG,3zprE6,17&amp;a=APT:ABYG:JGC&amp;b=A1:B1&amp;e=RETAIL&amp;h=34&amp;i=132&amp;l=198&amp;ad=true" TargetMode="External" Id="rId86"/><Relationship Type="http://schemas.openxmlformats.org/officeDocument/2006/relationships/hyperlink" Target="https://new.land.naver.com/complexes/352?ms=2AfAQG,3zprE6,17&amp;a=APT:ABYG:JGC&amp;b=A1:B1&amp;e=RETAIL&amp;h=34&amp;i=132&amp;l=198&amp;ad=true" TargetMode="External" Id="rId87"/><Relationship Type="http://schemas.openxmlformats.org/officeDocument/2006/relationships/hyperlink" Target="https://new.land.naver.com/complexes/352?ms=2AfAQG,3zprE6,17&amp;a=APT:ABYG:JGC&amp;b=A1:B1&amp;e=RETAIL&amp;h=34&amp;i=132&amp;l=198&amp;ad=true" TargetMode="External" Id="rId88"/><Relationship Type="http://schemas.openxmlformats.org/officeDocument/2006/relationships/hyperlink" Target="https://new.land.naver.com/complexes/352?ms=2AfAQG,3zprE6,17&amp;a=APT:ABYG:JGC&amp;b=A1:B1&amp;e=RETAIL&amp;h=34&amp;i=132&amp;l=198&amp;ad=true" TargetMode="External" Id="rId89"/><Relationship Type="http://schemas.openxmlformats.org/officeDocument/2006/relationships/hyperlink" Target="https://new.land.naver.com/complexes/352?ms=2AfAQG,3zprE6,17&amp;a=APT:ABYG:JGC&amp;b=A1:B1&amp;e=RETAIL&amp;h=34&amp;i=132&amp;l=198&amp;ad=true" TargetMode="External" Id="rId90"/><Relationship Type="http://schemas.openxmlformats.org/officeDocument/2006/relationships/hyperlink" Target="https://new.land.naver.com/complexes/352?ms=2AfAQG,3zprE6,17&amp;a=APT:ABYG:JGC&amp;b=A1:B1&amp;e=RETAIL&amp;h=34&amp;i=132&amp;l=198&amp;ad=true" TargetMode="External" Id="rId91"/><Relationship Type="http://schemas.openxmlformats.org/officeDocument/2006/relationships/hyperlink" Target="https://new.land.naver.com/complexes/353?ms=2AfAQG,3zprE6,17&amp;a=APT:ABYG:JGC&amp;b=A1:B1&amp;e=RETAIL&amp;h=34&amp;i=132&amp;l=198&amp;ad=true" TargetMode="External" Id="rId92"/><Relationship Type="http://schemas.openxmlformats.org/officeDocument/2006/relationships/hyperlink" Target="https://new.land.naver.com/complexes/353?ms=2AfAQG,3zprE6,17&amp;a=APT:ABYG:JGC&amp;b=A1:B1&amp;e=RETAIL&amp;h=34&amp;i=132&amp;l=198&amp;ad=true" TargetMode="External" Id="rId93"/><Relationship Type="http://schemas.openxmlformats.org/officeDocument/2006/relationships/hyperlink" Target="https://new.land.naver.com/complexes/951?ms=2AfAQG,3zprE6,17&amp;a=APT:ABYG:JGC&amp;b=A1:B1&amp;e=RETAIL&amp;h=34&amp;i=132&amp;l=198&amp;ad=true" TargetMode="External" Id="rId94"/><Relationship Type="http://schemas.openxmlformats.org/officeDocument/2006/relationships/hyperlink" Target="https://new.land.naver.com/complexes/951?ms=2AfAQG,3zprE6,17&amp;a=APT:ABYG:JGC&amp;b=A1:B1&amp;e=RETAIL&amp;h=34&amp;i=132&amp;l=198&amp;ad=true" TargetMode="External" Id="rId95"/><Relationship Type="http://schemas.openxmlformats.org/officeDocument/2006/relationships/hyperlink" Target="https://new.land.naver.com/complexes/951?ms=2AfAQG,3zprE6,17&amp;a=APT:ABYG:JGC&amp;b=A1:B1&amp;e=RETAIL&amp;h=34&amp;i=132&amp;l=198&amp;ad=true" TargetMode="External" Id="rId96"/><Relationship Type="http://schemas.openxmlformats.org/officeDocument/2006/relationships/hyperlink" Target="https://new.land.naver.com/complexes/951?ms=2AfAQG,3zprE6,17&amp;a=APT:ABYG:JGC&amp;b=A1:B1&amp;e=RETAIL&amp;h=34&amp;i=132&amp;l=198&amp;ad=true" TargetMode="External" Id="rId97"/><Relationship Type="http://schemas.openxmlformats.org/officeDocument/2006/relationships/hyperlink" Target="https://new.land.naver.com/complexes/952?ms=2AfAQG,3zprE6,17&amp;a=APT:ABYG:JGC&amp;b=A1:B1&amp;e=RETAIL&amp;h=34&amp;i=132&amp;l=198&amp;ad=true" TargetMode="External" Id="rId98"/><Relationship Type="http://schemas.openxmlformats.org/officeDocument/2006/relationships/hyperlink" Target="https://new.land.naver.com/complexes/952?ms=2AfAQG,3zprE6,17&amp;a=APT:ABYG:JGC&amp;b=A1:B1&amp;e=RETAIL&amp;h=34&amp;i=132&amp;l=198&amp;ad=true" TargetMode="External" Id="rId99"/><Relationship Type="http://schemas.openxmlformats.org/officeDocument/2006/relationships/hyperlink" Target="https://new.land.naver.com/complexes/952?ms=2AfAQG,3zprE6,17&amp;a=APT:ABYG:JGC&amp;b=A1:B1&amp;e=RETAIL&amp;h=34&amp;i=132&amp;l=198&amp;ad=true" TargetMode="External" Id="rId100"/><Relationship Type="http://schemas.openxmlformats.org/officeDocument/2006/relationships/hyperlink" Target="https://new.land.naver.com/complexes/128379?ms=2AfAQG,3zprE6,17&amp;a=APT:ABYG:JGC&amp;b=A1:B1&amp;e=RETAIL&amp;h=34&amp;i=132&amp;l=198&amp;ad=true" TargetMode="External" Id="rId101"/><Relationship Type="http://schemas.openxmlformats.org/officeDocument/2006/relationships/hyperlink" Target="https://new.land.naver.com/complexes/128378?ms=2AfAQG,3zprE6,17&amp;a=APT:ABYG:JGC&amp;b=A1:B1&amp;e=RETAIL&amp;h=34&amp;i=132&amp;l=198&amp;ad=true" TargetMode="External" Id="rId102"/><Relationship Type="http://schemas.openxmlformats.org/officeDocument/2006/relationships/hyperlink" Target="https://new.land.naver.com/complexes/128378?ms=2AfAQG,3zprE6,17&amp;a=APT:ABYG:JGC&amp;b=A1:B1&amp;e=RETAIL&amp;h=34&amp;i=132&amp;l=198&amp;ad=true" TargetMode="External" Id="rId103"/><Relationship Type="http://schemas.openxmlformats.org/officeDocument/2006/relationships/hyperlink" Target="https://new.land.naver.com/complexes/128378?ms=2AfAQG,3zprE6,17&amp;a=APT:ABYG:JGC&amp;b=A1:B1&amp;e=RETAIL&amp;h=34&amp;i=132&amp;l=198&amp;ad=true" TargetMode="External" Id="rId104"/><Relationship Type="http://schemas.openxmlformats.org/officeDocument/2006/relationships/hyperlink" Target="https://new.land.naver.com/complexes/128378?ms=2AfAQG,3zprE6,17&amp;a=APT:ABYG:JGC&amp;b=A1:B1&amp;e=RETAIL&amp;h=34&amp;i=132&amp;l=198&amp;ad=true" TargetMode="External" Id="rId105"/><Relationship Type="http://schemas.openxmlformats.org/officeDocument/2006/relationships/hyperlink" Target="https://new.land.naver.com/complexes/139920?ms=2AfAQG,3zprE6,17&amp;a=APT:ABYG:JGC&amp;b=A1:B1&amp;e=RETAIL&amp;h=34&amp;i=132&amp;l=198&amp;ad=true" TargetMode="External" Id="rId106"/><Relationship Type="http://schemas.openxmlformats.org/officeDocument/2006/relationships/hyperlink" Target="https://new.land.naver.com/complexes/139920?ms=2AfAQG,3zprE6,17&amp;a=APT:ABYG:JGC&amp;b=A1:B1&amp;e=RETAIL&amp;h=34&amp;i=132&amp;l=198&amp;ad=true" TargetMode="External" Id="rId107"/><Relationship Type="http://schemas.openxmlformats.org/officeDocument/2006/relationships/hyperlink" Target="https://new.land.naver.com/complexes/139920?ms=2AfAQG,3zprE6,17&amp;a=APT:ABYG:JGC&amp;b=A1:B1&amp;e=RETAIL&amp;h=34&amp;i=132&amp;l=198&amp;ad=true" TargetMode="External" Id="rId108"/><Relationship Type="http://schemas.openxmlformats.org/officeDocument/2006/relationships/hyperlink" Target="https://new.land.naver.com/complexes/139920?ms=2AfAQG,3zprE6,17&amp;a=APT:ABYG:JGC&amp;b=A1:B1&amp;e=RETAIL&amp;h=34&amp;i=132&amp;l=198&amp;ad=true" TargetMode="External" Id="rId109"/><Relationship Type="http://schemas.openxmlformats.org/officeDocument/2006/relationships/hyperlink" Target="https://new.land.naver.com/complexes/127132?ms=2AfAQG,3zprE6,17&amp;a=APT:ABYG:JGC&amp;b=A1:B1&amp;e=RETAIL&amp;h=34&amp;i=132&amp;l=198&amp;ad=true" TargetMode="External" Id="rId110"/><Relationship Type="http://schemas.openxmlformats.org/officeDocument/2006/relationships/hyperlink" Target="https://new.land.naver.com/complexes/127132?ms=2AfAQG,3zprE6,17&amp;a=APT:ABYG:JGC&amp;b=A1:B1&amp;e=RETAIL&amp;h=34&amp;i=132&amp;l=198&amp;ad=true" TargetMode="External" Id="rId111"/><Relationship Type="http://schemas.openxmlformats.org/officeDocument/2006/relationships/hyperlink" Target="https://new.land.naver.com/complexes/127132?ms=2AfAQG,3zprE6,17&amp;a=APT:ABYG:JGC&amp;b=A1:B1&amp;e=RETAIL&amp;h=34&amp;i=132&amp;l=198&amp;ad=true" TargetMode="External" Id="rId112"/><Relationship Type="http://schemas.openxmlformats.org/officeDocument/2006/relationships/hyperlink" Target="https://new.land.naver.com/complexes/132624?ms=2AfAQG,3zprE6,17&amp;a=APT:ABYG:JGC&amp;b=A1:B1&amp;e=RETAIL&amp;h=34&amp;i=132&amp;l=198&amp;ad=true" TargetMode="External" Id="rId113"/><Relationship Type="http://schemas.openxmlformats.org/officeDocument/2006/relationships/hyperlink" Target="https://new.land.naver.com/complexes/132624?ms=2AfAQG,3zprE6,17&amp;a=APT:ABYG:JGC&amp;b=A1:B1&amp;e=RETAIL&amp;h=34&amp;i=132&amp;l=198&amp;ad=true" TargetMode="External" Id="rId114"/><Relationship Type="http://schemas.openxmlformats.org/officeDocument/2006/relationships/hyperlink" Target="https://new.land.naver.com/complexes/132624?ms=2AfAQG,3zprE6,17&amp;a=APT:ABYG:JGC&amp;b=A1:B1&amp;e=RETAIL&amp;h=34&amp;i=132&amp;l=198&amp;ad=true" TargetMode="External" Id="rId115"/><Relationship Type="http://schemas.openxmlformats.org/officeDocument/2006/relationships/hyperlink" Target="https://new.land.naver.com/complexes/132624?ms=2AfAQG,3zprE6,17&amp;a=APT:ABYG:JGC&amp;b=A1:B1&amp;e=RETAIL&amp;h=34&amp;i=132&amp;l=198&amp;ad=true" TargetMode="External" Id="rId116"/><Relationship Type="http://schemas.openxmlformats.org/officeDocument/2006/relationships/hyperlink" Target="https://new.land.naver.com/complexes/132624?ms=2AfAQG,3zprE6,17&amp;a=APT:ABYG:JGC&amp;b=A1:B1&amp;e=RETAIL&amp;h=34&amp;i=132&amp;l=198&amp;ad=true" TargetMode="External" Id="rId117"/><Relationship Type="http://schemas.openxmlformats.org/officeDocument/2006/relationships/hyperlink" Target="https://new.land.naver.com/complexes/132624?ms=2AfAQG,3zprE6,17&amp;a=APT:ABYG:JGC&amp;b=A1:B1&amp;e=RETAIL&amp;h=34&amp;i=132&amp;l=198&amp;ad=true" TargetMode="External" Id="rId118"/><Relationship Type="http://schemas.openxmlformats.org/officeDocument/2006/relationships/hyperlink" Target="https://new.land.naver.com/complexes/1273?ms=2AfAQG,3zprE6,17&amp;a=APT:ABYG:JGC&amp;b=A1:B1&amp;e=RETAIL&amp;h=34&amp;i=132&amp;l=198&amp;ad=true" TargetMode="External" Id="rId119"/><Relationship Type="http://schemas.openxmlformats.org/officeDocument/2006/relationships/hyperlink" Target="https://new.land.naver.com/complexes/1273?ms=2AfAQG,3zprE6,17&amp;a=APT:ABYG:JGC&amp;b=A1:B1&amp;e=RETAIL&amp;h=34&amp;i=132&amp;l=198&amp;ad=true" TargetMode="External" Id="rId120"/><Relationship Type="http://schemas.openxmlformats.org/officeDocument/2006/relationships/hyperlink" Target="https://new.land.naver.com/complexes/1273?ms=2AfAQG,3zprE6,17&amp;a=APT:ABYG:JGC&amp;b=A1:B1&amp;e=RETAIL&amp;h=34&amp;i=132&amp;l=198&amp;ad=true" TargetMode="External" Id="rId121"/><Relationship Type="http://schemas.openxmlformats.org/officeDocument/2006/relationships/hyperlink" Target="https://new.land.naver.com/complexes/139917?ms=2AfAQG,3zprE6,17&amp;a=APT:ABYG:JGC&amp;b=A1:B1&amp;e=RETAIL&amp;h=34&amp;i=132&amp;l=198&amp;ad=true" TargetMode="External" Id="rId122"/><Relationship Type="http://schemas.openxmlformats.org/officeDocument/2006/relationships/hyperlink" Target="https://new.land.naver.com/complexes/139917?ms=2AfAQG,3zprE6,17&amp;a=APT:ABYG:JGC&amp;b=A1:B1&amp;e=RETAIL&amp;h=34&amp;i=132&amp;l=198&amp;ad=true" TargetMode="External" Id="rId123"/><Relationship Type="http://schemas.openxmlformats.org/officeDocument/2006/relationships/hyperlink" Target="https://new.land.naver.com/complexes/139917?ms=2AfAQG,3zprE6,17&amp;a=APT:ABYG:JGC&amp;b=A1:B1&amp;e=RETAIL&amp;h=34&amp;i=132&amp;l=198&amp;ad=true" TargetMode="External" Id="rId124"/><Relationship Type="http://schemas.openxmlformats.org/officeDocument/2006/relationships/hyperlink" Target="https://new.land.naver.com/complexes/139917?ms=2AfAQG,3zprE6,17&amp;a=APT:ABYG:JGC&amp;b=A1:B1&amp;e=RETAIL&amp;h=34&amp;i=132&amp;l=198&amp;ad=true" TargetMode="External" Id="rId125"/><Relationship Type="http://schemas.openxmlformats.org/officeDocument/2006/relationships/hyperlink" Target="https://new.land.naver.com/complexes/139917?ms=2AfAQG,3zprE6,17&amp;a=APT:ABYG:JGC&amp;b=A1:B1&amp;e=RETAIL&amp;h=34&amp;i=132&amp;l=198&amp;ad=true" TargetMode="External" Id="rId126"/><Relationship Type="http://schemas.openxmlformats.org/officeDocument/2006/relationships/hyperlink" Target="https://new.land.naver.com/complexes/355?ms=2AfAQG,3zprE6,17&amp;a=APT:ABYG:JGC&amp;b=A1:B1&amp;e=RETAIL&amp;h=34&amp;i=132&amp;l=198&amp;ad=true" TargetMode="External" Id="rId127"/><Relationship Type="http://schemas.openxmlformats.org/officeDocument/2006/relationships/hyperlink" Target="https://new.land.naver.com/complexes/355?ms=2AfAQG,3zprE6,17&amp;a=APT:ABYG:JGC&amp;b=A1:B1&amp;e=RETAIL&amp;h=34&amp;i=132&amp;l=198&amp;ad=true" TargetMode="External" Id="rId128"/><Relationship Type="http://schemas.openxmlformats.org/officeDocument/2006/relationships/hyperlink" Target="https://new.land.naver.com/complexes/355?ms=2AfAQG,3zprE6,17&amp;a=APT:ABYG:JGC&amp;b=A1:B1&amp;e=RETAIL&amp;h=34&amp;i=132&amp;l=198&amp;ad=true" TargetMode="External" Id="rId129"/><Relationship Type="http://schemas.openxmlformats.org/officeDocument/2006/relationships/hyperlink" Target="https://new.land.naver.com/complexes/605?ms=2AfAQG,3zprE6,17&amp;a=APT:ABYG:JGC&amp;b=A1:B1&amp;e=RETAIL&amp;h=34&amp;i=132&amp;l=198&amp;ad=true" TargetMode="External" Id="rId130"/><Relationship Type="http://schemas.openxmlformats.org/officeDocument/2006/relationships/hyperlink" Target="https://new.land.naver.com/complexes/357?ms=2AfAQG,3zprE6,17&amp;a=APT:ABYG:JGC&amp;b=A1:B1&amp;e=RETAIL&amp;h=34&amp;i=132&amp;l=198&amp;ad=true" TargetMode="External" Id="rId131"/><Relationship Type="http://schemas.openxmlformats.org/officeDocument/2006/relationships/hyperlink" Target="https://new.land.naver.com/complexes/3308?ms=2AfAQG,3zprE6,17&amp;a=APT:ABYG:JGC&amp;b=A1:B1&amp;e=RETAIL&amp;h=34&amp;i=132&amp;l=198&amp;ad=true" TargetMode="External" Id="rId132"/><Relationship Type="http://schemas.openxmlformats.org/officeDocument/2006/relationships/hyperlink" Target="https://new.land.naver.com/complexes/3308?ms=2AfAQG,3zprE6,17&amp;a=APT:ABYG:JGC&amp;b=A1:B1&amp;e=RETAIL&amp;h=34&amp;i=132&amp;l=198&amp;ad=true" TargetMode="External" Id="rId133"/><Relationship Type="http://schemas.openxmlformats.org/officeDocument/2006/relationships/hyperlink" Target="https://new.land.naver.com/complexes/3308?ms=2AfAQG,3zprE6,17&amp;a=APT:ABYG:JGC&amp;b=A1:B1&amp;e=RETAIL&amp;h=34&amp;i=132&amp;l=198&amp;ad=true" TargetMode="External" Id="rId134"/><Relationship Type="http://schemas.openxmlformats.org/officeDocument/2006/relationships/hyperlink" Target="https://new.land.naver.com/complexes/3308?ms=2AfAQG,3zprE6,17&amp;a=APT:ABYG:JGC&amp;b=A1:B1&amp;e=RETAIL&amp;h=34&amp;i=132&amp;l=198&amp;ad=true" TargetMode="External" Id="rId135"/><Relationship Type="http://schemas.openxmlformats.org/officeDocument/2006/relationships/hyperlink" Target="https://new.land.naver.com/complexes/3308?ms=2AfAQG,3zprE6,17&amp;a=APT:ABYG:JGC&amp;b=A1:B1&amp;e=RETAIL&amp;h=34&amp;i=132&amp;l=198&amp;ad=true" TargetMode="External" Id="rId136"/><Relationship Type="http://schemas.openxmlformats.org/officeDocument/2006/relationships/hyperlink" Target="https://new.land.naver.com/complexes/102313?ms=2AfAQG,3zprE6,17&amp;a=APT:ABYG:JGC&amp;b=A1:B1&amp;e=RETAIL&amp;h=34&amp;i=132&amp;l=198&amp;ad=true" TargetMode="External" Id="rId137"/><Relationship Type="http://schemas.openxmlformats.org/officeDocument/2006/relationships/hyperlink" Target="https://new.land.naver.com/complexes/102313?ms=2AfAQG,3zprE6,17&amp;a=APT:ABYG:JGC&amp;b=A1:B1&amp;e=RETAIL&amp;h=34&amp;i=132&amp;l=198&amp;ad=true" TargetMode="External" Id="rId138"/><Relationship Type="http://schemas.openxmlformats.org/officeDocument/2006/relationships/hyperlink" Target="https://new.land.naver.com/complexes/102313?ms=2AfAQG,3zprE6,17&amp;a=APT:ABYG:JGC&amp;b=A1:B1&amp;e=RETAIL&amp;h=34&amp;i=132&amp;l=198&amp;ad=true" TargetMode="External" Id="rId139"/><Relationship Type="http://schemas.openxmlformats.org/officeDocument/2006/relationships/hyperlink" Target="https://new.land.naver.com/complexes/102314?ms=2AfAQG,3zprE6,17&amp;a=APT:ABYG:JGC&amp;b=A1:B1&amp;e=RETAIL&amp;h=34&amp;i=132&amp;l=198&amp;ad=true" TargetMode="External" Id="rId140"/><Relationship Type="http://schemas.openxmlformats.org/officeDocument/2006/relationships/hyperlink" Target="https://new.land.naver.com/complexes/102314?ms=2AfAQG,3zprE6,17&amp;a=APT:ABYG:JGC&amp;b=A1:B1&amp;e=RETAIL&amp;h=34&amp;i=132&amp;l=198&amp;ad=true" TargetMode="External" Id="rId141"/><Relationship Type="http://schemas.openxmlformats.org/officeDocument/2006/relationships/hyperlink" Target="https://new.land.naver.com/complexes/102314?ms=2AfAQG,3zprE6,17&amp;a=APT:ABYG:JGC&amp;b=A1:B1&amp;e=RETAIL&amp;h=34&amp;i=132&amp;l=198&amp;ad=true" TargetMode="External" Id="rId142"/><Relationship Type="http://schemas.openxmlformats.org/officeDocument/2006/relationships/hyperlink" Target="https://new.land.naver.com/complexes/3307?ms=2AfAQG,3zprE6,17&amp;a=APT:ABYG:JGC&amp;b=A1:B1&amp;e=RETAIL&amp;h=34&amp;i=132&amp;l=198&amp;ad=true" TargetMode="External" Id="rId143"/><Relationship Type="http://schemas.openxmlformats.org/officeDocument/2006/relationships/hyperlink" Target="https://new.land.naver.com/complexes/3307?ms=2AfAQG,3zprE6,17&amp;a=APT:ABYG:JGC&amp;b=A1:B1&amp;e=RETAIL&amp;h=34&amp;i=132&amp;l=198&amp;ad=true" TargetMode="External" Id="rId144"/><Relationship Type="http://schemas.openxmlformats.org/officeDocument/2006/relationships/hyperlink" Target="https://new.land.naver.com/complexes/3307?ms=2AfAQG,3zprE6,17&amp;a=APT:ABYG:JGC&amp;b=A1:B1&amp;e=RETAIL&amp;h=34&amp;i=132&amp;l=198&amp;ad=true" TargetMode="External" Id="rId145"/><Relationship Type="http://schemas.openxmlformats.org/officeDocument/2006/relationships/hyperlink" Target="https://new.land.naver.com/complexes/3307?ms=2AfAQG,3zprE6,17&amp;a=APT:ABYG:JGC&amp;b=A1:B1&amp;e=RETAIL&amp;h=34&amp;i=132&amp;l=198&amp;ad=true" TargetMode="External" Id="rId146"/><Relationship Type="http://schemas.openxmlformats.org/officeDocument/2006/relationships/hyperlink" Target="https://new.land.naver.com/complexes/608?ms=2AfAQG,3zprE6,17&amp;a=APT:ABYG:JGC&amp;b=A1:B1&amp;e=RETAIL&amp;h=34&amp;i=132&amp;l=198&amp;ad=true" TargetMode="External" Id="rId147"/><Relationship Type="http://schemas.openxmlformats.org/officeDocument/2006/relationships/hyperlink" Target="https://new.land.naver.com/complexes/608?ms=2AfAQG,3zprE6,17&amp;a=APT:ABYG:JGC&amp;b=A1:B1&amp;e=RETAIL&amp;h=34&amp;i=132&amp;l=198&amp;ad=true" TargetMode="External" Id="rId148"/><Relationship Type="http://schemas.openxmlformats.org/officeDocument/2006/relationships/hyperlink" Target="https://new.land.naver.com/complexes/3033?ms=2AfAQG,3zprE6,17&amp;a=APT:ABYG:JGC&amp;b=A1:B1&amp;e=RETAIL&amp;h=34&amp;i=132&amp;l=198&amp;ad=true" TargetMode="External" Id="rId149"/><Relationship Type="http://schemas.openxmlformats.org/officeDocument/2006/relationships/hyperlink" Target="https://new.land.naver.com/complexes/3033?ms=2AfAQG,3zprE6,17&amp;a=APT:ABYG:JGC&amp;b=A1:B1&amp;e=RETAIL&amp;h=34&amp;i=132&amp;l=198&amp;ad=true" TargetMode="External" Id="rId150"/><Relationship Type="http://schemas.openxmlformats.org/officeDocument/2006/relationships/hyperlink" Target="https://new.land.naver.com/complexes/3033?ms=2AfAQG,3zprE6,17&amp;a=APT:ABYG:JGC&amp;b=A1:B1&amp;e=RETAIL&amp;h=34&amp;i=132&amp;l=198&amp;ad=true" TargetMode="External" Id="rId151"/><Relationship Type="http://schemas.openxmlformats.org/officeDocument/2006/relationships/hyperlink" Target="https://new.land.naver.com/complexes/3033?ms=2AfAQG,3zprE6,17&amp;a=APT:ABYG:JGC&amp;b=A1:B1&amp;e=RETAIL&amp;h=34&amp;i=132&amp;l=198&amp;ad=true" TargetMode="External" Id="rId152"/><Relationship Type="http://schemas.openxmlformats.org/officeDocument/2006/relationships/hyperlink" Target="https://new.land.naver.com/complexes/3033?ms=2AfAQG,3zprE6,17&amp;a=APT:ABYG:JGC&amp;b=A1:B1&amp;e=RETAIL&amp;h=34&amp;i=132&amp;l=198&amp;ad=true" TargetMode="External" Id="rId153"/><Relationship Type="http://schemas.openxmlformats.org/officeDocument/2006/relationships/hyperlink" Target="https://new.land.naver.com/complexes/3033?ms=2AfAQG,3zprE6,17&amp;a=APT:ABYG:JGC&amp;b=A1:B1&amp;e=RETAIL&amp;h=34&amp;i=132&amp;l=198&amp;ad=true" TargetMode="External" Id="rId154"/><Relationship Type="http://schemas.openxmlformats.org/officeDocument/2006/relationships/hyperlink" Target="https://new.land.naver.com/complexes/3033?ms=2AfAQG,3zprE6,17&amp;a=APT:ABYG:JGC&amp;b=A1:B1&amp;e=RETAIL&amp;h=34&amp;i=132&amp;l=198&amp;ad=true" TargetMode="External" Id="rId155"/><Relationship Type="http://schemas.openxmlformats.org/officeDocument/2006/relationships/hyperlink" Target="https://new.land.naver.com/complexes/609?ms=2AfAQG,3zprE6,17&amp;a=APT:ABYG:JGC&amp;b=A1:B1&amp;e=RETAIL&amp;h=34&amp;i=132&amp;l=198&amp;ad=true" TargetMode="External" Id="rId156"/><Relationship Type="http://schemas.openxmlformats.org/officeDocument/2006/relationships/hyperlink" Target="https://new.land.naver.com/complexes/609?ms=2AfAQG,3zprE6,17&amp;a=APT:ABYG:JGC&amp;b=A1:B1&amp;e=RETAIL&amp;h=34&amp;i=132&amp;l=198&amp;ad=true" TargetMode="External" Id="rId157"/><Relationship Type="http://schemas.openxmlformats.org/officeDocument/2006/relationships/hyperlink" Target="https://new.land.naver.com/complexes/609?ms=2AfAQG,3zprE6,17&amp;a=APT:ABYG:JGC&amp;b=A1:B1&amp;e=RETAIL&amp;h=34&amp;i=132&amp;l=198&amp;ad=true" TargetMode="External" Id="rId158"/><Relationship Type="http://schemas.openxmlformats.org/officeDocument/2006/relationships/hyperlink" Target="https://new.land.naver.com/complexes/609?ms=2AfAQG,3zprE6,17&amp;a=APT:ABYG:JGC&amp;b=A1:B1&amp;e=RETAIL&amp;h=34&amp;i=132&amp;l=198&amp;ad=true" TargetMode="External" Id="rId159"/><Relationship Type="http://schemas.openxmlformats.org/officeDocument/2006/relationships/hyperlink" Target="https://new.land.naver.com/complexes/171543?ms=2AfAQG,3zprE6,17&amp;a=APT:ABYG:JGC&amp;b=A1:B1&amp;e=RETAIL&amp;h=34&amp;i=132&amp;l=198&amp;ad=true" TargetMode="External" Id="rId160"/><Relationship Type="http://schemas.openxmlformats.org/officeDocument/2006/relationships/hyperlink" Target="https://new.land.naver.com/complexes/171543?ms=2AfAQG,3zprE6,17&amp;a=APT:ABYG:JGC&amp;b=A1:B1&amp;e=RETAIL&amp;h=34&amp;i=132&amp;l=198&amp;ad=true" TargetMode="External" Id="rId161"/><Relationship Type="http://schemas.openxmlformats.org/officeDocument/2006/relationships/hyperlink" Target="https://new.land.naver.com/complexes/171543?ms=2AfAQG,3zprE6,17&amp;a=APT:ABYG:JGC&amp;b=A1:B1&amp;e=RETAIL&amp;h=34&amp;i=132&amp;l=198&amp;ad=true" TargetMode="External" Id="rId162"/><Relationship Type="http://schemas.openxmlformats.org/officeDocument/2006/relationships/hyperlink" Target="https://new.land.naver.com/complexes/171543?ms=2AfAQG,3zprE6,17&amp;a=APT:ABYG:JGC&amp;b=A1:B1&amp;e=RETAIL&amp;h=34&amp;i=132&amp;l=198&amp;ad=true" TargetMode="External" Id="rId163"/><Relationship Type="http://schemas.openxmlformats.org/officeDocument/2006/relationships/hyperlink" Target="https://new.land.naver.com/complexes/171543?ms=2AfAQG,3zprE6,17&amp;a=APT:ABYG:JGC&amp;b=A1:B1&amp;e=RETAIL&amp;h=34&amp;i=132&amp;l=198&amp;ad=true" TargetMode="External" Id="rId164"/><Relationship Type="http://schemas.openxmlformats.org/officeDocument/2006/relationships/hyperlink" Target="https://new.land.naver.com/complexes/171543?ms=2AfAQG,3zprE6,17&amp;a=APT:ABYG:JGC&amp;b=A1:B1&amp;e=RETAIL&amp;h=34&amp;i=132&amp;l=198&amp;ad=true" TargetMode="External" Id="rId165"/><Relationship Type="http://schemas.openxmlformats.org/officeDocument/2006/relationships/hyperlink" Target="https://new.land.naver.com/complexes/171543?ms=2AfAQG,3zprE6,17&amp;a=APT:ABYG:JGC&amp;b=A1:B1&amp;e=RETAIL&amp;h=34&amp;i=132&amp;l=198&amp;ad=true" TargetMode="External" Id="rId166"/><Relationship Type="http://schemas.openxmlformats.org/officeDocument/2006/relationships/hyperlink" Target="https://new.land.naver.com/complexes/171543?ms=2AfAQG,3zprE6,17&amp;a=APT:ABYG:JGC&amp;b=A1:B1&amp;e=RETAIL&amp;h=34&amp;i=132&amp;l=198&amp;ad=true" TargetMode="External" Id="rId167"/><Relationship Type="http://schemas.openxmlformats.org/officeDocument/2006/relationships/hyperlink" Target="https://new.land.naver.com/complexes/171543?ms=2AfAQG,3zprE6,17&amp;a=APT:ABYG:JGC&amp;b=A1:B1&amp;e=RETAIL&amp;h=34&amp;i=132&amp;l=198&amp;ad=true" TargetMode="External" Id="rId168"/><Relationship Type="http://schemas.openxmlformats.org/officeDocument/2006/relationships/hyperlink" Target="https://new.land.naver.com/complexes/361?ms=2AfAQG,3zprE6,17&amp;a=APT:ABYG:JGC&amp;b=A1:B1&amp;e=RETAIL&amp;h=34&amp;i=132&amp;l=198&amp;ad=true" TargetMode="External" Id="rId169"/><Relationship Type="http://schemas.openxmlformats.org/officeDocument/2006/relationships/hyperlink" Target="https://new.land.naver.com/complexes/361?ms=2AfAQG,3zprE6,17&amp;a=APT:ABYG:JGC&amp;b=A1:B1&amp;e=RETAIL&amp;h=34&amp;i=132&amp;l=198&amp;ad=true" TargetMode="External" Id="rId170"/><Relationship Type="http://schemas.openxmlformats.org/officeDocument/2006/relationships/hyperlink" Target="https://new.land.naver.com/complexes/107544?ms=2AfAQG,3zprE6,17&amp;a=APT:ABYG:JGC&amp;b=A1:B1&amp;e=RETAIL&amp;h=34&amp;i=132&amp;l=198&amp;ad=true" TargetMode="External" Id="rId171"/><Relationship Type="http://schemas.openxmlformats.org/officeDocument/2006/relationships/hyperlink" Target="https://new.land.naver.com/complexes/107544?ms=2AfAQG,3zprE6,17&amp;a=APT:ABYG:JGC&amp;b=A1:B1&amp;e=RETAIL&amp;h=34&amp;i=132&amp;l=198&amp;ad=true" TargetMode="External" Id="rId172"/><Relationship Type="http://schemas.openxmlformats.org/officeDocument/2006/relationships/hyperlink" Target="https://new.land.naver.com/complexes/107544?ms=2AfAQG,3zprE6,17&amp;a=APT:ABYG:JGC&amp;b=A1:B1&amp;e=RETAIL&amp;h=34&amp;i=132&amp;l=198&amp;ad=true" TargetMode="External" Id="rId173"/><Relationship Type="http://schemas.openxmlformats.org/officeDocument/2006/relationships/hyperlink" Target="https://new.land.naver.com/complexes/107544?ms=2AfAQG,3zprE6,17&amp;a=APT:ABYG:JGC&amp;b=A1:B1&amp;e=RETAIL&amp;h=34&amp;i=132&amp;l=198&amp;ad=true" TargetMode="External" Id="rId174"/><Relationship Type="http://schemas.openxmlformats.org/officeDocument/2006/relationships/hyperlink" Target="https://new.land.naver.com/complexes/107544?ms=2AfAQG,3zprE6,17&amp;a=APT:ABYG:JGC&amp;b=A1:B1&amp;e=RETAIL&amp;h=34&amp;i=132&amp;l=198&amp;ad=true" TargetMode="External" Id="rId175"/><Relationship Type="http://schemas.openxmlformats.org/officeDocument/2006/relationships/hyperlink" Target="https://new.land.naver.com/complexes/610?ms=2AfAQG,3zprE6,17&amp;a=APT:ABYG:JGC&amp;b=A1:B1&amp;e=RETAIL&amp;h=34&amp;i=132&amp;l=198&amp;ad=true" TargetMode="External" Id="rId176"/><Relationship Type="http://schemas.openxmlformats.org/officeDocument/2006/relationships/hyperlink" Target="https://new.land.naver.com/complexes/610?ms=2AfAQG,3zprE6,17&amp;a=APT:ABYG:JGC&amp;b=A1:B1&amp;e=RETAIL&amp;h=34&amp;i=132&amp;l=198&amp;ad=true" TargetMode="External" Id="rId177"/><Relationship Type="http://schemas.openxmlformats.org/officeDocument/2006/relationships/hyperlink" Target="https://new.land.naver.com/complexes/610?ms=2AfAQG,3zprE6,17&amp;a=APT:ABYG:JGC&amp;b=A1:B1&amp;e=RETAIL&amp;h=34&amp;i=132&amp;l=198&amp;ad=true" TargetMode="External" Id="rId178"/><Relationship Type="http://schemas.openxmlformats.org/officeDocument/2006/relationships/hyperlink" Target="https://new.land.naver.com/complexes/610?ms=2AfAQG,3zprE6,17&amp;a=APT:ABYG:JGC&amp;b=A1:B1&amp;e=RETAIL&amp;h=34&amp;i=132&amp;l=198&amp;ad=true" TargetMode="External" Id="rId179"/><Relationship Type="http://schemas.openxmlformats.org/officeDocument/2006/relationships/hyperlink" Target="https://new.land.naver.com/complexes/610?ms=2AfAQG,3zprE6,17&amp;a=APT:ABYG:JGC&amp;b=A1:B1&amp;e=RETAIL&amp;h=34&amp;i=132&amp;l=198&amp;ad=true" TargetMode="External" Id="rId180"/><Relationship Type="http://schemas.openxmlformats.org/officeDocument/2006/relationships/hyperlink" Target="https://new.land.naver.com/complexes/365?ms=2AfAQG,3zprE6,17&amp;a=APT:ABYG:JGC&amp;b=A1:B1&amp;e=RETAIL&amp;h=34&amp;i=132&amp;l=198&amp;ad=true" TargetMode="External" Id="rId181"/><Relationship Type="http://schemas.openxmlformats.org/officeDocument/2006/relationships/hyperlink" Target="https://new.land.naver.com/complexes/365?ms=2AfAQG,3zprE6,17&amp;a=APT:ABYG:JGC&amp;b=A1:B1&amp;e=RETAIL&amp;h=34&amp;i=132&amp;l=198&amp;ad=true" TargetMode="External" Id="rId182"/><Relationship Type="http://schemas.openxmlformats.org/officeDocument/2006/relationships/hyperlink" Target="https://new.land.naver.com/complexes/166537?ms=2AfAQG,3zprE6,17&amp;a=APT:ABYG:JGC&amp;b=A1:B1&amp;e=RETAIL&amp;h=34&amp;i=132&amp;l=198&amp;ad=true" TargetMode="External" Id="rId183"/><Relationship Type="http://schemas.openxmlformats.org/officeDocument/2006/relationships/hyperlink" Target="https://new.land.naver.com/complexes/166537?ms=2AfAQG,3zprE6,17&amp;a=APT:ABYG:JGC&amp;b=A1:B1&amp;e=RETAIL&amp;h=34&amp;i=132&amp;l=198&amp;ad=true" TargetMode="External" Id="rId184"/><Relationship Type="http://schemas.openxmlformats.org/officeDocument/2006/relationships/hyperlink" Target="https://new.land.naver.com/complexes/166537?ms=2AfAQG,3zprE6,17&amp;a=APT:ABYG:JGC&amp;b=A1:B1&amp;e=RETAIL&amp;h=34&amp;i=132&amp;l=198&amp;ad=true" TargetMode="External" Id="rId185"/><Relationship Type="http://schemas.openxmlformats.org/officeDocument/2006/relationships/hyperlink" Target="https://new.land.naver.com/complexes/166537?ms=2AfAQG,3zprE6,17&amp;a=APT:ABYG:JGC&amp;b=A1:B1&amp;e=RETAIL&amp;h=34&amp;i=132&amp;l=198&amp;ad=true" TargetMode="External" Id="rId186"/><Relationship Type="http://schemas.openxmlformats.org/officeDocument/2006/relationships/hyperlink" Target="https://new.land.naver.com/complexes/611?ms=2AfAQG,3zprE6,17&amp;a=APT:ABYG:JGC&amp;b=A1:B1&amp;e=RETAIL&amp;h=34&amp;i=132&amp;l=198&amp;ad=true" TargetMode="External" Id="rId187"/><Relationship Type="http://schemas.openxmlformats.org/officeDocument/2006/relationships/hyperlink" Target="https://new.land.naver.com/complexes/611?ms=2AfAQG,3zprE6,17&amp;a=APT:ABYG:JGC&amp;b=A1:B1&amp;e=RETAIL&amp;h=34&amp;i=132&amp;l=198&amp;ad=true" TargetMode="External" Id="rId188"/><Relationship Type="http://schemas.openxmlformats.org/officeDocument/2006/relationships/hyperlink" Target="https://new.land.naver.com/complexes/611?ms=2AfAQG,3zprE6,17&amp;a=APT:ABYG:JGC&amp;b=A1:B1&amp;e=RETAIL&amp;h=34&amp;i=132&amp;l=198&amp;ad=true" TargetMode="External" Id="rId189"/><Relationship Type="http://schemas.openxmlformats.org/officeDocument/2006/relationships/hyperlink" Target="https://new.land.naver.com/complexes/634?ms=2AfAQG,3zprE6,17&amp;a=APT:ABYG:JGC&amp;b=A1:B1&amp;e=RETAIL&amp;h=34&amp;i=132&amp;l=198&amp;ad=true" TargetMode="External" Id="rId190"/><Relationship Type="http://schemas.openxmlformats.org/officeDocument/2006/relationships/hyperlink" Target="https://new.land.naver.com/complexes/634?ms=2AfAQG,3zprE6,17&amp;a=APT:ABYG:JGC&amp;b=A1:B1&amp;e=RETAIL&amp;h=34&amp;i=132&amp;l=198&amp;ad=true" TargetMode="External" Id="rId191"/><Relationship Type="http://schemas.openxmlformats.org/officeDocument/2006/relationships/hyperlink" Target="https://new.land.naver.com/complexes/634?ms=2AfAQG,3zprE6,17&amp;a=APT:ABYG:JGC&amp;b=A1:B1&amp;e=RETAIL&amp;h=34&amp;i=132&amp;l=198&amp;ad=true" TargetMode="External" Id="rId192"/><Relationship Type="http://schemas.openxmlformats.org/officeDocument/2006/relationships/hyperlink" Target="https://new.land.naver.com/complexes/634?ms=2AfAQG,3zprE6,17&amp;a=APT:ABYG:JGC&amp;b=A1:B1&amp;e=RETAIL&amp;h=34&amp;i=132&amp;l=198&amp;ad=true" TargetMode="External" Id="rId193"/><Relationship Type="http://schemas.openxmlformats.org/officeDocument/2006/relationships/hyperlink" Target="https://new.land.naver.com/complexes/634?ms=2AfAQG,3zprE6,17&amp;a=APT:ABYG:JGC&amp;b=A1:B1&amp;e=RETAIL&amp;h=34&amp;i=132&amp;l=198&amp;ad=true" TargetMode="External" Id="rId194"/><Relationship Type="http://schemas.openxmlformats.org/officeDocument/2006/relationships/hyperlink" Target="https://new.land.naver.com/complexes/634?ms=2AfAQG,3zprE6,17&amp;a=APT:ABYG:JGC&amp;b=A1:B1&amp;e=RETAIL&amp;h=34&amp;i=132&amp;l=198&amp;ad=true" TargetMode="External" Id="rId195"/><Relationship Type="http://schemas.openxmlformats.org/officeDocument/2006/relationships/hyperlink" Target="https://new.land.naver.com/complexes/634?ms=2AfAQG,3zprE6,17&amp;a=APT:ABYG:JGC&amp;b=A1:B1&amp;e=RETAIL&amp;h=34&amp;i=132&amp;l=198&amp;ad=true" TargetMode="External" Id="rId196"/><Relationship Type="http://schemas.openxmlformats.org/officeDocument/2006/relationships/hyperlink" Target="https://new.land.naver.com/complexes/634?ms=2AfAQG,3zprE6,17&amp;a=APT:ABYG:JGC&amp;b=A1:B1&amp;e=RETAIL&amp;h=34&amp;i=132&amp;l=198&amp;ad=true" TargetMode="External" Id="rId197"/><Relationship Type="http://schemas.openxmlformats.org/officeDocument/2006/relationships/hyperlink" Target="https://new.land.naver.com/complexes/634?ms=2AfAQG,3zprE6,17&amp;a=APT:ABYG:JGC&amp;b=A1:B1&amp;e=RETAIL&amp;h=34&amp;i=132&amp;l=198&amp;ad=true" TargetMode="External" Id="rId198"/><Relationship Type="http://schemas.openxmlformats.org/officeDocument/2006/relationships/hyperlink" Target="https://new.land.naver.com/complexes/634?ms=2AfAQG,3zprE6,17&amp;a=APT:ABYG:JGC&amp;b=A1:B1&amp;e=RETAIL&amp;h=34&amp;i=132&amp;l=198&amp;ad=true" TargetMode="External" Id="rId199"/><Relationship Type="http://schemas.openxmlformats.org/officeDocument/2006/relationships/hyperlink" Target="https://new.land.naver.com/complexes/634?ms=2AfAQG,3zprE6,17&amp;a=APT:ABYG:JGC&amp;b=A1:B1&amp;e=RETAIL&amp;h=34&amp;i=132&amp;l=198&amp;ad=true" TargetMode="External" Id="rId200"/><Relationship Type="http://schemas.openxmlformats.org/officeDocument/2006/relationships/hyperlink" Target="https://new.land.naver.com/complexes/634?ms=2AfAQG,3zprE6,17&amp;a=APT:ABYG:JGC&amp;b=A1:B1&amp;e=RETAIL&amp;h=34&amp;i=132&amp;l=198&amp;ad=true" TargetMode="External" Id="rId201"/><Relationship Type="http://schemas.openxmlformats.org/officeDocument/2006/relationships/hyperlink" Target="https://new.land.naver.com/complexes/634?ms=2AfAQG,3zprE6,17&amp;a=APT:ABYG:JGC&amp;b=A1:B1&amp;e=RETAIL&amp;h=34&amp;i=132&amp;l=198&amp;ad=true" TargetMode="External" Id="rId202"/><Relationship Type="http://schemas.openxmlformats.org/officeDocument/2006/relationships/hyperlink" Target="https://new.land.naver.com/complexes/634?ms=2AfAQG,3zprE6,17&amp;a=APT:ABYG:JGC&amp;b=A1:B1&amp;e=RETAIL&amp;h=34&amp;i=132&amp;l=198&amp;ad=true" TargetMode="External" Id="rId203"/><Relationship Type="http://schemas.openxmlformats.org/officeDocument/2006/relationships/hyperlink" Target="https://new.land.naver.com/complexes/634?ms=2AfAQG,3zprE6,17&amp;a=APT:ABYG:JGC&amp;b=A1:B1&amp;e=RETAIL&amp;h=34&amp;i=132&amp;l=198&amp;ad=true" TargetMode="External" Id="rId204"/><Relationship Type="http://schemas.openxmlformats.org/officeDocument/2006/relationships/hyperlink" Target="https://new.land.naver.com/complexes/634?ms=2AfAQG,3zprE6,17&amp;a=APT:ABYG:JGC&amp;b=A1:B1&amp;e=RETAIL&amp;h=34&amp;i=132&amp;l=198&amp;ad=true" TargetMode="External" Id="rId205"/><Relationship Type="http://schemas.openxmlformats.org/officeDocument/2006/relationships/hyperlink" Target="https://new.land.naver.com/complexes/613?ms=2AfAQG,3zprE6,17&amp;a=APT:ABYG:JGC&amp;b=A1:B1&amp;e=RETAIL&amp;h=34&amp;i=132&amp;l=198&amp;ad=true" TargetMode="External" Id="rId206"/><Relationship Type="http://schemas.openxmlformats.org/officeDocument/2006/relationships/hyperlink" Target="https://new.land.naver.com/complexes/613?ms=2AfAQG,3zprE6,17&amp;a=APT:ABYG:JGC&amp;b=A1:B1&amp;e=RETAIL&amp;h=34&amp;i=132&amp;l=198&amp;ad=true" TargetMode="External" Id="rId207"/><Relationship Type="http://schemas.openxmlformats.org/officeDocument/2006/relationships/hyperlink" Target="https://new.land.naver.com/complexes/613?ms=2AfAQG,3zprE6,17&amp;a=APT:ABYG:JGC&amp;b=A1:B1&amp;e=RETAIL&amp;h=34&amp;i=132&amp;l=198&amp;ad=true" TargetMode="External" Id="rId208"/><Relationship Type="http://schemas.openxmlformats.org/officeDocument/2006/relationships/hyperlink" Target="https://new.land.naver.com/complexes/612?ms=2AfAQG,3zprE6,17&amp;a=APT:ABYG:JGC&amp;b=A1:B1&amp;e=RETAIL&amp;h=34&amp;i=132&amp;l=198&amp;ad=true" TargetMode="External" Id="rId209"/><Relationship Type="http://schemas.openxmlformats.org/officeDocument/2006/relationships/hyperlink" Target="https://new.land.naver.com/complexes/612?ms=2AfAQG,3zprE6,17&amp;a=APT:ABYG:JGC&amp;b=A1:B1&amp;e=RETAIL&amp;h=34&amp;i=132&amp;l=198&amp;ad=true" TargetMode="External" Id="rId210"/><Relationship Type="http://schemas.openxmlformats.org/officeDocument/2006/relationships/hyperlink" Target="https://new.land.naver.com/complexes/3751?ms=2AfAQG,3zprE6,17&amp;a=APT:ABYG:JGC&amp;b=A1:B1&amp;e=RETAIL&amp;h=34&amp;i=132&amp;l=198&amp;ad=true" TargetMode="External" Id="rId211"/><Relationship Type="http://schemas.openxmlformats.org/officeDocument/2006/relationships/hyperlink" Target="https://new.land.naver.com/complexes/3751?ms=2AfAQG,3zprE6,17&amp;a=APT:ABYG:JGC&amp;b=A1:B1&amp;e=RETAIL&amp;h=34&amp;i=132&amp;l=198&amp;ad=true" TargetMode="External" Id="rId212"/><Relationship Type="http://schemas.openxmlformats.org/officeDocument/2006/relationships/hyperlink" Target="https://new.land.naver.com/complexes/615?ms=2AfAQG,3zprE6,17&amp;a=APT:ABYG:JGC&amp;b=A1:B1&amp;e=RETAIL&amp;h=34&amp;i=132&amp;l=198&amp;ad=true" TargetMode="External" Id="rId213"/><Relationship Type="http://schemas.openxmlformats.org/officeDocument/2006/relationships/hyperlink" Target="https://new.land.naver.com/complexes/615?ms=2AfAQG,3zprE6,17&amp;a=APT:ABYG:JGC&amp;b=A1:B1&amp;e=RETAIL&amp;h=34&amp;i=132&amp;l=198&amp;ad=true" TargetMode="External" Id="rId214"/><Relationship Type="http://schemas.openxmlformats.org/officeDocument/2006/relationships/hyperlink" Target="https://new.land.naver.com/complexes/615?ms=2AfAQG,3zprE6,17&amp;a=APT:ABYG:JGC&amp;b=A1:B1&amp;e=RETAIL&amp;h=34&amp;i=132&amp;l=198&amp;ad=true" TargetMode="External" Id="rId215"/><Relationship Type="http://schemas.openxmlformats.org/officeDocument/2006/relationships/hyperlink" Target="https://new.land.naver.com/complexes/615?ms=2AfAQG,3zprE6,17&amp;a=APT:ABYG:JGC&amp;b=A1:B1&amp;e=RETAIL&amp;h=34&amp;i=132&amp;l=198&amp;ad=true" TargetMode="External" Id="rId216"/><Relationship Type="http://schemas.openxmlformats.org/officeDocument/2006/relationships/hyperlink" Target="https://new.land.naver.com/complexes/103139?ms=2AfAQG,3zprE6,17&amp;a=APT:ABYG:JGC&amp;b=A1:B1&amp;e=RETAIL&amp;h=34&amp;i=132&amp;l=198&amp;ad=true" TargetMode="External" Id="rId217"/><Relationship Type="http://schemas.openxmlformats.org/officeDocument/2006/relationships/hyperlink" Target="https://new.land.naver.com/complexes/103139?ms=2AfAQG,3zprE6,17&amp;a=APT:ABYG:JGC&amp;b=A1:B1&amp;e=RETAIL&amp;h=34&amp;i=132&amp;l=198&amp;ad=true" TargetMode="External" Id="rId218"/><Relationship Type="http://schemas.openxmlformats.org/officeDocument/2006/relationships/hyperlink" Target="https://new.land.naver.com/complexes/103139?ms=2AfAQG,3zprE6,17&amp;a=APT:ABYG:JGC&amp;b=A1:B1&amp;e=RETAIL&amp;h=34&amp;i=132&amp;l=198&amp;ad=true" TargetMode="External" Id="rId219"/><Relationship Type="http://schemas.openxmlformats.org/officeDocument/2006/relationships/hyperlink" Target="https://new.land.naver.com/complexes/103139?ms=2AfAQG,3zprE6,17&amp;a=APT:ABYG:JGC&amp;b=A1:B1&amp;e=RETAIL&amp;h=34&amp;i=132&amp;l=198&amp;ad=true" TargetMode="External" Id="rId220"/><Relationship Type="http://schemas.openxmlformats.org/officeDocument/2006/relationships/hyperlink" Target="https://new.land.naver.com/complexes/614?ms=2AfAQG,3zprE6,17&amp;a=APT:ABYG:JGC&amp;b=A1:B1&amp;e=RETAIL&amp;h=34&amp;i=132&amp;l=198&amp;ad=true" TargetMode="External" Id="rId221"/><Relationship Type="http://schemas.openxmlformats.org/officeDocument/2006/relationships/hyperlink" Target="https://new.land.naver.com/complexes/614?ms=2AfAQG,3zprE6,17&amp;a=APT:ABYG:JGC&amp;b=A1:B1&amp;e=RETAIL&amp;h=34&amp;i=132&amp;l=198&amp;ad=true" TargetMode="External" Id="rId222"/><Relationship Type="http://schemas.openxmlformats.org/officeDocument/2006/relationships/hyperlink" Target="https://new.land.naver.com/complexes/614?ms=2AfAQG,3zprE6,17&amp;a=APT:ABYG:JGC&amp;b=A1:B1&amp;e=RETAIL&amp;h=34&amp;i=132&amp;l=198&amp;ad=true" TargetMode="External" Id="rId223"/><Relationship Type="http://schemas.openxmlformats.org/officeDocument/2006/relationships/hyperlink" Target="https://new.land.naver.com/complexes/614?ms=2AfAQG,3zprE6,17&amp;a=APT:ABYG:JGC&amp;b=A1:B1&amp;e=RETAIL&amp;h=34&amp;i=132&amp;l=198&amp;ad=true" TargetMode="External" Id="rId224"/><Relationship Type="http://schemas.openxmlformats.org/officeDocument/2006/relationships/hyperlink" Target="https://new.land.naver.com/complexes/3431?ms=2AfAQG,3zprE6,17&amp;a=APT:ABYG:JGC&amp;b=A1:B1&amp;e=RETAIL&amp;h=34&amp;i=132&amp;l=198&amp;ad=true" TargetMode="External" Id="rId225"/><Relationship Type="http://schemas.openxmlformats.org/officeDocument/2006/relationships/hyperlink" Target="https://new.land.naver.com/complexes/3431?ms=2AfAQG,3zprE6,17&amp;a=APT:ABYG:JGC&amp;b=A1:B1&amp;e=RETAIL&amp;h=34&amp;i=132&amp;l=198&amp;ad=true" TargetMode="External" Id="rId226"/><Relationship Type="http://schemas.openxmlformats.org/officeDocument/2006/relationships/hyperlink" Target="https://new.land.naver.com/complexes/3431?ms=2AfAQG,3zprE6,17&amp;a=APT:ABYG:JGC&amp;b=A1:B1&amp;e=RETAIL&amp;h=34&amp;i=132&amp;l=198&amp;ad=true" TargetMode="External" Id="rId227"/><Relationship Type="http://schemas.openxmlformats.org/officeDocument/2006/relationships/hyperlink" Target="https://new.land.naver.com/complexes/3431?ms=2AfAQG,3zprE6,17&amp;a=APT:ABYG:JGC&amp;b=A1:B1&amp;e=RETAIL&amp;h=34&amp;i=132&amp;l=198&amp;ad=true" TargetMode="External" Id="rId228"/><Relationship Type="http://schemas.openxmlformats.org/officeDocument/2006/relationships/hyperlink" Target="https://new.land.naver.com/complexes/3431?ms=2AfAQG,3zprE6,17&amp;a=APT:ABYG:JGC&amp;b=A1:B1&amp;e=RETAIL&amp;h=34&amp;i=132&amp;l=198&amp;ad=true" TargetMode="External" Id="rId229"/><Relationship Type="http://schemas.openxmlformats.org/officeDocument/2006/relationships/hyperlink" Target="https://new.land.naver.com/complexes/174198?ms=2AfAQG,3zprE6,17&amp;a=APT:ABYG:JGC&amp;b=A1:B1&amp;e=RETAIL&amp;h=34&amp;i=132&amp;l=198&amp;ad=true" TargetMode="External" Id="rId230"/><Relationship Type="http://schemas.openxmlformats.org/officeDocument/2006/relationships/hyperlink" Target="https://new.land.naver.com/complexes/174198?ms=2AfAQG,3zprE6,17&amp;a=APT:ABYG:JGC&amp;b=A1:B1&amp;e=RETAIL&amp;h=34&amp;i=132&amp;l=198&amp;ad=true" TargetMode="External" Id="rId231"/><Relationship Type="http://schemas.openxmlformats.org/officeDocument/2006/relationships/hyperlink" Target="https://new.land.naver.com/complexes/383?ms=2AfAQG,3zprE6,17&amp;a=APT:ABYG:JGC&amp;b=A1:B1&amp;e=RETAIL&amp;h=34&amp;i=132&amp;l=198&amp;ad=true" TargetMode="External" Id="rId232"/><Relationship Type="http://schemas.openxmlformats.org/officeDocument/2006/relationships/hyperlink" Target="https://new.land.naver.com/complexes/383?ms=2AfAQG,3zprE6,17&amp;a=APT:ABYG:JGC&amp;b=A1:B1&amp;e=RETAIL&amp;h=34&amp;i=132&amp;l=198&amp;ad=true" TargetMode="External" Id="rId233"/><Relationship Type="http://schemas.openxmlformats.org/officeDocument/2006/relationships/hyperlink" Target="https://new.land.naver.com/complexes/383?ms=2AfAQG,3zprE6,17&amp;a=APT:ABYG:JGC&amp;b=A1:B1&amp;e=RETAIL&amp;h=34&amp;i=132&amp;l=198&amp;ad=true" TargetMode="External" Id="rId234"/><Relationship Type="http://schemas.openxmlformats.org/officeDocument/2006/relationships/hyperlink" Target="https://new.land.naver.com/complexes/383?ms=2AfAQG,3zprE6,17&amp;a=APT:ABYG:JGC&amp;b=A1:B1&amp;e=RETAIL&amp;h=34&amp;i=132&amp;l=198&amp;ad=true" TargetMode="External" Id="rId235"/><Relationship Type="http://schemas.openxmlformats.org/officeDocument/2006/relationships/hyperlink" Target="https://new.land.naver.com/complexes/383?ms=2AfAQG,3zprE6,17&amp;a=APT:ABYG:JGC&amp;b=A1:B1&amp;e=RETAIL&amp;h=34&amp;i=132&amp;l=198&amp;ad=true" TargetMode="External" Id="rId236"/><Relationship Type="http://schemas.openxmlformats.org/officeDocument/2006/relationships/hyperlink" Target="https://new.land.naver.com/complexes/618?ms=2AfAQG,3zprE6,17&amp;a=APT:ABYG:JGC&amp;b=A1:B1&amp;e=RETAIL&amp;h=34&amp;i=132&amp;l=198&amp;ad=true" TargetMode="External" Id="rId237"/><Relationship Type="http://schemas.openxmlformats.org/officeDocument/2006/relationships/hyperlink" Target="https://new.land.naver.com/complexes/618?ms=2AfAQG,3zprE6,17&amp;a=APT:ABYG:JGC&amp;b=A1:B1&amp;e=RETAIL&amp;h=34&amp;i=132&amp;l=198&amp;ad=true" TargetMode="External" Id="rId238"/><Relationship Type="http://schemas.openxmlformats.org/officeDocument/2006/relationships/hyperlink" Target="https://new.land.naver.com/complexes/618?ms=2AfAQG,3zprE6,17&amp;a=APT:ABYG:JGC&amp;b=A1:B1&amp;e=RETAIL&amp;h=34&amp;i=132&amp;l=198&amp;ad=true" TargetMode="External" Id="rId239"/><Relationship Type="http://schemas.openxmlformats.org/officeDocument/2006/relationships/hyperlink" Target="https://new.land.naver.com/complexes/618?ms=2AfAQG,3zprE6,17&amp;a=APT:ABYG:JGC&amp;b=A1:B1&amp;e=RETAIL&amp;h=34&amp;i=132&amp;l=198&amp;ad=true" TargetMode="External" Id="rId240"/><Relationship Type="http://schemas.openxmlformats.org/officeDocument/2006/relationships/hyperlink" Target="https://new.land.naver.com/complexes/618?ms=2AfAQG,3zprE6,17&amp;a=APT:ABYG:JGC&amp;b=A1:B1&amp;e=RETAIL&amp;h=34&amp;i=132&amp;l=198&amp;ad=true" TargetMode="External" Id="rId241"/><Relationship Type="http://schemas.openxmlformats.org/officeDocument/2006/relationships/hyperlink" Target="https://new.land.naver.com/complexes/619?ms=2AfAQG,3zprE6,17&amp;a=APT:ABYG:JGC&amp;b=A1:B1&amp;e=RETAIL&amp;h=34&amp;i=132&amp;l=198&amp;ad=true" TargetMode="External" Id="rId242"/><Relationship Type="http://schemas.openxmlformats.org/officeDocument/2006/relationships/hyperlink" Target="https://new.land.naver.com/complexes/619?ms=2AfAQG,3zprE6,17&amp;a=APT:ABYG:JGC&amp;b=A1:B1&amp;e=RETAIL&amp;h=34&amp;i=132&amp;l=198&amp;ad=true" TargetMode="External" Id="rId243"/><Relationship Type="http://schemas.openxmlformats.org/officeDocument/2006/relationships/hyperlink" Target="https://new.land.naver.com/complexes/617?ms=2AfAQG,3zprE6,17&amp;a=APT:ABYG:JGC&amp;b=A1:B1&amp;e=RETAIL&amp;h=34&amp;i=132&amp;l=198&amp;ad=true" TargetMode="External" Id="rId244"/><Relationship Type="http://schemas.openxmlformats.org/officeDocument/2006/relationships/hyperlink" Target="https://new.land.naver.com/complexes/617?ms=2AfAQG,3zprE6,17&amp;a=APT:ABYG:JGC&amp;b=A1:B1&amp;e=RETAIL&amp;h=34&amp;i=132&amp;l=198&amp;ad=true" TargetMode="External" Id="rId245"/><Relationship Type="http://schemas.openxmlformats.org/officeDocument/2006/relationships/hyperlink" Target="https://new.land.naver.com/complexes/617?ms=2AfAQG,3zprE6,17&amp;a=APT:ABYG:JGC&amp;b=A1:B1&amp;e=RETAIL&amp;h=34&amp;i=132&amp;l=198&amp;ad=true" TargetMode="External" Id="rId246"/><Relationship Type="http://schemas.openxmlformats.org/officeDocument/2006/relationships/hyperlink" Target="https://new.land.naver.com/complexes/617?ms=2AfAQG,3zprE6,17&amp;a=APT:ABYG:JGC&amp;b=A1:B1&amp;e=RETAIL&amp;h=34&amp;i=132&amp;l=198&amp;ad=true" TargetMode="External" Id="rId247"/><Relationship Type="http://schemas.openxmlformats.org/officeDocument/2006/relationships/hyperlink" Target="https://new.land.naver.com/complexes/617?ms=2AfAQG,3zprE6,17&amp;a=APT:ABYG:JGC&amp;b=A1:B1&amp;e=RETAIL&amp;h=34&amp;i=132&amp;l=198&amp;ad=true" TargetMode="External" Id="rId248"/><Relationship Type="http://schemas.openxmlformats.org/officeDocument/2006/relationships/hyperlink" Target="https://new.land.naver.com/complexes/617?ms=2AfAQG,3zprE6,17&amp;a=APT:ABYG:JGC&amp;b=A1:B1&amp;e=RETAIL&amp;h=34&amp;i=132&amp;l=198&amp;ad=true" TargetMode="External" Id="rId249"/><Relationship Type="http://schemas.openxmlformats.org/officeDocument/2006/relationships/hyperlink" Target="https://new.land.naver.com/complexes/12951?ms=2AfAQG,3zprE6,17&amp;a=APT:ABYG:JGC&amp;b=A1:B1&amp;e=RETAIL&amp;h=34&amp;i=132&amp;l=198&amp;ad=true" TargetMode="External" Id="rId250"/><Relationship Type="http://schemas.openxmlformats.org/officeDocument/2006/relationships/hyperlink" Target="https://new.land.naver.com/complexes/12951?ms=2AfAQG,3zprE6,17&amp;a=APT:ABYG:JGC&amp;b=A1:B1&amp;e=RETAIL&amp;h=34&amp;i=132&amp;l=198&amp;ad=true" TargetMode="External" Id="rId251"/><Relationship Type="http://schemas.openxmlformats.org/officeDocument/2006/relationships/hyperlink" Target="https://new.land.naver.com/complexes/12951?ms=2AfAQG,3zprE6,17&amp;a=APT:ABYG:JGC&amp;b=A1:B1&amp;e=RETAIL&amp;h=34&amp;i=132&amp;l=198&amp;ad=true" TargetMode="External" Id="rId252"/><Relationship Type="http://schemas.openxmlformats.org/officeDocument/2006/relationships/hyperlink" Target="https://new.land.naver.com/complexes/12951?ms=2AfAQG,3zprE6,17&amp;a=APT:ABYG:JGC&amp;b=A1:B1&amp;e=RETAIL&amp;h=34&amp;i=132&amp;l=198&amp;ad=true" TargetMode="External" Id="rId253"/><Relationship Type="http://schemas.openxmlformats.org/officeDocument/2006/relationships/hyperlink" Target="https://new.land.naver.com/complexes/12951?ms=2AfAQG,3zprE6,17&amp;a=APT:ABYG:JGC&amp;b=A1:B1&amp;e=RETAIL&amp;h=34&amp;i=132&amp;l=198&amp;ad=true" TargetMode="External" Id="rId254"/><Relationship Type="http://schemas.openxmlformats.org/officeDocument/2006/relationships/hyperlink" Target="https://new.land.naver.com/complexes/12951?ms=2AfAQG,3zprE6,17&amp;a=APT:ABYG:JGC&amp;b=A1:B1&amp;e=RETAIL&amp;h=34&amp;i=132&amp;l=198&amp;ad=true" TargetMode="External" Id="rId255"/><Relationship Type="http://schemas.openxmlformats.org/officeDocument/2006/relationships/hyperlink" Target="https://new.land.naver.com/complexes/12951?ms=2AfAQG,3zprE6,17&amp;a=APT:ABYG:JGC&amp;b=A1:B1&amp;e=RETAIL&amp;h=34&amp;i=132&amp;l=198&amp;ad=true" TargetMode="External" Id="rId256"/><Relationship Type="http://schemas.openxmlformats.org/officeDocument/2006/relationships/hyperlink" Target="https://new.land.naver.com/complexes/12951?ms=2AfAQG,3zprE6,17&amp;a=APT:ABYG:JGC&amp;b=A1:B1&amp;e=RETAIL&amp;h=34&amp;i=132&amp;l=198&amp;ad=true" TargetMode="External" Id="rId257"/><Relationship Type="http://schemas.openxmlformats.org/officeDocument/2006/relationships/hyperlink" Target="https://new.land.naver.com/complexes/12951?ms=2AfAQG,3zprE6,17&amp;a=APT:ABYG:JGC&amp;b=A1:B1&amp;e=RETAIL&amp;h=34&amp;i=132&amp;l=198&amp;ad=true" TargetMode="External" Id="rId258"/><Relationship Type="http://schemas.openxmlformats.org/officeDocument/2006/relationships/hyperlink" Target="https://new.land.naver.com/complexes/12951?ms=2AfAQG,3zprE6,17&amp;a=APT:ABYG:JGC&amp;b=A1:B1&amp;e=RETAIL&amp;h=34&amp;i=132&amp;l=198&amp;ad=true" TargetMode="External" Id="rId259"/><Relationship Type="http://schemas.openxmlformats.org/officeDocument/2006/relationships/hyperlink" Target="https://new.land.naver.com/complexes/12951?ms=2AfAQG,3zprE6,17&amp;a=APT:ABYG:JGC&amp;b=A1:B1&amp;e=RETAIL&amp;h=34&amp;i=132&amp;l=198&amp;ad=true" TargetMode="External" Id="rId260"/><Relationship Type="http://schemas.openxmlformats.org/officeDocument/2006/relationships/hyperlink" Target="https://new.land.naver.com/complexes/12951?ms=2AfAQG,3zprE6,17&amp;a=APT:ABYG:JGC&amp;b=A1:B1&amp;e=RETAIL&amp;h=34&amp;i=132&amp;l=198&amp;ad=true" TargetMode="External" Id="rId261"/><Relationship Type="http://schemas.openxmlformats.org/officeDocument/2006/relationships/hyperlink" Target="https://new.land.naver.com/complexes/12951?ms=2AfAQG,3zprE6,17&amp;a=APT:ABYG:JGC&amp;b=A1:B1&amp;e=RETAIL&amp;h=34&amp;i=132&amp;l=198&amp;ad=true" TargetMode="External" Id="rId262"/><Relationship Type="http://schemas.openxmlformats.org/officeDocument/2006/relationships/hyperlink" Target="https://new.land.naver.com/complexes/12951?ms=2AfAQG,3zprE6,17&amp;a=APT:ABYG:JGC&amp;b=A1:B1&amp;e=RETAIL&amp;h=34&amp;i=132&amp;l=198&amp;ad=true" TargetMode="External" Id="rId263"/><Relationship Type="http://schemas.openxmlformats.org/officeDocument/2006/relationships/hyperlink" Target="https://new.land.naver.com/complexes/12951?ms=2AfAQG,3zprE6,17&amp;a=APT:ABYG:JGC&amp;b=A1:B1&amp;e=RETAIL&amp;h=34&amp;i=132&amp;l=198&amp;ad=true" TargetMode="External" Id="rId264"/><Relationship Type="http://schemas.openxmlformats.org/officeDocument/2006/relationships/hyperlink" Target="https://new.land.naver.com/complexes/12951?ms=2AfAQG,3zprE6,17&amp;a=APT:ABYG:JGC&amp;b=A1:B1&amp;e=RETAIL&amp;h=34&amp;i=132&amp;l=198&amp;ad=true" TargetMode="External" Id="rId265"/><Relationship Type="http://schemas.openxmlformats.org/officeDocument/2006/relationships/hyperlink" Target="https://new.land.naver.com/complexes/26774?ms=2AfAQG,3zprE6,17&amp;a=APT:ABYG:JGC&amp;b=A1:B1&amp;e=RETAIL&amp;h=34&amp;i=132&amp;l=198&amp;ad=true" TargetMode="External" Id="rId266"/><Relationship Type="http://schemas.openxmlformats.org/officeDocument/2006/relationships/hyperlink" Target="https://new.land.naver.com/complexes/26774?ms=2AfAQG,3zprE6,17&amp;a=APT:ABYG:JGC&amp;b=A1:B1&amp;e=RETAIL&amp;h=34&amp;i=132&amp;l=198&amp;ad=true" TargetMode="External" Id="rId267"/><Relationship Type="http://schemas.openxmlformats.org/officeDocument/2006/relationships/hyperlink" Target="https://new.land.naver.com/complexes/26774?ms=2AfAQG,3zprE6,17&amp;a=APT:ABYG:JGC&amp;b=A1:B1&amp;e=RETAIL&amp;h=34&amp;i=132&amp;l=198&amp;ad=true" TargetMode="External" Id="rId268"/><Relationship Type="http://schemas.openxmlformats.org/officeDocument/2006/relationships/hyperlink" Target="https://new.land.naver.com/complexes/26774?ms=2AfAQG,3zprE6,17&amp;a=APT:ABYG:JGC&amp;b=A1:B1&amp;e=RETAIL&amp;h=34&amp;i=132&amp;l=198&amp;ad=true" TargetMode="External" Id="rId269"/><Relationship Type="http://schemas.openxmlformats.org/officeDocument/2006/relationships/hyperlink" Target="https://new.land.naver.com/complexes/26774?ms=2AfAQG,3zprE6,17&amp;a=APT:ABYG:JGC&amp;b=A1:B1&amp;e=RETAIL&amp;h=34&amp;i=132&amp;l=198&amp;ad=true" TargetMode="External" Id="rId270"/><Relationship Type="http://schemas.openxmlformats.org/officeDocument/2006/relationships/hyperlink" Target="https://new.land.naver.com/complexes/26774?ms=2AfAQG,3zprE6,17&amp;a=APT:ABYG:JGC&amp;b=A1:B1&amp;e=RETAIL&amp;h=34&amp;i=132&amp;l=198&amp;ad=true" TargetMode="External" Id="rId271"/><Relationship Type="http://schemas.openxmlformats.org/officeDocument/2006/relationships/hyperlink" Target="https://new.land.naver.com/complexes/26774?ms=2AfAQG,3zprE6,17&amp;a=APT:ABYG:JGC&amp;b=A1:B1&amp;e=RETAIL&amp;h=34&amp;i=132&amp;l=198&amp;ad=true" TargetMode="External" Id="rId272"/><Relationship Type="http://schemas.openxmlformats.org/officeDocument/2006/relationships/hyperlink" Target="https://new.land.naver.com/complexes/26774?ms=2AfAQG,3zprE6,17&amp;a=APT:ABYG:JGC&amp;b=A1:B1&amp;e=RETAIL&amp;h=34&amp;i=132&amp;l=198&amp;ad=true" TargetMode="External" Id="rId273"/><Relationship Type="http://schemas.openxmlformats.org/officeDocument/2006/relationships/hyperlink" Target="https://new.land.naver.com/complexes/180737?ms=2AfAQG,3zprE6,17&amp;a=APT:ABYG:JGC&amp;b=A1:B1&amp;e=RETAIL&amp;h=34&amp;i=132&amp;l=198&amp;ad=true" TargetMode="External" Id="rId274"/><Relationship Type="http://schemas.openxmlformats.org/officeDocument/2006/relationships/hyperlink" Target="https://new.land.naver.com/complexes/180737?ms=2AfAQG,3zprE6,17&amp;a=APT:ABYG:JGC&amp;b=A1:B1&amp;e=RETAIL&amp;h=34&amp;i=132&amp;l=198&amp;ad=true" TargetMode="External" Id="rId275"/><Relationship Type="http://schemas.openxmlformats.org/officeDocument/2006/relationships/hyperlink" Target="https://new.land.naver.com/complexes/180737?ms=2AfAQG,3zprE6,17&amp;a=APT:ABYG:JGC&amp;b=A1:B1&amp;e=RETAIL&amp;h=34&amp;i=132&amp;l=198&amp;ad=true" TargetMode="External" Id="rId276"/><Relationship Type="http://schemas.openxmlformats.org/officeDocument/2006/relationships/hyperlink" Target="https://new.land.naver.com/complexes/180737?ms=2AfAQG,3zprE6,17&amp;a=APT:ABYG:JGC&amp;b=A1:B1&amp;e=RETAIL&amp;h=34&amp;i=132&amp;l=198&amp;ad=true" TargetMode="External" Id="rId277"/><Relationship Type="http://schemas.openxmlformats.org/officeDocument/2006/relationships/hyperlink" Target="https://new.land.naver.com/complexes/180737?ms=2AfAQG,3zprE6,17&amp;a=APT:ABYG:JGC&amp;b=A1:B1&amp;e=RETAIL&amp;h=34&amp;i=132&amp;l=198&amp;ad=true" TargetMode="External" Id="rId278"/><Relationship Type="http://schemas.openxmlformats.org/officeDocument/2006/relationships/hyperlink" Target="https://new.land.naver.com/complexes/180737?ms=2AfAQG,3zprE6,17&amp;a=APT:ABYG:JGC&amp;b=A1:B1&amp;e=RETAIL&amp;h=34&amp;i=132&amp;l=198&amp;ad=true" TargetMode="External" Id="rId279"/><Relationship Type="http://schemas.openxmlformats.org/officeDocument/2006/relationships/hyperlink" Target="https://new.land.naver.com/complexes/180737?ms=2AfAQG,3zprE6,17&amp;a=APT:ABYG:JGC&amp;b=A1:B1&amp;e=RETAIL&amp;h=34&amp;i=132&amp;l=198&amp;ad=true" TargetMode="External" Id="rId280"/><Relationship Type="http://schemas.openxmlformats.org/officeDocument/2006/relationships/hyperlink" Target="https://new.land.naver.com/complexes/180737?ms=2AfAQG,3zprE6,17&amp;a=APT:ABYG:JGC&amp;b=A1:B1&amp;e=RETAIL&amp;h=34&amp;i=132&amp;l=198&amp;ad=true" TargetMode="External" Id="rId281"/><Relationship Type="http://schemas.openxmlformats.org/officeDocument/2006/relationships/hyperlink" Target="https://new.land.naver.com/complexes/180737?ms=2AfAQG,3zprE6,17&amp;a=APT:ABYG:JGC&amp;b=A1:B1&amp;e=RETAIL&amp;h=34&amp;i=132&amp;l=198&amp;ad=true" TargetMode="External" Id="rId282"/><Relationship Type="http://schemas.openxmlformats.org/officeDocument/2006/relationships/hyperlink" Target="https://new.land.naver.com/complexes/180737?ms=2AfAQG,3zprE6,17&amp;a=APT:ABYG:JGC&amp;b=A1:B1&amp;e=RETAIL&amp;h=34&amp;i=132&amp;l=198&amp;ad=true" TargetMode="External" Id="rId283"/><Relationship Type="http://schemas.openxmlformats.org/officeDocument/2006/relationships/hyperlink" Target="https://new.land.naver.com/complexes/180737?ms=2AfAQG,3zprE6,17&amp;a=APT:ABYG:JGC&amp;b=A1:B1&amp;e=RETAIL&amp;h=34&amp;i=132&amp;l=198&amp;ad=true" TargetMode="External" Id="rId284"/><Relationship Type="http://schemas.openxmlformats.org/officeDocument/2006/relationships/hyperlink" Target="https://new.land.naver.com/complexes/180737?ms=2AfAQG,3zprE6,17&amp;a=APT:ABYG:JGC&amp;b=A1:B1&amp;e=RETAIL&amp;h=34&amp;i=132&amp;l=198&amp;ad=true" TargetMode="External" Id="rId285"/><Relationship Type="http://schemas.openxmlformats.org/officeDocument/2006/relationships/hyperlink" Target="https://new.land.naver.com/complexes/180737?ms=2AfAQG,3zprE6,17&amp;a=APT:ABYG:JGC&amp;b=A1:B1&amp;e=RETAIL&amp;h=34&amp;i=132&amp;l=198&amp;ad=true" TargetMode="External" Id="rId286"/><Relationship Type="http://schemas.openxmlformats.org/officeDocument/2006/relationships/hyperlink" Target="https://new.land.naver.com/complexes/184857?ms=2AfAQG,3zprE6,17&amp;a=APT:ABYG:JGC&amp;b=A1:B1&amp;e=RETAIL&amp;h=34&amp;i=132&amp;l=198&amp;ad=true" TargetMode="External" Id="rId287"/><Relationship Type="http://schemas.openxmlformats.org/officeDocument/2006/relationships/hyperlink" Target="https://new.land.naver.com/complexes/184857?ms=2AfAQG,3zprE6,17&amp;a=APT:ABYG:JGC&amp;b=A1:B1&amp;e=RETAIL&amp;h=34&amp;i=132&amp;l=198&amp;ad=true" TargetMode="External" Id="rId288"/><Relationship Type="http://schemas.openxmlformats.org/officeDocument/2006/relationships/hyperlink" Target="https://new.land.naver.com/complexes/184857?ms=2AfAQG,3zprE6,17&amp;a=APT:ABYG:JGC&amp;b=A1:B1&amp;e=RETAIL&amp;h=34&amp;i=132&amp;l=198&amp;ad=true" TargetMode="External" Id="rId289"/><Relationship Type="http://schemas.openxmlformats.org/officeDocument/2006/relationships/hyperlink" Target="https://new.land.naver.com/complexes/184857?ms=2AfAQG,3zprE6,17&amp;a=APT:ABYG:JGC&amp;b=A1:B1&amp;e=RETAIL&amp;h=34&amp;i=132&amp;l=198&amp;ad=true" TargetMode="External" Id="rId290"/><Relationship Type="http://schemas.openxmlformats.org/officeDocument/2006/relationships/hyperlink" Target="https://new.land.naver.com/complexes/184857?ms=2AfAQG,3zprE6,17&amp;a=APT:ABYG:JGC&amp;b=A1:B1&amp;e=RETAIL&amp;h=34&amp;i=132&amp;l=198&amp;ad=true" TargetMode="External" Id="rId291"/><Relationship Type="http://schemas.openxmlformats.org/officeDocument/2006/relationships/hyperlink" Target="https://new.land.naver.com/complexes/184857?ms=2AfAQG,3zprE6,17&amp;a=APT:ABYG:JGC&amp;b=A1:B1&amp;e=RETAIL&amp;h=34&amp;i=132&amp;l=198&amp;ad=true" TargetMode="External" Id="rId292"/><Relationship Type="http://schemas.openxmlformats.org/officeDocument/2006/relationships/hyperlink" Target="https://new.land.naver.com/complexes/184857?ms=2AfAQG,3zprE6,17&amp;a=APT:ABYG:JGC&amp;b=A1:B1&amp;e=RETAIL&amp;h=34&amp;i=132&amp;l=198&amp;ad=true" TargetMode="External" Id="rId293"/><Relationship Type="http://schemas.openxmlformats.org/officeDocument/2006/relationships/hyperlink" Target="https://new.land.naver.com/complexes/184857?ms=2AfAQG,3zprE6,17&amp;a=APT:ABYG:JGC&amp;b=A1:B1&amp;e=RETAIL&amp;h=34&amp;i=132&amp;l=198&amp;ad=true" TargetMode="External" Id="rId294"/><Relationship Type="http://schemas.openxmlformats.org/officeDocument/2006/relationships/hyperlink" Target="https://new.land.naver.com/complexes/184857?ms=2AfAQG,3zprE6,17&amp;a=APT:ABYG:JGC&amp;b=A1:B1&amp;e=RETAIL&amp;h=34&amp;i=132&amp;l=198&amp;ad=true" TargetMode="External" Id="rId295"/><Relationship Type="http://schemas.openxmlformats.org/officeDocument/2006/relationships/hyperlink" Target="https://new.land.naver.com/complexes/184857?ms=2AfAQG,3zprE6,17&amp;a=APT:ABYG:JGC&amp;b=A1:B1&amp;e=RETAIL&amp;h=34&amp;i=132&amp;l=198&amp;ad=true" TargetMode="External" Id="rId296"/><Relationship Type="http://schemas.openxmlformats.org/officeDocument/2006/relationships/hyperlink" Target="https://new.land.naver.com/complexes/184857?ms=2AfAQG,3zprE6,17&amp;a=APT:ABYG:JGC&amp;b=A1:B1&amp;e=RETAIL&amp;h=34&amp;i=132&amp;l=198&amp;ad=true" TargetMode="External" Id="rId297"/><Relationship Type="http://schemas.openxmlformats.org/officeDocument/2006/relationships/hyperlink" Target="https://new.land.naver.com/complexes/102616?ms=2AfAQG,3zprE6,17&amp;a=APT:ABYG:JGC&amp;b=A1:B1&amp;e=RETAIL&amp;h=34&amp;i=132&amp;l=198&amp;ad=true" TargetMode="External" Id="rId298"/><Relationship Type="http://schemas.openxmlformats.org/officeDocument/2006/relationships/hyperlink" Target="https://new.land.naver.com/complexes/102616?ms=2AfAQG,3zprE6,17&amp;a=APT:ABYG:JGC&amp;b=A1:B1&amp;e=RETAIL&amp;h=34&amp;i=132&amp;l=198&amp;ad=true" TargetMode="External" Id="rId299"/><Relationship Type="http://schemas.openxmlformats.org/officeDocument/2006/relationships/hyperlink" Target="https://new.land.naver.com/complexes/102616?ms=2AfAQG,3zprE6,17&amp;a=APT:ABYG:JGC&amp;b=A1:B1&amp;e=RETAIL&amp;h=34&amp;i=132&amp;l=198&amp;ad=true" TargetMode="External" Id="rId300"/><Relationship Type="http://schemas.openxmlformats.org/officeDocument/2006/relationships/hyperlink" Target="https://new.land.naver.com/complexes/102616?ms=2AfAQG,3zprE6,17&amp;a=APT:ABYG:JGC&amp;b=A1:B1&amp;e=RETAIL&amp;h=34&amp;i=132&amp;l=198&amp;ad=true" TargetMode="External" Id="rId301"/><Relationship Type="http://schemas.openxmlformats.org/officeDocument/2006/relationships/hyperlink" Target="https://new.land.naver.com/complexes/102616?ms=2AfAQG,3zprE6,17&amp;a=APT:ABYG:JGC&amp;b=A1:B1&amp;e=RETAIL&amp;h=34&amp;i=132&amp;l=198&amp;ad=true" TargetMode="External" Id="rId302"/><Relationship Type="http://schemas.openxmlformats.org/officeDocument/2006/relationships/hyperlink" Target="https://new.land.naver.com/complexes/102616?ms=2AfAQG,3zprE6,17&amp;a=APT:ABYG:JGC&amp;b=A1:B1&amp;e=RETAIL&amp;h=34&amp;i=132&amp;l=198&amp;ad=true" TargetMode="External" Id="rId303"/><Relationship Type="http://schemas.openxmlformats.org/officeDocument/2006/relationships/hyperlink" Target="https://new.land.naver.com/complexes/102616?ms=2AfAQG,3zprE6,17&amp;a=APT:ABYG:JGC&amp;b=A1:B1&amp;e=RETAIL&amp;h=34&amp;i=132&amp;l=198&amp;ad=true" TargetMode="External" Id="rId304"/><Relationship Type="http://schemas.openxmlformats.org/officeDocument/2006/relationships/hyperlink" Target="https://new.land.naver.com/complexes/102616?ms=2AfAQG,3zprE6,17&amp;a=APT:ABYG:JGC&amp;b=A1:B1&amp;e=RETAIL&amp;h=34&amp;i=132&amp;l=198&amp;ad=true" TargetMode="External" Id="rId305"/><Relationship Type="http://schemas.openxmlformats.org/officeDocument/2006/relationships/hyperlink" Target="https://new.land.naver.com/complexes/102616?ms=2AfAQG,3zprE6,17&amp;a=APT:ABYG:JGC&amp;b=A1:B1&amp;e=RETAIL&amp;h=34&amp;i=132&amp;l=198&amp;ad=true" TargetMode="External" Id="rId306"/><Relationship Type="http://schemas.openxmlformats.org/officeDocument/2006/relationships/hyperlink" Target="https://new.land.naver.com/complexes/102616?ms=2AfAQG,3zprE6,17&amp;a=APT:ABYG:JGC&amp;b=A1:B1&amp;e=RETAIL&amp;h=34&amp;i=132&amp;l=198&amp;ad=true" TargetMode="External" Id="rId307"/><Relationship Type="http://schemas.openxmlformats.org/officeDocument/2006/relationships/hyperlink" Target="https://new.land.naver.com/complexes/102616?ms=2AfAQG,3zprE6,17&amp;a=APT:ABYG:JGC&amp;b=A1:B1&amp;e=RETAIL&amp;h=34&amp;i=132&amp;l=198&amp;ad=true" TargetMode="External" Id="rId308"/><Relationship Type="http://schemas.openxmlformats.org/officeDocument/2006/relationships/hyperlink" Target="https://new.land.naver.com/complexes/389?ms=2AfAQG,3zprE6,17&amp;a=APT:ABYG:JGC&amp;b=A1:B1&amp;e=RETAIL&amp;h=34&amp;i=132&amp;l=198&amp;ad=true" TargetMode="External" Id="rId309"/><Relationship Type="http://schemas.openxmlformats.org/officeDocument/2006/relationships/hyperlink" Target="https://new.land.naver.com/complexes/389?ms=2AfAQG,3zprE6,17&amp;a=APT:ABYG:JGC&amp;b=A1:B1&amp;e=RETAIL&amp;h=34&amp;i=132&amp;l=198&amp;ad=true" TargetMode="External" Id="rId310"/><Relationship Type="http://schemas.openxmlformats.org/officeDocument/2006/relationships/hyperlink" Target="https://new.land.naver.com/complexes/389?ms=2AfAQG,3zprE6,17&amp;a=APT:ABYG:JGC&amp;b=A1:B1&amp;e=RETAIL&amp;h=34&amp;i=132&amp;l=198&amp;ad=true" TargetMode="External" Id="rId311"/><Relationship Type="http://schemas.openxmlformats.org/officeDocument/2006/relationships/hyperlink" Target="https://new.land.naver.com/complexes/389?ms=2AfAQG,3zprE6,17&amp;a=APT:ABYG:JGC&amp;b=A1:B1&amp;e=RETAIL&amp;h=34&amp;i=132&amp;l=198&amp;ad=true" TargetMode="External" Id="rId312"/><Relationship Type="http://schemas.openxmlformats.org/officeDocument/2006/relationships/hyperlink" Target="https://new.land.naver.com/complexes/389?ms=2AfAQG,3zprE6,17&amp;a=APT:ABYG:JGC&amp;b=A1:B1&amp;e=RETAIL&amp;h=34&amp;i=132&amp;l=198&amp;ad=true" TargetMode="External" Id="rId313"/><Relationship Type="http://schemas.openxmlformats.org/officeDocument/2006/relationships/hyperlink" Target="https://new.land.naver.com/complexes/389?ms=2AfAQG,3zprE6,17&amp;a=APT:ABYG:JGC&amp;b=A1:B1&amp;e=RETAIL&amp;h=34&amp;i=132&amp;l=198&amp;ad=true" TargetMode="External" Id="rId314"/><Relationship Type="http://schemas.openxmlformats.org/officeDocument/2006/relationships/hyperlink" Target="https://new.land.naver.com/complexes/3754?ms=2AfAQG,3zprE6,17&amp;a=APT:ABYG:JGC&amp;b=A1:B1&amp;e=RETAIL&amp;h=34&amp;i=132&amp;l=198&amp;ad=true" TargetMode="External" Id="rId315"/><Relationship Type="http://schemas.openxmlformats.org/officeDocument/2006/relationships/hyperlink" Target="https://new.land.naver.com/complexes/3754?ms=2AfAQG,3zprE6,17&amp;a=APT:ABYG:JGC&amp;b=A1:B1&amp;e=RETAIL&amp;h=34&amp;i=132&amp;l=198&amp;ad=true" TargetMode="External" Id="rId316"/><Relationship Type="http://schemas.openxmlformats.org/officeDocument/2006/relationships/hyperlink" Target="https://new.land.naver.com/complexes/3754?ms=2AfAQG,3zprE6,17&amp;a=APT:ABYG:JGC&amp;b=A1:B1&amp;e=RETAIL&amp;h=34&amp;i=132&amp;l=198&amp;ad=true" TargetMode="External" Id="rId317"/><Relationship Type="http://schemas.openxmlformats.org/officeDocument/2006/relationships/hyperlink" Target="https://new.land.naver.com/complexes/3754?ms=2AfAQG,3zprE6,17&amp;a=APT:ABYG:JGC&amp;b=A1:B1&amp;e=RETAIL&amp;h=34&amp;i=132&amp;l=198&amp;ad=true" TargetMode="External" Id="rId318"/><Relationship Type="http://schemas.openxmlformats.org/officeDocument/2006/relationships/hyperlink" Target="https://new.land.naver.com/complexes/22675?ms=2AfAQG,3zprE6,17&amp;a=APT:ABYG:JGC&amp;b=A1:B1&amp;e=RETAIL&amp;h=34&amp;i=132&amp;l=198&amp;ad=true" TargetMode="External" Id="rId319"/><Relationship Type="http://schemas.openxmlformats.org/officeDocument/2006/relationships/hyperlink" Target="https://new.land.naver.com/complexes/22675?ms=2AfAQG,3zprE6,17&amp;a=APT:ABYG:JGC&amp;b=A1:B1&amp;e=RETAIL&amp;h=34&amp;i=132&amp;l=198&amp;ad=true" TargetMode="External" Id="rId320"/><Relationship Type="http://schemas.openxmlformats.org/officeDocument/2006/relationships/hyperlink" Target="https://new.land.naver.com/complexes/22675?ms=2AfAQG,3zprE6,17&amp;a=APT:ABYG:JGC&amp;b=A1:B1&amp;e=RETAIL&amp;h=34&amp;i=132&amp;l=198&amp;ad=true" TargetMode="External" Id="rId321"/><Relationship Type="http://schemas.openxmlformats.org/officeDocument/2006/relationships/hyperlink" Target="https://new.land.naver.com/complexes/22675?ms=2AfAQG,3zprE6,17&amp;a=APT:ABYG:JGC&amp;b=A1:B1&amp;e=RETAIL&amp;h=34&amp;i=132&amp;l=198&amp;ad=true" TargetMode="External" Id="rId322"/><Relationship Type="http://schemas.openxmlformats.org/officeDocument/2006/relationships/hyperlink" Target="https://new.land.naver.com/complexes/22675?ms=2AfAQG,3zprE6,17&amp;a=APT:ABYG:JGC&amp;b=A1:B1&amp;e=RETAIL&amp;h=34&amp;i=132&amp;l=198&amp;ad=true" TargetMode="External" Id="rId323"/><Relationship Type="http://schemas.openxmlformats.org/officeDocument/2006/relationships/hyperlink" Target="https://new.land.naver.com/complexes/393?ms=2AfAQG,3zprE6,17&amp;a=APT:ABYG:JGC&amp;b=A1:B1&amp;e=RETAIL&amp;h=34&amp;i=132&amp;l=198&amp;ad=true" TargetMode="External" Id="rId324"/><Relationship Type="http://schemas.openxmlformats.org/officeDocument/2006/relationships/hyperlink" Target="https://new.land.naver.com/complexes/393?ms=2AfAQG,3zprE6,17&amp;a=APT:ABYG:JGC&amp;b=A1:B1&amp;e=RETAIL&amp;h=34&amp;i=132&amp;l=198&amp;ad=true" TargetMode="External" Id="rId325"/><Relationship Type="http://schemas.openxmlformats.org/officeDocument/2006/relationships/hyperlink" Target="https://new.land.naver.com/complexes/393?ms=2AfAQG,3zprE6,17&amp;a=APT:ABYG:JGC&amp;b=A1:B1&amp;e=RETAIL&amp;h=34&amp;i=132&amp;l=198&amp;ad=true" TargetMode="External" Id="rId326"/><Relationship Type="http://schemas.openxmlformats.org/officeDocument/2006/relationships/hyperlink" Target="https://new.land.naver.com/complexes/393?ms=2AfAQG,3zprE6,17&amp;a=APT:ABYG:JGC&amp;b=A1:B1&amp;e=RETAIL&amp;h=34&amp;i=132&amp;l=198&amp;ad=true" TargetMode="External" Id="rId327"/><Relationship Type="http://schemas.openxmlformats.org/officeDocument/2006/relationships/hyperlink" Target="https://new.land.naver.com/complexes/393?ms=2AfAQG,3zprE6,17&amp;a=APT:ABYG:JGC&amp;b=A1:B1&amp;e=RETAIL&amp;h=34&amp;i=132&amp;l=198&amp;ad=true" TargetMode="External" Id="rId328"/><Relationship Type="http://schemas.openxmlformats.org/officeDocument/2006/relationships/hyperlink" Target="https://new.land.naver.com/complexes/393?ms=2AfAQG,3zprE6,17&amp;a=APT:ABYG:JGC&amp;b=A1:B1&amp;e=RETAIL&amp;h=34&amp;i=132&amp;l=198&amp;ad=true" TargetMode="External" Id="rId329"/><Relationship Type="http://schemas.openxmlformats.org/officeDocument/2006/relationships/hyperlink" Target="https://new.land.naver.com/complexes/629?ms=2AfAQG,3zprE6,17&amp;a=APT:ABYG:JGC&amp;b=A1:B1&amp;e=RETAIL&amp;h=34&amp;i=132&amp;l=198&amp;ad=true" TargetMode="External" Id="rId330"/><Relationship Type="http://schemas.openxmlformats.org/officeDocument/2006/relationships/hyperlink" Target="https://new.land.naver.com/complexes/629?ms=2AfAQG,3zprE6,17&amp;a=APT:ABYG:JGC&amp;b=A1:B1&amp;e=RETAIL&amp;h=34&amp;i=132&amp;l=198&amp;ad=true" TargetMode="External" Id="rId331"/><Relationship Type="http://schemas.openxmlformats.org/officeDocument/2006/relationships/hyperlink" Target="https://new.land.naver.com/complexes/629?ms=2AfAQG,3zprE6,17&amp;a=APT:ABYG:JGC&amp;b=A1:B1&amp;e=RETAIL&amp;h=34&amp;i=132&amp;l=198&amp;ad=true" TargetMode="External" Id="rId332"/><Relationship Type="http://schemas.openxmlformats.org/officeDocument/2006/relationships/hyperlink" Target="https://new.land.naver.com/complexes/631?ms=2AfAQG,3zprE6,17&amp;a=APT:ABYG:JGC&amp;b=A1:B1&amp;e=RETAIL&amp;h=34&amp;i=132&amp;l=198&amp;ad=true" TargetMode="External" Id="rId333"/><Relationship Type="http://schemas.openxmlformats.org/officeDocument/2006/relationships/hyperlink" Target="https://new.land.naver.com/complexes/631?ms=2AfAQG,3zprE6,17&amp;a=APT:ABYG:JGC&amp;b=A1:B1&amp;e=RETAIL&amp;h=34&amp;i=132&amp;l=198&amp;ad=true" TargetMode="External" Id="rId334"/><Relationship Type="http://schemas.openxmlformats.org/officeDocument/2006/relationships/hyperlink" Target="https://new.land.naver.com/complexes/631?ms=2AfAQG,3zprE6,17&amp;a=APT:ABYG:JGC&amp;b=A1:B1&amp;e=RETAIL&amp;h=34&amp;i=132&amp;l=198&amp;ad=true" TargetMode="External" Id="rId335"/><Relationship Type="http://schemas.openxmlformats.org/officeDocument/2006/relationships/hyperlink" Target="https://new.land.naver.com/complexes/626?ms=2AfAQG,3zprE6,17&amp;a=APT:ABYG:JGC&amp;b=A1:B1&amp;e=RETAIL&amp;h=34&amp;i=132&amp;l=198&amp;ad=true" TargetMode="External" Id="rId336"/><Relationship Type="http://schemas.openxmlformats.org/officeDocument/2006/relationships/hyperlink" Target="https://new.land.naver.com/complexes/626?ms=2AfAQG,3zprE6,17&amp;a=APT:ABYG:JGC&amp;b=A1:B1&amp;e=RETAIL&amp;h=34&amp;i=132&amp;l=198&amp;ad=true" TargetMode="External" Id="rId337"/><Relationship Type="http://schemas.openxmlformats.org/officeDocument/2006/relationships/hyperlink" Target="https://new.land.naver.com/complexes/627?ms=2AfAQG,3zprE6,17&amp;a=APT:ABYG:JGC&amp;b=A1:B1&amp;e=RETAIL&amp;h=34&amp;i=132&amp;l=198&amp;ad=true" TargetMode="External" Id="rId338"/><Relationship Type="http://schemas.openxmlformats.org/officeDocument/2006/relationships/hyperlink" Target="https://new.land.naver.com/complexes/627?ms=2AfAQG,3zprE6,17&amp;a=APT:ABYG:JGC&amp;b=A1:B1&amp;e=RETAIL&amp;h=34&amp;i=132&amp;l=198&amp;ad=true" TargetMode="External" Id="rId339"/><Relationship Type="http://schemas.openxmlformats.org/officeDocument/2006/relationships/hyperlink" Target="https://new.land.naver.com/complexes/628?ms=2AfAQG,3zprE6,17&amp;a=APT:ABYG:JGC&amp;b=A1:B1&amp;e=RETAIL&amp;h=34&amp;i=132&amp;l=198&amp;ad=true" TargetMode="External" Id="rId340"/><Relationship Type="http://schemas.openxmlformats.org/officeDocument/2006/relationships/hyperlink" Target="https://new.land.naver.com/complexes/628?ms=2AfAQG,3zprE6,17&amp;a=APT:ABYG:JGC&amp;b=A1:B1&amp;e=RETAIL&amp;h=34&amp;i=132&amp;l=198&amp;ad=true" TargetMode="External" Id="rId341"/><Relationship Type="http://schemas.openxmlformats.org/officeDocument/2006/relationships/hyperlink" Target="https://new.land.naver.com/complexes/628?ms=2AfAQG,3zprE6,17&amp;a=APT:ABYG:JGC&amp;b=A1:B1&amp;e=RETAIL&amp;h=34&amp;i=132&amp;l=198&amp;ad=true" TargetMode="External" Id="rId342"/><Relationship Type="http://schemas.openxmlformats.org/officeDocument/2006/relationships/hyperlink" Target="https://new.land.naver.com/complexes/628?ms=2AfAQG,3zprE6,17&amp;a=APT:ABYG:JGC&amp;b=A1:B1&amp;e=RETAIL&amp;h=34&amp;i=132&amp;l=198&amp;ad=true" TargetMode="External" Id="rId343"/><Relationship Type="http://schemas.openxmlformats.org/officeDocument/2006/relationships/hyperlink" Target="https://new.land.naver.com/complexes/147185?ms=2AfAQG,3zprE6,17&amp;a=APT:ABYG:JGC&amp;b=A1:B1&amp;e=RETAIL&amp;h=34&amp;i=132&amp;l=198&amp;ad=true" TargetMode="External" Id="rId344"/><Relationship Type="http://schemas.openxmlformats.org/officeDocument/2006/relationships/hyperlink" Target="https://new.land.naver.com/complexes/147185?ms=2AfAQG,3zprE6,17&amp;a=APT:ABYG:JGC&amp;b=A1:B1&amp;e=RETAIL&amp;h=34&amp;i=132&amp;l=198&amp;ad=true" TargetMode="External" Id="rId345"/><Relationship Type="http://schemas.openxmlformats.org/officeDocument/2006/relationships/hyperlink" Target="https://new.land.naver.com/complexes/147185?ms=2AfAQG,3zprE6,17&amp;a=APT:ABYG:JGC&amp;b=A1:B1&amp;e=RETAIL&amp;h=34&amp;i=132&amp;l=198&amp;ad=true" TargetMode="External" Id="rId346"/><Relationship Type="http://schemas.openxmlformats.org/officeDocument/2006/relationships/hyperlink" Target="https://new.land.naver.com/complexes/147185?ms=2AfAQG,3zprE6,17&amp;a=APT:ABYG:JGC&amp;b=A1:B1&amp;e=RETAIL&amp;h=34&amp;i=132&amp;l=198&amp;ad=true" TargetMode="External" Id="rId347"/><Relationship Type="http://schemas.openxmlformats.org/officeDocument/2006/relationships/hyperlink" Target="https://new.land.naver.com/complexes/147185?ms=2AfAQG,3zprE6,17&amp;a=APT:ABYG:JGC&amp;b=A1:B1&amp;e=RETAIL&amp;h=34&amp;i=132&amp;l=198&amp;ad=true" TargetMode="External" Id="rId348"/><Relationship Type="http://schemas.openxmlformats.org/officeDocument/2006/relationships/hyperlink" Target="https://new.land.naver.com/complexes/147185?ms=2AfAQG,3zprE6,17&amp;a=APT:ABYG:JGC&amp;b=A1:B1&amp;e=RETAIL&amp;h=34&amp;i=132&amp;l=198&amp;ad=true" TargetMode="External" Id="rId349"/><Relationship Type="http://schemas.openxmlformats.org/officeDocument/2006/relationships/hyperlink" Target="https://new.land.naver.com/complexes/114947?ms=2AfAQG,3zprE6,17&amp;a=APT:ABYG:JGC&amp;b=A1:B1&amp;e=RETAIL&amp;h=34&amp;i=132&amp;l=198&amp;ad=true" TargetMode="External" Id="rId350"/><Relationship Type="http://schemas.openxmlformats.org/officeDocument/2006/relationships/hyperlink" Target="https://new.land.naver.com/complexes/114947?ms=2AfAQG,3zprE6,17&amp;a=APT:ABYG:JGC&amp;b=A1:B1&amp;e=RETAIL&amp;h=34&amp;i=132&amp;l=198&amp;ad=true" TargetMode="External" Id="rId351"/><Relationship Type="http://schemas.openxmlformats.org/officeDocument/2006/relationships/hyperlink" Target="https://new.land.naver.com/complexes/115869?ms=2AfAQG,3zprE6,17&amp;a=APT:ABYG:JGC&amp;b=A1:B1&amp;e=RETAIL&amp;h=34&amp;i=132&amp;l=198&amp;ad=true" TargetMode="External" Id="rId352"/><Relationship Type="http://schemas.openxmlformats.org/officeDocument/2006/relationships/hyperlink" Target="https://new.land.naver.com/complexes/115869?ms=2AfAQG,3zprE6,17&amp;a=APT:ABYG:JGC&amp;b=A1:B1&amp;e=RETAIL&amp;h=34&amp;i=132&amp;l=198&amp;ad=true" TargetMode="External" Id="rId353"/><Relationship Type="http://schemas.openxmlformats.org/officeDocument/2006/relationships/hyperlink" Target="https://new.land.naver.com/complexes/118141?ms=2AfAQG,3zprE6,17&amp;a=APT:ABYG:JGC&amp;b=A1:B1&amp;e=RETAIL&amp;h=34&amp;i=132&amp;l=198&amp;ad=true" TargetMode="External" Id="rId354"/><Relationship Type="http://schemas.openxmlformats.org/officeDocument/2006/relationships/hyperlink" Target="https://new.land.naver.com/complexes/118141?ms=2AfAQG,3zprE6,17&amp;a=APT:ABYG:JGC&amp;b=A1:B1&amp;e=RETAIL&amp;h=34&amp;i=132&amp;l=198&amp;ad=true" TargetMode="External" Id="rId355"/><Relationship Type="http://schemas.openxmlformats.org/officeDocument/2006/relationships/hyperlink" Target="https://new.land.naver.com/complexes/114818?ms=2AfAQG,3zprE6,17&amp;a=APT:ABYG:JGC&amp;b=A1:B1&amp;e=RETAIL&amp;h=34&amp;i=132&amp;l=198&amp;ad=true" TargetMode="External" Id="rId356"/><Relationship Type="http://schemas.openxmlformats.org/officeDocument/2006/relationships/hyperlink" Target="https://new.land.naver.com/complexes/632?ms=2AfAQG,3zprE6,17&amp;a=APT:ABYG:JGC&amp;b=A1:B1&amp;e=RETAIL&amp;h=34&amp;i=132&amp;l=198&amp;ad=true" TargetMode="External" Id="rId357"/><Relationship Type="http://schemas.openxmlformats.org/officeDocument/2006/relationships/hyperlink" Target="https://new.land.naver.com/complexes/632?ms=2AfAQG,3zprE6,17&amp;a=APT:ABYG:JGC&amp;b=A1:B1&amp;e=RETAIL&amp;h=34&amp;i=132&amp;l=198&amp;ad=true" TargetMode="External" Id="rId358"/><Relationship Type="http://schemas.openxmlformats.org/officeDocument/2006/relationships/hyperlink" Target="https://new.land.naver.com/complexes/632?ms=2AfAQG,3zprE6,17&amp;a=APT:ABYG:JGC&amp;b=A1:B1&amp;e=RETAIL&amp;h=34&amp;i=132&amp;l=198&amp;ad=true" TargetMode="External" Id="rId359"/><Relationship Type="http://schemas.openxmlformats.org/officeDocument/2006/relationships/hyperlink" Target="https://new.land.naver.com/complexes/632?ms=2AfAQG,3zprE6,17&amp;a=APT:ABYG:JGC&amp;b=A1:B1&amp;e=RETAIL&amp;h=34&amp;i=132&amp;l=198&amp;ad=true" TargetMode="External" Id="rId360"/><Relationship Type="http://schemas.openxmlformats.org/officeDocument/2006/relationships/hyperlink" Target="https://new.land.naver.com/complexes/633?ms=2AfAQG,3zprE6,17&amp;a=APT:ABYG:JGC&amp;b=A1:B1&amp;e=RETAIL&amp;h=34&amp;i=132&amp;l=198&amp;ad=true" TargetMode="External" Id="rId361"/><Relationship Type="http://schemas.openxmlformats.org/officeDocument/2006/relationships/hyperlink" Target="https://new.land.naver.com/complexes/633?ms=2AfAQG,3zprE6,17&amp;a=APT:ABYG:JGC&amp;b=A1:B1&amp;e=RETAIL&amp;h=34&amp;i=132&amp;l=198&amp;ad=true" TargetMode="External" Id="rId362"/><Relationship Type="http://schemas.openxmlformats.org/officeDocument/2006/relationships/hyperlink" Target="https://new.land.naver.com/complexes/633?ms=2AfAQG,3zprE6,17&amp;a=APT:ABYG:JGC&amp;b=A1:B1&amp;e=RETAIL&amp;h=34&amp;i=132&amp;l=198&amp;ad=true" TargetMode="External" Id="rId363"/><Relationship Type="http://schemas.openxmlformats.org/officeDocument/2006/relationships/hyperlink" Target="https://new.land.naver.com/complexes/633?ms=2AfAQG,3zprE6,17&amp;a=APT:ABYG:JGC&amp;b=A1:B1&amp;e=RETAIL&amp;h=34&amp;i=132&amp;l=198&amp;ad=true" TargetMode="External" Id="rId364"/><Relationship Type="http://schemas.openxmlformats.org/officeDocument/2006/relationships/hyperlink" Target="https://new.land.naver.com/complexes/633?ms=2AfAQG,3zprE6,17&amp;a=APT:ABYG:JGC&amp;b=A1:B1&amp;e=RETAIL&amp;h=34&amp;i=132&amp;l=198&amp;ad=true" TargetMode="External" Id="rId365"/><Relationship Type="http://schemas.openxmlformats.org/officeDocument/2006/relationships/hyperlink" Target="https://new.land.naver.com/complexes/12236?ms=2AfAQG,3zprE6,17&amp;a=APT:ABYG:JGC&amp;b=A1:B1&amp;e=RETAIL&amp;h=34&amp;i=132&amp;l=198&amp;ad=true" TargetMode="External" Id="rId366"/><Relationship Type="http://schemas.openxmlformats.org/officeDocument/2006/relationships/hyperlink" Target="https://new.land.naver.com/complexes/12236?ms=2AfAQG,3zprE6,17&amp;a=APT:ABYG:JGC&amp;b=A1:B1&amp;e=RETAIL&amp;h=34&amp;i=132&amp;l=198&amp;ad=true" TargetMode="External" Id="rId367"/><Relationship Type="http://schemas.openxmlformats.org/officeDocument/2006/relationships/hyperlink" Target="https://new.land.naver.com/complexes/12236?ms=2AfAQG,3zprE6,17&amp;a=APT:ABYG:JGC&amp;b=A1:B1&amp;e=RETAIL&amp;h=34&amp;i=132&amp;l=198&amp;ad=true" TargetMode="External" Id="rId368"/><Relationship Type="http://schemas.openxmlformats.org/officeDocument/2006/relationships/hyperlink" Target="https://new.land.naver.com/complexes/12236?ms=2AfAQG,3zprE6,17&amp;a=APT:ABYG:JGC&amp;b=A1:B1&amp;e=RETAIL&amp;h=34&amp;i=132&amp;l=198&amp;ad=true" TargetMode="External" Id="rId369"/><Relationship Type="http://schemas.openxmlformats.org/officeDocument/2006/relationships/hyperlink" Target="https://new.land.naver.com/complexes/12236?ms=2AfAQG,3zprE6,17&amp;a=APT:ABYG:JGC&amp;b=A1:B1&amp;e=RETAIL&amp;h=34&amp;i=132&amp;l=198&amp;ad=true" TargetMode="External" Id="rId370"/><Relationship Type="http://schemas.openxmlformats.org/officeDocument/2006/relationships/hyperlink" Target="https://new.land.naver.com/complexes/12236?ms=2AfAQG,3zprE6,17&amp;a=APT:ABYG:JGC&amp;b=A1:B1&amp;e=RETAIL&amp;h=34&amp;i=132&amp;l=198&amp;ad=true" TargetMode="External" Id="rId371"/><Relationship Type="http://schemas.openxmlformats.org/officeDocument/2006/relationships/hyperlink" Target="https://new.land.naver.com/complexes/12236?ms=2AfAQG,3zprE6,17&amp;a=APT:ABYG:JGC&amp;b=A1:B1&amp;e=RETAIL&amp;h=34&amp;i=132&amp;l=198&amp;ad=true" TargetMode="External" Id="rId372"/><Relationship Type="http://schemas.openxmlformats.org/officeDocument/2006/relationships/hyperlink" Target="https://new.land.naver.com/complexes/12236?ms=2AfAQG,3zprE6,17&amp;a=APT:ABYG:JGC&amp;b=A1:B1&amp;e=RETAIL&amp;h=34&amp;i=132&amp;l=198&amp;ad=true" TargetMode="External" Id="rId373"/><Relationship Type="http://schemas.openxmlformats.org/officeDocument/2006/relationships/hyperlink" Target="https://new.land.naver.com/complexes/12236?ms=2AfAQG,3zprE6,17&amp;a=APT:ABYG:JGC&amp;b=A1:B1&amp;e=RETAIL&amp;h=34&amp;i=132&amp;l=198&amp;ad=true" TargetMode="External" Id="rId374"/><Relationship Type="http://schemas.openxmlformats.org/officeDocument/2006/relationships/hyperlink" Target="https://new.land.naver.com/complexes/12236?ms=2AfAQG,3zprE6,17&amp;a=APT:ABYG:JGC&amp;b=A1:B1&amp;e=RETAIL&amp;h=34&amp;i=132&amp;l=198&amp;ad=true" TargetMode="External" Id="rId375"/><Relationship Type="http://schemas.openxmlformats.org/officeDocument/2006/relationships/hyperlink" Target="https://new.land.naver.com/complexes/12236?ms=2AfAQG,3zprE6,17&amp;a=APT:ABYG:JGC&amp;b=A1:B1&amp;e=RETAIL&amp;h=34&amp;i=132&amp;l=198&amp;ad=true" TargetMode="External" Id="rId376"/><Relationship Type="http://schemas.openxmlformats.org/officeDocument/2006/relationships/hyperlink" Target="https://new.land.naver.com/complexes/12236?ms=2AfAQG,3zprE6,17&amp;a=APT:ABYG:JGC&amp;b=A1:B1&amp;e=RETAIL&amp;h=34&amp;i=132&amp;l=198&amp;ad=true" TargetMode="External" Id="rId377"/><Relationship Type="http://schemas.openxmlformats.org/officeDocument/2006/relationships/hyperlink" Target="https://new.land.naver.com/complexes/12236?ms=2AfAQG,3zprE6,17&amp;a=APT:ABYG:JGC&amp;b=A1:B1&amp;e=RETAIL&amp;h=34&amp;i=132&amp;l=198&amp;ad=true" TargetMode="External" Id="rId378"/><Relationship Type="http://schemas.openxmlformats.org/officeDocument/2006/relationships/hyperlink" Target="https://new.land.naver.com/complexes/12236?ms=2AfAQG,3zprE6,17&amp;a=APT:ABYG:JGC&amp;b=A1:B1&amp;e=RETAIL&amp;h=34&amp;i=132&amp;l=198&amp;ad=true" TargetMode="External" Id="rId379"/><Relationship Type="http://schemas.openxmlformats.org/officeDocument/2006/relationships/hyperlink" Target="https://new.land.naver.com/complexes/12236?ms=2AfAQG,3zprE6,17&amp;a=APT:ABYG:JGC&amp;b=A1:B1&amp;e=RETAIL&amp;h=34&amp;i=132&amp;l=198&amp;ad=true" TargetMode="External" Id="rId380"/><Relationship Type="http://schemas.openxmlformats.org/officeDocument/2006/relationships/hyperlink" Target="https://new.land.naver.com/complexes/12236?ms=2AfAQG,3zprE6,17&amp;a=APT:ABYG:JGC&amp;b=A1:B1&amp;e=RETAIL&amp;h=34&amp;i=132&amp;l=198&amp;ad=true" TargetMode="External" Id="rId381"/><Relationship Type="http://schemas.openxmlformats.org/officeDocument/2006/relationships/hyperlink" Target="https://new.land.naver.com/complexes/12236?ms=2AfAQG,3zprE6,17&amp;a=APT:ABYG:JGC&amp;b=A1:B1&amp;e=RETAIL&amp;h=34&amp;i=132&amp;l=198&amp;ad=true" TargetMode="External" Id="rId382"/><Relationship Type="http://schemas.openxmlformats.org/officeDocument/2006/relationships/hyperlink" Target="https://new.land.naver.com/complexes/12236?ms=2AfAQG,3zprE6,17&amp;a=APT:ABYG:JGC&amp;b=A1:B1&amp;e=RETAIL&amp;h=34&amp;i=132&amp;l=198&amp;ad=true" TargetMode="External" Id="rId383"/><Relationship Type="http://schemas.openxmlformats.org/officeDocument/2006/relationships/hyperlink" Target="https://new.land.naver.com/complexes/12236?ms=2AfAQG,3zprE6,17&amp;a=APT:ABYG:JGC&amp;b=A1:B1&amp;e=RETAIL&amp;h=34&amp;i=132&amp;l=198&amp;ad=true" TargetMode="External" Id="rId384"/><Relationship Type="http://schemas.openxmlformats.org/officeDocument/2006/relationships/hyperlink" Target="https://new.land.naver.com/complexes/15011?ms=2AfAQG,3zprE6,17&amp;a=APT:ABYG:JGC&amp;b=A1:B1&amp;e=RETAIL&amp;h=34&amp;i=132&amp;l=198&amp;ad=true" TargetMode="External" Id="rId385"/><Relationship Type="http://schemas.openxmlformats.org/officeDocument/2006/relationships/hyperlink" Target="https://new.land.naver.com/complexes/15011?ms=2AfAQG,3zprE6,17&amp;a=APT:ABYG:JGC&amp;b=A1:B1&amp;e=RETAIL&amp;h=34&amp;i=132&amp;l=198&amp;ad=true" TargetMode="External" Id="rId386"/><Relationship Type="http://schemas.openxmlformats.org/officeDocument/2006/relationships/hyperlink" Target="https://new.land.naver.com/complexes/15011?ms=2AfAQG,3zprE6,17&amp;a=APT:ABYG:JGC&amp;b=A1:B1&amp;e=RETAIL&amp;h=34&amp;i=132&amp;l=198&amp;ad=true" TargetMode="External" Id="rId387"/><Relationship Type="http://schemas.openxmlformats.org/officeDocument/2006/relationships/hyperlink" Target="https://new.land.naver.com/complexes/15011?ms=2AfAQG,3zprE6,17&amp;a=APT:ABYG:JGC&amp;b=A1:B1&amp;e=RETAIL&amp;h=34&amp;i=132&amp;l=198&amp;ad=true" TargetMode="External" Id="rId388"/><Relationship Type="http://schemas.openxmlformats.org/officeDocument/2006/relationships/hyperlink" Target="https://new.land.naver.com/complexes/15011?ms=2AfAQG,3zprE6,17&amp;a=APT:ABYG:JGC&amp;b=A1:B1&amp;e=RETAIL&amp;h=34&amp;i=132&amp;l=198&amp;ad=true" TargetMode="External" Id="rId389"/><Relationship Type="http://schemas.openxmlformats.org/officeDocument/2006/relationships/hyperlink" Target="https://new.land.naver.com/complexes/22746?ms=2AfAQG,3zprE6,17&amp;a=APT:ABYG:JGC&amp;b=A1:B1&amp;e=RETAIL&amp;h=34&amp;i=132&amp;l=198&amp;ad=true" TargetMode="External" Id="rId390"/><Relationship Type="http://schemas.openxmlformats.org/officeDocument/2006/relationships/hyperlink" Target="https://new.land.naver.com/complexes/22746?ms=2AfAQG,3zprE6,17&amp;a=APT:ABYG:JGC&amp;b=A1:B1&amp;e=RETAIL&amp;h=34&amp;i=132&amp;l=198&amp;ad=true" TargetMode="External" Id="rId391"/><Relationship Type="http://schemas.openxmlformats.org/officeDocument/2006/relationships/hyperlink" Target="https://new.land.naver.com/complexes/22746?ms=2AfAQG,3zprE6,17&amp;a=APT:ABYG:JGC&amp;b=A1:B1&amp;e=RETAIL&amp;h=34&amp;i=132&amp;l=198&amp;ad=true" TargetMode="External" Id="rId392"/><Relationship Type="http://schemas.openxmlformats.org/officeDocument/2006/relationships/hyperlink" Target="https://new.land.naver.com/complexes/22746?ms=2AfAQG,3zprE6,17&amp;a=APT:ABYG:JGC&amp;b=A1:B1&amp;e=RETAIL&amp;h=34&amp;i=132&amp;l=198&amp;ad=true" TargetMode="External" Id="rId393"/><Relationship Type="http://schemas.openxmlformats.org/officeDocument/2006/relationships/hyperlink" Target="https://new.land.naver.com/complexes/22746?ms=2AfAQG,3zprE6,17&amp;a=APT:ABYG:JGC&amp;b=A1:B1&amp;e=RETAIL&amp;h=34&amp;i=132&amp;l=198&amp;ad=true" TargetMode="External" Id="rId394"/><Relationship Type="http://schemas.openxmlformats.org/officeDocument/2006/relationships/hyperlink" Target="https://new.land.naver.com/complexes/635?ms=2AfAQG,3zprE6,17&amp;a=APT:ABYG:JGC&amp;b=A1:B1&amp;e=RETAIL&amp;h=34&amp;i=132&amp;l=198&amp;ad=true" TargetMode="External" Id="rId395"/><Relationship Type="http://schemas.openxmlformats.org/officeDocument/2006/relationships/hyperlink" Target="https://new.land.naver.com/complexes/635?ms=2AfAQG,3zprE6,17&amp;a=APT:ABYG:JGC&amp;b=A1:B1&amp;e=RETAIL&amp;h=34&amp;i=132&amp;l=198&amp;ad=true" TargetMode="External" Id="rId396"/><Relationship Type="http://schemas.openxmlformats.org/officeDocument/2006/relationships/hyperlink" Target="https://new.land.naver.com/complexes/635?ms=2AfAQG,3zprE6,17&amp;a=APT:ABYG:JGC&amp;b=A1:B1&amp;e=RETAIL&amp;h=34&amp;i=132&amp;l=198&amp;ad=true" TargetMode="External" Id="rId397"/><Relationship Type="http://schemas.openxmlformats.org/officeDocument/2006/relationships/hyperlink" Target="https://new.land.naver.com/complexes/635?ms=2AfAQG,3zprE6,17&amp;a=APT:ABYG:JGC&amp;b=A1:B1&amp;e=RETAIL&amp;h=34&amp;i=132&amp;l=198&amp;ad=true" TargetMode="External" Id="rId398"/><Relationship Type="http://schemas.openxmlformats.org/officeDocument/2006/relationships/hyperlink" Target="https://new.land.naver.com/complexes/635?ms=2AfAQG,3zprE6,17&amp;a=APT:ABYG:JGC&amp;b=A1:B1&amp;e=RETAIL&amp;h=34&amp;i=132&amp;l=198&amp;ad=true" TargetMode="External" Id="rId399"/><Relationship Type="http://schemas.openxmlformats.org/officeDocument/2006/relationships/hyperlink" Target="https://new.land.naver.com/complexes/635?ms=2AfAQG,3zprE6,17&amp;a=APT:ABYG:JGC&amp;b=A1:B1&amp;e=RETAIL&amp;h=34&amp;i=132&amp;l=198&amp;ad=true" TargetMode="External" Id="rId400"/><Relationship Type="http://schemas.openxmlformats.org/officeDocument/2006/relationships/hyperlink" Target="https://new.land.naver.com/complexes/12861?ms=2AfAQG,3zprE6,17&amp;a=APT:ABYG:JGC&amp;b=A1:B1&amp;e=RETAIL&amp;h=34&amp;i=132&amp;l=198&amp;ad=true" TargetMode="External" Id="rId401"/><Relationship Type="http://schemas.openxmlformats.org/officeDocument/2006/relationships/hyperlink" Target="https://new.land.naver.com/complexes/12861?ms=2AfAQG,3zprE6,17&amp;a=APT:ABYG:JGC&amp;b=A1:B1&amp;e=RETAIL&amp;h=34&amp;i=132&amp;l=198&amp;ad=true" TargetMode="External" Id="rId402"/><Relationship Type="http://schemas.openxmlformats.org/officeDocument/2006/relationships/hyperlink" Target="https://new.land.naver.com/complexes/12861?ms=2AfAQG,3zprE6,17&amp;a=APT:ABYG:JGC&amp;b=A1:B1&amp;e=RETAIL&amp;h=34&amp;i=132&amp;l=198&amp;ad=true" TargetMode="External" Id="rId403"/><Relationship Type="http://schemas.openxmlformats.org/officeDocument/2006/relationships/hyperlink" Target="https://new.land.naver.com/complexes/12861?ms=2AfAQG,3zprE6,17&amp;a=APT:ABYG:JGC&amp;b=A1:B1&amp;e=RETAIL&amp;h=34&amp;i=132&amp;l=198&amp;ad=true" TargetMode="External" Id="rId404"/><Relationship Type="http://schemas.openxmlformats.org/officeDocument/2006/relationships/hyperlink" Target="https://new.land.naver.com/complexes/12861?ms=2AfAQG,3zprE6,17&amp;a=APT:ABYG:JGC&amp;b=A1:B1&amp;e=RETAIL&amp;h=34&amp;i=132&amp;l=198&amp;ad=true" TargetMode="External" Id="rId405"/><Relationship Type="http://schemas.openxmlformats.org/officeDocument/2006/relationships/hyperlink" Target="https://new.land.naver.com/complexes/12861?ms=2AfAQG,3zprE6,17&amp;a=APT:ABYG:JGC&amp;b=A1:B1&amp;e=RETAIL&amp;h=34&amp;i=132&amp;l=198&amp;ad=true" TargetMode="External" Id="rId406"/><Relationship Type="http://schemas.openxmlformats.org/officeDocument/2006/relationships/hyperlink" Target="https://new.land.naver.com/complexes/12861?ms=2AfAQG,3zprE6,17&amp;a=APT:ABYG:JGC&amp;b=A1:B1&amp;e=RETAIL&amp;h=34&amp;i=132&amp;l=198&amp;ad=true" TargetMode="External" Id="rId407"/><Relationship Type="http://schemas.openxmlformats.org/officeDocument/2006/relationships/hyperlink" Target="https://new.land.naver.com/complexes/12861?ms=2AfAQG,3zprE6,17&amp;a=APT:ABYG:JGC&amp;b=A1:B1&amp;e=RETAIL&amp;h=34&amp;i=132&amp;l=198&amp;ad=true" TargetMode="External" Id="rId408"/><Relationship Type="http://schemas.openxmlformats.org/officeDocument/2006/relationships/hyperlink" Target="https://new.land.naver.com/complexes/12861?ms=2AfAQG,3zprE6,17&amp;a=APT:ABYG:JGC&amp;b=A1:B1&amp;e=RETAIL&amp;h=34&amp;i=132&amp;l=198&amp;ad=true" TargetMode="External" Id="rId409"/><Relationship Type="http://schemas.openxmlformats.org/officeDocument/2006/relationships/hyperlink" Target="https://new.land.naver.com/complexes/637?ms=2AfAQG,3zprE6,17&amp;a=APT:ABYG:JGC&amp;b=A1:B1&amp;e=RETAIL&amp;h=34&amp;i=132&amp;l=198&amp;ad=true" TargetMode="External" Id="rId410"/><Relationship Type="http://schemas.openxmlformats.org/officeDocument/2006/relationships/hyperlink" Target="https://new.land.naver.com/complexes/637?ms=2AfAQG,3zprE6,17&amp;a=APT:ABYG:JGC&amp;b=A1:B1&amp;e=RETAIL&amp;h=34&amp;i=132&amp;l=198&amp;ad=true" TargetMode="External" Id="rId411"/><Relationship Type="http://schemas.openxmlformats.org/officeDocument/2006/relationships/hyperlink" Target="https://new.land.naver.com/complexes/637?ms=2AfAQG,3zprE6,17&amp;a=APT:ABYG:JGC&amp;b=A1:B1&amp;e=RETAIL&amp;h=34&amp;i=132&amp;l=198&amp;ad=true" TargetMode="External" Id="rId412"/><Relationship Type="http://schemas.openxmlformats.org/officeDocument/2006/relationships/hyperlink" Target="https://new.land.naver.com/complexes/637?ms=2AfAQG,3zprE6,17&amp;a=APT:ABYG:JGC&amp;b=A1:B1&amp;e=RETAIL&amp;h=34&amp;i=132&amp;l=198&amp;ad=true" TargetMode="External" Id="rId413"/><Relationship Type="http://schemas.openxmlformats.org/officeDocument/2006/relationships/hyperlink" Target="https://new.land.naver.com/complexes/22627?ms=2AfAQG,3zprE6,17&amp;a=APT:ABYG:JGC&amp;b=A1:B1&amp;e=RETAIL&amp;h=34&amp;i=132&amp;l=198&amp;ad=true" TargetMode="External" Id="rId414"/><Relationship Type="http://schemas.openxmlformats.org/officeDocument/2006/relationships/hyperlink" Target="https://new.land.naver.com/complexes/22627?ms=2AfAQG,3zprE6,17&amp;a=APT:ABYG:JGC&amp;b=A1:B1&amp;e=RETAIL&amp;h=34&amp;i=132&amp;l=198&amp;ad=true" TargetMode="External" Id="rId415"/><Relationship Type="http://schemas.openxmlformats.org/officeDocument/2006/relationships/hyperlink" Target="https://new.land.naver.com/complexes/22627?ms=2AfAQG,3zprE6,17&amp;a=APT:ABYG:JGC&amp;b=A1:B1&amp;e=RETAIL&amp;h=34&amp;i=132&amp;l=198&amp;ad=true" TargetMode="External" Id="rId416"/><Relationship Type="http://schemas.openxmlformats.org/officeDocument/2006/relationships/hyperlink" Target="https://new.land.naver.com/complexes/639?ms=2AfAQG,3zprE6,17&amp;a=APT:ABYG:JGC&amp;b=A1:B1&amp;e=RETAIL&amp;h=34&amp;i=132&amp;l=198&amp;ad=true" TargetMode="External" Id="rId417"/><Relationship Type="http://schemas.openxmlformats.org/officeDocument/2006/relationships/hyperlink" Target="https://new.land.naver.com/complexes/639?ms=2AfAQG,3zprE6,17&amp;a=APT:ABYG:JGC&amp;b=A1:B1&amp;e=RETAIL&amp;h=34&amp;i=132&amp;l=198&amp;ad=true" TargetMode="External" Id="rId418"/><Relationship Type="http://schemas.openxmlformats.org/officeDocument/2006/relationships/hyperlink" Target="https://new.land.naver.com/complexes/639?ms=2AfAQG,3zprE6,17&amp;a=APT:ABYG:JGC&amp;b=A1:B1&amp;e=RETAIL&amp;h=34&amp;i=132&amp;l=198&amp;ad=true" TargetMode="External" Id="rId419"/><Relationship Type="http://schemas.openxmlformats.org/officeDocument/2006/relationships/hyperlink" Target="https://new.land.naver.com/complexes/19127?ms=2AfAQG,3zprE6,17&amp;a=APT:ABYG:JGC&amp;b=A1:B1&amp;e=RETAIL&amp;h=34&amp;i=132&amp;l=198&amp;ad=true" TargetMode="External" Id="rId420"/><Relationship Type="http://schemas.openxmlformats.org/officeDocument/2006/relationships/hyperlink" Target="https://new.land.naver.com/complexes/19127?ms=2AfAQG,3zprE6,17&amp;a=APT:ABYG:JGC&amp;b=A1:B1&amp;e=RETAIL&amp;h=34&amp;i=132&amp;l=198&amp;ad=true" TargetMode="External" Id="rId421"/><Relationship Type="http://schemas.openxmlformats.org/officeDocument/2006/relationships/hyperlink" Target="https://new.land.naver.com/complexes/19127?ms=2AfAQG,3zprE6,17&amp;a=APT:ABYG:JGC&amp;b=A1:B1&amp;e=RETAIL&amp;h=34&amp;i=132&amp;l=198&amp;ad=true" TargetMode="External" Id="rId422"/><Relationship Type="http://schemas.openxmlformats.org/officeDocument/2006/relationships/hyperlink" Target="https://new.land.naver.com/complexes/19127?ms=2AfAQG,3zprE6,17&amp;a=APT:ABYG:JGC&amp;b=A1:B1&amp;e=RETAIL&amp;h=34&amp;i=132&amp;l=198&amp;ad=true" TargetMode="External" Id="rId423"/><Relationship Type="http://schemas.openxmlformats.org/officeDocument/2006/relationships/hyperlink" Target="https://new.land.naver.com/complexes/640?ms=2AfAQG,3zprE6,17&amp;a=APT:ABYG:JGC&amp;b=A1:B1&amp;e=RETAIL&amp;h=34&amp;i=132&amp;l=198&amp;ad=true" TargetMode="External" Id="rId424"/><Relationship Type="http://schemas.openxmlformats.org/officeDocument/2006/relationships/hyperlink" Target="https://new.land.naver.com/complexes/640?ms=2AfAQG,3zprE6,17&amp;a=APT:ABYG:JGC&amp;b=A1:B1&amp;e=RETAIL&amp;h=34&amp;i=132&amp;l=198&amp;ad=true" TargetMode="External" Id="rId425"/><Relationship Type="http://schemas.openxmlformats.org/officeDocument/2006/relationships/hyperlink" Target="https://new.land.naver.com/complexes/104122?ms=2AfAQG,3zprE6,17&amp;a=APT:ABYG:JGC&amp;b=A1:B1&amp;e=RETAIL&amp;h=34&amp;i=132&amp;l=198&amp;ad=true" TargetMode="External" Id="rId426"/><Relationship Type="http://schemas.openxmlformats.org/officeDocument/2006/relationships/hyperlink" Target="https://new.land.naver.com/complexes/104122?ms=2AfAQG,3zprE6,17&amp;a=APT:ABYG:JGC&amp;b=A1:B1&amp;e=RETAIL&amp;h=34&amp;i=132&amp;l=198&amp;ad=true" TargetMode="External" Id="rId427"/><Relationship Type="http://schemas.openxmlformats.org/officeDocument/2006/relationships/hyperlink" Target="https://new.land.naver.com/complexes/104122?ms=2AfAQG,3zprE6,17&amp;a=APT:ABYG:JGC&amp;b=A1:B1&amp;e=RETAIL&amp;h=34&amp;i=132&amp;l=198&amp;ad=true" TargetMode="External" Id="rId428"/><Relationship Type="http://schemas.openxmlformats.org/officeDocument/2006/relationships/hyperlink" Target="https://new.land.naver.com/complexes/107683?ms=2AfAQG,3zprE6,17&amp;a=APT:ABYG:JGC&amp;b=A1:B1&amp;e=RETAIL&amp;h=34&amp;i=132&amp;l=198&amp;ad=true" TargetMode="External" Id="rId429"/><Relationship Type="http://schemas.openxmlformats.org/officeDocument/2006/relationships/hyperlink" Target="https://new.land.naver.com/complexes/107683?ms=2AfAQG,3zprE6,17&amp;a=APT:ABYG:JGC&amp;b=A1:B1&amp;e=RETAIL&amp;h=34&amp;i=132&amp;l=198&amp;ad=true" TargetMode="External" Id="rId430"/><Relationship Type="http://schemas.openxmlformats.org/officeDocument/2006/relationships/hyperlink" Target="https://new.land.naver.com/complexes/107683?ms=2AfAQG,3zprE6,17&amp;a=APT:ABYG:JGC&amp;b=A1:B1&amp;e=RETAIL&amp;h=34&amp;i=132&amp;l=198&amp;ad=true" TargetMode="External" Id="rId431"/><Relationship Type="http://schemas.openxmlformats.org/officeDocument/2006/relationships/hyperlink" Target="https://new.land.naver.com/complexes/107683?ms=2AfAQG,3zprE6,17&amp;a=APT:ABYG:JGC&amp;b=A1:B1&amp;e=RETAIL&amp;h=34&amp;i=132&amp;l=198&amp;ad=true" TargetMode="External" Id="rId432"/><Relationship Type="http://schemas.openxmlformats.org/officeDocument/2006/relationships/hyperlink" Target="https://new.land.naver.com/complexes/104126?ms=2AfAQG,3zprE6,17&amp;a=APT:ABYG:JGC&amp;b=A1:B1&amp;e=RETAIL&amp;h=34&amp;i=132&amp;l=198&amp;ad=true" TargetMode="External" Id="rId433"/><Relationship Type="http://schemas.openxmlformats.org/officeDocument/2006/relationships/hyperlink" Target="https://new.land.naver.com/complexes/104126?ms=2AfAQG,3zprE6,17&amp;a=APT:ABYG:JGC&amp;b=A1:B1&amp;e=RETAIL&amp;h=34&amp;i=132&amp;l=198&amp;ad=true" TargetMode="External" Id="rId434"/><Relationship Type="http://schemas.openxmlformats.org/officeDocument/2006/relationships/hyperlink" Target="https://new.land.naver.com/complexes/104126?ms=2AfAQG,3zprE6,17&amp;a=APT:ABYG:JGC&amp;b=A1:B1&amp;e=RETAIL&amp;h=34&amp;i=132&amp;l=198&amp;ad=true" TargetMode="External" Id="rId435"/><Relationship Type="http://schemas.openxmlformats.org/officeDocument/2006/relationships/hyperlink" Target="https://new.land.naver.com/complexes/104126?ms=2AfAQG,3zprE6,17&amp;a=APT:ABYG:JGC&amp;b=A1:B1&amp;e=RETAIL&amp;h=34&amp;i=132&amp;l=198&amp;ad=true" TargetMode="External" Id="rId436"/><Relationship Type="http://schemas.openxmlformats.org/officeDocument/2006/relationships/hyperlink" Target="https://new.land.naver.com/complexes/104126?ms=2AfAQG,3zprE6,17&amp;a=APT:ABYG:JGC&amp;b=A1:B1&amp;e=RETAIL&amp;h=34&amp;i=132&amp;l=198&amp;ad=true" TargetMode="External" Id="rId437"/><Relationship Type="http://schemas.openxmlformats.org/officeDocument/2006/relationships/hyperlink" Target="https://new.land.naver.com/complexes/104126?ms=2AfAQG,3zprE6,17&amp;a=APT:ABYG:JGC&amp;b=A1:B1&amp;e=RETAIL&amp;h=34&amp;i=132&amp;l=198&amp;ad=true" TargetMode="External" Id="rId438"/><Relationship Type="http://schemas.openxmlformats.org/officeDocument/2006/relationships/hyperlink" Target="https://new.land.naver.com/complexes/25929?ms=2AfAQG,3zprE6,17&amp;a=APT:ABYG:JGC&amp;b=A1:B1&amp;e=RETAIL&amp;h=34&amp;i=132&amp;l=198&amp;ad=true" TargetMode="External" Id="rId439"/><Relationship Type="http://schemas.openxmlformats.org/officeDocument/2006/relationships/hyperlink" Target="https://new.land.naver.com/complexes/25930?ms=2AfAQG,3zprE6,17&amp;a=APT:ABYG:JGC&amp;b=A1:B1&amp;e=RETAIL&amp;h=34&amp;i=132&amp;l=198&amp;ad=true" TargetMode="External" Id="rId440"/><Relationship Type="http://schemas.openxmlformats.org/officeDocument/2006/relationships/hyperlink" Target="https://new.land.naver.com/complexes/100455?ms=2AfAQG,3zprE6,17&amp;a=APT:ABYG:JGC&amp;b=A1:B1&amp;e=RETAIL&amp;h=34&amp;i=132&amp;l=198&amp;ad=true" TargetMode="External" Id="rId441"/><Relationship Type="http://schemas.openxmlformats.org/officeDocument/2006/relationships/hyperlink" Target="https://new.land.naver.com/complexes/26479?ms=2AfAQG,3zprE6,17&amp;a=APT:ABYG:JGC&amp;b=A1:B1&amp;e=RETAIL&amp;h=34&amp;i=132&amp;l=198&amp;ad=true" TargetMode="External" Id="rId442"/><Relationship Type="http://schemas.openxmlformats.org/officeDocument/2006/relationships/hyperlink" Target="https://new.land.naver.com/complexes/26222?ms=2AfAQG,3zprE6,17&amp;a=APT:ABYG:JGC&amp;b=A1:B1&amp;e=RETAIL&amp;h=34&amp;i=132&amp;l=198&amp;ad=true" TargetMode="External" Id="rId443"/><Relationship Type="http://schemas.openxmlformats.org/officeDocument/2006/relationships/hyperlink" Target="https://new.land.naver.com/complexes/26472?ms=2AfAQG,3zprE6,17&amp;a=APT:ABYG:JGC&amp;b=A1:B1&amp;e=RETAIL&amp;h=34&amp;i=132&amp;l=198&amp;ad=true" TargetMode="External" Id="rId444"/><Relationship Type="http://schemas.openxmlformats.org/officeDocument/2006/relationships/hyperlink" Target="https://new.land.naver.com/complexes/26481?ms=2AfAQG,3zprE6,17&amp;a=APT:ABYG:JGC&amp;b=A1:B1&amp;e=RETAIL&amp;h=34&amp;i=132&amp;l=198&amp;ad=true" TargetMode="External" Id="rId445"/><Relationship Type="http://schemas.openxmlformats.org/officeDocument/2006/relationships/hyperlink" Target="https://new.land.naver.com/complexes/26106?ms=2AfAQG,3zprE6,17&amp;a=APT:ABYG:JGC&amp;b=A1:B1&amp;e=RETAIL&amp;h=34&amp;i=132&amp;l=198&amp;ad=true" TargetMode="External" Id="rId446"/><Relationship Type="http://schemas.openxmlformats.org/officeDocument/2006/relationships/hyperlink" Target="https://new.land.naver.com/complexes/26471?ms=2AfAQG,3zprE6,17&amp;a=APT:ABYG:JGC&amp;b=A1:B1&amp;e=RETAIL&amp;h=34&amp;i=132&amp;l=198&amp;ad=true" TargetMode="External" Id="rId447"/><Relationship Type="http://schemas.openxmlformats.org/officeDocument/2006/relationships/hyperlink" Target="https://new.land.naver.com/complexes/26107?ms=2AfAQG,3zprE6,17&amp;a=APT:ABYG:JGC&amp;b=A1:B1&amp;e=RETAIL&amp;h=34&amp;i=132&amp;l=198&amp;ad=true" TargetMode="External" Id="rId448"/><Relationship Type="http://schemas.openxmlformats.org/officeDocument/2006/relationships/hyperlink" Target="https://new.land.naver.com/complexes/105367?ms=2AfAQG,3zprE6,17&amp;a=APT:ABYG:JGC&amp;b=A1:B1&amp;e=RETAIL&amp;h=34&amp;i=132&amp;l=198&amp;ad=true" TargetMode="External" Id="rId449"/><Relationship Type="http://schemas.openxmlformats.org/officeDocument/2006/relationships/hyperlink" Target="https://new.land.naver.com/complexes/105367?ms=2AfAQG,3zprE6,17&amp;a=APT:ABYG:JGC&amp;b=A1:B1&amp;e=RETAIL&amp;h=34&amp;i=132&amp;l=198&amp;ad=true" TargetMode="External" Id="rId450"/><Relationship Type="http://schemas.openxmlformats.org/officeDocument/2006/relationships/hyperlink" Target="https://new.land.naver.com/complexes/105367?ms=2AfAQG,3zprE6,17&amp;a=APT:ABYG:JGC&amp;b=A1:B1&amp;e=RETAIL&amp;h=34&amp;i=132&amp;l=198&amp;ad=true" TargetMode="External" Id="rId451"/><Relationship Type="http://schemas.openxmlformats.org/officeDocument/2006/relationships/hyperlink" Target="https://new.land.naver.com/complexes/105367?ms=2AfAQG,3zprE6,17&amp;a=APT:ABYG:JGC&amp;b=A1:B1&amp;e=RETAIL&amp;h=34&amp;i=132&amp;l=198&amp;ad=true" TargetMode="External" Id="rId452"/><Relationship Type="http://schemas.openxmlformats.org/officeDocument/2006/relationships/hyperlink" Target="https://new.land.naver.com/complexes/105367?ms=2AfAQG,3zprE6,17&amp;a=APT:ABYG:JGC&amp;b=A1:B1&amp;e=RETAIL&amp;h=34&amp;i=132&amp;l=198&amp;ad=true" TargetMode="External" Id="rId453"/><Relationship Type="http://schemas.openxmlformats.org/officeDocument/2006/relationships/hyperlink" Target="https://new.land.naver.com/complexes/105367?ms=2AfAQG,3zprE6,17&amp;a=APT:ABYG:JGC&amp;b=A1:B1&amp;e=RETAIL&amp;h=34&amp;i=132&amp;l=198&amp;ad=true" TargetMode="External" Id="rId454"/><Relationship Type="http://schemas.openxmlformats.org/officeDocument/2006/relationships/hyperlink" Target="https://new.land.naver.com/complexes/107339?ms=2AfAQG,3zprE6,17&amp;a=APT:ABYG:JGC&amp;b=A1:B1&amp;e=RETAIL&amp;h=34&amp;i=132&amp;l=198&amp;ad=true" TargetMode="External" Id="rId455"/><Relationship Type="http://schemas.openxmlformats.org/officeDocument/2006/relationships/hyperlink" Target="https://new.land.naver.com/complexes/107339?ms=2AfAQG,3zprE6,17&amp;a=APT:ABYG:JGC&amp;b=A1:B1&amp;e=RETAIL&amp;h=34&amp;i=132&amp;l=198&amp;ad=true" TargetMode="External" Id="rId456"/><Relationship Type="http://schemas.openxmlformats.org/officeDocument/2006/relationships/hyperlink" Target="https://new.land.naver.com/complexes/107339?ms=2AfAQG,3zprE6,17&amp;a=APT:ABYG:JGC&amp;b=A1:B1&amp;e=RETAIL&amp;h=34&amp;i=132&amp;l=198&amp;ad=true" TargetMode="External" Id="rId457"/><Relationship Type="http://schemas.openxmlformats.org/officeDocument/2006/relationships/hyperlink" Target="https://new.land.naver.com/complexes/107339?ms=2AfAQG,3zprE6,17&amp;a=APT:ABYG:JGC&amp;b=A1:B1&amp;e=RETAIL&amp;h=34&amp;i=132&amp;l=198&amp;ad=true" TargetMode="External" Id="rId458"/><Relationship Type="http://schemas.openxmlformats.org/officeDocument/2006/relationships/hyperlink" Target="https://new.land.naver.com/complexes/107339?ms=2AfAQG,3zprE6,17&amp;a=APT:ABYG:JGC&amp;b=A1:B1&amp;e=RETAIL&amp;h=34&amp;i=132&amp;l=198&amp;ad=true" TargetMode="External" Id="rId459"/><Relationship Type="http://schemas.openxmlformats.org/officeDocument/2006/relationships/hyperlink" Target="https://new.land.naver.com/complexes/107550?ms=2AfAQG,3zprE6,17&amp;a=APT:ABYG:JGC&amp;b=A1:B1&amp;e=RETAIL&amp;h=34&amp;i=132&amp;l=198&amp;ad=true" TargetMode="External" Id="rId460"/><Relationship Type="http://schemas.openxmlformats.org/officeDocument/2006/relationships/hyperlink" Target="https://new.land.naver.com/complexes/107550?ms=2AfAQG,3zprE6,17&amp;a=APT:ABYG:JGC&amp;b=A1:B1&amp;e=RETAIL&amp;h=34&amp;i=132&amp;l=198&amp;ad=true" TargetMode="External" Id="rId461"/><Relationship Type="http://schemas.openxmlformats.org/officeDocument/2006/relationships/hyperlink" Target="https://new.land.naver.com/complexes/107550?ms=2AfAQG,3zprE6,17&amp;a=APT:ABYG:JGC&amp;b=A1:B1&amp;e=RETAIL&amp;h=34&amp;i=132&amp;l=198&amp;ad=true" TargetMode="External" Id="rId462"/><Relationship Type="http://schemas.openxmlformats.org/officeDocument/2006/relationships/hyperlink" Target="https://new.land.naver.com/complexes/109174?ms=2AfAQG,3zprE6,17&amp;a=APT:ABYG:JGC&amp;b=A1:B1&amp;e=RETAIL&amp;h=34&amp;i=132&amp;l=198&amp;ad=true" TargetMode="External" Id="rId463"/><Relationship Type="http://schemas.openxmlformats.org/officeDocument/2006/relationships/hyperlink" Target="https://new.land.naver.com/complexes/109174?ms=2AfAQG,3zprE6,17&amp;a=APT:ABYG:JGC&amp;b=A1:B1&amp;e=RETAIL&amp;h=34&amp;i=132&amp;l=198&amp;ad=true" TargetMode="External" Id="rId464"/><Relationship Type="http://schemas.openxmlformats.org/officeDocument/2006/relationships/hyperlink" Target="https://new.land.naver.com/complexes/109174?ms=2AfAQG,3zprE6,17&amp;a=APT:ABYG:JGC&amp;b=A1:B1&amp;e=RETAIL&amp;h=34&amp;i=132&amp;l=198&amp;ad=true" TargetMode="External" Id="rId465"/><Relationship Type="http://schemas.openxmlformats.org/officeDocument/2006/relationships/hyperlink" Target="https://new.land.naver.com/complexes/109174?ms=2AfAQG,3zprE6,17&amp;a=APT:ABYG:JGC&amp;b=A1:B1&amp;e=RETAIL&amp;h=34&amp;i=132&amp;l=198&amp;ad=true" TargetMode="External" Id="rId466"/><Relationship Type="http://schemas.openxmlformats.org/officeDocument/2006/relationships/hyperlink" Target="https://new.land.naver.com/complexes/109174?ms=2AfAQG,3zprE6,17&amp;a=APT:ABYG:JGC&amp;b=A1:B1&amp;e=RETAIL&amp;h=34&amp;i=132&amp;l=198&amp;ad=true" TargetMode="External" Id="rId467"/><Relationship Type="http://schemas.openxmlformats.org/officeDocument/2006/relationships/hyperlink" Target="https://new.land.naver.com/complexes/109174?ms=2AfAQG,3zprE6,17&amp;a=APT:ABYG:JGC&amp;b=A1:B1&amp;e=RETAIL&amp;h=34&amp;i=132&amp;l=198&amp;ad=true" TargetMode="External" Id="rId468"/><Relationship Type="http://schemas.openxmlformats.org/officeDocument/2006/relationships/hyperlink" Target="https://new.land.naver.com/complexes/109174?ms=2AfAQG,3zprE6,17&amp;a=APT:ABYG:JGC&amp;b=A1:B1&amp;e=RETAIL&amp;h=34&amp;i=132&amp;l=198&amp;ad=true" TargetMode="External" Id="rId469"/><Relationship Type="http://schemas.openxmlformats.org/officeDocument/2006/relationships/hyperlink" Target="https://new.land.naver.com/complexes/109174?ms=2AfAQG,3zprE6,17&amp;a=APT:ABYG:JGC&amp;b=A1:B1&amp;e=RETAIL&amp;h=34&amp;i=132&amp;l=198&amp;ad=true" TargetMode="External" Id="rId470"/><Relationship Type="http://schemas.openxmlformats.org/officeDocument/2006/relationships/hyperlink" Target="https://new.land.naver.com/complexes/109174?ms=2AfAQG,3zprE6,17&amp;a=APT:ABYG:JGC&amp;b=A1:B1&amp;e=RETAIL&amp;h=34&amp;i=132&amp;l=198&amp;ad=true" TargetMode="External" Id="rId471"/><Relationship Type="http://schemas.openxmlformats.org/officeDocument/2006/relationships/hyperlink" Target="https://new.land.naver.com/complexes/109174?ms=2AfAQG,3zprE6,17&amp;a=APT:ABYG:JGC&amp;b=A1:B1&amp;e=RETAIL&amp;h=34&amp;i=132&amp;l=198&amp;ad=true" TargetMode="External" Id="rId472"/><Relationship Type="http://schemas.openxmlformats.org/officeDocument/2006/relationships/hyperlink" Target="https://new.land.naver.com/complexes/107807?ms=2AfAQG,3zprE6,17&amp;a=APT:ABYG:JGC&amp;b=A1:B1&amp;e=RETAIL&amp;h=34&amp;i=132&amp;l=198&amp;ad=true" TargetMode="External" Id="rId473"/><Relationship Type="http://schemas.openxmlformats.org/officeDocument/2006/relationships/hyperlink" Target="https://new.land.naver.com/complexes/107807?ms=2AfAQG,3zprE6,17&amp;a=APT:ABYG:JGC&amp;b=A1:B1&amp;e=RETAIL&amp;h=34&amp;i=132&amp;l=198&amp;ad=true" TargetMode="External" Id="rId474"/><Relationship Type="http://schemas.openxmlformats.org/officeDocument/2006/relationships/hyperlink" Target="https://new.land.naver.com/complexes/107807?ms=2AfAQG,3zprE6,17&amp;a=APT:ABYG:JGC&amp;b=A1:B1&amp;e=RETAIL&amp;h=34&amp;i=132&amp;l=198&amp;ad=true" TargetMode="External" Id="rId475"/><Relationship Type="http://schemas.openxmlformats.org/officeDocument/2006/relationships/hyperlink" Target="https://new.land.naver.com/complexes/648?ms=2AfAQG,3zprE6,17&amp;a=APT:ABYG:JGC&amp;b=A1:B1&amp;e=RETAIL&amp;h=34&amp;i=132&amp;l=198&amp;ad=true" TargetMode="External" Id="rId476"/><Relationship Type="http://schemas.openxmlformats.org/officeDocument/2006/relationships/hyperlink" Target="https://new.land.naver.com/complexes/648?ms=2AfAQG,3zprE6,17&amp;a=APT:ABYG:JGC&amp;b=A1:B1&amp;e=RETAIL&amp;h=34&amp;i=132&amp;l=198&amp;ad=true" TargetMode="External" Id="rId477"/><Relationship Type="http://schemas.openxmlformats.org/officeDocument/2006/relationships/hyperlink" Target="https://new.land.naver.com/complexes/648?ms=2AfAQG,3zprE6,17&amp;a=APT:ABYG:JGC&amp;b=A1:B1&amp;e=RETAIL&amp;h=34&amp;i=132&amp;l=198&amp;ad=true" TargetMode="External" Id="rId478"/><Relationship Type="http://schemas.openxmlformats.org/officeDocument/2006/relationships/hyperlink" Target="https://new.land.naver.com/complexes/643?ms=2AfAQG,3zprE6,17&amp;a=APT:ABYG:JGC&amp;b=A1:B1&amp;e=RETAIL&amp;h=34&amp;i=132&amp;l=198&amp;ad=true" TargetMode="External" Id="rId479"/><Relationship Type="http://schemas.openxmlformats.org/officeDocument/2006/relationships/hyperlink" Target="https://new.land.naver.com/complexes/643?ms=2AfAQG,3zprE6,17&amp;a=APT:ABYG:JGC&amp;b=A1:B1&amp;e=RETAIL&amp;h=34&amp;i=132&amp;l=198&amp;ad=true" TargetMode="External" Id="rId480"/><Relationship Type="http://schemas.openxmlformats.org/officeDocument/2006/relationships/hyperlink" Target="https://new.land.naver.com/complexes/644?ms=2AfAQG,3zprE6,17&amp;a=APT:ABYG:JGC&amp;b=A1:B1&amp;e=RETAIL&amp;h=34&amp;i=132&amp;l=198&amp;ad=true" TargetMode="External" Id="rId481"/><Relationship Type="http://schemas.openxmlformats.org/officeDocument/2006/relationships/hyperlink" Target="https://new.land.naver.com/complexes/644?ms=2AfAQG,3zprE6,17&amp;a=APT:ABYG:JGC&amp;b=A1:B1&amp;e=RETAIL&amp;h=34&amp;i=132&amp;l=198&amp;ad=true" TargetMode="External" Id="rId482"/><Relationship Type="http://schemas.openxmlformats.org/officeDocument/2006/relationships/hyperlink" Target="https://new.land.naver.com/complexes/644?ms=2AfAQG,3zprE6,17&amp;a=APT:ABYG:JGC&amp;b=A1:B1&amp;e=RETAIL&amp;h=34&amp;i=132&amp;l=198&amp;ad=true" TargetMode="External" Id="rId483"/><Relationship Type="http://schemas.openxmlformats.org/officeDocument/2006/relationships/hyperlink" Target="https://new.land.naver.com/complexes/3759?ms=2AfAQG,3zprE6,17&amp;a=APT:ABYG:JGC&amp;b=A1:B1&amp;e=RETAIL&amp;h=34&amp;i=132&amp;l=198&amp;ad=true" TargetMode="External" Id="rId484"/><Relationship Type="http://schemas.openxmlformats.org/officeDocument/2006/relationships/hyperlink" Target="https://new.land.naver.com/complexes/3759?ms=2AfAQG,3zprE6,17&amp;a=APT:ABYG:JGC&amp;b=A1:B1&amp;e=RETAIL&amp;h=34&amp;i=132&amp;l=198&amp;ad=true" TargetMode="External" Id="rId485"/><Relationship Type="http://schemas.openxmlformats.org/officeDocument/2006/relationships/hyperlink" Target="https://new.land.naver.com/complexes/3759?ms=2AfAQG,3zprE6,17&amp;a=APT:ABYG:JGC&amp;b=A1:B1&amp;e=RETAIL&amp;h=34&amp;i=132&amp;l=198&amp;ad=true" TargetMode="External" Id="rId486"/><Relationship Type="http://schemas.openxmlformats.org/officeDocument/2006/relationships/hyperlink" Target="https://new.land.naver.com/complexes/646?ms=2AfAQG,3zprE6,17&amp;a=APT:ABYG:JGC&amp;b=A1:B1&amp;e=RETAIL&amp;h=34&amp;i=132&amp;l=198&amp;ad=true" TargetMode="External" Id="rId487"/><Relationship Type="http://schemas.openxmlformats.org/officeDocument/2006/relationships/hyperlink" Target="https://new.land.naver.com/complexes/416?ms=2AfAQG,3zprE6,17&amp;a=APT:ABYG:JGC&amp;b=A1:B1&amp;e=RETAIL&amp;h=34&amp;i=132&amp;l=198&amp;ad=true" TargetMode="External" Id="rId488"/><Relationship Type="http://schemas.openxmlformats.org/officeDocument/2006/relationships/hyperlink" Target="https://new.land.naver.com/complexes/416?ms=2AfAQG,3zprE6,17&amp;a=APT:ABYG:JGC&amp;b=A1:B1&amp;e=RETAIL&amp;h=34&amp;i=132&amp;l=198&amp;ad=true" TargetMode="External" Id="rId489"/><Relationship Type="http://schemas.openxmlformats.org/officeDocument/2006/relationships/hyperlink" Target="https://new.land.naver.com/complexes/416?ms=2AfAQG,3zprE6,17&amp;a=APT:ABYG:JGC&amp;b=A1:B1&amp;e=RETAIL&amp;h=34&amp;i=132&amp;l=198&amp;ad=true" TargetMode="External" Id="rId490"/><Relationship Type="http://schemas.openxmlformats.org/officeDocument/2006/relationships/hyperlink" Target="https://new.land.naver.com/complexes/416?ms=2AfAQG,3zprE6,17&amp;a=APT:ABYG:JGC&amp;b=A1:B1&amp;e=RETAIL&amp;h=34&amp;i=132&amp;l=198&amp;ad=true" TargetMode="External" Id="rId491"/><Relationship Type="http://schemas.openxmlformats.org/officeDocument/2006/relationships/hyperlink" Target="https://new.land.naver.com/complexes/416?ms=2AfAQG,3zprE6,17&amp;a=APT:ABYG:JGC&amp;b=A1:B1&amp;e=RETAIL&amp;h=34&amp;i=132&amp;l=198&amp;ad=true" TargetMode="External" Id="rId492"/><Relationship Type="http://schemas.openxmlformats.org/officeDocument/2006/relationships/hyperlink" Target="https://new.land.naver.com/complexes/416?ms=2AfAQG,3zprE6,17&amp;a=APT:ABYG:JGC&amp;b=A1:B1&amp;e=RETAIL&amp;h=34&amp;i=132&amp;l=198&amp;ad=true" TargetMode="External" Id="rId493"/><Relationship Type="http://schemas.openxmlformats.org/officeDocument/2006/relationships/hyperlink" Target="https://new.land.naver.com/complexes/416?ms=2AfAQG,3zprE6,17&amp;a=APT:ABYG:JGC&amp;b=A1:B1&amp;e=RETAIL&amp;h=34&amp;i=132&amp;l=198&amp;ad=true" TargetMode="External" Id="rId494"/><Relationship Type="http://schemas.openxmlformats.org/officeDocument/2006/relationships/hyperlink" Target="https://new.land.naver.com/complexes/416?ms=2AfAQG,3zprE6,17&amp;a=APT:ABYG:JGC&amp;b=A1:B1&amp;e=RETAIL&amp;h=34&amp;i=132&amp;l=198&amp;ad=true" TargetMode="External" Id="rId495"/><Relationship Type="http://schemas.openxmlformats.org/officeDocument/2006/relationships/hyperlink" Target="https://new.land.naver.com/complexes/416?ms=2AfAQG,3zprE6,17&amp;a=APT:ABYG:JGC&amp;b=A1:B1&amp;e=RETAIL&amp;h=34&amp;i=132&amp;l=198&amp;ad=true" TargetMode="External" Id="rId496"/><Relationship Type="http://schemas.openxmlformats.org/officeDocument/2006/relationships/hyperlink" Target="https://new.land.naver.com/complexes/416?ms=2AfAQG,3zprE6,17&amp;a=APT:ABYG:JGC&amp;b=A1:B1&amp;e=RETAIL&amp;h=34&amp;i=132&amp;l=198&amp;ad=true" TargetMode="External" Id="rId497"/><Relationship Type="http://schemas.openxmlformats.org/officeDocument/2006/relationships/hyperlink" Target="https://new.land.naver.com/complexes/416?ms=2AfAQG,3zprE6,17&amp;a=APT:ABYG:JGC&amp;b=A1:B1&amp;e=RETAIL&amp;h=34&amp;i=132&amp;l=198&amp;ad=true" TargetMode="External" Id="rId498"/><Relationship Type="http://schemas.openxmlformats.org/officeDocument/2006/relationships/hyperlink" Target="https://new.land.naver.com/complexes/115046?ms=2AfAQG,3zprE6,17&amp;a=APT:ABYG:JGC&amp;b=A1:B1&amp;e=RETAIL&amp;h=34&amp;i=132&amp;l=198&amp;ad=true" TargetMode="External" Id="rId499"/><Relationship Type="http://schemas.openxmlformats.org/officeDocument/2006/relationships/hyperlink" Target="https://new.land.naver.com/complexes/115046?ms=2AfAQG,3zprE6,17&amp;a=APT:ABYG:JGC&amp;b=A1:B1&amp;e=RETAIL&amp;h=34&amp;i=132&amp;l=198&amp;ad=true" TargetMode="External" Id="rId500"/><Relationship Type="http://schemas.openxmlformats.org/officeDocument/2006/relationships/hyperlink" Target="https://new.land.naver.com/complexes/115046?ms=2AfAQG,3zprE6,17&amp;a=APT:ABYG:JGC&amp;b=A1:B1&amp;e=RETAIL&amp;h=34&amp;i=132&amp;l=198&amp;ad=true" TargetMode="External" Id="rId501"/><Relationship Type="http://schemas.openxmlformats.org/officeDocument/2006/relationships/hyperlink" Target="https://new.land.naver.com/complexes/115046?ms=2AfAQG,3zprE6,17&amp;a=APT:ABYG:JGC&amp;b=A1:B1&amp;e=RETAIL&amp;h=34&amp;i=132&amp;l=198&amp;ad=true" TargetMode="External" Id="rId502"/><Relationship Type="http://schemas.openxmlformats.org/officeDocument/2006/relationships/hyperlink" Target="https://new.land.naver.com/complexes/115046?ms=2AfAQG,3zprE6,17&amp;a=APT:ABYG:JGC&amp;b=A1:B1&amp;e=RETAIL&amp;h=34&amp;i=132&amp;l=198&amp;ad=true" TargetMode="External" Id="rId503"/><Relationship Type="http://schemas.openxmlformats.org/officeDocument/2006/relationships/hyperlink" Target="https://new.land.naver.com/complexes/649?ms=2AfAQG,3zprE6,17&amp;a=APT:ABYG:JGC&amp;b=A1:B1&amp;e=RETAIL&amp;h=34&amp;i=132&amp;l=198&amp;ad=true" TargetMode="External" Id="rId504"/><Relationship Type="http://schemas.openxmlformats.org/officeDocument/2006/relationships/hyperlink" Target="https://new.land.naver.com/complexes/649?ms=2AfAQG,3zprE6,17&amp;a=APT:ABYG:JGC&amp;b=A1:B1&amp;e=RETAIL&amp;h=34&amp;i=132&amp;l=198&amp;ad=true" TargetMode="External" Id="rId505"/><Relationship Type="http://schemas.openxmlformats.org/officeDocument/2006/relationships/hyperlink" Target="https://new.land.naver.com/complexes/649?ms=2AfAQG,3zprE6,17&amp;a=APT:ABYG:JGC&amp;b=A1:B1&amp;e=RETAIL&amp;h=34&amp;i=132&amp;l=198&amp;ad=true" TargetMode="External" Id="rId506"/><Relationship Type="http://schemas.openxmlformats.org/officeDocument/2006/relationships/hyperlink" Target="https://new.land.naver.com/complexes/650?ms=2AfAQG,3zprE6,17&amp;a=APT:ABYG:JGC&amp;b=A1:B1&amp;e=RETAIL&amp;h=34&amp;i=132&amp;l=198&amp;ad=true" TargetMode="External" Id="rId507"/><Relationship Type="http://schemas.openxmlformats.org/officeDocument/2006/relationships/hyperlink" Target="https://new.land.naver.com/complexes/650?ms=2AfAQG,3zprE6,17&amp;a=APT:ABYG:JGC&amp;b=A1:B1&amp;e=RETAIL&amp;h=34&amp;i=132&amp;l=198&amp;ad=true" TargetMode="External" Id="rId508"/><Relationship Type="http://schemas.openxmlformats.org/officeDocument/2006/relationships/hyperlink" Target="https://new.land.naver.com/complexes/650?ms=2AfAQG,3zprE6,17&amp;a=APT:ABYG:JGC&amp;b=A1:B1&amp;e=RETAIL&amp;h=34&amp;i=132&amp;l=198&amp;ad=true" TargetMode="External" Id="rId509"/><Relationship Type="http://schemas.openxmlformats.org/officeDocument/2006/relationships/hyperlink" Target="https://new.land.naver.com/complexes/422?ms=2AfAQG,3zprE6,17&amp;a=APT:ABYG:JGC&amp;b=A1:B1&amp;e=RETAIL&amp;h=34&amp;i=132&amp;l=198&amp;ad=true" TargetMode="External" Id="rId510"/><Relationship Type="http://schemas.openxmlformats.org/officeDocument/2006/relationships/hyperlink" Target="https://new.land.naver.com/complexes/422?ms=2AfAQG,3zprE6,17&amp;a=APT:ABYG:JGC&amp;b=A1:B1&amp;e=RETAIL&amp;h=34&amp;i=132&amp;l=198&amp;ad=true" TargetMode="External" Id="rId511"/><Relationship Type="http://schemas.openxmlformats.org/officeDocument/2006/relationships/hyperlink" Target="https://new.land.naver.com/complexes/422?ms=2AfAQG,3zprE6,17&amp;a=APT:ABYG:JGC&amp;b=A1:B1&amp;e=RETAIL&amp;h=34&amp;i=132&amp;l=198&amp;ad=true" TargetMode="External" Id="rId512"/><Relationship Type="http://schemas.openxmlformats.org/officeDocument/2006/relationships/hyperlink" Target="https://new.land.naver.com/complexes/422?ms=2AfAQG,3zprE6,17&amp;a=APT:ABYG:JGC&amp;b=A1:B1&amp;e=RETAIL&amp;h=34&amp;i=132&amp;l=198&amp;ad=true" TargetMode="External" Id="rId513"/><Relationship Type="http://schemas.openxmlformats.org/officeDocument/2006/relationships/hyperlink" Target="https://new.land.naver.com/complexes/422?ms=2AfAQG,3zprE6,17&amp;a=APT:ABYG:JGC&amp;b=A1:B1&amp;e=RETAIL&amp;h=34&amp;i=132&amp;l=198&amp;ad=true" TargetMode="External" Id="rId514"/><Relationship Type="http://schemas.openxmlformats.org/officeDocument/2006/relationships/hyperlink" Target="https://new.land.naver.com/complexes/422?ms=2AfAQG,3zprE6,17&amp;a=APT:ABYG:JGC&amp;b=A1:B1&amp;e=RETAIL&amp;h=34&amp;i=132&amp;l=198&amp;ad=true" TargetMode="External" Id="rId515"/><Relationship Type="http://schemas.openxmlformats.org/officeDocument/2006/relationships/hyperlink" Target="https://new.land.naver.com/complexes/422?ms=2AfAQG,3zprE6,17&amp;a=APT:ABYG:JGC&amp;b=A1:B1&amp;e=RETAIL&amp;h=34&amp;i=132&amp;l=198&amp;ad=true" TargetMode="External" Id="rId516"/><Relationship Type="http://schemas.openxmlformats.org/officeDocument/2006/relationships/hyperlink" Target="https://new.land.naver.com/complexes/422?ms=2AfAQG,3zprE6,17&amp;a=APT:ABYG:JGC&amp;b=A1:B1&amp;e=RETAIL&amp;h=34&amp;i=132&amp;l=198&amp;ad=true" TargetMode="External" Id="rId517"/><Relationship Type="http://schemas.openxmlformats.org/officeDocument/2006/relationships/hyperlink" Target="https://new.land.naver.com/complexes/422?ms=2AfAQG,3zprE6,17&amp;a=APT:ABYG:JGC&amp;b=A1:B1&amp;e=RETAIL&amp;h=34&amp;i=132&amp;l=198&amp;ad=true" TargetMode="External" Id="rId518"/><Relationship Type="http://schemas.openxmlformats.org/officeDocument/2006/relationships/hyperlink" Target="https://new.land.naver.com/complexes/422?ms=2AfAQG,3zprE6,17&amp;a=APT:ABYG:JGC&amp;b=A1:B1&amp;e=RETAIL&amp;h=34&amp;i=132&amp;l=198&amp;ad=true" TargetMode="External" Id="rId519"/><Relationship Type="http://schemas.openxmlformats.org/officeDocument/2006/relationships/hyperlink" Target="https://new.land.naver.com/complexes/625?ms=2AfAQG,3zprE6,17&amp;a=APT:ABYG:JGC&amp;b=A1:B1&amp;e=RETAIL&amp;h=34&amp;i=132&amp;l=198&amp;ad=true" TargetMode="External" Id="rId520"/><Relationship Type="http://schemas.openxmlformats.org/officeDocument/2006/relationships/hyperlink" Target="https://new.land.naver.com/complexes/625?ms=2AfAQG,3zprE6,17&amp;a=APT:ABYG:JGC&amp;b=A1:B1&amp;e=RETAIL&amp;h=34&amp;i=132&amp;l=198&amp;ad=true" TargetMode="External" Id="rId521"/><Relationship Type="http://schemas.openxmlformats.org/officeDocument/2006/relationships/hyperlink" Target="https://new.land.naver.com/complexes/625?ms=2AfAQG,3zprE6,17&amp;a=APT:ABYG:JGC&amp;b=A1:B1&amp;e=RETAIL&amp;h=34&amp;i=132&amp;l=198&amp;ad=true" TargetMode="External" Id="rId522"/><Relationship Type="http://schemas.openxmlformats.org/officeDocument/2006/relationships/hyperlink" Target="https://new.land.naver.com/complexes/625?ms=2AfAQG,3zprE6,17&amp;a=APT:ABYG:JGC&amp;b=A1:B1&amp;e=RETAIL&amp;h=34&amp;i=132&amp;l=198&amp;ad=true" TargetMode="External" Id="rId523"/><Relationship Type="http://schemas.openxmlformats.org/officeDocument/2006/relationships/hyperlink" Target="https://new.land.naver.com/complexes/625?ms=2AfAQG,3zprE6,17&amp;a=APT:ABYG:JGC&amp;b=A1:B1&amp;e=RETAIL&amp;h=34&amp;i=132&amp;l=198&amp;ad=true" TargetMode="External" Id="rId52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new.land.naver.com/complexes/1305?ms=2AfAQG,3zprE6,17&amp;a=APT:ABYG:JGC&amp;b=A1:B1&amp;e=RETAIL&amp;h=34&amp;i=132&amp;l=198&amp;ad=true" TargetMode="External" Id="rId1"/><Relationship Type="http://schemas.openxmlformats.org/officeDocument/2006/relationships/hyperlink" Target="https://new.land.naver.com/complexes/1305?ms=2AfAQG,3zprE6,17&amp;a=APT:ABYG:JGC&amp;b=A1:B1&amp;e=RETAIL&amp;h=34&amp;i=132&amp;l=198&amp;ad=true" TargetMode="External" Id="rId2"/><Relationship Type="http://schemas.openxmlformats.org/officeDocument/2006/relationships/hyperlink" Target="https://new.land.naver.com/complexes/1305?ms=2AfAQG,3zprE6,17&amp;a=APT:ABYG:JGC&amp;b=A1:B1&amp;e=RETAIL&amp;h=34&amp;i=132&amp;l=198&amp;ad=true" TargetMode="External" Id="rId3"/><Relationship Type="http://schemas.openxmlformats.org/officeDocument/2006/relationships/hyperlink" Target="https://new.land.naver.com/complexes/1347?ms=2AfAQG,3zprE6,17&amp;a=APT:ABYG:JGC&amp;b=A1:B1&amp;e=RETAIL&amp;h=34&amp;i=132&amp;l=198&amp;ad=true" TargetMode="External" Id="rId4"/><Relationship Type="http://schemas.openxmlformats.org/officeDocument/2006/relationships/hyperlink" Target="https://new.land.naver.com/complexes/1347?ms=2AfAQG,3zprE6,17&amp;a=APT:ABYG:JGC&amp;b=A1:B1&amp;e=RETAIL&amp;h=34&amp;i=132&amp;l=198&amp;ad=true" TargetMode="External" Id="rId5"/><Relationship Type="http://schemas.openxmlformats.org/officeDocument/2006/relationships/hyperlink" Target="https://new.land.naver.com/complexes/1347?ms=2AfAQG,3zprE6,17&amp;a=APT:ABYG:JGC&amp;b=A1:B1&amp;e=RETAIL&amp;h=34&amp;i=132&amp;l=198&amp;ad=true" TargetMode="External" Id="rId6"/><Relationship Type="http://schemas.openxmlformats.org/officeDocument/2006/relationships/hyperlink" Target="https://new.land.naver.com/complexes/1348?ms=2AfAQG,3zprE6,17&amp;a=APT:ABYG:JGC&amp;b=A1:B1&amp;e=RETAIL&amp;h=34&amp;i=132&amp;l=198&amp;ad=true" TargetMode="External" Id="rId7"/><Relationship Type="http://schemas.openxmlformats.org/officeDocument/2006/relationships/hyperlink" Target="https://new.land.naver.com/complexes/1348?ms=2AfAQG,3zprE6,17&amp;a=APT:ABYG:JGC&amp;b=A1:B1&amp;e=RETAIL&amp;h=34&amp;i=132&amp;l=198&amp;ad=true" TargetMode="External" Id="rId8"/><Relationship Type="http://schemas.openxmlformats.org/officeDocument/2006/relationships/hyperlink" Target="https://new.land.naver.com/complexes/1348?ms=2AfAQG,3zprE6,17&amp;a=APT:ABYG:JGC&amp;b=A1:B1&amp;e=RETAIL&amp;h=34&amp;i=132&amp;l=198&amp;ad=true" TargetMode="External" Id="rId9"/><Relationship Type="http://schemas.openxmlformats.org/officeDocument/2006/relationships/hyperlink" Target="https://new.land.naver.com/complexes/1350?ms=2AfAQG,3zprE6,17&amp;a=APT:ABYG:JGC&amp;b=A1:B1&amp;e=RETAIL&amp;h=34&amp;i=132&amp;l=198&amp;ad=true" TargetMode="External" Id="rId10"/><Relationship Type="http://schemas.openxmlformats.org/officeDocument/2006/relationships/hyperlink" Target="https://new.land.naver.com/complexes/1350?ms=2AfAQG,3zprE6,17&amp;a=APT:ABYG:JGC&amp;b=A1:B1&amp;e=RETAIL&amp;h=34&amp;i=132&amp;l=198&amp;ad=true" TargetMode="External" Id="rId11"/><Relationship Type="http://schemas.openxmlformats.org/officeDocument/2006/relationships/hyperlink" Target="https://new.land.naver.com/complexes/1012?ms=2AfAQG,3zprE6,17&amp;a=APT:ABYG:JGC&amp;b=A1:B1&amp;e=RETAIL&amp;h=34&amp;i=132&amp;l=198&amp;ad=true" TargetMode="External" Id="rId12"/><Relationship Type="http://schemas.openxmlformats.org/officeDocument/2006/relationships/hyperlink" Target="https://new.land.naver.com/complexes/1012?ms=2AfAQG,3zprE6,17&amp;a=APT:ABYG:JGC&amp;b=A1:B1&amp;e=RETAIL&amp;h=34&amp;i=132&amp;l=198&amp;ad=true" TargetMode="External" Id="rId13"/><Relationship Type="http://schemas.openxmlformats.org/officeDocument/2006/relationships/hyperlink" Target="https://new.land.naver.com/complexes/1346?ms=2AfAQG,3zprE6,17&amp;a=APT:ABYG:JGC&amp;b=A1:B1&amp;e=RETAIL&amp;h=34&amp;i=132&amp;l=198&amp;ad=true" TargetMode="External" Id="rId14"/><Relationship Type="http://schemas.openxmlformats.org/officeDocument/2006/relationships/hyperlink" Target="https://new.land.naver.com/complexes/1346?ms=2AfAQG,3zprE6,17&amp;a=APT:ABYG:JGC&amp;b=A1:B1&amp;e=RETAIL&amp;h=34&amp;i=132&amp;l=198&amp;ad=true" TargetMode="External" Id="rId15"/><Relationship Type="http://schemas.openxmlformats.org/officeDocument/2006/relationships/hyperlink" Target="https://new.land.naver.com/complexes/1346?ms=2AfAQG,3zprE6,17&amp;a=APT:ABYG:JGC&amp;b=A1:B1&amp;e=RETAIL&amp;h=34&amp;i=132&amp;l=198&amp;ad=true" TargetMode="External" Id="rId16"/><Relationship Type="http://schemas.openxmlformats.org/officeDocument/2006/relationships/hyperlink" Target="https://new.land.naver.com/complexes/103293?ms=2AfAQG,3zprE6,17&amp;a=APT:ABYG:JGC&amp;b=A1:B1&amp;e=RETAIL&amp;h=34&amp;i=132&amp;l=198&amp;ad=true" TargetMode="External" Id="rId17"/><Relationship Type="http://schemas.openxmlformats.org/officeDocument/2006/relationships/hyperlink" Target="https://new.land.naver.com/complexes/103293?ms=2AfAQG,3zprE6,17&amp;a=APT:ABYG:JGC&amp;b=A1:B1&amp;e=RETAIL&amp;h=34&amp;i=132&amp;l=198&amp;ad=true" TargetMode="External" Id="rId18"/><Relationship Type="http://schemas.openxmlformats.org/officeDocument/2006/relationships/hyperlink" Target="https://new.land.naver.com/complexes/103293?ms=2AfAQG,3zprE6,17&amp;a=APT:ABYG:JGC&amp;b=A1:B1&amp;e=RETAIL&amp;h=34&amp;i=132&amp;l=198&amp;ad=true" TargetMode="External" Id="rId19"/><Relationship Type="http://schemas.openxmlformats.org/officeDocument/2006/relationships/hyperlink" Target="https://new.land.naver.com/complexes/103293?ms=2AfAQG,3zprE6,17&amp;a=APT:ABYG:JGC&amp;b=A1:B1&amp;e=RETAIL&amp;h=34&amp;i=132&amp;l=198&amp;ad=true" TargetMode="External" Id="rId20"/><Relationship Type="http://schemas.openxmlformats.org/officeDocument/2006/relationships/hyperlink" Target="https://new.land.naver.com/complexes/103293?ms=2AfAQG,3zprE6,17&amp;a=APT:ABYG:JGC&amp;b=A1:B1&amp;e=RETAIL&amp;h=34&amp;i=132&amp;l=198&amp;ad=true" TargetMode="External" Id="rId21"/><Relationship Type="http://schemas.openxmlformats.org/officeDocument/2006/relationships/hyperlink" Target="https://new.land.naver.com/complexes/103293?ms=2AfAQG,3zprE6,17&amp;a=APT:ABYG:JGC&amp;b=A1:B1&amp;e=RETAIL&amp;h=34&amp;i=132&amp;l=198&amp;ad=true" TargetMode="External" Id="rId22"/><Relationship Type="http://schemas.openxmlformats.org/officeDocument/2006/relationships/hyperlink" Target="https://new.land.naver.com/complexes/103293?ms=2AfAQG,3zprE6,17&amp;a=APT:ABYG:JGC&amp;b=A1:B1&amp;e=RETAIL&amp;h=34&amp;i=132&amp;l=198&amp;ad=true" TargetMode="External" Id="rId23"/><Relationship Type="http://schemas.openxmlformats.org/officeDocument/2006/relationships/hyperlink" Target="https://new.land.naver.com/complexes/1345?ms=2AfAQG,3zprE6,17&amp;a=APT:ABYG:JGC&amp;b=A1:B1&amp;e=RETAIL&amp;h=34&amp;i=132&amp;l=198&amp;ad=true" TargetMode="External" Id="rId24"/><Relationship Type="http://schemas.openxmlformats.org/officeDocument/2006/relationships/hyperlink" Target="https://new.land.naver.com/complexes/1349?ms=2AfAQG,3zprE6,17&amp;a=APT:ABYG:JGC&amp;b=A1:B1&amp;e=RETAIL&amp;h=34&amp;i=132&amp;l=198&amp;ad=true" TargetMode="External" Id="rId25"/><Relationship Type="http://schemas.openxmlformats.org/officeDocument/2006/relationships/hyperlink" Target="https://new.land.naver.com/complexes/1349?ms=2AfAQG,3zprE6,17&amp;a=APT:ABYG:JGC&amp;b=A1:B1&amp;e=RETAIL&amp;h=34&amp;i=132&amp;l=198&amp;ad=true" TargetMode="External" Id="rId26"/><Relationship Type="http://schemas.openxmlformats.org/officeDocument/2006/relationships/hyperlink" Target="https://new.land.naver.com/complexes/1349?ms=2AfAQG,3zprE6,17&amp;a=APT:ABYG:JGC&amp;b=A1:B1&amp;e=RETAIL&amp;h=34&amp;i=132&amp;l=198&amp;ad=true" TargetMode="External" Id="rId27"/><Relationship Type="http://schemas.openxmlformats.org/officeDocument/2006/relationships/hyperlink" Target="https://new.land.naver.com/complexes/1351?ms=2AfAQG,3zprE6,17&amp;a=APT:ABYG:JGC&amp;b=A1:B1&amp;e=RETAIL&amp;h=34&amp;i=132&amp;l=198&amp;ad=true" TargetMode="External" Id="rId28"/><Relationship Type="http://schemas.openxmlformats.org/officeDocument/2006/relationships/hyperlink" Target="https://new.land.naver.com/complexes/1309?ms=2AfAQG,3zprE6,17&amp;a=APT:ABYG:JGC&amp;b=A1:B1&amp;e=RETAIL&amp;h=34&amp;i=132&amp;l=198&amp;ad=true" TargetMode="External" Id="rId29"/><Relationship Type="http://schemas.openxmlformats.org/officeDocument/2006/relationships/hyperlink" Target="https://new.land.naver.com/complexes/1309?ms=2AfAQG,3zprE6,17&amp;a=APT:ABYG:JGC&amp;b=A1:B1&amp;e=RETAIL&amp;h=34&amp;i=132&amp;l=198&amp;ad=true" TargetMode="External" Id="rId30"/><Relationship Type="http://schemas.openxmlformats.org/officeDocument/2006/relationships/hyperlink" Target="https://new.land.naver.com/complexes/27329?ms=2AfAQG,3zprE6,17&amp;a=APT:ABYG:JGC&amp;b=A1:B1&amp;e=RETAIL&amp;h=34&amp;i=132&amp;l=198&amp;ad=true" TargetMode="External" Id="rId31"/><Relationship Type="http://schemas.openxmlformats.org/officeDocument/2006/relationships/hyperlink" Target="https://new.land.naver.com/complexes/27329?ms=2AfAQG,3zprE6,17&amp;a=APT:ABYG:JGC&amp;b=A1:B1&amp;e=RETAIL&amp;h=34&amp;i=132&amp;l=198&amp;ad=true" TargetMode="External" Id="rId32"/><Relationship Type="http://schemas.openxmlformats.org/officeDocument/2006/relationships/hyperlink" Target="https://new.land.naver.com/complexes/27329?ms=2AfAQG,3zprE6,17&amp;a=APT:ABYG:JGC&amp;b=A1:B1&amp;e=RETAIL&amp;h=34&amp;i=132&amp;l=198&amp;ad=true" TargetMode="External" Id="rId33"/><Relationship Type="http://schemas.openxmlformats.org/officeDocument/2006/relationships/hyperlink" Target="https://new.land.naver.com/complexes/27329?ms=2AfAQG,3zprE6,17&amp;a=APT:ABYG:JGC&amp;b=A1:B1&amp;e=RETAIL&amp;h=34&amp;i=132&amp;l=198&amp;ad=true" TargetMode="External" Id="rId34"/><Relationship Type="http://schemas.openxmlformats.org/officeDocument/2006/relationships/hyperlink" Target="https://new.land.naver.com/complexes/25967?ms=2AfAQG,3zprE6,17&amp;a=APT:ABYG:JGC&amp;b=A1:B1&amp;e=RETAIL&amp;h=34&amp;i=132&amp;l=198&amp;ad=true" TargetMode="External" Id="rId35"/><Relationship Type="http://schemas.openxmlformats.org/officeDocument/2006/relationships/hyperlink" Target="https://new.land.naver.com/complexes/25922?ms=2AfAQG,3zprE6,17&amp;a=APT:ABYG:JGC&amp;b=A1:B1&amp;e=RETAIL&amp;h=34&amp;i=132&amp;l=198&amp;ad=true" TargetMode="External" Id="rId36"/><Relationship Type="http://schemas.openxmlformats.org/officeDocument/2006/relationships/hyperlink" Target="https://new.land.naver.com/complexes/25968?ms=2AfAQG,3zprE6,17&amp;a=APT:ABYG:JGC&amp;b=A1:B1&amp;e=RETAIL&amp;h=34&amp;i=132&amp;l=198&amp;ad=true" TargetMode="External" Id="rId37"/><Relationship Type="http://schemas.openxmlformats.org/officeDocument/2006/relationships/hyperlink" Target="https://new.land.naver.com/complexes/26123?ms=2AfAQG,3zprE6,17&amp;a=APT:ABYG:JGC&amp;b=A1:B1&amp;e=RETAIL&amp;h=34&amp;i=132&amp;l=198&amp;ad=true" TargetMode="External" Id="rId38"/><Relationship Type="http://schemas.openxmlformats.org/officeDocument/2006/relationships/hyperlink" Target="https://new.land.naver.com/complexes/26123?ms=2AfAQG,3zprE6,17&amp;a=APT:ABYG:JGC&amp;b=A1:B1&amp;e=RETAIL&amp;h=34&amp;i=132&amp;l=198&amp;ad=true" TargetMode="External" Id="rId39"/><Relationship Type="http://schemas.openxmlformats.org/officeDocument/2006/relationships/hyperlink" Target="https://new.land.naver.com/complexes/26124?ms=2AfAQG,3zprE6,17&amp;a=APT:ABYG:JGC&amp;b=A1:B1&amp;e=RETAIL&amp;h=34&amp;i=132&amp;l=198&amp;ad=true" TargetMode="External" Id="rId40"/><Relationship Type="http://schemas.openxmlformats.org/officeDocument/2006/relationships/hyperlink" Target="https://new.land.naver.com/complexes/25969?ms=2AfAQG,3zprE6,17&amp;a=APT:ABYG:JGC&amp;b=A1:B1&amp;e=RETAIL&amp;h=34&amp;i=132&amp;l=198&amp;ad=true" TargetMode="External" Id="rId41"/><Relationship Type="http://schemas.openxmlformats.org/officeDocument/2006/relationships/hyperlink" Target="https://new.land.naver.com/complexes/25969?ms=2AfAQG,3zprE6,17&amp;a=APT:ABYG:JGC&amp;b=A1:B1&amp;e=RETAIL&amp;h=34&amp;i=132&amp;l=198&amp;ad=true" TargetMode="External" Id="rId42"/><Relationship Type="http://schemas.openxmlformats.org/officeDocument/2006/relationships/hyperlink" Target="https://new.land.naver.com/complexes/26128?ms=2AfAQG,3zprE6,17&amp;a=APT:ABYG:JGC&amp;b=A1:B1&amp;e=RETAIL&amp;h=34&amp;i=132&amp;l=198&amp;ad=true" TargetMode="External" Id="rId43"/><Relationship Type="http://schemas.openxmlformats.org/officeDocument/2006/relationships/hyperlink" Target="https://new.land.naver.com/complexes/182637?ms=2AfAQG,3zprE6,17&amp;a=APT:ABYG:JGC&amp;b=A1:B1&amp;e=RETAIL&amp;h=34&amp;i=132&amp;l=198&amp;ad=true" TargetMode="External" Id="rId44"/><Relationship Type="http://schemas.openxmlformats.org/officeDocument/2006/relationships/hyperlink" Target="https://new.land.naver.com/complexes/182637?ms=2AfAQG,3zprE6,17&amp;a=APT:ABYG:JGC&amp;b=A1:B1&amp;e=RETAIL&amp;h=34&amp;i=132&amp;l=198&amp;ad=true" TargetMode="External" Id="rId45"/><Relationship Type="http://schemas.openxmlformats.org/officeDocument/2006/relationships/hyperlink" Target="https://new.land.naver.com/complexes/182637?ms=2AfAQG,3zprE6,17&amp;a=APT:ABYG:JGC&amp;b=A1:B1&amp;e=RETAIL&amp;h=34&amp;i=132&amp;l=198&amp;ad=true" TargetMode="External" Id="rId46"/><Relationship Type="http://schemas.openxmlformats.org/officeDocument/2006/relationships/hyperlink" Target="https://new.land.naver.com/complexes/182637?ms=2AfAQG,3zprE6,17&amp;a=APT:ABYG:JGC&amp;b=A1:B1&amp;e=RETAIL&amp;h=34&amp;i=132&amp;l=198&amp;ad=true" TargetMode="External" Id="rId47"/><Relationship Type="http://schemas.openxmlformats.org/officeDocument/2006/relationships/hyperlink" Target="https://new.land.naver.com/complexes/182637?ms=2AfAQG,3zprE6,17&amp;a=APT:ABYG:JGC&amp;b=A1:B1&amp;e=RETAIL&amp;h=34&amp;i=132&amp;l=198&amp;ad=true" TargetMode="External" Id="rId48"/><Relationship Type="http://schemas.openxmlformats.org/officeDocument/2006/relationships/hyperlink" Target="https://new.land.naver.com/complexes/182637?ms=2AfAQG,3zprE6,17&amp;a=APT:ABYG:JGC&amp;b=A1:B1&amp;e=RETAIL&amp;h=34&amp;i=132&amp;l=198&amp;ad=true" TargetMode="External" Id="rId49"/><Relationship Type="http://schemas.openxmlformats.org/officeDocument/2006/relationships/hyperlink" Target="https://new.land.naver.com/complexes/182637?ms=2AfAQG,3zprE6,17&amp;a=APT:ABYG:JGC&amp;b=A1:B1&amp;e=RETAIL&amp;h=34&amp;i=132&amp;l=198&amp;ad=true" TargetMode="External" Id="rId50"/><Relationship Type="http://schemas.openxmlformats.org/officeDocument/2006/relationships/hyperlink" Target="https://new.land.naver.com/complexes/11337?ms=2AfAQG,3zprE6,17&amp;a=APT:ABYG:JGC&amp;b=A1:B1&amp;e=RETAIL&amp;h=34&amp;i=132&amp;l=198&amp;ad=true" TargetMode="External" Id="rId51"/><Relationship Type="http://schemas.openxmlformats.org/officeDocument/2006/relationships/hyperlink" Target="https://new.land.naver.com/complexes/11337?ms=2AfAQG,3zprE6,17&amp;a=APT:ABYG:JGC&amp;b=A1:B1&amp;e=RETAIL&amp;h=34&amp;i=132&amp;l=198&amp;ad=true" TargetMode="External" Id="rId52"/><Relationship Type="http://schemas.openxmlformats.org/officeDocument/2006/relationships/hyperlink" Target="https://new.land.naver.com/complexes/11337?ms=2AfAQG,3zprE6,17&amp;a=APT:ABYG:JGC&amp;b=A1:B1&amp;e=RETAIL&amp;h=34&amp;i=132&amp;l=198&amp;ad=true" TargetMode="External" Id="rId53"/><Relationship Type="http://schemas.openxmlformats.org/officeDocument/2006/relationships/hyperlink" Target="https://new.land.naver.com/complexes/11337?ms=2AfAQG,3zprE6,17&amp;a=APT:ABYG:JGC&amp;b=A1:B1&amp;e=RETAIL&amp;h=34&amp;i=132&amp;l=198&amp;ad=true" TargetMode="External" Id="rId54"/><Relationship Type="http://schemas.openxmlformats.org/officeDocument/2006/relationships/hyperlink" Target="https://new.land.naver.com/complexes/3329?ms=2AfAQG,3zprE6,17&amp;a=APT:ABYG:JGC&amp;b=A1:B1&amp;e=RETAIL&amp;h=34&amp;i=132&amp;l=198&amp;ad=true" TargetMode="External" Id="rId55"/><Relationship Type="http://schemas.openxmlformats.org/officeDocument/2006/relationships/hyperlink" Target="https://new.land.naver.com/complexes/3329?ms=2AfAQG,3zprE6,17&amp;a=APT:ABYG:JGC&amp;b=A1:B1&amp;e=RETAIL&amp;h=34&amp;i=132&amp;l=198&amp;ad=true" TargetMode="External" Id="rId56"/><Relationship Type="http://schemas.openxmlformats.org/officeDocument/2006/relationships/hyperlink" Target="https://new.land.naver.com/complexes/3329?ms=2AfAQG,3zprE6,17&amp;a=APT:ABYG:JGC&amp;b=A1:B1&amp;e=RETAIL&amp;h=34&amp;i=132&amp;l=198&amp;ad=true" TargetMode="External" Id="rId57"/><Relationship Type="http://schemas.openxmlformats.org/officeDocument/2006/relationships/hyperlink" Target="https://new.land.naver.com/complexes/3329?ms=2AfAQG,3zprE6,17&amp;a=APT:ABYG:JGC&amp;b=A1:B1&amp;e=RETAIL&amp;h=34&amp;i=132&amp;l=198&amp;ad=true" TargetMode="External" Id="rId58"/><Relationship Type="http://schemas.openxmlformats.org/officeDocument/2006/relationships/hyperlink" Target="https://new.land.naver.com/complexes/127100?ms=2AfAQG,3zprE6,17&amp;a=APT:ABYG:JGC&amp;b=A1:B1&amp;e=RETAIL&amp;h=34&amp;i=132&amp;l=198&amp;ad=true" TargetMode="External" Id="rId59"/><Relationship Type="http://schemas.openxmlformats.org/officeDocument/2006/relationships/hyperlink" Target="https://new.land.naver.com/complexes/127100?ms=2AfAQG,3zprE6,17&amp;a=APT:ABYG:JGC&amp;b=A1:B1&amp;e=RETAIL&amp;h=34&amp;i=132&amp;l=198&amp;ad=true" TargetMode="External" Id="rId60"/><Relationship Type="http://schemas.openxmlformats.org/officeDocument/2006/relationships/hyperlink" Target="https://new.land.naver.com/complexes/127100?ms=2AfAQG,3zprE6,17&amp;a=APT:ABYG:JGC&amp;b=A1:B1&amp;e=RETAIL&amp;h=34&amp;i=132&amp;l=198&amp;ad=true" TargetMode="External" Id="rId61"/><Relationship Type="http://schemas.openxmlformats.org/officeDocument/2006/relationships/hyperlink" Target="https://new.land.naver.com/complexes/127100?ms=2AfAQG,3zprE6,17&amp;a=APT:ABYG:JGC&amp;b=A1:B1&amp;e=RETAIL&amp;h=34&amp;i=132&amp;l=198&amp;ad=true" TargetMode="External" Id="rId62"/><Relationship Type="http://schemas.openxmlformats.org/officeDocument/2006/relationships/hyperlink" Target="https://new.land.naver.com/complexes/127100?ms=2AfAQG,3zprE6,17&amp;a=APT:ABYG:JGC&amp;b=A1:B1&amp;e=RETAIL&amp;h=34&amp;i=132&amp;l=198&amp;ad=true" TargetMode="External" Id="rId63"/><Relationship Type="http://schemas.openxmlformats.org/officeDocument/2006/relationships/hyperlink" Target="https://new.land.naver.com/complexes/127100?ms=2AfAQG,3zprE6,17&amp;a=APT:ABYG:JGC&amp;b=A1:B1&amp;e=RETAIL&amp;h=34&amp;i=132&amp;l=198&amp;ad=true" TargetMode="External" Id="rId64"/><Relationship Type="http://schemas.openxmlformats.org/officeDocument/2006/relationships/hyperlink" Target="https://new.land.naver.com/complexes/8076?ms=2AfAQG,3zprE6,17&amp;a=APT:ABYG:JGC&amp;b=A1:B1&amp;e=RETAIL&amp;h=34&amp;i=132&amp;l=198&amp;ad=true" TargetMode="External" Id="rId65"/><Relationship Type="http://schemas.openxmlformats.org/officeDocument/2006/relationships/hyperlink" Target="https://new.land.naver.com/complexes/8076?ms=2AfAQG,3zprE6,17&amp;a=APT:ABYG:JGC&amp;b=A1:B1&amp;e=RETAIL&amp;h=34&amp;i=132&amp;l=198&amp;ad=true" TargetMode="External" Id="rId66"/><Relationship Type="http://schemas.openxmlformats.org/officeDocument/2006/relationships/hyperlink" Target="https://new.land.naver.com/complexes/8076?ms=2AfAQG,3zprE6,17&amp;a=APT:ABYG:JGC&amp;b=A1:B1&amp;e=RETAIL&amp;h=34&amp;i=132&amp;l=198&amp;ad=true" TargetMode="External" Id="rId67"/><Relationship Type="http://schemas.openxmlformats.org/officeDocument/2006/relationships/hyperlink" Target="https://new.land.naver.com/complexes/8076?ms=2AfAQG,3zprE6,17&amp;a=APT:ABYG:JGC&amp;b=A1:B1&amp;e=RETAIL&amp;h=34&amp;i=132&amp;l=198&amp;ad=true" TargetMode="External" Id="rId68"/><Relationship Type="http://schemas.openxmlformats.org/officeDocument/2006/relationships/hyperlink" Target="https://new.land.naver.com/complexes/15578?ms=2AfAQG,3zprE6,17&amp;a=APT:ABYG:JGC&amp;b=A1:B1&amp;e=RETAIL&amp;h=34&amp;i=132&amp;l=198&amp;ad=true" TargetMode="External" Id="rId69"/><Relationship Type="http://schemas.openxmlformats.org/officeDocument/2006/relationships/hyperlink" Target="https://new.land.naver.com/complexes/15578?ms=2AfAQG,3zprE6,17&amp;a=APT:ABYG:JGC&amp;b=A1:B1&amp;e=RETAIL&amp;h=34&amp;i=132&amp;l=198&amp;ad=true" TargetMode="External" Id="rId70"/><Relationship Type="http://schemas.openxmlformats.org/officeDocument/2006/relationships/hyperlink" Target="https://new.land.naver.com/complexes/15578?ms=2AfAQG,3zprE6,17&amp;a=APT:ABYG:JGC&amp;b=A1:B1&amp;e=RETAIL&amp;h=34&amp;i=132&amp;l=198&amp;ad=true" TargetMode="External" Id="rId71"/><Relationship Type="http://schemas.openxmlformats.org/officeDocument/2006/relationships/hyperlink" Target="https://new.land.naver.com/complexes/15578?ms=2AfAQG,3zprE6,17&amp;a=APT:ABYG:JGC&amp;b=A1:B1&amp;e=RETAIL&amp;h=34&amp;i=132&amp;l=198&amp;ad=true" TargetMode="External" Id="rId72"/><Relationship Type="http://schemas.openxmlformats.org/officeDocument/2006/relationships/hyperlink" Target="https://new.land.naver.com/complexes/15578?ms=2AfAQG,3zprE6,17&amp;a=APT:ABYG:JGC&amp;b=A1:B1&amp;e=RETAIL&amp;h=34&amp;i=132&amp;l=198&amp;ad=true" TargetMode="External" Id="rId73"/><Relationship Type="http://schemas.openxmlformats.org/officeDocument/2006/relationships/hyperlink" Target="https://new.land.naver.com/complexes/15578?ms=2AfAQG,3zprE6,17&amp;a=APT:ABYG:JGC&amp;b=A1:B1&amp;e=RETAIL&amp;h=34&amp;i=132&amp;l=198&amp;ad=true" TargetMode="External" Id="rId74"/><Relationship Type="http://schemas.openxmlformats.org/officeDocument/2006/relationships/hyperlink" Target="https://new.land.naver.com/complexes/15578?ms=2AfAQG,3zprE6,17&amp;a=APT:ABYG:JGC&amp;b=A1:B1&amp;e=RETAIL&amp;h=34&amp;i=132&amp;l=198&amp;ad=true" TargetMode="External" Id="rId75"/><Relationship Type="http://schemas.openxmlformats.org/officeDocument/2006/relationships/hyperlink" Target="https://new.land.naver.com/complexes/15578?ms=2AfAQG,3zprE6,17&amp;a=APT:ABYG:JGC&amp;b=A1:B1&amp;e=RETAIL&amp;h=34&amp;i=132&amp;l=198&amp;ad=true" TargetMode="External" Id="rId76"/><Relationship Type="http://schemas.openxmlformats.org/officeDocument/2006/relationships/hyperlink" Target="https://new.land.naver.com/complexes/15578?ms=2AfAQG,3zprE6,17&amp;a=APT:ABYG:JGC&amp;b=A1:B1&amp;e=RETAIL&amp;h=34&amp;i=132&amp;l=198&amp;ad=true" TargetMode="External" Id="rId77"/><Relationship Type="http://schemas.openxmlformats.org/officeDocument/2006/relationships/hyperlink" Target="https://new.land.naver.com/complexes/15578?ms=2AfAQG,3zprE6,17&amp;a=APT:ABYG:JGC&amp;b=A1:B1&amp;e=RETAIL&amp;h=34&amp;i=132&amp;l=198&amp;ad=true" TargetMode="External" Id="rId78"/><Relationship Type="http://schemas.openxmlformats.org/officeDocument/2006/relationships/hyperlink" Target="https://new.land.naver.com/complexes/4?ms=2AfAQG,3zprE6,17&amp;a=APT:ABYG:JGC&amp;b=A1:B1&amp;e=RETAIL&amp;h=34&amp;i=132&amp;l=198&amp;ad=true" TargetMode="External" Id="rId79"/><Relationship Type="http://schemas.openxmlformats.org/officeDocument/2006/relationships/hyperlink" Target="https://new.land.naver.com/complexes/4?ms=2AfAQG,3zprE6,17&amp;a=APT:ABYG:JGC&amp;b=A1:B1&amp;e=RETAIL&amp;h=34&amp;i=132&amp;l=198&amp;ad=true" TargetMode="External" Id="rId80"/><Relationship Type="http://schemas.openxmlformats.org/officeDocument/2006/relationships/hyperlink" Target="https://new.land.naver.com/complexes/5?ms=2AfAQG,3zprE6,17&amp;a=APT:ABYG:JGC&amp;b=A1:B1&amp;e=RETAIL&amp;h=34&amp;i=132&amp;l=198&amp;ad=true" TargetMode="External" Id="rId81"/><Relationship Type="http://schemas.openxmlformats.org/officeDocument/2006/relationships/hyperlink" Target="https://new.land.naver.com/complexes/5?ms=2AfAQG,3zprE6,17&amp;a=APT:ABYG:JGC&amp;b=A1:B1&amp;e=RETAIL&amp;h=34&amp;i=132&amp;l=198&amp;ad=true" TargetMode="External" Id="rId82"/><Relationship Type="http://schemas.openxmlformats.org/officeDocument/2006/relationships/hyperlink" Target="https://new.land.naver.com/complexes/5?ms=2AfAQG,3zprE6,17&amp;a=APT:ABYG:JGC&amp;b=A1:B1&amp;e=RETAIL&amp;h=34&amp;i=132&amp;l=198&amp;ad=true" TargetMode="External" Id="rId83"/><Relationship Type="http://schemas.openxmlformats.org/officeDocument/2006/relationships/hyperlink" Target="https://new.land.naver.com/complexes/1017?ms=2AfAQG,3zprE6,17&amp;a=APT:ABYG:JGC&amp;b=A1:B1&amp;e=RETAIL&amp;h=34&amp;i=132&amp;l=198&amp;ad=true" TargetMode="External" Id="rId84"/><Relationship Type="http://schemas.openxmlformats.org/officeDocument/2006/relationships/hyperlink" Target="https://new.land.naver.com/complexes/1017?ms=2AfAQG,3zprE6,17&amp;a=APT:ABYG:JGC&amp;b=A1:B1&amp;e=RETAIL&amp;h=34&amp;i=132&amp;l=198&amp;ad=true" TargetMode="External" Id="rId85"/><Relationship Type="http://schemas.openxmlformats.org/officeDocument/2006/relationships/hyperlink" Target="https://new.land.naver.com/complexes/13859?ms=2AfAQG,3zprE6,17&amp;a=APT:ABYG:JGC&amp;b=A1:B1&amp;e=RETAIL&amp;h=34&amp;i=132&amp;l=198&amp;ad=true" TargetMode="External" Id="rId86"/><Relationship Type="http://schemas.openxmlformats.org/officeDocument/2006/relationships/hyperlink" Target="https://new.land.naver.com/complexes/13859?ms=2AfAQG,3zprE6,17&amp;a=APT:ABYG:JGC&amp;b=A1:B1&amp;e=RETAIL&amp;h=34&amp;i=132&amp;l=198&amp;ad=true" TargetMode="External" Id="rId87"/><Relationship Type="http://schemas.openxmlformats.org/officeDocument/2006/relationships/hyperlink" Target="https://new.land.naver.com/complexes/13859?ms=2AfAQG,3zprE6,17&amp;a=APT:ABYG:JGC&amp;b=A1:B1&amp;e=RETAIL&amp;h=34&amp;i=132&amp;l=198&amp;ad=true" TargetMode="External" Id="rId88"/><Relationship Type="http://schemas.openxmlformats.org/officeDocument/2006/relationships/hyperlink" Target="https://new.land.naver.com/complexes/13859?ms=2AfAQG,3zprE6,17&amp;a=APT:ABYG:JGC&amp;b=A1:B1&amp;e=RETAIL&amp;h=34&amp;i=132&amp;l=198&amp;ad=true" TargetMode="External" Id="rId89"/><Relationship Type="http://schemas.openxmlformats.org/officeDocument/2006/relationships/hyperlink" Target="https://new.land.naver.com/complexes/13859?ms=2AfAQG,3zprE6,17&amp;a=APT:ABYG:JGC&amp;b=A1:B1&amp;e=RETAIL&amp;h=34&amp;i=132&amp;l=198&amp;ad=true" TargetMode="External" Id="rId90"/><Relationship Type="http://schemas.openxmlformats.org/officeDocument/2006/relationships/hyperlink" Target="https://new.land.naver.com/complexes/10?ms=2AfAQG,3zprE6,17&amp;a=APT:ABYG:JGC&amp;b=A1:B1&amp;e=RETAIL&amp;h=34&amp;i=132&amp;l=198&amp;ad=true" TargetMode="External" Id="rId91"/><Relationship Type="http://schemas.openxmlformats.org/officeDocument/2006/relationships/hyperlink" Target="https://new.land.naver.com/complexes/10?ms=2AfAQG,3zprE6,17&amp;a=APT:ABYG:JGC&amp;b=A1:B1&amp;e=RETAIL&amp;h=34&amp;i=132&amp;l=198&amp;ad=true" TargetMode="External" Id="rId92"/><Relationship Type="http://schemas.openxmlformats.org/officeDocument/2006/relationships/hyperlink" Target="https://new.land.naver.com/complexes/11?ms=2AfAQG,3zprE6,17&amp;a=APT:ABYG:JGC&amp;b=A1:B1&amp;e=RETAIL&amp;h=34&amp;i=132&amp;l=198&amp;ad=true" TargetMode="External" Id="rId93"/><Relationship Type="http://schemas.openxmlformats.org/officeDocument/2006/relationships/hyperlink" Target="https://new.land.naver.com/complexes/11?ms=2AfAQG,3zprE6,17&amp;a=APT:ABYG:JGC&amp;b=A1:B1&amp;e=RETAIL&amp;h=34&amp;i=132&amp;l=198&amp;ad=true" TargetMode="External" Id="rId94"/><Relationship Type="http://schemas.openxmlformats.org/officeDocument/2006/relationships/hyperlink" Target="https://new.land.naver.com/complexes/11?ms=2AfAQG,3zprE6,17&amp;a=APT:ABYG:JGC&amp;b=A1:B1&amp;e=RETAIL&amp;h=34&amp;i=132&amp;l=198&amp;ad=true" TargetMode="External" Id="rId95"/><Relationship Type="http://schemas.openxmlformats.org/officeDocument/2006/relationships/hyperlink" Target="https://new.land.naver.com/complexes/12?ms=2AfAQG,3zprE6,17&amp;a=APT:ABYG:JGC&amp;b=A1:B1&amp;e=RETAIL&amp;h=34&amp;i=132&amp;l=198&amp;ad=true" TargetMode="External" Id="rId96"/><Relationship Type="http://schemas.openxmlformats.org/officeDocument/2006/relationships/hyperlink" Target="https://new.land.naver.com/complexes/12?ms=2AfAQG,3zprE6,17&amp;a=APT:ABYG:JGC&amp;b=A1:B1&amp;e=RETAIL&amp;h=34&amp;i=132&amp;l=198&amp;ad=true" TargetMode="External" Id="rId97"/><Relationship Type="http://schemas.openxmlformats.org/officeDocument/2006/relationships/hyperlink" Target="https://new.land.naver.com/complexes/13?ms=2AfAQG,3zprE6,17&amp;a=APT:ABYG:JGC&amp;b=A1:B1&amp;e=RETAIL&amp;h=34&amp;i=132&amp;l=198&amp;ad=true" TargetMode="External" Id="rId98"/><Relationship Type="http://schemas.openxmlformats.org/officeDocument/2006/relationships/hyperlink" Target="https://new.land.naver.com/complexes/13?ms=2AfAQG,3zprE6,17&amp;a=APT:ABYG:JGC&amp;b=A1:B1&amp;e=RETAIL&amp;h=34&amp;i=132&amp;l=198&amp;ad=true" TargetMode="External" Id="rId99"/><Relationship Type="http://schemas.openxmlformats.org/officeDocument/2006/relationships/hyperlink" Target="https://new.land.naver.com/complexes/14?ms=2AfAQG,3zprE6,17&amp;a=APT:ABYG:JGC&amp;b=A1:B1&amp;e=RETAIL&amp;h=34&amp;i=132&amp;l=198&amp;ad=true" TargetMode="External" Id="rId100"/><Relationship Type="http://schemas.openxmlformats.org/officeDocument/2006/relationships/hyperlink" Target="https://new.land.naver.com/complexes/6?ms=2AfAQG,3zprE6,17&amp;a=APT:ABYG:JGC&amp;b=A1:B1&amp;e=RETAIL&amp;h=34&amp;i=132&amp;l=198&amp;ad=true" TargetMode="External" Id="rId101"/><Relationship Type="http://schemas.openxmlformats.org/officeDocument/2006/relationships/hyperlink" Target="https://new.land.naver.com/complexes/6?ms=2AfAQG,3zprE6,17&amp;a=APT:ABYG:JGC&amp;b=A1:B1&amp;e=RETAIL&amp;h=34&amp;i=132&amp;l=198&amp;ad=true" TargetMode="External" Id="rId102"/><Relationship Type="http://schemas.openxmlformats.org/officeDocument/2006/relationships/hyperlink" Target="https://new.land.naver.com/complexes/6?ms=2AfAQG,3zprE6,17&amp;a=APT:ABYG:JGC&amp;b=A1:B1&amp;e=RETAIL&amp;h=34&amp;i=132&amp;l=198&amp;ad=true" TargetMode="External" Id="rId103"/><Relationship Type="http://schemas.openxmlformats.org/officeDocument/2006/relationships/hyperlink" Target="https://new.land.naver.com/complexes/15?ms=2AfAQG,3zprE6,17&amp;a=APT:ABYG:JGC&amp;b=A1:B1&amp;e=RETAIL&amp;h=34&amp;i=132&amp;l=198&amp;ad=true" TargetMode="External" Id="rId104"/><Relationship Type="http://schemas.openxmlformats.org/officeDocument/2006/relationships/hyperlink" Target="https://new.land.naver.com/complexes/7?ms=2AfAQG,3zprE6,17&amp;a=APT:ABYG:JGC&amp;b=A1:B1&amp;e=RETAIL&amp;h=34&amp;i=132&amp;l=198&amp;ad=true" TargetMode="External" Id="rId105"/><Relationship Type="http://schemas.openxmlformats.org/officeDocument/2006/relationships/hyperlink" Target="https://new.land.naver.com/complexes/1015?ms=2AfAQG,3zprE6,17&amp;a=APT:ABYG:JGC&amp;b=A1:B1&amp;e=RETAIL&amp;h=34&amp;i=132&amp;l=198&amp;ad=true" TargetMode="External" Id="rId106"/><Relationship Type="http://schemas.openxmlformats.org/officeDocument/2006/relationships/hyperlink" Target="https://new.land.naver.com/complexes/1015?ms=2AfAQG,3zprE6,17&amp;a=APT:ABYG:JGC&amp;b=A1:B1&amp;e=RETAIL&amp;h=34&amp;i=132&amp;l=198&amp;ad=true" TargetMode="External" Id="rId107"/><Relationship Type="http://schemas.openxmlformats.org/officeDocument/2006/relationships/hyperlink" Target="https://new.land.naver.com/complexes/1015?ms=2AfAQG,3zprE6,17&amp;a=APT:ABYG:JGC&amp;b=A1:B1&amp;e=RETAIL&amp;h=34&amp;i=132&amp;l=198&amp;ad=true" TargetMode="External" Id="rId108"/><Relationship Type="http://schemas.openxmlformats.org/officeDocument/2006/relationships/hyperlink" Target="https://new.land.naver.com/complexes/1015?ms=2AfAQG,3zprE6,17&amp;a=APT:ABYG:JGC&amp;b=A1:B1&amp;e=RETAIL&amp;h=34&amp;i=132&amp;l=198&amp;ad=true" TargetMode="External" Id="rId109"/><Relationship Type="http://schemas.openxmlformats.org/officeDocument/2006/relationships/hyperlink" Target="https://new.land.naver.com/complexes/1015?ms=2AfAQG,3zprE6,17&amp;a=APT:ABYG:JGC&amp;b=A1:B1&amp;e=RETAIL&amp;h=34&amp;i=132&amp;l=198&amp;ad=true" TargetMode="External" Id="rId110"/><Relationship Type="http://schemas.openxmlformats.org/officeDocument/2006/relationships/hyperlink" Target="https://new.land.naver.com/complexes/1015?ms=2AfAQG,3zprE6,17&amp;a=APT:ABYG:JGC&amp;b=A1:B1&amp;e=RETAIL&amp;h=34&amp;i=132&amp;l=198&amp;ad=true" TargetMode="External" Id="rId111"/><Relationship Type="http://schemas.openxmlformats.org/officeDocument/2006/relationships/hyperlink" Target="https://new.land.naver.com/complexes/1015?ms=2AfAQG,3zprE6,17&amp;a=APT:ABYG:JGC&amp;b=A1:B1&amp;e=RETAIL&amp;h=34&amp;i=132&amp;l=198&amp;ad=true" TargetMode="External" Id="rId112"/><Relationship Type="http://schemas.openxmlformats.org/officeDocument/2006/relationships/hyperlink" Target="https://new.land.naver.com/complexes/8183?ms=2AfAQG,3zprE6,17&amp;a=APT:ABYG:JGC&amp;b=A1:B1&amp;e=RETAIL&amp;h=34&amp;i=132&amp;l=198&amp;ad=true" TargetMode="External" Id="rId113"/><Relationship Type="http://schemas.openxmlformats.org/officeDocument/2006/relationships/hyperlink" Target="https://new.land.naver.com/complexes/8183?ms=2AfAQG,3zprE6,17&amp;a=APT:ABYG:JGC&amp;b=A1:B1&amp;e=RETAIL&amp;h=34&amp;i=132&amp;l=198&amp;ad=true" TargetMode="External" Id="rId114"/><Relationship Type="http://schemas.openxmlformats.org/officeDocument/2006/relationships/hyperlink" Target="https://new.land.naver.com/complexes/1018?ms=2AfAQG,3zprE6,17&amp;a=APT:ABYG:JGC&amp;b=A1:B1&amp;e=RETAIL&amp;h=34&amp;i=132&amp;l=198&amp;ad=true" TargetMode="External" Id="rId115"/><Relationship Type="http://schemas.openxmlformats.org/officeDocument/2006/relationships/hyperlink" Target="https://new.land.naver.com/complexes/1018?ms=2AfAQG,3zprE6,17&amp;a=APT:ABYG:JGC&amp;b=A1:B1&amp;e=RETAIL&amp;h=34&amp;i=132&amp;l=198&amp;ad=true" TargetMode="External" Id="rId116"/><Relationship Type="http://schemas.openxmlformats.org/officeDocument/2006/relationships/hyperlink" Target="https://new.land.naver.com/complexes/1018?ms=2AfAQG,3zprE6,17&amp;a=APT:ABYG:JGC&amp;b=A1:B1&amp;e=RETAIL&amp;h=34&amp;i=132&amp;l=198&amp;ad=true" TargetMode="External" Id="rId117"/><Relationship Type="http://schemas.openxmlformats.org/officeDocument/2006/relationships/hyperlink" Target="https://new.land.naver.com/complexes/8075?ms=2AfAQG,3zprE6,17&amp;a=APT:ABYG:JGC&amp;b=A1:B1&amp;e=RETAIL&amp;h=34&amp;i=132&amp;l=198&amp;ad=true" TargetMode="External" Id="rId118"/><Relationship Type="http://schemas.openxmlformats.org/officeDocument/2006/relationships/hyperlink" Target="https://new.land.naver.com/complexes/8075?ms=2AfAQG,3zprE6,17&amp;a=APT:ABYG:JGC&amp;b=A1:B1&amp;e=RETAIL&amp;h=34&amp;i=132&amp;l=198&amp;ad=true" TargetMode="External" Id="rId119"/><Relationship Type="http://schemas.openxmlformats.org/officeDocument/2006/relationships/hyperlink" Target="https://new.land.naver.com/complexes/8075?ms=2AfAQG,3zprE6,17&amp;a=APT:ABYG:JGC&amp;b=A1:B1&amp;e=RETAIL&amp;h=34&amp;i=132&amp;l=198&amp;ad=true" TargetMode="External" Id="rId120"/><Relationship Type="http://schemas.openxmlformats.org/officeDocument/2006/relationships/hyperlink" Target="https://new.land.naver.com/complexes/1016?ms=2AfAQG,3zprE6,17&amp;a=APT:ABYG:JGC&amp;b=A1:B1&amp;e=RETAIL&amp;h=34&amp;i=132&amp;l=198&amp;ad=true" TargetMode="External" Id="rId121"/><Relationship Type="http://schemas.openxmlformats.org/officeDocument/2006/relationships/hyperlink" Target="https://new.land.naver.com/complexes/1016?ms=2AfAQG,3zprE6,17&amp;a=APT:ABYG:JGC&amp;b=A1:B1&amp;e=RETAIL&amp;h=34&amp;i=132&amp;l=198&amp;ad=true" TargetMode="External" Id="rId122"/><Relationship Type="http://schemas.openxmlformats.org/officeDocument/2006/relationships/hyperlink" Target="https://new.land.naver.com/complexes/1016?ms=2AfAQG,3zprE6,17&amp;a=APT:ABYG:JGC&amp;b=A1:B1&amp;e=RETAIL&amp;h=34&amp;i=132&amp;l=198&amp;ad=true" TargetMode="External" Id="rId123"/><Relationship Type="http://schemas.openxmlformats.org/officeDocument/2006/relationships/hyperlink" Target="https://new.land.naver.com/complexes/1016?ms=2AfAQG,3zprE6,17&amp;a=APT:ABYG:JGC&amp;b=A1:B1&amp;e=RETAIL&amp;h=34&amp;i=132&amp;l=198&amp;ad=true" TargetMode="External" Id="rId124"/><Relationship Type="http://schemas.openxmlformats.org/officeDocument/2006/relationships/hyperlink" Target="https://new.land.naver.com/complexes/109799?ms=2AfAQG,3zprE6,17&amp;a=APT:ABYG:JGC&amp;b=A1:B1&amp;e=RETAIL&amp;h=34&amp;i=132&amp;l=198&amp;ad=true" TargetMode="External" Id="rId125"/><Relationship Type="http://schemas.openxmlformats.org/officeDocument/2006/relationships/hyperlink" Target="https://new.land.naver.com/complexes/109799?ms=2AfAQG,3zprE6,17&amp;a=APT:ABYG:JGC&amp;b=A1:B1&amp;e=RETAIL&amp;h=34&amp;i=132&amp;l=198&amp;ad=true" TargetMode="External" Id="rId126"/><Relationship Type="http://schemas.openxmlformats.org/officeDocument/2006/relationships/hyperlink" Target="https://new.land.naver.com/complexes/1020?ms=2AfAQG,3zprE6,17&amp;a=APT:ABYG:JGC&amp;b=A1:B1&amp;e=RETAIL&amp;h=34&amp;i=132&amp;l=198&amp;ad=true" TargetMode="External" Id="rId127"/><Relationship Type="http://schemas.openxmlformats.org/officeDocument/2006/relationships/hyperlink" Target="https://new.land.naver.com/complexes/1020?ms=2AfAQG,3zprE6,17&amp;a=APT:ABYG:JGC&amp;b=A1:B1&amp;e=RETAIL&amp;h=34&amp;i=132&amp;l=198&amp;ad=true" TargetMode="External" Id="rId128"/><Relationship Type="http://schemas.openxmlformats.org/officeDocument/2006/relationships/hyperlink" Target="https://new.land.naver.com/complexes/1020?ms=2AfAQG,3zprE6,17&amp;a=APT:ABYG:JGC&amp;b=A1:B1&amp;e=RETAIL&amp;h=34&amp;i=132&amp;l=198&amp;ad=true" TargetMode="External" Id="rId129"/><Relationship Type="http://schemas.openxmlformats.org/officeDocument/2006/relationships/hyperlink" Target="https://new.land.naver.com/complexes/112279?ms=2AfAQG,3zprE6,17&amp;a=APT:ABYG:JGC&amp;b=A1:B1&amp;e=RETAIL&amp;h=34&amp;i=132&amp;l=198&amp;ad=true" TargetMode="External" Id="rId130"/><Relationship Type="http://schemas.openxmlformats.org/officeDocument/2006/relationships/hyperlink" Target="https://new.land.naver.com/complexes/112280?ms=2AfAQG,3zprE6,17&amp;a=APT:ABYG:JGC&amp;b=A1:B1&amp;e=RETAIL&amp;h=34&amp;i=132&amp;l=198&amp;ad=true" TargetMode="External" Id="rId131"/><Relationship Type="http://schemas.openxmlformats.org/officeDocument/2006/relationships/hyperlink" Target="https://new.land.naver.com/complexes/112280?ms=2AfAQG,3zprE6,17&amp;a=APT:ABYG:JGC&amp;b=A1:B1&amp;e=RETAIL&amp;h=34&amp;i=132&amp;l=198&amp;ad=true" TargetMode="External" Id="rId132"/><Relationship Type="http://schemas.openxmlformats.org/officeDocument/2006/relationships/hyperlink" Target="https://new.land.naver.com/complexes/112281?ms=2AfAQG,3zprE6,17&amp;a=APT:ABYG:JGC&amp;b=A1:B1&amp;e=RETAIL&amp;h=34&amp;i=132&amp;l=198&amp;ad=true" TargetMode="External" Id="rId133"/><Relationship Type="http://schemas.openxmlformats.org/officeDocument/2006/relationships/hyperlink" Target="https://new.land.naver.com/complexes/112281?ms=2AfAQG,3zprE6,17&amp;a=APT:ABYG:JGC&amp;b=A1:B1&amp;e=RETAIL&amp;h=34&amp;i=132&amp;l=198&amp;ad=true" TargetMode="External" Id="rId134"/><Relationship Type="http://schemas.openxmlformats.org/officeDocument/2006/relationships/hyperlink" Target="https://new.land.naver.com/complexes/107504?ms=2AfAQG,3zprE6,17&amp;a=APT:ABYG:JGC&amp;b=A1:B1&amp;e=RETAIL&amp;h=34&amp;i=132&amp;l=198&amp;ad=true" TargetMode="External" Id="rId135"/><Relationship Type="http://schemas.openxmlformats.org/officeDocument/2006/relationships/hyperlink" Target="https://new.land.naver.com/complexes/107504?ms=2AfAQG,3zprE6,17&amp;a=APT:ABYG:JGC&amp;b=A1:B1&amp;e=RETAIL&amp;h=34&amp;i=132&amp;l=198&amp;ad=true" TargetMode="External" Id="rId136"/><Relationship Type="http://schemas.openxmlformats.org/officeDocument/2006/relationships/hyperlink" Target="https://new.land.naver.com/complexes/107505?ms=2AfAQG,3zprE6,17&amp;a=APT:ABYG:JGC&amp;b=A1:B1&amp;e=RETAIL&amp;h=34&amp;i=132&amp;l=198&amp;ad=true" TargetMode="External" Id="rId137"/><Relationship Type="http://schemas.openxmlformats.org/officeDocument/2006/relationships/hyperlink" Target="https://new.land.naver.com/complexes/107505?ms=2AfAQG,3zprE6,17&amp;a=APT:ABYG:JGC&amp;b=A1:B1&amp;e=RETAIL&amp;h=34&amp;i=132&amp;l=198&amp;ad=true" TargetMode="External" Id="rId138"/><Relationship Type="http://schemas.openxmlformats.org/officeDocument/2006/relationships/hyperlink" Target="https://new.land.naver.com/complexes/107505?ms=2AfAQG,3zprE6,17&amp;a=APT:ABYG:JGC&amp;b=A1:B1&amp;e=RETAIL&amp;h=34&amp;i=132&amp;l=198&amp;ad=true" TargetMode="External" Id="rId139"/><Relationship Type="http://schemas.openxmlformats.org/officeDocument/2006/relationships/hyperlink" Target="https://new.land.naver.com/complexes/107482?ms=2AfAQG,3zprE6,17&amp;a=APT:ABYG:JGC&amp;b=A1:B1&amp;e=RETAIL&amp;h=34&amp;i=132&amp;l=198&amp;ad=true" TargetMode="External" Id="rId140"/><Relationship Type="http://schemas.openxmlformats.org/officeDocument/2006/relationships/hyperlink" Target="https://new.land.naver.com/complexes/107960?ms=2AfAQG,3zprE6,17&amp;a=APT:ABYG:JGC&amp;b=A1:B1&amp;e=RETAIL&amp;h=34&amp;i=132&amp;l=198&amp;ad=true" TargetMode="External" Id="rId141"/><Relationship Type="http://schemas.openxmlformats.org/officeDocument/2006/relationships/hyperlink" Target="https://new.land.naver.com/complexes/107960?ms=2AfAQG,3zprE6,17&amp;a=APT:ABYG:JGC&amp;b=A1:B1&amp;e=RETAIL&amp;h=34&amp;i=132&amp;l=198&amp;ad=true" TargetMode="External" Id="rId142"/><Relationship Type="http://schemas.openxmlformats.org/officeDocument/2006/relationships/hyperlink" Target="https://new.land.naver.com/complexes/107960?ms=2AfAQG,3zprE6,17&amp;a=APT:ABYG:JGC&amp;b=A1:B1&amp;e=RETAIL&amp;h=34&amp;i=132&amp;l=198&amp;ad=true" TargetMode="External" Id="rId143"/><Relationship Type="http://schemas.openxmlformats.org/officeDocument/2006/relationships/hyperlink" Target="https://new.land.naver.com/complexes/107961?ms=2AfAQG,3zprE6,17&amp;a=APT:ABYG:JGC&amp;b=A1:B1&amp;e=RETAIL&amp;h=34&amp;i=132&amp;l=198&amp;ad=true" TargetMode="External" Id="rId144"/><Relationship Type="http://schemas.openxmlformats.org/officeDocument/2006/relationships/hyperlink" Target="https://new.land.naver.com/complexes/107961?ms=2AfAQG,3zprE6,17&amp;a=APT:ABYG:JGC&amp;b=A1:B1&amp;e=RETAIL&amp;h=34&amp;i=132&amp;l=198&amp;ad=true" TargetMode="External" Id="rId145"/><Relationship Type="http://schemas.openxmlformats.org/officeDocument/2006/relationships/hyperlink" Target="https://new.land.naver.com/complexes/107483?ms=2AfAQG,3zprE6,17&amp;a=APT:ABYG:JGC&amp;b=A1:B1&amp;e=RETAIL&amp;h=34&amp;i=132&amp;l=198&amp;ad=true" TargetMode="External" Id="rId146"/><Relationship Type="http://schemas.openxmlformats.org/officeDocument/2006/relationships/hyperlink" Target="https://new.land.naver.com/complexes/107483?ms=2AfAQG,3zprE6,17&amp;a=APT:ABYG:JGC&amp;b=A1:B1&amp;e=RETAIL&amp;h=34&amp;i=132&amp;l=198&amp;ad=true" TargetMode="External" Id="rId147"/><Relationship Type="http://schemas.openxmlformats.org/officeDocument/2006/relationships/hyperlink" Target="https://new.land.naver.com/complexes/107475?ms=2AfAQG,3zprE6,17&amp;a=APT:ABYG:JGC&amp;b=A1:B1&amp;e=RETAIL&amp;h=34&amp;i=132&amp;l=198&amp;ad=true" TargetMode="External" Id="rId148"/><Relationship Type="http://schemas.openxmlformats.org/officeDocument/2006/relationships/hyperlink" Target="https://new.land.naver.com/complexes/107475?ms=2AfAQG,3zprE6,17&amp;a=APT:ABYG:JGC&amp;b=A1:B1&amp;e=RETAIL&amp;h=34&amp;i=132&amp;l=198&amp;ad=true" TargetMode="External" Id="rId149"/><Relationship Type="http://schemas.openxmlformats.org/officeDocument/2006/relationships/hyperlink" Target="https://new.land.naver.com/complexes/107506?ms=2AfAQG,3zprE6,17&amp;a=APT:ABYG:JGC&amp;b=A1:B1&amp;e=RETAIL&amp;h=34&amp;i=132&amp;l=198&amp;ad=true" TargetMode="External" Id="rId150"/><Relationship Type="http://schemas.openxmlformats.org/officeDocument/2006/relationships/hyperlink" Target="https://new.land.naver.com/complexes/107506?ms=2AfAQG,3zprE6,17&amp;a=APT:ABYG:JGC&amp;b=A1:B1&amp;e=RETAIL&amp;h=34&amp;i=132&amp;l=198&amp;ad=true" TargetMode="External" Id="rId151"/><Relationship Type="http://schemas.openxmlformats.org/officeDocument/2006/relationships/hyperlink" Target="https://new.land.naver.com/complexes/107477?ms=2AfAQG,3zprE6,17&amp;a=APT:ABYG:JGC&amp;b=A1:B1&amp;e=RETAIL&amp;h=34&amp;i=132&amp;l=198&amp;ad=true" TargetMode="External" Id="rId152"/><Relationship Type="http://schemas.openxmlformats.org/officeDocument/2006/relationships/hyperlink" Target="https://new.land.naver.com/complexes/107477?ms=2AfAQG,3zprE6,17&amp;a=APT:ABYG:JGC&amp;b=A1:B1&amp;e=RETAIL&amp;h=34&amp;i=132&amp;l=198&amp;ad=true" TargetMode="External" Id="rId153"/><Relationship Type="http://schemas.openxmlformats.org/officeDocument/2006/relationships/hyperlink" Target="https://new.land.naver.com/complexes/112211?ms=2AfAQG,3zprE6,17&amp;a=APT:ABYG:JGC&amp;b=A1:B1&amp;e=RETAIL&amp;h=34&amp;i=132&amp;l=198&amp;ad=true" TargetMode="External" Id="rId154"/><Relationship Type="http://schemas.openxmlformats.org/officeDocument/2006/relationships/hyperlink" Target="https://new.land.naver.com/complexes/112211?ms=2AfAQG,3zprE6,17&amp;a=APT:ABYG:JGC&amp;b=A1:B1&amp;e=RETAIL&amp;h=34&amp;i=132&amp;l=198&amp;ad=true" TargetMode="External" Id="rId155"/><Relationship Type="http://schemas.openxmlformats.org/officeDocument/2006/relationships/hyperlink" Target="https://new.land.naver.com/complexes/131224?ms=2AfAQG,3zprE6,17&amp;a=APT:ABYG:JGC&amp;b=A1:B1&amp;e=RETAIL&amp;h=34&amp;i=132&amp;l=198&amp;ad=true" TargetMode="External" Id="rId156"/><Relationship Type="http://schemas.openxmlformats.org/officeDocument/2006/relationships/hyperlink" Target="https://new.land.naver.com/complexes/131224?ms=2AfAQG,3zprE6,17&amp;a=APT:ABYG:JGC&amp;b=A1:B1&amp;e=RETAIL&amp;h=34&amp;i=132&amp;l=198&amp;ad=true" TargetMode="External" Id="rId157"/><Relationship Type="http://schemas.openxmlformats.org/officeDocument/2006/relationships/hyperlink" Target="https://new.land.naver.com/complexes/9410?ms=2AfAQG,3zprE6,17&amp;a=APT:ABYG:JGC&amp;b=A1:B1&amp;e=RETAIL&amp;h=34&amp;i=132&amp;l=198&amp;ad=true" TargetMode="External" Id="rId158"/><Relationship Type="http://schemas.openxmlformats.org/officeDocument/2006/relationships/hyperlink" Target="https://new.land.naver.com/complexes/9410?ms=2AfAQG,3zprE6,17&amp;a=APT:ABYG:JGC&amp;b=A1:B1&amp;e=RETAIL&amp;h=34&amp;i=132&amp;l=198&amp;ad=true" TargetMode="External" Id="rId159"/><Relationship Type="http://schemas.openxmlformats.org/officeDocument/2006/relationships/hyperlink" Target="https://new.land.naver.com/complexes/9410?ms=2AfAQG,3zprE6,17&amp;a=APT:ABYG:JGC&amp;b=A1:B1&amp;e=RETAIL&amp;h=34&amp;i=132&amp;l=198&amp;ad=true" TargetMode="External" Id="rId160"/><Relationship Type="http://schemas.openxmlformats.org/officeDocument/2006/relationships/hyperlink" Target="https://new.land.naver.com/complexes/9410?ms=2AfAQG,3zprE6,17&amp;a=APT:ABYG:JGC&amp;b=A1:B1&amp;e=RETAIL&amp;h=34&amp;i=132&amp;l=198&amp;ad=true" TargetMode="External" Id="rId161"/><Relationship Type="http://schemas.openxmlformats.org/officeDocument/2006/relationships/hyperlink" Target="https://new.land.naver.com/complexes/9410?ms=2AfAQG,3zprE6,17&amp;a=APT:ABYG:JGC&amp;b=A1:B1&amp;e=RETAIL&amp;h=34&amp;i=132&amp;l=198&amp;ad=true" TargetMode="External" Id="rId162"/><Relationship Type="http://schemas.openxmlformats.org/officeDocument/2006/relationships/hyperlink" Target="https://new.land.naver.com/complexes/1026?ms=2AfAQG,3zprE6,17&amp;a=APT:ABYG:JGC&amp;b=A1:B1&amp;e=RETAIL&amp;h=34&amp;i=132&amp;l=198&amp;ad=true" TargetMode="External" Id="rId163"/><Relationship Type="http://schemas.openxmlformats.org/officeDocument/2006/relationships/hyperlink" Target="https://new.land.naver.com/complexes/1026?ms=2AfAQG,3zprE6,17&amp;a=APT:ABYG:JGC&amp;b=A1:B1&amp;e=RETAIL&amp;h=34&amp;i=132&amp;l=198&amp;ad=true" TargetMode="External" Id="rId164"/><Relationship Type="http://schemas.openxmlformats.org/officeDocument/2006/relationships/hyperlink" Target="https://new.land.naver.com/complexes/24833?ms=2AfAQG,3zprE6,17&amp;a=APT:ABYG:JGC&amp;b=A1:B1&amp;e=RETAIL&amp;h=34&amp;i=132&amp;l=198&amp;ad=true" TargetMode="External" Id="rId165"/><Relationship Type="http://schemas.openxmlformats.org/officeDocument/2006/relationships/hyperlink" Target="https://new.land.naver.com/complexes/24833?ms=2AfAQG,3zprE6,17&amp;a=APT:ABYG:JGC&amp;b=A1:B1&amp;e=RETAIL&amp;h=34&amp;i=132&amp;l=198&amp;ad=true" TargetMode="External" Id="rId166"/><Relationship Type="http://schemas.openxmlformats.org/officeDocument/2006/relationships/hyperlink" Target="https://new.land.naver.com/complexes/24833?ms=2AfAQG,3zprE6,17&amp;a=APT:ABYG:JGC&amp;b=A1:B1&amp;e=RETAIL&amp;h=34&amp;i=132&amp;l=198&amp;ad=true" TargetMode="External" Id="rId167"/><Relationship Type="http://schemas.openxmlformats.org/officeDocument/2006/relationships/hyperlink" Target="https://new.land.naver.com/complexes/14025?ms=2AfAQG,3zprE6,17&amp;a=APT:ABYG:JGC&amp;b=A1:B1&amp;e=RETAIL&amp;h=34&amp;i=132&amp;l=198&amp;ad=true" TargetMode="External" Id="rId168"/><Relationship Type="http://schemas.openxmlformats.org/officeDocument/2006/relationships/hyperlink" Target="https://new.land.naver.com/complexes/14025?ms=2AfAQG,3zprE6,17&amp;a=APT:ABYG:JGC&amp;b=A1:B1&amp;e=RETAIL&amp;h=34&amp;i=132&amp;l=198&amp;ad=true" TargetMode="External" Id="rId169"/><Relationship Type="http://schemas.openxmlformats.org/officeDocument/2006/relationships/hyperlink" Target="https://new.land.naver.com/complexes/14025?ms=2AfAQG,3zprE6,17&amp;a=APT:ABYG:JGC&amp;b=A1:B1&amp;e=RETAIL&amp;h=34&amp;i=132&amp;l=198&amp;ad=true" TargetMode="External" Id="rId170"/><Relationship Type="http://schemas.openxmlformats.org/officeDocument/2006/relationships/hyperlink" Target="https://new.land.naver.com/complexes/1027?ms=2AfAQG,3zprE6,17&amp;a=APT:ABYG:JGC&amp;b=A1:B1&amp;e=RETAIL&amp;h=34&amp;i=132&amp;l=198&amp;ad=true" TargetMode="External" Id="rId171"/><Relationship Type="http://schemas.openxmlformats.org/officeDocument/2006/relationships/hyperlink" Target="https://new.land.naver.com/complexes/1027?ms=2AfAQG,3zprE6,17&amp;a=APT:ABYG:JGC&amp;b=A1:B1&amp;e=RETAIL&amp;h=34&amp;i=132&amp;l=198&amp;ad=true" TargetMode="External" Id="rId172"/><Relationship Type="http://schemas.openxmlformats.org/officeDocument/2006/relationships/hyperlink" Target="https://new.land.naver.com/complexes/1027?ms=2AfAQG,3zprE6,17&amp;a=APT:ABYG:JGC&amp;b=A1:B1&amp;e=RETAIL&amp;h=34&amp;i=132&amp;l=198&amp;ad=true" TargetMode="External" Id="rId173"/><Relationship Type="http://schemas.openxmlformats.org/officeDocument/2006/relationships/hyperlink" Target="https://new.land.naver.com/complexes/1027?ms=2AfAQG,3zprE6,17&amp;a=APT:ABYG:JGC&amp;b=A1:B1&amp;e=RETAIL&amp;h=34&amp;i=132&amp;l=198&amp;ad=true" TargetMode="External" Id="rId174"/><Relationship Type="http://schemas.openxmlformats.org/officeDocument/2006/relationships/hyperlink" Target="https://new.land.naver.com/complexes/108359?ms=2AfAQG,3zprE6,17&amp;a=APT:ABYG:JGC&amp;b=A1:B1&amp;e=RETAIL&amp;h=34&amp;i=132&amp;l=198&amp;ad=true" TargetMode="External" Id="rId175"/><Relationship Type="http://schemas.openxmlformats.org/officeDocument/2006/relationships/hyperlink" Target="https://new.land.naver.com/complexes/108359?ms=2AfAQG,3zprE6,17&amp;a=APT:ABYG:JGC&amp;b=A1:B1&amp;e=RETAIL&amp;h=34&amp;i=132&amp;l=198&amp;ad=true" TargetMode="External" Id="rId176"/><Relationship Type="http://schemas.openxmlformats.org/officeDocument/2006/relationships/hyperlink" Target="https://new.land.naver.com/complexes/108359?ms=2AfAQG,3zprE6,17&amp;a=APT:ABYG:JGC&amp;b=A1:B1&amp;e=RETAIL&amp;h=34&amp;i=132&amp;l=198&amp;ad=true" TargetMode="External" Id="rId177"/><Relationship Type="http://schemas.openxmlformats.org/officeDocument/2006/relationships/hyperlink" Target="https://new.land.naver.com/complexes/15589?ms=2AfAQG,3zprE6,17&amp;a=APT:ABYG:JGC&amp;b=A1:B1&amp;e=RETAIL&amp;h=34&amp;i=132&amp;l=198&amp;ad=true" TargetMode="External" Id="rId178"/><Relationship Type="http://schemas.openxmlformats.org/officeDocument/2006/relationships/hyperlink" Target="https://new.land.naver.com/complexes/15589?ms=2AfAQG,3zprE6,17&amp;a=APT:ABYG:JGC&amp;b=A1:B1&amp;e=RETAIL&amp;h=34&amp;i=132&amp;l=198&amp;ad=true" TargetMode="External" Id="rId179"/><Relationship Type="http://schemas.openxmlformats.org/officeDocument/2006/relationships/hyperlink" Target="https://new.land.naver.com/complexes/15589?ms=2AfAQG,3zprE6,17&amp;a=APT:ABYG:JGC&amp;b=A1:B1&amp;e=RETAIL&amp;h=34&amp;i=132&amp;l=198&amp;ad=true" TargetMode="External" Id="rId180"/><Relationship Type="http://schemas.openxmlformats.org/officeDocument/2006/relationships/hyperlink" Target="https://new.land.naver.com/complexes/1021?ms=2AfAQG,3zprE6,17&amp;a=APT:ABYG:JGC&amp;b=A1:B1&amp;e=RETAIL&amp;h=34&amp;i=132&amp;l=198&amp;ad=true" TargetMode="External" Id="rId181"/><Relationship Type="http://schemas.openxmlformats.org/officeDocument/2006/relationships/hyperlink" Target="https://new.land.naver.com/complexes/1021?ms=2AfAQG,3zprE6,17&amp;a=APT:ABYG:JGC&amp;b=A1:B1&amp;e=RETAIL&amp;h=34&amp;i=132&amp;l=198&amp;ad=true" TargetMode="External" Id="rId182"/><Relationship Type="http://schemas.openxmlformats.org/officeDocument/2006/relationships/hyperlink" Target="https://new.land.naver.com/complexes/1021?ms=2AfAQG,3zprE6,17&amp;a=APT:ABYG:JGC&amp;b=A1:B1&amp;e=RETAIL&amp;h=34&amp;i=132&amp;l=198&amp;ad=true" TargetMode="External" Id="rId183"/><Relationship Type="http://schemas.openxmlformats.org/officeDocument/2006/relationships/hyperlink" Target="https://new.land.naver.com/complexes/1021?ms=2AfAQG,3zprE6,17&amp;a=APT:ABYG:JGC&amp;b=A1:B1&amp;e=RETAIL&amp;h=34&amp;i=132&amp;l=198&amp;ad=true" TargetMode="External" Id="rId184"/><Relationship Type="http://schemas.openxmlformats.org/officeDocument/2006/relationships/hyperlink" Target="https://new.land.naver.com/complexes/1021?ms=2AfAQG,3zprE6,17&amp;a=APT:ABYG:JGC&amp;b=A1:B1&amp;e=RETAIL&amp;h=34&amp;i=132&amp;l=198&amp;ad=true" TargetMode="External" Id="rId185"/><Relationship Type="http://schemas.openxmlformats.org/officeDocument/2006/relationships/hyperlink" Target="https://new.land.naver.com/complexes/1021?ms=2AfAQG,3zprE6,17&amp;a=APT:ABYG:JGC&amp;b=A1:B1&amp;e=RETAIL&amp;h=34&amp;i=132&amp;l=198&amp;ad=true" TargetMode="External" Id="rId186"/><Relationship Type="http://schemas.openxmlformats.org/officeDocument/2006/relationships/hyperlink" Target="https://new.land.naver.com/complexes/9315?ms=2AfAQG,3zprE6,17&amp;a=APT:ABYG:JGC&amp;b=A1:B1&amp;e=RETAIL&amp;h=34&amp;i=132&amp;l=198&amp;ad=true" TargetMode="External" Id="rId187"/><Relationship Type="http://schemas.openxmlformats.org/officeDocument/2006/relationships/hyperlink" Target="https://new.land.naver.com/complexes/9315?ms=2AfAQG,3zprE6,17&amp;a=APT:ABYG:JGC&amp;b=A1:B1&amp;e=RETAIL&amp;h=34&amp;i=132&amp;l=198&amp;ad=true" TargetMode="External" Id="rId188"/><Relationship Type="http://schemas.openxmlformats.org/officeDocument/2006/relationships/hyperlink" Target="https://new.land.naver.com/complexes/9315?ms=2AfAQG,3zprE6,17&amp;a=APT:ABYG:JGC&amp;b=A1:B1&amp;e=RETAIL&amp;h=34&amp;i=132&amp;l=198&amp;ad=true" TargetMode="External" Id="rId189"/><Relationship Type="http://schemas.openxmlformats.org/officeDocument/2006/relationships/hyperlink" Target="https://new.land.naver.com/complexes/23?ms=2AfAQG,3zprE6,17&amp;a=APT:ABYG:JGC&amp;b=A1:B1&amp;e=RETAIL&amp;h=34&amp;i=132&amp;l=198&amp;ad=true" TargetMode="External" Id="rId190"/><Relationship Type="http://schemas.openxmlformats.org/officeDocument/2006/relationships/hyperlink" Target="https://new.land.naver.com/complexes/23?ms=2AfAQG,3zprE6,17&amp;a=APT:ABYG:JGC&amp;b=A1:B1&amp;e=RETAIL&amp;h=34&amp;i=132&amp;l=198&amp;ad=true" TargetMode="External" Id="rId191"/><Relationship Type="http://schemas.openxmlformats.org/officeDocument/2006/relationships/hyperlink" Target="https://new.land.naver.com/complexes/23?ms=2AfAQG,3zprE6,17&amp;a=APT:ABYG:JGC&amp;b=A1:B1&amp;e=RETAIL&amp;h=34&amp;i=132&amp;l=198&amp;ad=true" TargetMode="External" Id="rId192"/><Relationship Type="http://schemas.openxmlformats.org/officeDocument/2006/relationships/hyperlink" Target="https://new.land.naver.com/complexes/23?ms=2AfAQG,3zprE6,17&amp;a=APT:ABYG:JGC&amp;b=A1:B1&amp;e=RETAIL&amp;h=34&amp;i=132&amp;l=198&amp;ad=true" TargetMode="External" Id="rId193"/><Relationship Type="http://schemas.openxmlformats.org/officeDocument/2006/relationships/hyperlink" Target="https://new.land.naver.com/complexes/25?ms=2AfAQG,3zprE6,17&amp;a=APT:ABYG:JGC&amp;b=A1:B1&amp;e=RETAIL&amp;h=34&amp;i=132&amp;l=198&amp;ad=true" TargetMode="External" Id="rId194"/><Relationship Type="http://schemas.openxmlformats.org/officeDocument/2006/relationships/hyperlink" Target="https://new.land.naver.com/complexes/25?ms=2AfAQG,3zprE6,17&amp;a=APT:ABYG:JGC&amp;b=A1:B1&amp;e=RETAIL&amp;h=34&amp;i=132&amp;l=198&amp;ad=true" TargetMode="External" Id="rId195"/><Relationship Type="http://schemas.openxmlformats.org/officeDocument/2006/relationships/hyperlink" Target="https://new.land.naver.com/complexes/25?ms=2AfAQG,3zprE6,17&amp;a=APT:ABYG:JGC&amp;b=A1:B1&amp;e=RETAIL&amp;h=34&amp;i=132&amp;l=198&amp;ad=true" TargetMode="External" Id="rId196"/><Relationship Type="http://schemas.openxmlformats.org/officeDocument/2006/relationships/hyperlink" Target="https://new.land.naver.com/complexes/1025?ms=2AfAQG,3zprE6,17&amp;a=APT:ABYG:JGC&amp;b=A1:B1&amp;e=RETAIL&amp;h=34&amp;i=132&amp;l=198&amp;ad=true" TargetMode="External" Id="rId197"/><Relationship Type="http://schemas.openxmlformats.org/officeDocument/2006/relationships/hyperlink" Target="https://new.land.naver.com/complexes/1025?ms=2AfAQG,3zprE6,17&amp;a=APT:ABYG:JGC&amp;b=A1:B1&amp;e=RETAIL&amp;h=34&amp;i=132&amp;l=198&amp;ad=true" TargetMode="External" Id="rId198"/><Relationship Type="http://schemas.openxmlformats.org/officeDocument/2006/relationships/hyperlink" Target="https://new.land.naver.com/complexes/905?ms=2AfAQG,3zprE6,17&amp;a=APT:ABYG:JGC&amp;b=A1:B1&amp;e=RETAIL&amp;h=34&amp;i=132&amp;l=198&amp;ad=true" TargetMode="External" Id="rId199"/><Relationship Type="http://schemas.openxmlformats.org/officeDocument/2006/relationships/hyperlink" Target="https://new.land.naver.com/complexes/905?ms=2AfAQG,3zprE6,17&amp;a=APT:ABYG:JGC&amp;b=A1:B1&amp;e=RETAIL&amp;h=34&amp;i=132&amp;l=198&amp;ad=true" TargetMode="External" Id="rId200"/><Relationship Type="http://schemas.openxmlformats.org/officeDocument/2006/relationships/hyperlink" Target="https://new.land.naver.com/complexes/905?ms=2AfAQG,3zprE6,17&amp;a=APT:ABYG:JGC&amp;b=A1:B1&amp;e=RETAIL&amp;h=34&amp;i=132&amp;l=198&amp;ad=true" TargetMode="External" Id="rId201"/><Relationship Type="http://schemas.openxmlformats.org/officeDocument/2006/relationships/hyperlink" Target="https://new.land.naver.com/complexes/1022?ms=2AfAQG,3zprE6,17&amp;a=APT:ABYG:JGC&amp;b=A1:B1&amp;e=RETAIL&amp;h=34&amp;i=132&amp;l=198&amp;ad=true" TargetMode="External" Id="rId202"/><Relationship Type="http://schemas.openxmlformats.org/officeDocument/2006/relationships/hyperlink" Target="https://new.land.naver.com/complexes/1022?ms=2AfAQG,3zprE6,17&amp;a=APT:ABYG:JGC&amp;b=A1:B1&amp;e=RETAIL&amp;h=34&amp;i=132&amp;l=198&amp;ad=true" TargetMode="External" Id="rId203"/><Relationship Type="http://schemas.openxmlformats.org/officeDocument/2006/relationships/hyperlink" Target="https://new.land.naver.com/complexes/1022?ms=2AfAQG,3zprE6,17&amp;a=APT:ABYG:JGC&amp;b=A1:B1&amp;e=RETAIL&amp;h=34&amp;i=132&amp;l=198&amp;ad=true" TargetMode="External" Id="rId204"/><Relationship Type="http://schemas.openxmlformats.org/officeDocument/2006/relationships/hyperlink" Target="https://new.land.naver.com/complexes/9716?ms=2AfAQG,3zprE6,17&amp;a=APT:ABYG:JGC&amp;b=A1:B1&amp;e=RETAIL&amp;h=34&amp;i=132&amp;l=198&amp;ad=true" TargetMode="External" Id="rId205"/><Relationship Type="http://schemas.openxmlformats.org/officeDocument/2006/relationships/hyperlink" Target="https://new.land.naver.com/complexes/9716?ms=2AfAQG,3zprE6,17&amp;a=APT:ABYG:JGC&amp;b=A1:B1&amp;e=RETAIL&amp;h=34&amp;i=132&amp;l=198&amp;ad=true" TargetMode="External" Id="rId206"/><Relationship Type="http://schemas.openxmlformats.org/officeDocument/2006/relationships/hyperlink" Target="https://new.land.naver.com/complexes/9716?ms=2AfAQG,3zprE6,17&amp;a=APT:ABYG:JGC&amp;b=A1:B1&amp;e=RETAIL&amp;h=34&amp;i=132&amp;l=198&amp;ad=true" TargetMode="External" Id="rId207"/><Relationship Type="http://schemas.openxmlformats.org/officeDocument/2006/relationships/hyperlink" Target="https://new.land.naver.com/complexes/33?ms=2AfAQG,3zprE6,17&amp;a=APT:ABYG:JGC&amp;b=A1:B1&amp;e=RETAIL&amp;h=34&amp;i=132&amp;l=198&amp;ad=true" TargetMode="External" Id="rId208"/><Relationship Type="http://schemas.openxmlformats.org/officeDocument/2006/relationships/hyperlink" Target="https://new.land.naver.com/complexes/33?ms=2AfAQG,3zprE6,17&amp;a=APT:ABYG:JGC&amp;b=A1:B1&amp;e=RETAIL&amp;h=34&amp;i=132&amp;l=198&amp;ad=true" TargetMode="External" Id="rId209"/><Relationship Type="http://schemas.openxmlformats.org/officeDocument/2006/relationships/hyperlink" Target="https://new.land.naver.com/complexes/31?ms=2AfAQG,3zprE6,17&amp;a=APT:ABYG:JGC&amp;b=A1:B1&amp;e=RETAIL&amp;h=34&amp;i=132&amp;l=198&amp;ad=true" TargetMode="External" Id="rId210"/><Relationship Type="http://schemas.openxmlformats.org/officeDocument/2006/relationships/hyperlink" Target="https://new.land.naver.com/complexes/31?ms=2AfAQG,3zprE6,17&amp;a=APT:ABYG:JGC&amp;b=A1:B1&amp;e=RETAIL&amp;h=34&amp;i=132&amp;l=198&amp;ad=true" TargetMode="External" Id="rId211"/><Relationship Type="http://schemas.openxmlformats.org/officeDocument/2006/relationships/hyperlink" Target="https://new.land.naver.com/complexes/31?ms=2AfAQG,3zprE6,17&amp;a=APT:ABYG:JGC&amp;b=A1:B1&amp;e=RETAIL&amp;h=34&amp;i=132&amp;l=198&amp;ad=true" TargetMode="External" Id="rId212"/><Relationship Type="http://schemas.openxmlformats.org/officeDocument/2006/relationships/hyperlink" Target="https://new.land.naver.com/complexes/26?ms=2AfAQG,3zprE6,17&amp;a=APT:ABYG:JGC&amp;b=A1:B1&amp;e=RETAIL&amp;h=34&amp;i=132&amp;l=198&amp;ad=true" TargetMode="External" Id="rId213"/><Relationship Type="http://schemas.openxmlformats.org/officeDocument/2006/relationships/hyperlink" Target="https://new.land.naver.com/complexes/26?ms=2AfAQG,3zprE6,17&amp;a=APT:ABYG:JGC&amp;b=A1:B1&amp;e=RETAIL&amp;h=34&amp;i=132&amp;l=198&amp;ad=true" TargetMode="External" Id="rId214"/><Relationship Type="http://schemas.openxmlformats.org/officeDocument/2006/relationships/hyperlink" Target="https://new.land.naver.com/complexes/24?ms=2AfAQG,3zprE6,17&amp;a=APT:ABYG:JGC&amp;b=A1:B1&amp;e=RETAIL&amp;h=34&amp;i=132&amp;l=198&amp;ad=true" TargetMode="External" Id="rId215"/><Relationship Type="http://schemas.openxmlformats.org/officeDocument/2006/relationships/hyperlink" Target="https://new.land.naver.com/complexes/24?ms=2AfAQG,3zprE6,17&amp;a=APT:ABYG:JGC&amp;b=A1:B1&amp;e=RETAIL&amp;h=34&amp;i=132&amp;l=198&amp;ad=true" TargetMode="External" Id="rId216"/><Relationship Type="http://schemas.openxmlformats.org/officeDocument/2006/relationships/hyperlink" Target="https://new.land.naver.com/complexes/24?ms=2AfAQG,3zprE6,17&amp;a=APT:ABYG:JGC&amp;b=A1:B1&amp;e=RETAIL&amp;h=34&amp;i=132&amp;l=198&amp;ad=true" TargetMode="External" Id="rId217"/><Relationship Type="http://schemas.openxmlformats.org/officeDocument/2006/relationships/hyperlink" Target="https://new.land.naver.com/complexes/9004?ms=2AfAQG,3zprE6,17&amp;a=APT:ABYG:JGC&amp;b=A1:B1&amp;e=RETAIL&amp;h=34&amp;i=132&amp;l=198&amp;ad=true" TargetMode="External" Id="rId218"/><Relationship Type="http://schemas.openxmlformats.org/officeDocument/2006/relationships/hyperlink" Target="https://new.land.naver.com/complexes/9004?ms=2AfAQG,3zprE6,17&amp;a=APT:ABYG:JGC&amp;b=A1:B1&amp;e=RETAIL&amp;h=34&amp;i=132&amp;l=198&amp;ad=true" TargetMode="External" Id="rId219"/><Relationship Type="http://schemas.openxmlformats.org/officeDocument/2006/relationships/hyperlink" Target="https://new.land.naver.com/complexes/9004?ms=2AfAQG,3zprE6,17&amp;a=APT:ABYG:JGC&amp;b=A1:B1&amp;e=RETAIL&amp;h=34&amp;i=132&amp;l=198&amp;ad=true" TargetMode="External" Id="rId220"/><Relationship Type="http://schemas.openxmlformats.org/officeDocument/2006/relationships/hyperlink" Target="https://new.land.naver.com/complexes/9004?ms=2AfAQG,3zprE6,17&amp;a=APT:ABYG:JGC&amp;b=A1:B1&amp;e=RETAIL&amp;h=34&amp;i=132&amp;l=198&amp;ad=true" TargetMode="External" Id="rId221"/><Relationship Type="http://schemas.openxmlformats.org/officeDocument/2006/relationships/hyperlink" Target="https://new.land.naver.com/complexes/9004?ms=2AfAQG,3zprE6,17&amp;a=APT:ABYG:JGC&amp;b=A1:B1&amp;e=RETAIL&amp;h=34&amp;i=132&amp;l=198&amp;ad=true" TargetMode="External" Id="rId222"/><Relationship Type="http://schemas.openxmlformats.org/officeDocument/2006/relationships/hyperlink" Target="https://new.land.naver.com/complexes/9004?ms=2AfAQG,3zprE6,17&amp;a=APT:ABYG:JGC&amp;b=A1:B1&amp;e=RETAIL&amp;h=34&amp;i=132&amp;l=198&amp;ad=true" TargetMode="External" Id="rId223"/><Relationship Type="http://schemas.openxmlformats.org/officeDocument/2006/relationships/hyperlink" Target="https://new.land.naver.com/complexes/17?ms=2AfAQG,3zprE6,17&amp;a=APT:ABYG:JGC&amp;b=A1:B1&amp;e=RETAIL&amp;h=34&amp;i=132&amp;l=198&amp;ad=true" TargetMode="External" Id="rId224"/><Relationship Type="http://schemas.openxmlformats.org/officeDocument/2006/relationships/hyperlink" Target="https://new.land.naver.com/complexes/17?ms=2AfAQG,3zprE6,17&amp;a=APT:ABYG:JGC&amp;b=A1:B1&amp;e=RETAIL&amp;h=34&amp;i=132&amp;l=198&amp;ad=true" TargetMode="External" Id="rId225"/><Relationship Type="http://schemas.openxmlformats.org/officeDocument/2006/relationships/hyperlink" Target="https://new.land.naver.com/complexes/8959?ms=2AfAQG,3zprE6,17&amp;a=APT:ABYG:JGC&amp;b=A1:B1&amp;e=RETAIL&amp;h=34&amp;i=132&amp;l=198&amp;ad=true" TargetMode="External" Id="rId226"/><Relationship Type="http://schemas.openxmlformats.org/officeDocument/2006/relationships/hyperlink" Target="https://new.land.naver.com/complexes/8959?ms=2AfAQG,3zprE6,17&amp;a=APT:ABYG:JGC&amp;b=A1:B1&amp;e=RETAIL&amp;h=34&amp;i=132&amp;l=198&amp;ad=true" TargetMode="External" Id="rId227"/><Relationship Type="http://schemas.openxmlformats.org/officeDocument/2006/relationships/hyperlink" Target="https://new.land.naver.com/complexes/8959?ms=2AfAQG,3zprE6,17&amp;a=APT:ABYG:JGC&amp;b=A1:B1&amp;e=RETAIL&amp;h=34&amp;i=132&amp;l=198&amp;ad=true" TargetMode="External" Id="rId228"/><Relationship Type="http://schemas.openxmlformats.org/officeDocument/2006/relationships/hyperlink" Target="https://new.land.naver.com/complexes/8959?ms=2AfAQG,3zprE6,17&amp;a=APT:ABYG:JGC&amp;b=A1:B1&amp;e=RETAIL&amp;h=34&amp;i=132&amp;l=198&amp;ad=true" TargetMode="External" Id="rId229"/><Relationship Type="http://schemas.openxmlformats.org/officeDocument/2006/relationships/hyperlink" Target="https://new.land.naver.com/complexes/10545?ms=2AfAQG,3zprE6,17&amp;a=APT:ABYG:JGC&amp;b=A1:B1&amp;e=RETAIL&amp;h=34&amp;i=132&amp;l=198&amp;ad=true" TargetMode="External" Id="rId230"/><Relationship Type="http://schemas.openxmlformats.org/officeDocument/2006/relationships/hyperlink" Target="https://new.land.naver.com/complexes/10545?ms=2AfAQG,3zprE6,17&amp;a=APT:ABYG:JGC&amp;b=A1:B1&amp;e=RETAIL&amp;h=34&amp;i=132&amp;l=198&amp;ad=true" TargetMode="External" Id="rId231"/><Relationship Type="http://schemas.openxmlformats.org/officeDocument/2006/relationships/hyperlink" Target="https://new.land.naver.com/complexes/10545?ms=2AfAQG,3zprE6,17&amp;a=APT:ABYG:JGC&amp;b=A1:B1&amp;e=RETAIL&amp;h=34&amp;i=132&amp;l=198&amp;ad=true" TargetMode="External" Id="rId232"/><Relationship Type="http://schemas.openxmlformats.org/officeDocument/2006/relationships/hyperlink" Target="https://new.land.naver.com/complexes/10545?ms=2AfAQG,3zprE6,17&amp;a=APT:ABYG:JGC&amp;b=A1:B1&amp;e=RETAIL&amp;h=34&amp;i=132&amp;l=198&amp;ad=true" TargetMode="External" Id="rId233"/><Relationship Type="http://schemas.openxmlformats.org/officeDocument/2006/relationships/hyperlink" Target="https://new.land.naver.com/complexes/27?ms=2AfAQG,3zprE6,17&amp;a=APT:ABYG:JGC&amp;b=A1:B1&amp;e=RETAIL&amp;h=34&amp;i=132&amp;l=198&amp;ad=true" TargetMode="External" Id="rId234"/><Relationship Type="http://schemas.openxmlformats.org/officeDocument/2006/relationships/hyperlink" Target="https://new.land.naver.com/complexes/27?ms=2AfAQG,3zprE6,17&amp;a=APT:ABYG:JGC&amp;b=A1:B1&amp;e=RETAIL&amp;h=34&amp;i=132&amp;l=198&amp;ad=true" TargetMode="External" Id="rId235"/><Relationship Type="http://schemas.openxmlformats.org/officeDocument/2006/relationships/hyperlink" Target="https://new.land.naver.com/complexes/27?ms=2AfAQG,3zprE6,17&amp;a=APT:ABYG:JGC&amp;b=A1:B1&amp;e=RETAIL&amp;h=34&amp;i=132&amp;l=198&amp;ad=true" TargetMode="External" Id="rId236"/><Relationship Type="http://schemas.openxmlformats.org/officeDocument/2006/relationships/hyperlink" Target="https://new.land.naver.com/complexes/27?ms=2AfAQG,3zprE6,17&amp;a=APT:ABYG:JGC&amp;b=A1:B1&amp;e=RETAIL&amp;h=34&amp;i=132&amp;l=198&amp;ad=true" TargetMode="External" Id="rId237"/><Relationship Type="http://schemas.openxmlformats.org/officeDocument/2006/relationships/hyperlink" Target="https://new.land.naver.com/complexes/124391?ms=2AfAQG,3zprE6,17&amp;a=APT:ABYG:JGC&amp;b=A1:B1&amp;e=RETAIL&amp;h=34&amp;i=132&amp;l=198&amp;ad=true" TargetMode="External" Id="rId238"/><Relationship Type="http://schemas.openxmlformats.org/officeDocument/2006/relationships/hyperlink" Target="https://new.land.naver.com/complexes/124391?ms=2AfAQG,3zprE6,17&amp;a=APT:ABYG:JGC&amp;b=A1:B1&amp;e=RETAIL&amp;h=34&amp;i=132&amp;l=198&amp;ad=true" TargetMode="External" Id="rId239"/><Relationship Type="http://schemas.openxmlformats.org/officeDocument/2006/relationships/hyperlink" Target="https://new.land.naver.com/complexes/124391?ms=2AfAQG,3zprE6,17&amp;a=APT:ABYG:JGC&amp;b=A1:B1&amp;e=RETAIL&amp;h=34&amp;i=132&amp;l=198&amp;ad=true" TargetMode="External" Id="rId240"/><Relationship Type="http://schemas.openxmlformats.org/officeDocument/2006/relationships/hyperlink" Target="https://new.land.naver.com/complexes/124391?ms=2AfAQG,3zprE6,17&amp;a=APT:ABYG:JGC&amp;b=A1:B1&amp;e=RETAIL&amp;h=34&amp;i=132&amp;l=198&amp;ad=true" TargetMode="External" Id="rId241"/><Relationship Type="http://schemas.openxmlformats.org/officeDocument/2006/relationships/hyperlink" Target="https://new.land.naver.com/complexes/8986?ms=2AfAQG,3zprE6,17&amp;a=APT:ABYG:JGC&amp;b=A1:B1&amp;e=RETAIL&amp;h=34&amp;i=132&amp;l=198&amp;ad=true" TargetMode="External" Id="rId242"/><Relationship Type="http://schemas.openxmlformats.org/officeDocument/2006/relationships/hyperlink" Target="https://new.land.naver.com/complexes/8986?ms=2AfAQG,3zprE6,17&amp;a=APT:ABYG:JGC&amp;b=A1:B1&amp;e=RETAIL&amp;h=34&amp;i=132&amp;l=198&amp;ad=true" TargetMode="External" Id="rId243"/><Relationship Type="http://schemas.openxmlformats.org/officeDocument/2006/relationships/hyperlink" Target="https://new.land.naver.com/complexes/8986?ms=2AfAQG,3zprE6,17&amp;a=APT:ABYG:JGC&amp;b=A1:B1&amp;e=RETAIL&amp;h=34&amp;i=132&amp;l=198&amp;ad=true" TargetMode="External" Id="rId244"/><Relationship Type="http://schemas.openxmlformats.org/officeDocument/2006/relationships/hyperlink" Target="https://new.land.naver.com/complexes/8986?ms=2AfAQG,3zprE6,17&amp;a=APT:ABYG:JGC&amp;b=A1:B1&amp;e=RETAIL&amp;h=34&amp;i=132&amp;l=198&amp;ad=true" TargetMode="External" Id="rId245"/><Relationship Type="http://schemas.openxmlformats.org/officeDocument/2006/relationships/hyperlink" Target="https://new.land.naver.com/complexes/8986?ms=2AfAQG,3zprE6,17&amp;a=APT:ABYG:JGC&amp;b=A1:B1&amp;e=RETAIL&amp;h=34&amp;i=132&amp;l=198&amp;ad=true" TargetMode="External" Id="rId246"/><Relationship Type="http://schemas.openxmlformats.org/officeDocument/2006/relationships/hyperlink" Target="https://new.land.naver.com/complexes/22?ms=2AfAQG,3zprE6,17&amp;a=APT:ABYG:JGC&amp;b=A1:B1&amp;e=RETAIL&amp;h=34&amp;i=132&amp;l=198&amp;ad=true" TargetMode="External" Id="rId247"/><Relationship Type="http://schemas.openxmlformats.org/officeDocument/2006/relationships/hyperlink" Target="https://new.land.naver.com/complexes/22?ms=2AfAQG,3zprE6,17&amp;a=APT:ABYG:JGC&amp;b=A1:B1&amp;e=RETAIL&amp;h=34&amp;i=132&amp;l=198&amp;ad=true" TargetMode="External" Id="rId248"/><Relationship Type="http://schemas.openxmlformats.org/officeDocument/2006/relationships/hyperlink" Target="https://new.land.naver.com/complexes/22?ms=2AfAQG,3zprE6,17&amp;a=APT:ABYG:JGC&amp;b=A1:B1&amp;e=RETAIL&amp;h=34&amp;i=132&amp;l=198&amp;ad=true" TargetMode="External" Id="rId249"/><Relationship Type="http://schemas.openxmlformats.org/officeDocument/2006/relationships/hyperlink" Target="https://new.land.naver.com/complexes/9244?ms=2AfAQG,3zprE6,17&amp;a=APT:ABYG:JGC&amp;b=A1:B1&amp;e=RETAIL&amp;h=34&amp;i=132&amp;l=198&amp;ad=true" TargetMode="External" Id="rId250"/><Relationship Type="http://schemas.openxmlformats.org/officeDocument/2006/relationships/hyperlink" Target="https://new.land.naver.com/complexes/9244?ms=2AfAQG,3zprE6,17&amp;a=APT:ABYG:JGC&amp;b=A1:B1&amp;e=RETAIL&amp;h=34&amp;i=132&amp;l=198&amp;ad=true" TargetMode="External" Id="rId251"/><Relationship Type="http://schemas.openxmlformats.org/officeDocument/2006/relationships/hyperlink" Target="https://new.land.naver.com/complexes/32?ms=2AfAQG,3zprE6,17&amp;a=APT:ABYG:JGC&amp;b=A1:B1&amp;e=RETAIL&amp;h=34&amp;i=132&amp;l=198&amp;ad=true" TargetMode="External" Id="rId252"/><Relationship Type="http://schemas.openxmlformats.org/officeDocument/2006/relationships/hyperlink" Target="https://new.land.naver.com/complexes/32?ms=2AfAQG,3zprE6,17&amp;a=APT:ABYG:JGC&amp;b=A1:B1&amp;e=RETAIL&amp;h=34&amp;i=132&amp;l=198&amp;ad=true" TargetMode="External" Id="rId253"/><Relationship Type="http://schemas.openxmlformats.org/officeDocument/2006/relationships/hyperlink" Target="https://new.land.naver.com/complexes/115965?ms=2AfAQG,3zprE6,17&amp;a=APT:ABYG:JGC&amp;b=A1:B1&amp;e=RETAIL&amp;h=34&amp;i=132&amp;l=198&amp;ad=true" TargetMode="External" Id="rId254"/><Relationship Type="http://schemas.openxmlformats.org/officeDocument/2006/relationships/hyperlink" Target="https://new.land.naver.com/complexes/115965?ms=2AfAQG,3zprE6,17&amp;a=APT:ABYG:JGC&amp;b=A1:B1&amp;e=RETAIL&amp;h=34&amp;i=132&amp;l=198&amp;ad=true" TargetMode="External" Id="rId255"/><Relationship Type="http://schemas.openxmlformats.org/officeDocument/2006/relationships/hyperlink" Target="https://new.land.naver.com/complexes/115965?ms=2AfAQG,3zprE6,17&amp;a=APT:ABYG:JGC&amp;b=A1:B1&amp;e=RETAIL&amp;h=34&amp;i=132&amp;l=198&amp;ad=true" TargetMode="External" Id="rId256"/><Relationship Type="http://schemas.openxmlformats.org/officeDocument/2006/relationships/hyperlink" Target="https://new.land.naver.com/complexes/115965?ms=2AfAQG,3zprE6,17&amp;a=APT:ABYG:JGC&amp;b=A1:B1&amp;e=RETAIL&amp;h=34&amp;i=132&amp;l=198&amp;ad=true" TargetMode="External" Id="rId257"/><Relationship Type="http://schemas.openxmlformats.org/officeDocument/2006/relationships/hyperlink" Target="https://new.land.naver.com/complexes/115965?ms=2AfAQG,3zprE6,17&amp;a=APT:ABYG:JGC&amp;b=A1:B1&amp;e=RETAIL&amp;h=34&amp;i=132&amp;l=198&amp;ad=true" TargetMode="External" Id="rId258"/><Relationship Type="http://schemas.openxmlformats.org/officeDocument/2006/relationships/hyperlink" Target="https://new.land.naver.com/complexes/3100?ms=2AfAQG,3zprE6,17&amp;a=APT:ABYG:JGC&amp;b=A1:B1&amp;e=RETAIL&amp;h=34&amp;i=132&amp;l=198&amp;ad=true" TargetMode="External" Id="rId259"/><Relationship Type="http://schemas.openxmlformats.org/officeDocument/2006/relationships/hyperlink" Target="https://new.land.naver.com/complexes/3100?ms=2AfAQG,3zprE6,17&amp;a=APT:ABYG:JGC&amp;b=A1:B1&amp;e=RETAIL&amp;h=34&amp;i=132&amp;l=198&amp;ad=true" TargetMode="External" Id="rId260"/><Relationship Type="http://schemas.openxmlformats.org/officeDocument/2006/relationships/hyperlink" Target="https://new.land.naver.com/complexes/3100?ms=2AfAQG,3zprE6,17&amp;a=APT:ABYG:JGC&amp;b=A1:B1&amp;e=RETAIL&amp;h=34&amp;i=132&amp;l=198&amp;ad=true" TargetMode="External" Id="rId261"/><Relationship Type="http://schemas.openxmlformats.org/officeDocument/2006/relationships/hyperlink" Target="https://new.land.naver.com/complexes/9364?ms=2AfAQG,3zprE6,17&amp;a=APT:ABYG:JGC&amp;b=A1:B1&amp;e=RETAIL&amp;h=34&amp;i=132&amp;l=198&amp;ad=true" TargetMode="External" Id="rId262"/><Relationship Type="http://schemas.openxmlformats.org/officeDocument/2006/relationships/hyperlink" Target="https://new.land.naver.com/complexes/9161?ms=2AfAQG,3zprE6,17&amp;a=APT:ABYG:JGC&amp;b=A1:B1&amp;e=RETAIL&amp;h=34&amp;i=132&amp;l=198&amp;ad=true" TargetMode="External" Id="rId263"/><Relationship Type="http://schemas.openxmlformats.org/officeDocument/2006/relationships/hyperlink" Target="https://new.land.naver.com/complexes/9161?ms=2AfAQG,3zprE6,17&amp;a=APT:ABYG:JGC&amp;b=A1:B1&amp;e=RETAIL&amp;h=34&amp;i=132&amp;l=198&amp;ad=true" TargetMode="External" Id="rId264"/><Relationship Type="http://schemas.openxmlformats.org/officeDocument/2006/relationships/hyperlink" Target="https://new.land.naver.com/complexes/3153?ms=2AfAQG,3zprE6,17&amp;a=APT:ABYG:JGC&amp;b=A1:B1&amp;e=RETAIL&amp;h=34&amp;i=132&amp;l=198&amp;ad=true" TargetMode="External" Id="rId265"/><Relationship Type="http://schemas.openxmlformats.org/officeDocument/2006/relationships/hyperlink" Target="https://new.land.naver.com/complexes/3153?ms=2AfAQG,3zprE6,17&amp;a=APT:ABYG:JGC&amp;b=A1:B1&amp;e=RETAIL&amp;h=34&amp;i=132&amp;l=198&amp;ad=true" TargetMode="External" Id="rId266"/><Relationship Type="http://schemas.openxmlformats.org/officeDocument/2006/relationships/hyperlink" Target="https://new.land.naver.com/complexes/3153?ms=2AfAQG,3zprE6,17&amp;a=APT:ABYG:JGC&amp;b=A1:B1&amp;e=RETAIL&amp;h=34&amp;i=132&amp;l=198&amp;ad=true" TargetMode="External" Id="rId267"/><Relationship Type="http://schemas.openxmlformats.org/officeDocument/2006/relationships/hyperlink" Target="https://new.land.naver.com/complexes/3153?ms=2AfAQG,3zprE6,17&amp;a=APT:ABYG:JGC&amp;b=A1:B1&amp;e=RETAIL&amp;h=34&amp;i=132&amp;l=198&amp;ad=true" TargetMode="External" Id="rId268"/><Relationship Type="http://schemas.openxmlformats.org/officeDocument/2006/relationships/hyperlink" Target="https://new.land.naver.com/complexes/1028?ms=2AfAQG,3zprE6,17&amp;a=APT:ABYG:JGC&amp;b=A1:B1&amp;e=RETAIL&amp;h=34&amp;i=132&amp;l=198&amp;ad=true" TargetMode="External" Id="rId269"/><Relationship Type="http://schemas.openxmlformats.org/officeDocument/2006/relationships/hyperlink" Target="https://new.land.naver.com/complexes/1028?ms=2AfAQG,3zprE6,17&amp;a=APT:ABYG:JGC&amp;b=A1:B1&amp;e=RETAIL&amp;h=34&amp;i=132&amp;l=198&amp;ad=true" TargetMode="External" Id="rId270"/><Relationship Type="http://schemas.openxmlformats.org/officeDocument/2006/relationships/hyperlink" Target="https://new.land.naver.com/complexes/853?ms=2AfAQG,3zprE6,17&amp;a=APT:ABYG:JGC&amp;b=A1:B1&amp;e=RETAIL&amp;h=34&amp;i=132&amp;l=198&amp;ad=true" TargetMode="External" Id="rId271"/><Relationship Type="http://schemas.openxmlformats.org/officeDocument/2006/relationships/hyperlink" Target="https://new.land.naver.com/complexes/853?ms=2AfAQG,3zprE6,17&amp;a=APT:ABYG:JGC&amp;b=A1:B1&amp;e=RETAIL&amp;h=34&amp;i=132&amp;l=198&amp;ad=true" TargetMode="External" Id="rId272"/><Relationship Type="http://schemas.openxmlformats.org/officeDocument/2006/relationships/hyperlink" Target="https://new.land.naver.com/complexes/1030?ms=2AfAQG,3zprE6,17&amp;a=APT:ABYG:JGC&amp;b=A1:B1&amp;e=RETAIL&amp;h=34&amp;i=132&amp;l=198&amp;ad=true" TargetMode="External" Id="rId273"/><Relationship Type="http://schemas.openxmlformats.org/officeDocument/2006/relationships/hyperlink" Target="https://new.land.naver.com/complexes/1030?ms=2AfAQG,3zprE6,17&amp;a=APT:ABYG:JGC&amp;b=A1:B1&amp;e=RETAIL&amp;h=34&amp;i=132&amp;l=198&amp;ad=true" TargetMode="External" Id="rId274"/><Relationship Type="http://schemas.openxmlformats.org/officeDocument/2006/relationships/hyperlink" Target="https://new.land.naver.com/complexes/1030?ms=2AfAQG,3zprE6,17&amp;a=APT:ABYG:JGC&amp;b=A1:B1&amp;e=RETAIL&amp;h=34&amp;i=132&amp;l=198&amp;ad=true" TargetMode="External" Id="rId275"/><Relationship Type="http://schemas.openxmlformats.org/officeDocument/2006/relationships/hyperlink" Target="https://new.land.naver.com/complexes/1032?ms=2AfAQG,3zprE6,17&amp;a=APT:ABYG:JGC&amp;b=A1:B1&amp;e=RETAIL&amp;h=34&amp;i=132&amp;l=198&amp;ad=true" TargetMode="External" Id="rId276"/><Relationship Type="http://schemas.openxmlformats.org/officeDocument/2006/relationships/hyperlink" Target="https://new.land.naver.com/complexes/1032?ms=2AfAQG,3zprE6,17&amp;a=APT:ABYG:JGC&amp;b=A1:B1&amp;e=RETAIL&amp;h=34&amp;i=132&amp;l=198&amp;ad=true" TargetMode="External" Id="rId277"/><Relationship Type="http://schemas.openxmlformats.org/officeDocument/2006/relationships/hyperlink" Target="https://new.land.naver.com/complexes/1032?ms=2AfAQG,3zprE6,17&amp;a=APT:ABYG:JGC&amp;b=A1:B1&amp;e=RETAIL&amp;h=34&amp;i=132&amp;l=198&amp;ad=true" TargetMode="External" Id="rId278"/><Relationship Type="http://schemas.openxmlformats.org/officeDocument/2006/relationships/hyperlink" Target="https://new.land.naver.com/complexes/25936?ms=2AfAQG,3zprE6,17&amp;a=APT:ABYG:JGC&amp;b=A1:B1&amp;e=RETAIL&amp;h=34&amp;i=132&amp;l=198&amp;ad=true" TargetMode="External" Id="rId279"/><Relationship Type="http://schemas.openxmlformats.org/officeDocument/2006/relationships/hyperlink" Target="https://new.land.naver.com/complexes/25936?ms=2AfAQG,3zprE6,17&amp;a=APT:ABYG:JGC&amp;b=A1:B1&amp;e=RETAIL&amp;h=34&amp;i=132&amp;l=198&amp;ad=true" TargetMode="External" Id="rId280"/><Relationship Type="http://schemas.openxmlformats.org/officeDocument/2006/relationships/hyperlink" Target="https://new.land.naver.com/complexes/34?ms=2AfAQG,3zprE6,17&amp;a=APT:ABYG:JGC&amp;b=A1:B1&amp;e=RETAIL&amp;h=34&amp;i=132&amp;l=198&amp;ad=true" TargetMode="External" Id="rId281"/><Relationship Type="http://schemas.openxmlformats.org/officeDocument/2006/relationships/hyperlink" Target="https://new.land.naver.com/complexes/34?ms=2AfAQG,3zprE6,17&amp;a=APT:ABYG:JGC&amp;b=A1:B1&amp;e=RETAIL&amp;h=34&amp;i=132&amp;l=198&amp;ad=true" TargetMode="External" Id="rId282"/><Relationship Type="http://schemas.openxmlformats.org/officeDocument/2006/relationships/hyperlink" Target="https://new.land.naver.com/complexes/34?ms=2AfAQG,3zprE6,17&amp;a=APT:ABYG:JGC&amp;b=A1:B1&amp;e=RETAIL&amp;h=34&amp;i=132&amp;l=198&amp;ad=true" TargetMode="External" Id="rId283"/><Relationship Type="http://schemas.openxmlformats.org/officeDocument/2006/relationships/hyperlink" Target="https://new.land.naver.com/complexes/3101?ms=2AfAQG,3zprE6,17&amp;a=APT:ABYG:JGC&amp;b=A1:B1&amp;e=RETAIL&amp;h=34&amp;i=132&amp;l=198&amp;ad=true" TargetMode="External" Id="rId284"/><Relationship Type="http://schemas.openxmlformats.org/officeDocument/2006/relationships/hyperlink" Target="https://new.land.naver.com/complexes/3101?ms=2AfAQG,3zprE6,17&amp;a=APT:ABYG:JGC&amp;b=A1:B1&amp;e=RETAIL&amp;h=34&amp;i=132&amp;l=198&amp;ad=true" TargetMode="External" Id="rId285"/><Relationship Type="http://schemas.openxmlformats.org/officeDocument/2006/relationships/hyperlink" Target="https://new.land.naver.com/complexes/3101?ms=2AfAQG,3zprE6,17&amp;a=APT:ABYG:JGC&amp;b=A1:B1&amp;e=RETAIL&amp;h=34&amp;i=132&amp;l=198&amp;ad=true" TargetMode="External" Id="rId286"/><Relationship Type="http://schemas.openxmlformats.org/officeDocument/2006/relationships/hyperlink" Target="https://new.land.naver.com/complexes/3101?ms=2AfAQG,3zprE6,17&amp;a=APT:ABYG:JGC&amp;b=A1:B1&amp;e=RETAIL&amp;h=34&amp;i=132&amp;l=198&amp;ad=true" TargetMode="External" Id="rId287"/><Relationship Type="http://schemas.openxmlformats.org/officeDocument/2006/relationships/hyperlink" Target="https://new.land.naver.com/complexes/3101?ms=2AfAQG,3zprE6,17&amp;a=APT:ABYG:JGC&amp;b=A1:B1&amp;e=RETAIL&amp;h=34&amp;i=132&amp;l=198&amp;ad=true" TargetMode="External" Id="rId288"/><Relationship Type="http://schemas.openxmlformats.org/officeDocument/2006/relationships/hyperlink" Target="https://new.land.naver.com/complexes/3101?ms=2AfAQG,3zprE6,17&amp;a=APT:ABYG:JGC&amp;b=A1:B1&amp;e=RETAIL&amp;h=34&amp;i=132&amp;l=198&amp;ad=true" TargetMode="External" Id="rId289"/><Relationship Type="http://schemas.openxmlformats.org/officeDocument/2006/relationships/hyperlink" Target="https://new.land.naver.com/complexes/37?ms=2AfAQG,3zprE6,17&amp;a=APT:ABYG:JGC&amp;b=A1:B1&amp;e=RETAIL&amp;h=34&amp;i=132&amp;l=198&amp;ad=true" TargetMode="External" Id="rId290"/><Relationship Type="http://schemas.openxmlformats.org/officeDocument/2006/relationships/hyperlink" Target="https://new.land.naver.com/complexes/37?ms=2AfAQG,3zprE6,17&amp;a=APT:ABYG:JGC&amp;b=A1:B1&amp;e=RETAIL&amp;h=34&amp;i=132&amp;l=198&amp;ad=true" TargetMode="External" Id="rId291"/><Relationship Type="http://schemas.openxmlformats.org/officeDocument/2006/relationships/hyperlink" Target="https://new.land.naver.com/complexes/869?ms=2AfAQG,3zprE6,17&amp;a=APT:ABYG:JGC&amp;b=A1:B1&amp;e=RETAIL&amp;h=34&amp;i=132&amp;l=198&amp;ad=true" TargetMode="External" Id="rId292"/><Relationship Type="http://schemas.openxmlformats.org/officeDocument/2006/relationships/hyperlink" Target="https://new.land.naver.com/complexes/869?ms=2AfAQG,3zprE6,17&amp;a=APT:ABYG:JGC&amp;b=A1:B1&amp;e=RETAIL&amp;h=34&amp;i=132&amp;l=198&amp;ad=true" TargetMode="External" Id="rId293"/><Relationship Type="http://schemas.openxmlformats.org/officeDocument/2006/relationships/hyperlink" Target="https://new.land.naver.com/complexes/869?ms=2AfAQG,3zprE6,17&amp;a=APT:ABYG:JGC&amp;b=A1:B1&amp;e=RETAIL&amp;h=34&amp;i=132&amp;l=198&amp;ad=true" TargetMode="External" Id="rId294"/><Relationship Type="http://schemas.openxmlformats.org/officeDocument/2006/relationships/hyperlink" Target="https://new.land.naver.com/complexes/870?ms=2AfAQG,3zprE6,17&amp;a=APT:ABYG:JGC&amp;b=A1:B1&amp;e=RETAIL&amp;h=34&amp;i=132&amp;l=198&amp;ad=true" TargetMode="External" Id="rId295"/><Relationship Type="http://schemas.openxmlformats.org/officeDocument/2006/relationships/hyperlink" Target="https://new.land.naver.com/complexes/870?ms=2AfAQG,3zprE6,17&amp;a=APT:ABYG:JGC&amp;b=A1:B1&amp;e=RETAIL&amp;h=34&amp;i=132&amp;l=198&amp;ad=true" TargetMode="External" Id="rId296"/><Relationship Type="http://schemas.openxmlformats.org/officeDocument/2006/relationships/hyperlink" Target="https://new.land.naver.com/complexes/870?ms=2AfAQG,3zprE6,17&amp;a=APT:ABYG:JGC&amp;b=A1:B1&amp;e=RETAIL&amp;h=34&amp;i=132&amp;l=198&amp;ad=true" TargetMode="External" Id="rId297"/><Relationship Type="http://schemas.openxmlformats.org/officeDocument/2006/relationships/hyperlink" Target="https://new.land.naver.com/complexes/12844?ms=2AfAQG,3zprE6,17&amp;a=APT:ABYG:JGC&amp;b=A1:B1&amp;e=RETAIL&amp;h=34&amp;i=132&amp;l=198&amp;ad=true" TargetMode="External" Id="rId298"/><Relationship Type="http://schemas.openxmlformats.org/officeDocument/2006/relationships/hyperlink" Target="https://new.land.naver.com/complexes/12844?ms=2AfAQG,3zprE6,17&amp;a=APT:ABYG:JGC&amp;b=A1:B1&amp;e=RETAIL&amp;h=34&amp;i=132&amp;l=198&amp;ad=true" TargetMode="External" Id="rId299"/><Relationship Type="http://schemas.openxmlformats.org/officeDocument/2006/relationships/hyperlink" Target="https://new.land.naver.com/complexes/38?ms=2AfAQG,3zprE6,17&amp;a=APT:ABYG:JGC&amp;b=A1:B1&amp;e=RETAIL&amp;h=34&amp;i=132&amp;l=198&amp;ad=true" TargetMode="External" Id="rId300"/><Relationship Type="http://schemas.openxmlformats.org/officeDocument/2006/relationships/hyperlink" Target="https://new.land.naver.com/complexes/38?ms=2AfAQG,3zprE6,17&amp;a=APT:ABYG:JGC&amp;b=A1:B1&amp;e=RETAIL&amp;h=34&amp;i=132&amp;l=198&amp;ad=true" TargetMode="External" Id="rId301"/><Relationship Type="http://schemas.openxmlformats.org/officeDocument/2006/relationships/hyperlink" Target="https://new.land.naver.com/complexes/38?ms=2AfAQG,3zprE6,17&amp;a=APT:ABYG:JGC&amp;b=A1:B1&amp;e=RETAIL&amp;h=34&amp;i=132&amp;l=198&amp;ad=true" TargetMode="External" Id="rId302"/><Relationship Type="http://schemas.openxmlformats.org/officeDocument/2006/relationships/hyperlink" Target="https://new.land.naver.com/complexes/11565?ms=2AfAQG,3zprE6,17&amp;a=APT:ABYG:JGC&amp;b=A1:B1&amp;e=RETAIL&amp;h=34&amp;i=132&amp;l=198&amp;ad=true" TargetMode="External" Id="rId303"/><Relationship Type="http://schemas.openxmlformats.org/officeDocument/2006/relationships/hyperlink" Target="https://new.land.naver.com/complexes/11565?ms=2AfAQG,3zprE6,17&amp;a=APT:ABYG:JGC&amp;b=A1:B1&amp;e=RETAIL&amp;h=34&amp;i=132&amp;l=198&amp;ad=true" TargetMode="External" Id="rId304"/><Relationship Type="http://schemas.openxmlformats.org/officeDocument/2006/relationships/hyperlink" Target="https://new.land.naver.com/complexes/11565?ms=2AfAQG,3zprE6,17&amp;a=APT:ABYG:JGC&amp;b=A1:B1&amp;e=RETAIL&amp;h=34&amp;i=132&amp;l=198&amp;ad=true" TargetMode="External" Id="rId305"/><Relationship Type="http://schemas.openxmlformats.org/officeDocument/2006/relationships/hyperlink" Target="https://new.land.naver.com/complexes/11565?ms=2AfAQG,3zprE6,17&amp;a=APT:ABYG:JGC&amp;b=A1:B1&amp;e=RETAIL&amp;h=34&amp;i=132&amp;l=198&amp;ad=true" TargetMode="External" Id="rId306"/><Relationship Type="http://schemas.openxmlformats.org/officeDocument/2006/relationships/hyperlink" Target="https://new.land.naver.com/complexes/1019?ms=2AfAQG,3zprE6,17&amp;a=APT:ABYG:JGC&amp;b=A1:B1&amp;e=RETAIL&amp;h=34&amp;i=132&amp;l=198&amp;ad=true" TargetMode="External" Id="rId307"/><Relationship Type="http://schemas.openxmlformats.org/officeDocument/2006/relationships/hyperlink" Target="https://new.land.naver.com/complexes/1019?ms=2AfAQG,3zprE6,17&amp;a=APT:ABYG:JGC&amp;b=A1:B1&amp;e=RETAIL&amp;h=34&amp;i=132&amp;l=198&amp;ad=true" TargetMode="External" Id="rId308"/><Relationship Type="http://schemas.openxmlformats.org/officeDocument/2006/relationships/hyperlink" Target="https://new.land.naver.com/complexes/1019?ms=2AfAQG,3zprE6,17&amp;a=APT:ABYG:JGC&amp;b=A1:B1&amp;e=RETAIL&amp;h=34&amp;i=132&amp;l=198&amp;ad=true" TargetMode="External" Id="rId309"/><Relationship Type="http://schemas.openxmlformats.org/officeDocument/2006/relationships/hyperlink" Target="https://new.land.naver.com/complexes/1034?ms=2AfAQG,3zprE6,17&amp;a=APT:ABYG:JGC&amp;b=A1:B1&amp;e=RETAIL&amp;h=34&amp;i=132&amp;l=198&amp;ad=true" TargetMode="External" Id="rId310"/><Relationship Type="http://schemas.openxmlformats.org/officeDocument/2006/relationships/hyperlink" Target="https://new.land.naver.com/complexes/1034?ms=2AfAQG,3zprE6,17&amp;a=APT:ABYG:JGC&amp;b=A1:B1&amp;e=RETAIL&amp;h=34&amp;i=132&amp;l=198&amp;ad=true" TargetMode="External" Id="rId311"/><Relationship Type="http://schemas.openxmlformats.org/officeDocument/2006/relationships/hyperlink" Target="https://new.land.naver.com/complexes/1034?ms=2AfAQG,3zprE6,17&amp;a=APT:ABYG:JGC&amp;b=A1:B1&amp;e=RETAIL&amp;h=34&amp;i=132&amp;l=198&amp;ad=true" TargetMode="External" Id="rId312"/><Relationship Type="http://schemas.openxmlformats.org/officeDocument/2006/relationships/hyperlink" Target="https://new.land.naver.com/complexes/3155?ms=2AfAQG,3zprE6,17&amp;a=APT:ABYG:JGC&amp;b=A1:B1&amp;e=RETAIL&amp;h=34&amp;i=132&amp;l=198&amp;ad=true" TargetMode="External" Id="rId313"/><Relationship Type="http://schemas.openxmlformats.org/officeDocument/2006/relationships/hyperlink" Target="https://new.land.naver.com/complexes/3155?ms=2AfAQG,3zprE6,17&amp;a=APT:ABYG:JGC&amp;b=A1:B1&amp;e=RETAIL&amp;h=34&amp;i=132&amp;l=198&amp;ad=true" TargetMode="External" Id="rId314"/><Relationship Type="http://schemas.openxmlformats.org/officeDocument/2006/relationships/hyperlink" Target="https://new.land.naver.com/complexes/3155?ms=2AfAQG,3zprE6,17&amp;a=APT:ABYG:JGC&amp;b=A1:B1&amp;e=RETAIL&amp;h=34&amp;i=132&amp;l=198&amp;ad=true" TargetMode="External" Id="rId315"/><Relationship Type="http://schemas.openxmlformats.org/officeDocument/2006/relationships/hyperlink" Target="https://new.land.naver.com/complexes/36?ms=2AfAQG,3zprE6,17&amp;a=APT:ABYG:JGC&amp;b=A1:B1&amp;e=RETAIL&amp;h=34&amp;i=132&amp;l=198&amp;ad=true" TargetMode="External" Id="rId316"/><Relationship Type="http://schemas.openxmlformats.org/officeDocument/2006/relationships/hyperlink" Target="https://new.land.naver.com/complexes/36?ms=2AfAQG,3zprE6,17&amp;a=APT:ABYG:JGC&amp;b=A1:B1&amp;e=RETAIL&amp;h=34&amp;i=132&amp;l=198&amp;ad=true" TargetMode="External" Id="rId317"/><Relationship Type="http://schemas.openxmlformats.org/officeDocument/2006/relationships/hyperlink" Target="https://new.land.naver.com/complexes/1035?ms=2AfAQG,3zprE6,17&amp;a=APT:ABYG:JGC&amp;b=A1:B1&amp;e=RETAIL&amp;h=34&amp;i=132&amp;l=198&amp;ad=true" TargetMode="External" Id="rId318"/><Relationship Type="http://schemas.openxmlformats.org/officeDocument/2006/relationships/hyperlink" Target="https://new.land.naver.com/complexes/1035?ms=2AfAQG,3zprE6,17&amp;a=APT:ABYG:JGC&amp;b=A1:B1&amp;e=RETAIL&amp;h=34&amp;i=132&amp;l=198&amp;ad=true" TargetMode="External" Id="rId319"/><Relationship Type="http://schemas.openxmlformats.org/officeDocument/2006/relationships/hyperlink" Target="https://new.land.naver.com/complexes/145432?ms=2AfAQG,3zprE6,17&amp;a=APT:ABYG:JGC&amp;b=A1:B1&amp;e=RETAIL&amp;h=34&amp;i=132&amp;l=198&amp;ad=true" TargetMode="External" Id="rId320"/><Relationship Type="http://schemas.openxmlformats.org/officeDocument/2006/relationships/hyperlink" Target="https://new.land.naver.com/complexes/145432?ms=2AfAQG,3zprE6,17&amp;a=APT:ABYG:JGC&amp;b=A1:B1&amp;e=RETAIL&amp;h=34&amp;i=132&amp;l=198&amp;ad=true" TargetMode="External" Id="rId321"/><Relationship Type="http://schemas.openxmlformats.org/officeDocument/2006/relationships/hyperlink" Target="https://new.land.naver.com/complexes/145432?ms=2AfAQG,3zprE6,17&amp;a=APT:ABYG:JGC&amp;b=A1:B1&amp;e=RETAIL&amp;h=34&amp;i=132&amp;l=198&amp;ad=true" TargetMode="External" Id="rId322"/><Relationship Type="http://schemas.openxmlformats.org/officeDocument/2006/relationships/hyperlink" Target="https://new.land.naver.com/complexes/103305?ms=2AfAQG,3zprE6,17&amp;a=APT:ABYG:JGC&amp;b=A1:B1&amp;e=RETAIL&amp;h=34&amp;i=132&amp;l=198&amp;ad=true" TargetMode="External" Id="rId323"/><Relationship Type="http://schemas.openxmlformats.org/officeDocument/2006/relationships/hyperlink" Target="https://new.land.naver.com/complexes/103305?ms=2AfAQG,3zprE6,17&amp;a=APT:ABYG:JGC&amp;b=A1:B1&amp;e=RETAIL&amp;h=34&amp;i=132&amp;l=198&amp;ad=true" TargetMode="External" Id="rId324"/><Relationship Type="http://schemas.openxmlformats.org/officeDocument/2006/relationships/hyperlink" Target="https://new.land.naver.com/complexes/103305?ms=2AfAQG,3zprE6,17&amp;a=APT:ABYG:JGC&amp;b=A1:B1&amp;e=RETAIL&amp;h=34&amp;i=132&amp;l=198&amp;ad=true" TargetMode="External" Id="rId325"/><Relationship Type="http://schemas.openxmlformats.org/officeDocument/2006/relationships/hyperlink" Target="https://new.land.naver.com/complexes/103305?ms=2AfAQG,3zprE6,17&amp;a=APT:ABYG:JGC&amp;b=A1:B1&amp;e=RETAIL&amp;h=34&amp;i=132&amp;l=198&amp;ad=true" TargetMode="External" Id="rId326"/><Relationship Type="http://schemas.openxmlformats.org/officeDocument/2006/relationships/hyperlink" Target="https://new.land.naver.com/complexes/103305?ms=2AfAQG,3zprE6,17&amp;a=APT:ABYG:JGC&amp;b=A1:B1&amp;e=RETAIL&amp;h=34&amp;i=132&amp;l=198&amp;ad=true" TargetMode="External" Id="rId327"/><Relationship Type="http://schemas.openxmlformats.org/officeDocument/2006/relationships/hyperlink" Target="https://new.land.naver.com/complexes/15636?ms=2AfAQG,3zprE6,17&amp;a=APT:ABYG:JGC&amp;b=A1:B1&amp;e=RETAIL&amp;h=34&amp;i=132&amp;l=198&amp;ad=true" TargetMode="External" Id="rId328"/><Relationship Type="http://schemas.openxmlformats.org/officeDocument/2006/relationships/hyperlink" Target="https://new.land.naver.com/complexes/15636?ms=2AfAQG,3zprE6,17&amp;a=APT:ABYG:JGC&amp;b=A1:B1&amp;e=RETAIL&amp;h=34&amp;i=132&amp;l=198&amp;ad=true" TargetMode="External" Id="rId329"/><Relationship Type="http://schemas.openxmlformats.org/officeDocument/2006/relationships/hyperlink" Target="https://new.land.naver.com/complexes/15636?ms=2AfAQG,3zprE6,17&amp;a=APT:ABYG:JGC&amp;b=A1:B1&amp;e=RETAIL&amp;h=34&amp;i=132&amp;l=198&amp;ad=true" TargetMode="External" Id="rId330"/><Relationship Type="http://schemas.openxmlformats.org/officeDocument/2006/relationships/hyperlink" Target="https://new.land.naver.com/complexes/15636?ms=2AfAQG,3zprE6,17&amp;a=APT:ABYG:JGC&amp;b=A1:B1&amp;e=RETAIL&amp;h=34&amp;i=132&amp;l=198&amp;ad=true" TargetMode="External" Id="rId331"/><Relationship Type="http://schemas.openxmlformats.org/officeDocument/2006/relationships/hyperlink" Target="https://new.land.naver.com/complexes/15636?ms=2AfAQG,3zprE6,17&amp;a=APT:ABYG:JGC&amp;b=A1:B1&amp;e=RETAIL&amp;h=34&amp;i=132&amp;l=198&amp;ad=true" TargetMode="External" Id="rId332"/><Relationship Type="http://schemas.openxmlformats.org/officeDocument/2006/relationships/hyperlink" Target="https://new.land.naver.com/complexes/3158?ms=2AfAQG,3zprE6,17&amp;a=APT:ABYG:JGC&amp;b=A1:B1&amp;e=RETAIL&amp;h=34&amp;i=132&amp;l=198&amp;ad=true" TargetMode="External" Id="rId333"/><Relationship Type="http://schemas.openxmlformats.org/officeDocument/2006/relationships/hyperlink" Target="https://new.land.naver.com/complexes/3158?ms=2AfAQG,3zprE6,17&amp;a=APT:ABYG:JGC&amp;b=A1:B1&amp;e=RETAIL&amp;h=34&amp;i=132&amp;l=198&amp;ad=true" TargetMode="External" Id="rId334"/><Relationship Type="http://schemas.openxmlformats.org/officeDocument/2006/relationships/hyperlink" Target="https://new.land.naver.com/complexes/3158?ms=2AfAQG,3zprE6,17&amp;a=APT:ABYG:JGC&amp;b=A1:B1&amp;e=RETAIL&amp;h=34&amp;i=132&amp;l=198&amp;ad=true" TargetMode="External" Id="rId335"/><Relationship Type="http://schemas.openxmlformats.org/officeDocument/2006/relationships/hyperlink" Target="https://new.land.naver.com/complexes/3158?ms=2AfAQG,3zprE6,17&amp;a=APT:ABYG:JGC&amp;b=A1:B1&amp;e=RETAIL&amp;h=34&amp;i=132&amp;l=198&amp;ad=true" TargetMode="External" Id="rId336"/><Relationship Type="http://schemas.openxmlformats.org/officeDocument/2006/relationships/hyperlink" Target="https://new.land.naver.com/complexes/3158?ms=2AfAQG,3zprE6,17&amp;a=APT:ABYG:JGC&amp;b=A1:B1&amp;e=RETAIL&amp;h=34&amp;i=132&amp;l=198&amp;ad=true" TargetMode="External" Id="rId337"/><Relationship Type="http://schemas.openxmlformats.org/officeDocument/2006/relationships/hyperlink" Target="https://new.land.naver.com/complexes/3158?ms=2AfAQG,3zprE6,17&amp;a=APT:ABYG:JGC&amp;b=A1:B1&amp;e=RETAIL&amp;h=34&amp;i=132&amp;l=198&amp;ad=true" TargetMode="External" Id="rId338"/><Relationship Type="http://schemas.openxmlformats.org/officeDocument/2006/relationships/hyperlink" Target="https://new.land.naver.com/complexes/22159?ms=2AfAQG,3zprE6,17&amp;a=APT:ABYG:JGC&amp;b=A1:B1&amp;e=RETAIL&amp;h=34&amp;i=132&amp;l=198&amp;ad=true" TargetMode="External" Id="rId339"/><Relationship Type="http://schemas.openxmlformats.org/officeDocument/2006/relationships/hyperlink" Target="https://new.land.naver.com/complexes/22159?ms=2AfAQG,3zprE6,17&amp;a=APT:ABYG:JGC&amp;b=A1:B1&amp;e=RETAIL&amp;h=34&amp;i=132&amp;l=198&amp;ad=true" TargetMode="External" Id="rId340"/><Relationship Type="http://schemas.openxmlformats.org/officeDocument/2006/relationships/hyperlink" Target="https://new.land.naver.com/complexes/10857?ms=2AfAQG,3zprE6,17&amp;a=APT:ABYG:JGC&amp;b=A1:B1&amp;e=RETAIL&amp;h=34&amp;i=132&amp;l=198&amp;ad=true" TargetMode="External" Id="rId341"/><Relationship Type="http://schemas.openxmlformats.org/officeDocument/2006/relationships/hyperlink" Target="https://new.land.naver.com/complexes/10857?ms=2AfAQG,3zprE6,17&amp;a=APT:ABYG:JGC&amp;b=A1:B1&amp;e=RETAIL&amp;h=34&amp;i=132&amp;l=198&amp;ad=true" TargetMode="External" Id="rId342"/><Relationship Type="http://schemas.openxmlformats.org/officeDocument/2006/relationships/hyperlink" Target="https://new.land.naver.com/complexes/10857?ms=2AfAQG,3zprE6,17&amp;a=APT:ABYG:JGC&amp;b=A1:B1&amp;e=RETAIL&amp;h=34&amp;i=132&amp;l=198&amp;ad=true" TargetMode="External" Id="rId343"/><Relationship Type="http://schemas.openxmlformats.org/officeDocument/2006/relationships/hyperlink" Target="https://new.land.naver.com/complexes/3331?ms=2AfAQG,3zprE6,17&amp;a=APT:ABYG:JGC&amp;b=A1:B1&amp;e=RETAIL&amp;h=34&amp;i=132&amp;l=198&amp;ad=true" TargetMode="External" Id="rId344"/><Relationship Type="http://schemas.openxmlformats.org/officeDocument/2006/relationships/hyperlink" Target="https://new.land.naver.com/complexes/3331?ms=2AfAQG,3zprE6,17&amp;a=APT:ABYG:JGC&amp;b=A1:B1&amp;e=RETAIL&amp;h=34&amp;i=132&amp;l=198&amp;ad=true" TargetMode="External" Id="rId345"/><Relationship Type="http://schemas.openxmlformats.org/officeDocument/2006/relationships/hyperlink" Target="https://new.land.naver.com/complexes/3331?ms=2AfAQG,3zprE6,17&amp;a=APT:ABYG:JGC&amp;b=A1:B1&amp;e=RETAIL&amp;h=34&amp;i=132&amp;l=198&amp;ad=true" TargetMode="External" Id="rId346"/><Relationship Type="http://schemas.openxmlformats.org/officeDocument/2006/relationships/hyperlink" Target="https://new.land.naver.com/complexes/3331?ms=2AfAQG,3zprE6,17&amp;a=APT:ABYG:JGC&amp;b=A1:B1&amp;e=RETAIL&amp;h=34&amp;i=132&amp;l=198&amp;ad=true" TargetMode="External" Id="rId347"/><Relationship Type="http://schemas.openxmlformats.org/officeDocument/2006/relationships/hyperlink" Target="https://new.land.naver.com/complexes/131485?ms=2AfAQG,3zprE6,17&amp;a=APT:ABYG:JGC&amp;b=A1:B1&amp;e=RETAIL&amp;h=34&amp;i=132&amp;l=198&amp;ad=true" TargetMode="External" Id="rId348"/><Relationship Type="http://schemas.openxmlformats.org/officeDocument/2006/relationships/hyperlink" Target="https://new.land.naver.com/complexes/131485?ms=2AfAQG,3zprE6,17&amp;a=APT:ABYG:JGC&amp;b=A1:B1&amp;e=RETAIL&amp;h=34&amp;i=132&amp;l=198&amp;ad=true" TargetMode="External" Id="rId349"/><Relationship Type="http://schemas.openxmlformats.org/officeDocument/2006/relationships/hyperlink" Target="https://new.land.naver.com/complexes/131485?ms=2AfAQG,3zprE6,17&amp;a=APT:ABYG:JGC&amp;b=A1:B1&amp;e=RETAIL&amp;h=34&amp;i=132&amp;l=198&amp;ad=true" TargetMode="External" Id="rId350"/><Relationship Type="http://schemas.openxmlformats.org/officeDocument/2006/relationships/hyperlink" Target="https://new.land.naver.com/complexes/131485?ms=2AfAQG,3zprE6,17&amp;a=APT:ABYG:JGC&amp;b=A1:B1&amp;e=RETAIL&amp;h=34&amp;i=132&amp;l=198&amp;ad=true" TargetMode="External" Id="rId351"/><Relationship Type="http://schemas.openxmlformats.org/officeDocument/2006/relationships/hyperlink" Target="https://new.land.naver.com/complexes/22555?ms=2AfAQG,3zprE6,17&amp;a=APT:ABYG:JGC&amp;b=A1:B1&amp;e=RETAIL&amp;h=34&amp;i=132&amp;l=198&amp;ad=true" TargetMode="External" Id="rId352"/><Relationship Type="http://schemas.openxmlformats.org/officeDocument/2006/relationships/hyperlink" Target="https://new.land.naver.com/complexes/22555?ms=2AfAQG,3zprE6,17&amp;a=APT:ABYG:JGC&amp;b=A1:B1&amp;e=RETAIL&amp;h=34&amp;i=132&amp;l=198&amp;ad=true" TargetMode="External" Id="rId353"/><Relationship Type="http://schemas.openxmlformats.org/officeDocument/2006/relationships/hyperlink" Target="https://new.land.naver.com/complexes/22555?ms=2AfAQG,3zprE6,17&amp;a=APT:ABYG:JGC&amp;b=A1:B1&amp;e=RETAIL&amp;h=34&amp;i=132&amp;l=198&amp;ad=true" TargetMode="External" Id="rId354"/><Relationship Type="http://schemas.openxmlformats.org/officeDocument/2006/relationships/hyperlink" Target="https://new.land.naver.com/complexes/22555?ms=2AfAQG,3zprE6,17&amp;a=APT:ABYG:JGC&amp;b=A1:B1&amp;e=RETAIL&amp;h=34&amp;i=132&amp;l=198&amp;ad=true" TargetMode="External" Id="rId355"/><Relationship Type="http://schemas.openxmlformats.org/officeDocument/2006/relationships/hyperlink" Target="https://new.land.naver.com/complexes/10780?ms=2AfAQG,3zprE6,17&amp;a=APT:ABYG:JGC&amp;b=A1:B1&amp;e=RETAIL&amp;h=34&amp;i=132&amp;l=198&amp;ad=true" TargetMode="External" Id="rId356"/><Relationship Type="http://schemas.openxmlformats.org/officeDocument/2006/relationships/hyperlink" Target="https://new.land.naver.com/complexes/10780?ms=2AfAQG,3zprE6,17&amp;a=APT:ABYG:JGC&amp;b=A1:B1&amp;e=RETAIL&amp;h=34&amp;i=132&amp;l=198&amp;ad=true" TargetMode="External" Id="rId357"/><Relationship Type="http://schemas.openxmlformats.org/officeDocument/2006/relationships/hyperlink" Target="https://new.land.naver.com/complexes/44?ms=2AfAQG,3zprE6,17&amp;a=APT:ABYG:JGC&amp;b=A1:B1&amp;e=RETAIL&amp;h=34&amp;i=132&amp;l=198&amp;ad=true" TargetMode="External" Id="rId358"/><Relationship Type="http://schemas.openxmlformats.org/officeDocument/2006/relationships/hyperlink" Target="https://new.land.naver.com/complexes/44?ms=2AfAQG,3zprE6,17&amp;a=APT:ABYG:JGC&amp;b=A1:B1&amp;e=RETAIL&amp;h=34&amp;i=132&amp;l=198&amp;ad=true" TargetMode="External" Id="rId359"/><Relationship Type="http://schemas.openxmlformats.org/officeDocument/2006/relationships/hyperlink" Target="https://new.land.naver.com/complexes/44?ms=2AfAQG,3zprE6,17&amp;a=APT:ABYG:JGC&amp;b=A1:B1&amp;e=RETAIL&amp;h=34&amp;i=132&amp;l=198&amp;ad=true" TargetMode="External" Id="rId360"/><Relationship Type="http://schemas.openxmlformats.org/officeDocument/2006/relationships/hyperlink" Target="https://new.land.naver.com/complexes/44?ms=2AfAQG,3zprE6,17&amp;a=APT:ABYG:JGC&amp;b=A1:B1&amp;e=RETAIL&amp;h=34&amp;i=132&amp;l=198&amp;ad=true" TargetMode="External" Id="rId361"/><Relationship Type="http://schemas.openxmlformats.org/officeDocument/2006/relationships/hyperlink" Target="https://new.land.naver.com/complexes/44?ms=2AfAQG,3zprE6,17&amp;a=APT:ABYG:JGC&amp;b=A1:B1&amp;e=RETAIL&amp;h=34&amp;i=132&amp;l=198&amp;ad=true" TargetMode="External" Id="rId362"/><Relationship Type="http://schemas.openxmlformats.org/officeDocument/2006/relationships/hyperlink" Target="https://new.land.naver.com/complexes/1038?ms=2AfAQG,3zprE6,17&amp;a=APT:ABYG:JGC&amp;b=A1:B1&amp;e=RETAIL&amp;h=34&amp;i=132&amp;l=198&amp;ad=true" TargetMode="External" Id="rId363"/><Relationship Type="http://schemas.openxmlformats.org/officeDocument/2006/relationships/hyperlink" Target="https://new.land.naver.com/complexes/1038?ms=2AfAQG,3zprE6,17&amp;a=APT:ABYG:JGC&amp;b=A1:B1&amp;e=RETAIL&amp;h=34&amp;i=132&amp;l=198&amp;ad=true" TargetMode="External" Id="rId364"/><Relationship Type="http://schemas.openxmlformats.org/officeDocument/2006/relationships/hyperlink" Target="https://new.land.naver.com/complexes/1038?ms=2AfAQG,3zprE6,17&amp;a=APT:ABYG:JGC&amp;b=A1:B1&amp;e=RETAIL&amp;h=34&amp;i=132&amp;l=198&amp;ad=true" TargetMode="External" Id="rId365"/><Relationship Type="http://schemas.openxmlformats.org/officeDocument/2006/relationships/hyperlink" Target="https://new.land.naver.com/complexes/1038?ms=2AfAQG,3zprE6,17&amp;a=APT:ABYG:JGC&amp;b=A1:B1&amp;e=RETAIL&amp;h=34&amp;i=132&amp;l=198&amp;ad=true" TargetMode="External" Id="rId366"/><Relationship Type="http://schemas.openxmlformats.org/officeDocument/2006/relationships/hyperlink" Target="https://new.land.naver.com/complexes/1038?ms=2AfAQG,3zprE6,17&amp;a=APT:ABYG:JGC&amp;b=A1:B1&amp;e=RETAIL&amp;h=34&amp;i=132&amp;l=198&amp;ad=true" TargetMode="External" Id="rId367"/><Relationship Type="http://schemas.openxmlformats.org/officeDocument/2006/relationships/hyperlink" Target="https://new.land.naver.com/complexes/42?ms=2AfAQG,3zprE6,17&amp;a=APT:ABYG:JGC&amp;b=A1:B1&amp;e=RETAIL&amp;h=34&amp;i=132&amp;l=198&amp;ad=true" TargetMode="External" Id="rId368"/><Relationship Type="http://schemas.openxmlformats.org/officeDocument/2006/relationships/hyperlink" Target="https://new.land.naver.com/complexes/42?ms=2AfAQG,3zprE6,17&amp;a=APT:ABYG:JGC&amp;b=A1:B1&amp;e=RETAIL&amp;h=34&amp;i=132&amp;l=198&amp;ad=true" TargetMode="External" Id="rId369"/><Relationship Type="http://schemas.openxmlformats.org/officeDocument/2006/relationships/hyperlink" Target="https://new.land.naver.com/complexes/3330?ms=2AfAQG,3zprE6,17&amp;a=APT:ABYG:JGC&amp;b=A1:B1&amp;e=RETAIL&amp;h=34&amp;i=132&amp;l=198&amp;ad=true" TargetMode="External" Id="rId370"/><Relationship Type="http://schemas.openxmlformats.org/officeDocument/2006/relationships/hyperlink" Target="https://new.land.naver.com/complexes/3330?ms=2AfAQG,3zprE6,17&amp;a=APT:ABYG:JGC&amp;b=A1:B1&amp;e=RETAIL&amp;h=34&amp;i=132&amp;l=198&amp;ad=true" TargetMode="External" Id="rId371"/><Relationship Type="http://schemas.openxmlformats.org/officeDocument/2006/relationships/hyperlink" Target="https://new.land.naver.com/complexes/3330?ms=2AfAQG,3zprE6,17&amp;a=APT:ABYG:JGC&amp;b=A1:B1&amp;e=RETAIL&amp;h=34&amp;i=132&amp;l=198&amp;ad=true" TargetMode="External" Id="rId372"/><Relationship Type="http://schemas.openxmlformats.org/officeDocument/2006/relationships/hyperlink" Target="https://new.land.naver.com/complexes/3330?ms=2AfAQG,3zprE6,17&amp;a=APT:ABYG:JGC&amp;b=A1:B1&amp;e=RETAIL&amp;h=34&amp;i=132&amp;l=198&amp;ad=true" TargetMode="External" Id="rId373"/><Relationship Type="http://schemas.openxmlformats.org/officeDocument/2006/relationships/hyperlink" Target="https://new.land.naver.com/complexes/3330?ms=2AfAQG,3zprE6,17&amp;a=APT:ABYG:JGC&amp;b=A1:B1&amp;e=RETAIL&amp;h=34&amp;i=132&amp;l=198&amp;ad=true" TargetMode="External" Id="rId374"/><Relationship Type="http://schemas.openxmlformats.org/officeDocument/2006/relationships/hyperlink" Target="https://new.land.naver.com/complexes/3330?ms=2AfAQG,3zprE6,17&amp;a=APT:ABYG:JGC&amp;b=A1:B1&amp;e=RETAIL&amp;h=34&amp;i=132&amp;l=198&amp;ad=true" TargetMode="External" Id="rId375"/><Relationship Type="http://schemas.openxmlformats.org/officeDocument/2006/relationships/hyperlink" Target="https://new.land.naver.com/complexes/3330?ms=2AfAQG,3zprE6,17&amp;a=APT:ABYG:JGC&amp;b=A1:B1&amp;e=RETAIL&amp;h=34&amp;i=132&amp;l=198&amp;ad=true" TargetMode="External" Id="rId376"/><Relationship Type="http://schemas.openxmlformats.org/officeDocument/2006/relationships/hyperlink" Target="https://new.land.naver.com/complexes/3330?ms=2AfAQG,3zprE6,17&amp;a=APT:ABYG:JGC&amp;b=A1:B1&amp;e=RETAIL&amp;h=34&amp;i=132&amp;l=198&amp;ad=true" TargetMode="External" Id="rId377"/><Relationship Type="http://schemas.openxmlformats.org/officeDocument/2006/relationships/hyperlink" Target="https://new.land.naver.com/complexes/3330?ms=2AfAQG,3zprE6,17&amp;a=APT:ABYG:JGC&amp;b=A1:B1&amp;e=RETAIL&amp;h=34&amp;i=132&amp;l=198&amp;ad=true" TargetMode="External" Id="rId378"/><Relationship Type="http://schemas.openxmlformats.org/officeDocument/2006/relationships/hyperlink" Target="https://new.land.naver.com/complexes/3330?ms=2AfAQG,3zprE6,17&amp;a=APT:ABYG:JGC&amp;b=A1:B1&amp;e=RETAIL&amp;h=34&amp;i=132&amp;l=198&amp;ad=true" TargetMode="External" Id="rId379"/></Relationships>
</file>

<file path=xl/worksheets/_rels/sheet9.xml.rels><Relationships xmlns="http://schemas.openxmlformats.org/package/2006/relationships"><Relationship Type="http://schemas.openxmlformats.org/officeDocument/2006/relationships/hyperlink" Target="https://new.land.naver.com/complexes/27575?ms=2AfAQG,3zprE6,17&amp;a=APT:ABYG:JGC&amp;b=A1:B1&amp;e=RETAIL&amp;h=34&amp;i=132&amp;l=198&amp;ad=true" TargetMode="External" Id="rId1"/><Relationship Type="http://schemas.openxmlformats.org/officeDocument/2006/relationships/hyperlink" Target="https://new.land.naver.com/complexes/27575?ms=2AfAQG,3zprE6,17&amp;a=APT:ABYG:JGC&amp;b=A1:B1&amp;e=RETAIL&amp;h=34&amp;i=132&amp;l=198&amp;ad=true" TargetMode="External" Id="rId2"/><Relationship Type="http://schemas.openxmlformats.org/officeDocument/2006/relationships/hyperlink" Target="https://new.land.naver.com/complexes/27575?ms=2AfAQG,3zprE6,17&amp;a=APT:ABYG:JGC&amp;b=A1:B1&amp;e=RETAIL&amp;h=34&amp;i=132&amp;l=198&amp;ad=true" TargetMode="External" Id="rId3"/><Relationship Type="http://schemas.openxmlformats.org/officeDocument/2006/relationships/hyperlink" Target="https://new.land.naver.com/complexes/100692?ms=2AfAQG,3zprE6,17&amp;a=APT:ABYG:JGC&amp;b=A1:B1&amp;e=RETAIL&amp;h=34&amp;i=132&amp;l=198&amp;ad=true" TargetMode="External" Id="rId4"/><Relationship Type="http://schemas.openxmlformats.org/officeDocument/2006/relationships/hyperlink" Target="https://new.land.naver.com/complexes/100692?ms=2AfAQG,3zprE6,17&amp;a=APT:ABYG:JGC&amp;b=A1:B1&amp;e=RETAIL&amp;h=34&amp;i=132&amp;l=198&amp;ad=true" TargetMode="External" Id="rId5"/><Relationship Type="http://schemas.openxmlformats.org/officeDocument/2006/relationships/hyperlink" Target="https://new.land.naver.com/complexes/100692?ms=2AfAQG,3zprE6,17&amp;a=APT:ABYG:JGC&amp;b=A1:B1&amp;e=RETAIL&amp;h=34&amp;i=132&amp;l=198&amp;ad=true" TargetMode="External" Id="rId6"/><Relationship Type="http://schemas.openxmlformats.org/officeDocument/2006/relationships/hyperlink" Target="https://new.land.naver.com/complexes/100692?ms=2AfAQG,3zprE6,17&amp;a=APT:ABYG:JGC&amp;b=A1:B1&amp;e=RETAIL&amp;h=34&amp;i=132&amp;l=198&amp;ad=true" TargetMode="External" Id="rId7"/><Relationship Type="http://schemas.openxmlformats.org/officeDocument/2006/relationships/hyperlink" Target="https://new.land.naver.com/complexes/110936?ms=2AfAQG,3zprE6,17&amp;a=APT:ABYG:JGC&amp;b=A1:B1&amp;e=RETAIL&amp;h=34&amp;i=132&amp;l=198&amp;ad=true" TargetMode="External" Id="rId8"/><Relationship Type="http://schemas.openxmlformats.org/officeDocument/2006/relationships/hyperlink" Target="https://new.land.naver.com/complexes/110936?ms=2AfAQG,3zprE6,17&amp;a=APT:ABYG:JGC&amp;b=A1:B1&amp;e=RETAIL&amp;h=34&amp;i=132&amp;l=198&amp;ad=true" TargetMode="External" Id="rId9"/><Relationship Type="http://schemas.openxmlformats.org/officeDocument/2006/relationships/hyperlink" Target="https://new.land.naver.com/complexes/110936?ms=2AfAQG,3zprE6,17&amp;a=APT:ABYG:JGC&amp;b=A1:B1&amp;e=RETAIL&amp;h=34&amp;i=132&amp;l=198&amp;ad=true" TargetMode="External" Id="rId10"/><Relationship Type="http://schemas.openxmlformats.org/officeDocument/2006/relationships/hyperlink" Target="https://new.land.naver.com/complexes/110936?ms=2AfAQG,3zprE6,17&amp;a=APT:ABYG:JGC&amp;b=A1:B1&amp;e=RETAIL&amp;h=34&amp;i=132&amp;l=198&amp;ad=true" TargetMode="External" Id="rId11"/><Relationship Type="http://schemas.openxmlformats.org/officeDocument/2006/relationships/hyperlink" Target="https://new.land.naver.com/complexes/1286?ms=2AfAQG,3zprE6,17&amp;a=APT:ABYG:JGC&amp;b=A1:B1&amp;e=RETAIL&amp;h=34&amp;i=132&amp;l=198&amp;ad=true" TargetMode="External" Id="rId12"/><Relationship Type="http://schemas.openxmlformats.org/officeDocument/2006/relationships/hyperlink" Target="https://new.land.naver.com/complexes/1286?ms=2AfAQG,3zprE6,17&amp;a=APT:ABYG:JGC&amp;b=A1:B1&amp;e=RETAIL&amp;h=34&amp;i=132&amp;l=198&amp;ad=true" TargetMode="External" Id="rId13"/><Relationship Type="http://schemas.openxmlformats.org/officeDocument/2006/relationships/hyperlink" Target="https://new.land.naver.com/complexes/1286?ms=2AfAQG,3zprE6,17&amp;a=APT:ABYG:JGC&amp;b=A1:B1&amp;e=RETAIL&amp;h=34&amp;i=132&amp;l=198&amp;ad=true" TargetMode="External" Id="rId14"/><Relationship Type="http://schemas.openxmlformats.org/officeDocument/2006/relationships/hyperlink" Target="https://new.land.naver.com/complexes/100340?ms=2AfAQG,3zprE6,17&amp;a=APT:ABYG:JGC&amp;b=A1:B1&amp;e=RETAIL&amp;h=34&amp;i=132&amp;l=198&amp;ad=true" TargetMode="External" Id="rId15"/><Relationship Type="http://schemas.openxmlformats.org/officeDocument/2006/relationships/hyperlink" Target="https://new.land.naver.com/complexes/100340?ms=2AfAQG,3zprE6,17&amp;a=APT:ABYG:JGC&amp;b=A1:B1&amp;e=RETAIL&amp;h=34&amp;i=132&amp;l=198&amp;ad=true" TargetMode="External" Id="rId16"/><Relationship Type="http://schemas.openxmlformats.org/officeDocument/2006/relationships/hyperlink" Target="https://new.land.naver.com/complexes/100340?ms=2AfAQG,3zprE6,17&amp;a=APT:ABYG:JGC&amp;b=A1:B1&amp;e=RETAIL&amp;h=34&amp;i=132&amp;l=198&amp;ad=true" TargetMode="External" Id="rId17"/><Relationship Type="http://schemas.openxmlformats.org/officeDocument/2006/relationships/hyperlink" Target="https://new.land.naver.com/complexes/10316?ms=2AfAQG,3zprE6,17&amp;a=APT:ABYG:JGC&amp;b=A1:B1&amp;e=RETAIL&amp;h=34&amp;i=132&amp;l=198&amp;ad=true" TargetMode="External" Id="rId18"/><Relationship Type="http://schemas.openxmlformats.org/officeDocument/2006/relationships/hyperlink" Target="https://new.land.naver.com/complexes/10316?ms=2AfAQG,3zprE6,17&amp;a=APT:ABYG:JGC&amp;b=A1:B1&amp;e=RETAIL&amp;h=34&amp;i=132&amp;l=198&amp;ad=true" TargetMode="External" Id="rId19"/><Relationship Type="http://schemas.openxmlformats.org/officeDocument/2006/relationships/hyperlink" Target="https://new.land.naver.com/complexes/10316?ms=2AfAQG,3zprE6,17&amp;a=APT:ABYG:JGC&amp;b=A1:B1&amp;e=RETAIL&amp;h=34&amp;i=132&amp;l=198&amp;ad=true" TargetMode="External" Id="rId20"/><Relationship Type="http://schemas.openxmlformats.org/officeDocument/2006/relationships/hyperlink" Target="https://new.land.naver.com/complexes/100595?ms=2AfAQG,3zprE6,17&amp;a=APT:ABYG:JGC&amp;b=A1:B1&amp;e=RETAIL&amp;h=34&amp;i=132&amp;l=198&amp;ad=true" TargetMode="External" Id="rId21"/><Relationship Type="http://schemas.openxmlformats.org/officeDocument/2006/relationships/hyperlink" Target="https://new.land.naver.com/complexes/100595?ms=2AfAQG,3zprE6,17&amp;a=APT:ABYG:JGC&amp;b=A1:B1&amp;e=RETAIL&amp;h=34&amp;i=132&amp;l=198&amp;ad=true" TargetMode="External" Id="rId22"/><Relationship Type="http://schemas.openxmlformats.org/officeDocument/2006/relationships/hyperlink" Target="https://new.land.naver.com/complexes/100595?ms=2AfAQG,3zprE6,17&amp;a=APT:ABYG:JGC&amp;b=A1:B1&amp;e=RETAIL&amp;h=34&amp;i=132&amp;l=198&amp;ad=true" TargetMode="External" Id="rId23"/><Relationship Type="http://schemas.openxmlformats.org/officeDocument/2006/relationships/hyperlink" Target="https://new.land.naver.com/complexes/100595?ms=2AfAQG,3zprE6,17&amp;a=APT:ABYG:JGC&amp;b=A1:B1&amp;e=RETAIL&amp;h=34&amp;i=132&amp;l=198&amp;ad=true" TargetMode="External" Id="rId24"/><Relationship Type="http://schemas.openxmlformats.org/officeDocument/2006/relationships/hyperlink" Target="https://new.land.naver.com/complexes/10647?ms=2AfAQG,3zprE6,17&amp;a=APT:ABYG:JGC&amp;b=A1:B1&amp;e=RETAIL&amp;h=34&amp;i=132&amp;l=198&amp;ad=true" TargetMode="External" Id="rId25"/><Relationship Type="http://schemas.openxmlformats.org/officeDocument/2006/relationships/hyperlink" Target="https://new.land.naver.com/complexes/10647?ms=2AfAQG,3zprE6,17&amp;a=APT:ABYG:JGC&amp;b=A1:B1&amp;e=RETAIL&amp;h=34&amp;i=132&amp;l=198&amp;ad=true" TargetMode="External" Id="rId26"/><Relationship Type="http://schemas.openxmlformats.org/officeDocument/2006/relationships/hyperlink" Target="https://new.land.naver.com/complexes/10647?ms=2AfAQG,3zprE6,17&amp;a=APT:ABYG:JGC&amp;b=A1:B1&amp;e=RETAIL&amp;h=34&amp;i=132&amp;l=198&amp;ad=true" TargetMode="External" Id="rId27"/><Relationship Type="http://schemas.openxmlformats.org/officeDocument/2006/relationships/hyperlink" Target="https://new.land.naver.com/complexes/10647?ms=2AfAQG,3zprE6,17&amp;a=APT:ABYG:JGC&amp;b=A1:B1&amp;e=RETAIL&amp;h=34&amp;i=132&amp;l=198&amp;ad=true" TargetMode="External" Id="rId28"/><Relationship Type="http://schemas.openxmlformats.org/officeDocument/2006/relationships/hyperlink" Target="https://new.land.naver.com/complexes/547?ms=2AfAQG,3zprE6,17&amp;a=APT:ABYG:JGC&amp;b=A1:B1&amp;e=RETAIL&amp;h=34&amp;i=132&amp;l=198&amp;ad=true" TargetMode="External" Id="rId29"/><Relationship Type="http://schemas.openxmlformats.org/officeDocument/2006/relationships/hyperlink" Target="https://new.land.naver.com/complexes/547?ms=2AfAQG,3zprE6,17&amp;a=APT:ABYG:JGC&amp;b=A1:B1&amp;e=RETAIL&amp;h=34&amp;i=132&amp;l=198&amp;ad=true" TargetMode="External" Id="rId30"/><Relationship Type="http://schemas.openxmlformats.org/officeDocument/2006/relationships/hyperlink" Target="https://new.land.naver.com/complexes/547?ms=2AfAQG,3zprE6,17&amp;a=APT:ABYG:JGC&amp;b=A1:B1&amp;e=RETAIL&amp;h=34&amp;i=132&amp;l=198&amp;ad=true" TargetMode="External" Id="rId31"/><Relationship Type="http://schemas.openxmlformats.org/officeDocument/2006/relationships/hyperlink" Target="https://new.land.naver.com/complexes/547?ms=2AfAQG,3zprE6,17&amp;a=APT:ABYG:JGC&amp;b=A1:B1&amp;e=RETAIL&amp;h=34&amp;i=132&amp;l=198&amp;ad=true" TargetMode="External" Id="rId32"/><Relationship Type="http://schemas.openxmlformats.org/officeDocument/2006/relationships/hyperlink" Target="https://new.land.naver.com/complexes/547?ms=2AfAQG,3zprE6,17&amp;a=APT:ABYG:JGC&amp;b=A1:B1&amp;e=RETAIL&amp;h=34&amp;i=132&amp;l=198&amp;ad=true" TargetMode="External" Id="rId33"/><Relationship Type="http://schemas.openxmlformats.org/officeDocument/2006/relationships/hyperlink" Target="https://new.land.naver.com/complexes/2975?ms=2AfAQG,3zprE6,17&amp;a=APT:ABYG:JGC&amp;b=A1:B1&amp;e=RETAIL&amp;h=34&amp;i=132&amp;l=198&amp;ad=true" TargetMode="External" Id="rId34"/><Relationship Type="http://schemas.openxmlformats.org/officeDocument/2006/relationships/hyperlink" Target="https://new.land.naver.com/complexes/2975?ms=2AfAQG,3zprE6,17&amp;a=APT:ABYG:JGC&amp;b=A1:B1&amp;e=RETAIL&amp;h=34&amp;i=132&amp;l=198&amp;ad=true" TargetMode="External" Id="rId35"/><Relationship Type="http://schemas.openxmlformats.org/officeDocument/2006/relationships/hyperlink" Target="https://new.land.naver.com/complexes/2975?ms=2AfAQG,3zprE6,17&amp;a=APT:ABYG:JGC&amp;b=A1:B1&amp;e=RETAIL&amp;h=34&amp;i=132&amp;l=198&amp;ad=true" TargetMode="External" Id="rId36"/><Relationship Type="http://schemas.openxmlformats.org/officeDocument/2006/relationships/hyperlink" Target="https://new.land.naver.com/complexes/14019?ms=2AfAQG,3zprE6,17&amp;a=APT:ABYG:JGC&amp;b=A1:B1&amp;e=RETAIL&amp;h=34&amp;i=132&amp;l=198&amp;ad=true" TargetMode="External" Id="rId37"/><Relationship Type="http://schemas.openxmlformats.org/officeDocument/2006/relationships/hyperlink" Target="https://new.land.naver.com/complexes/9213?ms=2AfAQG,3zprE6,17&amp;a=APT:ABYG:JGC&amp;b=A1:B1&amp;e=RETAIL&amp;h=34&amp;i=132&amp;l=198&amp;ad=true" TargetMode="External" Id="rId38"/><Relationship Type="http://schemas.openxmlformats.org/officeDocument/2006/relationships/hyperlink" Target="https://new.land.naver.com/complexes/18541?ms=2AfAQG,3zprE6,17&amp;a=APT:ABYG:JGC&amp;b=A1:B1&amp;e=RETAIL&amp;h=34&amp;i=132&amp;l=198&amp;ad=true" TargetMode="External" Id="rId39"/><Relationship Type="http://schemas.openxmlformats.org/officeDocument/2006/relationships/hyperlink" Target="https://new.land.naver.com/complexes/18541?ms=2AfAQG,3zprE6,17&amp;a=APT:ABYG:JGC&amp;b=A1:B1&amp;e=RETAIL&amp;h=34&amp;i=132&amp;l=198&amp;ad=true" TargetMode="External" Id="rId40"/><Relationship Type="http://schemas.openxmlformats.org/officeDocument/2006/relationships/hyperlink" Target="https://new.land.naver.com/complexes/18541?ms=2AfAQG,3zprE6,17&amp;a=APT:ABYG:JGC&amp;b=A1:B1&amp;e=RETAIL&amp;h=34&amp;i=132&amp;l=198&amp;ad=true" TargetMode="External" Id="rId41"/><Relationship Type="http://schemas.openxmlformats.org/officeDocument/2006/relationships/hyperlink" Target="https://new.land.naver.com/complexes/18541?ms=2AfAQG,3zprE6,17&amp;a=APT:ABYG:JGC&amp;b=A1:B1&amp;e=RETAIL&amp;h=34&amp;i=132&amp;l=198&amp;ad=true" TargetMode="External" Id="rId42"/><Relationship Type="http://schemas.openxmlformats.org/officeDocument/2006/relationships/hyperlink" Target="https://new.land.naver.com/complexes/18541?ms=2AfAQG,3zprE6,17&amp;a=APT:ABYG:JGC&amp;b=A1:B1&amp;e=RETAIL&amp;h=34&amp;i=132&amp;l=198&amp;ad=true" TargetMode="External" Id="rId43"/><Relationship Type="http://schemas.openxmlformats.org/officeDocument/2006/relationships/hyperlink" Target="https://new.land.naver.com/complexes/101322?ms=2AfAQG,3zprE6,17&amp;a=APT:ABYG:JGC&amp;b=A1:B1&amp;e=RETAIL&amp;h=34&amp;i=132&amp;l=198&amp;ad=true" TargetMode="External" Id="rId44"/><Relationship Type="http://schemas.openxmlformats.org/officeDocument/2006/relationships/hyperlink" Target="https://new.land.naver.com/complexes/101322?ms=2AfAQG,3zprE6,17&amp;a=APT:ABYG:JGC&amp;b=A1:B1&amp;e=RETAIL&amp;h=34&amp;i=132&amp;l=198&amp;ad=true" TargetMode="External" Id="rId45"/><Relationship Type="http://schemas.openxmlformats.org/officeDocument/2006/relationships/hyperlink" Target="https://new.land.naver.com/complexes/101322?ms=2AfAQG,3zprE6,17&amp;a=APT:ABYG:JGC&amp;b=A1:B1&amp;e=RETAIL&amp;h=34&amp;i=132&amp;l=198&amp;ad=true" TargetMode="External" Id="rId46"/><Relationship Type="http://schemas.openxmlformats.org/officeDocument/2006/relationships/hyperlink" Target="https://new.land.naver.com/complexes/110939?ms=2AfAQG,3zprE6,17&amp;a=APT:ABYG:JGC&amp;b=A1:B1&amp;e=RETAIL&amp;h=34&amp;i=132&amp;l=198&amp;ad=true" TargetMode="External" Id="rId47"/><Relationship Type="http://schemas.openxmlformats.org/officeDocument/2006/relationships/hyperlink" Target="https://new.land.naver.com/complexes/110939?ms=2AfAQG,3zprE6,17&amp;a=APT:ABYG:JGC&amp;b=A1:B1&amp;e=RETAIL&amp;h=34&amp;i=132&amp;l=198&amp;ad=true" TargetMode="External" Id="rId48"/><Relationship Type="http://schemas.openxmlformats.org/officeDocument/2006/relationships/hyperlink" Target="https://new.land.naver.com/complexes/110939?ms=2AfAQG,3zprE6,17&amp;a=APT:ABYG:JGC&amp;b=A1:B1&amp;e=RETAIL&amp;h=34&amp;i=132&amp;l=198&amp;ad=true" TargetMode="External" Id="rId49"/><Relationship Type="http://schemas.openxmlformats.org/officeDocument/2006/relationships/hyperlink" Target="https://new.land.naver.com/complexes/110939?ms=2AfAQG,3zprE6,17&amp;a=APT:ABYG:JGC&amp;b=A1:B1&amp;e=RETAIL&amp;h=34&amp;i=132&amp;l=198&amp;ad=true" TargetMode="External" Id="rId50"/><Relationship Type="http://schemas.openxmlformats.org/officeDocument/2006/relationships/hyperlink" Target="https://new.land.naver.com/complexes/110939?ms=2AfAQG,3zprE6,17&amp;a=APT:ABYG:JGC&amp;b=A1:B1&amp;e=RETAIL&amp;h=34&amp;i=132&amp;l=198&amp;ad=true" TargetMode="External" Id="rId51"/><Relationship Type="http://schemas.openxmlformats.org/officeDocument/2006/relationships/hyperlink" Target="https://new.land.naver.com/complexes/8593?ms=2AfAQG,3zprE6,17&amp;a=APT:ABYG:JGC&amp;b=A1:B1&amp;e=RETAIL&amp;h=34&amp;i=132&amp;l=198&amp;ad=true" TargetMode="External" Id="rId52"/><Relationship Type="http://schemas.openxmlformats.org/officeDocument/2006/relationships/hyperlink" Target="https://new.land.naver.com/complexes/1179?ms=2AfAQG,3zprE6,17&amp;a=APT:ABYG:JGC&amp;b=A1:B1&amp;e=RETAIL&amp;h=34&amp;i=132&amp;l=198&amp;ad=true" TargetMode="External" Id="rId53"/><Relationship Type="http://schemas.openxmlformats.org/officeDocument/2006/relationships/hyperlink" Target="https://new.land.naver.com/complexes/22725?ms=2AfAQG,3zprE6,17&amp;a=APT:ABYG:JGC&amp;b=A1:B1&amp;e=RETAIL&amp;h=34&amp;i=132&amp;l=198&amp;ad=true" TargetMode="External" Id="rId54"/><Relationship Type="http://schemas.openxmlformats.org/officeDocument/2006/relationships/hyperlink" Target="https://new.land.naver.com/complexes/22725?ms=2AfAQG,3zprE6,17&amp;a=APT:ABYG:JGC&amp;b=A1:B1&amp;e=RETAIL&amp;h=34&amp;i=132&amp;l=198&amp;ad=true" TargetMode="External" Id="rId55"/><Relationship Type="http://schemas.openxmlformats.org/officeDocument/2006/relationships/hyperlink" Target="https://new.land.naver.com/complexes/549?ms=2AfAQG,3zprE6,17&amp;a=APT:ABYG:JGC&amp;b=A1:B1&amp;e=RETAIL&amp;h=34&amp;i=132&amp;l=198&amp;ad=true" TargetMode="External" Id="rId56"/><Relationship Type="http://schemas.openxmlformats.org/officeDocument/2006/relationships/hyperlink" Target="https://new.land.naver.com/complexes/549?ms=2AfAQG,3zprE6,17&amp;a=APT:ABYG:JGC&amp;b=A1:B1&amp;e=RETAIL&amp;h=34&amp;i=132&amp;l=198&amp;ad=true" TargetMode="External" Id="rId57"/><Relationship Type="http://schemas.openxmlformats.org/officeDocument/2006/relationships/hyperlink" Target="https://new.land.naver.com/complexes/549?ms=2AfAQG,3zprE6,17&amp;a=APT:ABYG:JGC&amp;b=A1:B1&amp;e=RETAIL&amp;h=34&amp;i=132&amp;l=198&amp;ad=true" TargetMode="External" Id="rId58"/><Relationship Type="http://schemas.openxmlformats.org/officeDocument/2006/relationships/hyperlink" Target="https://new.land.naver.com/complexes/9124?ms=2AfAQG,3zprE6,17&amp;a=APT:ABYG:JGC&amp;b=A1:B1&amp;e=RETAIL&amp;h=34&amp;i=132&amp;l=198&amp;ad=true" TargetMode="External" Id="rId59"/><Relationship Type="http://schemas.openxmlformats.org/officeDocument/2006/relationships/hyperlink" Target="https://new.land.naver.com/complexes/9124?ms=2AfAQG,3zprE6,17&amp;a=APT:ABYG:JGC&amp;b=A1:B1&amp;e=RETAIL&amp;h=34&amp;i=132&amp;l=198&amp;ad=true" TargetMode="External" Id="rId60"/><Relationship Type="http://schemas.openxmlformats.org/officeDocument/2006/relationships/hyperlink" Target="https://new.land.naver.com/complexes/9124?ms=2AfAQG,3zprE6,17&amp;a=APT:ABYG:JGC&amp;b=A1:B1&amp;e=RETAIL&amp;h=34&amp;i=132&amp;l=198&amp;ad=true" TargetMode="External" Id="rId61"/><Relationship Type="http://schemas.openxmlformats.org/officeDocument/2006/relationships/hyperlink" Target="https://new.land.naver.com/complexes/9124?ms=2AfAQG,3zprE6,17&amp;a=APT:ABYG:JGC&amp;b=A1:B1&amp;e=RETAIL&amp;h=34&amp;i=132&amp;l=198&amp;ad=true" TargetMode="External" Id="rId62"/><Relationship Type="http://schemas.openxmlformats.org/officeDocument/2006/relationships/hyperlink" Target="https://new.land.naver.com/complexes/9124?ms=2AfAQG,3zprE6,17&amp;a=APT:ABYG:JGC&amp;b=A1:B1&amp;e=RETAIL&amp;h=34&amp;i=132&amp;l=198&amp;ad=true" TargetMode="External" Id="rId63"/><Relationship Type="http://schemas.openxmlformats.org/officeDocument/2006/relationships/hyperlink" Target="https://new.land.naver.com/complexes/9124?ms=2AfAQG,3zprE6,17&amp;a=APT:ABYG:JGC&amp;b=A1:B1&amp;e=RETAIL&amp;h=34&amp;i=132&amp;l=198&amp;ad=true" TargetMode="External" Id="rId64"/><Relationship Type="http://schemas.openxmlformats.org/officeDocument/2006/relationships/hyperlink" Target="https://new.land.naver.com/complexes/10898?ms=2AfAQG,3zprE6,17&amp;a=APT:ABYG:JGC&amp;b=A1:B1&amp;e=RETAIL&amp;h=34&amp;i=132&amp;l=198&amp;ad=true" TargetMode="External" Id="rId65"/><Relationship Type="http://schemas.openxmlformats.org/officeDocument/2006/relationships/hyperlink" Target="https://new.land.naver.com/complexes/10898?ms=2AfAQG,3zprE6,17&amp;a=APT:ABYG:JGC&amp;b=A1:B1&amp;e=RETAIL&amp;h=34&amp;i=132&amp;l=198&amp;ad=true" TargetMode="External" Id="rId66"/><Relationship Type="http://schemas.openxmlformats.org/officeDocument/2006/relationships/hyperlink" Target="https://new.land.naver.com/complexes/10898?ms=2AfAQG,3zprE6,17&amp;a=APT:ABYG:JGC&amp;b=A1:B1&amp;e=RETAIL&amp;h=34&amp;i=132&amp;l=198&amp;ad=true" TargetMode="External" Id="rId67"/><Relationship Type="http://schemas.openxmlformats.org/officeDocument/2006/relationships/hyperlink" Target="https://new.land.naver.com/complexes/548?ms=2AfAQG,3zprE6,17&amp;a=APT:ABYG:JGC&amp;b=A1:B1&amp;e=RETAIL&amp;h=34&amp;i=132&amp;l=198&amp;ad=true" TargetMode="External" Id="rId68"/><Relationship Type="http://schemas.openxmlformats.org/officeDocument/2006/relationships/hyperlink" Target="https://new.land.naver.com/complexes/548?ms=2AfAQG,3zprE6,17&amp;a=APT:ABYG:JGC&amp;b=A1:B1&amp;e=RETAIL&amp;h=34&amp;i=132&amp;l=198&amp;ad=true" TargetMode="External" Id="rId69"/><Relationship Type="http://schemas.openxmlformats.org/officeDocument/2006/relationships/hyperlink" Target="https://new.land.naver.com/complexes/548?ms=2AfAQG,3zprE6,17&amp;a=APT:ABYG:JGC&amp;b=A1:B1&amp;e=RETAIL&amp;h=34&amp;i=132&amp;l=198&amp;ad=true" TargetMode="External" Id="rId70"/><Relationship Type="http://schemas.openxmlformats.org/officeDocument/2006/relationships/hyperlink" Target="https://new.land.naver.com/complexes/8828?ms=2AfAQG,3zprE6,17&amp;a=APT:ABYG:JGC&amp;b=A1:B1&amp;e=RETAIL&amp;h=34&amp;i=132&amp;l=198&amp;ad=true" TargetMode="External" Id="rId71"/><Relationship Type="http://schemas.openxmlformats.org/officeDocument/2006/relationships/hyperlink" Target="https://new.land.naver.com/complexes/8828?ms=2AfAQG,3zprE6,17&amp;a=APT:ABYG:JGC&amp;b=A1:B1&amp;e=RETAIL&amp;h=34&amp;i=132&amp;l=198&amp;ad=true" TargetMode="External" Id="rId72"/><Relationship Type="http://schemas.openxmlformats.org/officeDocument/2006/relationships/hyperlink" Target="https://new.land.naver.com/complexes/877?ms=2AfAQG,3zprE6,17&amp;a=APT:ABYG:JGC&amp;b=A1:B1&amp;e=RETAIL&amp;h=34&amp;i=132&amp;l=198&amp;ad=true" TargetMode="External" Id="rId73"/><Relationship Type="http://schemas.openxmlformats.org/officeDocument/2006/relationships/hyperlink" Target="https://new.land.naver.com/complexes/877?ms=2AfAQG,3zprE6,17&amp;a=APT:ABYG:JGC&amp;b=A1:B1&amp;e=RETAIL&amp;h=34&amp;i=132&amp;l=198&amp;ad=true" TargetMode="External" Id="rId74"/><Relationship Type="http://schemas.openxmlformats.org/officeDocument/2006/relationships/hyperlink" Target="https://new.land.naver.com/complexes/877?ms=2AfAQG,3zprE6,17&amp;a=APT:ABYG:JGC&amp;b=A1:B1&amp;e=RETAIL&amp;h=34&amp;i=132&amp;l=198&amp;ad=true" TargetMode="External" Id="rId75"/><Relationship Type="http://schemas.openxmlformats.org/officeDocument/2006/relationships/hyperlink" Target="https://new.land.naver.com/complexes/877?ms=2AfAQG,3zprE6,17&amp;a=APT:ABYG:JGC&amp;b=A1:B1&amp;e=RETAIL&amp;h=34&amp;i=132&amp;l=198&amp;ad=true" TargetMode="External" Id="rId76"/><Relationship Type="http://schemas.openxmlformats.org/officeDocument/2006/relationships/hyperlink" Target="https://new.land.naver.com/complexes/1173?ms=2AfAQG,3zprE6,17&amp;a=APT:ABYG:JGC&amp;b=A1:B1&amp;e=RETAIL&amp;h=34&amp;i=132&amp;l=198&amp;ad=true" TargetMode="External" Id="rId77"/><Relationship Type="http://schemas.openxmlformats.org/officeDocument/2006/relationships/hyperlink" Target="https://new.land.naver.com/complexes/104190?ms=2AfAQG,3zprE6,17&amp;a=APT:ABYG:JGC&amp;b=A1:B1&amp;e=RETAIL&amp;h=34&amp;i=132&amp;l=198&amp;ad=true" TargetMode="External" Id="rId78"/><Relationship Type="http://schemas.openxmlformats.org/officeDocument/2006/relationships/hyperlink" Target="https://new.land.naver.com/complexes/104190?ms=2AfAQG,3zprE6,17&amp;a=APT:ABYG:JGC&amp;b=A1:B1&amp;e=RETAIL&amp;h=34&amp;i=132&amp;l=198&amp;ad=true" TargetMode="External" Id="rId79"/><Relationship Type="http://schemas.openxmlformats.org/officeDocument/2006/relationships/hyperlink" Target="https://new.land.naver.com/complexes/104190?ms=2AfAQG,3zprE6,17&amp;a=APT:ABYG:JGC&amp;b=A1:B1&amp;e=RETAIL&amp;h=34&amp;i=132&amp;l=198&amp;ad=true" TargetMode="External" Id="rId80"/><Relationship Type="http://schemas.openxmlformats.org/officeDocument/2006/relationships/hyperlink" Target="https://new.land.naver.com/complexes/104190?ms=2AfAQG,3zprE6,17&amp;a=APT:ABYG:JGC&amp;b=A1:B1&amp;e=RETAIL&amp;h=34&amp;i=132&amp;l=198&amp;ad=true" TargetMode="External" Id="rId81"/><Relationship Type="http://schemas.openxmlformats.org/officeDocument/2006/relationships/hyperlink" Target="https://new.land.naver.com/complexes/104190?ms=2AfAQG,3zprE6,17&amp;a=APT:ABYG:JGC&amp;b=A1:B1&amp;e=RETAIL&amp;h=34&amp;i=132&amp;l=198&amp;ad=true" TargetMode="External" Id="rId82"/><Relationship Type="http://schemas.openxmlformats.org/officeDocument/2006/relationships/hyperlink" Target="https://new.land.naver.com/complexes/104190?ms=2AfAQG,3zprE6,17&amp;a=APT:ABYG:JGC&amp;b=A1:B1&amp;e=RETAIL&amp;h=34&amp;i=132&amp;l=198&amp;ad=true" TargetMode="External" Id="rId83"/><Relationship Type="http://schemas.openxmlformats.org/officeDocument/2006/relationships/hyperlink" Target="https://new.land.naver.com/complexes/3418?ms=2AfAQG,3zprE6,17&amp;a=APT:ABYG:JGC&amp;b=A1:B1&amp;e=RETAIL&amp;h=34&amp;i=132&amp;l=198&amp;ad=true" TargetMode="External" Id="rId84"/><Relationship Type="http://schemas.openxmlformats.org/officeDocument/2006/relationships/hyperlink" Target="https://new.land.naver.com/complexes/3418?ms=2AfAQG,3zprE6,17&amp;a=APT:ABYG:JGC&amp;b=A1:B1&amp;e=RETAIL&amp;h=34&amp;i=132&amp;l=198&amp;ad=true" TargetMode="External" Id="rId85"/><Relationship Type="http://schemas.openxmlformats.org/officeDocument/2006/relationships/hyperlink" Target="https://new.land.naver.com/complexes/27620?ms=2AfAQG,3zprE6,17&amp;a=APT:ABYG:JGC&amp;b=A1:B1&amp;e=RETAIL&amp;h=34&amp;i=132&amp;l=198&amp;ad=true" TargetMode="External" Id="rId86"/><Relationship Type="http://schemas.openxmlformats.org/officeDocument/2006/relationships/hyperlink" Target="https://new.land.naver.com/complexes/27620?ms=2AfAQG,3zprE6,17&amp;a=APT:ABYG:JGC&amp;b=A1:B1&amp;e=RETAIL&amp;h=34&amp;i=132&amp;l=198&amp;ad=true" TargetMode="External" Id="rId87"/><Relationship Type="http://schemas.openxmlformats.org/officeDocument/2006/relationships/hyperlink" Target="https://new.land.naver.com/complexes/27620?ms=2AfAQG,3zprE6,17&amp;a=APT:ABYG:JGC&amp;b=A1:B1&amp;e=RETAIL&amp;h=34&amp;i=132&amp;l=198&amp;ad=true" TargetMode="External" Id="rId88"/><Relationship Type="http://schemas.openxmlformats.org/officeDocument/2006/relationships/hyperlink" Target="https://new.land.naver.com/complexes/27620?ms=2AfAQG,3zprE6,17&amp;a=APT:ABYG:JGC&amp;b=A1:B1&amp;e=RETAIL&amp;h=34&amp;i=132&amp;l=198&amp;ad=true" TargetMode="External" Id="rId89"/><Relationship Type="http://schemas.openxmlformats.org/officeDocument/2006/relationships/hyperlink" Target="https://new.land.naver.com/complexes/27620?ms=2AfAQG,3zprE6,17&amp;a=APT:ABYG:JGC&amp;b=A1:B1&amp;e=RETAIL&amp;h=34&amp;i=132&amp;l=198&amp;ad=true" TargetMode="External" Id="rId90"/><Relationship Type="http://schemas.openxmlformats.org/officeDocument/2006/relationships/hyperlink" Target="https://new.land.naver.com/complexes/27620?ms=2AfAQG,3zprE6,17&amp;a=APT:ABYG:JGC&amp;b=A1:B1&amp;e=RETAIL&amp;h=34&amp;i=132&amp;l=198&amp;ad=true" TargetMode="External" Id="rId91"/><Relationship Type="http://schemas.openxmlformats.org/officeDocument/2006/relationships/hyperlink" Target="https://new.land.naver.com/complexes/27620?ms=2AfAQG,3zprE6,17&amp;a=APT:ABYG:JGC&amp;b=A1:B1&amp;e=RETAIL&amp;h=34&amp;i=132&amp;l=198&amp;ad=true" TargetMode="External" Id="rId92"/><Relationship Type="http://schemas.openxmlformats.org/officeDocument/2006/relationships/hyperlink" Target="https://new.land.naver.com/complexes/27620?ms=2AfAQG,3zprE6,17&amp;a=APT:ABYG:JGC&amp;b=A1:B1&amp;e=RETAIL&amp;h=34&amp;i=132&amp;l=198&amp;ad=true" TargetMode="External" Id="rId93"/><Relationship Type="http://schemas.openxmlformats.org/officeDocument/2006/relationships/hyperlink" Target="https://new.land.naver.com/complexes/27620?ms=2AfAQG,3zprE6,17&amp;a=APT:ABYG:JGC&amp;b=A1:B1&amp;e=RETAIL&amp;h=34&amp;i=132&amp;l=198&amp;ad=true" TargetMode="External" Id="rId94"/><Relationship Type="http://schemas.openxmlformats.org/officeDocument/2006/relationships/hyperlink" Target="https://new.land.naver.com/complexes/27620?ms=2AfAQG,3zprE6,17&amp;a=APT:ABYG:JGC&amp;b=A1:B1&amp;e=RETAIL&amp;h=34&amp;i=132&amp;l=198&amp;ad=true" TargetMode="External" Id="rId95"/><Relationship Type="http://schemas.openxmlformats.org/officeDocument/2006/relationships/hyperlink" Target="https://new.land.naver.com/complexes/27620?ms=2AfAQG,3zprE6,17&amp;a=APT:ABYG:JGC&amp;b=A1:B1&amp;e=RETAIL&amp;h=34&amp;i=132&amp;l=198&amp;ad=true" TargetMode="External" Id="rId96"/><Relationship Type="http://schemas.openxmlformats.org/officeDocument/2006/relationships/hyperlink" Target="https://new.land.naver.com/complexes/27620?ms=2AfAQG,3zprE6,17&amp;a=APT:ABYG:JGC&amp;b=A1:B1&amp;e=RETAIL&amp;h=34&amp;i=132&amp;l=198&amp;ad=true" TargetMode="External" Id="rId97"/><Relationship Type="http://schemas.openxmlformats.org/officeDocument/2006/relationships/hyperlink" Target="https://new.land.naver.com/complexes/27620?ms=2AfAQG,3zprE6,17&amp;a=APT:ABYG:JGC&amp;b=A1:B1&amp;e=RETAIL&amp;h=34&amp;i=132&amp;l=198&amp;ad=true" TargetMode="External" Id="rId98"/><Relationship Type="http://schemas.openxmlformats.org/officeDocument/2006/relationships/hyperlink" Target="https://new.land.naver.com/complexes/27620?ms=2AfAQG,3zprE6,17&amp;a=APT:ABYG:JGC&amp;b=A1:B1&amp;e=RETAIL&amp;h=34&amp;i=132&amp;l=198&amp;ad=true" TargetMode="External" Id="rId99"/><Relationship Type="http://schemas.openxmlformats.org/officeDocument/2006/relationships/hyperlink" Target="https://new.land.naver.com/complexes/27620?ms=2AfAQG,3zprE6,17&amp;a=APT:ABYG:JGC&amp;b=A1:B1&amp;e=RETAIL&amp;h=34&amp;i=132&amp;l=198&amp;ad=true" TargetMode="External" Id="rId100"/><Relationship Type="http://schemas.openxmlformats.org/officeDocument/2006/relationships/hyperlink" Target="https://new.land.naver.com/complexes/27620?ms=2AfAQG,3zprE6,17&amp;a=APT:ABYG:JGC&amp;b=A1:B1&amp;e=RETAIL&amp;h=34&amp;i=132&amp;l=198&amp;ad=true" TargetMode="External" Id="rId101"/><Relationship Type="http://schemas.openxmlformats.org/officeDocument/2006/relationships/hyperlink" Target="https://new.land.naver.com/complexes/553?ms=2AfAQG,3zprE6,17&amp;a=APT:ABYG:JGC&amp;b=A1:B1&amp;e=RETAIL&amp;h=34&amp;i=132&amp;l=198&amp;ad=true" TargetMode="External" Id="rId102"/><Relationship Type="http://schemas.openxmlformats.org/officeDocument/2006/relationships/hyperlink" Target="https://new.land.naver.com/complexes/553?ms=2AfAQG,3zprE6,17&amp;a=APT:ABYG:JGC&amp;b=A1:B1&amp;e=RETAIL&amp;h=34&amp;i=132&amp;l=198&amp;ad=true" TargetMode="External" Id="rId103"/><Relationship Type="http://schemas.openxmlformats.org/officeDocument/2006/relationships/hyperlink" Target="https://new.land.naver.com/complexes/553?ms=2AfAQG,3zprE6,17&amp;a=APT:ABYG:JGC&amp;b=A1:B1&amp;e=RETAIL&amp;h=34&amp;i=132&amp;l=198&amp;ad=true" TargetMode="External" Id="rId104"/><Relationship Type="http://schemas.openxmlformats.org/officeDocument/2006/relationships/hyperlink" Target="https://new.land.naver.com/complexes/553?ms=2AfAQG,3zprE6,17&amp;a=APT:ABYG:JGC&amp;b=A1:B1&amp;e=RETAIL&amp;h=34&amp;i=132&amp;l=198&amp;ad=true" TargetMode="External" Id="rId105"/><Relationship Type="http://schemas.openxmlformats.org/officeDocument/2006/relationships/hyperlink" Target="https://new.land.naver.com/complexes/553?ms=2AfAQG,3zprE6,17&amp;a=APT:ABYG:JGC&amp;b=A1:B1&amp;e=RETAIL&amp;h=34&amp;i=132&amp;l=198&amp;ad=true" TargetMode="External" Id="rId106"/><Relationship Type="http://schemas.openxmlformats.org/officeDocument/2006/relationships/hyperlink" Target="https://new.land.naver.com/complexes/553?ms=2AfAQG,3zprE6,17&amp;a=APT:ABYG:JGC&amp;b=A1:B1&amp;e=RETAIL&amp;h=34&amp;i=132&amp;l=198&amp;ad=true" TargetMode="External" Id="rId107"/><Relationship Type="http://schemas.openxmlformats.org/officeDocument/2006/relationships/hyperlink" Target="https://new.land.naver.com/complexes/553?ms=2AfAQG,3zprE6,17&amp;a=APT:ABYG:JGC&amp;b=A1:B1&amp;e=RETAIL&amp;h=34&amp;i=132&amp;l=198&amp;ad=true" TargetMode="External" Id="rId108"/><Relationship Type="http://schemas.openxmlformats.org/officeDocument/2006/relationships/hyperlink" Target="https://new.land.naver.com/complexes/553?ms=2AfAQG,3zprE6,17&amp;a=APT:ABYG:JGC&amp;b=A1:B1&amp;e=RETAIL&amp;h=34&amp;i=132&amp;l=198&amp;ad=true" TargetMode="External" Id="rId109"/><Relationship Type="http://schemas.openxmlformats.org/officeDocument/2006/relationships/hyperlink" Target="https://new.land.naver.com/complexes/3530?ms=2AfAQG,3zprE6,17&amp;a=APT:ABYG:JGC&amp;b=A1:B1&amp;e=RETAIL&amp;h=34&amp;i=132&amp;l=198&amp;ad=true" TargetMode="External" Id="rId110"/><Relationship Type="http://schemas.openxmlformats.org/officeDocument/2006/relationships/hyperlink" Target="https://new.land.naver.com/complexes/3530?ms=2AfAQG,3zprE6,17&amp;a=APT:ABYG:JGC&amp;b=A1:B1&amp;e=RETAIL&amp;h=34&amp;i=132&amp;l=198&amp;ad=true" TargetMode="External" Id="rId111"/><Relationship Type="http://schemas.openxmlformats.org/officeDocument/2006/relationships/hyperlink" Target="https://new.land.naver.com/complexes/3530?ms=2AfAQG,3zprE6,17&amp;a=APT:ABYG:JGC&amp;b=A1:B1&amp;e=RETAIL&amp;h=34&amp;i=132&amp;l=198&amp;ad=true" TargetMode="External" Id="rId112"/><Relationship Type="http://schemas.openxmlformats.org/officeDocument/2006/relationships/hyperlink" Target="https://new.land.naver.com/complexes/3530?ms=2AfAQG,3zprE6,17&amp;a=APT:ABYG:JGC&amp;b=A1:B1&amp;e=RETAIL&amp;h=34&amp;i=132&amp;l=198&amp;ad=true" TargetMode="External" Id="rId113"/><Relationship Type="http://schemas.openxmlformats.org/officeDocument/2006/relationships/hyperlink" Target="https://new.land.naver.com/complexes/171418?ms=2AfAQG,3zprE6,17&amp;a=APT:ABYG:JGC&amp;b=A1:B1&amp;e=RETAIL&amp;h=34&amp;i=132&amp;l=198&amp;ad=true" TargetMode="External" Id="rId114"/><Relationship Type="http://schemas.openxmlformats.org/officeDocument/2006/relationships/hyperlink" Target="https://new.land.naver.com/complexes/171418?ms=2AfAQG,3zprE6,17&amp;a=APT:ABYG:JGC&amp;b=A1:B1&amp;e=RETAIL&amp;h=34&amp;i=132&amp;l=198&amp;ad=true" TargetMode="External" Id="rId115"/><Relationship Type="http://schemas.openxmlformats.org/officeDocument/2006/relationships/hyperlink" Target="https://new.land.naver.com/complexes/185578?ms=2AfAQG,3zprE6,17&amp;a=APT:ABYG:JGC&amp;b=A1:B1&amp;e=RETAIL&amp;h=34&amp;i=132&amp;l=198&amp;ad=true" TargetMode="External" Id="rId116"/><Relationship Type="http://schemas.openxmlformats.org/officeDocument/2006/relationships/hyperlink" Target="https://new.land.naver.com/complexes/185578?ms=2AfAQG,3zprE6,17&amp;a=APT:ABYG:JGC&amp;b=A1:B1&amp;e=RETAIL&amp;h=34&amp;i=132&amp;l=198&amp;ad=true" TargetMode="External" Id="rId117"/><Relationship Type="http://schemas.openxmlformats.org/officeDocument/2006/relationships/hyperlink" Target="https://new.land.naver.com/complexes/1175?ms=2AfAQG,3zprE6,17&amp;a=APT:ABYG:JGC&amp;b=A1:B1&amp;e=RETAIL&amp;h=34&amp;i=132&amp;l=198&amp;ad=true" TargetMode="External" Id="rId118"/><Relationship Type="http://schemas.openxmlformats.org/officeDocument/2006/relationships/hyperlink" Target="https://new.land.naver.com/complexes/1175?ms=2AfAQG,3zprE6,17&amp;a=APT:ABYG:JGC&amp;b=A1:B1&amp;e=RETAIL&amp;h=34&amp;i=132&amp;l=198&amp;ad=true" TargetMode="External" Id="rId119"/><Relationship Type="http://schemas.openxmlformats.org/officeDocument/2006/relationships/hyperlink" Target="https://new.land.naver.com/complexes/552?ms=2AfAQG,3zprE6,17&amp;a=APT:ABYG:JGC&amp;b=A1:B1&amp;e=RETAIL&amp;h=34&amp;i=132&amp;l=198&amp;ad=true" TargetMode="External" Id="rId120"/><Relationship Type="http://schemas.openxmlformats.org/officeDocument/2006/relationships/hyperlink" Target="https://new.land.naver.com/complexes/552?ms=2AfAQG,3zprE6,17&amp;a=APT:ABYG:JGC&amp;b=A1:B1&amp;e=RETAIL&amp;h=34&amp;i=132&amp;l=198&amp;ad=true" TargetMode="External" Id="rId121"/><Relationship Type="http://schemas.openxmlformats.org/officeDocument/2006/relationships/hyperlink" Target="https://new.land.naver.com/complexes/552?ms=2AfAQG,3zprE6,17&amp;a=APT:ABYG:JGC&amp;b=A1:B1&amp;e=RETAIL&amp;h=34&amp;i=132&amp;l=198&amp;ad=true" TargetMode="External" Id="rId122"/><Relationship Type="http://schemas.openxmlformats.org/officeDocument/2006/relationships/hyperlink" Target="https://new.land.naver.com/complexes/561?ms=2AfAQG,3zprE6,17&amp;a=APT:ABYG:JGC&amp;b=A1:B1&amp;e=RETAIL&amp;h=34&amp;i=132&amp;l=198&amp;ad=true" TargetMode="External" Id="rId123"/><Relationship Type="http://schemas.openxmlformats.org/officeDocument/2006/relationships/hyperlink" Target="https://new.land.naver.com/complexes/561?ms=2AfAQG,3zprE6,17&amp;a=APT:ABYG:JGC&amp;b=A1:B1&amp;e=RETAIL&amp;h=34&amp;i=132&amp;l=198&amp;ad=true" TargetMode="External" Id="rId124"/><Relationship Type="http://schemas.openxmlformats.org/officeDocument/2006/relationships/hyperlink" Target="https://new.land.naver.com/complexes/556?ms=2AfAQG,3zprE6,17&amp;a=APT:ABYG:JGC&amp;b=A1:B1&amp;e=RETAIL&amp;h=34&amp;i=132&amp;l=198&amp;ad=true" TargetMode="External" Id="rId125"/><Relationship Type="http://schemas.openxmlformats.org/officeDocument/2006/relationships/hyperlink" Target="https://new.land.naver.com/complexes/556?ms=2AfAQG,3zprE6,17&amp;a=APT:ABYG:JGC&amp;b=A1:B1&amp;e=RETAIL&amp;h=34&amp;i=132&amp;l=198&amp;ad=true" TargetMode="External" Id="rId126"/><Relationship Type="http://schemas.openxmlformats.org/officeDocument/2006/relationships/hyperlink" Target="https://new.land.naver.com/complexes/118738?ms=2AfAQG,3zprE6,17&amp;a=APT:ABYG:JGC&amp;b=A1:B1&amp;e=RETAIL&amp;h=34&amp;i=132&amp;l=198&amp;ad=true" TargetMode="External" Id="rId127"/><Relationship Type="http://schemas.openxmlformats.org/officeDocument/2006/relationships/hyperlink" Target="https://new.land.naver.com/complexes/118738?ms=2AfAQG,3zprE6,17&amp;a=APT:ABYG:JGC&amp;b=A1:B1&amp;e=RETAIL&amp;h=34&amp;i=132&amp;l=198&amp;ad=true" TargetMode="External" Id="rId128"/><Relationship Type="http://schemas.openxmlformats.org/officeDocument/2006/relationships/hyperlink" Target="https://new.land.naver.com/complexes/118738?ms=2AfAQG,3zprE6,17&amp;a=APT:ABYG:JGC&amp;b=A1:B1&amp;e=RETAIL&amp;h=34&amp;i=132&amp;l=198&amp;ad=true" TargetMode="External" Id="rId129"/><Relationship Type="http://schemas.openxmlformats.org/officeDocument/2006/relationships/hyperlink" Target="https://new.land.naver.com/complexes/118738?ms=2AfAQG,3zprE6,17&amp;a=APT:ABYG:JGC&amp;b=A1:B1&amp;e=RETAIL&amp;h=34&amp;i=132&amp;l=198&amp;ad=true" TargetMode="External" Id="rId130"/><Relationship Type="http://schemas.openxmlformats.org/officeDocument/2006/relationships/hyperlink" Target="https://new.land.naver.com/complexes/118738?ms=2AfAQG,3zprE6,17&amp;a=APT:ABYG:JGC&amp;b=A1:B1&amp;e=RETAIL&amp;h=34&amp;i=132&amp;l=198&amp;ad=true" TargetMode="External" Id="rId131"/><Relationship Type="http://schemas.openxmlformats.org/officeDocument/2006/relationships/hyperlink" Target="https://new.land.naver.com/complexes/118738?ms=2AfAQG,3zprE6,17&amp;a=APT:ABYG:JGC&amp;b=A1:B1&amp;e=RETAIL&amp;h=34&amp;i=132&amp;l=198&amp;ad=true" TargetMode="External" Id="rId132"/><Relationship Type="http://schemas.openxmlformats.org/officeDocument/2006/relationships/hyperlink" Target="https://new.land.naver.com/complexes/118738?ms=2AfAQG,3zprE6,17&amp;a=APT:ABYG:JGC&amp;b=A1:B1&amp;e=RETAIL&amp;h=34&amp;i=132&amp;l=198&amp;ad=true" TargetMode="External" Id="rId133"/><Relationship Type="http://schemas.openxmlformats.org/officeDocument/2006/relationships/hyperlink" Target="https://new.land.naver.com/complexes/118738?ms=2AfAQG,3zprE6,17&amp;a=APT:ABYG:JGC&amp;b=A1:B1&amp;e=RETAIL&amp;h=34&amp;i=132&amp;l=198&amp;ad=true" TargetMode="External" Id="rId134"/><Relationship Type="http://schemas.openxmlformats.org/officeDocument/2006/relationships/hyperlink" Target="https://new.land.naver.com/complexes/118738?ms=2AfAQG,3zprE6,17&amp;a=APT:ABYG:JGC&amp;b=A1:B1&amp;e=RETAIL&amp;h=34&amp;i=132&amp;l=198&amp;ad=true" TargetMode="External" Id="rId135"/><Relationship Type="http://schemas.openxmlformats.org/officeDocument/2006/relationships/hyperlink" Target="https://new.land.naver.com/complexes/118738?ms=2AfAQG,3zprE6,17&amp;a=APT:ABYG:JGC&amp;b=A1:B1&amp;e=RETAIL&amp;h=34&amp;i=132&amp;l=198&amp;ad=true" TargetMode="External" Id="rId136"/><Relationship Type="http://schemas.openxmlformats.org/officeDocument/2006/relationships/hyperlink" Target="https://new.land.naver.com/complexes/118738?ms=2AfAQG,3zprE6,17&amp;a=APT:ABYG:JGC&amp;b=A1:B1&amp;e=RETAIL&amp;h=34&amp;i=132&amp;l=198&amp;ad=true" TargetMode="External" Id="rId137"/><Relationship Type="http://schemas.openxmlformats.org/officeDocument/2006/relationships/hyperlink" Target="https://new.land.naver.com/complexes/118738?ms=2AfAQG,3zprE6,17&amp;a=APT:ABYG:JGC&amp;b=A1:B1&amp;e=RETAIL&amp;h=34&amp;i=132&amp;l=198&amp;ad=true" TargetMode="External" Id="rId138"/><Relationship Type="http://schemas.openxmlformats.org/officeDocument/2006/relationships/hyperlink" Target="https://new.land.naver.com/complexes/118738?ms=2AfAQG,3zprE6,17&amp;a=APT:ABYG:JGC&amp;b=A1:B1&amp;e=RETAIL&amp;h=34&amp;i=132&amp;l=198&amp;ad=true" TargetMode="External" Id="rId139"/><Relationship Type="http://schemas.openxmlformats.org/officeDocument/2006/relationships/hyperlink" Target="https://new.land.naver.com/complexes/118738?ms=2AfAQG,3zprE6,17&amp;a=APT:ABYG:JGC&amp;b=A1:B1&amp;e=RETAIL&amp;h=34&amp;i=132&amp;l=198&amp;ad=true" TargetMode="External" Id="rId140"/><Relationship Type="http://schemas.openxmlformats.org/officeDocument/2006/relationships/hyperlink" Target="https://new.land.naver.com/complexes/118738?ms=2AfAQG,3zprE6,17&amp;a=APT:ABYG:JGC&amp;b=A1:B1&amp;e=RETAIL&amp;h=34&amp;i=132&amp;l=198&amp;ad=true" TargetMode="External" Id="rId141"/><Relationship Type="http://schemas.openxmlformats.org/officeDocument/2006/relationships/hyperlink" Target="https://new.land.naver.com/complexes/8578?ms=2AfAQG,3zprE6,17&amp;a=APT:ABYG:JGC&amp;b=A1:B1&amp;e=RETAIL&amp;h=34&amp;i=132&amp;l=198&amp;ad=true" TargetMode="External" Id="rId142"/><Relationship Type="http://schemas.openxmlformats.org/officeDocument/2006/relationships/hyperlink" Target="https://new.land.naver.com/complexes/108405?ms=2AfAQG,3zprE6,17&amp;a=APT:ABYG:JGC&amp;b=A1:B1&amp;e=RETAIL&amp;h=34&amp;i=132&amp;l=198&amp;ad=true" TargetMode="External" Id="rId143"/><Relationship Type="http://schemas.openxmlformats.org/officeDocument/2006/relationships/hyperlink" Target="https://new.land.naver.com/complexes/108405?ms=2AfAQG,3zprE6,17&amp;a=APT:ABYG:JGC&amp;b=A1:B1&amp;e=RETAIL&amp;h=34&amp;i=132&amp;l=198&amp;ad=true" TargetMode="External" Id="rId144"/><Relationship Type="http://schemas.openxmlformats.org/officeDocument/2006/relationships/hyperlink" Target="https://new.land.naver.com/complexes/108405?ms=2AfAQG,3zprE6,17&amp;a=APT:ABYG:JGC&amp;b=A1:B1&amp;e=RETAIL&amp;h=34&amp;i=132&amp;l=198&amp;ad=true" TargetMode="External" Id="rId145"/><Relationship Type="http://schemas.openxmlformats.org/officeDocument/2006/relationships/hyperlink" Target="https://new.land.naver.com/complexes/108405?ms=2AfAQG,3zprE6,17&amp;a=APT:ABYG:JGC&amp;b=A1:B1&amp;e=RETAIL&amp;h=34&amp;i=132&amp;l=198&amp;ad=true" TargetMode="External" Id="rId146"/><Relationship Type="http://schemas.openxmlformats.org/officeDocument/2006/relationships/hyperlink" Target="https://new.land.naver.com/complexes/108405?ms=2AfAQG,3zprE6,17&amp;a=APT:ABYG:JGC&amp;b=A1:B1&amp;e=RETAIL&amp;h=34&amp;i=132&amp;l=198&amp;ad=true" TargetMode="External" Id="rId147"/><Relationship Type="http://schemas.openxmlformats.org/officeDocument/2006/relationships/hyperlink" Target="https://new.land.naver.com/complexes/108405?ms=2AfAQG,3zprE6,17&amp;a=APT:ABYG:JGC&amp;b=A1:B1&amp;e=RETAIL&amp;h=34&amp;i=132&amp;l=198&amp;ad=true" TargetMode="External" Id="rId148"/><Relationship Type="http://schemas.openxmlformats.org/officeDocument/2006/relationships/hyperlink" Target="https://new.land.naver.com/complexes/108405?ms=2AfAQG,3zprE6,17&amp;a=APT:ABYG:JGC&amp;b=A1:B1&amp;e=RETAIL&amp;h=34&amp;i=132&amp;l=198&amp;ad=true" TargetMode="External" Id="rId149"/><Relationship Type="http://schemas.openxmlformats.org/officeDocument/2006/relationships/hyperlink" Target="https://new.land.naver.com/complexes/108405?ms=2AfAQG,3zprE6,17&amp;a=APT:ABYG:JGC&amp;b=A1:B1&amp;e=RETAIL&amp;h=34&amp;i=132&amp;l=198&amp;ad=true" TargetMode="External" Id="rId150"/><Relationship Type="http://schemas.openxmlformats.org/officeDocument/2006/relationships/hyperlink" Target="https://new.land.naver.com/complexes/108405?ms=2AfAQG,3zprE6,17&amp;a=APT:ABYG:JGC&amp;b=A1:B1&amp;e=RETAIL&amp;h=34&amp;i=132&amp;l=198&amp;ad=true" TargetMode="External" Id="rId151"/><Relationship Type="http://schemas.openxmlformats.org/officeDocument/2006/relationships/hyperlink" Target="https://new.land.naver.com/complexes/560?ms=2AfAQG,3zprE6,17&amp;a=APT:ABYG:JGC&amp;b=A1:B1&amp;e=RETAIL&amp;h=34&amp;i=132&amp;l=198&amp;ad=true" TargetMode="External" Id="rId152"/><Relationship Type="http://schemas.openxmlformats.org/officeDocument/2006/relationships/hyperlink" Target="https://new.land.naver.com/complexes/560?ms=2AfAQG,3zprE6,17&amp;a=APT:ABYG:JGC&amp;b=A1:B1&amp;e=RETAIL&amp;h=34&amp;i=132&amp;l=198&amp;ad=true" TargetMode="External" Id="rId153"/><Relationship Type="http://schemas.openxmlformats.org/officeDocument/2006/relationships/hyperlink" Target="https://new.land.naver.com/complexes/1?ms=2AfAQG,3zprE6,17&amp;a=APT:ABYG:JGC&amp;b=A1:B1&amp;e=RETAIL&amp;h=34&amp;i=132&amp;l=198&amp;ad=true" TargetMode="External" Id="rId154"/><Relationship Type="http://schemas.openxmlformats.org/officeDocument/2006/relationships/hyperlink" Target="https://new.land.naver.com/complexes/1?ms=2AfAQG,3zprE6,17&amp;a=APT:ABYG:JGC&amp;b=A1:B1&amp;e=RETAIL&amp;h=34&amp;i=132&amp;l=198&amp;ad=true" TargetMode="External" Id="rId155"/><Relationship Type="http://schemas.openxmlformats.org/officeDocument/2006/relationships/hyperlink" Target="https://new.land.naver.com/complexes/1?ms=2AfAQG,3zprE6,17&amp;a=APT:ABYG:JGC&amp;b=A1:B1&amp;e=RETAIL&amp;h=34&amp;i=132&amp;l=198&amp;ad=true" TargetMode="External" Id="rId156"/><Relationship Type="http://schemas.openxmlformats.org/officeDocument/2006/relationships/hyperlink" Target="https://new.land.naver.com/complexes/1?ms=2AfAQG,3zprE6,17&amp;a=APT:ABYG:JGC&amp;b=A1:B1&amp;e=RETAIL&amp;h=34&amp;i=132&amp;l=198&amp;ad=true" TargetMode="External" Id="rId157"/><Relationship Type="http://schemas.openxmlformats.org/officeDocument/2006/relationships/hyperlink" Target="https://new.land.naver.com/complexes/27424?ms=2AfAQG,3zprE6,17&amp;a=APT:ABYG:JGC&amp;b=A1:B1&amp;e=RETAIL&amp;h=34&amp;i=132&amp;l=198&amp;ad=true" TargetMode="External" Id="rId158"/><Relationship Type="http://schemas.openxmlformats.org/officeDocument/2006/relationships/hyperlink" Target="https://new.land.naver.com/complexes/27424?ms=2AfAQG,3zprE6,17&amp;a=APT:ABYG:JGC&amp;b=A1:B1&amp;e=RETAIL&amp;h=34&amp;i=132&amp;l=198&amp;ad=true" TargetMode="External" Id="rId159"/><Relationship Type="http://schemas.openxmlformats.org/officeDocument/2006/relationships/hyperlink" Target="https://new.land.naver.com/complexes/27424?ms=2AfAQG,3zprE6,17&amp;a=APT:ABYG:JGC&amp;b=A1:B1&amp;e=RETAIL&amp;h=34&amp;i=132&amp;l=198&amp;ad=true" TargetMode="External" Id="rId160"/><Relationship Type="http://schemas.openxmlformats.org/officeDocument/2006/relationships/hyperlink" Target="https://new.land.naver.com/complexes/27424?ms=2AfAQG,3zprE6,17&amp;a=APT:ABYG:JGC&amp;b=A1:B1&amp;e=RETAIL&amp;h=34&amp;i=132&amp;l=198&amp;ad=true" TargetMode="External" Id="rId161"/><Relationship Type="http://schemas.openxmlformats.org/officeDocument/2006/relationships/hyperlink" Target="https://new.land.naver.com/complexes/27424?ms=2AfAQG,3zprE6,17&amp;a=APT:ABYG:JGC&amp;b=A1:B1&amp;e=RETAIL&amp;h=34&amp;i=132&amp;l=198&amp;ad=true" TargetMode="External" Id="rId162"/><Relationship Type="http://schemas.openxmlformats.org/officeDocument/2006/relationships/hyperlink" Target="https://new.land.naver.com/complexes/27424?ms=2AfAQG,3zprE6,17&amp;a=APT:ABYG:JGC&amp;b=A1:B1&amp;e=RETAIL&amp;h=34&amp;i=132&amp;l=198&amp;ad=true" TargetMode="External" Id="rId163"/><Relationship Type="http://schemas.openxmlformats.org/officeDocument/2006/relationships/hyperlink" Target="https://new.land.naver.com/complexes/27424?ms=2AfAQG,3zprE6,17&amp;a=APT:ABYG:JGC&amp;b=A1:B1&amp;e=RETAIL&amp;h=34&amp;i=132&amp;l=198&amp;ad=true" TargetMode="External" Id="rId164"/><Relationship Type="http://schemas.openxmlformats.org/officeDocument/2006/relationships/hyperlink" Target="https://new.land.naver.com/complexes/8104?ms=2AfAQG,3zprE6,17&amp;a=APT:ABYG:JGC&amp;b=A1:B1&amp;e=RETAIL&amp;h=34&amp;i=132&amp;l=198&amp;ad=true" TargetMode="External" Id="rId165"/><Relationship Type="http://schemas.openxmlformats.org/officeDocument/2006/relationships/hyperlink" Target="https://new.land.naver.com/complexes/8104?ms=2AfAQG,3zprE6,17&amp;a=APT:ABYG:JGC&amp;b=A1:B1&amp;e=RETAIL&amp;h=34&amp;i=132&amp;l=198&amp;ad=true" TargetMode="External" Id="rId166"/><Relationship Type="http://schemas.openxmlformats.org/officeDocument/2006/relationships/hyperlink" Target="https://new.land.naver.com/complexes/8104?ms=2AfAQG,3zprE6,17&amp;a=APT:ABYG:JGC&amp;b=A1:B1&amp;e=RETAIL&amp;h=34&amp;i=132&amp;l=198&amp;ad=true" TargetMode="External" Id="rId167"/><Relationship Type="http://schemas.openxmlformats.org/officeDocument/2006/relationships/hyperlink" Target="https://new.land.naver.com/complexes/8104?ms=2AfAQG,3zprE6,17&amp;a=APT:ABYG:JGC&amp;b=A1:B1&amp;e=RETAIL&amp;h=34&amp;i=132&amp;l=198&amp;ad=true" TargetMode="External" Id="rId168"/><Relationship Type="http://schemas.openxmlformats.org/officeDocument/2006/relationships/hyperlink" Target="https://new.land.naver.com/complexes/8104?ms=2AfAQG,3zprE6,17&amp;a=APT:ABYG:JGC&amp;b=A1:B1&amp;e=RETAIL&amp;h=34&amp;i=132&amp;l=198&amp;ad=true" TargetMode="External" Id="rId169"/><Relationship Type="http://schemas.openxmlformats.org/officeDocument/2006/relationships/hyperlink" Target="https://new.land.naver.com/complexes/8103?ms=2AfAQG,3zprE6,17&amp;a=APT:ABYG:JGC&amp;b=A1:B1&amp;e=RETAIL&amp;h=34&amp;i=132&amp;l=198&amp;ad=true" TargetMode="External" Id="rId170"/><Relationship Type="http://schemas.openxmlformats.org/officeDocument/2006/relationships/hyperlink" Target="https://new.land.naver.com/complexes/8103?ms=2AfAQG,3zprE6,17&amp;a=APT:ABYG:JGC&amp;b=A1:B1&amp;e=RETAIL&amp;h=34&amp;i=132&amp;l=198&amp;ad=true" TargetMode="External" Id="rId171"/><Relationship Type="http://schemas.openxmlformats.org/officeDocument/2006/relationships/hyperlink" Target="https://new.land.naver.com/complexes/8103?ms=2AfAQG,3zprE6,17&amp;a=APT:ABYG:JGC&amp;b=A1:B1&amp;e=RETAIL&amp;h=34&amp;i=132&amp;l=198&amp;ad=true" TargetMode="External" Id="rId172"/><Relationship Type="http://schemas.openxmlformats.org/officeDocument/2006/relationships/hyperlink" Target="https://new.land.naver.com/complexes/324?ms=2AfAQG,3zprE6,17&amp;a=APT:ABYG:JGC&amp;b=A1:B1&amp;e=RETAIL&amp;h=34&amp;i=132&amp;l=198&amp;ad=true" TargetMode="External" Id="rId173"/><Relationship Type="http://schemas.openxmlformats.org/officeDocument/2006/relationships/hyperlink" Target="https://new.land.naver.com/complexes/324?ms=2AfAQG,3zprE6,17&amp;a=APT:ABYG:JGC&amp;b=A1:B1&amp;e=RETAIL&amp;h=34&amp;i=132&amp;l=198&amp;ad=true" TargetMode="External" Id="rId174"/><Relationship Type="http://schemas.openxmlformats.org/officeDocument/2006/relationships/hyperlink" Target="https://new.land.naver.com/complexes/324?ms=2AfAQG,3zprE6,17&amp;a=APT:ABYG:JGC&amp;b=A1:B1&amp;e=RETAIL&amp;h=34&amp;i=132&amp;l=198&amp;ad=true" TargetMode="External" Id="rId175"/><Relationship Type="http://schemas.openxmlformats.org/officeDocument/2006/relationships/hyperlink" Target="https://new.land.naver.com/complexes/559?ms=2AfAQG,3zprE6,17&amp;a=APT:ABYG:JGC&amp;b=A1:B1&amp;e=RETAIL&amp;h=34&amp;i=132&amp;l=198&amp;ad=true" TargetMode="External" Id="rId176"/><Relationship Type="http://schemas.openxmlformats.org/officeDocument/2006/relationships/hyperlink" Target="https://new.land.naver.com/complexes/559?ms=2AfAQG,3zprE6,17&amp;a=APT:ABYG:JGC&amp;b=A1:B1&amp;e=RETAIL&amp;h=34&amp;i=132&amp;l=198&amp;ad=true" TargetMode="External" Id="rId177"/><Relationship Type="http://schemas.openxmlformats.org/officeDocument/2006/relationships/hyperlink" Target="https://new.land.naver.com/complexes/1177?ms=2AfAQG,3zprE6,17&amp;a=APT:ABYG:JGC&amp;b=A1:B1&amp;e=RETAIL&amp;h=34&amp;i=132&amp;l=198&amp;ad=true" TargetMode="External" Id="rId178"/><Relationship Type="http://schemas.openxmlformats.org/officeDocument/2006/relationships/hyperlink" Target="https://new.land.naver.com/complexes/1177?ms=2AfAQG,3zprE6,17&amp;a=APT:ABYG:JGC&amp;b=A1:B1&amp;e=RETAIL&amp;h=34&amp;i=132&amp;l=198&amp;ad=true" TargetMode="External" Id="rId179"/><Relationship Type="http://schemas.openxmlformats.org/officeDocument/2006/relationships/hyperlink" Target="https://new.land.naver.com/complexes/27132?ms=2AfAQG,3zprE6,17&amp;a=APT:ABYG:JGC&amp;b=A1:B1&amp;e=RETAIL&amp;h=34&amp;i=132&amp;l=198&amp;ad=true" TargetMode="External" Id="rId180"/><Relationship Type="http://schemas.openxmlformats.org/officeDocument/2006/relationships/hyperlink" Target="https://new.land.naver.com/complexes/27132?ms=2AfAQG,3zprE6,17&amp;a=APT:ABYG:JGC&amp;b=A1:B1&amp;e=RETAIL&amp;h=34&amp;i=132&amp;l=198&amp;ad=true" TargetMode="External" Id="rId181"/><Relationship Type="http://schemas.openxmlformats.org/officeDocument/2006/relationships/hyperlink" Target="https://new.land.naver.com/complexes/27132?ms=2AfAQG,3zprE6,17&amp;a=APT:ABYG:JGC&amp;b=A1:B1&amp;e=RETAIL&amp;h=34&amp;i=132&amp;l=198&amp;ad=true" TargetMode="External" Id="rId182"/><Relationship Type="http://schemas.openxmlformats.org/officeDocument/2006/relationships/hyperlink" Target="https://new.land.naver.com/complexes/27132?ms=2AfAQG,3zprE6,17&amp;a=APT:ABYG:JGC&amp;b=A1:B1&amp;e=RETAIL&amp;h=34&amp;i=132&amp;l=198&amp;ad=true" TargetMode="External" Id="rId183"/><Relationship Type="http://schemas.openxmlformats.org/officeDocument/2006/relationships/hyperlink" Target="https://new.land.naver.com/complexes/1178?ms=2AfAQG,3zprE6,17&amp;a=APT:ABYG:JGC&amp;b=A1:B1&amp;e=RETAIL&amp;h=34&amp;i=132&amp;l=198&amp;ad=true" TargetMode="External" Id="rId184"/><Relationship Type="http://schemas.openxmlformats.org/officeDocument/2006/relationships/hyperlink" Target="https://new.land.naver.com/complexes/1178?ms=2AfAQG,3zprE6,17&amp;a=APT:ABYG:JGC&amp;b=A1:B1&amp;e=RETAIL&amp;h=34&amp;i=132&amp;l=198&amp;ad=true" TargetMode="External" Id="rId185"/><Relationship Type="http://schemas.openxmlformats.org/officeDocument/2006/relationships/hyperlink" Target="https://new.land.naver.com/complexes/1178?ms=2AfAQG,3zprE6,17&amp;a=APT:ABYG:JGC&amp;b=A1:B1&amp;e=RETAIL&amp;h=34&amp;i=132&amp;l=198&amp;ad=true" TargetMode="External" Id="rId186"/><Relationship Type="http://schemas.openxmlformats.org/officeDocument/2006/relationships/hyperlink" Target="https://new.land.naver.com/complexes/1179?ms=2AfAQG,3zprE6,17&amp;a=APT:ABYG:JGC&amp;b=A1:B1&amp;e=RETAIL&amp;h=34&amp;i=132&amp;l=198&amp;ad=true" TargetMode="External" Id="rId187"/><Relationship Type="http://schemas.openxmlformats.org/officeDocument/2006/relationships/hyperlink" Target="https://new.land.naver.com/complexes/1179?ms=2AfAQG,3zprE6,17&amp;a=APT:ABYG:JGC&amp;b=A1:B1&amp;e=RETAIL&amp;h=34&amp;i=132&amp;l=198&amp;ad=true" TargetMode="External" Id="rId188"/><Relationship Type="http://schemas.openxmlformats.org/officeDocument/2006/relationships/hyperlink" Target="https://new.land.naver.com/complexes/103136?ms=2AfAQG,3zprE6,17&amp;a=APT:ABYG:JGC&amp;b=A1:B1&amp;e=RETAIL&amp;h=34&amp;i=132&amp;l=198&amp;ad=true" TargetMode="External" Id="rId189"/><Relationship Type="http://schemas.openxmlformats.org/officeDocument/2006/relationships/hyperlink" Target="https://new.land.naver.com/complexes/103136?ms=2AfAQG,3zprE6,17&amp;a=APT:ABYG:JGC&amp;b=A1:B1&amp;e=RETAIL&amp;h=34&amp;i=132&amp;l=198&amp;ad=true" TargetMode="External" Id="rId190"/><Relationship Type="http://schemas.openxmlformats.org/officeDocument/2006/relationships/hyperlink" Target="https://new.land.naver.com/complexes/103136?ms=2AfAQG,3zprE6,17&amp;a=APT:ABYG:JGC&amp;b=A1:B1&amp;e=RETAIL&amp;h=34&amp;i=132&amp;l=198&amp;ad=true" TargetMode="External" Id="rId191"/><Relationship Type="http://schemas.openxmlformats.org/officeDocument/2006/relationships/hyperlink" Target="https://new.land.naver.com/complexes/564?ms=2AfAQG,3zprE6,17&amp;a=APT:ABYG:JGC&amp;b=A1:B1&amp;e=RETAIL&amp;h=34&amp;i=132&amp;l=198&amp;ad=true" TargetMode="External" Id="rId192"/><Relationship Type="http://schemas.openxmlformats.org/officeDocument/2006/relationships/hyperlink" Target="https://new.land.naver.com/complexes/564?ms=2AfAQG,3zprE6,17&amp;a=APT:ABYG:JGC&amp;b=A1:B1&amp;e=RETAIL&amp;h=34&amp;i=132&amp;l=198&amp;ad=true" TargetMode="External" Id="rId193"/><Relationship Type="http://schemas.openxmlformats.org/officeDocument/2006/relationships/hyperlink" Target="https://new.land.naver.com/complexes/567?ms=2AfAQG,3zprE6,17&amp;a=APT:ABYG:JGC&amp;b=A1:B1&amp;e=RETAIL&amp;h=34&amp;i=132&amp;l=198&amp;ad=true" TargetMode="External" Id="rId194"/><Relationship Type="http://schemas.openxmlformats.org/officeDocument/2006/relationships/hyperlink" Target="https://new.land.naver.com/complexes/567?ms=2AfAQG,3zprE6,17&amp;a=APT:ABYG:JGC&amp;b=A1:B1&amp;e=RETAIL&amp;h=34&amp;i=132&amp;l=198&amp;ad=true" TargetMode="External" Id="rId195"/><Relationship Type="http://schemas.openxmlformats.org/officeDocument/2006/relationships/hyperlink" Target="https://new.land.naver.com/complexes/567?ms=2AfAQG,3zprE6,17&amp;a=APT:ABYG:JGC&amp;b=A1:B1&amp;e=RETAIL&amp;h=34&amp;i=132&amp;l=198&amp;ad=true" TargetMode="External" Id="rId196"/><Relationship Type="http://schemas.openxmlformats.org/officeDocument/2006/relationships/hyperlink" Target="https://new.land.naver.com/complexes/567?ms=2AfAQG,3zprE6,17&amp;a=APT:ABYG:JGC&amp;b=A1:B1&amp;e=RETAIL&amp;h=34&amp;i=132&amp;l=198&amp;ad=true" TargetMode="External" Id="rId197"/><Relationship Type="http://schemas.openxmlformats.org/officeDocument/2006/relationships/hyperlink" Target="https://new.land.naver.com/complexes/567?ms=2AfAQG,3zprE6,17&amp;a=APT:ABYG:JGC&amp;b=A1:B1&amp;e=RETAIL&amp;h=34&amp;i=132&amp;l=198&amp;ad=true" TargetMode="External" Id="rId198"/><Relationship Type="http://schemas.openxmlformats.org/officeDocument/2006/relationships/hyperlink" Target="https://new.land.naver.com/complexes/567?ms=2AfAQG,3zprE6,17&amp;a=APT:ABYG:JGC&amp;b=A1:B1&amp;e=RETAIL&amp;h=34&amp;i=132&amp;l=198&amp;ad=true" TargetMode="External" Id="rId199"/><Relationship Type="http://schemas.openxmlformats.org/officeDocument/2006/relationships/hyperlink" Target="https://new.land.naver.com/complexes/567?ms=2AfAQG,3zprE6,17&amp;a=APT:ABYG:JGC&amp;b=A1:B1&amp;e=RETAIL&amp;h=34&amp;i=132&amp;l=198&amp;ad=true" TargetMode="External" Id="rId200"/><Relationship Type="http://schemas.openxmlformats.org/officeDocument/2006/relationships/hyperlink" Target="https://new.land.naver.com/complexes/567?ms=2AfAQG,3zprE6,17&amp;a=APT:ABYG:JGC&amp;b=A1:B1&amp;e=RETAIL&amp;h=34&amp;i=132&amp;l=198&amp;ad=true" TargetMode="External" Id="rId201"/><Relationship Type="http://schemas.openxmlformats.org/officeDocument/2006/relationships/hyperlink" Target="https://new.land.naver.com/complexes/566?ms=2AfAQG,3zprE6,17&amp;a=APT:ABYG:JGC&amp;b=A1:B1&amp;e=RETAIL&amp;h=34&amp;i=132&amp;l=198&amp;ad=true" TargetMode="External" Id="rId202"/><Relationship Type="http://schemas.openxmlformats.org/officeDocument/2006/relationships/hyperlink" Target="https://new.land.naver.com/complexes/566?ms=2AfAQG,3zprE6,17&amp;a=APT:ABYG:JGC&amp;b=A1:B1&amp;e=RETAIL&amp;h=34&amp;i=132&amp;l=198&amp;ad=true" TargetMode="External" Id="rId203"/><Relationship Type="http://schemas.openxmlformats.org/officeDocument/2006/relationships/hyperlink" Target="https://new.land.naver.com/complexes/566?ms=2AfAQG,3zprE6,17&amp;a=APT:ABYG:JGC&amp;b=A1:B1&amp;e=RETAIL&amp;h=34&amp;i=132&amp;l=198&amp;ad=true" TargetMode="External" Id="rId204"/><Relationship Type="http://schemas.openxmlformats.org/officeDocument/2006/relationships/hyperlink" Target="https://new.land.naver.com/complexes/566?ms=2AfAQG,3zprE6,17&amp;a=APT:ABYG:JGC&amp;b=A1:B1&amp;e=RETAIL&amp;h=34&amp;i=132&amp;l=198&amp;ad=true" TargetMode="External" Id="rId205"/><Relationship Type="http://schemas.openxmlformats.org/officeDocument/2006/relationships/hyperlink" Target="https://new.land.naver.com/complexes/566?ms=2AfAQG,3zprE6,17&amp;a=APT:ABYG:JGC&amp;b=A1:B1&amp;e=RETAIL&amp;h=34&amp;i=132&amp;l=198&amp;ad=true" TargetMode="External" Id="rId206"/><Relationship Type="http://schemas.openxmlformats.org/officeDocument/2006/relationships/hyperlink" Target="https://new.land.naver.com/complexes/566?ms=2AfAQG,3zprE6,17&amp;a=APT:ABYG:JGC&amp;b=A1:B1&amp;e=RETAIL&amp;h=34&amp;i=132&amp;l=198&amp;ad=true" TargetMode="External" Id="rId207"/><Relationship Type="http://schemas.openxmlformats.org/officeDocument/2006/relationships/hyperlink" Target="https://new.land.naver.com/complexes/566?ms=2AfAQG,3zprE6,17&amp;a=APT:ABYG:JGC&amp;b=A1:B1&amp;e=RETAIL&amp;h=34&amp;i=132&amp;l=198&amp;ad=true" TargetMode="External" Id="rId208"/><Relationship Type="http://schemas.openxmlformats.org/officeDocument/2006/relationships/hyperlink" Target="https://new.land.naver.com/complexes/566?ms=2AfAQG,3zprE6,17&amp;a=APT:ABYG:JGC&amp;b=A1:B1&amp;e=RETAIL&amp;h=34&amp;i=132&amp;l=198&amp;ad=true" TargetMode="External" Id="rId209"/><Relationship Type="http://schemas.openxmlformats.org/officeDocument/2006/relationships/hyperlink" Target="https://new.land.naver.com/complexes/566?ms=2AfAQG,3zprE6,17&amp;a=APT:ABYG:JGC&amp;b=A1:B1&amp;e=RETAIL&amp;h=34&amp;i=132&amp;l=198&amp;ad=true" TargetMode="External" Id="rId210"/><Relationship Type="http://schemas.openxmlformats.org/officeDocument/2006/relationships/hyperlink" Target="https://new.land.naver.com/complexes/566?ms=2AfAQG,3zprE6,17&amp;a=APT:ABYG:JGC&amp;b=A1:B1&amp;e=RETAIL&amp;h=34&amp;i=132&amp;l=198&amp;ad=true" TargetMode="External" Id="rId211"/><Relationship Type="http://schemas.openxmlformats.org/officeDocument/2006/relationships/hyperlink" Target="https://new.land.naver.com/complexes/110226?ms=2AfAQG,3zprE6,17&amp;a=APT:ABYG:JGC&amp;b=A1:B1&amp;e=RETAIL&amp;h=34&amp;i=132&amp;l=198&amp;ad=true" TargetMode="External" Id="rId212"/><Relationship Type="http://schemas.openxmlformats.org/officeDocument/2006/relationships/hyperlink" Target="https://new.land.naver.com/complexes/110226?ms=2AfAQG,3zprE6,17&amp;a=APT:ABYG:JGC&amp;b=A1:B1&amp;e=RETAIL&amp;h=34&amp;i=132&amp;l=198&amp;ad=true" TargetMode="External" Id="rId213"/><Relationship Type="http://schemas.openxmlformats.org/officeDocument/2006/relationships/hyperlink" Target="https://new.land.naver.com/complexes/110226?ms=2AfAQG,3zprE6,17&amp;a=APT:ABYG:JGC&amp;b=A1:B1&amp;e=RETAIL&amp;h=34&amp;i=132&amp;l=198&amp;ad=true" TargetMode="External" Id="rId214"/><Relationship Type="http://schemas.openxmlformats.org/officeDocument/2006/relationships/hyperlink" Target="https://new.land.naver.com/complexes/110938?ms=2AfAQG,3zprE6,17&amp;a=APT:ABYG:JGC&amp;b=A1:B1&amp;e=RETAIL&amp;h=34&amp;i=132&amp;l=198&amp;ad=true" TargetMode="External" Id="rId215"/><Relationship Type="http://schemas.openxmlformats.org/officeDocument/2006/relationships/hyperlink" Target="https://new.land.naver.com/complexes/110938?ms=2AfAQG,3zprE6,17&amp;a=APT:ABYG:JGC&amp;b=A1:B1&amp;e=RETAIL&amp;h=34&amp;i=132&amp;l=198&amp;ad=true" TargetMode="External" Id="rId216"/><Relationship Type="http://schemas.openxmlformats.org/officeDocument/2006/relationships/hyperlink" Target="https://new.land.naver.com/complexes/110938?ms=2AfAQG,3zprE6,17&amp;a=APT:ABYG:JGC&amp;b=A1:B1&amp;e=RETAIL&amp;h=34&amp;i=132&amp;l=198&amp;ad=true" TargetMode="External" Id="rId217"/><Relationship Type="http://schemas.openxmlformats.org/officeDocument/2006/relationships/hyperlink" Target="https://new.land.naver.com/complexes/110938?ms=2AfAQG,3zprE6,17&amp;a=APT:ABYG:JGC&amp;b=A1:B1&amp;e=RETAIL&amp;h=34&amp;i=132&amp;l=198&amp;ad=true" TargetMode="External" Id="rId218"/><Relationship Type="http://schemas.openxmlformats.org/officeDocument/2006/relationships/hyperlink" Target="https://new.land.naver.com/complexes/110938?ms=2AfAQG,3zprE6,17&amp;a=APT:ABYG:JGC&amp;b=A1:B1&amp;e=RETAIL&amp;h=34&amp;i=132&amp;l=198&amp;ad=true" TargetMode="External" Id="rId219"/><Relationship Type="http://schemas.openxmlformats.org/officeDocument/2006/relationships/hyperlink" Target="https://new.land.naver.com/complexes/110938?ms=2AfAQG,3zprE6,17&amp;a=APT:ABYG:JGC&amp;b=A1:B1&amp;e=RETAIL&amp;h=34&amp;i=132&amp;l=198&amp;ad=true" TargetMode="External" Id="rId220"/><Relationship Type="http://schemas.openxmlformats.org/officeDocument/2006/relationships/hyperlink" Target="https://new.land.naver.com/complexes/3417?ms=2AfAQG,3zprE6,17&amp;a=APT:ABYG:JGC&amp;b=A1:B1&amp;e=RETAIL&amp;h=34&amp;i=132&amp;l=198&amp;ad=true" TargetMode="External" Id="rId221"/><Relationship Type="http://schemas.openxmlformats.org/officeDocument/2006/relationships/hyperlink" Target="https://new.land.naver.com/complexes/3417?ms=2AfAQG,3zprE6,17&amp;a=APT:ABYG:JGC&amp;b=A1:B1&amp;e=RETAIL&amp;h=34&amp;i=132&amp;l=198&amp;ad=true" TargetMode="External" Id="rId222"/><Relationship Type="http://schemas.openxmlformats.org/officeDocument/2006/relationships/hyperlink" Target="https://new.land.naver.com/complexes/3417?ms=2AfAQG,3zprE6,17&amp;a=APT:ABYG:JGC&amp;b=A1:B1&amp;e=RETAIL&amp;h=34&amp;i=132&amp;l=198&amp;ad=true" TargetMode="External" Id="rId223"/><Relationship Type="http://schemas.openxmlformats.org/officeDocument/2006/relationships/hyperlink" Target="https://new.land.naver.com/complexes/563?ms=2AfAQG,3zprE6,17&amp;a=APT:ABYG:JGC&amp;b=A1:B1&amp;e=RETAIL&amp;h=34&amp;i=132&amp;l=198&amp;ad=true" TargetMode="External" Id="rId224"/><Relationship Type="http://schemas.openxmlformats.org/officeDocument/2006/relationships/hyperlink" Target="https://new.land.naver.com/complexes/563?ms=2AfAQG,3zprE6,17&amp;a=APT:ABYG:JGC&amp;b=A1:B1&amp;e=RETAIL&amp;h=34&amp;i=132&amp;l=198&amp;ad=true" TargetMode="External" Id="rId225"/><Relationship Type="http://schemas.openxmlformats.org/officeDocument/2006/relationships/hyperlink" Target="https://new.land.naver.com/complexes/563?ms=2AfAQG,3zprE6,17&amp;a=APT:ABYG:JGC&amp;b=A1:B1&amp;e=RETAIL&amp;h=34&amp;i=132&amp;l=198&amp;ad=true" TargetMode="External" Id="rId226"/><Relationship Type="http://schemas.openxmlformats.org/officeDocument/2006/relationships/hyperlink" Target="https://new.land.naver.com/complexes/562?ms=2AfAQG,3zprE6,17&amp;a=APT:ABYG:JGC&amp;b=A1:B1&amp;e=RETAIL&amp;h=34&amp;i=132&amp;l=198&amp;ad=true" TargetMode="External" Id="rId227"/><Relationship Type="http://schemas.openxmlformats.org/officeDocument/2006/relationships/hyperlink" Target="https://new.land.naver.com/complexes/562?ms=2AfAQG,3zprE6,17&amp;a=APT:ABYG:JGC&amp;b=A1:B1&amp;e=RETAIL&amp;h=34&amp;i=132&amp;l=198&amp;ad=true" TargetMode="External" Id="rId228"/><Relationship Type="http://schemas.openxmlformats.org/officeDocument/2006/relationships/hyperlink" Target="https://new.land.naver.com/complexes/562?ms=2AfAQG,3zprE6,17&amp;a=APT:ABYG:JGC&amp;b=A1:B1&amp;e=RETAIL&amp;h=34&amp;i=132&amp;l=198&amp;ad=true" TargetMode="External" Id="rId229"/><Relationship Type="http://schemas.openxmlformats.org/officeDocument/2006/relationships/hyperlink" Target="https://new.land.naver.com/complexes/562?ms=2AfAQG,3zprE6,17&amp;a=APT:ABYG:JGC&amp;b=A1:B1&amp;e=RETAIL&amp;h=34&amp;i=132&amp;l=198&amp;ad=true" TargetMode="External" Id="rId230"/><Relationship Type="http://schemas.openxmlformats.org/officeDocument/2006/relationships/hyperlink" Target="https://new.land.naver.com/complexes/562?ms=2AfAQG,3zprE6,17&amp;a=APT:ABYG:JGC&amp;b=A1:B1&amp;e=RETAIL&amp;h=34&amp;i=132&amp;l=198&amp;ad=true" TargetMode="External" Id="rId231"/><Relationship Type="http://schemas.openxmlformats.org/officeDocument/2006/relationships/hyperlink" Target="https://new.land.naver.com/complexes/176297?ms=2AfAQG,3zprE6,17&amp;a=APT:ABYG:JGC&amp;b=A1:B1&amp;e=RETAIL&amp;h=34&amp;i=132&amp;l=198&amp;ad=true" TargetMode="External" Id="rId232"/><Relationship Type="http://schemas.openxmlformats.org/officeDocument/2006/relationships/hyperlink" Target="https://new.land.naver.com/complexes/176297?ms=2AfAQG,3zprE6,17&amp;a=APT:ABYG:JGC&amp;b=A1:B1&amp;e=RETAIL&amp;h=34&amp;i=132&amp;l=198&amp;ad=true" TargetMode="External" Id="rId233"/><Relationship Type="http://schemas.openxmlformats.org/officeDocument/2006/relationships/hyperlink" Target="https://new.land.naver.com/complexes/572?ms=2AfAQG,3zprE6,17&amp;a=APT:ABYG:JGC&amp;b=A1:B1&amp;e=RETAIL&amp;h=34&amp;i=132&amp;l=198&amp;ad=true" TargetMode="External" Id="rId234"/><Relationship Type="http://schemas.openxmlformats.org/officeDocument/2006/relationships/hyperlink" Target="https://new.land.naver.com/complexes/572?ms=2AfAQG,3zprE6,17&amp;a=APT:ABYG:JGC&amp;b=A1:B1&amp;e=RETAIL&amp;h=34&amp;i=132&amp;l=198&amp;ad=true" TargetMode="External" Id="rId235"/><Relationship Type="http://schemas.openxmlformats.org/officeDocument/2006/relationships/hyperlink" Target="https://new.land.naver.com/complexes/572?ms=2AfAQG,3zprE6,17&amp;a=APT:ABYG:JGC&amp;b=A1:B1&amp;e=RETAIL&amp;h=34&amp;i=132&amp;l=198&amp;ad=true" TargetMode="External" Id="rId236"/><Relationship Type="http://schemas.openxmlformats.org/officeDocument/2006/relationships/hyperlink" Target="https://new.land.naver.com/complexes/569?ms=2AfAQG,3zprE6,17&amp;a=APT:ABYG:JGC&amp;b=A1:B1&amp;e=RETAIL&amp;h=34&amp;i=132&amp;l=198&amp;ad=true" TargetMode="External" Id="rId237"/><Relationship Type="http://schemas.openxmlformats.org/officeDocument/2006/relationships/hyperlink" Target="https://new.land.naver.com/complexes/569?ms=2AfAQG,3zprE6,17&amp;a=APT:ABYG:JGC&amp;b=A1:B1&amp;e=RETAIL&amp;h=34&amp;i=132&amp;l=198&amp;ad=true" TargetMode="External" Id="rId238"/><Relationship Type="http://schemas.openxmlformats.org/officeDocument/2006/relationships/hyperlink" Target="https://new.land.naver.com/complexes/569?ms=2AfAQG,3zprE6,17&amp;a=APT:ABYG:JGC&amp;b=A1:B1&amp;e=RETAIL&amp;h=34&amp;i=132&amp;l=198&amp;ad=true" TargetMode="External" Id="rId239"/><Relationship Type="http://schemas.openxmlformats.org/officeDocument/2006/relationships/hyperlink" Target="https://new.land.naver.com/complexes/569?ms=2AfAQG,3zprE6,17&amp;a=APT:ABYG:JGC&amp;b=A1:B1&amp;e=RETAIL&amp;h=34&amp;i=132&amp;l=198&amp;ad=true" TargetMode="External" Id="rId240"/><Relationship Type="http://schemas.openxmlformats.org/officeDocument/2006/relationships/hyperlink" Target="https://new.land.naver.com/complexes/571?ms=2AfAQG,3zprE6,17&amp;a=APT:ABYG:JGC&amp;b=A1:B1&amp;e=RETAIL&amp;h=34&amp;i=132&amp;l=198&amp;ad=true" TargetMode="External" Id="rId241"/><Relationship Type="http://schemas.openxmlformats.org/officeDocument/2006/relationships/hyperlink" Target="https://new.land.naver.com/complexes/571?ms=2AfAQG,3zprE6,17&amp;a=APT:ABYG:JGC&amp;b=A1:B1&amp;e=RETAIL&amp;h=34&amp;i=132&amp;l=198&amp;ad=true" TargetMode="External" Id="rId242"/><Relationship Type="http://schemas.openxmlformats.org/officeDocument/2006/relationships/hyperlink" Target="https://new.land.naver.com/complexes/2976?ms=2AfAQG,3zprE6,17&amp;a=APT:ABYG:JGC&amp;b=A1:B1&amp;e=RETAIL&amp;h=34&amp;i=132&amp;l=198&amp;ad=true" TargetMode="External" Id="rId243"/><Relationship Type="http://schemas.openxmlformats.org/officeDocument/2006/relationships/hyperlink" Target="https://new.land.naver.com/complexes/2976?ms=2AfAQG,3zprE6,17&amp;a=APT:ABYG:JGC&amp;b=A1:B1&amp;e=RETAIL&amp;h=34&amp;i=132&amp;l=198&amp;ad=true" TargetMode="External" Id="rId244"/><Relationship Type="http://schemas.openxmlformats.org/officeDocument/2006/relationships/hyperlink" Target="https://new.land.naver.com/complexes/2976?ms=2AfAQG,3zprE6,17&amp;a=APT:ABYG:JGC&amp;b=A1:B1&amp;e=RETAIL&amp;h=34&amp;i=132&amp;l=198&amp;ad=true" TargetMode="External" Id="rId245"/><Relationship Type="http://schemas.openxmlformats.org/officeDocument/2006/relationships/hyperlink" Target="https://new.land.naver.com/complexes/2976?ms=2AfAQG,3zprE6,17&amp;a=APT:ABYG:JGC&amp;b=A1:B1&amp;e=RETAIL&amp;h=34&amp;i=132&amp;l=198&amp;ad=true" TargetMode="External" Id="rId246"/><Relationship Type="http://schemas.openxmlformats.org/officeDocument/2006/relationships/hyperlink" Target="https://new.land.naver.com/complexes/7993?ms=2AfAQG,3zprE6,17&amp;a=APT:ABYG:JGC&amp;b=A1:B1&amp;e=RETAIL&amp;h=34&amp;i=132&amp;l=198&amp;ad=true" TargetMode="External" Id="rId247"/><Relationship Type="http://schemas.openxmlformats.org/officeDocument/2006/relationships/hyperlink" Target="https://new.land.naver.com/complexes/7993?ms=2AfAQG,3zprE6,17&amp;a=APT:ABYG:JGC&amp;b=A1:B1&amp;e=RETAIL&amp;h=34&amp;i=132&amp;l=198&amp;ad=true" TargetMode="External" Id="rId248"/><Relationship Type="http://schemas.openxmlformats.org/officeDocument/2006/relationships/hyperlink" Target="https://new.land.naver.com/complexes/7993?ms=2AfAQG,3zprE6,17&amp;a=APT:ABYG:JGC&amp;b=A1:B1&amp;e=RETAIL&amp;h=34&amp;i=132&amp;l=198&amp;ad=true" TargetMode="External" Id="rId249"/><Relationship Type="http://schemas.openxmlformats.org/officeDocument/2006/relationships/hyperlink" Target="https://new.land.naver.com/complexes/568?ms=2AfAQG,3zprE6,17&amp;a=APT:ABYG:JGC&amp;b=A1:B1&amp;e=RETAIL&amp;h=34&amp;i=132&amp;l=198&amp;ad=true" TargetMode="External" Id="rId250"/><Relationship Type="http://schemas.openxmlformats.org/officeDocument/2006/relationships/hyperlink" Target="https://new.land.naver.com/complexes/568?ms=2AfAQG,3zprE6,17&amp;a=APT:ABYG:JGC&amp;b=A1:B1&amp;e=RETAIL&amp;h=34&amp;i=132&amp;l=198&amp;ad=true" TargetMode="External" Id="rId251"/><Relationship Type="http://schemas.openxmlformats.org/officeDocument/2006/relationships/hyperlink" Target="https://new.land.naver.com/complexes/568?ms=2AfAQG,3zprE6,17&amp;a=APT:ABYG:JGC&amp;b=A1:B1&amp;e=RETAIL&amp;h=34&amp;i=132&amp;l=198&amp;ad=true" TargetMode="External" Id="rId252"/><Relationship Type="http://schemas.openxmlformats.org/officeDocument/2006/relationships/hyperlink" Target="https://new.land.naver.com/complexes/568?ms=2AfAQG,3zprE6,17&amp;a=APT:ABYG:JGC&amp;b=A1:B1&amp;e=RETAIL&amp;h=34&amp;i=132&amp;l=198&amp;ad=true" TargetMode="External" Id="rId253"/><Relationship Type="http://schemas.openxmlformats.org/officeDocument/2006/relationships/hyperlink" Target="https://new.land.naver.com/complexes/3420?ms=2AfAQG,3zprE6,17&amp;a=APT:ABYG:JGC&amp;b=A1:B1&amp;e=RETAIL&amp;h=34&amp;i=132&amp;l=198&amp;ad=true" TargetMode="External" Id="rId254"/><Relationship Type="http://schemas.openxmlformats.org/officeDocument/2006/relationships/hyperlink" Target="https://new.land.naver.com/complexes/3420?ms=2AfAQG,3zprE6,17&amp;a=APT:ABYG:JGC&amp;b=A1:B1&amp;e=RETAIL&amp;h=34&amp;i=132&amp;l=198&amp;ad=true" TargetMode="External" Id="rId255"/><Relationship Type="http://schemas.openxmlformats.org/officeDocument/2006/relationships/hyperlink" Target="https://new.land.naver.com/complexes/3420?ms=2AfAQG,3zprE6,17&amp;a=APT:ABYG:JGC&amp;b=A1:B1&amp;e=RETAIL&amp;h=34&amp;i=132&amp;l=198&amp;ad=true" TargetMode="External" Id="rId256"/><Relationship Type="http://schemas.openxmlformats.org/officeDocument/2006/relationships/hyperlink" Target="https://new.land.naver.com/complexes/3420?ms=2AfAQG,3zprE6,17&amp;a=APT:ABYG:JGC&amp;b=A1:B1&amp;e=RETAIL&amp;h=34&amp;i=132&amp;l=198&amp;ad=true" TargetMode="External" Id="rId257"/><Relationship Type="http://schemas.openxmlformats.org/officeDocument/2006/relationships/hyperlink" Target="https://new.land.naver.com/complexes/3532?ms=2AfAQG,3zprE6,17&amp;a=APT:ABYG:JGC&amp;b=A1:B1&amp;e=RETAIL&amp;h=34&amp;i=132&amp;l=198&amp;ad=true" TargetMode="External" Id="rId258"/><Relationship Type="http://schemas.openxmlformats.org/officeDocument/2006/relationships/hyperlink" Target="https://new.land.naver.com/complexes/3532?ms=2AfAQG,3zprE6,17&amp;a=APT:ABYG:JGC&amp;b=A1:B1&amp;e=RETAIL&amp;h=34&amp;i=132&amp;l=198&amp;ad=true" TargetMode="External" Id="rId259"/><Relationship Type="http://schemas.openxmlformats.org/officeDocument/2006/relationships/hyperlink" Target="https://new.land.naver.com/complexes/3532?ms=2AfAQG,3zprE6,17&amp;a=APT:ABYG:JGC&amp;b=A1:B1&amp;e=RETAIL&amp;h=34&amp;i=132&amp;l=198&amp;ad=true" TargetMode="External" Id="rId260"/><Relationship Type="http://schemas.openxmlformats.org/officeDocument/2006/relationships/hyperlink" Target="https://new.land.naver.com/complexes/838?ms=2AfAQG,3zprE6,17&amp;a=APT:ABYG:JGC&amp;b=A1:B1&amp;e=RETAIL&amp;h=34&amp;i=132&amp;l=198&amp;ad=true" TargetMode="External" Id="rId261"/><Relationship Type="http://schemas.openxmlformats.org/officeDocument/2006/relationships/hyperlink" Target="https://new.land.naver.com/complexes/109910?ms=2AfAQG,3zprE6,17&amp;a=APT:ABYG:JGC&amp;b=A1:B1&amp;e=RETAIL&amp;h=34&amp;i=132&amp;l=198&amp;ad=true" TargetMode="External" Id="rId262"/><Relationship Type="http://schemas.openxmlformats.org/officeDocument/2006/relationships/hyperlink" Target="https://new.land.naver.com/complexes/109910?ms=2AfAQG,3zprE6,17&amp;a=APT:ABYG:JGC&amp;b=A1:B1&amp;e=RETAIL&amp;h=34&amp;i=132&amp;l=198&amp;ad=true" TargetMode="External" Id="rId263"/><Relationship Type="http://schemas.openxmlformats.org/officeDocument/2006/relationships/hyperlink" Target="https://new.land.naver.com/complexes/109910?ms=2AfAQG,3zprE6,17&amp;a=APT:ABYG:JGC&amp;b=A1:B1&amp;e=RETAIL&amp;h=34&amp;i=132&amp;l=198&amp;ad=true" TargetMode="External" Id="rId264"/><Relationship Type="http://schemas.openxmlformats.org/officeDocument/2006/relationships/hyperlink" Target="https://new.land.naver.com/complexes/109910?ms=2AfAQG,3zprE6,17&amp;a=APT:ABYG:JGC&amp;b=A1:B1&amp;e=RETAIL&amp;h=34&amp;i=132&amp;l=198&amp;ad=true" TargetMode="External" Id="rId265"/><Relationship Type="http://schemas.openxmlformats.org/officeDocument/2006/relationships/hyperlink" Target="https://new.land.naver.com/complexes/107508?ms=2AfAQG,3zprE6,17&amp;a=APT:ABYG:JGC&amp;b=A1:B1&amp;e=RETAIL&amp;h=34&amp;i=132&amp;l=198&amp;ad=true" TargetMode="External" Id="rId266"/><Relationship Type="http://schemas.openxmlformats.org/officeDocument/2006/relationships/hyperlink" Target="https://new.land.naver.com/complexes/107508?ms=2AfAQG,3zprE6,17&amp;a=APT:ABYG:JGC&amp;b=A1:B1&amp;e=RETAIL&amp;h=34&amp;i=132&amp;l=198&amp;ad=true" TargetMode="External" Id="rId267"/><Relationship Type="http://schemas.openxmlformats.org/officeDocument/2006/relationships/hyperlink" Target="https://new.land.naver.com/complexes/107508?ms=2AfAQG,3zprE6,17&amp;a=APT:ABYG:JGC&amp;b=A1:B1&amp;e=RETAIL&amp;h=34&amp;i=132&amp;l=198&amp;ad=true" TargetMode="External" Id="rId268"/><Relationship Type="http://schemas.openxmlformats.org/officeDocument/2006/relationships/hyperlink" Target="https://new.land.naver.com/complexes/107508?ms=2AfAQG,3zprE6,17&amp;a=APT:ABYG:JGC&amp;b=A1:B1&amp;e=RETAIL&amp;h=34&amp;i=132&amp;l=198&amp;ad=true" TargetMode="External" Id="rId269"/><Relationship Type="http://schemas.openxmlformats.org/officeDocument/2006/relationships/hyperlink" Target="https://new.land.naver.com/complexes/107508?ms=2AfAQG,3zprE6,17&amp;a=APT:ABYG:JGC&amp;b=A1:B1&amp;e=RETAIL&amp;h=34&amp;i=132&amp;l=198&amp;ad=true" TargetMode="External" Id="rId270"/><Relationship Type="http://schemas.openxmlformats.org/officeDocument/2006/relationships/hyperlink" Target="https://new.land.naver.com/complexes/107508?ms=2AfAQG,3zprE6,17&amp;a=APT:ABYG:JGC&amp;b=A1:B1&amp;e=RETAIL&amp;h=34&amp;i=132&amp;l=198&amp;ad=true" TargetMode="External" Id="rId271"/><Relationship Type="http://schemas.openxmlformats.org/officeDocument/2006/relationships/hyperlink" Target="https://new.land.naver.com/complexes/111002?ms=2AfAQG,3zprE6,17&amp;a=APT:ABYG:JGC&amp;b=A1:B1&amp;e=RETAIL&amp;h=34&amp;i=132&amp;l=198&amp;ad=true" TargetMode="External" Id="rId272"/><Relationship Type="http://schemas.openxmlformats.org/officeDocument/2006/relationships/hyperlink" Target="https://new.land.naver.com/complexes/111002?ms=2AfAQG,3zprE6,17&amp;a=APT:ABYG:JGC&amp;b=A1:B1&amp;e=RETAIL&amp;h=34&amp;i=132&amp;l=198&amp;ad=true" TargetMode="External" Id="rId273"/><Relationship Type="http://schemas.openxmlformats.org/officeDocument/2006/relationships/hyperlink" Target="https://new.land.naver.com/complexes/111002?ms=2AfAQG,3zprE6,17&amp;a=APT:ABYG:JGC&amp;b=A1:B1&amp;e=RETAIL&amp;h=34&amp;i=132&amp;l=198&amp;ad=true" TargetMode="External" Id="rId274"/><Relationship Type="http://schemas.openxmlformats.org/officeDocument/2006/relationships/hyperlink" Target="https://new.land.naver.com/complexes/9168?ms=2AfAQG,3zprE6,17&amp;a=APT:ABYG:JGC&amp;b=A1:B1&amp;e=RETAIL&amp;h=34&amp;i=132&amp;l=198&amp;ad=true" TargetMode="External" Id="rId275"/><Relationship Type="http://schemas.openxmlformats.org/officeDocument/2006/relationships/hyperlink" Target="https://new.land.naver.com/complexes/9168?ms=2AfAQG,3zprE6,17&amp;a=APT:ABYG:JGC&amp;b=A1:B1&amp;e=RETAIL&amp;h=34&amp;i=132&amp;l=198&amp;ad=true" TargetMode="External" Id="rId276"/><Relationship Type="http://schemas.openxmlformats.org/officeDocument/2006/relationships/hyperlink" Target="https://new.land.naver.com/complexes/9168?ms=2AfAQG,3zprE6,17&amp;a=APT:ABYG:JGC&amp;b=A1:B1&amp;e=RETAIL&amp;h=34&amp;i=132&amp;l=198&amp;ad=true" TargetMode="External" Id="rId277"/><Relationship Type="http://schemas.openxmlformats.org/officeDocument/2006/relationships/hyperlink" Target="https://new.land.naver.com/complexes/573?ms=2AfAQG,3zprE6,17&amp;a=APT:ABYG:JGC&amp;b=A1:B1&amp;e=RETAIL&amp;h=34&amp;i=132&amp;l=198&amp;ad=true" TargetMode="External" Id="rId278"/><Relationship Type="http://schemas.openxmlformats.org/officeDocument/2006/relationships/hyperlink" Target="https://new.land.naver.com/complexes/573?ms=2AfAQG,3zprE6,17&amp;a=APT:ABYG:JGC&amp;b=A1:B1&amp;e=RETAIL&amp;h=34&amp;i=132&amp;l=198&amp;ad=true" TargetMode="External" Id="rId279"/><Relationship Type="http://schemas.openxmlformats.org/officeDocument/2006/relationships/hyperlink" Target="https://new.land.naver.com/complexes/573?ms=2AfAQG,3zprE6,17&amp;a=APT:ABYG:JGC&amp;b=A1:B1&amp;e=RETAIL&amp;h=34&amp;i=132&amp;l=198&amp;ad=true" TargetMode="External" Id="rId280"/><Relationship Type="http://schemas.openxmlformats.org/officeDocument/2006/relationships/hyperlink" Target="https://new.land.naver.com/complexes/107240?ms=2AfAQG,3zprE6,17&amp;a=APT:ABYG:JGC&amp;b=A1:B1&amp;e=RETAIL&amp;h=34&amp;i=132&amp;l=198&amp;ad=true" TargetMode="External" Id="rId281"/><Relationship Type="http://schemas.openxmlformats.org/officeDocument/2006/relationships/hyperlink" Target="https://new.land.naver.com/complexes/107240?ms=2AfAQG,3zprE6,17&amp;a=APT:ABYG:JGC&amp;b=A1:B1&amp;e=RETAIL&amp;h=34&amp;i=132&amp;l=198&amp;ad=true" TargetMode="External" Id="rId282"/><Relationship Type="http://schemas.openxmlformats.org/officeDocument/2006/relationships/hyperlink" Target="https://new.land.naver.com/complexes/107240?ms=2AfAQG,3zprE6,17&amp;a=APT:ABYG:JGC&amp;b=A1:B1&amp;e=RETAIL&amp;h=34&amp;i=132&amp;l=198&amp;ad=true" TargetMode="External" Id="rId283"/><Relationship Type="http://schemas.openxmlformats.org/officeDocument/2006/relationships/hyperlink" Target="https://new.land.naver.com/complexes/107240?ms=2AfAQG,3zprE6,17&amp;a=APT:ABYG:JGC&amp;b=A1:B1&amp;e=RETAIL&amp;h=34&amp;i=132&amp;l=198&amp;ad=true" TargetMode="External" Id="rId284"/><Relationship Type="http://schemas.openxmlformats.org/officeDocument/2006/relationships/hyperlink" Target="https://new.land.naver.com/complexes/107240?ms=2AfAQG,3zprE6,17&amp;a=APT:ABYG:JGC&amp;b=A1:B1&amp;e=RETAIL&amp;h=34&amp;i=132&amp;l=198&amp;ad=true" TargetMode="External" Id="rId285"/><Relationship Type="http://schemas.openxmlformats.org/officeDocument/2006/relationships/hyperlink" Target="https://new.land.naver.com/complexes/574?ms=2AfAQG,3zprE6,17&amp;a=APT:ABYG:JGC&amp;b=A1:B1&amp;e=RETAIL&amp;h=34&amp;i=132&amp;l=198&amp;ad=true" TargetMode="External" Id="rId286"/><Relationship Type="http://schemas.openxmlformats.org/officeDocument/2006/relationships/hyperlink" Target="https://new.land.naver.com/complexes/574?ms=2AfAQG,3zprE6,17&amp;a=APT:ABYG:JGC&amp;b=A1:B1&amp;e=RETAIL&amp;h=34&amp;i=132&amp;l=198&amp;ad=true" TargetMode="External" Id="rId287"/><Relationship Type="http://schemas.openxmlformats.org/officeDocument/2006/relationships/hyperlink" Target="https://new.land.naver.com/complexes/574?ms=2AfAQG,3zprE6,17&amp;a=APT:ABYG:JGC&amp;b=A1:B1&amp;e=RETAIL&amp;h=34&amp;i=132&amp;l=198&amp;ad=true" TargetMode="External" Id="rId288"/><Relationship Type="http://schemas.openxmlformats.org/officeDocument/2006/relationships/hyperlink" Target="https://new.land.naver.com/complexes/574?ms=2AfAQG,3zprE6,17&amp;a=APT:ABYG:JGC&amp;b=A1:B1&amp;e=RETAIL&amp;h=34&amp;i=132&amp;l=198&amp;ad=true" TargetMode="External" Id="rId289"/><Relationship Type="http://schemas.openxmlformats.org/officeDocument/2006/relationships/hyperlink" Target="https://new.land.naver.com/complexes/574?ms=2AfAQG,3zprE6,17&amp;a=APT:ABYG:JGC&amp;b=A1:B1&amp;e=RETAIL&amp;h=34&amp;i=132&amp;l=198&amp;ad=true" TargetMode="External" Id="rId290"/><Relationship Type="http://schemas.openxmlformats.org/officeDocument/2006/relationships/hyperlink" Target="https://new.land.naver.com/complexes/574?ms=2AfAQG,3zprE6,17&amp;a=APT:ABYG:JGC&amp;b=A1:B1&amp;e=RETAIL&amp;h=34&amp;i=132&amp;l=198&amp;ad=true" TargetMode="External" Id="rId291"/><Relationship Type="http://schemas.openxmlformats.org/officeDocument/2006/relationships/hyperlink" Target="https://new.land.naver.com/complexes/574?ms=2AfAQG,3zprE6,17&amp;a=APT:ABYG:JGC&amp;b=A1:B1&amp;e=RETAIL&amp;h=34&amp;i=132&amp;l=198&amp;ad=true" TargetMode="External" Id="rId292"/><Relationship Type="http://schemas.openxmlformats.org/officeDocument/2006/relationships/hyperlink" Target="https://new.land.naver.com/complexes/8545?ms=2AfAQG,3zprE6,17&amp;a=APT:ABYG:JGC&amp;b=A1:B1&amp;e=RETAIL&amp;h=34&amp;i=132&amp;l=198&amp;ad=true" TargetMode="External" Id="rId293"/><Relationship Type="http://schemas.openxmlformats.org/officeDocument/2006/relationships/hyperlink" Target="https://new.land.naver.com/complexes/8545?ms=2AfAQG,3zprE6,17&amp;a=APT:ABYG:JGC&amp;b=A1:B1&amp;e=RETAIL&amp;h=34&amp;i=132&amp;l=198&amp;ad=true" TargetMode="External" Id="rId294"/><Relationship Type="http://schemas.openxmlformats.org/officeDocument/2006/relationships/hyperlink" Target="https://new.land.naver.com/complexes/8545?ms=2AfAQG,3zprE6,17&amp;a=APT:ABYG:JGC&amp;b=A1:B1&amp;e=RETAIL&amp;h=34&amp;i=132&amp;l=198&amp;ad=true" TargetMode="External" Id="rId295"/><Relationship Type="http://schemas.openxmlformats.org/officeDocument/2006/relationships/hyperlink" Target="https://new.land.naver.com/complexes/8854?ms=2AfAQG,3zprE6,17&amp;a=APT:ABYG:JGC&amp;b=A1:B1&amp;e=RETAIL&amp;h=34&amp;i=132&amp;l=198&amp;ad=true" TargetMode="External" Id="rId296"/><Relationship Type="http://schemas.openxmlformats.org/officeDocument/2006/relationships/hyperlink" Target="https://new.land.naver.com/complexes/8854?ms=2AfAQG,3zprE6,17&amp;a=APT:ABYG:JGC&amp;b=A1:B1&amp;e=RETAIL&amp;h=34&amp;i=132&amp;l=198&amp;ad=true" TargetMode="External" Id="rId297"/><Relationship Type="http://schemas.openxmlformats.org/officeDocument/2006/relationships/hyperlink" Target="https://new.land.naver.com/complexes/26215?ms=2AfAQG,3zprE6,17&amp;a=APT:ABYG:JGC&amp;b=A1:B1&amp;e=RETAIL&amp;h=34&amp;i=132&amp;l=198&amp;ad=true" TargetMode="External" Id="rId298"/><Relationship Type="http://schemas.openxmlformats.org/officeDocument/2006/relationships/hyperlink" Target="https://new.land.naver.com/complexes/26215?ms=2AfAQG,3zprE6,17&amp;a=APT:ABYG:JGC&amp;b=A1:B1&amp;e=RETAIL&amp;h=34&amp;i=132&amp;l=198&amp;ad=true" TargetMode="External" Id="rId299"/><Relationship Type="http://schemas.openxmlformats.org/officeDocument/2006/relationships/hyperlink" Target="https://new.land.naver.com/complexes/26215?ms=2AfAQG,3zprE6,17&amp;a=APT:ABYG:JGC&amp;b=A1:B1&amp;e=RETAIL&amp;h=34&amp;i=132&amp;l=198&amp;ad=true" TargetMode="External" Id="rId300"/><Relationship Type="http://schemas.openxmlformats.org/officeDocument/2006/relationships/hyperlink" Target="https://new.land.naver.com/complexes/26215?ms=2AfAQG,3zprE6,17&amp;a=APT:ABYG:JGC&amp;b=A1:B1&amp;e=RETAIL&amp;h=34&amp;i=132&amp;l=198&amp;ad=true" TargetMode="External" Id="rId301"/><Relationship Type="http://schemas.openxmlformats.org/officeDocument/2006/relationships/hyperlink" Target="https://new.land.naver.com/complexes/179118?ms=2AfAQG,3zprE6,17&amp;a=APT:ABYG:JGC&amp;b=A1:B1&amp;e=RETAIL&amp;h=34&amp;i=132&amp;l=198&amp;ad=true" TargetMode="External" Id="rId302"/><Relationship Type="http://schemas.openxmlformats.org/officeDocument/2006/relationships/hyperlink" Target="https://new.land.naver.com/complexes/179118?ms=2AfAQG,3zprE6,17&amp;a=APT:ABYG:JGC&amp;b=A1:B1&amp;e=RETAIL&amp;h=34&amp;i=132&amp;l=198&amp;ad=true" TargetMode="External" Id="rId303"/><Relationship Type="http://schemas.openxmlformats.org/officeDocument/2006/relationships/hyperlink" Target="https://new.land.naver.com/complexes/179118?ms=2AfAQG,3zprE6,17&amp;a=APT:ABYG:JGC&amp;b=A1:B1&amp;e=RETAIL&amp;h=34&amp;i=132&amp;l=198&amp;ad=true" TargetMode="External" Id="rId304"/><Relationship Type="http://schemas.openxmlformats.org/officeDocument/2006/relationships/hyperlink" Target="https://new.land.naver.com/complexes/179118?ms=2AfAQG,3zprE6,17&amp;a=APT:ABYG:JGC&amp;b=A1:B1&amp;e=RETAIL&amp;h=34&amp;i=132&amp;l=198&amp;ad=true" TargetMode="External" Id="rId305"/><Relationship Type="http://schemas.openxmlformats.org/officeDocument/2006/relationships/hyperlink" Target="https://new.land.naver.com/complexes/179118?ms=2AfAQG,3zprE6,17&amp;a=APT:ABYG:JGC&amp;b=A1:B1&amp;e=RETAIL&amp;h=34&amp;i=132&amp;l=198&amp;ad=true" TargetMode="External" Id="rId306"/><Relationship Type="http://schemas.openxmlformats.org/officeDocument/2006/relationships/hyperlink" Target="https://new.land.naver.com/complexes/103112?ms=2AfAQG,3zprE6,17&amp;a=APT:ABYG:JGC&amp;b=A1:B1&amp;e=RETAIL&amp;h=34&amp;i=132&amp;l=198&amp;ad=true" TargetMode="External" Id="rId307"/><Relationship Type="http://schemas.openxmlformats.org/officeDocument/2006/relationships/hyperlink" Target="https://new.land.naver.com/complexes/103112?ms=2AfAQG,3zprE6,17&amp;a=APT:ABYG:JGC&amp;b=A1:B1&amp;e=RETAIL&amp;h=34&amp;i=132&amp;l=198&amp;ad=true" TargetMode="External" Id="rId308"/><Relationship Type="http://schemas.openxmlformats.org/officeDocument/2006/relationships/hyperlink" Target="https://new.land.naver.com/complexes/103112?ms=2AfAQG,3zprE6,17&amp;a=APT:ABYG:JGC&amp;b=A1:B1&amp;e=RETAIL&amp;h=34&amp;i=132&amp;l=198&amp;ad=true" TargetMode="External" Id="rId309"/><Relationship Type="http://schemas.openxmlformats.org/officeDocument/2006/relationships/hyperlink" Target="https://new.land.naver.com/complexes/103112?ms=2AfAQG,3zprE6,17&amp;a=APT:ABYG:JGC&amp;b=A1:B1&amp;e=RETAIL&amp;h=34&amp;i=132&amp;l=198&amp;ad=true" TargetMode="External" Id="rId310"/><Relationship Type="http://schemas.openxmlformats.org/officeDocument/2006/relationships/hyperlink" Target="https://new.land.naver.com/complexes/103112?ms=2AfAQG,3zprE6,17&amp;a=APT:ABYG:JGC&amp;b=A1:B1&amp;e=RETAIL&amp;h=34&amp;i=132&amp;l=198&amp;ad=true" TargetMode="External" Id="rId311"/><Relationship Type="http://schemas.openxmlformats.org/officeDocument/2006/relationships/hyperlink" Target="https://new.land.naver.com/complexes/111258?ms=2AfAQG,3zprE6,17&amp;a=APT:ABYG:JGC&amp;b=A1:B1&amp;e=RETAIL&amp;h=34&amp;i=132&amp;l=198&amp;ad=true" TargetMode="External" Id="rId312"/><Relationship Type="http://schemas.openxmlformats.org/officeDocument/2006/relationships/hyperlink" Target="https://new.land.naver.com/complexes/111258?ms=2AfAQG,3zprE6,17&amp;a=APT:ABYG:JGC&amp;b=A1:B1&amp;e=RETAIL&amp;h=34&amp;i=132&amp;l=198&amp;ad=true" TargetMode="External" Id="rId313"/><Relationship Type="http://schemas.openxmlformats.org/officeDocument/2006/relationships/hyperlink" Target="https://new.land.naver.com/complexes/111258?ms=2AfAQG,3zprE6,17&amp;a=APT:ABYG:JGC&amp;b=A1:B1&amp;e=RETAIL&amp;h=34&amp;i=132&amp;l=198&amp;ad=true" TargetMode="External" Id="rId314"/><Relationship Type="http://schemas.openxmlformats.org/officeDocument/2006/relationships/hyperlink" Target="https://new.land.naver.com/complexes/111258?ms=2AfAQG,3zprE6,17&amp;a=APT:ABYG:JGC&amp;b=A1:B1&amp;e=RETAIL&amp;h=34&amp;i=132&amp;l=198&amp;ad=true" TargetMode="External" Id="rId315"/><Relationship Type="http://schemas.openxmlformats.org/officeDocument/2006/relationships/hyperlink" Target="https://new.land.naver.com/complexes/111258?ms=2AfAQG,3zprE6,17&amp;a=APT:ABYG:JGC&amp;b=A1:B1&amp;e=RETAIL&amp;h=34&amp;i=132&amp;l=198&amp;ad=true" TargetMode="External" Id="rId316"/><Relationship Type="http://schemas.openxmlformats.org/officeDocument/2006/relationships/hyperlink" Target="https://new.land.naver.com/complexes/111258?ms=2AfAQG,3zprE6,17&amp;a=APT:ABYG:JGC&amp;b=A1:B1&amp;e=RETAIL&amp;h=34&amp;i=132&amp;l=198&amp;ad=true" TargetMode="External" Id="rId317"/><Relationship Type="http://schemas.openxmlformats.org/officeDocument/2006/relationships/hyperlink" Target="https://new.land.naver.com/complexes/111258?ms=2AfAQG,3zprE6,17&amp;a=APT:ABYG:JGC&amp;b=A1:B1&amp;e=RETAIL&amp;h=34&amp;i=132&amp;l=198&amp;ad=true" TargetMode="External" Id="rId318"/><Relationship Type="http://schemas.openxmlformats.org/officeDocument/2006/relationships/hyperlink" Target="https://new.land.naver.com/complexes/111258?ms=2AfAQG,3zprE6,17&amp;a=APT:ABYG:JGC&amp;b=A1:B1&amp;e=RETAIL&amp;h=34&amp;i=132&amp;l=198&amp;ad=true" TargetMode="External" Id="rId319"/><Relationship Type="http://schemas.openxmlformats.org/officeDocument/2006/relationships/hyperlink" Target="https://new.land.naver.com/complexes/575?ms=2AfAQG,3zprE6,17&amp;a=APT:ABYG:JGC&amp;b=A1:B1&amp;e=RETAIL&amp;h=34&amp;i=132&amp;l=198&amp;ad=true" TargetMode="External" Id="rId320"/><Relationship Type="http://schemas.openxmlformats.org/officeDocument/2006/relationships/hyperlink" Target="https://new.land.naver.com/complexes/575?ms=2AfAQG,3zprE6,17&amp;a=APT:ABYG:JGC&amp;b=A1:B1&amp;e=RETAIL&amp;h=34&amp;i=132&amp;l=198&amp;ad=true" TargetMode="External" Id="rId321"/><Relationship Type="http://schemas.openxmlformats.org/officeDocument/2006/relationships/hyperlink" Target="https://new.land.naver.com/complexes/575?ms=2AfAQG,3zprE6,17&amp;a=APT:ABYG:JGC&amp;b=A1:B1&amp;e=RETAIL&amp;h=34&amp;i=132&amp;l=198&amp;ad=true" TargetMode="External" Id="rId322"/><Relationship Type="http://schemas.openxmlformats.org/officeDocument/2006/relationships/hyperlink" Target="https://new.land.naver.com/complexes/2977?ms=2AfAQG,3zprE6,17&amp;a=APT:ABYG:JGC&amp;b=A1:B1&amp;e=RETAIL&amp;h=34&amp;i=132&amp;l=198&amp;ad=true" TargetMode="External" Id="rId323"/><Relationship Type="http://schemas.openxmlformats.org/officeDocument/2006/relationships/hyperlink" Target="https://new.land.naver.com/complexes/2977?ms=2AfAQG,3zprE6,17&amp;a=APT:ABYG:JGC&amp;b=A1:B1&amp;e=RETAIL&amp;h=34&amp;i=132&amp;l=198&amp;ad=true" TargetMode="External" Id="rId324"/><Relationship Type="http://schemas.openxmlformats.org/officeDocument/2006/relationships/hyperlink" Target="https://new.land.naver.com/complexes/2977?ms=2AfAQG,3zprE6,17&amp;a=APT:ABYG:JGC&amp;b=A1:B1&amp;e=RETAIL&amp;h=34&amp;i=132&amp;l=198&amp;ad=true" TargetMode="External" Id="rId325"/><Relationship Type="http://schemas.openxmlformats.org/officeDocument/2006/relationships/hyperlink" Target="https://new.land.naver.com/complexes/2977?ms=2AfAQG,3zprE6,17&amp;a=APT:ABYG:JGC&amp;b=A1:B1&amp;e=RETAIL&amp;h=34&amp;i=132&amp;l=198&amp;ad=true" TargetMode="External" Id="rId326"/><Relationship Type="http://schemas.openxmlformats.org/officeDocument/2006/relationships/hyperlink" Target="https://new.land.naver.com/complexes/27044?ms=2AfAQG,3zprE6,17&amp;a=APT:ABYG:JGC&amp;b=A1:B1&amp;e=RETAIL&amp;h=34&amp;i=132&amp;l=198&amp;ad=true" TargetMode="External" Id="rId327"/><Relationship Type="http://schemas.openxmlformats.org/officeDocument/2006/relationships/hyperlink" Target="https://new.land.naver.com/complexes/27044?ms=2AfAQG,3zprE6,17&amp;a=APT:ABYG:JGC&amp;b=A1:B1&amp;e=RETAIL&amp;h=34&amp;i=132&amp;l=198&amp;ad=true" TargetMode="External" Id="rId328"/><Relationship Type="http://schemas.openxmlformats.org/officeDocument/2006/relationships/hyperlink" Target="https://new.land.naver.com/complexes/27044?ms=2AfAQG,3zprE6,17&amp;a=APT:ABYG:JGC&amp;b=A1:B1&amp;e=RETAIL&amp;h=34&amp;i=132&amp;l=198&amp;ad=true" TargetMode="External" Id="rId329"/><Relationship Type="http://schemas.openxmlformats.org/officeDocument/2006/relationships/hyperlink" Target="https://new.land.naver.com/complexes/332?ms=2AfAQG,3zprE6,17&amp;a=APT:ABYG:JGC&amp;b=A1:B1&amp;e=RETAIL&amp;h=34&amp;i=132&amp;l=198&amp;ad=true" TargetMode="External" Id="rId330"/><Relationship Type="http://schemas.openxmlformats.org/officeDocument/2006/relationships/hyperlink" Target="https://new.land.naver.com/complexes/332?ms=2AfAQG,3zprE6,17&amp;a=APT:ABYG:JGC&amp;b=A1:B1&amp;e=RETAIL&amp;h=34&amp;i=132&amp;l=198&amp;ad=true" TargetMode="External" Id="rId331"/><Relationship Type="http://schemas.openxmlformats.org/officeDocument/2006/relationships/hyperlink" Target="https://new.land.naver.com/complexes/332?ms=2AfAQG,3zprE6,17&amp;a=APT:ABYG:JGC&amp;b=A1:B1&amp;e=RETAIL&amp;h=34&amp;i=132&amp;l=198&amp;ad=true" TargetMode="External" Id="rId332"/><Relationship Type="http://schemas.openxmlformats.org/officeDocument/2006/relationships/hyperlink" Target="https://new.land.naver.com/complexes/332?ms=2AfAQG,3zprE6,17&amp;a=APT:ABYG:JGC&amp;b=A1:B1&amp;e=RETAIL&amp;h=34&amp;i=132&amp;l=198&amp;ad=true" TargetMode="External" Id="rId333"/><Relationship Type="http://schemas.openxmlformats.org/officeDocument/2006/relationships/hyperlink" Target="https://new.land.naver.com/complexes/332?ms=2AfAQG,3zprE6,17&amp;a=APT:ABYG:JGC&amp;b=A1:B1&amp;e=RETAIL&amp;h=34&amp;i=132&amp;l=198&amp;ad=true" TargetMode="External" Id="rId334"/><Relationship Type="http://schemas.openxmlformats.org/officeDocument/2006/relationships/hyperlink" Target="https://new.land.naver.com/complexes/950?ms=2AfAQG,3zprE6,17&amp;a=APT:ABYG:JGC&amp;b=A1:B1&amp;e=RETAIL&amp;h=34&amp;i=132&amp;l=198&amp;ad=true" TargetMode="External" Id="rId335"/><Relationship Type="http://schemas.openxmlformats.org/officeDocument/2006/relationships/hyperlink" Target="https://new.land.naver.com/complexes/950?ms=2AfAQG,3zprE6,17&amp;a=APT:ABYG:JGC&amp;b=A1:B1&amp;e=RETAIL&amp;h=34&amp;i=132&amp;l=198&amp;ad=true" TargetMode="External" Id="rId336"/><Relationship Type="http://schemas.openxmlformats.org/officeDocument/2006/relationships/hyperlink" Target="https://new.land.naver.com/complexes/950?ms=2AfAQG,3zprE6,17&amp;a=APT:ABYG:JGC&amp;b=A1:B1&amp;e=RETAIL&amp;h=34&amp;i=132&amp;l=198&amp;ad=true" TargetMode="External" Id="rId337"/><Relationship Type="http://schemas.openxmlformats.org/officeDocument/2006/relationships/hyperlink" Target="https://new.land.naver.com/complexes/8562?ms=2AfAQG,3zprE6,17&amp;a=APT:ABYG:JGC&amp;b=A1:B1&amp;e=RETAIL&amp;h=34&amp;i=132&amp;l=198&amp;ad=true" TargetMode="External" Id="rId338"/><Relationship Type="http://schemas.openxmlformats.org/officeDocument/2006/relationships/hyperlink" Target="https://new.land.naver.com/complexes/8562?ms=2AfAQG,3zprE6,17&amp;a=APT:ABYG:JGC&amp;b=A1:B1&amp;e=RETAIL&amp;h=34&amp;i=132&amp;l=198&amp;ad=true" TargetMode="External" Id="rId339"/><Relationship Type="http://schemas.openxmlformats.org/officeDocument/2006/relationships/hyperlink" Target="https://new.land.naver.com/complexes/8562?ms=2AfAQG,3zprE6,17&amp;a=APT:ABYG:JGC&amp;b=A1:B1&amp;e=RETAIL&amp;h=34&amp;i=132&amp;l=198&amp;ad=true" TargetMode="External" Id="rId340"/><Relationship Type="http://schemas.openxmlformats.org/officeDocument/2006/relationships/hyperlink" Target="https://new.land.naver.com/complexes/878?ms=2AfAQG,3zprE6,17&amp;a=APT:ABYG:JGC&amp;b=A1:B1&amp;e=RETAIL&amp;h=34&amp;i=132&amp;l=198&amp;ad=true" TargetMode="External" Id="rId341"/><Relationship Type="http://schemas.openxmlformats.org/officeDocument/2006/relationships/hyperlink" Target="https://new.land.naver.com/complexes/878?ms=2AfAQG,3zprE6,17&amp;a=APT:ABYG:JGC&amp;b=A1:B1&amp;e=RETAIL&amp;h=34&amp;i=132&amp;l=198&amp;ad=true" TargetMode="External" Id="rId342"/><Relationship Type="http://schemas.openxmlformats.org/officeDocument/2006/relationships/hyperlink" Target="https://new.land.naver.com/complexes/878?ms=2AfAQG,3zprE6,17&amp;a=APT:ABYG:JGC&amp;b=A1:B1&amp;e=RETAIL&amp;h=34&amp;i=132&amp;l=198&amp;ad=true" TargetMode="External" Id="rId343"/></Relationships>
</file>

<file path=xl/worksheets/_rels/sheet11.xml.rels><Relationships xmlns="http://schemas.openxmlformats.org/package/2006/relationships"><Relationship Type="http://schemas.openxmlformats.org/officeDocument/2006/relationships/hyperlink" Target="https://new.land.naver.com/complexes/1460?ms=2AfAQG,3zprE6,17&amp;a=APT:ABYG:JGC&amp;b=A1:B1&amp;e=RETAIL&amp;h=34&amp;i=132&amp;l=198&amp;ad=true" TargetMode="External" Id="rId1"/><Relationship Type="http://schemas.openxmlformats.org/officeDocument/2006/relationships/hyperlink" Target="https://new.land.naver.com/complexes/1463?ms=2AfAQG,3zprE6,17&amp;a=APT:ABYG:JGC&amp;b=A1:B1&amp;e=RETAIL&amp;h=34&amp;i=132&amp;l=198&amp;ad=true" TargetMode="External" Id="rId2"/><Relationship Type="http://schemas.openxmlformats.org/officeDocument/2006/relationships/hyperlink" Target="https://new.land.naver.com/complexes/1463?ms=2AfAQG,3zprE6,17&amp;a=APT:ABYG:JGC&amp;b=A1:B1&amp;e=RETAIL&amp;h=34&amp;i=132&amp;l=198&amp;ad=true" TargetMode="External" Id="rId3"/><Relationship Type="http://schemas.openxmlformats.org/officeDocument/2006/relationships/hyperlink" Target="https://new.land.naver.com/complexes/1463?ms=2AfAQG,3zprE6,17&amp;a=APT:ABYG:JGC&amp;b=A1:B1&amp;e=RETAIL&amp;h=34&amp;i=132&amp;l=198&amp;ad=true" TargetMode="External" Id="rId4"/><Relationship Type="http://schemas.openxmlformats.org/officeDocument/2006/relationships/hyperlink" Target="https://new.land.naver.com/complexes/1462?ms=2AfAQG,3zprE6,17&amp;a=APT:ABYG:JGC&amp;b=A1:B1&amp;e=RETAIL&amp;h=34&amp;i=132&amp;l=198&amp;ad=true" TargetMode="External" Id="rId5"/><Relationship Type="http://schemas.openxmlformats.org/officeDocument/2006/relationships/hyperlink" Target="https://new.land.naver.com/complexes/1462?ms=2AfAQG,3zprE6,17&amp;a=APT:ABYG:JGC&amp;b=A1:B1&amp;e=RETAIL&amp;h=34&amp;i=132&amp;l=198&amp;ad=true" TargetMode="External" Id="rId6"/><Relationship Type="http://schemas.openxmlformats.org/officeDocument/2006/relationships/hyperlink" Target="https://new.land.naver.com/complexes/1462?ms=2AfAQG,3zprE6,17&amp;a=APT:ABYG:JGC&amp;b=A1:B1&amp;e=RETAIL&amp;h=34&amp;i=132&amp;l=198&amp;ad=true" TargetMode="External" Id="rId7"/><Relationship Type="http://schemas.openxmlformats.org/officeDocument/2006/relationships/hyperlink" Target="https://new.land.naver.com/complexes/102312?ms=2AfAQG,3zprE6,17&amp;a=APT:ABYG:JGC&amp;b=A1:B1&amp;e=RETAIL&amp;h=34&amp;i=132&amp;l=198&amp;ad=true" TargetMode="External" Id="rId8"/><Relationship Type="http://schemas.openxmlformats.org/officeDocument/2006/relationships/hyperlink" Target="https://new.land.naver.com/complexes/102312?ms=2AfAQG,3zprE6,17&amp;a=APT:ABYG:JGC&amp;b=A1:B1&amp;e=RETAIL&amp;h=34&amp;i=132&amp;l=198&amp;ad=true" TargetMode="External" Id="rId9"/><Relationship Type="http://schemas.openxmlformats.org/officeDocument/2006/relationships/hyperlink" Target="https://new.land.naver.com/complexes/102625?ms=2AfAQG,3zprE6,17&amp;a=APT:ABYG:JGC&amp;b=A1:B1&amp;e=RETAIL&amp;h=34&amp;i=132&amp;l=198&amp;ad=true" TargetMode="External" Id="rId10"/><Relationship Type="http://schemas.openxmlformats.org/officeDocument/2006/relationships/hyperlink" Target="https://new.land.naver.com/complexes/102625?ms=2AfAQG,3zprE6,17&amp;a=APT:ABYG:JGC&amp;b=A1:B1&amp;e=RETAIL&amp;h=34&amp;i=132&amp;l=198&amp;ad=true" TargetMode="External" Id="rId11"/><Relationship Type="http://schemas.openxmlformats.org/officeDocument/2006/relationships/hyperlink" Target="https://new.land.naver.com/complexes/102625?ms=2AfAQG,3zprE6,17&amp;a=APT:ABYG:JGC&amp;b=A1:B1&amp;e=RETAIL&amp;h=34&amp;i=132&amp;l=198&amp;ad=true" TargetMode="External" Id="rId12"/><Relationship Type="http://schemas.openxmlformats.org/officeDocument/2006/relationships/hyperlink" Target="https://new.land.naver.com/complexes/102625?ms=2AfAQG,3zprE6,17&amp;a=APT:ABYG:JGC&amp;b=A1:B1&amp;e=RETAIL&amp;h=34&amp;i=132&amp;l=198&amp;ad=true" TargetMode="External" Id="rId13"/><Relationship Type="http://schemas.openxmlformats.org/officeDocument/2006/relationships/hyperlink" Target="https://new.land.naver.com/complexes/2505?ms=2AfAQG,3zprE6,17&amp;a=APT:ABYG:JGC&amp;b=A1:B1&amp;e=RETAIL&amp;h=34&amp;i=132&amp;l=198&amp;ad=true" TargetMode="External" Id="rId14"/><Relationship Type="http://schemas.openxmlformats.org/officeDocument/2006/relationships/hyperlink" Target="https://new.land.naver.com/complexes/2505?ms=2AfAQG,3zprE6,17&amp;a=APT:ABYG:JGC&amp;b=A1:B1&amp;e=RETAIL&amp;h=34&amp;i=132&amp;l=198&amp;ad=true" TargetMode="External" Id="rId15"/><Relationship Type="http://schemas.openxmlformats.org/officeDocument/2006/relationships/hyperlink" Target="https://new.land.naver.com/complexes/2505?ms=2AfAQG,3zprE6,17&amp;a=APT:ABYG:JGC&amp;b=A1:B1&amp;e=RETAIL&amp;h=34&amp;i=132&amp;l=198&amp;ad=true" TargetMode="External" Id="rId16"/><Relationship Type="http://schemas.openxmlformats.org/officeDocument/2006/relationships/hyperlink" Target="https://new.land.naver.com/complexes/107579?ms=2AfAQG,3zprE6,17&amp;a=APT:ABYG:JGC&amp;b=A1:B1&amp;e=RETAIL&amp;h=34&amp;i=132&amp;l=198&amp;ad=true" TargetMode="External" Id="rId17"/><Relationship Type="http://schemas.openxmlformats.org/officeDocument/2006/relationships/hyperlink" Target="https://new.land.naver.com/complexes/107579?ms=2AfAQG,3zprE6,17&amp;a=APT:ABYG:JGC&amp;b=A1:B1&amp;e=RETAIL&amp;h=34&amp;i=132&amp;l=198&amp;ad=true" TargetMode="External" Id="rId18"/><Relationship Type="http://schemas.openxmlformats.org/officeDocument/2006/relationships/hyperlink" Target="https://new.land.naver.com/complexes/107579?ms=2AfAQG,3zprE6,17&amp;a=APT:ABYG:JGC&amp;b=A1:B1&amp;e=RETAIL&amp;h=34&amp;i=132&amp;l=198&amp;ad=true" TargetMode="External" Id="rId19"/><Relationship Type="http://schemas.openxmlformats.org/officeDocument/2006/relationships/hyperlink" Target="https://new.land.naver.com/complexes/1461?ms=2AfAQG,3zprE6,17&amp;a=APT:ABYG:JGC&amp;b=A1:B1&amp;e=RETAIL&amp;h=34&amp;i=132&amp;l=198&amp;ad=true" TargetMode="External" Id="rId20"/><Relationship Type="http://schemas.openxmlformats.org/officeDocument/2006/relationships/hyperlink" Target="https://new.land.naver.com/complexes/1461?ms=2AfAQG,3zprE6,17&amp;a=APT:ABYG:JGC&amp;b=A1:B1&amp;e=RETAIL&amp;h=34&amp;i=132&amp;l=198&amp;ad=true" TargetMode="External" Id="rId21"/><Relationship Type="http://schemas.openxmlformats.org/officeDocument/2006/relationships/hyperlink" Target="https://new.land.naver.com/complexes/1465?ms=2AfAQG,3zprE6,17&amp;a=APT:ABYG:JGC&amp;b=A1:B1&amp;e=RETAIL&amp;h=34&amp;i=132&amp;l=198&amp;ad=true" TargetMode="External" Id="rId22"/><Relationship Type="http://schemas.openxmlformats.org/officeDocument/2006/relationships/hyperlink" Target="https://new.land.naver.com/complexes/1465?ms=2AfAQG,3zprE6,17&amp;a=APT:ABYG:JGC&amp;b=A1:B1&amp;e=RETAIL&amp;h=34&amp;i=132&amp;l=198&amp;ad=true" TargetMode="External" Id="rId23"/><Relationship Type="http://schemas.openxmlformats.org/officeDocument/2006/relationships/hyperlink" Target="https://new.land.naver.com/complexes/3286?ms=2AfAQG,3zprE6,17&amp;a=APT:ABYG:JGC&amp;b=A1:B1&amp;e=RETAIL&amp;h=34&amp;i=132&amp;l=198&amp;ad=true" TargetMode="External" Id="rId24"/><Relationship Type="http://schemas.openxmlformats.org/officeDocument/2006/relationships/hyperlink" Target="https://new.land.naver.com/complexes/3286?ms=2AfAQG,3zprE6,17&amp;a=APT:ABYG:JGC&amp;b=A1:B1&amp;e=RETAIL&amp;h=34&amp;i=132&amp;l=198&amp;ad=true" TargetMode="External" Id="rId25"/><Relationship Type="http://schemas.openxmlformats.org/officeDocument/2006/relationships/hyperlink" Target="https://new.land.naver.com/complexes/1464?ms=2AfAQG,3zprE6,17&amp;a=APT:ABYG:JGC&amp;b=A1:B1&amp;e=RETAIL&amp;h=34&amp;i=132&amp;l=198&amp;ad=true" TargetMode="External" Id="rId26"/><Relationship Type="http://schemas.openxmlformats.org/officeDocument/2006/relationships/hyperlink" Target="https://new.land.naver.com/complexes/1464?ms=2AfAQG,3zprE6,17&amp;a=APT:ABYG:JGC&amp;b=A1:B1&amp;e=RETAIL&amp;h=34&amp;i=132&amp;l=198&amp;ad=true" TargetMode="External" Id="rId27"/><Relationship Type="http://schemas.openxmlformats.org/officeDocument/2006/relationships/hyperlink" Target="https://new.land.naver.com/complexes/1464?ms=2AfAQG,3zprE6,17&amp;a=APT:ABYG:JGC&amp;b=A1:B1&amp;e=RETAIL&amp;h=34&amp;i=132&amp;l=198&amp;ad=true" TargetMode="External" Id="rId28"/><Relationship Type="http://schemas.openxmlformats.org/officeDocument/2006/relationships/hyperlink" Target="https://new.land.naver.com/complexes/1464?ms=2AfAQG,3zprE6,17&amp;a=APT:ABYG:JGC&amp;b=A1:B1&amp;e=RETAIL&amp;h=34&amp;i=132&amp;l=198&amp;ad=true" TargetMode="External" Id="rId29"/><Relationship Type="http://schemas.openxmlformats.org/officeDocument/2006/relationships/hyperlink" Target="https://new.land.naver.com/complexes/3001?ms=2AfAQG,3zprE6,17&amp;a=APT:ABYG:JGC&amp;b=A1:B1&amp;e=RETAIL&amp;h=34&amp;i=132&amp;l=198&amp;ad=true" TargetMode="External" Id="rId30"/><Relationship Type="http://schemas.openxmlformats.org/officeDocument/2006/relationships/hyperlink" Target="https://new.land.naver.com/complexes/3001?ms=2AfAQG,3zprE6,17&amp;a=APT:ABYG:JGC&amp;b=A1:B1&amp;e=RETAIL&amp;h=34&amp;i=132&amp;l=198&amp;ad=true" TargetMode="External" Id="rId31"/><Relationship Type="http://schemas.openxmlformats.org/officeDocument/2006/relationships/hyperlink" Target="https://new.land.naver.com/complexes/3001?ms=2AfAQG,3zprE6,17&amp;a=APT:ABYG:JGC&amp;b=A1:B1&amp;e=RETAIL&amp;h=34&amp;i=132&amp;l=198&amp;ad=true" TargetMode="External" Id="rId32"/><Relationship Type="http://schemas.openxmlformats.org/officeDocument/2006/relationships/hyperlink" Target="https://new.land.naver.com/complexes/1977?ms=2AfAQG,3zprE6,17&amp;a=APT:ABYG:JGC&amp;b=A1:B1&amp;e=RETAIL&amp;h=34&amp;i=132&amp;l=198&amp;ad=true" TargetMode="External" Id="rId33"/><Relationship Type="http://schemas.openxmlformats.org/officeDocument/2006/relationships/hyperlink" Target="https://new.land.naver.com/complexes/1977?ms=2AfAQG,3zprE6,17&amp;a=APT:ABYG:JGC&amp;b=A1:B1&amp;e=RETAIL&amp;h=34&amp;i=132&amp;l=198&amp;ad=true" TargetMode="External" Id="rId34"/><Relationship Type="http://schemas.openxmlformats.org/officeDocument/2006/relationships/hyperlink" Target="https://new.land.naver.com/complexes/1977?ms=2AfAQG,3zprE6,17&amp;a=APT:ABYG:JGC&amp;b=A1:B1&amp;e=RETAIL&amp;h=34&amp;i=132&amp;l=198&amp;ad=true" TargetMode="External" Id="rId35"/><Relationship Type="http://schemas.openxmlformats.org/officeDocument/2006/relationships/hyperlink" Target="https://new.land.naver.com/complexes/1977?ms=2AfAQG,3zprE6,17&amp;a=APT:ABYG:JGC&amp;b=A1:B1&amp;e=RETAIL&amp;h=34&amp;i=132&amp;l=198&amp;ad=true" TargetMode="External" Id="rId36"/><Relationship Type="http://schemas.openxmlformats.org/officeDocument/2006/relationships/hyperlink" Target="https://new.land.naver.com/complexes/1978?ms=2AfAQG,3zprE6,17&amp;a=APT:ABYG:JGC&amp;b=A1:B1&amp;e=RETAIL&amp;h=34&amp;i=132&amp;l=198&amp;ad=true" TargetMode="External" Id="rId37"/><Relationship Type="http://schemas.openxmlformats.org/officeDocument/2006/relationships/hyperlink" Target="https://new.land.naver.com/complexes/1978?ms=2AfAQG,3zprE6,17&amp;a=APT:ABYG:JGC&amp;b=A1:B1&amp;e=RETAIL&amp;h=34&amp;i=132&amp;l=198&amp;ad=true" TargetMode="External" Id="rId38"/><Relationship Type="http://schemas.openxmlformats.org/officeDocument/2006/relationships/hyperlink" Target="https://new.land.naver.com/complexes/1978?ms=2AfAQG,3zprE6,17&amp;a=APT:ABYG:JGC&amp;b=A1:B1&amp;e=RETAIL&amp;h=34&amp;i=132&amp;l=198&amp;ad=true" TargetMode="External" Id="rId39"/><Relationship Type="http://schemas.openxmlformats.org/officeDocument/2006/relationships/hyperlink" Target="https://new.land.naver.com/complexes/3076?ms=2AfAQG,3zprE6,17&amp;a=APT:ABYG:JGC&amp;b=A1:B1&amp;e=RETAIL&amp;h=34&amp;i=132&amp;l=198&amp;ad=true" TargetMode="External" Id="rId40"/><Relationship Type="http://schemas.openxmlformats.org/officeDocument/2006/relationships/hyperlink" Target="https://new.land.naver.com/complexes/3076?ms=2AfAQG,3zprE6,17&amp;a=APT:ABYG:JGC&amp;b=A1:B1&amp;e=RETAIL&amp;h=34&amp;i=132&amp;l=198&amp;ad=true" TargetMode="External" Id="rId41"/><Relationship Type="http://schemas.openxmlformats.org/officeDocument/2006/relationships/hyperlink" Target="https://new.land.naver.com/complexes/3076?ms=2AfAQG,3zprE6,17&amp;a=APT:ABYG:JGC&amp;b=A1:B1&amp;e=RETAIL&amp;h=34&amp;i=132&amp;l=198&amp;ad=true" TargetMode="External" Id="rId42"/><Relationship Type="http://schemas.openxmlformats.org/officeDocument/2006/relationships/hyperlink" Target="https://new.land.naver.com/complexes/1993?ms=2AfAQG,3zprE6,17&amp;a=APT:ABYG:JGC&amp;b=A1:B1&amp;e=RETAIL&amp;h=34&amp;i=132&amp;l=198&amp;ad=true" TargetMode="External" Id="rId43"/><Relationship Type="http://schemas.openxmlformats.org/officeDocument/2006/relationships/hyperlink" Target="https://new.land.naver.com/complexes/1993?ms=2AfAQG,3zprE6,17&amp;a=APT:ABYG:JGC&amp;b=A1:B1&amp;e=RETAIL&amp;h=34&amp;i=132&amp;l=198&amp;ad=true" TargetMode="External" Id="rId44"/><Relationship Type="http://schemas.openxmlformats.org/officeDocument/2006/relationships/hyperlink" Target="https://new.land.naver.com/complexes/1985?ms=2AfAQG,3zprE6,17&amp;a=APT:ABYG:JGC&amp;b=A1:B1&amp;e=RETAIL&amp;h=34&amp;i=132&amp;l=198&amp;ad=true" TargetMode="External" Id="rId45"/><Relationship Type="http://schemas.openxmlformats.org/officeDocument/2006/relationships/hyperlink" Target="https://new.land.naver.com/complexes/1985?ms=2AfAQG,3zprE6,17&amp;a=APT:ABYG:JGC&amp;b=A1:B1&amp;e=RETAIL&amp;h=34&amp;i=132&amp;l=198&amp;ad=true" TargetMode="External" Id="rId46"/><Relationship Type="http://schemas.openxmlformats.org/officeDocument/2006/relationships/hyperlink" Target="https://new.land.naver.com/complexes/1985?ms=2AfAQG,3zprE6,17&amp;a=APT:ABYG:JGC&amp;b=A1:B1&amp;e=RETAIL&amp;h=34&amp;i=132&amp;l=198&amp;ad=true" TargetMode="External" Id="rId47"/><Relationship Type="http://schemas.openxmlformats.org/officeDocument/2006/relationships/hyperlink" Target="https://new.land.naver.com/complexes/1985?ms=2AfAQG,3zprE6,17&amp;a=APT:ABYG:JGC&amp;b=A1:B1&amp;e=RETAIL&amp;h=34&amp;i=132&amp;l=198&amp;ad=true" TargetMode="External" Id="rId48"/><Relationship Type="http://schemas.openxmlformats.org/officeDocument/2006/relationships/hyperlink" Target="https://new.land.naver.com/complexes/110631?ms=2AfAQG,3zprE6,17&amp;a=APT:ABYG:JGC&amp;b=A1:B1&amp;e=RETAIL&amp;h=34&amp;i=132&amp;l=198&amp;ad=true" TargetMode="External" Id="rId49"/><Relationship Type="http://schemas.openxmlformats.org/officeDocument/2006/relationships/hyperlink" Target="https://new.land.naver.com/complexes/110631?ms=2AfAQG,3zprE6,17&amp;a=APT:ABYG:JGC&amp;b=A1:B1&amp;e=RETAIL&amp;h=34&amp;i=132&amp;l=198&amp;ad=true" TargetMode="External" Id="rId50"/><Relationship Type="http://schemas.openxmlformats.org/officeDocument/2006/relationships/hyperlink" Target="https://new.land.naver.com/complexes/3080?ms=2AfAQG,3zprE6,17&amp;a=APT:ABYG:JGC&amp;b=A1:B1&amp;e=RETAIL&amp;h=34&amp;i=132&amp;l=198&amp;ad=true" TargetMode="External" Id="rId51"/><Relationship Type="http://schemas.openxmlformats.org/officeDocument/2006/relationships/hyperlink" Target="https://new.land.naver.com/complexes/3080?ms=2AfAQG,3zprE6,17&amp;a=APT:ABYG:JGC&amp;b=A1:B1&amp;e=RETAIL&amp;h=34&amp;i=132&amp;l=198&amp;ad=true" TargetMode="External" Id="rId52"/><Relationship Type="http://schemas.openxmlformats.org/officeDocument/2006/relationships/hyperlink" Target="https://new.land.naver.com/complexes/3080?ms=2AfAQG,3zprE6,17&amp;a=APT:ABYG:JGC&amp;b=A1:B1&amp;e=RETAIL&amp;h=34&amp;i=132&amp;l=198&amp;ad=true" TargetMode="External" Id="rId53"/><Relationship Type="http://schemas.openxmlformats.org/officeDocument/2006/relationships/hyperlink" Target="https://new.land.naver.com/complexes/3080?ms=2AfAQG,3zprE6,17&amp;a=APT:ABYG:JGC&amp;b=A1:B1&amp;e=RETAIL&amp;h=34&amp;i=132&amp;l=198&amp;ad=true" TargetMode="External" Id="rId54"/><Relationship Type="http://schemas.openxmlformats.org/officeDocument/2006/relationships/hyperlink" Target="https://new.land.naver.com/complexes/3080?ms=2AfAQG,3zprE6,17&amp;a=APT:ABYG:JGC&amp;b=A1:B1&amp;e=RETAIL&amp;h=34&amp;i=132&amp;l=198&amp;ad=true" TargetMode="External" Id="rId55"/><Relationship Type="http://schemas.openxmlformats.org/officeDocument/2006/relationships/hyperlink" Target="https://new.land.naver.com/complexes/3080?ms=2AfAQG,3zprE6,17&amp;a=APT:ABYG:JGC&amp;b=A1:B1&amp;e=RETAIL&amp;h=34&amp;i=132&amp;l=198&amp;ad=true" TargetMode="External" Id="rId56"/><Relationship Type="http://schemas.openxmlformats.org/officeDocument/2006/relationships/hyperlink" Target="https://new.land.naver.com/complexes/1989?ms=2AfAQG,3zprE6,17&amp;a=APT:ABYG:JGC&amp;b=A1:B1&amp;e=RETAIL&amp;h=34&amp;i=132&amp;l=198&amp;ad=true" TargetMode="External" Id="rId57"/><Relationship Type="http://schemas.openxmlformats.org/officeDocument/2006/relationships/hyperlink" Target="https://new.land.naver.com/complexes/1989?ms=2AfAQG,3zprE6,17&amp;a=APT:ABYG:JGC&amp;b=A1:B1&amp;e=RETAIL&amp;h=34&amp;i=132&amp;l=198&amp;ad=true" TargetMode="External" Id="rId58"/><Relationship Type="http://schemas.openxmlformats.org/officeDocument/2006/relationships/hyperlink" Target="https://new.land.naver.com/complexes/1989?ms=2AfAQG,3zprE6,17&amp;a=APT:ABYG:JGC&amp;b=A1:B1&amp;e=RETAIL&amp;h=34&amp;i=132&amp;l=198&amp;ad=true" TargetMode="External" Id="rId59"/><Relationship Type="http://schemas.openxmlformats.org/officeDocument/2006/relationships/hyperlink" Target="https://new.land.naver.com/complexes/1989?ms=2AfAQG,3zprE6,17&amp;a=APT:ABYG:JGC&amp;b=A1:B1&amp;e=RETAIL&amp;h=34&amp;i=132&amp;l=198&amp;ad=true" TargetMode="External" Id="rId60"/><Relationship Type="http://schemas.openxmlformats.org/officeDocument/2006/relationships/hyperlink" Target="https://new.land.naver.com/complexes/1989?ms=2AfAQG,3zprE6,17&amp;a=APT:ABYG:JGC&amp;b=A1:B1&amp;e=RETAIL&amp;h=34&amp;i=132&amp;l=198&amp;ad=true" TargetMode="External" Id="rId61"/><Relationship Type="http://schemas.openxmlformats.org/officeDocument/2006/relationships/hyperlink" Target="https://new.land.naver.com/complexes/1989?ms=2AfAQG,3zprE6,17&amp;a=APT:ABYG:JGC&amp;b=A1:B1&amp;e=RETAIL&amp;h=34&amp;i=132&amp;l=198&amp;ad=true" TargetMode="External" Id="rId62"/><Relationship Type="http://schemas.openxmlformats.org/officeDocument/2006/relationships/hyperlink" Target="https://new.land.naver.com/complexes/1989?ms=2AfAQG,3zprE6,17&amp;a=APT:ABYG:JGC&amp;b=A1:B1&amp;e=RETAIL&amp;h=34&amp;i=132&amp;l=198&amp;ad=true" TargetMode="External" Id="rId63"/><Relationship Type="http://schemas.openxmlformats.org/officeDocument/2006/relationships/hyperlink" Target="https://new.land.naver.com/complexes/1989?ms=2AfAQG,3zprE6,17&amp;a=APT:ABYG:JGC&amp;b=A1:B1&amp;e=RETAIL&amp;h=34&amp;i=132&amp;l=198&amp;ad=true" TargetMode="External" Id="rId64"/><Relationship Type="http://schemas.openxmlformats.org/officeDocument/2006/relationships/hyperlink" Target="https://new.land.naver.com/complexes/1989?ms=2AfAQG,3zprE6,17&amp;a=APT:ABYG:JGC&amp;b=A1:B1&amp;e=RETAIL&amp;h=34&amp;i=132&amp;l=198&amp;ad=true" TargetMode="External" Id="rId65"/><Relationship Type="http://schemas.openxmlformats.org/officeDocument/2006/relationships/hyperlink" Target="https://new.land.naver.com/complexes/1989?ms=2AfAQG,3zprE6,17&amp;a=APT:ABYG:JGC&amp;b=A1:B1&amp;e=RETAIL&amp;h=34&amp;i=132&amp;l=198&amp;ad=true" TargetMode="External" Id="rId66"/><Relationship Type="http://schemas.openxmlformats.org/officeDocument/2006/relationships/hyperlink" Target="https://new.land.naver.com/complexes/1989?ms=2AfAQG,3zprE6,17&amp;a=APT:ABYG:JGC&amp;b=A1:B1&amp;e=RETAIL&amp;h=34&amp;i=132&amp;l=198&amp;ad=true" TargetMode="External" Id="rId67"/><Relationship Type="http://schemas.openxmlformats.org/officeDocument/2006/relationships/hyperlink" Target="https://new.land.naver.com/complexes/1989?ms=2AfAQG,3zprE6,17&amp;a=APT:ABYG:JGC&amp;b=A1:B1&amp;e=RETAIL&amp;h=34&amp;i=132&amp;l=198&amp;ad=true" TargetMode="External" Id="rId68"/><Relationship Type="http://schemas.openxmlformats.org/officeDocument/2006/relationships/hyperlink" Target="https://new.land.naver.com/complexes/26320?ms=2AfAQG,3zprE6,17&amp;a=APT:ABYG:JGC&amp;b=A1:B1&amp;e=RETAIL&amp;h=34&amp;i=132&amp;l=198&amp;ad=true" TargetMode="External" Id="rId69"/><Relationship Type="http://schemas.openxmlformats.org/officeDocument/2006/relationships/hyperlink" Target="https://new.land.naver.com/complexes/26320?ms=2AfAQG,3zprE6,17&amp;a=APT:ABYG:JGC&amp;b=A1:B1&amp;e=RETAIL&amp;h=34&amp;i=132&amp;l=198&amp;ad=true" TargetMode="External" Id="rId70"/><Relationship Type="http://schemas.openxmlformats.org/officeDocument/2006/relationships/hyperlink" Target="https://new.land.naver.com/complexes/26320?ms=2AfAQG,3zprE6,17&amp;a=APT:ABYG:JGC&amp;b=A1:B1&amp;e=RETAIL&amp;h=34&amp;i=132&amp;l=198&amp;ad=true" TargetMode="External" Id="rId71"/><Relationship Type="http://schemas.openxmlformats.org/officeDocument/2006/relationships/hyperlink" Target="https://new.land.naver.com/complexes/26320?ms=2AfAQG,3zprE6,17&amp;a=APT:ABYG:JGC&amp;b=A1:B1&amp;e=RETAIL&amp;h=34&amp;i=132&amp;l=198&amp;ad=true" TargetMode="External" Id="rId72"/><Relationship Type="http://schemas.openxmlformats.org/officeDocument/2006/relationships/hyperlink" Target="https://new.land.naver.com/complexes/3078?ms=2AfAQG,3zprE6,17&amp;a=APT:ABYG:JGC&amp;b=A1:B1&amp;e=RETAIL&amp;h=34&amp;i=132&amp;l=198&amp;ad=true" TargetMode="External" Id="rId73"/><Relationship Type="http://schemas.openxmlformats.org/officeDocument/2006/relationships/hyperlink" Target="https://new.land.naver.com/complexes/3078?ms=2AfAQG,3zprE6,17&amp;a=APT:ABYG:JGC&amp;b=A1:B1&amp;e=RETAIL&amp;h=34&amp;i=132&amp;l=198&amp;ad=true" TargetMode="External" Id="rId74"/><Relationship Type="http://schemas.openxmlformats.org/officeDocument/2006/relationships/hyperlink" Target="https://new.land.naver.com/complexes/3078?ms=2AfAQG,3zprE6,17&amp;a=APT:ABYG:JGC&amp;b=A1:B1&amp;e=RETAIL&amp;h=34&amp;i=132&amp;l=198&amp;ad=true" TargetMode="External" Id="rId75"/><Relationship Type="http://schemas.openxmlformats.org/officeDocument/2006/relationships/hyperlink" Target="https://new.land.naver.com/complexes/3078?ms=2AfAQG,3zprE6,17&amp;a=APT:ABYG:JGC&amp;b=A1:B1&amp;e=RETAIL&amp;h=34&amp;i=132&amp;l=198&amp;ad=true" TargetMode="External" Id="rId76"/><Relationship Type="http://schemas.openxmlformats.org/officeDocument/2006/relationships/hyperlink" Target="https://new.land.naver.com/complexes/3079?ms=2AfAQG,3zprE6,17&amp;a=APT:ABYG:JGC&amp;b=A1:B1&amp;e=RETAIL&amp;h=34&amp;i=132&amp;l=198&amp;ad=true" TargetMode="External" Id="rId77"/><Relationship Type="http://schemas.openxmlformats.org/officeDocument/2006/relationships/hyperlink" Target="https://new.land.naver.com/complexes/3079?ms=2AfAQG,3zprE6,17&amp;a=APT:ABYG:JGC&amp;b=A1:B1&amp;e=RETAIL&amp;h=34&amp;i=132&amp;l=198&amp;ad=true" TargetMode="External" Id="rId78"/><Relationship Type="http://schemas.openxmlformats.org/officeDocument/2006/relationships/hyperlink" Target="https://new.land.naver.com/complexes/3079?ms=2AfAQG,3zprE6,17&amp;a=APT:ABYG:JGC&amp;b=A1:B1&amp;e=RETAIL&amp;h=34&amp;i=132&amp;l=198&amp;ad=true" TargetMode="External" Id="rId79"/><Relationship Type="http://schemas.openxmlformats.org/officeDocument/2006/relationships/hyperlink" Target="https://new.land.naver.com/complexes/3079?ms=2AfAQG,3zprE6,17&amp;a=APT:ABYG:JGC&amp;b=A1:B1&amp;e=RETAIL&amp;h=34&amp;i=132&amp;l=198&amp;ad=true" TargetMode="External" Id="rId80"/><Relationship Type="http://schemas.openxmlformats.org/officeDocument/2006/relationships/hyperlink" Target="https://new.land.naver.com/complexes/3079?ms=2AfAQG,3zprE6,17&amp;a=APT:ABYG:JGC&amp;b=A1:B1&amp;e=RETAIL&amp;h=34&amp;i=132&amp;l=198&amp;ad=true" TargetMode="External" Id="rId81"/><Relationship Type="http://schemas.openxmlformats.org/officeDocument/2006/relationships/hyperlink" Target="https://new.land.naver.com/complexes/3079?ms=2AfAQG,3zprE6,17&amp;a=APT:ABYG:JGC&amp;b=A1:B1&amp;e=RETAIL&amp;h=34&amp;i=132&amp;l=198&amp;ad=true" TargetMode="External" Id="rId82"/><Relationship Type="http://schemas.openxmlformats.org/officeDocument/2006/relationships/hyperlink" Target="https://new.land.naver.com/complexes/141825?ms=2AfAQG,3zprE6,17&amp;a=APT:ABYG:JGC&amp;b=A1:B1&amp;e=RETAIL&amp;h=34&amp;i=132&amp;l=198&amp;ad=true" TargetMode="External" Id="rId83"/><Relationship Type="http://schemas.openxmlformats.org/officeDocument/2006/relationships/hyperlink" Target="https://new.land.naver.com/complexes/141825?ms=2AfAQG,3zprE6,17&amp;a=APT:ABYG:JGC&amp;b=A1:B1&amp;e=RETAIL&amp;h=34&amp;i=132&amp;l=198&amp;ad=true" TargetMode="External" Id="rId84"/><Relationship Type="http://schemas.openxmlformats.org/officeDocument/2006/relationships/hyperlink" Target="https://new.land.naver.com/complexes/141825?ms=2AfAQG,3zprE6,17&amp;a=APT:ABYG:JGC&amp;b=A1:B1&amp;e=RETAIL&amp;h=34&amp;i=132&amp;l=198&amp;ad=true" TargetMode="External" Id="rId85"/><Relationship Type="http://schemas.openxmlformats.org/officeDocument/2006/relationships/hyperlink" Target="https://new.land.naver.com/complexes/25725?ms=2AfAQG,3zprE6,17&amp;a=APT:ABYG:JGC&amp;b=A1:B1&amp;e=RETAIL&amp;h=34&amp;i=132&amp;l=198&amp;ad=true" TargetMode="External" Id="rId86"/><Relationship Type="http://schemas.openxmlformats.org/officeDocument/2006/relationships/hyperlink" Target="https://new.land.naver.com/complexes/25725?ms=2AfAQG,3zprE6,17&amp;a=APT:ABYG:JGC&amp;b=A1:B1&amp;e=RETAIL&amp;h=34&amp;i=132&amp;l=198&amp;ad=true" TargetMode="External" Id="rId87"/><Relationship Type="http://schemas.openxmlformats.org/officeDocument/2006/relationships/hyperlink" Target="https://new.land.naver.com/complexes/25725?ms=2AfAQG,3zprE6,17&amp;a=APT:ABYG:JGC&amp;b=A1:B1&amp;e=RETAIL&amp;h=34&amp;i=132&amp;l=198&amp;ad=true" TargetMode="External" Id="rId88"/><Relationship Type="http://schemas.openxmlformats.org/officeDocument/2006/relationships/hyperlink" Target="https://new.land.naver.com/complexes/25725?ms=2AfAQG,3zprE6,17&amp;a=APT:ABYG:JGC&amp;b=A1:B1&amp;e=RETAIL&amp;h=34&amp;i=132&amp;l=198&amp;ad=true" TargetMode="External" Id="rId89"/><Relationship Type="http://schemas.openxmlformats.org/officeDocument/2006/relationships/hyperlink" Target="https://new.land.naver.com/complexes/13571?ms=2AfAQG,3zprE6,17&amp;a=APT:ABYG:JGC&amp;b=A1:B1&amp;e=RETAIL&amp;h=34&amp;i=132&amp;l=198&amp;ad=true" TargetMode="External" Id="rId90"/><Relationship Type="http://schemas.openxmlformats.org/officeDocument/2006/relationships/hyperlink" Target="https://new.land.naver.com/complexes/13571?ms=2AfAQG,3zprE6,17&amp;a=APT:ABYG:JGC&amp;b=A1:B1&amp;e=RETAIL&amp;h=34&amp;i=132&amp;l=198&amp;ad=true" TargetMode="External" Id="rId91"/><Relationship Type="http://schemas.openxmlformats.org/officeDocument/2006/relationships/hyperlink" Target="https://new.land.naver.com/complexes/13571?ms=2AfAQG,3zprE6,17&amp;a=APT:ABYG:JGC&amp;b=A1:B1&amp;e=RETAIL&amp;h=34&amp;i=132&amp;l=198&amp;ad=true" TargetMode="External" Id="rId92"/><Relationship Type="http://schemas.openxmlformats.org/officeDocument/2006/relationships/hyperlink" Target="https://new.land.naver.com/complexes/22752?ms=2AfAQG,3zprE6,17&amp;a=APT:ABYG:JGC&amp;b=A1:B1&amp;e=RETAIL&amp;h=34&amp;i=132&amp;l=198&amp;ad=true" TargetMode="External" Id="rId93"/><Relationship Type="http://schemas.openxmlformats.org/officeDocument/2006/relationships/hyperlink" Target="https://new.land.naver.com/complexes/22752?ms=2AfAQG,3zprE6,17&amp;a=APT:ABYG:JGC&amp;b=A1:B1&amp;e=RETAIL&amp;h=34&amp;i=132&amp;l=198&amp;ad=true" TargetMode="External" Id="rId94"/><Relationship Type="http://schemas.openxmlformats.org/officeDocument/2006/relationships/hyperlink" Target="https://new.land.naver.com/complexes/22752?ms=2AfAQG,3zprE6,17&amp;a=APT:ABYG:JGC&amp;b=A1:B1&amp;e=RETAIL&amp;h=34&amp;i=132&amp;l=198&amp;ad=true" TargetMode="External" Id="rId95"/><Relationship Type="http://schemas.openxmlformats.org/officeDocument/2006/relationships/hyperlink" Target="https://new.land.naver.com/complexes/1454?ms=2AfAQG,3zprE6,17&amp;a=APT:ABYG:JGC&amp;b=A1:B1&amp;e=RETAIL&amp;h=34&amp;i=132&amp;l=198&amp;ad=true" TargetMode="External" Id="rId96"/><Relationship Type="http://schemas.openxmlformats.org/officeDocument/2006/relationships/hyperlink" Target="https://new.land.naver.com/complexes/1454?ms=2AfAQG,3zprE6,17&amp;a=APT:ABYG:JGC&amp;b=A1:B1&amp;e=RETAIL&amp;h=34&amp;i=132&amp;l=198&amp;ad=true" TargetMode="External" Id="rId97"/><Relationship Type="http://schemas.openxmlformats.org/officeDocument/2006/relationships/hyperlink" Target="https://new.land.naver.com/complexes/1454?ms=2AfAQG,3zprE6,17&amp;a=APT:ABYG:JGC&amp;b=A1:B1&amp;e=RETAIL&amp;h=34&amp;i=132&amp;l=198&amp;ad=true" TargetMode="External" Id="rId98"/><Relationship Type="http://schemas.openxmlformats.org/officeDocument/2006/relationships/hyperlink" Target="https://new.land.naver.com/complexes/9382?ms=2AfAQG,3zprE6,17&amp;a=APT:ABYG:JGC&amp;b=A1:B1&amp;e=RETAIL&amp;h=34&amp;i=132&amp;l=198&amp;ad=true" TargetMode="External" Id="rId99"/><Relationship Type="http://schemas.openxmlformats.org/officeDocument/2006/relationships/hyperlink" Target="https://new.land.naver.com/complexes/9382?ms=2AfAQG,3zprE6,17&amp;a=APT:ABYG:JGC&amp;b=A1:B1&amp;e=RETAIL&amp;h=34&amp;i=132&amp;l=198&amp;ad=true" TargetMode="External" Id="rId100"/><Relationship Type="http://schemas.openxmlformats.org/officeDocument/2006/relationships/hyperlink" Target="https://new.land.naver.com/complexes/22957?ms=2AfAQG,3zprE6,17&amp;a=APT:ABYG:JGC&amp;b=A1:B1&amp;e=RETAIL&amp;h=34&amp;i=132&amp;l=198&amp;ad=true" TargetMode="External" Id="rId101"/><Relationship Type="http://schemas.openxmlformats.org/officeDocument/2006/relationships/hyperlink" Target="https://new.land.naver.com/complexes/22957?ms=2AfAQG,3zprE6,17&amp;a=APT:ABYG:JGC&amp;b=A1:B1&amp;e=RETAIL&amp;h=34&amp;i=132&amp;l=198&amp;ad=true" TargetMode="External" Id="rId102"/><Relationship Type="http://schemas.openxmlformats.org/officeDocument/2006/relationships/hyperlink" Target="https://new.land.naver.com/complexes/22957?ms=2AfAQG,3zprE6,17&amp;a=APT:ABYG:JGC&amp;b=A1:B1&amp;e=RETAIL&amp;h=34&amp;i=132&amp;l=198&amp;ad=true" TargetMode="External" Id="rId103"/><Relationship Type="http://schemas.openxmlformats.org/officeDocument/2006/relationships/hyperlink" Target="https://new.land.naver.com/complexes/22957?ms=2AfAQG,3zprE6,17&amp;a=APT:ABYG:JGC&amp;b=A1:B1&amp;e=RETAIL&amp;h=34&amp;i=132&amp;l=198&amp;ad=true" TargetMode="External" Id="rId104"/><Relationship Type="http://schemas.openxmlformats.org/officeDocument/2006/relationships/hyperlink" Target="https://new.land.naver.com/complexes/1467?ms=2AfAQG,3zprE6,17&amp;a=APT:ABYG:JGC&amp;b=A1:B1&amp;e=RETAIL&amp;h=34&amp;i=132&amp;l=198&amp;ad=true" TargetMode="External" Id="rId105"/><Relationship Type="http://schemas.openxmlformats.org/officeDocument/2006/relationships/hyperlink" Target="https://new.land.naver.com/complexes/1467?ms=2AfAQG,3zprE6,17&amp;a=APT:ABYG:JGC&amp;b=A1:B1&amp;e=RETAIL&amp;h=34&amp;i=132&amp;l=198&amp;ad=true" TargetMode="External" Id="rId106"/><Relationship Type="http://schemas.openxmlformats.org/officeDocument/2006/relationships/hyperlink" Target="https://new.land.naver.com/complexes/1467?ms=2AfAQG,3zprE6,17&amp;a=APT:ABYG:JGC&amp;b=A1:B1&amp;e=RETAIL&amp;h=34&amp;i=132&amp;l=198&amp;ad=true" TargetMode="External" Id="rId107"/><Relationship Type="http://schemas.openxmlformats.org/officeDocument/2006/relationships/hyperlink" Target="https://new.land.naver.com/complexes/1467?ms=2AfAQG,3zprE6,17&amp;a=APT:ABYG:JGC&amp;b=A1:B1&amp;e=RETAIL&amp;h=34&amp;i=132&amp;l=198&amp;ad=true" TargetMode="External" Id="rId108"/><Relationship Type="http://schemas.openxmlformats.org/officeDocument/2006/relationships/hyperlink" Target="https://new.land.naver.com/complexes/1468?ms=2AfAQG,3zprE6,17&amp;a=APT:ABYG:JGC&amp;b=A1:B1&amp;e=RETAIL&amp;h=34&amp;i=132&amp;l=198&amp;ad=true" TargetMode="External" Id="rId109"/><Relationship Type="http://schemas.openxmlformats.org/officeDocument/2006/relationships/hyperlink" Target="https://new.land.naver.com/complexes/1468?ms=2AfAQG,3zprE6,17&amp;a=APT:ABYG:JGC&amp;b=A1:B1&amp;e=RETAIL&amp;h=34&amp;i=132&amp;l=198&amp;ad=true" TargetMode="External" Id="rId110"/><Relationship Type="http://schemas.openxmlformats.org/officeDocument/2006/relationships/hyperlink" Target="https://new.land.naver.com/complexes/3075?ms=2AfAQG,3zprE6,17&amp;a=APT:ABYG:JGC&amp;b=A1:B1&amp;e=RETAIL&amp;h=34&amp;i=132&amp;l=198&amp;ad=true" TargetMode="External" Id="rId111"/><Relationship Type="http://schemas.openxmlformats.org/officeDocument/2006/relationships/hyperlink" Target="https://new.land.naver.com/complexes/3075?ms=2AfAQG,3zprE6,17&amp;a=APT:ABYG:JGC&amp;b=A1:B1&amp;e=RETAIL&amp;h=34&amp;i=132&amp;l=198&amp;ad=true" TargetMode="External" Id="rId112"/><Relationship Type="http://schemas.openxmlformats.org/officeDocument/2006/relationships/hyperlink" Target="https://new.land.naver.com/complexes/3075?ms=2AfAQG,3zprE6,17&amp;a=APT:ABYG:JGC&amp;b=A1:B1&amp;e=RETAIL&amp;h=34&amp;i=132&amp;l=198&amp;ad=true" TargetMode="External" Id="rId113"/><Relationship Type="http://schemas.openxmlformats.org/officeDocument/2006/relationships/hyperlink" Target="https://new.land.naver.com/complexes/1992?ms=2AfAQG,3zprE6,17&amp;a=APT:ABYG:JGC&amp;b=A1:B1&amp;e=RETAIL&amp;h=34&amp;i=132&amp;l=198&amp;ad=true" TargetMode="External" Id="rId114"/><Relationship Type="http://schemas.openxmlformats.org/officeDocument/2006/relationships/hyperlink" Target="https://new.land.naver.com/complexes/1992?ms=2AfAQG,3zprE6,17&amp;a=APT:ABYG:JGC&amp;b=A1:B1&amp;e=RETAIL&amp;h=34&amp;i=132&amp;l=198&amp;ad=true" TargetMode="External" Id="rId115"/><Relationship Type="http://schemas.openxmlformats.org/officeDocument/2006/relationships/hyperlink" Target="https://new.land.naver.com/complexes/1992?ms=2AfAQG,3zprE6,17&amp;a=APT:ABYG:JGC&amp;b=A1:B1&amp;e=RETAIL&amp;h=34&amp;i=132&amp;l=198&amp;ad=true" TargetMode="External" Id="rId116"/><Relationship Type="http://schemas.openxmlformats.org/officeDocument/2006/relationships/hyperlink" Target="https://new.land.naver.com/complexes/1992?ms=2AfAQG,3zprE6,17&amp;a=APT:ABYG:JGC&amp;b=A1:B1&amp;e=RETAIL&amp;h=34&amp;i=132&amp;l=198&amp;ad=true" TargetMode="External" Id="rId117"/><Relationship Type="http://schemas.openxmlformats.org/officeDocument/2006/relationships/hyperlink" Target="https://new.land.naver.com/complexes/1992?ms=2AfAQG,3zprE6,17&amp;a=APT:ABYG:JGC&amp;b=A1:B1&amp;e=RETAIL&amp;h=34&amp;i=132&amp;l=198&amp;ad=true" TargetMode="External" Id="rId118"/><Relationship Type="http://schemas.openxmlformats.org/officeDocument/2006/relationships/hyperlink" Target="https://new.land.naver.com/complexes/126060?ms=2AfAQG,3zprE6,17&amp;a=APT:ABYG:JGC&amp;b=A1:B1&amp;e=RETAIL&amp;h=34&amp;i=132&amp;l=198&amp;ad=true" TargetMode="External" Id="rId119"/><Relationship Type="http://schemas.openxmlformats.org/officeDocument/2006/relationships/hyperlink" Target="https://new.land.naver.com/complexes/126060?ms=2AfAQG,3zprE6,17&amp;a=APT:ABYG:JGC&amp;b=A1:B1&amp;e=RETAIL&amp;h=34&amp;i=132&amp;l=198&amp;ad=true" TargetMode="External" Id="rId120"/><Relationship Type="http://schemas.openxmlformats.org/officeDocument/2006/relationships/hyperlink" Target="https://new.land.naver.com/complexes/126060?ms=2AfAQG,3zprE6,17&amp;a=APT:ABYG:JGC&amp;b=A1:B1&amp;e=RETAIL&amp;h=34&amp;i=132&amp;l=198&amp;ad=true" TargetMode="External" Id="rId121"/><Relationship Type="http://schemas.openxmlformats.org/officeDocument/2006/relationships/hyperlink" Target="https://new.land.naver.com/complexes/126060?ms=2AfAQG,3zprE6,17&amp;a=APT:ABYG:JGC&amp;b=A1:B1&amp;e=RETAIL&amp;h=34&amp;i=132&amp;l=198&amp;ad=true" TargetMode="External" Id="rId122"/><Relationship Type="http://schemas.openxmlformats.org/officeDocument/2006/relationships/hyperlink" Target="https://new.land.naver.com/complexes/126060?ms=2AfAQG,3zprE6,17&amp;a=APT:ABYG:JGC&amp;b=A1:B1&amp;e=RETAIL&amp;h=34&amp;i=132&amp;l=198&amp;ad=true" TargetMode="External" Id="rId123"/><Relationship Type="http://schemas.openxmlformats.org/officeDocument/2006/relationships/hyperlink" Target="https://new.land.naver.com/complexes/144023?ms=2AfAQG,3zprE6,17&amp;a=APT:ABYG:JGC&amp;b=A1:B1&amp;e=RETAIL&amp;h=34&amp;i=132&amp;l=198&amp;ad=true" TargetMode="External" Id="rId124"/><Relationship Type="http://schemas.openxmlformats.org/officeDocument/2006/relationships/hyperlink" Target="https://new.land.naver.com/complexes/144023?ms=2AfAQG,3zprE6,17&amp;a=APT:ABYG:JGC&amp;b=A1:B1&amp;e=RETAIL&amp;h=34&amp;i=132&amp;l=198&amp;ad=true" TargetMode="External" Id="rId125"/><Relationship Type="http://schemas.openxmlformats.org/officeDocument/2006/relationships/hyperlink" Target="https://new.land.naver.com/complexes/144023?ms=2AfAQG,3zprE6,17&amp;a=APT:ABYG:JGC&amp;b=A1:B1&amp;e=RETAIL&amp;h=34&amp;i=132&amp;l=198&amp;ad=true" TargetMode="External" Id="rId126"/><Relationship Type="http://schemas.openxmlformats.org/officeDocument/2006/relationships/hyperlink" Target="https://new.land.naver.com/complexes/144023?ms=2AfAQG,3zprE6,17&amp;a=APT:ABYG:JGC&amp;b=A1:B1&amp;e=RETAIL&amp;h=34&amp;i=132&amp;l=198&amp;ad=true" TargetMode="External" Id="rId127"/><Relationship Type="http://schemas.openxmlformats.org/officeDocument/2006/relationships/hyperlink" Target="https://new.land.naver.com/complexes/144023?ms=2AfAQG,3zprE6,17&amp;a=APT:ABYG:JGC&amp;b=A1:B1&amp;e=RETAIL&amp;h=34&amp;i=132&amp;l=198&amp;ad=true" TargetMode="External" Id="rId128"/><Relationship Type="http://schemas.openxmlformats.org/officeDocument/2006/relationships/hyperlink" Target="https://new.land.naver.com/complexes/144023?ms=2AfAQG,3zprE6,17&amp;a=APT:ABYG:JGC&amp;b=A1:B1&amp;e=RETAIL&amp;h=34&amp;i=132&amp;l=198&amp;ad=true" TargetMode="External" Id="rId129"/><Relationship Type="http://schemas.openxmlformats.org/officeDocument/2006/relationships/hyperlink" Target="https://new.land.naver.com/complexes/144023?ms=2AfAQG,3zprE6,17&amp;a=APT:ABYG:JGC&amp;b=A1:B1&amp;e=RETAIL&amp;h=34&amp;i=132&amp;l=198&amp;ad=true" TargetMode="External" Id="rId130"/><Relationship Type="http://schemas.openxmlformats.org/officeDocument/2006/relationships/hyperlink" Target="https://new.land.naver.com/complexes/144023?ms=2AfAQG,3zprE6,17&amp;a=APT:ABYG:JGC&amp;b=A1:B1&amp;e=RETAIL&amp;h=34&amp;i=132&amp;l=198&amp;ad=true" TargetMode="External" Id="rId131"/><Relationship Type="http://schemas.openxmlformats.org/officeDocument/2006/relationships/hyperlink" Target="https://new.land.naver.com/complexes/124780?ms=2AfAQG,3zprE6,17&amp;a=APT:ABYG:JGC&amp;b=A1:B1&amp;e=RETAIL&amp;h=34&amp;i=132&amp;l=198&amp;ad=true" TargetMode="External" Id="rId132"/><Relationship Type="http://schemas.openxmlformats.org/officeDocument/2006/relationships/hyperlink" Target="https://new.land.naver.com/complexes/124780?ms=2AfAQG,3zprE6,17&amp;a=APT:ABYG:JGC&amp;b=A1:B1&amp;e=RETAIL&amp;h=34&amp;i=132&amp;l=198&amp;ad=true" TargetMode="External" Id="rId133"/><Relationship Type="http://schemas.openxmlformats.org/officeDocument/2006/relationships/hyperlink" Target="https://new.land.naver.com/complexes/124780?ms=2AfAQG,3zprE6,17&amp;a=APT:ABYG:JGC&amp;b=A1:B1&amp;e=RETAIL&amp;h=34&amp;i=132&amp;l=198&amp;ad=true" TargetMode="External" Id="rId134"/><Relationship Type="http://schemas.openxmlformats.org/officeDocument/2006/relationships/hyperlink" Target="https://new.land.naver.com/complexes/124780?ms=2AfAQG,3zprE6,17&amp;a=APT:ABYG:JGC&amp;b=A1:B1&amp;e=RETAIL&amp;h=34&amp;i=132&amp;l=198&amp;ad=true" TargetMode="External" Id="rId135"/><Relationship Type="http://schemas.openxmlformats.org/officeDocument/2006/relationships/hyperlink" Target="https://new.land.naver.com/complexes/124780?ms=2AfAQG,3zprE6,17&amp;a=APT:ABYG:JGC&amp;b=A1:B1&amp;e=RETAIL&amp;h=34&amp;i=132&amp;l=198&amp;ad=true" TargetMode="External" Id="rId136"/><Relationship Type="http://schemas.openxmlformats.org/officeDocument/2006/relationships/hyperlink" Target="https://new.land.naver.com/complexes/124780?ms=2AfAQG,3zprE6,17&amp;a=APT:ABYG:JGC&amp;b=A1:B1&amp;e=RETAIL&amp;h=34&amp;i=132&amp;l=198&amp;ad=true" TargetMode="External" Id="rId137"/><Relationship Type="http://schemas.openxmlformats.org/officeDocument/2006/relationships/hyperlink" Target="https://new.land.naver.com/complexes/124780?ms=2AfAQG,3zprE6,17&amp;a=APT:ABYG:JGC&amp;b=A1:B1&amp;e=RETAIL&amp;h=34&amp;i=132&amp;l=198&amp;ad=true" TargetMode="External" Id="rId138"/><Relationship Type="http://schemas.openxmlformats.org/officeDocument/2006/relationships/hyperlink" Target="https://new.land.naver.com/complexes/124780?ms=2AfAQG,3zprE6,17&amp;a=APT:ABYG:JGC&amp;b=A1:B1&amp;e=RETAIL&amp;h=34&amp;i=132&amp;l=198&amp;ad=true" TargetMode="External" Id="rId139"/><Relationship Type="http://schemas.openxmlformats.org/officeDocument/2006/relationships/hyperlink" Target="https://new.land.naver.com/complexes/126337?ms=2AfAQG,3zprE6,17&amp;a=APT:ABYG:JGC&amp;b=A1:B1&amp;e=RETAIL&amp;h=34&amp;i=132&amp;l=198&amp;ad=true" TargetMode="External" Id="rId140"/><Relationship Type="http://schemas.openxmlformats.org/officeDocument/2006/relationships/hyperlink" Target="https://new.land.naver.com/complexes/126337?ms=2AfAQG,3zprE6,17&amp;a=APT:ABYG:JGC&amp;b=A1:B1&amp;e=RETAIL&amp;h=34&amp;i=132&amp;l=198&amp;ad=true" TargetMode="External" Id="rId141"/><Relationship Type="http://schemas.openxmlformats.org/officeDocument/2006/relationships/hyperlink" Target="https://new.land.naver.com/complexes/126337?ms=2AfAQG,3zprE6,17&amp;a=APT:ABYG:JGC&amp;b=A1:B1&amp;e=RETAIL&amp;h=34&amp;i=132&amp;l=198&amp;ad=true" TargetMode="External" Id="rId142"/><Relationship Type="http://schemas.openxmlformats.org/officeDocument/2006/relationships/hyperlink" Target="https://new.land.naver.com/complexes/127903?ms=2AfAQG,3zprE6,17&amp;a=APT:ABYG:JGC&amp;b=A1:B1&amp;e=RETAIL&amp;h=34&amp;i=132&amp;l=198&amp;ad=true" TargetMode="External" Id="rId143"/><Relationship Type="http://schemas.openxmlformats.org/officeDocument/2006/relationships/hyperlink" Target="https://new.land.naver.com/complexes/127903?ms=2AfAQG,3zprE6,17&amp;a=APT:ABYG:JGC&amp;b=A1:B1&amp;e=RETAIL&amp;h=34&amp;i=132&amp;l=198&amp;ad=true" TargetMode="External" Id="rId144"/><Relationship Type="http://schemas.openxmlformats.org/officeDocument/2006/relationships/hyperlink" Target="https://new.land.naver.com/complexes/8626?ms=2AfAQG,3zprE6,17&amp;a=APT:ABYG:JGC&amp;b=A1:B1&amp;e=RETAIL&amp;h=34&amp;i=132&amp;l=198&amp;ad=true" TargetMode="External" Id="rId145"/><Relationship Type="http://schemas.openxmlformats.org/officeDocument/2006/relationships/hyperlink" Target="https://new.land.naver.com/complexes/8626?ms=2AfAQG,3zprE6,17&amp;a=APT:ABYG:JGC&amp;b=A1:B1&amp;e=RETAIL&amp;h=34&amp;i=132&amp;l=198&amp;ad=true" TargetMode="External" Id="rId146"/><Relationship Type="http://schemas.openxmlformats.org/officeDocument/2006/relationships/hyperlink" Target="https://new.land.naver.com/complexes/8626?ms=2AfAQG,3zprE6,17&amp;a=APT:ABYG:JGC&amp;b=A1:B1&amp;e=RETAIL&amp;h=34&amp;i=132&amp;l=198&amp;ad=true" TargetMode="External" Id="rId147"/><Relationship Type="http://schemas.openxmlformats.org/officeDocument/2006/relationships/hyperlink" Target="https://new.land.naver.com/complexes/1446?ms=2AfAQG,3zprE6,17&amp;a=APT:ABYG:JGC&amp;b=A1:B1&amp;e=RETAIL&amp;h=34&amp;i=132&amp;l=198&amp;ad=true" TargetMode="External" Id="rId148"/><Relationship Type="http://schemas.openxmlformats.org/officeDocument/2006/relationships/hyperlink" Target="https://new.land.naver.com/complexes/1446?ms=2AfAQG,3zprE6,17&amp;a=APT:ABYG:JGC&amp;b=A1:B1&amp;e=RETAIL&amp;h=34&amp;i=132&amp;l=198&amp;ad=true" TargetMode="External" Id="rId149"/><Relationship Type="http://schemas.openxmlformats.org/officeDocument/2006/relationships/hyperlink" Target="https://new.land.naver.com/complexes/1446?ms=2AfAQG,3zprE6,17&amp;a=APT:ABYG:JGC&amp;b=A1:B1&amp;e=RETAIL&amp;h=34&amp;i=132&amp;l=198&amp;ad=true" TargetMode="External" Id="rId150"/><Relationship Type="http://schemas.openxmlformats.org/officeDocument/2006/relationships/hyperlink" Target="https://new.land.naver.com/complexes/1448?ms=2AfAQG,3zprE6,17&amp;a=APT:ABYG:JGC&amp;b=A1:B1&amp;e=RETAIL&amp;h=34&amp;i=132&amp;l=198&amp;ad=true" TargetMode="External" Id="rId151"/><Relationship Type="http://schemas.openxmlformats.org/officeDocument/2006/relationships/hyperlink" Target="https://new.land.naver.com/complexes/1448?ms=2AfAQG,3zprE6,17&amp;a=APT:ABYG:JGC&amp;b=A1:B1&amp;e=RETAIL&amp;h=34&amp;i=132&amp;l=198&amp;ad=true" TargetMode="External" Id="rId152"/><Relationship Type="http://schemas.openxmlformats.org/officeDocument/2006/relationships/hyperlink" Target="https://new.land.naver.com/complexes/1449?ms=2AfAQG,3zprE6,17&amp;a=APT:ABYG:JGC&amp;b=A1:B1&amp;e=RETAIL&amp;h=34&amp;i=132&amp;l=198&amp;ad=true" TargetMode="External" Id="rId153"/><Relationship Type="http://schemas.openxmlformats.org/officeDocument/2006/relationships/hyperlink" Target="https://new.land.naver.com/complexes/1449?ms=2AfAQG,3zprE6,17&amp;a=APT:ABYG:JGC&amp;b=A1:B1&amp;e=RETAIL&amp;h=34&amp;i=132&amp;l=198&amp;ad=true" TargetMode="External" Id="rId154"/><Relationship Type="http://schemas.openxmlformats.org/officeDocument/2006/relationships/hyperlink" Target="https://new.land.naver.com/complexes/1450?ms=2AfAQG,3zprE6,17&amp;a=APT:ABYG:JGC&amp;b=A1:B1&amp;e=RETAIL&amp;h=34&amp;i=132&amp;l=198&amp;ad=true" TargetMode="External" Id="rId155"/><Relationship Type="http://schemas.openxmlformats.org/officeDocument/2006/relationships/hyperlink" Target="https://new.land.naver.com/complexes/1450?ms=2AfAQG,3zprE6,17&amp;a=APT:ABYG:JGC&amp;b=A1:B1&amp;e=RETAIL&amp;h=34&amp;i=132&amp;l=198&amp;ad=true" TargetMode="External" Id="rId156"/><Relationship Type="http://schemas.openxmlformats.org/officeDocument/2006/relationships/hyperlink" Target="https://new.land.naver.com/complexes/1450?ms=2AfAQG,3zprE6,17&amp;a=APT:ABYG:JGC&amp;b=A1:B1&amp;e=RETAIL&amp;h=34&amp;i=132&amp;l=198&amp;ad=true" TargetMode="External" Id="rId157"/><Relationship Type="http://schemas.openxmlformats.org/officeDocument/2006/relationships/hyperlink" Target="https://new.land.naver.com/complexes/1450?ms=2AfAQG,3zprE6,17&amp;a=APT:ABYG:JGC&amp;b=A1:B1&amp;e=RETAIL&amp;h=34&amp;i=132&amp;l=198&amp;ad=true" TargetMode="External" Id="rId158"/><Relationship Type="http://schemas.openxmlformats.org/officeDocument/2006/relationships/hyperlink" Target="https://new.land.naver.com/complexes/1451?ms=2AfAQG,3zprE6,17&amp;a=APT:ABYG:JGC&amp;b=A1:B1&amp;e=RETAIL&amp;h=34&amp;i=132&amp;l=198&amp;ad=true" TargetMode="External" Id="rId159"/><Relationship Type="http://schemas.openxmlformats.org/officeDocument/2006/relationships/hyperlink" Target="https://new.land.naver.com/complexes/1451?ms=2AfAQG,3zprE6,17&amp;a=APT:ABYG:JGC&amp;b=A1:B1&amp;e=RETAIL&amp;h=34&amp;i=132&amp;l=198&amp;ad=true" TargetMode="External" Id="rId160"/><Relationship Type="http://schemas.openxmlformats.org/officeDocument/2006/relationships/hyperlink" Target="https://new.land.naver.com/complexes/1451?ms=2AfAQG,3zprE6,17&amp;a=APT:ABYG:JGC&amp;b=A1:B1&amp;e=RETAIL&amp;h=34&amp;i=132&amp;l=198&amp;ad=true" TargetMode="External" Id="rId161"/><Relationship Type="http://schemas.openxmlformats.org/officeDocument/2006/relationships/hyperlink" Target="https://new.land.naver.com/complexes/1452?ms=2AfAQG,3zprE6,17&amp;a=APT:ABYG:JGC&amp;b=A1:B1&amp;e=RETAIL&amp;h=34&amp;i=132&amp;l=198&amp;ad=true" TargetMode="External" Id="rId162"/><Relationship Type="http://schemas.openxmlformats.org/officeDocument/2006/relationships/hyperlink" Target="https://new.land.naver.com/complexes/1452?ms=2AfAQG,3zprE6,17&amp;a=APT:ABYG:JGC&amp;b=A1:B1&amp;e=RETAIL&amp;h=34&amp;i=132&amp;l=198&amp;ad=true" TargetMode="External" Id="rId163"/><Relationship Type="http://schemas.openxmlformats.org/officeDocument/2006/relationships/hyperlink" Target="https://new.land.naver.com/complexes/1452?ms=2AfAQG,3zprE6,17&amp;a=APT:ABYG:JGC&amp;b=A1:B1&amp;e=RETAIL&amp;h=34&amp;i=132&amp;l=198&amp;ad=true" TargetMode="External" Id="rId164"/><Relationship Type="http://schemas.openxmlformats.org/officeDocument/2006/relationships/hyperlink" Target="https://new.land.naver.com/complexes/1453?ms=2AfAQG,3zprE6,17&amp;a=APT:ABYG:JGC&amp;b=A1:B1&amp;e=RETAIL&amp;h=34&amp;i=132&amp;l=198&amp;ad=true" TargetMode="External" Id="rId165"/><Relationship Type="http://schemas.openxmlformats.org/officeDocument/2006/relationships/hyperlink" Target="https://new.land.naver.com/complexes/1453?ms=2AfAQG,3zprE6,17&amp;a=APT:ABYG:JGC&amp;b=A1:B1&amp;e=RETAIL&amp;h=34&amp;i=132&amp;l=198&amp;ad=true" TargetMode="External" Id="rId166"/><Relationship Type="http://schemas.openxmlformats.org/officeDocument/2006/relationships/hyperlink" Target="https://new.land.naver.com/complexes/1453?ms=2AfAQG,3zprE6,17&amp;a=APT:ABYG:JGC&amp;b=A1:B1&amp;e=RETAIL&amp;h=34&amp;i=132&amp;l=198&amp;ad=true" TargetMode="External" Id="rId167"/><Relationship Type="http://schemas.openxmlformats.org/officeDocument/2006/relationships/hyperlink" Target="https://new.land.naver.com/complexes/8193?ms=2AfAQG,3zprE6,17&amp;a=APT:ABYG:JGC&amp;b=A1:B1&amp;e=RETAIL&amp;h=34&amp;i=132&amp;l=198&amp;ad=true" TargetMode="External" Id="rId168"/><Relationship Type="http://schemas.openxmlformats.org/officeDocument/2006/relationships/hyperlink" Target="https://new.land.naver.com/complexes/8193?ms=2AfAQG,3zprE6,17&amp;a=APT:ABYG:JGC&amp;b=A1:B1&amp;e=RETAIL&amp;h=34&amp;i=132&amp;l=198&amp;ad=true" TargetMode="External" Id="rId169"/><Relationship Type="http://schemas.openxmlformats.org/officeDocument/2006/relationships/hyperlink" Target="https://new.land.naver.com/complexes/2805?ms=2AfAQG,3zprE6,17&amp;a=APT:ABYG:JGC&amp;b=A1:B1&amp;e=RETAIL&amp;h=34&amp;i=132&amp;l=198&amp;ad=true" TargetMode="External" Id="rId170"/><Relationship Type="http://schemas.openxmlformats.org/officeDocument/2006/relationships/hyperlink" Target="https://new.land.naver.com/complexes/2805?ms=2AfAQG,3zprE6,17&amp;a=APT:ABYG:JGC&amp;b=A1:B1&amp;e=RETAIL&amp;h=34&amp;i=132&amp;l=198&amp;ad=true" TargetMode="External" Id="rId171"/><Relationship Type="http://schemas.openxmlformats.org/officeDocument/2006/relationships/hyperlink" Target="https://new.land.naver.com/complexes/8194?ms=2AfAQG,3zprE6,17&amp;a=APT:ABYG:JGC&amp;b=A1:B1&amp;e=RETAIL&amp;h=34&amp;i=132&amp;l=198&amp;ad=true" TargetMode="External" Id="rId172"/><Relationship Type="http://schemas.openxmlformats.org/officeDocument/2006/relationships/hyperlink" Target="https://new.land.naver.com/complexes/8194?ms=2AfAQG,3zprE6,17&amp;a=APT:ABYG:JGC&amp;b=A1:B1&amp;e=RETAIL&amp;h=34&amp;i=132&amp;l=198&amp;ad=true" TargetMode="External" Id="rId173"/><Relationship Type="http://schemas.openxmlformats.org/officeDocument/2006/relationships/hyperlink" Target="https://new.land.naver.com/complexes/8205?ms=2AfAQG,3zprE6,17&amp;a=APT:ABYG:JGC&amp;b=A1:B1&amp;e=RETAIL&amp;h=34&amp;i=132&amp;l=198&amp;ad=true" TargetMode="External" Id="rId174"/><Relationship Type="http://schemas.openxmlformats.org/officeDocument/2006/relationships/hyperlink" Target="https://new.land.naver.com/complexes/8205?ms=2AfAQG,3zprE6,17&amp;a=APT:ABYG:JGC&amp;b=A1:B1&amp;e=RETAIL&amp;h=34&amp;i=132&amp;l=198&amp;ad=true" TargetMode="External" Id="rId175"/><Relationship Type="http://schemas.openxmlformats.org/officeDocument/2006/relationships/hyperlink" Target="https://new.land.naver.com/complexes/8205?ms=2AfAQG,3zprE6,17&amp;a=APT:ABYG:JGC&amp;b=A1:B1&amp;e=RETAIL&amp;h=34&amp;i=132&amp;l=198&amp;ad=true" TargetMode="External" Id="rId176"/><Relationship Type="http://schemas.openxmlformats.org/officeDocument/2006/relationships/hyperlink" Target="https://new.land.naver.com/complexes/1479?ms=2AfAQG,3zprE6,17&amp;a=APT:ABYG:JGC&amp;b=A1:B1&amp;e=RETAIL&amp;h=34&amp;i=132&amp;l=198&amp;ad=true" TargetMode="External" Id="rId177"/><Relationship Type="http://schemas.openxmlformats.org/officeDocument/2006/relationships/hyperlink" Target="https://new.land.naver.com/complexes/1479?ms=2AfAQG,3zprE6,17&amp;a=APT:ABYG:JGC&amp;b=A1:B1&amp;e=RETAIL&amp;h=34&amp;i=132&amp;l=198&amp;ad=true" TargetMode="External" Id="rId178"/><Relationship Type="http://schemas.openxmlformats.org/officeDocument/2006/relationships/hyperlink" Target="https://new.land.naver.com/complexes/1483?ms=2AfAQG,3zprE6,17&amp;a=APT:ABYG:JGC&amp;b=A1:B1&amp;e=RETAIL&amp;h=34&amp;i=132&amp;l=198&amp;ad=true" TargetMode="External" Id="rId179"/><Relationship Type="http://schemas.openxmlformats.org/officeDocument/2006/relationships/hyperlink" Target="https://new.land.naver.com/complexes/1483?ms=2AfAQG,3zprE6,17&amp;a=APT:ABYG:JGC&amp;b=A1:B1&amp;e=RETAIL&amp;h=34&amp;i=132&amp;l=198&amp;ad=true" TargetMode="External" Id="rId180"/><Relationship Type="http://schemas.openxmlformats.org/officeDocument/2006/relationships/hyperlink" Target="https://new.land.naver.com/complexes/1477?ms=2AfAQG,3zprE6,17&amp;a=APT:ABYG:JGC&amp;b=A1:B1&amp;e=RETAIL&amp;h=34&amp;i=132&amp;l=198&amp;ad=true" TargetMode="External" Id="rId181"/><Relationship Type="http://schemas.openxmlformats.org/officeDocument/2006/relationships/hyperlink" Target="https://new.land.naver.com/complexes/1477?ms=2AfAQG,3zprE6,17&amp;a=APT:ABYG:JGC&amp;b=A1:B1&amp;e=RETAIL&amp;h=34&amp;i=132&amp;l=198&amp;ad=true" TargetMode="External" Id="rId182"/><Relationship Type="http://schemas.openxmlformats.org/officeDocument/2006/relationships/hyperlink" Target="https://new.land.naver.com/complexes/1478?ms=2AfAQG,3zprE6,17&amp;a=APT:ABYG:JGC&amp;b=A1:B1&amp;e=RETAIL&amp;h=34&amp;i=132&amp;l=198&amp;ad=true" TargetMode="External" Id="rId183"/><Relationship Type="http://schemas.openxmlformats.org/officeDocument/2006/relationships/hyperlink" Target="https://new.land.naver.com/complexes/1478?ms=2AfAQG,3zprE6,17&amp;a=APT:ABYG:JGC&amp;b=A1:B1&amp;e=RETAIL&amp;h=34&amp;i=132&amp;l=198&amp;ad=true" TargetMode="External" Id="rId184"/><Relationship Type="http://schemas.openxmlformats.org/officeDocument/2006/relationships/hyperlink" Target="https://new.land.naver.com/complexes/8481?ms=2AfAQG,3zprE6,17&amp;a=APT:ABYG:JGC&amp;b=A1:B1&amp;e=RETAIL&amp;h=34&amp;i=132&amp;l=198&amp;ad=true" TargetMode="External" Id="rId185"/><Relationship Type="http://schemas.openxmlformats.org/officeDocument/2006/relationships/hyperlink" Target="https://new.land.naver.com/complexes/8481?ms=2AfAQG,3zprE6,17&amp;a=APT:ABYG:JGC&amp;b=A1:B1&amp;e=RETAIL&amp;h=34&amp;i=132&amp;l=198&amp;ad=true" TargetMode="External" Id="rId186"/><Relationship Type="http://schemas.openxmlformats.org/officeDocument/2006/relationships/hyperlink" Target="https://new.land.naver.com/complexes/8481?ms=2AfAQG,3zprE6,17&amp;a=APT:ABYG:JGC&amp;b=A1:B1&amp;e=RETAIL&amp;h=34&amp;i=132&amp;l=198&amp;ad=true" TargetMode="External" Id="rId187"/><Relationship Type="http://schemas.openxmlformats.org/officeDocument/2006/relationships/hyperlink" Target="https://new.land.naver.com/complexes/2595?ms=2AfAQG,3zprE6,17&amp;a=APT:ABYG:JGC&amp;b=A1:B1&amp;e=RETAIL&amp;h=34&amp;i=132&amp;l=198&amp;ad=true" TargetMode="External" Id="rId188"/><Relationship Type="http://schemas.openxmlformats.org/officeDocument/2006/relationships/hyperlink" Target="https://new.land.naver.com/complexes/2595?ms=2AfAQG,3zprE6,17&amp;a=APT:ABYG:JGC&amp;b=A1:B1&amp;e=RETAIL&amp;h=34&amp;i=132&amp;l=198&amp;ad=true" TargetMode="External" Id="rId189"/><Relationship Type="http://schemas.openxmlformats.org/officeDocument/2006/relationships/hyperlink" Target="https://new.land.naver.com/complexes/2595?ms=2AfAQG,3zprE6,17&amp;a=APT:ABYG:JGC&amp;b=A1:B1&amp;e=RETAIL&amp;h=34&amp;i=132&amp;l=198&amp;ad=true" TargetMode="External" Id="rId190"/><Relationship Type="http://schemas.openxmlformats.org/officeDocument/2006/relationships/hyperlink" Target="https://new.land.naver.com/complexes/8775?ms=2AfAQG,3zprE6,17&amp;a=APT:ABYG:JGC&amp;b=A1:B1&amp;e=RETAIL&amp;h=34&amp;i=132&amp;l=198&amp;ad=true" TargetMode="External" Id="rId191"/><Relationship Type="http://schemas.openxmlformats.org/officeDocument/2006/relationships/hyperlink" Target="https://new.land.naver.com/complexes/26459?ms=2AfAQG,3zprE6,17&amp;a=APT:ABYG:JGC&amp;b=A1:B1&amp;e=RETAIL&amp;h=34&amp;i=132&amp;l=198&amp;ad=true" TargetMode="External" Id="rId192"/><Relationship Type="http://schemas.openxmlformats.org/officeDocument/2006/relationships/hyperlink" Target="https://new.land.naver.com/complexes/26459?ms=2AfAQG,3zprE6,17&amp;a=APT:ABYG:JGC&amp;b=A1:B1&amp;e=RETAIL&amp;h=34&amp;i=132&amp;l=198&amp;ad=true" TargetMode="External" Id="rId193"/><Relationship Type="http://schemas.openxmlformats.org/officeDocument/2006/relationships/hyperlink" Target="https://new.land.naver.com/complexes/26459?ms=2AfAQG,3zprE6,17&amp;a=APT:ABYG:JGC&amp;b=A1:B1&amp;e=RETAIL&amp;h=34&amp;i=132&amp;l=198&amp;ad=true" TargetMode="External" Id="rId194"/><Relationship Type="http://schemas.openxmlformats.org/officeDocument/2006/relationships/hyperlink" Target="https://new.land.naver.com/complexes/26459?ms=2AfAQG,3zprE6,17&amp;a=APT:ABYG:JGC&amp;b=A1:B1&amp;e=RETAIL&amp;h=34&amp;i=132&amp;l=198&amp;ad=true" TargetMode="External" Id="rId195"/><Relationship Type="http://schemas.openxmlformats.org/officeDocument/2006/relationships/hyperlink" Target="https://new.land.naver.com/complexes/1480?ms=2AfAQG,3zprE6,17&amp;a=APT:ABYG:JGC&amp;b=A1:B1&amp;e=RETAIL&amp;h=34&amp;i=132&amp;l=198&amp;ad=true" TargetMode="External" Id="rId196"/><Relationship Type="http://schemas.openxmlformats.org/officeDocument/2006/relationships/hyperlink" Target="https://new.land.naver.com/complexes/1480?ms=2AfAQG,3zprE6,17&amp;a=APT:ABYG:JGC&amp;b=A1:B1&amp;e=RETAIL&amp;h=34&amp;i=132&amp;l=198&amp;ad=true" TargetMode="External" Id="rId197"/><Relationship Type="http://schemas.openxmlformats.org/officeDocument/2006/relationships/hyperlink" Target="https://new.land.naver.com/complexes/1480?ms=2AfAQG,3zprE6,17&amp;a=APT:ABYG:JGC&amp;b=A1:B1&amp;e=RETAIL&amp;h=34&amp;i=132&amp;l=198&amp;ad=true" TargetMode="External" Id="rId198"/><Relationship Type="http://schemas.openxmlformats.org/officeDocument/2006/relationships/hyperlink" Target="https://new.land.naver.com/complexes/1481?ms=2AfAQG,3zprE6,17&amp;a=APT:ABYG:JGC&amp;b=A1:B1&amp;e=RETAIL&amp;h=34&amp;i=132&amp;l=198&amp;ad=true" TargetMode="External" Id="rId199"/><Relationship Type="http://schemas.openxmlformats.org/officeDocument/2006/relationships/hyperlink" Target="https://new.land.naver.com/complexes/1481?ms=2AfAQG,3zprE6,17&amp;a=APT:ABYG:JGC&amp;b=A1:B1&amp;e=RETAIL&amp;h=34&amp;i=132&amp;l=198&amp;ad=true" TargetMode="External" Id="rId200"/><Relationship Type="http://schemas.openxmlformats.org/officeDocument/2006/relationships/hyperlink" Target="https://new.land.naver.com/complexes/1482?ms=2AfAQG,3zprE6,17&amp;a=APT:ABYG:JGC&amp;b=A1:B1&amp;e=RETAIL&amp;h=34&amp;i=132&amp;l=198&amp;ad=true" TargetMode="External" Id="rId201"/><Relationship Type="http://schemas.openxmlformats.org/officeDocument/2006/relationships/hyperlink" Target="https://new.land.naver.com/complexes/1482?ms=2AfAQG,3zprE6,17&amp;a=APT:ABYG:JGC&amp;b=A1:B1&amp;e=RETAIL&amp;h=34&amp;i=132&amp;l=198&amp;ad=true" TargetMode="External" Id="rId202"/><Relationship Type="http://schemas.openxmlformats.org/officeDocument/2006/relationships/hyperlink" Target="https://new.land.naver.com/complexes/171438?ms=2AfAQG,3zprE6,17&amp;a=APT:ABYG:JGC&amp;b=A1:B1&amp;e=RETAIL&amp;h=34&amp;i=132&amp;l=198&amp;ad=true" TargetMode="External" Id="rId203"/><Relationship Type="http://schemas.openxmlformats.org/officeDocument/2006/relationships/hyperlink" Target="https://new.land.naver.com/complexes/171438?ms=2AfAQG,3zprE6,17&amp;a=APT:ABYG:JGC&amp;b=A1:B1&amp;e=RETAIL&amp;h=34&amp;i=132&amp;l=198&amp;ad=true" TargetMode="External" Id="rId204"/><Relationship Type="http://schemas.openxmlformats.org/officeDocument/2006/relationships/hyperlink" Target="https://new.land.naver.com/complexes/107639?ms=2AfAQG,3zprE6,17&amp;a=APT:ABYG:JGC&amp;b=A1:B1&amp;e=RETAIL&amp;h=34&amp;i=132&amp;l=198&amp;ad=true" TargetMode="External" Id="rId205"/><Relationship Type="http://schemas.openxmlformats.org/officeDocument/2006/relationships/hyperlink" Target="https://new.land.naver.com/complexes/107639?ms=2AfAQG,3zprE6,17&amp;a=APT:ABYG:JGC&amp;b=A1:B1&amp;e=RETAIL&amp;h=34&amp;i=132&amp;l=198&amp;ad=true" TargetMode="External" Id="rId206"/><Relationship Type="http://schemas.openxmlformats.org/officeDocument/2006/relationships/hyperlink" Target="https://new.land.naver.com/complexes/107639?ms=2AfAQG,3zprE6,17&amp;a=APT:ABYG:JGC&amp;b=A1:B1&amp;e=RETAIL&amp;h=34&amp;i=132&amp;l=198&amp;ad=true" TargetMode="External" Id="rId207"/><Relationship Type="http://schemas.openxmlformats.org/officeDocument/2006/relationships/hyperlink" Target="https://new.land.naver.com/complexes/107639?ms=2AfAQG,3zprE6,17&amp;a=APT:ABYG:JGC&amp;b=A1:B1&amp;e=RETAIL&amp;h=34&amp;i=132&amp;l=198&amp;ad=true" TargetMode="External" Id="rId208"/><Relationship Type="http://schemas.openxmlformats.org/officeDocument/2006/relationships/hyperlink" Target="https://new.land.naver.com/complexes/1457?ms=2AfAQG,3zprE6,17&amp;a=APT:ABYG:JGC&amp;b=A1:B1&amp;e=RETAIL&amp;h=34&amp;i=132&amp;l=198&amp;ad=true" TargetMode="External" Id="rId209"/><Relationship Type="http://schemas.openxmlformats.org/officeDocument/2006/relationships/hyperlink" Target="https://new.land.naver.com/complexes/1457?ms=2AfAQG,3zprE6,17&amp;a=APT:ABYG:JGC&amp;b=A1:B1&amp;e=RETAIL&amp;h=34&amp;i=132&amp;l=198&amp;ad=true" TargetMode="External" Id="rId210"/><Relationship Type="http://schemas.openxmlformats.org/officeDocument/2006/relationships/hyperlink" Target="https://new.land.naver.com/complexes/1457?ms=2AfAQG,3zprE6,17&amp;a=APT:ABYG:JGC&amp;b=A1:B1&amp;e=RETAIL&amp;h=34&amp;i=132&amp;l=198&amp;ad=true" TargetMode="External" Id="rId211"/><Relationship Type="http://schemas.openxmlformats.org/officeDocument/2006/relationships/hyperlink" Target="https://new.land.naver.com/complexes/1457?ms=2AfAQG,3zprE6,17&amp;a=APT:ABYG:JGC&amp;b=A1:B1&amp;e=RETAIL&amp;h=34&amp;i=132&amp;l=198&amp;ad=true" TargetMode="External" Id="rId212"/><Relationship Type="http://schemas.openxmlformats.org/officeDocument/2006/relationships/hyperlink" Target="https://new.land.naver.com/complexes/1457?ms=2AfAQG,3zprE6,17&amp;a=APT:ABYG:JGC&amp;b=A1:B1&amp;e=RETAIL&amp;h=34&amp;i=132&amp;l=198&amp;ad=true" TargetMode="External" Id="rId213"/><Relationship Type="http://schemas.openxmlformats.org/officeDocument/2006/relationships/hyperlink" Target="https://new.land.naver.com/complexes/1457?ms=2AfAQG,3zprE6,17&amp;a=APT:ABYG:JGC&amp;b=A1:B1&amp;e=RETAIL&amp;h=34&amp;i=132&amp;l=198&amp;ad=true" TargetMode="External" Id="rId214"/><Relationship Type="http://schemas.openxmlformats.org/officeDocument/2006/relationships/hyperlink" Target="https://new.land.naver.com/complexes/3015?ms=2AfAQG,3zprE6,17&amp;a=APT:ABYG:JGC&amp;b=A1:B1&amp;e=RETAIL&amp;h=34&amp;i=132&amp;l=198&amp;ad=true" TargetMode="External" Id="rId215"/><Relationship Type="http://schemas.openxmlformats.org/officeDocument/2006/relationships/hyperlink" Target="https://new.land.naver.com/complexes/3015?ms=2AfAQG,3zprE6,17&amp;a=APT:ABYG:JGC&amp;b=A1:B1&amp;e=RETAIL&amp;h=34&amp;i=132&amp;l=198&amp;ad=true" TargetMode="External" Id="rId216"/><Relationship Type="http://schemas.openxmlformats.org/officeDocument/2006/relationships/hyperlink" Target="https://new.land.naver.com/complexes/3022?ms=2AfAQG,3zprE6,17&amp;a=APT:ABYG:JGC&amp;b=A1:B1&amp;e=RETAIL&amp;h=34&amp;i=132&amp;l=198&amp;ad=true" TargetMode="External" Id="rId217"/><Relationship Type="http://schemas.openxmlformats.org/officeDocument/2006/relationships/hyperlink" Target="https://new.land.naver.com/complexes/3022?ms=2AfAQG,3zprE6,17&amp;a=APT:ABYG:JGC&amp;b=A1:B1&amp;e=RETAIL&amp;h=34&amp;i=132&amp;l=198&amp;ad=true" TargetMode="External" Id="rId218"/><Relationship Type="http://schemas.openxmlformats.org/officeDocument/2006/relationships/hyperlink" Target="https://new.land.naver.com/complexes/3022?ms=2AfAQG,3zprE6,17&amp;a=APT:ABYG:JGC&amp;b=A1:B1&amp;e=RETAIL&amp;h=34&amp;i=132&amp;l=198&amp;ad=true" TargetMode="External" Id="rId219"/><Relationship Type="http://schemas.openxmlformats.org/officeDocument/2006/relationships/hyperlink" Target="https://new.land.naver.com/complexes/3023?ms=2AfAQG,3zprE6,17&amp;a=APT:ABYG:JGC&amp;b=A1:B1&amp;e=RETAIL&amp;h=34&amp;i=132&amp;l=198&amp;ad=true" TargetMode="External" Id="rId220"/><Relationship Type="http://schemas.openxmlformats.org/officeDocument/2006/relationships/hyperlink" Target="https://new.land.naver.com/complexes/3023?ms=2AfAQG,3zprE6,17&amp;a=APT:ABYG:JGC&amp;b=A1:B1&amp;e=RETAIL&amp;h=34&amp;i=132&amp;l=198&amp;ad=true" TargetMode="External" Id="rId221"/><Relationship Type="http://schemas.openxmlformats.org/officeDocument/2006/relationships/hyperlink" Target="https://new.land.naver.com/complexes/3023?ms=2AfAQG,3zprE6,17&amp;a=APT:ABYG:JGC&amp;b=A1:B1&amp;e=RETAIL&amp;h=34&amp;i=132&amp;l=198&amp;ad=true" TargetMode="External" Id="rId222"/><Relationship Type="http://schemas.openxmlformats.org/officeDocument/2006/relationships/hyperlink" Target="https://new.land.naver.com/complexes/1456?ms=2AfAQG,3zprE6,17&amp;a=APT:ABYG:JGC&amp;b=A1:B1&amp;e=RETAIL&amp;h=34&amp;i=132&amp;l=198&amp;ad=true" TargetMode="External" Id="rId223"/><Relationship Type="http://schemas.openxmlformats.org/officeDocument/2006/relationships/hyperlink" Target="https://new.land.naver.com/complexes/1456?ms=2AfAQG,3zprE6,17&amp;a=APT:ABYG:JGC&amp;b=A1:B1&amp;e=RETAIL&amp;h=34&amp;i=132&amp;l=198&amp;ad=true" TargetMode="External" Id="rId224"/><Relationship Type="http://schemas.openxmlformats.org/officeDocument/2006/relationships/hyperlink" Target="https://new.land.naver.com/complexes/1456?ms=2AfAQG,3zprE6,17&amp;a=APT:ABYG:JGC&amp;b=A1:B1&amp;e=RETAIL&amp;h=34&amp;i=132&amp;l=198&amp;ad=true" TargetMode="External" Id="rId225"/><Relationship Type="http://schemas.openxmlformats.org/officeDocument/2006/relationships/hyperlink" Target="https://new.land.naver.com/complexes/1459?ms=2AfAQG,3zprE6,17&amp;a=APT:ABYG:JGC&amp;b=A1:B1&amp;e=RETAIL&amp;h=34&amp;i=132&amp;l=198&amp;ad=true" TargetMode="External" Id="rId226"/><Relationship Type="http://schemas.openxmlformats.org/officeDocument/2006/relationships/hyperlink" Target="https://new.land.naver.com/complexes/1459?ms=2AfAQG,3zprE6,17&amp;a=APT:ABYG:JGC&amp;b=A1:B1&amp;e=RETAIL&amp;h=34&amp;i=132&amp;l=198&amp;ad=true" TargetMode="External" Id="rId227"/><Relationship Type="http://schemas.openxmlformats.org/officeDocument/2006/relationships/hyperlink" Target="https://new.land.naver.com/complexes/1459?ms=2AfAQG,3zprE6,17&amp;a=APT:ABYG:JGC&amp;b=A1:B1&amp;e=RETAIL&amp;h=34&amp;i=132&amp;l=198&amp;ad=true" TargetMode="External" Id="rId228"/><Relationship Type="http://schemas.openxmlformats.org/officeDocument/2006/relationships/hyperlink" Target="https://new.land.naver.com/complexes/3016?ms=2AfAQG,3zprE6,17&amp;a=APT:ABYG:JGC&amp;b=A1:B1&amp;e=RETAIL&amp;h=34&amp;i=132&amp;l=198&amp;ad=true" TargetMode="External" Id="rId229"/><Relationship Type="http://schemas.openxmlformats.org/officeDocument/2006/relationships/hyperlink" Target="https://new.land.naver.com/complexes/3016?ms=2AfAQG,3zprE6,17&amp;a=APT:ABYG:JGC&amp;b=A1:B1&amp;e=RETAIL&amp;h=34&amp;i=132&amp;l=198&amp;ad=true" TargetMode="External" Id="rId230"/><Relationship Type="http://schemas.openxmlformats.org/officeDocument/2006/relationships/hyperlink" Target="https://new.land.naver.com/complexes/3016?ms=2AfAQG,3zprE6,17&amp;a=APT:ABYG:JGC&amp;b=A1:B1&amp;e=RETAIL&amp;h=34&amp;i=132&amp;l=198&amp;ad=true" TargetMode="External" Id="rId231"/><Relationship Type="http://schemas.openxmlformats.org/officeDocument/2006/relationships/hyperlink" Target="https://new.land.naver.com/complexes/1458?ms=2AfAQG,3zprE6,17&amp;a=APT:ABYG:JGC&amp;b=A1:B1&amp;e=RETAIL&amp;h=34&amp;i=132&amp;l=198&amp;ad=true" TargetMode="External" Id="rId232"/><Relationship Type="http://schemas.openxmlformats.org/officeDocument/2006/relationships/hyperlink" Target="https://new.land.naver.com/complexes/1458?ms=2AfAQG,3zprE6,17&amp;a=APT:ABYG:JGC&amp;b=A1:B1&amp;e=RETAIL&amp;h=34&amp;i=132&amp;l=198&amp;ad=true" TargetMode="External" Id="rId233"/><Relationship Type="http://schemas.openxmlformats.org/officeDocument/2006/relationships/hyperlink" Target="https://new.land.naver.com/complexes/1458?ms=2AfAQG,3zprE6,17&amp;a=APT:ABYG:JGC&amp;b=A1:B1&amp;e=RETAIL&amp;h=34&amp;i=132&amp;l=198&amp;ad=true" TargetMode="External" Id="rId234"/><Relationship Type="http://schemas.openxmlformats.org/officeDocument/2006/relationships/hyperlink" Target="https://new.land.naver.com/complexes/1470?ms=2AfAQG,3zprE6,17&amp;a=APT:ABYG:JGC&amp;b=A1:B1&amp;e=RETAIL&amp;h=34&amp;i=132&amp;l=198&amp;ad=true" TargetMode="External" Id="rId235"/><Relationship Type="http://schemas.openxmlformats.org/officeDocument/2006/relationships/hyperlink" Target="https://new.land.naver.com/complexes/1470?ms=2AfAQG,3zprE6,17&amp;a=APT:ABYG:JGC&amp;b=A1:B1&amp;e=RETAIL&amp;h=34&amp;i=132&amp;l=198&amp;ad=true" TargetMode="External" Id="rId236"/><Relationship Type="http://schemas.openxmlformats.org/officeDocument/2006/relationships/hyperlink" Target="https://new.land.naver.com/complexes/1470?ms=2AfAQG,3zprE6,17&amp;a=APT:ABYG:JGC&amp;b=A1:B1&amp;e=RETAIL&amp;h=34&amp;i=132&amp;l=198&amp;ad=true" TargetMode="External" Id="rId237"/><Relationship Type="http://schemas.openxmlformats.org/officeDocument/2006/relationships/hyperlink" Target="https://new.land.naver.com/complexes/1471?ms=2AfAQG,3zprE6,17&amp;a=APT:ABYG:JGC&amp;b=A1:B1&amp;e=RETAIL&amp;h=34&amp;i=132&amp;l=198&amp;ad=true" TargetMode="External" Id="rId238"/><Relationship Type="http://schemas.openxmlformats.org/officeDocument/2006/relationships/hyperlink" Target="https://new.land.naver.com/complexes/1471?ms=2AfAQG,3zprE6,17&amp;a=APT:ABYG:JGC&amp;b=A1:B1&amp;e=RETAIL&amp;h=34&amp;i=132&amp;l=198&amp;ad=true" TargetMode="External" Id="rId239"/><Relationship Type="http://schemas.openxmlformats.org/officeDocument/2006/relationships/hyperlink" Target="https://new.land.naver.com/complexes/1471?ms=2AfAQG,3zprE6,17&amp;a=APT:ABYG:JGC&amp;b=A1:B1&amp;e=RETAIL&amp;h=34&amp;i=132&amp;l=198&amp;ad=true" TargetMode="External" Id="rId240"/><Relationship Type="http://schemas.openxmlformats.org/officeDocument/2006/relationships/hyperlink" Target="https://new.land.naver.com/complexes/1472?ms=2AfAQG,3zprE6,17&amp;a=APT:ABYG:JGC&amp;b=A1:B1&amp;e=RETAIL&amp;h=34&amp;i=132&amp;l=198&amp;ad=true" TargetMode="External" Id="rId241"/><Relationship Type="http://schemas.openxmlformats.org/officeDocument/2006/relationships/hyperlink" Target="https://new.land.naver.com/complexes/1472?ms=2AfAQG,3zprE6,17&amp;a=APT:ABYG:JGC&amp;b=A1:B1&amp;e=RETAIL&amp;h=34&amp;i=132&amp;l=198&amp;ad=true" TargetMode="External" Id="rId242"/><Relationship Type="http://schemas.openxmlformats.org/officeDocument/2006/relationships/hyperlink" Target="https://new.land.naver.com/complexes/1472?ms=2AfAQG,3zprE6,17&amp;a=APT:ABYG:JGC&amp;b=A1:B1&amp;e=RETAIL&amp;h=34&amp;i=132&amp;l=198&amp;ad=true" TargetMode="External" Id="rId243"/><Relationship Type="http://schemas.openxmlformats.org/officeDocument/2006/relationships/hyperlink" Target="https://new.land.naver.com/complexes/1473?ms=2AfAQG,3zprE6,17&amp;a=APT:ABYG:JGC&amp;b=A1:B1&amp;e=RETAIL&amp;h=34&amp;i=132&amp;l=198&amp;ad=true" TargetMode="External" Id="rId244"/><Relationship Type="http://schemas.openxmlformats.org/officeDocument/2006/relationships/hyperlink" Target="https://new.land.naver.com/complexes/1473?ms=2AfAQG,3zprE6,17&amp;a=APT:ABYG:JGC&amp;b=A1:B1&amp;e=RETAIL&amp;h=34&amp;i=132&amp;l=198&amp;ad=true" TargetMode="External" Id="rId245"/><Relationship Type="http://schemas.openxmlformats.org/officeDocument/2006/relationships/hyperlink" Target="https://new.land.naver.com/complexes/1474?ms=2AfAQG,3zprE6,17&amp;a=APT:ABYG:JGC&amp;b=A1:B1&amp;e=RETAIL&amp;h=34&amp;i=132&amp;l=198&amp;ad=true" TargetMode="External" Id="rId246"/><Relationship Type="http://schemas.openxmlformats.org/officeDocument/2006/relationships/hyperlink" Target="https://new.land.naver.com/complexes/1474?ms=2AfAQG,3zprE6,17&amp;a=APT:ABYG:JGC&amp;b=A1:B1&amp;e=RETAIL&amp;h=34&amp;i=132&amp;l=198&amp;ad=true" TargetMode="External" Id="rId247"/><Relationship Type="http://schemas.openxmlformats.org/officeDocument/2006/relationships/hyperlink" Target="https://new.land.naver.com/complexes/1474?ms=2AfAQG,3zprE6,17&amp;a=APT:ABYG:JGC&amp;b=A1:B1&amp;e=RETAIL&amp;h=34&amp;i=132&amp;l=198&amp;ad=true" TargetMode="External" Id="rId248"/><Relationship Type="http://schemas.openxmlformats.org/officeDocument/2006/relationships/hyperlink" Target="https://new.land.naver.com/complexes/1476?ms=2AfAQG,3zprE6,17&amp;a=APT:ABYG:JGC&amp;b=A1:B1&amp;e=RETAIL&amp;h=34&amp;i=132&amp;l=198&amp;ad=true" TargetMode="External" Id="rId249"/><Relationship Type="http://schemas.openxmlformats.org/officeDocument/2006/relationships/hyperlink" Target="https://new.land.naver.com/complexes/1476?ms=2AfAQG,3zprE6,17&amp;a=APT:ABYG:JGC&amp;b=A1:B1&amp;e=RETAIL&amp;h=34&amp;i=132&amp;l=198&amp;ad=true" TargetMode="External" Id="rId250"/><Relationship Type="http://schemas.openxmlformats.org/officeDocument/2006/relationships/hyperlink" Target="https://new.land.naver.com/complexes/1476?ms=2AfAQG,3zprE6,17&amp;a=APT:ABYG:JGC&amp;b=A1:B1&amp;e=RETAIL&amp;h=34&amp;i=132&amp;l=198&amp;ad=true" TargetMode="External" Id="rId251"/><Relationship Type="http://schemas.openxmlformats.org/officeDocument/2006/relationships/hyperlink" Target="https://new.land.naver.com/complexes/19492?ms=2AfAQG,3zprE6,17&amp;a=APT:ABYG:JGC&amp;b=A1:B1&amp;e=RETAIL&amp;h=34&amp;i=132&amp;l=198&amp;ad=true" TargetMode="External" Id="rId252"/><Relationship Type="http://schemas.openxmlformats.org/officeDocument/2006/relationships/hyperlink" Target="https://new.land.naver.com/complexes/19492?ms=2AfAQG,3zprE6,17&amp;a=APT:ABYG:JGC&amp;b=A1:B1&amp;e=RETAIL&amp;h=34&amp;i=132&amp;l=198&amp;ad=true" TargetMode="External" Id="rId253"/><Relationship Type="http://schemas.openxmlformats.org/officeDocument/2006/relationships/hyperlink" Target="https://new.land.naver.com/complexes/19492?ms=2AfAQG,3zprE6,17&amp;a=APT:ABYG:JGC&amp;b=A1:B1&amp;e=RETAIL&amp;h=34&amp;i=132&amp;l=198&amp;ad=true" TargetMode="External" Id="rId254"/><Relationship Type="http://schemas.openxmlformats.org/officeDocument/2006/relationships/hyperlink" Target="https://new.land.naver.com/complexes/2046?ms=2AfAQG,3zprE6,17&amp;a=APT:ABYG:JGC&amp;b=A1:B1&amp;e=RETAIL&amp;h=34&amp;i=132&amp;l=198&amp;ad=true" TargetMode="External" Id="rId255"/><Relationship Type="http://schemas.openxmlformats.org/officeDocument/2006/relationships/hyperlink" Target="https://new.land.naver.com/complexes/2046?ms=2AfAQG,3zprE6,17&amp;a=APT:ABYG:JGC&amp;b=A1:B1&amp;e=RETAIL&amp;h=34&amp;i=132&amp;l=198&amp;ad=true" TargetMode="External" Id="rId256"/><Relationship Type="http://schemas.openxmlformats.org/officeDocument/2006/relationships/hyperlink" Target="https://new.land.naver.com/complexes/2046?ms=2AfAQG,3zprE6,17&amp;a=APT:ABYG:JGC&amp;b=A1:B1&amp;e=RETAIL&amp;h=34&amp;i=132&amp;l=198&amp;ad=true" TargetMode="External" Id="rId257"/><Relationship Type="http://schemas.openxmlformats.org/officeDocument/2006/relationships/hyperlink" Target="https://new.land.naver.com/complexes/1441?ms=2AfAQG,3zprE6,17&amp;a=APT:ABYG:JGC&amp;b=A1:B1&amp;e=RETAIL&amp;h=34&amp;i=132&amp;l=198&amp;ad=true" TargetMode="External" Id="rId258"/><Relationship Type="http://schemas.openxmlformats.org/officeDocument/2006/relationships/hyperlink" Target="https://new.land.naver.com/complexes/1441?ms=2AfAQG,3zprE6,17&amp;a=APT:ABYG:JGC&amp;b=A1:B1&amp;e=RETAIL&amp;h=34&amp;i=132&amp;l=198&amp;ad=true" TargetMode="External" Id="rId259"/><Relationship Type="http://schemas.openxmlformats.org/officeDocument/2006/relationships/hyperlink" Target="https://new.land.naver.com/complexes/1441?ms=2AfAQG,3zprE6,17&amp;a=APT:ABYG:JGC&amp;b=A1:B1&amp;e=RETAIL&amp;h=34&amp;i=132&amp;l=198&amp;ad=true" TargetMode="External" Id="rId260"/><Relationship Type="http://schemas.openxmlformats.org/officeDocument/2006/relationships/hyperlink" Target="https://new.land.naver.com/complexes/1441?ms=2AfAQG,3zprE6,17&amp;a=APT:ABYG:JGC&amp;b=A1:B1&amp;e=RETAIL&amp;h=34&amp;i=132&amp;l=198&amp;ad=true" TargetMode="External" Id="rId261"/><Relationship Type="http://schemas.openxmlformats.org/officeDocument/2006/relationships/hyperlink" Target="https://new.land.naver.com/complexes/1441?ms=2AfAQG,3zprE6,17&amp;a=APT:ABYG:JGC&amp;b=A1:B1&amp;e=RETAIL&amp;h=34&amp;i=132&amp;l=198&amp;ad=true" TargetMode="External" Id="rId262"/><Relationship Type="http://schemas.openxmlformats.org/officeDocument/2006/relationships/hyperlink" Target="https://new.land.naver.com/complexes/1441?ms=2AfAQG,3zprE6,17&amp;a=APT:ABYG:JGC&amp;b=A1:B1&amp;e=RETAIL&amp;h=34&amp;i=132&amp;l=198&amp;ad=true" TargetMode="External" Id="rId263"/><Relationship Type="http://schemas.openxmlformats.org/officeDocument/2006/relationships/hyperlink" Target="https://new.land.naver.com/complexes/1441?ms=2AfAQG,3zprE6,17&amp;a=APT:ABYG:JGC&amp;b=A1:B1&amp;e=RETAIL&amp;h=34&amp;i=132&amp;l=198&amp;ad=true" TargetMode="External" Id="rId264"/><Relationship Type="http://schemas.openxmlformats.org/officeDocument/2006/relationships/hyperlink" Target="https://new.land.naver.com/complexes/1441?ms=2AfAQG,3zprE6,17&amp;a=APT:ABYG:JGC&amp;b=A1:B1&amp;e=RETAIL&amp;h=34&amp;i=132&amp;l=198&amp;ad=true" TargetMode="External" Id="rId265"/><Relationship Type="http://schemas.openxmlformats.org/officeDocument/2006/relationships/hyperlink" Target="https://new.land.naver.com/complexes/1444?ms=2AfAQG,3zprE6,17&amp;a=APT:ABYG:JGC&amp;b=A1:B1&amp;e=RETAIL&amp;h=34&amp;i=132&amp;l=198&amp;ad=true" TargetMode="External" Id="rId266"/><Relationship Type="http://schemas.openxmlformats.org/officeDocument/2006/relationships/hyperlink" Target="https://new.land.naver.com/complexes/1444?ms=2AfAQG,3zprE6,17&amp;a=APT:ABYG:JGC&amp;b=A1:B1&amp;e=RETAIL&amp;h=34&amp;i=132&amp;l=198&amp;ad=true" TargetMode="External" Id="rId267"/><Relationship Type="http://schemas.openxmlformats.org/officeDocument/2006/relationships/hyperlink" Target="https://new.land.naver.com/complexes/1444?ms=2AfAQG,3zprE6,17&amp;a=APT:ABYG:JGC&amp;b=A1:B1&amp;e=RETAIL&amp;h=34&amp;i=132&amp;l=198&amp;ad=true" TargetMode="External" Id="rId268"/><Relationship Type="http://schemas.openxmlformats.org/officeDocument/2006/relationships/hyperlink" Target="https://new.land.naver.com/complexes/1442?ms=2AfAQG,3zprE6,17&amp;a=APT:ABYG:JGC&amp;b=A1:B1&amp;e=RETAIL&amp;h=34&amp;i=132&amp;l=198&amp;ad=true" TargetMode="External" Id="rId269"/><Relationship Type="http://schemas.openxmlformats.org/officeDocument/2006/relationships/hyperlink" Target="https://new.land.naver.com/complexes/1442?ms=2AfAQG,3zprE6,17&amp;a=APT:ABYG:JGC&amp;b=A1:B1&amp;e=RETAIL&amp;h=34&amp;i=132&amp;l=198&amp;ad=true" TargetMode="External" Id="rId270"/><Relationship Type="http://schemas.openxmlformats.org/officeDocument/2006/relationships/hyperlink" Target="https://new.land.naver.com/complexes/1442?ms=2AfAQG,3zprE6,17&amp;a=APT:ABYG:JGC&amp;b=A1:B1&amp;e=RETAIL&amp;h=34&amp;i=132&amp;l=198&amp;ad=true" TargetMode="External" Id="rId271"/><Relationship Type="http://schemas.openxmlformats.org/officeDocument/2006/relationships/hyperlink" Target="https://new.land.naver.com/complexes/1443?ms=2AfAQG,3zprE6,17&amp;a=APT:ABYG:JGC&amp;b=A1:B1&amp;e=RETAIL&amp;h=34&amp;i=132&amp;l=198&amp;ad=true" TargetMode="External" Id="rId272"/><Relationship Type="http://schemas.openxmlformats.org/officeDocument/2006/relationships/hyperlink" Target="https://new.land.naver.com/complexes/1443?ms=2AfAQG,3zprE6,17&amp;a=APT:ABYG:JGC&amp;b=A1:B1&amp;e=RETAIL&amp;h=34&amp;i=132&amp;l=198&amp;ad=true" TargetMode="External" Id="rId273"/><Relationship Type="http://schemas.openxmlformats.org/officeDocument/2006/relationships/hyperlink" Target="https://new.land.naver.com/complexes/175697?ms=2AfAQG,3zprE6,17&amp;a=APT:ABYG:JGC&amp;b=A1:B1&amp;e=RETAIL&amp;h=34&amp;i=132&amp;l=198&amp;ad=true" TargetMode="External" Id="rId274"/><Relationship Type="http://schemas.openxmlformats.org/officeDocument/2006/relationships/hyperlink" Target="https://new.land.naver.com/complexes/175697?ms=2AfAQG,3zprE6,17&amp;a=APT:ABYG:JGC&amp;b=A1:B1&amp;e=RETAIL&amp;h=34&amp;i=132&amp;l=198&amp;ad=true" TargetMode="External" Id="rId275"/><Relationship Type="http://schemas.openxmlformats.org/officeDocument/2006/relationships/hyperlink" Target="https://new.land.naver.com/complexes/175697?ms=2AfAQG,3zprE6,17&amp;a=APT:ABYG:JGC&amp;b=A1:B1&amp;e=RETAIL&amp;h=34&amp;i=132&amp;l=198&amp;ad=true" TargetMode="External" Id="rId276"/><Relationship Type="http://schemas.openxmlformats.org/officeDocument/2006/relationships/hyperlink" Target="https://new.land.naver.com/complexes/175697?ms=2AfAQG,3zprE6,17&amp;a=APT:ABYG:JGC&amp;b=A1:B1&amp;e=RETAIL&amp;h=34&amp;i=132&amp;l=198&amp;ad=true" TargetMode="External" Id="rId277"/><Relationship Type="http://schemas.openxmlformats.org/officeDocument/2006/relationships/hyperlink" Target="https://new.land.naver.com/complexes/115703?ms=2AfAQG,3zprE6,17&amp;a=APT:ABYG:JGC&amp;b=A1:B1&amp;e=RETAIL&amp;h=34&amp;i=132&amp;l=198&amp;ad=true" TargetMode="External" Id="rId278"/><Relationship Type="http://schemas.openxmlformats.org/officeDocument/2006/relationships/hyperlink" Target="https://new.land.naver.com/complexes/115703?ms=2AfAQG,3zprE6,17&amp;a=APT:ABYG:JGC&amp;b=A1:B1&amp;e=RETAIL&amp;h=34&amp;i=132&amp;l=198&amp;ad=true" TargetMode="External" Id="rId279"/><Relationship Type="http://schemas.openxmlformats.org/officeDocument/2006/relationships/hyperlink" Target="https://new.land.naver.com/complexes/113297?ms=2AfAQG,3zprE6,17&amp;a=APT:ABYG:JGC&amp;b=A1:B1&amp;e=RETAIL&amp;h=34&amp;i=132&amp;l=198&amp;ad=true" TargetMode="External" Id="rId280"/><Relationship Type="http://schemas.openxmlformats.org/officeDocument/2006/relationships/hyperlink" Target="https://new.land.naver.com/complexes/113297?ms=2AfAQG,3zprE6,17&amp;a=APT:ABYG:JGC&amp;b=A1:B1&amp;e=RETAIL&amp;h=34&amp;i=132&amp;l=198&amp;ad=true" TargetMode="External" Id="rId281"/><Relationship Type="http://schemas.openxmlformats.org/officeDocument/2006/relationships/hyperlink" Target="https://new.land.naver.com/complexes/113297?ms=2AfAQG,3zprE6,17&amp;a=APT:ABYG:JGC&amp;b=A1:B1&amp;e=RETAIL&amp;h=34&amp;i=132&amp;l=198&amp;ad=true" TargetMode="External" Id="rId282"/><Relationship Type="http://schemas.openxmlformats.org/officeDocument/2006/relationships/hyperlink" Target="https://new.land.naver.com/complexes/113297?ms=2AfAQG,3zprE6,17&amp;a=APT:ABYG:JGC&amp;b=A1:B1&amp;e=RETAIL&amp;h=34&amp;i=132&amp;l=198&amp;ad=true" TargetMode="External" Id="rId283"/><Relationship Type="http://schemas.openxmlformats.org/officeDocument/2006/relationships/hyperlink" Target="https://new.land.naver.com/complexes/152005?ms=2AfAQG,3zprE6,17&amp;a=APT:ABYG:JGC&amp;b=A1:B1&amp;e=RETAIL&amp;h=34&amp;i=132&amp;l=198&amp;ad=true" TargetMode="External" Id="rId284"/><Relationship Type="http://schemas.openxmlformats.org/officeDocument/2006/relationships/hyperlink" Target="https://new.land.naver.com/complexes/152005?ms=2AfAQG,3zprE6,17&amp;a=APT:ABYG:JGC&amp;b=A1:B1&amp;e=RETAIL&amp;h=34&amp;i=132&amp;l=198&amp;ad=true" TargetMode="External" Id="rId285"/><Relationship Type="http://schemas.openxmlformats.org/officeDocument/2006/relationships/hyperlink" Target="https://new.land.naver.com/complexes/152005?ms=2AfAQG,3zprE6,17&amp;a=APT:ABYG:JGC&amp;b=A1:B1&amp;e=RETAIL&amp;h=34&amp;i=132&amp;l=198&amp;ad=true" TargetMode="External" Id="rId286"/><Relationship Type="http://schemas.openxmlformats.org/officeDocument/2006/relationships/hyperlink" Target="https://new.land.naver.com/complexes/123900?ms=2AfAQG,3zprE6,17&amp;a=APT:ABYG:JGC&amp;b=A1:B1&amp;e=RETAIL&amp;h=34&amp;i=132&amp;l=198&amp;ad=true" TargetMode="External" Id="rId287"/><Relationship Type="http://schemas.openxmlformats.org/officeDocument/2006/relationships/hyperlink" Target="https://new.land.naver.com/complexes/123900?ms=2AfAQG,3zprE6,17&amp;a=APT:ABYG:JGC&amp;b=A1:B1&amp;e=RETAIL&amp;h=34&amp;i=132&amp;l=198&amp;ad=true" TargetMode="External" Id="rId288"/><Relationship Type="http://schemas.openxmlformats.org/officeDocument/2006/relationships/hyperlink" Target="https://new.land.naver.com/complexes/123900?ms=2AfAQG,3zprE6,17&amp;a=APT:ABYG:JGC&amp;b=A1:B1&amp;e=RETAIL&amp;h=34&amp;i=132&amp;l=198&amp;ad=true" TargetMode="External" Id="rId289"/><Relationship Type="http://schemas.openxmlformats.org/officeDocument/2006/relationships/hyperlink" Target="https://new.land.naver.com/complexes/123900?ms=2AfAQG,3zprE6,17&amp;a=APT:ABYG:JGC&amp;b=A1:B1&amp;e=RETAIL&amp;h=34&amp;i=132&amp;l=198&amp;ad=true" TargetMode="External" Id="rId290"/><Relationship Type="http://schemas.openxmlformats.org/officeDocument/2006/relationships/hyperlink" Target="https://new.land.naver.com/complexes/123900?ms=2AfAQG,3zprE6,17&amp;a=APT:ABYG:JGC&amp;b=A1:B1&amp;e=RETAIL&amp;h=34&amp;i=132&amp;l=198&amp;ad=true" TargetMode="External" Id="rId291"/><Relationship Type="http://schemas.openxmlformats.org/officeDocument/2006/relationships/hyperlink" Target="https://new.land.naver.com/complexes/123900?ms=2AfAQG,3zprE6,17&amp;a=APT:ABYG:JGC&amp;b=A1:B1&amp;e=RETAIL&amp;h=34&amp;i=132&amp;l=198&amp;ad=true" TargetMode="External" Id="rId292"/><Relationship Type="http://schemas.openxmlformats.org/officeDocument/2006/relationships/hyperlink" Target="https://new.land.naver.com/complexes/154917?ms=2AfAQG,3zprE6,17&amp;a=APT:ABYG:JGC&amp;b=A1:B1&amp;e=RETAIL&amp;h=34&amp;i=132&amp;l=198&amp;ad=true" TargetMode="External" Id="rId293"/><Relationship Type="http://schemas.openxmlformats.org/officeDocument/2006/relationships/hyperlink" Target="https://new.land.naver.com/complexes/154917?ms=2AfAQG,3zprE6,17&amp;a=APT:ABYG:JGC&amp;b=A1:B1&amp;e=RETAIL&amp;h=34&amp;i=132&amp;l=198&amp;ad=true" TargetMode="External" Id="rId294"/><Relationship Type="http://schemas.openxmlformats.org/officeDocument/2006/relationships/hyperlink" Target="https://new.land.naver.com/complexes/154917?ms=2AfAQG,3zprE6,17&amp;a=APT:ABYG:JGC&amp;b=A1:B1&amp;e=RETAIL&amp;h=34&amp;i=132&amp;l=198&amp;ad=true" TargetMode="External" Id="rId295"/><Relationship Type="http://schemas.openxmlformats.org/officeDocument/2006/relationships/hyperlink" Target="https://new.land.naver.com/complexes/154917?ms=2AfAQG,3zprE6,17&amp;a=APT:ABYG:JGC&amp;b=A1:B1&amp;e=RETAIL&amp;h=34&amp;i=132&amp;l=198&amp;ad=true" TargetMode="External" Id="rId296"/><Relationship Type="http://schemas.openxmlformats.org/officeDocument/2006/relationships/hyperlink" Target="https://new.land.naver.com/complexes/154917?ms=2AfAQG,3zprE6,17&amp;a=APT:ABYG:JGC&amp;b=A1:B1&amp;e=RETAIL&amp;h=34&amp;i=132&amp;l=198&amp;ad=true" TargetMode="External" Id="rId297"/><Relationship Type="http://schemas.openxmlformats.org/officeDocument/2006/relationships/hyperlink" Target="https://new.land.naver.com/complexes/154917?ms=2AfAQG,3zprE6,17&amp;a=APT:ABYG:JGC&amp;b=A1:B1&amp;e=RETAIL&amp;h=34&amp;i=132&amp;l=198&amp;ad=true" TargetMode="External" Id="rId298"/><Relationship Type="http://schemas.openxmlformats.org/officeDocument/2006/relationships/hyperlink" Target="https://new.land.naver.com/complexes/122682?ms=2AfAQG,3zprE6,17&amp;a=APT:ABYG:JGC&amp;b=A1:B1&amp;e=RETAIL&amp;h=34&amp;i=132&amp;l=198&amp;ad=true" TargetMode="External" Id="rId299"/><Relationship Type="http://schemas.openxmlformats.org/officeDocument/2006/relationships/hyperlink" Target="https://new.land.naver.com/complexes/122682?ms=2AfAQG,3zprE6,17&amp;a=APT:ABYG:JGC&amp;b=A1:B1&amp;e=RETAIL&amp;h=34&amp;i=132&amp;l=198&amp;ad=true" TargetMode="External" Id="rId300"/><Relationship Type="http://schemas.openxmlformats.org/officeDocument/2006/relationships/hyperlink" Target="https://new.land.naver.com/complexes/122682?ms=2AfAQG,3zprE6,17&amp;a=APT:ABYG:JGC&amp;b=A1:B1&amp;e=RETAIL&amp;h=34&amp;i=132&amp;l=198&amp;ad=true" TargetMode="External" Id="rId301"/><Relationship Type="http://schemas.openxmlformats.org/officeDocument/2006/relationships/hyperlink" Target="https://new.land.naver.com/complexes/122682?ms=2AfAQG,3zprE6,17&amp;a=APT:ABYG:JGC&amp;b=A1:B1&amp;e=RETAIL&amp;h=34&amp;i=132&amp;l=198&amp;ad=true" TargetMode="External" Id="rId302"/><Relationship Type="http://schemas.openxmlformats.org/officeDocument/2006/relationships/hyperlink" Target="https://new.land.naver.com/complexes/122682?ms=2AfAQG,3zprE6,17&amp;a=APT:ABYG:JGC&amp;b=A1:B1&amp;e=RETAIL&amp;h=34&amp;i=132&amp;l=198&amp;ad=true" TargetMode="External" Id="rId303"/><Relationship Type="http://schemas.openxmlformats.org/officeDocument/2006/relationships/hyperlink" Target="https://new.land.naver.com/complexes/148980?ms=2AfAQG,3zprE6,17&amp;a=APT:ABYG:JGC&amp;b=A1:B1&amp;e=RETAIL&amp;h=34&amp;i=132&amp;l=198&amp;ad=true" TargetMode="External" Id="rId304"/><Relationship Type="http://schemas.openxmlformats.org/officeDocument/2006/relationships/hyperlink" Target="https://new.land.naver.com/complexes/148980?ms=2AfAQG,3zprE6,17&amp;a=APT:ABYG:JGC&amp;b=A1:B1&amp;e=RETAIL&amp;h=34&amp;i=132&amp;l=198&amp;ad=true" TargetMode="External" Id="rId305"/><Relationship Type="http://schemas.openxmlformats.org/officeDocument/2006/relationships/hyperlink" Target="https://new.land.naver.com/complexes/111921?ms=2AfAQG,3zprE6,17&amp;a=APT:ABYG:JGC&amp;b=A1:B1&amp;e=RETAIL&amp;h=34&amp;i=132&amp;l=198&amp;ad=true" TargetMode="External" Id="rId306"/><Relationship Type="http://schemas.openxmlformats.org/officeDocument/2006/relationships/hyperlink" Target="https://new.land.naver.com/complexes/111921?ms=2AfAQG,3zprE6,17&amp;a=APT:ABYG:JGC&amp;b=A1:B1&amp;e=RETAIL&amp;h=34&amp;i=132&amp;l=198&amp;ad=true" TargetMode="External" Id="rId307"/><Relationship Type="http://schemas.openxmlformats.org/officeDocument/2006/relationships/hyperlink" Target="https://new.land.naver.com/complexes/111921?ms=2AfAQG,3zprE6,17&amp;a=APT:ABYG:JGC&amp;b=A1:B1&amp;e=RETAIL&amp;h=34&amp;i=132&amp;l=198&amp;ad=true" TargetMode="External" Id="rId308"/><Relationship Type="http://schemas.openxmlformats.org/officeDocument/2006/relationships/hyperlink" Target="https://new.land.naver.com/complexes/111921?ms=2AfAQG,3zprE6,17&amp;a=APT:ABYG:JGC&amp;b=A1:B1&amp;e=RETAIL&amp;h=34&amp;i=132&amp;l=198&amp;ad=true" TargetMode="External" Id="rId309"/><Relationship Type="http://schemas.openxmlformats.org/officeDocument/2006/relationships/hyperlink" Target="https://new.land.naver.com/complexes/142558?ms=2AfAQG,3zprE6,17&amp;a=APT:ABYG:JGC&amp;b=A1:B1&amp;e=RETAIL&amp;h=34&amp;i=132&amp;l=198&amp;ad=true" TargetMode="External" Id="rId310"/><Relationship Type="http://schemas.openxmlformats.org/officeDocument/2006/relationships/hyperlink" Target="https://new.land.naver.com/complexes/142558?ms=2AfAQG,3zprE6,17&amp;a=APT:ABYG:JGC&amp;b=A1:B1&amp;e=RETAIL&amp;h=34&amp;i=132&amp;l=198&amp;ad=true" TargetMode="External" Id="rId311"/><Relationship Type="http://schemas.openxmlformats.org/officeDocument/2006/relationships/hyperlink" Target="https://new.land.naver.com/complexes/142558?ms=2AfAQG,3zprE6,17&amp;a=APT:ABYG:JGC&amp;b=A1:B1&amp;e=RETAIL&amp;h=34&amp;i=132&amp;l=198&amp;ad=true" TargetMode="External" Id="rId312"/><Relationship Type="http://schemas.openxmlformats.org/officeDocument/2006/relationships/hyperlink" Target="https://new.land.naver.com/complexes/142558?ms=2AfAQG,3zprE6,17&amp;a=APT:ABYG:JGC&amp;b=A1:B1&amp;e=RETAIL&amp;h=34&amp;i=132&amp;l=198&amp;ad=true" TargetMode="External" Id="rId313"/><Relationship Type="http://schemas.openxmlformats.org/officeDocument/2006/relationships/hyperlink" Target="https://new.land.naver.com/complexes/142558?ms=2AfAQG,3zprE6,17&amp;a=APT:ABYG:JGC&amp;b=A1:B1&amp;e=RETAIL&amp;h=34&amp;i=132&amp;l=198&amp;ad=true" TargetMode="External" Id="rId314"/><Relationship Type="http://schemas.openxmlformats.org/officeDocument/2006/relationships/hyperlink" Target="https://new.land.naver.com/complexes/2026?ms=2AfAQG,3zprE6,17&amp;a=APT:ABYG:JGC&amp;b=A1:B1&amp;e=RETAIL&amp;h=34&amp;i=132&amp;l=198&amp;ad=true" TargetMode="External" Id="rId315"/><Relationship Type="http://schemas.openxmlformats.org/officeDocument/2006/relationships/hyperlink" Target="https://new.land.naver.com/complexes/2026?ms=2AfAQG,3zprE6,17&amp;a=APT:ABYG:JGC&amp;b=A1:B1&amp;e=RETAIL&amp;h=34&amp;i=132&amp;l=198&amp;ad=true" TargetMode="External" Id="rId316"/><Relationship Type="http://schemas.openxmlformats.org/officeDocument/2006/relationships/hyperlink" Target="https://new.land.naver.com/complexes/2042?ms=2AfAQG,3zprE6,17&amp;a=APT:ABYG:JGC&amp;b=A1:B1&amp;e=RETAIL&amp;h=34&amp;i=132&amp;l=198&amp;ad=true" TargetMode="External" Id="rId317"/><Relationship Type="http://schemas.openxmlformats.org/officeDocument/2006/relationships/hyperlink" Target="https://new.land.naver.com/complexes/2042?ms=2AfAQG,3zprE6,17&amp;a=APT:ABYG:JGC&amp;b=A1:B1&amp;e=RETAIL&amp;h=34&amp;i=132&amp;l=198&amp;ad=true" TargetMode="External" Id="rId318"/><Relationship Type="http://schemas.openxmlformats.org/officeDocument/2006/relationships/hyperlink" Target="https://new.land.naver.com/complexes/3083?ms=2AfAQG,3zprE6,17&amp;a=APT:ABYG:JGC&amp;b=A1:B1&amp;e=RETAIL&amp;h=34&amp;i=132&amp;l=198&amp;ad=true" TargetMode="External" Id="rId319"/><Relationship Type="http://schemas.openxmlformats.org/officeDocument/2006/relationships/hyperlink" Target="https://new.land.naver.com/complexes/3083?ms=2AfAQG,3zprE6,17&amp;a=APT:ABYG:JGC&amp;b=A1:B1&amp;e=RETAIL&amp;h=34&amp;i=132&amp;l=198&amp;ad=true" TargetMode="External" Id="rId320"/><Relationship Type="http://schemas.openxmlformats.org/officeDocument/2006/relationships/hyperlink" Target="https://new.land.naver.com/complexes/3083?ms=2AfAQG,3zprE6,17&amp;a=APT:ABYG:JGC&amp;b=A1:B1&amp;e=RETAIL&amp;h=34&amp;i=132&amp;l=198&amp;ad=true" TargetMode="External" Id="rId321"/><Relationship Type="http://schemas.openxmlformats.org/officeDocument/2006/relationships/hyperlink" Target="https://new.land.naver.com/complexes/8036?ms=2AfAQG,3zprE6,17&amp;a=APT:ABYG:JGC&amp;b=A1:B1&amp;e=RETAIL&amp;h=34&amp;i=132&amp;l=198&amp;ad=true" TargetMode="External" Id="rId322"/><Relationship Type="http://schemas.openxmlformats.org/officeDocument/2006/relationships/hyperlink" Target="https://new.land.naver.com/complexes/8036?ms=2AfAQG,3zprE6,17&amp;a=APT:ABYG:JGC&amp;b=A1:B1&amp;e=RETAIL&amp;h=34&amp;i=132&amp;l=198&amp;ad=true" TargetMode="External" Id="rId323"/><Relationship Type="http://schemas.openxmlformats.org/officeDocument/2006/relationships/hyperlink" Target="https://new.land.naver.com/complexes/8036?ms=2AfAQG,3zprE6,17&amp;a=APT:ABYG:JGC&amp;b=A1:B1&amp;e=RETAIL&amp;h=34&amp;i=132&amp;l=198&amp;ad=true" TargetMode="External" Id="rId324"/><Relationship Type="http://schemas.openxmlformats.org/officeDocument/2006/relationships/hyperlink" Target="https://new.land.naver.com/complexes/8036?ms=2AfAQG,3zprE6,17&amp;a=APT:ABYG:JGC&amp;b=A1:B1&amp;e=RETAIL&amp;h=34&amp;i=132&amp;l=198&amp;ad=true" TargetMode="External" Id="rId325"/><Relationship Type="http://schemas.openxmlformats.org/officeDocument/2006/relationships/hyperlink" Target="https://new.land.naver.com/complexes/8036?ms=2AfAQG,3zprE6,17&amp;a=APT:ABYG:JGC&amp;b=A1:B1&amp;e=RETAIL&amp;h=34&amp;i=132&amp;l=198&amp;ad=true" TargetMode="External" Id="rId326"/><Relationship Type="http://schemas.openxmlformats.org/officeDocument/2006/relationships/hyperlink" Target="https://new.land.naver.com/complexes/8036?ms=2AfAQG,3zprE6,17&amp;a=APT:ABYG:JGC&amp;b=A1:B1&amp;e=RETAIL&amp;h=34&amp;i=132&amp;l=198&amp;ad=true" TargetMode="External" Id="rId327"/><Relationship Type="http://schemas.openxmlformats.org/officeDocument/2006/relationships/hyperlink" Target="https://new.land.naver.com/complexes/2033?ms=2AfAQG,3zprE6,17&amp;a=APT:ABYG:JGC&amp;b=A1:B1&amp;e=RETAIL&amp;h=34&amp;i=132&amp;l=198&amp;ad=true" TargetMode="External" Id="rId328"/><Relationship Type="http://schemas.openxmlformats.org/officeDocument/2006/relationships/hyperlink" Target="https://new.land.naver.com/complexes/2033?ms=2AfAQG,3zprE6,17&amp;a=APT:ABYG:JGC&amp;b=A1:B1&amp;e=RETAIL&amp;h=34&amp;i=132&amp;l=198&amp;ad=true" TargetMode="External" Id="rId329"/><Relationship Type="http://schemas.openxmlformats.org/officeDocument/2006/relationships/hyperlink" Target="https://new.land.naver.com/complexes/10147?ms=2AfAQG,3zprE6,17&amp;a=APT:ABYG:JGC&amp;b=A1:B1&amp;e=RETAIL&amp;h=34&amp;i=132&amp;l=198&amp;ad=true" TargetMode="External" Id="rId330"/><Relationship Type="http://schemas.openxmlformats.org/officeDocument/2006/relationships/hyperlink" Target="https://new.land.naver.com/complexes/10147?ms=2AfAQG,3zprE6,17&amp;a=APT:ABYG:JGC&amp;b=A1:B1&amp;e=RETAIL&amp;h=34&amp;i=132&amp;l=198&amp;ad=true" TargetMode="External" Id="rId331"/><Relationship Type="http://schemas.openxmlformats.org/officeDocument/2006/relationships/hyperlink" Target="https://new.land.naver.com/complexes/10147?ms=2AfAQG,3zprE6,17&amp;a=APT:ABYG:JGC&amp;b=A1:B1&amp;e=RETAIL&amp;h=34&amp;i=132&amp;l=198&amp;ad=true" TargetMode="External" Id="rId332"/><Relationship Type="http://schemas.openxmlformats.org/officeDocument/2006/relationships/hyperlink" Target="https://new.land.naver.com/complexes/10147?ms=2AfAQG,3zprE6,17&amp;a=APT:ABYG:JGC&amp;b=A1:B1&amp;e=RETAIL&amp;h=34&amp;i=132&amp;l=198&amp;ad=true" TargetMode="External" Id="rId333"/><Relationship Type="http://schemas.openxmlformats.org/officeDocument/2006/relationships/hyperlink" Target="https://new.land.naver.com/complexes/10509?ms=2AfAQG,3zprE6,17&amp;a=APT:ABYG:JGC&amp;b=A1:B1&amp;e=RETAIL&amp;h=34&amp;i=132&amp;l=198&amp;ad=true" TargetMode="External" Id="rId334"/><Relationship Type="http://schemas.openxmlformats.org/officeDocument/2006/relationships/hyperlink" Target="https://new.land.naver.com/complexes/10509?ms=2AfAQG,3zprE6,17&amp;a=APT:ABYG:JGC&amp;b=A1:B1&amp;e=RETAIL&amp;h=34&amp;i=132&amp;l=198&amp;ad=true" TargetMode="External" Id="rId335"/><Relationship Type="http://schemas.openxmlformats.org/officeDocument/2006/relationships/hyperlink" Target="https://new.land.naver.com/complexes/10509?ms=2AfAQG,3zprE6,17&amp;a=APT:ABYG:JGC&amp;b=A1:B1&amp;e=RETAIL&amp;h=34&amp;i=132&amp;l=198&amp;ad=true" TargetMode="External" Id="rId336"/><Relationship Type="http://schemas.openxmlformats.org/officeDocument/2006/relationships/hyperlink" Target="https://new.land.naver.com/complexes/10509?ms=2AfAQG,3zprE6,17&amp;a=APT:ABYG:JGC&amp;b=A1:B1&amp;e=RETAIL&amp;h=34&amp;i=132&amp;l=198&amp;ad=true" TargetMode="External" Id="rId337"/><Relationship Type="http://schemas.openxmlformats.org/officeDocument/2006/relationships/hyperlink" Target="https://new.land.naver.com/complexes/19530?ms=2AfAQG,3zprE6,17&amp;a=APT:ABYG:JGC&amp;b=A1:B1&amp;e=RETAIL&amp;h=34&amp;i=132&amp;l=198&amp;ad=true" TargetMode="External" Id="rId338"/><Relationship Type="http://schemas.openxmlformats.org/officeDocument/2006/relationships/hyperlink" Target="https://new.land.naver.com/complexes/19530?ms=2AfAQG,3zprE6,17&amp;a=APT:ABYG:JGC&amp;b=A1:B1&amp;e=RETAIL&amp;h=34&amp;i=132&amp;l=198&amp;ad=true" TargetMode="External" Id="rId339"/><Relationship Type="http://schemas.openxmlformats.org/officeDocument/2006/relationships/hyperlink" Target="https://new.land.naver.com/complexes/19530?ms=2AfAQG,3zprE6,17&amp;a=APT:ABYG:JGC&amp;b=A1:B1&amp;e=RETAIL&amp;h=34&amp;i=132&amp;l=198&amp;ad=true" TargetMode="External" Id="rId340"/><Relationship Type="http://schemas.openxmlformats.org/officeDocument/2006/relationships/hyperlink" Target="https://new.land.naver.com/complexes/19530?ms=2AfAQG,3zprE6,17&amp;a=APT:ABYG:JGC&amp;b=A1:B1&amp;e=RETAIL&amp;h=34&amp;i=132&amp;l=198&amp;ad=true" TargetMode="External" Id="rId341"/><Relationship Type="http://schemas.openxmlformats.org/officeDocument/2006/relationships/hyperlink" Target="https://new.land.naver.com/complexes/3032?ms=2AfAQG,3zprE6,17&amp;a=APT:ABYG:JGC&amp;b=A1:B1&amp;e=RETAIL&amp;h=34&amp;i=132&amp;l=198&amp;ad=true" TargetMode="External" Id="rId342"/><Relationship Type="http://schemas.openxmlformats.org/officeDocument/2006/relationships/hyperlink" Target="https://new.land.naver.com/complexes/3032?ms=2AfAQG,3zprE6,17&amp;a=APT:ABYG:JGC&amp;b=A1:B1&amp;e=RETAIL&amp;h=34&amp;i=132&amp;l=198&amp;ad=true" TargetMode="External" Id="rId343"/><Relationship Type="http://schemas.openxmlformats.org/officeDocument/2006/relationships/hyperlink" Target="https://new.land.naver.com/complexes/3032?ms=2AfAQG,3zprE6,17&amp;a=APT:ABYG:JGC&amp;b=A1:B1&amp;e=RETAIL&amp;h=34&amp;i=132&amp;l=198&amp;ad=true" TargetMode="External" Id="rId344"/><Relationship Type="http://schemas.openxmlformats.org/officeDocument/2006/relationships/hyperlink" Target="https://new.land.naver.com/complexes/3081?ms=2AfAQG,3zprE6,17&amp;a=APT:ABYG:JGC&amp;b=A1:B1&amp;e=RETAIL&amp;h=34&amp;i=132&amp;l=198&amp;ad=true" TargetMode="External" Id="rId345"/><Relationship Type="http://schemas.openxmlformats.org/officeDocument/2006/relationships/hyperlink" Target="https://new.land.naver.com/complexes/3081?ms=2AfAQG,3zprE6,17&amp;a=APT:ABYG:JGC&amp;b=A1:B1&amp;e=RETAIL&amp;h=34&amp;i=132&amp;l=198&amp;ad=true" TargetMode="External" Id="rId346"/><Relationship Type="http://schemas.openxmlformats.org/officeDocument/2006/relationships/hyperlink" Target="https://new.land.naver.com/complexes/3081?ms=2AfAQG,3zprE6,17&amp;a=APT:ABYG:JGC&amp;b=A1:B1&amp;e=RETAIL&amp;h=34&amp;i=132&amp;l=198&amp;ad=true" TargetMode="External" Id="rId347"/><Relationship Type="http://schemas.openxmlformats.org/officeDocument/2006/relationships/hyperlink" Target="https://new.land.naver.com/complexes/3081?ms=2AfAQG,3zprE6,17&amp;a=APT:ABYG:JGC&amp;b=A1:B1&amp;e=RETAIL&amp;h=34&amp;i=132&amp;l=198&amp;ad=true" TargetMode="External" Id="rId348"/><Relationship Type="http://schemas.openxmlformats.org/officeDocument/2006/relationships/hyperlink" Target="https://new.land.naver.com/complexes/3082?ms=2AfAQG,3zprE6,17&amp;a=APT:ABYG:JGC&amp;b=A1:B1&amp;e=RETAIL&amp;h=34&amp;i=132&amp;l=198&amp;ad=true" TargetMode="External" Id="rId349"/><Relationship Type="http://schemas.openxmlformats.org/officeDocument/2006/relationships/hyperlink" Target="https://new.land.naver.com/complexes/3082?ms=2AfAQG,3zprE6,17&amp;a=APT:ABYG:JGC&amp;b=A1:B1&amp;e=RETAIL&amp;h=34&amp;i=132&amp;l=198&amp;ad=true" TargetMode="External" Id="rId350"/><Relationship Type="http://schemas.openxmlformats.org/officeDocument/2006/relationships/hyperlink" Target="https://new.land.naver.com/complexes/3082?ms=2AfAQG,3zprE6,17&amp;a=APT:ABYG:JGC&amp;b=A1:B1&amp;e=RETAIL&amp;h=34&amp;i=132&amp;l=198&amp;ad=true" TargetMode="External" Id="rId351"/><Relationship Type="http://schemas.openxmlformats.org/officeDocument/2006/relationships/hyperlink" Target="https://new.land.naver.com/complexes/3082?ms=2AfAQG,3zprE6,17&amp;a=APT:ABYG:JGC&amp;b=A1:B1&amp;e=RETAIL&amp;h=34&amp;i=132&amp;l=198&amp;ad=true" TargetMode="External" Id="rId352"/><Relationship Type="http://schemas.openxmlformats.org/officeDocument/2006/relationships/hyperlink" Target="https://new.land.naver.com/complexes/3082?ms=2AfAQG,3zprE6,17&amp;a=APT:ABYG:JGC&amp;b=A1:B1&amp;e=RETAIL&amp;h=34&amp;i=132&amp;l=198&amp;ad=true" TargetMode="External" Id="rId353"/><Relationship Type="http://schemas.openxmlformats.org/officeDocument/2006/relationships/hyperlink" Target="https://new.land.naver.com/complexes/8800?ms=2AfAQG,3zprE6,17&amp;a=APT:ABYG:JGC&amp;b=A1:B1&amp;e=RETAIL&amp;h=34&amp;i=132&amp;l=198&amp;ad=true" TargetMode="External" Id="rId354"/><Relationship Type="http://schemas.openxmlformats.org/officeDocument/2006/relationships/hyperlink" Target="https://new.land.naver.com/complexes/8800?ms=2AfAQG,3zprE6,17&amp;a=APT:ABYG:JGC&amp;b=A1:B1&amp;e=RETAIL&amp;h=34&amp;i=132&amp;l=198&amp;ad=true" TargetMode="External" Id="rId355"/><Relationship Type="http://schemas.openxmlformats.org/officeDocument/2006/relationships/hyperlink" Target="https://new.land.naver.com/complexes/8800?ms=2AfAQG,3zprE6,17&amp;a=APT:ABYG:JGC&amp;b=A1:B1&amp;e=RETAIL&amp;h=34&amp;i=132&amp;l=198&amp;ad=true" TargetMode="External" Id="rId356"/></Relationships>
</file>

<file path=xl/worksheets/sheet1.xml><?xml version="1.0" encoding="utf-8"?>
<worksheet xmlns="http://schemas.openxmlformats.org/spreadsheetml/2006/main">
  <sheetPr>
    <outlinePr summaryBelow="1" summaryRight="1"/>
    <pageSetUpPr fitToPage="1"/>
  </sheetPr>
  <dimension ref="A1:AC72"/>
  <sheetViews>
    <sheetView zoomScale="55" zoomScaleNormal="55" workbookViewId="0">
      <selection activeCell="E7" sqref="E7"/>
    </sheetView>
  </sheetViews>
  <sheetFormatPr baseColWidth="8" defaultRowHeight="14"/>
  <cols>
    <col width="8.6328125" customWidth="1" style="159" min="1" max="1"/>
    <col width="10.08984375" bestFit="1" customWidth="1" style="9" min="2" max="2"/>
    <col width="8.6328125" customWidth="1" style="10" min="3" max="3"/>
    <col width="19.453125" customWidth="1" style="159" min="4" max="4"/>
    <col width="8.6328125" customWidth="1" style="159" min="5" max="5"/>
    <col width="17.36328125" customWidth="1" style="159" min="6" max="6"/>
    <col width="7.453125" customWidth="1" style="159" min="7" max="7"/>
    <col width="8.6328125" customWidth="1" style="11" min="12" max="12"/>
    <col width="8.6328125" customWidth="1" style="137" min="15" max="16"/>
    <col width="8.6328125" customWidth="1" style="2" min="17" max="17"/>
    <col width="11.1796875" customWidth="1" style="1" min="18" max="18"/>
    <col width="8.453125" bestFit="1" customWidth="1" style="476" min="26" max="26"/>
  </cols>
  <sheetData>
    <row r="1">
      <c r="B1" s="12" t="inlineStr">
        <is>
          <t>상</t>
        </is>
      </c>
      <c r="C1" s="13" t="inlineStr">
        <is>
          <t>중</t>
        </is>
      </c>
      <c r="L1" s="458" t="n"/>
      <c r="Q1" s="236" t="n"/>
    </row>
    <row r="2">
      <c r="B2" s="12" t="inlineStr">
        <is>
          <t>하</t>
        </is>
      </c>
      <c r="C2" s="12" t="n"/>
      <c r="L2" s="458" t="n"/>
      <c r="Q2" s="236" t="n"/>
    </row>
    <row r="3" ht="20" customHeight="1" s="476">
      <c r="A3" s="159" t="n">
        <v>84</v>
      </c>
      <c r="B3" s="444" t="inlineStr">
        <is>
          <t>선호도</t>
        </is>
      </c>
      <c r="C3" s="445" t="n"/>
      <c r="D3" s="442" t="inlineStr">
        <is>
          <t>단지정보 (30평)</t>
        </is>
      </c>
      <c r="E3" s="443" t="n"/>
      <c r="F3" s="443" t="n"/>
      <c r="G3" s="443" t="n"/>
      <c r="H3" s="443" t="n"/>
      <c r="I3" s="443" t="n"/>
      <c r="J3" s="443" t="n"/>
      <c r="K3" s="443" t="n"/>
      <c r="L3" s="446" t="inlineStr">
        <is>
          <t>투자결과</t>
        </is>
      </c>
      <c r="M3" s="443" t="n"/>
      <c r="N3" s="443" t="n"/>
      <c r="O3" s="443" t="n"/>
      <c r="P3" s="445" t="n"/>
    </row>
    <row r="4" ht="20" customHeight="1" s="476" thickBot="1">
      <c r="B4" s="3" t="inlineStr">
        <is>
          <t>생활권</t>
        </is>
      </c>
      <c r="C4" s="4" t="inlineStr">
        <is>
          <t>생활권 내</t>
        </is>
      </c>
      <c r="D4" s="5" t="inlineStr">
        <is>
          <t>단지명</t>
        </is>
      </c>
      <c r="E4" s="5" t="inlineStr">
        <is>
          <t>시기(년)</t>
        </is>
      </c>
      <c r="F4" s="5" t="inlineStr">
        <is>
          <t>전세가율 80%이상인 기간</t>
        </is>
      </c>
      <c r="G4" s="5" t="inlineStr">
        <is>
          <t>평형</t>
        </is>
      </c>
      <c r="H4" s="5" t="inlineStr">
        <is>
          <t>매매가</t>
        </is>
      </c>
      <c r="I4" s="5" t="inlineStr">
        <is>
          <t>전세가</t>
        </is>
      </c>
      <c r="J4" s="5" t="inlineStr">
        <is>
          <t>전세가율</t>
        </is>
      </c>
      <c r="K4" s="6" t="inlineStr">
        <is>
          <t>투자금</t>
        </is>
      </c>
      <c r="L4" s="3" t="inlineStr">
        <is>
          <t>시기(년)</t>
        </is>
      </c>
      <c r="M4" s="3" t="inlineStr">
        <is>
          <t>매매가</t>
        </is>
      </c>
      <c r="N4" s="3" t="inlineStr">
        <is>
          <t>수익금</t>
        </is>
      </c>
      <c r="O4" s="7" t="inlineStr">
        <is>
          <t>상승율</t>
        </is>
      </c>
      <c r="P4" s="8" t="inlineStr">
        <is>
          <t>수익율</t>
        </is>
      </c>
      <c r="R4" s="14" t="n"/>
    </row>
    <row r="5" ht="18" customHeight="1" s="476" thickTop="1">
      <c r="A5" s="159" t="inlineStr">
        <is>
          <t>생활권</t>
        </is>
      </c>
      <c r="D5" s="225" t="n"/>
      <c r="E5" s="225" t="n"/>
      <c r="H5" s="509" t="n"/>
      <c r="I5" s="509" t="n"/>
      <c r="J5" s="137">
        <f>I5/H5</f>
        <v/>
      </c>
      <c r="K5" s="144">
        <f>H5-I5</f>
        <v/>
      </c>
      <c r="M5" s="509" t="n"/>
      <c r="N5" s="509">
        <f>M5-H5</f>
        <v/>
      </c>
      <c r="O5" s="137">
        <f>1+(M5-H5)/H5</f>
        <v/>
      </c>
      <c r="P5" s="137">
        <f>N5/K5</f>
        <v/>
      </c>
      <c r="R5" s="15" t="inlineStr">
        <is>
          <t>나만의 인싸이트</t>
        </is>
      </c>
      <c r="Z5" s="458" t="inlineStr">
        <is>
          <t xml:space="preserve">감사합니다 튜터님 ㅎㅎㅎ 정리하자면 </t>
        </is>
      </c>
    </row>
    <row r="6" ht="18" customHeight="1" s="476">
      <c r="A6" s="159" t="inlineStr">
        <is>
          <t>생활권</t>
        </is>
      </c>
      <c r="D6" s="225" t="n"/>
      <c r="E6" s="225" t="n"/>
      <c r="H6" s="509" t="n"/>
      <c r="I6" s="509" t="n"/>
      <c r="J6" s="137">
        <f>I6/H6</f>
        <v/>
      </c>
      <c r="K6" s="144">
        <f>H6-I6</f>
        <v/>
      </c>
      <c r="M6" s="509" t="n"/>
      <c r="N6" s="509">
        <f>M6-H6</f>
        <v/>
      </c>
      <c r="O6" s="137">
        <f>1+(M6-H6)/H6</f>
        <v/>
      </c>
      <c r="P6" s="137">
        <f>N6/K6</f>
        <v/>
      </c>
      <c r="R6" s="16" t="n"/>
      <c r="Z6" s="458" t="inlineStr">
        <is>
          <t>1. 생활권 별 / 선호도 별 단지 추출 (상중하)</t>
        </is>
      </c>
    </row>
    <row r="7" ht="18" customHeight="1" s="476">
      <c r="A7" s="159" t="inlineStr">
        <is>
          <t>생활권</t>
        </is>
      </c>
      <c r="D7" s="225" t="n"/>
      <c r="E7" s="225" t="n"/>
      <c r="H7" s="509" t="n"/>
      <c r="I7" s="509" t="n"/>
      <c r="J7" s="137">
        <f>I7/H7</f>
        <v/>
      </c>
      <c r="K7" s="144">
        <f>H7-I7</f>
        <v/>
      </c>
      <c r="M7" s="509" t="n"/>
      <c r="N7" s="509">
        <f>M7-H7</f>
        <v/>
      </c>
      <c r="O7" s="137">
        <f>1+(M7-H7)/H7</f>
        <v/>
      </c>
      <c r="P7" s="137">
        <f>N7/K7</f>
        <v/>
      </c>
      <c r="R7" s="16" t="n"/>
      <c r="Z7" s="458" t="inlineStr">
        <is>
          <t>2. 각 단지들 투자하기 좋았던 시기 기록 (전세가율 80% 이상인 시기, 투자기회를 얼마나 주었는가?)</t>
        </is>
      </c>
    </row>
    <row r="8" ht="18" customHeight="1" s="476">
      <c r="A8" s="159" t="inlineStr">
        <is>
          <t>생활권</t>
        </is>
      </c>
      <c r="D8" s="225" t="n"/>
      <c r="E8" s="225" t="n"/>
      <c r="H8" s="509" t="n"/>
      <c r="I8" s="509" t="n"/>
      <c r="J8" s="137">
        <f>I8/H8</f>
        <v/>
      </c>
      <c r="K8" s="144">
        <f>H8-I8</f>
        <v/>
      </c>
      <c r="M8" s="509" t="n"/>
      <c r="N8" s="509">
        <f>M8-H8</f>
        <v/>
      </c>
      <c r="O8" s="137">
        <f>1+(M8-H8)/H8</f>
        <v/>
      </c>
      <c r="P8" s="137">
        <f>N8/K8</f>
        <v/>
      </c>
      <c r="R8" s="16" t="n"/>
      <c r="Z8" s="458" t="inlineStr">
        <is>
          <t>3. 그 단지들 전고점 시기 기록</t>
        </is>
      </c>
    </row>
    <row r="9" ht="18" customHeight="1" s="476">
      <c r="A9" s="159" t="inlineStr">
        <is>
          <t>생활권</t>
        </is>
      </c>
      <c r="D9" s="225" t="n"/>
      <c r="E9" s="225" t="n"/>
      <c r="H9" s="509" t="n"/>
      <c r="I9" s="509" t="n"/>
      <c r="J9" s="137">
        <f>I9/H9</f>
        <v/>
      </c>
      <c r="K9" s="144">
        <f>H9-I9</f>
        <v/>
      </c>
      <c r="M9" s="509" t="n"/>
      <c r="N9" s="509">
        <f>M9-H9</f>
        <v/>
      </c>
      <c r="O9" s="137">
        <f>1+(M9-H9)/H9</f>
        <v/>
      </c>
      <c r="P9" s="137">
        <f>N9/K9</f>
        <v/>
      </c>
      <c r="R9" s="16" t="n"/>
      <c r="Z9" s="458" t="inlineStr">
        <is>
          <t>4. [2번 시기]에 투자했을 때 [3번 시기] 기준 수익률 분석</t>
        </is>
      </c>
    </row>
    <row r="10" ht="18" customHeight="1" s="476">
      <c r="A10" s="159" t="inlineStr">
        <is>
          <t>생활권</t>
        </is>
      </c>
      <c r="D10" s="225" t="n"/>
      <c r="E10" s="225" t="n"/>
      <c r="H10" s="509" t="n"/>
      <c r="I10" s="509" t="n"/>
      <c r="J10" s="137">
        <f>I10/H10</f>
        <v/>
      </c>
      <c r="K10" s="144">
        <f>H10-I10</f>
        <v/>
      </c>
      <c r="M10" s="509" t="n"/>
      <c r="N10" s="509">
        <f>M10-H10</f>
        <v/>
      </c>
      <c r="O10" s="137">
        <f>1+(M10-H10)/H10</f>
        <v/>
      </c>
      <c r="P10" s="137">
        <f>N10/K10</f>
        <v/>
      </c>
      <c r="R10" s="16" t="n"/>
    </row>
    <row r="11" ht="18" customHeight="1" s="476">
      <c r="A11" s="159" t="inlineStr">
        <is>
          <t>생활권</t>
        </is>
      </c>
      <c r="D11" s="225" t="n"/>
      <c r="E11" s="225" t="n"/>
      <c r="H11" s="509" t="n"/>
      <c r="I11" s="509" t="n"/>
      <c r="J11" s="137">
        <f>I11/H11</f>
        <v/>
      </c>
      <c r="K11" s="144">
        <f>H11-I11</f>
        <v/>
      </c>
      <c r="M11" s="509" t="n"/>
      <c r="N11" s="509">
        <f>M11-H11</f>
        <v/>
      </c>
      <c r="O11" s="137">
        <f>1+(M11-H11)/H11</f>
        <v/>
      </c>
      <c r="P11" s="137">
        <f>N11/K11</f>
        <v/>
      </c>
      <c r="R11" s="16" t="n"/>
      <c r="Z11" s="19" t="inlineStr">
        <is>
          <t>선명한 앞마당을 만들어 줄 '찐' 수익률분석 [나알이]</t>
        </is>
      </c>
      <c r="AA11" s="18" t="n"/>
      <c r="AB11" s="18" t="n"/>
      <c r="AC11" s="18" t="n"/>
    </row>
    <row r="12" ht="18" customHeight="1" s="476">
      <c r="A12" s="159" t="inlineStr">
        <is>
          <t>생활권</t>
        </is>
      </c>
      <c r="D12" s="225" t="n"/>
      <c r="E12" s="225" t="n"/>
      <c r="H12" s="509" t="n"/>
      <c r="I12" s="509" t="n"/>
      <c r="J12" s="137">
        <f>I12/H12</f>
        <v/>
      </c>
      <c r="K12" s="144">
        <f>H12-I12</f>
        <v/>
      </c>
      <c r="M12" s="509" t="n"/>
      <c r="N12" s="509">
        <f>M12-H12</f>
        <v/>
      </c>
      <c r="O12" s="137">
        <f>1+(M12-H12)/H12</f>
        <v/>
      </c>
      <c r="P12" s="137">
        <f>N12/K12</f>
        <v/>
      </c>
      <c r="R12" s="15" t="inlineStr">
        <is>
          <t>결론</t>
        </is>
      </c>
      <c r="Z12" s="458" t="inlineStr">
        <is>
          <t>https://weolbu.com/s/MhxRTz9ZpG</t>
        </is>
      </c>
    </row>
    <row r="13" ht="18" customHeight="1" s="476">
      <c r="A13" s="159" t="inlineStr">
        <is>
          <t>생활권</t>
        </is>
      </c>
      <c r="D13" s="225" t="n"/>
      <c r="E13" s="225" t="n"/>
      <c r="H13" s="509" t="n"/>
      <c r="I13" s="509" t="n"/>
      <c r="J13" s="137">
        <f>I13/H13</f>
        <v/>
      </c>
      <c r="K13" s="144">
        <f>H13-I13</f>
        <v/>
      </c>
      <c r="M13" s="509" t="n"/>
      <c r="N13" s="509">
        <f>M13-H13</f>
        <v/>
      </c>
      <c r="O13" s="137">
        <f>1+(M13-H13)/H13</f>
        <v/>
      </c>
      <c r="P13" s="137">
        <f>N13/K13</f>
        <v/>
      </c>
      <c r="R13" s="16" t="n"/>
    </row>
    <row r="14" ht="18" customHeight="1" s="476">
      <c r="A14" s="159" t="inlineStr">
        <is>
          <t>생활권</t>
        </is>
      </c>
      <c r="D14" s="225" t="n"/>
      <c r="E14" s="225" t="n"/>
      <c r="H14" s="509" t="n"/>
      <c r="I14" s="509" t="n"/>
      <c r="J14" s="137">
        <f>I14/H14</f>
        <v/>
      </c>
      <c r="K14" s="144">
        <f>H14-I14</f>
        <v/>
      </c>
      <c r="M14" s="509" t="n"/>
      <c r="N14" s="509">
        <f>M14-H14</f>
        <v/>
      </c>
      <c r="O14" s="137">
        <f>1+(M14-H14)/H14</f>
        <v/>
      </c>
      <c r="P14" s="137">
        <f>N14/K14</f>
        <v/>
      </c>
      <c r="R14" s="16" t="n"/>
    </row>
    <row r="15" ht="18" customHeight="1" s="476">
      <c r="A15" s="159" t="inlineStr">
        <is>
          <t>생활권</t>
        </is>
      </c>
      <c r="D15" s="225" t="n"/>
      <c r="E15" s="225" t="n"/>
      <c r="H15" s="509" t="n"/>
      <c r="I15" s="509" t="n"/>
      <c r="J15" s="137">
        <f>I15/H15</f>
        <v/>
      </c>
      <c r="K15" s="144">
        <f>H15-I15</f>
        <v/>
      </c>
      <c r="M15" s="509" t="n"/>
      <c r="N15" s="509">
        <f>M15-H15</f>
        <v/>
      </c>
      <c r="O15" s="137">
        <f>1+(M15-H15)/H15</f>
        <v/>
      </c>
      <c r="P15" s="137">
        <f>N15/K15</f>
        <v/>
      </c>
      <c r="R15" s="16" t="n"/>
    </row>
    <row r="16" ht="18" customHeight="1" s="476">
      <c r="A16" s="159" t="inlineStr">
        <is>
          <t>생활권</t>
        </is>
      </c>
      <c r="D16" s="225" t="n"/>
      <c r="E16" s="225" t="n"/>
      <c r="H16" s="509" t="n"/>
      <c r="I16" s="509" t="n"/>
      <c r="J16" s="137">
        <f>I16/H16</f>
        <v/>
      </c>
      <c r="K16" s="144">
        <f>H16-I16</f>
        <v/>
      </c>
      <c r="M16" s="509" t="n"/>
      <c r="N16" s="509">
        <f>M16-H16</f>
        <v/>
      </c>
      <c r="O16" s="137">
        <f>1+(M16-H16)/H16</f>
        <v/>
      </c>
      <c r="P16" s="137">
        <f>N16/K16</f>
        <v/>
      </c>
      <c r="R16" s="16" t="n"/>
    </row>
    <row r="17" ht="18" customHeight="1" s="476">
      <c r="A17" s="159" t="inlineStr">
        <is>
          <t>생활권</t>
        </is>
      </c>
      <c r="D17" s="225" t="n"/>
      <c r="E17" s="225" t="n"/>
      <c r="H17" s="509" t="n"/>
      <c r="I17" s="509" t="n"/>
      <c r="J17" s="137">
        <f>I17/H17</f>
        <v/>
      </c>
      <c r="K17" s="144">
        <f>H17-I17</f>
        <v/>
      </c>
      <c r="M17" s="509" t="n"/>
      <c r="N17" s="509">
        <f>M17-H17</f>
        <v/>
      </c>
      <c r="O17" s="137">
        <f>1+(M17-H17)/H17</f>
        <v/>
      </c>
      <c r="P17" s="137">
        <f>N17/K17</f>
        <v/>
      </c>
      <c r="R17" s="16" t="n"/>
    </row>
    <row r="18" ht="18" customHeight="1" s="476">
      <c r="A18" s="159" t="inlineStr">
        <is>
          <t>생활권</t>
        </is>
      </c>
      <c r="D18" s="225" t="n"/>
      <c r="E18" s="225" t="n"/>
      <c r="H18" s="509" t="n"/>
      <c r="I18" s="509" t="n"/>
      <c r="J18" s="137">
        <f>I18/H18</f>
        <v/>
      </c>
      <c r="K18" s="144">
        <f>H18-I18</f>
        <v/>
      </c>
      <c r="M18" s="509" t="n"/>
      <c r="N18" s="509">
        <f>M18-H18</f>
        <v/>
      </c>
      <c r="O18" s="137">
        <f>1+(M18-H18)/H18</f>
        <v/>
      </c>
      <c r="P18" s="137">
        <f>N18/K18</f>
        <v/>
      </c>
      <c r="R18" s="16" t="n"/>
    </row>
    <row r="19" ht="18" customHeight="1" s="476">
      <c r="A19" s="159" t="inlineStr">
        <is>
          <t>생활권</t>
        </is>
      </c>
      <c r="D19" s="225" t="n"/>
      <c r="E19" s="225" t="n"/>
      <c r="H19" s="509" t="n"/>
      <c r="I19" s="509" t="n"/>
      <c r="J19" s="137">
        <f>I19/H19</f>
        <v/>
      </c>
      <c r="K19" s="144">
        <f>H19-I19</f>
        <v/>
      </c>
      <c r="M19" s="509" t="n"/>
      <c r="N19" s="509">
        <f>M19-H19</f>
        <v/>
      </c>
      <c r="O19" s="137">
        <f>1+(M19-H19)/H19</f>
        <v/>
      </c>
      <c r="P19" s="137">
        <f>N19/K19</f>
        <v/>
      </c>
      <c r="R19" s="15" t="inlineStr">
        <is>
          <t>투자적용 및 질문</t>
        </is>
      </c>
    </row>
    <row r="20" ht="18" customHeight="1" s="476">
      <c r="A20" s="159" t="inlineStr">
        <is>
          <t>생활권</t>
        </is>
      </c>
      <c r="D20" s="225" t="n"/>
      <c r="E20" s="225" t="n"/>
      <c r="H20" s="509" t="n"/>
      <c r="I20" s="509" t="n"/>
      <c r="J20" s="137">
        <f>I20/H20</f>
        <v/>
      </c>
      <c r="K20" s="144">
        <f>H20-I20</f>
        <v/>
      </c>
      <c r="M20" s="509" t="n"/>
      <c r="N20" s="509">
        <f>M20-H20</f>
        <v/>
      </c>
      <c r="O20" s="137">
        <f>1+(M20-H20)/H20</f>
        <v/>
      </c>
      <c r="P20" s="137">
        <f>N20/K20</f>
        <v/>
      </c>
      <c r="R20" s="16" t="n"/>
    </row>
    <row r="21" ht="18" customHeight="1" s="476">
      <c r="A21" s="159" t="inlineStr">
        <is>
          <t>생활권</t>
        </is>
      </c>
      <c r="D21" s="225" t="n"/>
      <c r="E21" s="225" t="n"/>
      <c r="H21" s="509" t="n"/>
      <c r="I21" s="509" t="n"/>
      <c r="J21" s="137">
        <f>I21/H21</f>
        <v/>
      </c>
      <c r="K21" s="144">
        <f>H21-I21</f>
        <v/>
      </c>
      <c r="M21" s="509" t="n"/>
      <c r="N21" s="509">
        <f>M21-H21</f>
        <v/>
      </c>
      <c r="O21" s="137">
        <f>1+(M21-H21)/H21</f>
        <v/>
      </c>
      <c r="P21" s="137">
        <f>N21/K21</f>
        <v/>
      </c>
      <c r="R21" s="16" t="n"/>
    </row>
    <row r="22" ht="18" customHeight="1" s="476">
      <c r="A22" s="159" t="inlineStr">
        <is>
          <t>생활권</t>
        </is>
      </c>
      <c r="D22" s="225" t="n"/>
      <c r="E22" s="225" t="n"/>
      <c r="H22" s="509" t="n"/>
      <c r="I22" s="509" t="n"/>
      <c r="J22" s="137">
        <f>I22/H22</f>
        <v/>
      </c>
      <c r="K22" s="144">
        <f>H22-I22</f>
        <v/>
      </c>
      <c r="M22" s="509" t="n"/>
      <c r="N22" s="509">
        <f>M22-H22</f>
        <v/>
      </c>
      <c r="O22" s="137">
        <f>1+(M22-H22)/H22</f>
        <v/>
      </c>
      <c r="P22" s="137">
        <f>N22/K22</f>
        <v/>
      </c>
      <c r="R22" s="16" t="n"/>
    </row>
    <row r="23" ht="18" customHeight="1" s="476">
      <c r="A23" s="159" t="inlineStr">
        <is>
          <t>생활권</t>
        </is>
      </c>
      <c r="D23" s="225" t="n"/>
      <c r="E23" s="225" t="n"/>
      <c r="H23" s="509" t="n"/>
      <c r="I23" s="509" t="n"/>
      <c r="J23" s="137">
        <f>I23/H23</f>
        <v/>
      </c>
      <c r="K23" s="144">
        <f>H23-I23</f>
        <v/>
      </c>
      <c r="M23" s="509" t="n"/>
      <c r="N23" s="509">
        <f>M23-H23</f>
        <v/>
      </c>
      <c r="O23" s="137">
        <f>1+(M23-H23)/H23</f>
        <v/>
      </c>
      <c r="P23" s="137">
        <f>N23/K23</f>
        <v/>
      </c>
      <c r="R23" s="16" t="n"/>
    </row>
    <row r="24" ht="18" customHeight="1" s="476">
      <c r="A24" s="159" t="n">
        <v>59</v>
      </c>
      <c r="B24" s="444" t="inlineStr">
        <is>
          <t>선호도</t>
        </is>
      </c>
      <c r="C24" s="445" t="n"/>
      <c r="D24" s="442" t="inlineStr">
        <is>
          <t>단지정보 (20평)</t>
        </is>
      </c>
      <c r="E24" s="443" t="n"/>
      <c r="F24" s="443" t="n"/>
      <c r="G24" s="443" t="n"/>
      <c r="H24" s="443" t="n"/>
      <c r="I24" s="443" t="n"/>
      <c r="J24" s="443" t="n"/>
      <c r="K24" s="443" t="n"/>
      <c r="L24" s="446" t="inlineStr">
        <is>
          <t>투자결과</t>
        </is>
      </c>
      <c r="M24" s="443" t="n"/>
      <c r="N24" s="443" t="n"/>
      <c r="O24" s="443" t="n"/>
      <c r="P24" s="445" t="n"/>
      <c r="R24" s="16" t="n"/>
    </row>
    <row r="25" ht="18" customHeight="1" s="476" thickBot="1">
      <c r="B25" s="3" t="inlineStr">
        <is>
          <t>생활권</t>
        </is>
      </c>
      <c r="C25" s="4" t="inlineStr">
        <is>
          <t>생활권 내</t>
        </is>
      </c>
      <c r="D25" s="5" t="inlineStr">
        <is>
          <t>단지명</t>
        </is>
      </c>
      <c r="E25" s="5" t="inlineStr">
        <is>
          <t>시기(년)</t>
        </is>
      </c>
      <c r="F25" s="5" t="inlineStr">
        <is>
          <t>전세가율 80%이상인 기간</t>
        </is>
      </c>
      <c r="G25" s="5" t="inlineStr">
        <is>
          <t>평형</t>
        </is>
      </c>
      <c r="H25" s="5" t="inlineStr">
        <is>
          <t>매매가</t>
        </is>
      </c>
      <c r="I25" s="5" t="inlineStr">
        <is>
          <t>전세가</t>
        </is>
      </c>
      <c r="J25" s="5" t="inlineStr">
        <is>
          <t>전세가율</t>
        </is>
      </c>
      <c r="K25" s="6" t="inlineStr">
        <is>
          <t>투자금</t>
        </is>
      </c>
      <c r="L25" s="3" t="inlineStr">
        <is>
          <t>시기(년)</t>
        </is>
      </c>
      <c r="M25" s="3" t="inlineStr">
        <is>
          <t>매매가</t>
        </is>
      </c>
      <c r="N25" s="3" t="inlineStr">
        <is>
          <t>수익금</t>
        </is>
      </c>
      <c r="O25" s="7" t="inlineStr">
        <is>
          <t>상승율</t>
        </is>
      </c>
      <c r="P25" s="8" t="inlineStr">
        <is>
          <t>수익율</t>
        </is>
      </c>
      <c r="R25" s="17" t="n"/>
    </row>
    <row r="26" ht="18" customHeight="1" s="476" thickTop="1">
      <c r="A26" s="159" t="inlineStr">
        <is>
          <t>생활권</t>
        </is>
      </c>
      <c r="D26" s="225" t="n"/>
      <c r="E26" s="225" t="n"/>
      <c r="H26" s="509" t="n"/>
      <c r="I26" s="509" t="n"/>
      <c r="J26" s="137">
        <f>I26/H26</f>
        <v/>
      </c>
      <c r="K26" s="144">
        <f>H26-I26</f>
        <v/>
      </c>
      <c r="M26" s="509" t="n"/>
      <c r="N26" s="509">
        <f>M26-H26</f>
        <v/>
      </c>
      <c r="O26" s="137">
        <f>1+(M26-H26)/H26</f>
        <v/>
      </c>
      <c r="P26" s="137">
        <f>N26/K26</f>
        <v/>
      </c>
    </row>
    <row r="27" ht="18" customHeight="1" s="476">
      <c r="A27" s="159" t="inlineStr">
        <is>
          <t>생활권</t>
        </is>
      </c>
      <c r="D27" s="225" t="n"/>
      <c r="E27" s="225" t="n"/>
      <c r="H27" s="509" t="n"/>
      <c r="I27" s="509" t="n"/>
      <c r="J27" s="137">
        <f>I27/H27</f>
        <v/>
      </c>
      <c r="K27" s="144">
        <f>H27-I27</f>
        <v/>
      </c>
      <c r="M27" s="509" t="n"/>
      <c r="N27" s="509">
        <f>M27-H27</f>
        <v/>
      </c>
      <c r="O27" s="137">
        <f>1+(M27-H27)/H27</f>
        <v/>
      </c>
      <c r="P27" s="137">
        <f>N27/K27</f>
        <v/>
      </c>
    </row>
    <row r="28" ht="18" customHeight="1" s="476">
      <c r="A28" s="159" t="inlineStr">
        <is>
          <t>생활권</t>
        </is>
      </c>
      <c r="D28" s="225" t="n"/>
      <c r="E28" s="225" t="n"/>
      <c r="H28" s="509" t="n"/>
      <c r="I28" s="509" t="n"/>
      <c r="J28" s="137">
        <f>I28/H28</f>
        <v/>
      </c>
      <c r="K28" s="144">
        <f>H28-I28</f>
        <v/>
      </c>
      <c r="M28" s="509" t="n"/>
      <c r="N28" s="509">
        <f>M28-H28</f>
        <v/>
      </c>
      <c r="O28" s="137">
        <f>1+(M28-H28)/H28</f>
        <v/>
      </c>
      <c r="P28" s="137">
        <f>N28/K28</f>
        <v/>
      </c>
    </row>
    <row r="29" ht="18" customHeight="1" s="476">
      <c r="A29" s="159" t="inlineStr">
        <is>
          <t>생활권</t>
        </is>
      </c>
      <c r="D29" s="225" t="n"/>
      <c r="E29" s="225" t="n"/>
      <c r="H29" s="509" t="n"/>
      <c r="I29" s="509" t="n"/>
      <c r="J29" s="137">
        <f>I29/H29</f>
        <v/>
      </c>
      <c r="K29" s="144">
        <f>H29-I29</f>
        <v/>
      </c>
      <c r="M29" s="509" t="n"/>
      <c r="N29" s="509">
        <f>M29-H29</f>
        <v/>
      </c>
      <c r="O29" s="137">
        <f>1+(M29-H29)/H29</f>
        <v/>
      </c>
      <c r="P29" s="137">
        <f>N29/K29</f>
        <v/>
      </c>
    </row>
    <row r="30" ht="18" customHeight="1" s="476">
      <c r="A30" s="159" t="inlineStr">
        <is>
          <t>생활권</t>
        </is>
      </c>
      <c r="D30" s="225" t="n"/>
      <c r="E30" s="225" t="n"/>
      <c r="H30" s="509" t="n"/>
      <c r="I30" s="509" t="n"/>
      <c r="J30" s="137">
        <f>I30/H30</f>
        <v/>
      </c>
      <c r="K30" s="144">
        <f>H30-I30</f>
        <v/>
      </c>
      <c r="M30" s="509" t="n"/>
      <c r="N30" s="509">
        <f>M30-H30</f>
        <v/>
      </c>
      <c r="O30" s="137">
        <f>1+(M30-H30)/H30</f>
        <v/>
      </c>
      <c r="P30" s="137">
        <f>N30/K30</f>
        <v/>
      </c>
    </row>
    <row r="31" ht="18" customHeight="1" s="476">
      <c r="A31" s="159" t="inlineStr">
        <is>
          <t>생활권</t>
        </is>
      </c>
      <c r="D31" s="225" t="n"/>
      <c r="E31" s="225" t="n"/>
      <c r="H31" s="509" t="n"/>
      <c r="I31" s="509" t="n"/>
      <c r="J31" s="137">
        <f>I31/H31</f>
        <v/>
      </c>
      <c r="K31" s="144">
        <f>H31-I31</f>
        <v/>
      </c>
      <c r="M31" s="509" t="n"/>
      <c r="N31" s="509">
        <f>M31-H31</f>
        <v/>
      </c>
      <c r="O31" s="137">
        <f>1+(M31-H31)/H31</f>
        <v/>
      </c>
      <c r="P31" s="137">
        <f>N31/K31</f>
        <v/>
      </c>
    </row>
    <row r="32" ht="18" customHeight="1" s="476">
      <c r="A32" s="159" t="inlineStr">
        <is>
          <t>생활권</t>
        </is>
      </c>
      <c r="D32" s="225" t="n"/>
      <c r="E32" s="225" t="n"/>
      <c r="H32" s="509" t="n"/>
      <c r="I32" s="509" t="n"/>
      <c r="J32" s="137">
        <f>I32/H32</f>
        <v/>
      </c>
      <c r="K32" s="144">
        <f>H32-I32</f>
        <v/>
      </c>
      <c r="M32" s="509" t="n"/>
      <c r="N32" s="509">
        <f>M32-H32</f>
        <v/>
      </c>
      <c r="O32" s="137">
        <f>1+(M32-H32)/H32</f>
        <v/>
      </c>
      <c r="P32" s="137">
        <f>N32/K32</f>
        <v/>
      </c>
    </row>
    <row r="33" ht="18" customHeight="1" s="476">
      <c r="A33" s="159" t="inlineStr">
        <is>
          <t>생활권</t>
        </is>
      </c>
      <c r="D33" s="225" t="n"/>
      <c r="E33" s="225" t="n"/>
      <c r="H33" s="509" t="n"/>
      <c r="I33" s="509" t="n"/>
      <c r="J33" s="137">
        <f>I33/H33</f>
        <v/>
      </c>
      <c r="K33" s="144">
        <f>H33-I33</f>
        <v/>
      </c>
      <c r="M33" s="509" t="n"/>
      <c r="N33" s="509">
        <f>M33-H33</f>
        <v/>
      </c>
      <c r="O33" s="137">
        <f>1+(M33-H33)/H33</f>
        <v/>
      </c>
      <c r="P33" s="137">
        <f>N33/K33</f>
        <v/>
      </c>
    </row>
    <row r="34" ht="18" customHeight="1" s="476">
      <c r="A34" s="159" t="inlineStr">
        <is>
          <t>생활권</t>
        </is>
      </c>
      <c r="D34" s="225" t="n"/>
      <c r="E34" s="225" t="n"/>
      <c r="H34" s="509" t="n"/>
      <c r="I34" s="509" t="n"/>
      <c r="J34" s="137">
        <f>I34/H34</f>
        <v/>
      </c>
      <c r="K34" s="144">
        <f>H34-I34</f>
        <v/>
      </c>
      <c r="M34" s="509" t="n"/>
      <c r="N34" s="509">
        <f>M34-H34</f>
        <v/>
      </c>
      <c r="O34" s="137">
        <f>1+(M34-H34)/H34</f>
        <v/>
      </c>
      <c r="P34" s="137">
        <f>N34/K34</f>
        <v/>
      </c>
    </row>
    <row r="35" ht="18" customHeight="1" s="476">
      <c r="A35" s="159" t="inlineStr">
        <is>
          <t>생활권</t>
        </is>
      </c>
      <c r="D35" s="225" t="n"/>
      <c r="E35" s="225" t="n"/>
      <c r="H35" s="509" t="n"/>
      <c r="I35" s="509" t="n"/>
      <c r="J35" s="137">
        <f>I35/H35</f>
        <v/>
      </c>
      <c r="K35" s="144">
        <f>H35-I35</f>
        <v/>
      </c>
      <c r="M35" s="509" t="n"/>
      <c r="N35" s="509">
        <f>M35-H35</f>
        <v/>
      </c>
      <c r="O35" s="137">
        <f>1+(M35-H35)/H35</f>
        <v/>
      </c>
      <c r="P35" s="137">
        <f>N35/K35</f>
        <v/>
      </c>
    </row>
    <row r="36" ht="18" customHeight="1" s="476">
      <c r="A36" s="159" t="inlineStr">
        <is>
          <t>생활권</t>
        </is>
      </c>
      <c r="D36" s="225" t="n"/>
      <c r="E36" s="225" t="n"/>
      <c r="H36" s="509" t="n"/>
      <c r="I36" s="509" t="n"/>
      <c r="J36" s="137">
        <f>I36/H36</f>
        <v/>
      </c>
      <c r="K36" s="144">
        <f>H36-I36</f>
        <v/>
      </c>
      <c r="M36" s="509" t="n"/>
      <c r="N36" s="509">
        <f>M36-H36</f>
        <v/>
      </c>
      <c r="O36" s="137">
        <f>1+(M36-H36)/H36</f>
        <v/>
      </c>
      <c r="P36" s="137">
        <f>N36/K36</f>
        <v/>
      </c>
    </row>
    <row r="37" ht="18" customHeight="1" s="476">
      <c r="A37" s="159" t="inlineStr">
        <is>
          <t>생활권</t>
        </is>
      </c>
      <c r="D37" s="225" t="n"/>
      <c r="E37" s="225" t="n"/>
      <c r="H37" s="509" t="n"/>
      <c r="I37" s="509" t="n"/>
      <c r="J37" s="137">
        <f>I37/H37</f>
        <v/>
      </c>
      <c r="K37" s="144">
        <f>H37-I37</f>
        <v/>
      </c>
      <c r="M37" s="509" t="n"/>
      <c r="N37" s="509">
        <f>M37-H37</f>
        <v/>
      </c>
      <c r="O37" s="137">
        <f>1+(M37-H37)/H37</f>
        <v/>
      </c>
      <c r="P37" s="137">
        <f>N37/K37</f>
        <v/>
      </c>
    </row>
    <row r="38" ht="18" customHeight="1" s="476">
      <c r="A38" s="159" t="inlineStr">
        <is>
          <t>생활권</t>
        </is>
      </c>
      <c r="D38" s="225" t="n"/>
      <c r="E38" s="225" t="n"/>
      <c r="H38" s="509" t="n"/>
      <c r="I38" s="509" t="n"/>
      <c r="J38" s="137">
        <f>I38/H38</f>
        <v/>
      </c>
      <c r="K38" s="144">
        <f>H38-I38</f>
        <v/>
      </c>
      <c r="M38" s="509" t="n"/>
      <c r="N38" s="509">
        <f>M38-H38</f>
        <v/>
      </c>
      <c r="O38" s="137">
        <f>1+(M38-H38)/H38</f>
        <v/>
      </c>
      <c r="P38" s="137">
        <f>N38/K38</f>
        <v/>
      </c>
    </row>
    <row r="39" ht="18" customHeight="1" s="476">
      <c r="A39" s="159" t="inlineStr">
        <is>
          <t>생활권</t>
        </is>
      </c>
      <c r="D39" s="225" t="n"/>
      <c r="E39" s="225" t="n"/>
      <c r="H39" s="509" t="n"/>
      <c r="I39" s="509" t="n"/>
      <c r="J39" s="137">
        <f>I39/H39</f>
        <v/>
      </c>
      <c r="K39" s="144">
        <f>H39-I39</f>
        <v/>
      </c>
      <c r="M39" s="509" t="n"/>
      <c r="N39" s="509">
        <f>M39-H39</f>
        <v/>
      </c>
      <c r="O39" s="137">
        <f>1+(M39-H39)/H39</f>
        <v/>
      </c>
      <c r="P39" s="137">
        <f>N39/K39</f>
        <v/>
      </c>
    </row>
    <row r="40" ht="18" customHeight="1" s="476">
      <c r="A40" s="159" t="inlineStr">
        <is>
          <t>생활권</t>
        </is>
      </c>
      <c r="D40" s="225" t="n"/>
      <c r="E40" s="225" t="n"/>
      <c r="H40" s="509" t="n"/>
      <c r="I40" s="509" t="n"/>
      <c r="J40" s="137">
        <f>I40/H40</f>
        <v/>
      </c>
      <c r="K40" s="144">
        <f>H40-I40</f>
        <v/>
      </c>
      <c r="M40" s="509" t="n"/>
      <c r="N40" s="509">
        <f>M40-H40</f>
        <v/>
      </c>
      <c r="O40" s="137">
        <f>1+(M40-H40)/H40</f>
        <v/>
      </c>
      <c r="P40" s="137">
        <f>N40/K40</f>
        <v/>
      </c>
    </row>
    <row r="41" ht="18" customHeight="1" s="476">
      <c r="A41" s="159" t="inlineStr">
        <is>
          <t>생활권</t>
        </is>
      </c>
      <c r="D41" s="225" t="n"/>
      <c r="E41" s="225" t="n"/>
      <c r="H41" s="509" t="n"/>
      <c r="I41" s="509" t="n"/>
      <c r="J41" s="137">
        <f>I41/H41</f>
        <v/>
      </c>
      <c r="K41" s="144">
        <f>H41-I41</f>
        <v/>
      </c>
      <c r="M41" s="509" t="n"/>
      <c r="N41" s="509">
        <f>M41-H41</f>
        <v/>
      </c>
      <c r="O41" s="137">
        <f>1+(M41-H41)/H41</f>
        <v/>
      </c>
      <c r="P41" s="137">
        <f>N41/K41</f>
        <v/>
      </c>
    </row>
    <row r="42" ht="18" customHeight="1" s="476">
      <c r="A42" s="159" t="inlineStr">
        <is>
          <t>생활권</t>
        </is>
      </c>
      <c r="D42" s="225" t="n"/>
      <c r="E42" s="225" t="n"/>
      <c r="H42" s="509" t="n"/>
      <c r="I42" s="509" t="n"/>
      <c r="J42" s="137">
        <f>I42/H42</f>
        <v/>
      </c>
      <c r="K42" s="144">
        <f>H42-I42</f>
        <v/>
      </c>
      <c r="M42" s="509" t="n"/>
      <c r="N42" s="509">
        <f>M42-H42</f>
        <v/>
      </c>
      <c r="O42" s="137">
        <f>1+(M42-H42)/H42</f>
        <v/>
      </c>
      <c r="P42" s="137">
        <f>N42/K42</f>
        <v/>
      </c>
    </row>
    <row r="43">
      <c r="A43" s="159" t="inlineStr">
        <is>
          <t>생활권</t>
        </is>
      </c>
      <c r="D43" s="225" t="n"/>
      <c r="E43" s="225" t="n"/>
      <c r="H43" s="509" t="n"/>
      <c r="I43" s="509" t="n"/>
      <c r="J43" s="137">
        <f>I43/H43</f>
        <v/>
      </c>
      <c r="K43" s="144">
        <f>H43-I43</f>
        <v/>
      </c>
      <c r="M43" s="509" t="n"/>
      <c r="N43" s="509">
        <f>M43-H43</f>
        <v/>
      </c>
      <c r="O43" s="137">
        <f>1+(M43-H43)/H43</f>
        <v/>
      </c>
      <c r="P43" s="137">
        <f>N43/K43</f>
        <v/>
      </c>
    </row>
    <row r="44">
      <c r="A44" s="159" t="inlineStr">
        <is>
          <t>생활권</t>
        </is>
      </c>
      <c r="D44" s="225" t="n"/>
      <c r="E44" s="225" t="n"/>
      <c r="H44" s="509" t="n"/>
      <c r="I44" s="509" t="n"/>
      <c r="J44" s="137">
        <f>I44/H44</f>
        <v/>
      </c>
      <c r="K44" s="144">
        <f>H44-I44</f>
        <v/>
      </c>
      <c r="M44" s="509" t="n"/>
      <c r="N44" s="509">
        <f>M44-H44</f>
        <v/>
      </c>
      <c r="O44" s="137">
        <f>1+(M44-H44)/H44</f>
        <v/>
      </c>
      <c r="P44" s="137">
        <f>N44/K44</f>
        <v/>
      </c>
    </row>
    <row r="45">
      <c r="A45" s="159" t="inlineStr">
        <is>
          <t>생활권</t>
        </is>
      </c>
      <c r="D45" s="225" t="n"/>
      <c r="E45" s="225" t="n"/>
      <c r="H45" s="509" t="n"/>
      <c r="I45" s="509" t="n"/>
      <c r="J45" s="137">
        <f>I45/H45</f>
        <v/>
      </c>
      <c r="K45" s="144">
        <f>H45-I45</f>
        <v/>
      </c>
      <c r="M45" s="509" t="n"/>
      <c r="N45" s="509">
        <f>M45-H45</f>
        <v/>
      </c>
      <c r="O45" s="137">
        <f>1+(M45-H45)/H45</f>
        <v/>
      </c>
      <c r="P45" s="137">
        <f>N45/K45</f>
        <v/>
      </c>
    </row>
    <row r="58">
      <c r="Z58" s="458" t="inlineStr">
        <is>
          <t>[공급 영향 심화 버전]</t>
        </is>
      </c>
    </row>
    <row r="60">
      <c r="Z60" s="458">
        <f t="array" ref="Z60">- 호갱노노 그래프</f>
        <v/>
      </c>
    </row>
    <row r="62">
      <c r="Z62" s="458">
        <f t="array" ref="Z62">- 단지 선택 : 생활권별 상중하 (or 모르겠으면 전부다)</f>
        <v/>
      </c>
    </row>
    <row r="63">
      <c r="Z63" s="458" t="inlineStr">
        <is>
          <t>&gt;&gt;&gt; 외곽신축, 외곽 애매준신축, 외곽 비선호구축 등으로 단지 특징 기재</t>
        </is>
      </c>
    </row>
    <row r="65">
      <c r="Z65" s="458">
        <f t="array" ref="Z65">- 그래프 캡쳐 대신 엑셀도 활용 가능</f>
        <v/>
      </c>
    </row>
    <row r="67">
      <c r="Z67" s="458">
        <f t="array" ref="Z67">- 엑셀에 값 입력 후 생각정리</f>
        <v/>
      </c>
    </row>
    <row r="68">
      <c r="Z68" s="458" t="inlineStr">
        <is>
          <t>&gt;&gt;&gt; 인사이트 (가격을 통해 찾은 내용)</t>
        </is>
      </c>
    </row>
    <row r="69">
      <c r="Z69" s="458" t="inlineStr">
        <is>
          <t>&gt;&gt;&gt; 결론 (찾은 내용을 바탕으로 기준 및 우선순위 정리)</t>
        </is>
      </c>
    </row>
    <row r="70">
      <c r="Z70" s="458" t="inlineStr">
        <is>
          <t>&gt;&gt;&gt; 투자 적용 및 질문 등으로 파트 나눠볼 수 있음</t>
        </is>
      </c>
    </row>
    <row r="72">
      <c r="Z72" s="458" t="inlineStr">
        <is>
          <t>★중요한 것은 스스로 생각해보고 결론 내어보고 매임까지 하면서 [검증]해 나가는 것</t>
        </is>
      </c>
    </row>
  </sheetData>
  <mergeCells count="6">
    <mergeCell ref="D3:K3"/>
    <mergeCell ref="B24:C24"/>
    <mergeCell ref="L3:P3"/>
    <mergeCell ref="B3:C3"/>
    <mergeCell ref="D24:K24"/>
    <mergeCell ref="L24:P24"/>
  </mergeCells>
  <conditionalFormatting sqref="B5:C23">
    <cfRule type="cellIs" priority="11" operator="equal" dxfId="1">
      <formula>"중"</formula>
    </cfRule>
    <cfRule type="cellIs" priority="12" operator="equal" dxfId="0">
      <formula>"상"</formula>
    </cfRule>
  </conditionalFormatting>
  <conditionalFormatting sqref="P1:P1048576">
    <cfRule type="dataBar" priority="13">
      <dataBar>
        <cfvo type="min"/>
        <cfvo type="max"/>
        <color rgb="FF63C384"/>
      </dataBar>
    </cfRule>
  </conditionalFormatting>
  <conditionalFormatting sqref="B1">
    <cfRule type="cellIs" priority="7" operator="equal" dxfId="1">
      <formula>"중"</formula>
    </cfRule>
    <cfRule type="cellIs" priority="8" operator="equal" dxfId="0">
      <formula>"상"</formula>
    </cfRule>
  </conditionalFormatting>
  <conditionalFormatting sqref="C1">
    <cfRule type="cellIs" priority="5" operator="equal" dxfId="1">
      <formula>"중"</formula>
    </cfRule>
    <cfRule type="cellIs" priority="6" operator="equal" dxfId="0">
      <formula>"상"</formula>
    </cfRule>
  </conditionalFormatting>
  <conditionalFormatting sqref="B2">
    <cfRule type="cellIs" priority="3" operator="equal" dxfId="1">
      <formula>"중"</formula>
    </cfRule>
    <cfRule type="cellIs" priority="4" operator="equal" dxfId="0">
      <formula>"상"</formula>
    </cfRule>
  </conditionalFormatting>
  <conditionalFormatting sqref="B26:C45">
    <cfRule type="cellIs" priority="1" operator="equal" dxfId="1">
      <formula>"중"</formula>
    </cfRule>
    <cfRule type="cellIs" priority="2" operator="equal" dxfId="0">
      <formula>"상"</formula>
    </cfRule>
  </conditionalFormatting>
  <pageMargins left="0.25" right="0.25" top="0.75" bottom="0.75" header="0.3" footer="0.3"/>
  <pageSetup orientation="landscape" paperSize="9" scale="49"/>
</worksheet>
</file>

<file path=xl/worksheets/sheet2.xml><?xml version="1.0" encoding="utf-8"?>
<worksheet xmlns="http://schemas.openxmlformats.org/spreadsheetml/2006/main">
  <sheetPr>
    <outlinePr summaryBelow="1" summaryRight="1"/>
    <pageSetUpPr fitToPage="1"/>
  </sheetPr>
  <dimension ref="A1:AV190"/>
  <sheetViews>
    <sheetView zoomScale="85" zoomScaleNormal="85" workbookViewId="0">
      <pane ySplit="4" topLeftCell="A5" activePane="bottomLeft" state="frozen"/>
      <selection pane="bottomLeft" activeCell="K17" sqref="K17"/>
    </sheetView>
  </sheetViews>
  <sheetFormatPr baseColWidth="8" defaultRowHeight="14"/>
  <cols>
    <col width="8.7265625" customWidth="1" style="159" min="1" max="1"/>
    <col width="7.81640625" bestFit="1" customWidth="1" style="9" min="2" max="2"/>
    <col width="9.453125" customWidth="1" style="10" min="3" max="3"/>
    <col width="33.453125" bestFit="1" customWidth="1" style="17" min="4" max="4"/>
    <col width="5.90625" bestFit="1" customWidth="1" style="20" min="5" max="5"/>
    <col width="3.90625" bestFit="1" customWidth="1" style="20" min="6" max="6"/>
    <col width="3.90625" customWidth="1" style="20" min="7" max="7"/>
    <col width="9.54296875" customWidth="1" style="21" min="8" max="8"/>
    <col width="7.81640625" customWidth="1" style="21" min="9" max="9"/>
    <col width="5.90625" customWidth="1" style="21" min="10" max="10"/>
    <col width="6.7265625" customWidth="1" style="134" min="11" max="11"/>
    <col width="9.81640625" bestFit="1" customWidth="1" style="134" min="12" max="12"/>
    <col width="5.90625" bestFit="1" customWidth="1" style="134" min="13" max="13"/>
    <col width="9.6328125" bestFit="1" customWidth="1" style="120" min="14" max="14"/>
    <col width="13" bestFit="1" customWidth="1" style="134" min="15" max="15"/>
    <col width="9.81640625" customWidth="1" style="134" min="16" max="16"/>
    <col width="9.81640625" bestFit="1" customWidth="1" style="121" min="17" max="17"/>
    <col width="9.6328125" bestFit="1" customWidth="1" style="134" min="18" max="18"/>
    <col width="13" customWidth="1" style="476" min="19" max="19"/>
    <col width="6.90625" bestFit="1" customWidth="1" style="151" min="20" max="20"/>
    <col width="3.90625" bestFit="1" customWidth="1" style="134" min="21" max="21"/>
    <col width="13" customWidth="1" style="476" min="22" max="22"/>
    <col width="12" bestFit="1" customWidth="1" style="134" min="23" max="23"/>
    <col width="9.81640625" bestFit="1" customWidth="1" style="159" min="24" max="24"/>
    <col width="10.26953125" customWidth="1" style="159" min="25" max="25"/>
    <col width="5.90625" bestFit="1" customWidth="1" style="159" min="26" max="26"/>
    <col width="9.81640625" bestFit="1" customWidth="1" style="476" min="27" max="27"/>
    <col width="13" customWidth="1" style="476" min="28" max="29"/>
    <col width="7.81640625" bestFit="1" customWidth="1" style="476" min="30" max="30"/>
    <col width="9.81640625" bestFit="1" customWidth="1" style="11" min="31" max="31"/>
    <col width="9.81640625" bestFit="1" customWidth="1" style="476" min="32" max="32"/>
    <col width="13" customWidth="1" style="476" min="33" max="33"/>
    <col width="7.81640625" bestFit="1" customWidth="1" style="137" min="34" max="34"/>
    <col width="13" bestFit="1" customWidth="1" style="137" min="35" max="35"/>
    <col width="8.7265625" customWidth="1" style="2" min="36" max="36"/>
    <col width="11.1796875" customWidth="1" style="1" min="37" max="37"/>
    <col width="13" customWidth="1" style="476" min="38" max="44"/>
    <col width="8.453125" bestFit="1" customWidth="1" style="476" min="45" max="45"/>
    <col width="13" customWidth="1" style="476" min="46" max="48"/>
  </cols>
  <sheetData>
    <row r="1">
      <c r="B1" s="163" t="inlineStr">
        <is>
          <t>상</t>
        </is>
      </c>
      <c r="C1" s="13" t="inlineStr">
        <is>
          <t>중</t>
        </is>
      </c>
      <c r="N1" s="117" t="n"/>
      <c r="O1" s="118" t="n"/>
      <c r="P1" s="118" t="n"/>
      <c r="Q1" s="119" t="n"/>
      <c r="AE1" s="231" t="n"/>
      <c r="AH1" s="164" t="n"/>
      <c r="AI1" s="164" t="n"/>
      <c r="AJ1" s="238" t="n"/>
    </row>
    <row r="2">
      <c r="B2" s="163" t="inlineStr">
        <is>
          <t>하</t>
        </is>
      </c>
      <c r="C2" s="163" t="n"/>
      <c r="AE2" s="231" t="n"/>
      <c r="AH2" s="164" t="n"/>
      <c r="AI2" s="164" t="n"/>
      <c r="AJ2" s="238" t="n"/>
    </row>
    <row r="3" ht="20" customHeight="1" s="476">
      <c r="A3" s="221" t="n">
        <v>84</v>
      </c>
      <c r="B3" s="448" t="inlineStr">
        <is>
          <t>선호도</t>
        </is>
      </c>
      <c r="C3" s="445" t="n"/>
      <c r="D3" s="449" t="inlineStr">
        <is>
          <t>단지정보 (30평)</t>
        </is>
      </c>
      <c r="E3" s="443" t="n"/>
      <c r="F3" s="443" t="n"/>
      <c r="G3" s="443" t="n"/>
      <c r="H3" s="443" t="n"/>
      <c r="I3" s="443" t="n"/>
      <c r="J3" s="443" t="n"/>
      <c r="K3" s="443" t="n"/>
      <c r="L3" s="443" t="n"/>
      <c r="M3" s="443" t="n"/>
      <c r="N3" s="443" t="n"/>
      <c r="O3" s="443" t="n"/>
      <c r="P3" s="443" t="n"/>
      <c r="Q3" s="443" t="n"/>
      <c r="R3" s="443" t="n"/>
      <c r="S3" s="443" t="n"/>
      <c r="T3" s="443" t="n"/>
      <c r="U3" s="443" t="n"/>
      <c r="V3" s="443" t="n"/>
      <c r="W3" s="443" t="n"/>
      <c r="X3" s="443" t="n"/>
      <c r="Y3" s="443" t="n"/>
      <c r="Z3" s="443" t="n"/>
      <c r="AA3" s="443" t="n"/>
      <c r="AB3" s="443" t="n"/>
      <c r="AC3" s="443" t="n"/>
      <c r="AD3" s="443" t="n"/>
      <c r="AE3" s="447" t="inlineStr">
        <is>
          <t>투자결과</t>
        </is>
      </c>
      <c r="AF3" s="443" t="n"/>
      <c r="AG3" s="443" t="n"/>
      <c r="AH3" s="443" t="n"/>
      <c r="AI3" s="445" t="n"/>
    </row>
    <row r="4" ht="17.5" customHeight="1" s="476" thickBot="1">
      <c r="B4" s="165" t="inlineStr">
        <is>
          <t>생활권</t>
        </is>
      </c>
      <c r="C4" s="166" t="inlineStr">
        <is>
          <t>생활권 내</t>
        </is>
      </c>
      <c r="D4" s="221" t="inlineStr">
        <is>
          <t>단지명</t>
        </is>
      </c>
      <c r="E4" s="23" t="inlineStr">
        <is>
          <t>평형</t>
        </is>
      </c>
      <c r="F4" s="23" t="inlineStr">
        <is>
          <t>매</t>
        </is>
      </c>
      <c r="G4" s="23" t="inlineStr">
        <is>
          <t>전</t>
        </is>
      </c>
      <c r="H4" s="22" t="inlineStr">
        <is>
          <t>연식</t>
        </is>
      </c>
      <c r="I4" s="22" t="inlineStr">
        <is>
          <t>세대수</t>
        </is>
      </c>
      <c r="J4" s="22" t="inlineStr">
        <is>
          <t>나이</t>
        </is>
      </c>
      <c r="K4" s="167" t="inlineStr">
        <is>
          <t>공급면적</t>
        </is>
      </c>
      <c r="L4" s="167" t="inlineStr">
        <is>
          <t>전용면적</t>
        </is>
      </c>
      <c r="M4" s="167" t="inlineStr">
        <is>
          <t>평형</t>
        </is>
      </c>
      <c r="N4" s="167" t="inlineStr">
        <is>
          <t>매</t>
        </is>
      </c>
      <c r="O4" s="167" t="inlineStr">
        <is>
          <t>전</t>
        </is>
      </c>
      <c r="P4" s="167" t="inlineStr">
        <is>
          <t>차</t>
        </is>
      </c>
      <c r="Q4" s="167" t="inlineStr">
        <is>
          <t>전세가율</t>
        </is>
      </c>
      <c r="R4" s="167" t="inlineStr">
        <is>
          <t>전고</t>
        </is>
      </c>
      <c r="S4" s="167" t="inlineStr">
        <is>
          <t>전저</t>
        </is>
      </c>
      <c r="T4" s="57" t="inlineStr">
        <is>
          <t>계/복</t>
        </is>
      </c>
      <c r="U4" s="167" t="inlineStr">
        <is>
          <t>방</t>
        </is>
      </c>
      <c r="V4" s="167" t="inlineStr">
        <is>
          <t>화</t>
        </is>
      </c>
      <c r="W4" s="167" t="inlineStr">
        <is>
          <t>면적세대수</t>
        </is>
      </c>
      <c r="X4" s="221" t="inlineStr">
        <is>
          <t>시기(년)</t>
        </is>
      </c>
      <c r="Y4" s="238" t="inlineStr">
        <is>
          <t>(전세가율80%이상인)기간</t>
        </is>
      </c>
      <c r="Z4" s="221" t="inlineStr">
        <is>
          <t>평형</t>
        </is>
      </c>
      <c r="AA4" s="221" t="inlineStr">
        <is>
          <t>매매가</t>
        </is>
      </c>
      <c r="AB4" s="221" t="inlineStr">
        <is>
          <t>전세가</t>
        </is>
      </c>
      <c r="AC4" s="221" t="inlineStr">
        <is>
          <t>전세가율</t>
        </is>
      </c>
      <c r="AD4" s="24" t="inlineStr">
        <is>
          <t>투자금</t>
        </is>
      </c>
      <c r="AE4" s="165" t="inlineStr">
        <is>
          <t>시기(년)</t>
        </is>
      </c>
      <c r="AF4" s="165" t="inlineStr">
        <is>
          <t>매매가</t>
        </is>
      </c>
      <c r="AG4" s="165" t="inlineStr">
        <is>
          <t>수익금</t>
        </is>
      </c>
      <c r="AH4" s="25" t="inlineStr">
        <is>
          <t>상승율</t>
        </is>
      </c>
      <c r="AI4" s="26" t="inlineStr">
        <is>
          <t>수익율</t>
        </is>
      </c>
      <c r="AK4" s="14" t="n"/>
    </row>
    <row r="5" ht="18" customHeight="1" s="476" thickBot="1">
      <c r="A5" s="182" t="inlineStr">
        <is>
          <t>가양동</t>
        </is>
      </c>
      <c r="B5" s="183" t="inlineStr">
        <is>
          <t>하</t>
        </is>
      </c>
      <c r="C5" s="183" t="inlineStr">
        <is>
          <t>상</t>
        </is>
      </c>
      <c r="D5" s="217" t="inlineStr">
        <is>
          <t>힐스테가양더와이즈(주복)</t>
        </is>
      </c>
      <c r="E5" s="184" t="n">
        <v>34</v>
      </c>
      <c r="F5" s="184" t="n">
        <v>4.9</v>
      </c>
      <c r="G5" s="184" t="n">
        <v>3.5</v>
      </c>
      <c r="H5" s="223" t="n">
        <v>2024.09</v>
      </c>
      <c r="I5" s="223" t="n">
        <v>358</v>
      </c>
      <c r="J5" s="186" t="n">
        <v>2.910000000000082</v>
      </c>
      <c r="K5" s="187" t="inlineStr">
        <is>
          <t>113A, 113B</t>
        </is>
      </c>
      <c r="L5" s="187" t="n">
        <v>84</v>
      </c>
      <c r="M5" s="187" t="n">
        <v>34</v>
      </c>
      <c r="N5" s="510" t="n">
        <v>50000</v>
      </c>
      <c r="O5" s="511" t="n">
        <v>35000</v>
      </c>
      <c r="P5" s="512" t="n">
        <v>14000</v>
      </c>
      <c r="Q5" s="188" t="n">
        <v>0.7142857142857143</v>
      </c>
      <c r="R5" s="511" t="n">
        <v>57600</v>
      </c>
      <c r="S5" s="513" t="n">
        <v>52000</v>
      </c>
      <c r="T5" s="189" t="inlineStr">
        <is>
          <t>계단식</t>
        </is>
      </c>
      <c r="U5" s="187" t="n">
        <v>3</v>
      </c>
      <c r="V5" s="187" t="n">
        <v>2</v>
      </c>
      <c r="W5" s="187" t="n">
        <v>156</v>
      </c>
      <c r="X5" s="184" t="n"/>
      <c r="Y5" s="190" t="n"/>
      <c r="Z5" s="190" t="n">
        <v>34</v>
      </c>
      <c r="AA5" s="514" t="n"/>
      <c r="AB5" s="514" t="n"/>
      <c r="AC5" s="191" t="e">
        <v>#DIV/0!</v>
      </c>
      <c r="AD5" s="192" t="n">
        <v>0</v>
      </c>
      <c r="AE5" s="209" t="n"/>
      <c r="AF5" s="515" t="n"/>
      <c r="AG5" s="516" t="n">
        <v>0</v>
      </c>
      <c r="AH5" s="194" t="e">
        <v>#DIV/0!</v>
      </c>
      <c r="AI5" s="195" t="e">
        <v>#DIV/0!</v>
      </c>
      <c r="AJ5" s="236" t="n"/>
      <c r="AK5" s="16" t="n"/>
    </row>
    <row r="6" ht="18" customHeight="1" s="476" thickBot="1">
      <c r="A6" s="182" t="inlineStr">
        <is>
          <t>가양동</t>
        </is>
      </c>
      <c r="B6" s="196" t="inlineStr">
        <is>
          <t>하</t>
        </is>
      </c>
      <c r="C6" s="220" t="inlineStr">
        <is>
          <t>상</t>
        </is>
      </c>
      <c r="D6" s="217" t="inlineStr">
        <is>
          <t>힐스테가양더와이즈(주복)</t>
        </is>
      </c>
      <c r="E6" s="184" t="n">
        <v>43</v>
      </c>
      <c r="F6" s="184" t="n">
        <v>0</v>
      </c>
      <c r="G6" s="184" t="n">
        <v>0</v>
      </c>
      <c r="H6" s="223" t="n">
        <v>2024.09</v>
      </c>
      <c r="I6" s="223" t="n">
        <v>358</v>
      </c>
      <c r="J6" s="186" t="n">
        <v>2.910000000000082</v>
      </c>
      <c r="K6" s="197" t="inlineStr">
        <is>
          <t>141A, 142B</t>
        </is>
      </c>
      <c r="L6" s="197" t="n">
        <v>105</v>
      </c>
      <c r="M6" s="197" t="n">
        <v>43</v>
      </c>
      <c r="N6" s="517" t="n">
        <v>0</v>
      </c>
      <c r="O6" s="518" t="n">
        <v>0</v>
      </c>
      <c r="P6" s="512" t="n">
        <v>0</v>
      </c>
      <c r="Q6" s="188" t="e">
        <v>#DIV/0!</v>
      </c>
      <c r="R6" s="518" t="n">
        <v>0</v>
      </c>
      <c r="S6" s="519" t="n">
        <v>0</v>
      </c>
      <c r="T6" s="198" t="inlineStr">
        <is>
          <t>계단식</t>
        </is>
      </c>
      <c r="U6" s="197" t="n">
        <v>3</v>
      </c>
      <c r="V6" s="197" t="n">
        <v>2</v>
      </c>
      <c r="W6" s="197" t="n">
        <v>115</v>
      </c>
      <c r="X6" s="184" t="n"/>
      <c r="Y6" s="190" t="n"/>
      <c r="Z6" s="190" t="n">
        <v>43</v>
      </c>
      <c r="AA6" s="514" t="n"/>
      <c r="AB6" s="514" t="n"/>
      <c r="AC6" s="191" t="e">
        <v>#DIV/0!</v>
      </c>
      <c r="AD6" s="192" t="n">
        <v>0</v>
      </c>
      <c r="AE6" s="226" t="n"/>
      <c r="AF6" s="520" t="n"/>
      <c r="AG6" s="521" t="n">
        <v>0</v>
      </c>
      <c r="AH6" s="194" t="e">
        <v>#DIV/0!</v>
      </c>
      <c r="AI6" s="200" t="e">
        <v>#DIV/0!</v>
      </c>
      <c r="AJ6" s="236" t="n"/>
      <c r="AK6" s="16" t="n"/>
    </row>
    <row r="7" ht="18" customHeight="1" s="476" thickBot="1">
      <c r="A7" s="182" t="inlineStr">
        <is>
          <t>가양동</t>
        </is>
      </c>
      <c r="B7" s="196" t="inlineStr">
        <is>
          <t>하</t>
        </is>
      </c>
      <c r="C7" s="220" t="inlineStr">
        <is>
          <t>상</t>
        </is>
      </c>
      <c r="D7" s="217" t="inlineStr">
        <is>
          <t>힐스테가양더와이즈(주복)</t>
        </is>
      </c>
      <c r="E7" s="184" t="n">
        <v>44</v>
      </c>
      <c r="F7" s="184" t="n">
        <v>0</v>
      </c>
      <c r="G7" s="184" t="n">
        <v>0</v>
      </c>
      <c r="H7" s="223" t="n">
        <v>2024.09</v>
      </c>
      <c r="I7" s="223" t="n">
        <v>358</v>
      </c>
      <c r="J7" s="186" t="n">
        <v>2.910000000000082</v>
      </c>
      <c r="K7" s="197" t="n">
        <v>146</v>
      </c>
      <c r="L7" s="197" t="n">
        <v>108</v>
      </c>
      <c r="M7" s="197" t="n">
        <v>44</v>
      </c>
      <c r="N7" s="517" t="n">
        <v>0</v>
      </c>
      <c r="O7" s="518" t="n">
        <v>0</v>
      </c>
      <c r="P7" s="512" t="n">
        <v>0</v>
      </c>
      <c r="Q7" s="188" t="e">
        <v>#DIV/0!</v>
      </c>
      <c r="R7" s="518" t="n">
        <v>0</v>
      </c>
      <c r="S7" s="519" t="n">
        <v>0</v>
      </c>
      <c r="T7" s="198" t="inlineStr">
        <is>
          <t>계단식</t>
        </is>
      </c>
      <c r="U7" s="197" t="n">
        <v>4</v>
      </c>
      <c r="V7" s="197" t="n">
        <v>2</v>
      </c>
      <c r="W7" s="197" t="n">
        <v>85</v>
      </c>
      <c r="X7" s="184" t="n"/>
      <c r="Y7" s="190" t="n"/>
      <c r="Z7" s="190" t="n">
        <v>44</v>
      </c>
      <c r="AA7" s="514" t="n"/>
      <c r="AB7" s="514" t="n"/>
      <c r="AC7" s="191" t="e">
        <v>#DIV/0!</v>
      </c>
      <c r="AD7" s="192" t="n">
        <v>0</v>
      </c>
      <c r="AE7" s="226" t="n"/>
      <c r="AF7" s="520" t="n"/>
      <c r="AG7" s="521" t="n">
        <v>0</v>
      </c>
      <c r="AH7" s="194" t="e">
        <v>#DIV/0!</v>
      </c>
      <c r="AI7" s="200" t="e">
        <v>#DIV/0!</v>
      </c>
      <c r="AJ7" s="236" t="n"/>
      <c r="AK7" s="16" t="n"/>
    </row>
    <row r="8" ht="18" customHeight="1" s="476" thickBot="1">
      <c r="A8" s="182" t="inlineStr">
        <is>
          <t>가양동</t>
        </is>
      </c>
      <c r="B8" s="196" t="inlineStr">
        <is>
          <t>하</t>
        </is>
      </c>
      <c r="C8" s="220" t="inlineStr">
        <is>
          <t>상</t>
        </is>
      </c>
      <c r="D8" s="217" t="inlineStr">
        <is>
          <t>힐스테가양더와이즈(주복)</t>
        </is>
      </c>
      <c r="E8" s="184" t="n">
        <v>64</v>
      </c>
      <c r="F8" s="184" t="n">
        <v>0</v>
      </c>
      <c r="G8" s="184" t="n">
        <v>0</v>
      </c>
      <c r="H8" s="223" t="n">
        <v>2024.09</v>
      </c>
      <c r="I8" s="223" t="n">
        <v>358</v>
      </c>
      <c r="J8" s="186" t="n">
        <v>2.910000000000082</v>
      </c>
      <c r="K8" s="197" t="n">
        <v>210</v>
      </c>
      <c r="L8" s="197" t="n">
        <v>155</v>
      </c>
      <c r="M8" s="197" t="n">
        <v>64</v>
      </c>
      <c r="N8" s="517" t="n">
        <v>0</v>
      </c>
      <c r="O8" s="518" t="n">
        <v>0</v>
      </c>
      <c r="P8" s="512" t="n">
        <v>0</v>
      </c>
      <c r="Q8" s="188" t="e">
        <v>#DIV/0!</v>
      </c>
      <c r="R8" s="518" t="n">
        <v>0</v>
      </c>
      <c r="S8" s="519" t="n">
        <v>0</v>
      </c>
      <c r="T8" s="198" t="inlineStr">
        <is>
          <t>계단식</t>
        </is>
      </c>
      <c r="U8" s="197" t="n">
        <v>3</v>
      </c>
      <c r="V8" s="197" t="n">
        <v>3</v>
      </c>
      <c r="W8" s="197" t="n">
        <v>2</v>
      </c>
      <c r="X8" s="184" t="n"/>
      <c r="Y8" s="190" t="n"/>
      <c r="Z8" s="190" t="n">
        <v>64</v>
      </c>
      <c r="AA8" s="514" t="n"/>
      <c r="AB8" s="514" t="n"/>
      <c r="AC8" s="191" t="e">
        <v>#DIV/0!</v>
      </c>
      <c r="AD8" s="192" t="n">
        <v>0</v>
      </c>
      <c r="AE8" s="226" t="n"/>
      <c r="AF8" s="520" t="n"/>
      <c r="AG8" s="521" t="n">
        <v>0</v>
      </c>
      <c r="AH8" s="194" t="e">
        <v>#DIV/0!</v>
      </c>
      <c r="AI8" s="200" t="e">
        <v>#DIV/0!</v>
      </c>
      <c r="AJ8" s="236" t="n"/>
      <c r="AK8" s="15" t="inlineStr">
        <is>
          <t>투자적용 및 질문</t>
        </is>
      </c>
    </row>
    <row r="9" ht="18" customHeight="1" s="476" thickBot="1">
      <c r="A9" s="48" t="inlineStr">
        <is>
          <t>천동</t>
        </is>
      </c>
      <c r="B9" s="174" t="inlineStr">
        <is>
          <t>상</t>
        </is>
      </c>
      <c r="C9" s="221" t="inlineStr">
        <is>
          <t>하</t>
        </is>
      </c>
      <c r="D9" s="218" t="inlineStr">
        <is>
          <t>휴먼시아2단지</t>
        </is>
      </c>
      <c r="E9" s="34" t="n">
        <v>34</v>
      </c>
      <c r="F9" s="34" t="n">
        <v>2.5</v>
      </c>
      <c r="G9" s="34" t="n">
        <v>2.3</v>
      </c>
      <c r="H9" s="43" t="n">
        <v>2008.11</v>
      </c>
      <c r="I9" s="43" t="n">
        <v>763</v>
      </c>
      <c r="J9" s="35" t="n">
        <v>18.8900000000001</v>
      </c>
      <c r="K9" s="42" t="inlineStr">
        <is>
          <t>111C, 111B, 111A</t>
        </is>
      </c>
      <c r="L9" s="42" t="n">
        <v>84</v>
      </c>
      <c r="M9" s="42" t="n">
        <v>34</v>
      </c>
      <c r="N9" s="522" t="n">
        <v>25000</v>
      </c>
      <c r="O9" s="523" t="n">
        <v>23000</v>
      </c>
      <c r="P9" s="524" t="n">
        <v>2000</v>
      </c>
      <c r="Q9" s="168" t="n">
        <v>0.92</v>
      </c>
      <c r="R9" s="523" t="n">
        <v>39000</v>
      </c>
      <c r="S9" s="525" t="n">
        <v>25300</v>
      </c>
      <c r="T9" s="60" t="inlineStr">
        <is>
          <t>계단식</t>
        </is>
      </c>
      <c r="U9" s="42" t="n">
        <v>3</v>
      </c>
      <c r="V9" s="42" t="n">
        <v>2</v>
      </c>
      <c r="W9" s="42" t="n">
        <v>597</v>
      </c>
      <c r="X9" s="169" t="n">
        <v>2020.01</v>
      </c>
      <c r="Y9" s="169" t="n">
        <v>0.02</v>
      </c>
      <c r="Z9" s="169" t="n">
        <v>34</v>
      </c>
      <c r="AA9" s="526" t="n">
        <v>24175</v>
      </c>
      <c r="AB9" s="526" t="n">
        <v>20167</v>
      </c>
      <c r="AC9" s="170" t="e">
        <v>#DIV/0!</v>
      </c>
      <c r="AD9" s="171" t="n">
        <v>0</v>
      </c>
      <c r="AE9" s="458" t="n"/>
      <c r="AF9" s="227" t="n"/>
      <c r="AG9" s="231" t="n"/>
      <c r="AH9" s="122" t="n"/>
      <c r="AI9" s="29" t="n"/>
      <c r="AJ9" s="236" t="n"/>
    </row>
    <row r="10" ht="18" customHeight="1" s="476" thickBot="1">
      <c r="A10" s="48" t="inlineStr">
        <is>
          <t>천동</t>
        </is>
      </c>
      <c r="B10" s="163" t="inlineStr">
        <is>
          <t>상</t>
        </is>
      </c>
      <c r="C10" s="163" t="inlineStr">
        <is>
          <t>하</t>
        </is>
      </c>
      <c r="D10" s="218" t="inlineStr">
        <is>
          <t>휴먼시아2단지</t>
        </is>
      </c>
      <c r="E10" s="34" t="n">
        <v>30</v>
      </c>
      <c r="F10" s="34" t="n">
        <v>2.4</v>
      </c>
      <c r="G10" s="34" t="n">
        <v>2</v>
      </c>
      <c r="H10" s="241" t="n">
        <v>2008.11</v>
      </c>
      <c r="I10" s="43" t="n">
        <v>763</v>
      </c>
      <c r="J10" s="35" t="n">
        <v>18.8900000000001</v>
      </c>
      <c r="K10" s="40" t="n">
        <v>99</v>
      </c>
      <c r="L10" s="40" t="n">
        <v>75</v>
      </c>
      <c r="M10" s="40" t="n">
        <v>30</v>
      </c>
      <c r="N10" s="527" t="n">
        <v>24000</v>
      </c>
      <c r="O10" s="528" t="n">
        <v>20000</v>
      </c>
      <c r="P10" s="524" t="n">
        <v>4000</v>
      </c>
      <c r="Q10" s="168" t="n">
        <v>0.8333333333333334</v>
      </c>
      <c r="R10" s="528" t="n">
        <v>31000</v>
      </c>
      <c r="S10" s="529" t="n">
        <v>23000</v>
      </c>
      <c r="T10" s="58" t="inlineStr">
        <is>
          <t>계단식</t>
        </is>
      </c>
      <c r="U10" s="40" t="n">
        <v>3</v>
      </c>
      <c r="V10" s="40" t="n">
        <v>2</v>
      </c>
      <c r="W10" s="40" t="n">
        <v>72</v>
      </c>
      <c r="X10" s="169" t="n">
        <v>2025.09</v>
      </c>
      <c r="Y10" s="169" t="n">
        <v>0.03</v>
      </c>
      <c r="Z10" s="169" t="n">
        <v>30</v>
      </c>
      <c r="AA10" s="526" t="n">
        <v>23250</v>
      </c>
      <c r="AB10" s="526" t="n">
        <v>20000</v>
      </c>
      <c r="AC10" s="170" t="e">
        <v>#DIV/0!</v>
      </c>
      <c r="AD10" s="171" t="n">
        <v>0</v>
      </c>
      <c r="AE10" s="458" t="n"/>
      <c r="AF10" s="227" t="n"/>
      <c r="AG10" s="231" t="n"/>
      <c r="AH10" s="233" t="n"/>
      <c r="AI10" s="29" t="n"/>
      <c r="AJ10" s="236" t="n"/>
    </row>
    <row r="11" ht="18" customHeight="1" s="476" thickBot="1">
      <c r="A11" s="48" t="inlineStr">
        <is>
          <t>천동</t>
        </is>
      </c>
      <c r="B11" s="174" t="inlineStr">
        <is>
          <t>상</t>
        </is>
      </c>
      <c r="C11" s="221" t="inlineStr">
        <is>
          <t>하</t>
        </is>
      </c>
      <c r="D11" s="218" t="inlineStr">
        <is>
          <t>휴먼시아2단지</t>
        </is>
      </c>
      <c r="E11" s="34" t="n">
        <v>43</v>
      </c>
      <c r="F11" s="34" t="n">
        <v>0</v>
      </c>
      <c r="G11" s="34" t="n">
        <v>0</v>
      </c>
      <c r="H11" s="241" t="n">
        <v>2008.11</v>
      </c>
      <c r="I11" s="43" t="n">
        <v>763</v>
      </c>
      <c r="J11" s="35" t="n">
        <v>18.8900000000001</v>
      </c>
      <c r="K11" s="41" t="n">
        <v>142</v>
      </c>
      <c r="L11" s="41" t="n">
        <v>108</v>
      </c>
      <c r="M11" s="41" t="n">
        <v>43</v>
      </c>
      <c r="N11" s="530" t="n">
        <v>0</v>
      </c>
      <c r="O11" s="531" t="n">
        <v>0</v>
      </c>
      <c r="P11" s="524" t="n">
        <v>0</v>
      </c>
      <c r="Q11" s="168" t="e">
        <v>#DIV/0!</v>
      </c>
      <c r="R11" s="531" t="n">
        <v>0</v>
      </c>
      <c r="S11" s="532" t="n">
        <v>0</v>
      </c>
      <c r="T11" s="59" t="inlineStr">
        <is>
          <t>계단식</t>
        </is>
      </c>
      <c r="U11" s="41" t="n">
        <v>4</v>
      </c>
      <c r="V11" s="41" t="n">
        <v>2</v>
      </c>
      <c r="W11" s="41" t="n">
        <v>94</v>
      </c>
      <c r="X11" s="169" t="n"/>
      <c r="Y11" s="169" t="n"/>
      <c r="Z11" s="169" t="n">
        <v>43</v>
      </c>
      <c r="AA11" s="526" t="n"/>
      <c r="AB11" s="526" t="n"/>
      <c r="AC11" s="170" t="e">
        <v>#DIV/0!</v>
      </c>
      <c r="AD11" s="171" t="n">
        <v>0</v>
      </c>
      <c r="AE11" s="458" t="n"/>
      <c r="AF11" s="227" t="n"/>
      <c r="AG11" s="231" t="n"/>
      <c r="AH11" s="233" t="n"/>
      <c r="AI11" s="29" t="n"/>
      <c r="AJ11" s="236" t="n"/>
    </row>
    <row r="12" ht="18" customHeight="1" s="476" thickBot="1">
      <c r="A12" s="182" t="inlineStr">
        <is>
          <t>성남동</t>
        </is>
      </c>
      <c r="B12" s="196" t="inlineStr">
        <is>
          <t>상</t>
        </is>
      </c>
      <c r="C12" s="220" t="inlineStr">
        <is>
          <t>하</t>
        </is>
      </c>
      <c r="D12" s="217" t="inlineStr">
        <is>
          <t>효촌마을</t>
        </is>
      </c>
      <c r="E12" s="184" t="n">
        <v>33</v>
      </c>
      <c r="F12" s="184" t="n">
        <v>3.15</v>
      </c>
      <c r="G12" s="184" t="n">
        <v>2.5</v>
      </c>
      <c r="H12" s="222" t="n">
        <v>2003.04</v>
      </c>
      <c r="I12" s="185" t="n">
        <v>818</v>
      </c>
      <c r="J12" s="186" t="n">
        <v>23.96000000000004</v>
      </c>
      <c r="K12" s="201" t="inlineStr">
        <is>
          <t>108A</t>
        </is>
      </c>
      <c r="L12" s="201" t="n">
        <v>84</v>
      </c>
      <c r="M12" s="201" t="n">
        <v>33</v>
      </c>
      <c r="N12" s="533" t="n">
        <v>31500</v>
      </c>
      <c r="O12" s="534" t="n">
        <v>25000</v>
      </c>
      <c r="P12" s="512" t="n">
        <v>6500</v>
      </c>
      <c r="Q12" s="188" t="n">
        <v>0.7936507936507936</v>
      </c>
      <c r="R12" s="534" t="n">
        <v>40500</v>
      </c>
      <c r="S12" s="535" t="n">
        <v>29000</v>
      </c>
      <c r="T12" s="202" t="inlineStr">
        <is>
          <t>계단식</t>
        </is>
      </c>
      <c r="U12" s="201" t="n">
        <v>3</v>
      </c>
      <c r="V12" s="201" t="n">
        <v>2</v>
      </c>
      <c r="W12" s="201" t="n">
        <v>272</v>
      </c>
      <c r="X12" s="190" t="n"/>
      <c r="Y12" s="190" t="n"/>
      <c r="Z12" s="190" t="n">
        <v>33</v>
      </c>
      <c r="AA12" s="514" t="n"/>
      <c r="AB12" s="514" t="n"/>
      <c r="AC12" s="191" t="e">
        <v>#DIV/0!</v>
      </c>
      <c r="AD12" s="192" t="n">
        <v>0</v>
      </c>
      <c r="AE12" s="226" t="n"/>
      <c r="AF12" s="230" t="n"/>
      <c r="AG12" s="232" t="n"/>
      <c r="AH12" s="234" t="n"/>
      <c r="AI12" s="216" t="n"/>
      <c r="AJ12" s="236" t="n"/>
    </row>
    <row r="13" ht="18" customHeight="1" s="476">
      <c r="A13" s="182" t="inlineStr">
        <is>
          <t>성남동</t>
        </is>
      </c>
      <c r="B13" s="183" t="inlineStr">
        <is>
          <t>상</t>
        </is>
      </c>
      <c r="C13" s="183" t="inlineStr">
        <is>
          <t>하</t>
        </is>
      </c>
      <c r="D13" s="217" t="inlineStr">
        <is>
          <t>효촌마을</t>
        </is>
      </c>
      <c r="E13" s="184" t="n">
        <v>33</v>
      </c>
      <c r="F13" s="184" t="n">
        <v>2.8</v>
      </c>
      <c r="G13" s="184" t="n">
        <v>2.6</v>
      </c>
      <c r="H13" s="185" t="n">
        <v>2003.04</v>
      </c>
      <c r="I13" s="185" t="n">
        <v>818</v>
      </c>
      <c r="J13" s="186" t="n">
        <v>23.96000000000004</v>
      </c>
      <c r="K13" s="187" t="inlineStr">
        <is>
          <t>109B</t>
        </is>
      </c>
      <c r="L13" s="187" t="n">
        <v>84</v>
      </c>
      <c r="M13" s="187" t="n">
        <v>33</v>
      </c>
      <c r="N13" s="510" t="n">
        <v>28000</v>
      </c>
      <c r="O13" s="511" t="n">
        <v>26000</v>
      </c>
      <c r="P13" s="512" t="n">
        <v>2000</v>
      </c>
      <c r="Q13" s="188" t="n">
        <v>0.9285714285714286</v>
      </c>
      <c r="R13" s="511" t="n">
        <v>40500</v>
      </c>
      <c r="S13" s="513" t="n">
        <v>30000</v>
      </c>
      <c r="T13" s="189" t="inlineStr">
        <is>
          <t>계단식</t>
        </is>
      </c>
      <c r="U13" s="187" t="n">
        <v>4</v>
      </c>
      <c r="V13" s="187" t="n">
        <v>2</v>
      </c>
      <c r="W13" s="187" t="n">
        <v>100</v>
      </c>
      <c r="X13" s="190" t="n"/>
      <c r="Y13" s="190" t="n"/>
      <c r="Z13" s="190" t="n">
        <v>33</v>
      </c>
      <c r="AA13" s="514" t="n"/>
      <c r="AB13" s="514" t="n"/>
      <c r="AC13" s="191" t="e">
        <v>#DIV/0!</v>
      </c>
      <c r="AD13" s="192" t="n">
        <v>0</v>
      </c>
      <c r="AE13" s="226" t="n"/>
      <c r="AF13" s="230" t="n"/>
      <c r="AG13" s="232" t="n"/>
      <c r="AH13" s="234" t="n"/>
      <c r="AI13" s="216" t="n"/>
      <c r="AJ13" s="236" t="n"/>
    </row>
    <row r="14" ht="18" customHeight="1" s="476">
      <c r="A14" s="182" t="inlineStr">
        <is>
          <t>성남동</t>
        </is>
      </c>
      <c r="B14" s="196" t="inlineStr">
        <is>
          <t>상</t>
        </is>
      </c>
      <c r="C14" s="220" t="inlineStr">
        <is>
          <t>하</t>
        </is>
      </c>
      <c r="D14" s="217" t="inlineStr">
        <is>
          <t>효촌마을</t>
        </is>
      </c>
      <c r="E14" s="184" t="n">
        <v>24</v>
      </c>
      <c r="F14" s="184" t="n">
        <v>2.3</v>
      </c>
      <c r="G14" s="184" t="n">
        <v>2</v>
      </c>
      <c r="H14" s="204" t="n">
        <v>2003.04</v>
      </c>
      <c r="I14" s="204" t="n">
        <v>818</v>
      </c>
      <c r="J14" s="186" t="n">
        <v>23.96000000000004</v>
      </c>
      <c r="K14" s="197" t="inlineStr">
        <is>
          <t>79A, 80B</t>
        </is>
      </c>
      <c r="L14" s="197" t="n">
        <v>59</v>
      </c>
      <c r="M14" s="197" t="n">
        <v>24</v>
      </c>
      <c r="N14" s="517" t="n">
        <v>23000</v>
      </c>
      <c r="O14" s="518" t="n">
        <v>20000</v>
      </c>
      <c r="P14" s="512" t="n">
        <v>3000</v>
      </c>
      <c r="Q14" s="188" t="n">
        <v>0.8695652173913043</v>
      </c>
      <c r="R14" s="518" t="n">
        <v>31000</v>
      </c>
      <c r="S14" s="519" t="n">
        <v>22000</v>
      </c>
      <c r="T14" s="198" t="inlineStr">
        <is>
          <t>계단식</t>
        </is>
      </c>
      <c r="U14" s="197" t="n">
        <v>3</v>
      </c>
      <c r="V14" s="197" t="n">
        <v>1</v>
      </c>
      <c r="W14" s="197" t="n">
        <v>327</v>
      </c>
      <c r="X14" s="190" t="n"/>
      <c r="Y14" s="190" t="n"/>
      <c r="Z14" s="190" t="n">
        <v>24</v>
      </c>
      <c r="AA14" s="514" t="n"/>
      <c r="AB14" s="514" t="n"/>
      <c r="AC14" s="191" t="e">
        <v>#DIV/0!</v>
      </c>
      <c r="AD14" s="192" t="n">
        <v>0</v>
      </c>
      <c r="AE14" s="226" t="n"/>
      <c r="AF14" s="230" t="n"/>
      <c r="AG14" s="232" t="n"/>
      <c r="AH14" s="234" t="n"/>
      <c r="AI14" s="216" t="n"/>
      <c r="AJ14" s="236" t="n"/>
      <c r="AK14" s="16" t="n"/>
    </row>
    <row r="15" ht="18" customHeight="1" s="476" thickBot="1">
      <c r="A15" s="182" t="inlineStr">
        <is>
          <t>성남동</t>
        </is>
      </c>
      <c r="B15" s="196" t="inlineStr">
        <is>
          <t>상</t>
        </is>
      </c>
      <c r="C15" s="220" t="inlineStr">
        <is>
          <t>하</t>
        </is>
      </c>
      <c r="D15" s="217" t="inlineStr">
        <is>
          <t>효촌마을</t>
        </is>
      </c>
      <c r="E15" s="184" t="n">
        <v>21</v>
      </c>
      <c r="F15" s="184" t="n">
        <v>1.9</v>
      </c>
      <c r="G15" s="184" t="n">
        <v>1.5</v>
      </c>
      <c r="H15" s="203" t="n">
        <v>2003.04</v>
      </c>
      <c r="I15" s="203" t="n">
        <v>818</v>
      </c>
      <c r="J15" s="186" t="n">
        <v>23.96000000000004</v>
      </c>
      <c r="K15" s="201" t="n">
        <v>69</v>
      </c>
      <c r="L15" s="201" t="n">
        <v>46</v>
      </c>
      <c r="M15" s="201" t="n">
        <v>21</v>
      </c>
      <c r="N15" s="533" t="n">
        <v>19000</v>
      </c>
      <c r="O15" s="534" t="n">
        <v>15000</v>
      </c>
      <c r="P15" s="512" t="n">
        <v>4000</v>
      </c>
      <c r="Q15" s="188" t="n">
        <v>0.7894736842105263</v>
      </c>
      <c r="R15" s="534" t="n">
        <v>25000</v>
      </c>
      <c r="S15" s="535" t="n">
        <v>18000</v>
      </c>
      <c r="T15" s="202" t="inlineStr">
        <is>
          <t>복도식</t>
        </is>
      </c>
      <c r="U15" s="201" t="n">
        <v>2</v>
      </c>
      <c r="V15" s="201" t="n">
        <v>1</v>
      </c>
      <c r="W15" s="201" t="n">
        <v>119</v>
      </c>
      <c r="X15" s="190" t="n">
        <v>2020.06</v>
      </c>
      <c r="Y15" s="190" t="n">
        <v>0.01</v>
      </c>
      <c r="Z15" s="190" t="n">
        <v>21</v>
      </c>
      <c r="AA15" s="514" t="n">
        <v>17220</v>
      </c>
      <c r="AB15" s="514" t="n">
        <v>14000</v>
      </c>
      <c r="AC15" s="191" t="e">
        <v>#DIV/0!</v>
      </c>
      <c r="AD15" s="192" t="n">
        <v>0</v>
      </c>
      <c r="AE15" s="226" t="n"/>
      <c r="AF15" s="230" t="n"/>
      <c r="AG15" s="232" t="n"/>
      <c r="AH15" s="234" t="n"/>
      <c r="AI15" s="216" t="n"/>
      <c r="AJ15" s="236" t="n"/>
      <c r="AK15" s="16" t="n"/>
    </row>
    <row r="16" ht="15.5" customHeight="1" s="476">
      <c r="A16" s="48" t="inlineStr">
        <is>
          <t>효동</t>
        </is>
      </c>
      <c r="B16" s="163" t="inlineStr">
        <is>
          <t>상</t>
        </is>
      </c>
      <c r="C16" s="163" t="inlineStr">
        <is>
          <t>하</t>
        </is>
      </c>
      <c r="D16" s="218" t="inlineStr">
        <is>
          <t>효동현대</t>
        </is>
      </c>
      <c r="E16" s="34" t="n">
        <v>49</v>
      </c>
      <c r="F16" s="34" t="n">
        <v>4</v>
      </c>
      <c r="G16" s="34" t="n">
        <v>1.8</v>
      </c>
      <c r="H16" s="43" t="n">
        <v>1998.09</v>
      </c>
      <c r="I16" s="43" t="n">
        <v>1056</v>
      </c>
      <c r="J16" s="35" t="n">
        <v>28.91000000000008</v>
      </c>
      <c r="K16" s="40" t="n">
        <v>161</v>
      </c>
      <c r="L16" s="40" t="n">
        <v>134</v>
      </c>
      <c r="M16" s="40" t="n">
        <v>49</v>
      </c>
      <c r="N16" s="527" t="n">
        <v>40000</v>
      </c>
      <c r="O16" s="528" t="n">
        <v>18000</v>
      </c>
      <c r="P16" s="524" t="n">
        <v>22000</v>
      </c>
      <c r="Q16" s="168" t="n">
        <v>0.45</v>
      </c>
      <c r="R16" s="528" t="n">
        <v>40000</v>
      </c>
      <c r="S16" s="529" t="n">
        <v>35000</v>
      </c>
      <c r="T16" s="58" t="inlineStr">
        <is>
          <t>계단식</t>
        </is>
      </c>
      <c r="U16" s="40" t="n">
        <v>4</v>
      </c>
      <c r="V16" s="40" t="n">
        <v>2</v>
      </c>
      <c r="W16" s="40" t="n">
        <v>30</v>
      </c>
      <c r="X16" s="36" t="n"/>
      <c r="Y16" s="93" t="n"/>
      <c r="Z16" s="169" t="n">
        <v>49</v>
      </c>
      <c r="AA16" s="526" t="n"/>
      <c r="AB16" s="526" t="n"/>
      <c r="AC16" s="170" t="e">
        <v>#DIV/0!</v>
      </c>
      <c r="AD16" s="171" t="n">
        <v>0</v>
      </c>
      <c r="AE16" s="458" t="n"/>
      <c r="AF16" s="536" t="n"/>
      <c r="AG16" s="537" t="n"/>
      <c r="AH16" s="233" t="n"/>
      <c r="AI16" s="29" t="n"/>
      <c r="AJ16" s="236" t="n"/>
    </row>
    <row r="17" ht="18" customHeight="1" s="476">
      <c r="A17" s="48" t="inlineStr">
        <is>
          <t>효동</t>
        </is>
      </c>
      <c r="B17" s="174" t="inlineStr">
        <is>
          <t>상</t>
        </is>
      </c>
      <c r="C17" s="221" t="inlineStr">
        <is>
          <t>하</t>
        </is>
      </c>
      <c r="D17" s="218" t="inlineStr">
        <is>
          <t>효동현대</t>
        </is>
      </c>
      <c r="E17" s="34" t="n">
        <v>37</v>
      </c>
      <c r="F17" s="34" t="n">
        <v>3.35</v>
      </c>
      <c r="G17" s="34" t="n">
        <v>2</v>
      </c>
      <c r="H17" s="161" t="n">
        <v>1998.09</v>
      </c>
      <c r="I17" s="161" t="n">
        <v>1056</v>
      </c>
      <c r="J17" s="35" t="n">
        <v>28.91000000000008</v>
      </c>
      <c r="K17" s="41" t="inlineStr">
        <is>
          <t>123A, 125B, 128</t>
        </is>
      </c>
      <c r="L17" s="41" t="n">
        <v>99</v>
      </c>
      <c r="M17" s="41" t="n">
        <v>37</v>
      </c>
      <c r="N17" s="530" t="n">
        <v>33500</v>
      </c>
      <c r="O17" s="531" t="n">
        <v>20000</v>
      </c>
      <c r="P17" s="524" t="n">
        <v>13500</v>
      </c>
      <c r="Q17" s="168" t="n">
        <v>0.5970149253731343</v>
      </c>
      <c r="R17" s="531" t="n">
        <v>35000</v>
      </c>
      <c r="S17" s="532" t="n">
        <v>28000</v>
      </c>
      <c r="T17" s="59" t="inlineStr">
        <is>
          <t>계단식</t>
        </is>
      </c>
      <c r="U17" s="41" t="n">
        <v>3</v>
      </c>
      <c r="V17" s="41" t="n">
        <v>2</v>
      </c>
      <c r="W17" s="41" t="n">
        <v>126</v>
      </c>
      <c r="X17" s="36" t="n">
        <v>2020.11</v>
      </c>
      <c r="Y17" s="37" t="n">
        <v>0.06</v>
      </c>
      <c r="Z17" s="169" t="n">
        <v>37</v>
      </c>
      <c r="AA17" s="526" t="n">
        <v>25000</v>
      </c>
      <c r="AB17" s="526" t="n">
        <v>22000</v>
      </c>
      <c r="AC17" s="170" t="e">
        <v>#DIV/0!</v>
      </c>
      <c r="AD17" s="171" t="n">
        <v>0</v>
      </c>
      <c r="AE17" s="458" t="n"/>
      <c r="AF17" s="536" t="n"/>
      <c r="AG17" s="537" t="n"/>
      <c r="AH17" s="233" t="n"/>
      <c r="AI17" s="29" t="n"/>
      <c r="AJ17" s="236" t="n"/>
    </row>
    <row r="18" ht="18" customHeight="1" s="476">
      <c r="A18" s="48" t="inlineStr">
        <is>
          <t>효동</t>
        </is>
      </c>
      <c r="B18" s="174" t="inlineStr">
        <is>
          <t>상</t>
        </is>
      </c>
      <c r="C18" s="221" t="inlineStr">
        <is>
          <t>하</t>
        </is>
      </c>
      <c r="D18" s="218" t="inlineStr">
        <is>
          <t>효동현대</t>
        </is>
      </c>
      <c r="E18" s="34" t="n">
        <v>32</v>
      </c>
      <c r="F18" s="34" t="n">
        <v>2.7</v>
      </c>
      <c r="G18" s="34" t="n">
        <v>2</v>
      </c>
      <c r="H18" s="161" t="n">
        <v>1998.09</v>
      </c>
      <c r="I18" s="161" t="n">
        <v>1056</v>
      </c>
      <c r="J18" s="35" t="n">
        <v>28.91000000000008</v>
      </c>
      <c r="K18" s="41" t="inlineStr">
        <is>
          <t>107B, 112</t>
        </is>
      </c>
      <c r="L18" s="41" t="n">
        <v>86</v>
      </c>
      <c r="M18" s="41" t="n">
        <v>32</v>
      </c>
      <c r="N18" s="530" t="n">
        <v>27000</v>
      </c>
      <c r="O18" s="531" t="n">
        <v>20000</v>
      </c>
      <c r="P18" s="524" t="n">
        <v>7000</v>
      </c>
      <c r="Q18" s="168" t="n">
        <v>0.7407407407407407</v>
      </c>
      <c r="R18" s="531" t="n">
        <v>34000</v>
      </c>
      <c r="S18" s="532" t="n">
        <v>23000</v>
      </c>
      <c r="T18" s="59" t="inlineStr">
        <is>
          <t>계단식</t>
        </is>
      </c>
      <c r="U18" s="41" t="n">
        <v>3</v>
      </c>
      <c r="V18" s="41" t="n">
        <v>2</v>
      </c>
      <c r="W18" s="41" t="n">
        <v>6</v>
      </c>
      <c r="X18" s="36" t="n">
        <v>2020.01</v>
      </c>
      <c r="Y18" s="93" t="n">
        <v>0.01</v>
      </c>
      <c r="Z18" s="169" t="n">
        <v>32</v>
      </c>
      <c r="AA18" s="526" t="n">
        <v>17500</v>
      </c>
      <c r="AB18" s="526" t="n">
        <v>15500</v>
      </c>
      <c r="AC18" s="170" t="e">
        <v>#DIV/0!</v>
      </c>
      <c r="AD18" s="171" t="n">
        <v>0</v>
      </c>
      <c r="AE18" s="458" t="n"/>
      <c r="AF18" s="536" t="n"/>
      <c r="AG18" s="537" t="n"/>
      <c r="AH18" s="233" t="n"/>
      <c r="AI18" s="29" t="n"/>
      <c r="AJ18" s="236" t="n"/>
    </row>
    <row r="19" ht="18" customHeight="1" s="476" thickBot="1">
      <c r="A19" s="48" t="inlineStr">
        <is>
          <t>효동</t>
        </is>
      </c>
      <c r="B19" s="174" t="inlineStr">
        <is>
          <t>상</t>
        </is>
      </c>
      <c r="C19" s="221" t="inlineStr">
        <is>
          <t>하</t>
        </is>
      </c>
      <c r="D19" s="218" t="inlineStr">
        <is>
          <t>효동현대</t>
        </is>
      </c>
      <c r="E19" s="34" t="n">
        <v>31</v>
      </c>
      <c r="F19" s="34" t="n">
        <v>2.6</v>
      </c>
      <c r="G19" s="34" t="n">
        <v>2</v>
      </c>
      <c r="H19" s="52" t="n">
        <v>1998.09</v>
      </c>
      <c r="I19" s="52" t="n">
        <v>1056</v>
      </c>
      <c r="J19" s="35" t="n">
        <v>28.91000000000008</v>
      </c>
      <c r="K19" s="42" t="inlineStr">
        <is>
          <t>103, 106A, 106B, 109A</t>
        </is>
      </c>
      <c r="L19" s="42" t="n">
        <v>84</v>
      </c>
      <c r="M19" s="42" t="n">
        <v>31</v>
      </c>
      <c r="N19" s="522" t="n">
        <v>26000</v>
      </c>
      <c r="O19" s="523" t="n">
        <v>20000</v>
      </c>
      <c r="P19" s="524" t="n">
        <v>6000</v>
      </c>
      <c r="Q19" s="168" t="n">
        <v>0.7692307692307693</v>
      </c>
      <c r="R19" s="523" t="n">
        <v>32500</v>
      </c>
      <c r="S19" s="525" t="n">
        <v>23500</v>
      </c>
      <c r="T19" s="60" t="inlineStr">
        <is>
          <t>계단식</t>
        </is>
      </c>
      <c r="U19" s="42" t="n">
        <v>3</v>
      </c>
      <c r="V19" s="42" t="n">
        <v>2</v>
      </c>
      <c r="W19" s="42" t="n">
        <v>561</v>
      </c>
      <c r="X19" s="169" t="n">
        <v>2020.01</v>
      </c>
      <c r="Y19" s="169" t="n">
        <v>0.01</v>
      </c>
      <c r="Z19" s="169" t="n">
        <v>31</v>
      </c>
      <c r="AA19" s="526" t="n">
        <v>17500</v>
      </c>
      <c r="AB19" s="526" t="n">
        <v>15500</v>
      </c>
      <c r="AC19" s="170" t="e">
        <v>#DIV/0!</v>
      </c>
      <c r="AD19" s="171" t="n">
        <v>0</v>
      </c>
      <c r="AE19" s="231" t="n"/>
      <c r="AF19" s="227" t="n"/>
      <c r="AG19" s="231" t="n"/>
      <c r="AH19" s="323" t="n"/>
      <c r="AI19" s="175" t="n"/>
      <c r="AJ19" s="238" t="n"/>
    </row>
    <row r="20" ht="18" customHeight="1" s="476" thickBot="1">
      <c r="A20" s="48" t="inlineStr">
        <is>
          <t>효동</t>
        </is>
      </c>
      <c r="B20" s="163" t="inlineStr">
        <is>
          <t>상</t>
        </is>
      </c>
      <c r="C20" s="163" t="inlineStr">
        <is>
          <t>하</t>
        </is>
      </c>
      <c r="D20" s="218" t="inlineStr">
        <is>
          <t>효동현대</t>
        </is>
      </c>
      <c r="E20" s="34" t="n">
        <v>30</v>
      </c>
      <c r="F20" s="34" t="n">
        <v>2.35</v>
      </c>
      <c r="G20" s="34" t="n">
        <v>1.8</v>
      </c>
      <c r="H20" s="43" t="n">
        <v>1998.09</v>
      </c>
      <c r="I20" s="43" t="n">
        <v>1056</v>
      </c>
      <c r="J20" s="35" t="n">
        <v>28.91000000000008</v>
      </c>
      <c r="K20" s="43" t="n">
        <v>99</v>
      </c>
      <c r="L20" s="43" t="n">
        <v>76</v>
      </c>
      <c r="M20" s="43" t="n">
        <v>30</v>
      </c>
      <c r="N20" s="538" t="n">
        <v>23500</v>
      </c>
      <c r="O20" s="539" t="n">
        <v>18000</v>
      </c>
      <c r="P20" s="524" t="n">
        <v>5500</v>
      </c>
      <c r="Q20" s="168" t="n">
        <v>0.7659574468085106</v>
      </c>
      <c r="R20" s="539" t="n">
        <v>28500</v>
      </c>
      <c r="S20" s="540" t="n">
        <v>22000</v>
      </c>
      <c r="T20" s="61" t="inlineStr">
        <is>
          <t>계단식</t>
        </is>
      </c>
      <c r="U20" s="43" t="n">
        <v>3</v>
      </c>
      <c r="V20" s="43" t="n">
        <v>2</v>
      </c>
      <c r="W20" s="43" t="n">
        <v>102</v>
      </c>
      <c r="X20" s="93" t="n">
        <v>2020.02</v>
      </c>
      <c r="Y20" s="93" t="n">
        <v>0.03</v>
      </c>
      <c r="Z20" s="169" t="n">
        <v>30</v>
      </c>
      <c r="AA20" s="526" t="n">
        <v>19250</v>
      </c>
      <c r="AB20" s="526" t="n">
        <v>16000</v>
      </c>
      <c r="AC20" s="170" t="e">
        <v>#DIV/0!</v>
      </c>
      <c r="AD20" s="171" t="n">
        <v>0</v>
      </c>
      <c r="AE20" s="458" t="n"/>
      <c r="AF20" s="541" t="n"/>
      <c r="AG20" s="537" t="n"/>
      <c r="AH20" s="233" t="n"/>
      <c r="AI20" s="175" t="n"/>
      <c r="AJ20" s="238" t="n"/>
    </row>
    <row r="21" ht="18" customHeight="1" s="476">
      <c r="A21" s="48" t="inlineStr">
        <is>
          <t>효동</t>
        </is>
      </c>
      <c r="B21" s="163" t="inlineStr">
        <is>
          <t>상</t>
        </is>
      </c>
      <c r="C21" s="163" t="inlineStr">
        <is>
          <t>하</t>
        </is>
      </c>
      <c r="D21" s="218" t="inlineStr">
        <is>
          <t>효동현대</t>
        </is>
      </c>
      <c r="E21" s="34" t="n">
        <v>23</v>
      </c>
      <c r="F21" s="34" t="n">
        <v>2.2</v>
      </c>
      <c r="G21" s="34" t="n">
        <v>1.3</v>
      </c>
      <c r="H21" s="40" t="n">
        <v>1998.09</v>
      </c>
      <c r="I21" s="40" t="n">
        <v>1056</v>
      </c>
      <c r="J21" s="35" t="n">
        <v>28.91000000000008</v>
      </c>
      <c r="K21" s="40" t="inlineStr">
        <is>
          <t>77A, 78B</t>
        </is>
      </c>
      <c r="L21" s="40" t="n">
        <v>59</v>
      </c>
      <c r="M21" s="40" t="n">
        <v>23</v>
      </c>
      <c r="N21" s="527" t="n">
        <v>22000</v>
      </c>
      <c r="O21" s="528" t="n">
        <v>13000</v>
      </c>
      <c r="P21" s="524" t="n">
        <v>9000</v>
      </c>
      <c r="Q21" s="168" t="n">
        <v>0.5909090909090909</v>
      </c>
      <c r="R21" s="528" t="n">
        <v>25500</v>
      </c>
      <c r="S21" s="529" t="n">
        <v>18500</v>
      </c>
      <c r="T21" s="58" t="inlineStr">
        <is>
          <t>계단식</t>
        </is>
      </c>
      <c r="U21" s="40" t="n">
        <v>3</v>
      </c>
      <c r="V21" s="40" t="n">
        <v>1</v>
      </c>
      <c r="W21" s="40" t="n">
        <v>231</v>
      </c>
      <c r="X21" s="37" t="n"/>
      <c r="Y21" s="37" t="n"/>
      <c r="Z21" s="169" t="n">
        <v>23</v>
      </c>
      <c r="AA21" s="526" t="n"/>
      <c r="AB21" s="526" t="n"/>
      <c r="AC21" s="170" t="e">
        <v>#DIV/0!</v>
      </c>
      <c r="AD21" s="171" t="n">
        <v>0</v>
      </c>
      <c r="AE21" s="458" t="n"/>
      <c r="AF21" s="541" t="n"/>
      <c r="AG21" s="537" t="n"/>
      <c r="AH21" s="233" t="n"/>
      <c r="AI21" s="175" t="n"/>
      <c r="AJ21" s="238" t="n"/>
    </row>
    <row r="22" ht="18" customHeight="1" s="476">
      <c r="A22" s="182" t="inlineStr">
        <is>
          <t>홍도동</t>
        </is>
      </c>
      <c r="B22" s="196" t="inlineStr">
        <is>
          <t>중</t>
        </is>
      </c>
      <c r="C22" s="220" t="inlineStr">
        <is>
          <t>하</t>
        </is>
      </c>
      <c r="D22" s="217" t="inlineStr">
        <is>
          <t>홍도서우</t>
        </is>
      </c>
      <c r="E22" s="184" t="n">
        <v>35</v>
      </c>
      <c r="F22" s="184" t="n">
        <v>2.4</v>
      </c>
      <c r="G22" s="184" t="n">
        <v>1.2</v>
      </c>
      <c r="H22" s="197" t="n">
        <v>1996.1</v>
      </c>
      <c r="I22" s="197" t="n">
        <v>571</v>
      </c>
      <c r="J22" s="186" t="n">
        <v>30.90000000000009</v>
      </c>
      <c r="K22" s="197" t="n">
        <v>114</v>
      </c>
      <c r="L22" s="197" t="n">
        <v>84</v>
      </c>
      <c r="M22" s="197" t="n">
        <v>35</v>
      </c>
      <c r="N22" s="517" t="n">
        <v>24000</v>
      </c>
      <c r="O22" s="518" t="n">
        <v>12000</v>
      </c>
      <c r="P22" s="512" t="n">
        <v>12000</v>
      </c>
      <c r="Q22" s="188" t="n">
        <v>0.5</v>
      </c>
      <c r="R22" s="518" t="n">
        <v>18000</v>
      </c>
      <c r="S22" s="519" t="n">
        <v>19000</v>
      </c>
      <c r="T22" s="198" t="inlineStr">
        <is>
          <t>복도식</t>
        </is>
      </c>
      <c r="U22" s="197" t="n">
        <v>3</v>
      </c>
      <c r="V22" s="197" t="n">
        <v>2</v>
      </c>
      <c r="W22" s="197" t="n">
        <v>33</v>
      </c>
      <c r="X22" s="252" t="n"/>
      <c r="Y22" s="252" t="n"/>
      <c r="Z22" s="190" t="n">
        <v>35</v>
      </c>
      <c r="AA22" s="514" t="n"/>
      <c r="AB22" s="514" t="n"/>
      <c r="AC22" s="191" t="e">
        <v>#DIV/0!</v>
      </c>
      <c r="AD22" s="192" t="n">
        <v>0</v>
      </c>
      <c r="AE22" s="226" t="n"/>
      <c r="AF22" s="542" t="n"/>
      <c r="AG22" s="543" t="n"/>
      <c r="AH22" s="199" t="n"/>
      <c r="AI22" s="200" t="n"/>
      <c r="AJ22" s="238" t="n"/>
    </row>
    <row r="23" ht="18" customHeight="1" s="476" thickBot="1">
      <c r="A23" s="182" t="inlineStr">
        <is>
          <t>홍도동</t>
        </is>
      </c>
      <c r="B23" s="196" t="inlineStr">
        <is>
          <t>중</t>
        </is>
      </c>
      <c r="C23" s="220" t="inlineStr">
        <is>
          <t>하</t>
        </is>
      </c>
      <c r="D23" s="217" t="inlineStr">
        <is>
          <t>홍도서우</t>
        </is>
      </c>
      <c r="E23" s="184" t="n">
        <v>24</v>
      </c>
      <c r="F23" s="184" t="n">
        <v>1.49</v>
      </c>
      <c r="G23" s="184" t="n">
        <v>1.3</v>
      </c>
      <c r="H23" s="205" t="n">
        <v>1996.1</v>
      </c>
      <c r="I23" s="205" t="n">
        <v>571</v>
      </c>
      <c r="J23" s="186" t="n">
        <v>30.90000000000009</v>
      </c>
      <c r="K23" s="205" t="n">
        <v>80</v>
      </c>
      <c r="L23" s="205" t="n">
        <v>59</v>
      </c>
      <c r="M23" s="205" t="n">
        <v>24</v>
      </c>
      <c r="N23" s="544" t="n">
        <v>14900</v>
      </c>
      <c r="O23" s="545" t="n">
        <v>13000</v>
      </c>
      <c r="P23" s="512" t="n">
        <v>1900</v>
      </c>
      <c r="Q23" s="188" t="n">
        <v>0.87248322147651</v>
      </c>
      <c r="R23" s="545" t="n">
        <v>16500</v>
      </c>
      <c r="S23" s="546" t="n">
        <v>13800</v>
      </c>
      <c r="T23" s="206" t="inlineStr">
        <is>
          <t>복도식</t>
        </is>
      </c>
      <c r="U23" s="205" t="n">
        <v>3</v>
      </c>
      <c r="V23" s="205" t="n">
        <v>1</v>
      </c>
      <c r="W23" s="205" t="n">
        <v>139</v>
      </c>
      <c r="X23" s="252" t="n">
        <v>2020.06</v>
      </c>
      <c r="Y23" s="252" t="n">
        <v>0.01</v>
      </c>
      <c r="Z23" s="190" t="n">
        <v>24</v>
      </c>
      <c r="AA23" s="514" t="n">
        <v>13300</v>
      </c>
      <c r="AB23" s="514" t="n">
        <v>11000</v>
      </c>
      <c r="AC23" s="191" t="e">
        <v>#DIV/0!</v>
      </c>
      <c r="AD23" s="192" t="n">
        <v>0</v>
      </c>
      <c r="AE23" s="226" t="n"/>
      <c r="AF23" s="542" t="n"/>
      <c r="AG23" s="543" t="n"/>
      <c r="AH23" s="199" t="n"/>
      <c r="AI23" s="200" t="n"/>
      <c r="AJ23" s="238" t="n"/>
    </row>
    <row r="24" ht="18" customHeight="1" s="476" thickBot="1">
      <c r="A24" s="182" t="inlineStr">
        <is>
          <t>홍도동</t>
        </is>
      </c>
      <c r="B24" s="183" t="inlineStr">
        <is>
          <t>중</t>
        </is>
      </c>
      <c r="C24" s="183" t="inlineStr">
        <is>
          <t>하</t>
        </is>
      </c>
      <c r="D24" s="217" t="inlineStr">
        <is>
          <t>홍도서우</t>
        </is>
      </c>
      <c r="E24" s="184" t="n">
        <v>17</v>
      </c>
      <c r="F24" s="184" t="n">
        <v>0.92</v>
      </c>
      <c r="G24" s="184" t="n">
        <v>0.72</v>
      </c>
      <c r="H24" s="243" t="n">
        <v>1996.1</v>
      </c>
      <c r="I24" s="243" t="n">
        <v>571</v>
      </c>
      <c r="J24" s="186" t="n">
        <v>30.90000000000009</v>
      </c>
      <c r="K24" s="243" t="n">
        <v>56</v>
      </c>
      <c r="L24" s="243" t="n">
        <v>42</v>
      </c>
      <c r="M24" s="243" t="n">
        <v>17</v>
      </c>
      <c r="N24" s="547" t="n">
        <v>9200</v>
      </c>
      <c r="O24" s="548" t="n">
        <v>7200</v>
      </c>
      <c r="P24" s="512" t="n">
        <v>2000</v>
      </c>
      <c r="Q24" s="188" t="n">
        <v>0.7826086956521739</v>
      </c>
      <c r="R24" s="548" t="n">
        <v>12300</v>
      </c>
      <c r="S24" s="549" t="n">
        <v>9000</v>
      </c>
      <c r="T24" s="249" t="inlineStr">
        <is>
          <t>복도식</t>
        </is>
      </c>
      <c r="U24" s="243" t="n">
        <v>2</v>
      </c>
      <c r="V24" s="243" t="n">
        <v>1</v>
      </c>
      <c r="W24" s="243" t="n">
        <v>275</v>
      </c>
      <c r="X24" s="252" t="n">
        <v>2020.01</v>
      </c>
      <c r="Y24" s="252" t="n">
        <v>0.02</v>
      </c>
      <c r="Z24" s="190" t="n">
        <v>17</v>
      </c>
      <c r="AA24" s="514" t="n">
        <v>8400</v>
      </c>
      <c r="AB24" s="514" t="n">
        <v>7200</v>
      </c>
      <c r="AC24" s="191" t="e">
        <v>#DIV/0!</v>
      </c>
      <c r="AD24" s="192" t="n">
        <v>0</v>
      </c>
      <c r="AE24" s="226" t="n"/>
      <c r="AF24" s="542" t="n"/>
      <c r="AG24" s="543" t="n"/>
      <c r="AH24" s="199" t="n"/>
      <c r="AI24" s="200" t="n"/>
      <c r="AJ24" s="238" t="n"/>
    </row>
    <row r="25" ht="18" customHeight="1" s="476" thickBot="1">
      <c r="A25" s="182" t="inlineStr">
        <is>
          <t>홍도동</t>
        </is>
      </c>
      <c r="B25" s="183" t="inlineStr">
        <is>
          <t>중</t>
        </is>
      </c>
      <c r="C25" s="183" t="inlineStr">
        <is>
          <t>하</t>
        </is>
      </c>
      <c r="D25" s="217" t="inlineStr">
        <is>
          <t>홍도서우</t>
        </is>
      </c>
      <c r="E25" s="184" t="n">
        <v>18</v>
      </c>
      <c r="F25" s="184" t="n">
        <v>0.9</v>
      </c>
      <c r="G25" s="184" t="n">
        <v>0.85</v>
      </c>
      <c r="H25" s="185" t="n">
        <v>1996.1</v>
      </c>
      <c r="I25" s="185" t="n">
        <v>571</v>
      </c>
      <c r="J25" s="186" t="n">
        <v>30.90000000000009</v>
      </c>
      <c r="K25" s="185" t="n">
        <v>61</v>
      </c>
      <c r="L25" s="185" t="n">
        <v>45</v>
      </c>
      <c r="M25" s="185" t="n">
        <v>18</v>
      </c>
      <c r="N25" s="550" t="n">
        <v>9000</v>
      </c>
      <c r="O25" s="551" t="n">
        <v>8500</v>
      </c>
      <c r="P25" s="512" t="n">
        <v>500</v>
      </c>
      <c r="Q25" s="188" t="n">
        <v>0.9444444444444444</v>
      </c>
      <c r="R25" s="551" t="n">
        <v>13500</v>
      </c>
      <c r="S25" s="552" t="n">
        <v>12000</v>
      </c>
      <c r="T25" s="207" t="inlineStr">
        <is>
          <t>복도식</t>
        </is>
      </c>
      <c r="U25" s="185" t="n">
        <v>2</v>
      </c>
      <c r="V25" s="185" t="n">
        <v>1</v>
      </c>
      <c r="W25" s="185" t="n">
        <v>124</v>
      </c>
      <c r="X25" s="251" t="n">
        <v>2020.05</v>
      </c>
      <c r="Y25" s="251" t="n">
        <v>0.05</v>
      </c>
      <c r="Z25" s="190" t="n">
        <v>18</v>
      </c>
      <c r="AA25" s="514" t="n">
        <v>9260</v>
      </c>
      <c r="AB25" s="514" t="n">
        <v>8125</v>
      </c>
      <c r="AC25" s="191" t="e">
        <v>#DIV/0!</v>
      </c>
      <c r="AD25" s="192" t="n">
        <v>0</v>
      </c>
      <c r="AE25" s="226" t="n"/>
      <c r="AF25" s="542" t="n"/>
      <c r="AG25" s="543" t="n"/>
      <c r="AH25" s="199" t="n"/>
      <c r="AI25" s="200" t="n"/>
      <c r="AJ25" s="238" t="n"/>
    </row>
    <row r="26" ht="18" customHeight="1" s="476">
      <c r="A26" s="48" t="inlineStr">
        <is>
          <t>홍도동</t>
        </is>
      </c>
      <c r="B26" s="163" t="inlineStr">
        <is>
          <t>중</t>
        </is>
      </c>
      <c r="C26" s="163" t="inlineStr">
        <is>
          <t>상</t>
        </is>
      </c>
      <c r="D26" s="218" t="inlineStr">
        <is>
          <t>홍도갤러리휴리움</t>
        </is>
      </c>
      <c r="E26" s="34" t="n">
        <v>30</v>
      </c>
      <c r="F26" s="34" t="n">
        <v>3.5</v>
      </c>
      <c r="G26" s="34" t="n">
        <v>2.4</v>
      </c>
      <c r="H26" s="40" t="n">
        <v>2023.02</v>
      </c>
      <c r="I26" s="40" t="n">
        <v>419</v>
      </c>
      <c r="J26" s="35" t="n">
        <v>3.980000000000018</v>
      </c>
      <c r="K26" s="40" t="n">
        <v>98</v>
      </c>
      <c r="L26" s="40" t="n">
        <v>74</v>
      </c>
      <c r="M26" s="40" t="n">
        <v>30</v>
      </c>
      <c r="N26" s="527" t="n">
        <v>35000</v>
      </c>
      <c r="O26" s="528" t="n">
        <v>24000</v>
      </c>
      <c r="P26" s="524" t="n">
        <v>11000</v>
      </c>
      <c r="Q26" s="168" t="n">
        <v>0.6857142857142857</v>
      </c>
      <c r="R26" s="528" t="n">
        <v>36000</v>
      </c>
      <c r="S26" s="529" t="n">
        <v>32500</v>
      </c>
      <c r="T26" s="58" t="inlineStr">
        <is>
          <t>계단식</t>
        </is>
      </c>
      <c r="U26" s="40" t="n">
        <v>3</v>
      </c>
      <c r="V26" s="40" t="n">
        <v>2</v>
      </c>
      <c r="W26" s="40" t="n">
        <v>85</v>
      </c>
      <c r="X26" s="93" t="n"/>
      <c r="Y26" s="93" t="n"/>
      <c r="Z26" s="169" t="n">
        <v>30</v>
      </c>
      <c r="AA26" s="526" t="n"/>
      <c r="AB26" s="526" t="n"/>
      <c r="AC26" s="170" t="e">
        <v>#DIV/0!</v>
      </c>
      <c r="AD26" s="171" t="n">
        <v>0</v>
      </c>
      <c r="AE26" s="458" t="n"/>
      <c r="AF26" s="536" t="n"/>
      <c r="AG26" s="537" t="n"/>
      <c r="AH26" s="122" t="n"/>
      <c r="AI26" s="175" t="n"/>
      <c r="AJ26" s="238" t="n"/>
      <c r="AS26" s="458" t="n"/>
    </row>
    <row r="27" ht="18" customHeight="1" s="476">
      <c r="A27" s="48" t="inlineStr">
        <is>
          <t>홍도동</t>
        </is>
      </c>
      <c r="B27" s="174" t="inlineStr">
        <is>
          <t>중</t>
        </is>
      </c>
      <c r="C27" s="221" t="inlineStr">
        <is>
          <t>상</t>
        </is>
      </c>
      <c r="D27" s="218" t="inlineStr">
        <is>
          <t>홍도갤러리휴리움</t>
        </is>
      </c>
      <c r="E27" s="34" t="n">
        <v>24</v>
      </c>
      <c r="F27" s="34" t="n">
        <v>2.9</v>
      </c>
      <c r="G27" s="34" t="n">
        <v>2.35</v>
      </c>
      <c r="H27" s="41" t="n">
        <v>2023.02</v>
      </c>
      <c r="I27" s="41" t="n">
        <v>419</v>
      </c>
      <c r="J27" s="35" t="n">
        <v>3.980000000000018</v>
      </c>
      <c r="K27" s="41" t="inlineStr">
        <is>
          <t>80B, 82A, 87C</t>
        </is>
      </c>
      <c r="L27" s="41" t="n">
        <v>59</v>
      </c>
      <c r="M27" s="41" t="n">
        <v>24</v>
      </c>
      <c r="N27" s="530" t="n">
        <v>29000</v>
      </c>
      <c r="O27" s="531" t="n">
        <v>23500</v>
      </c>
      <c r="P27" s="524" t="n">
        <v>5500</v>
      </c>
      <c r="Q27" s="168" t="n">
        <v>0.8103448275862069</v>
      </c>
      <c r="R27" s="531" t="n">
        <v>30000</v>
      </c>
      <c r="S27" s="532" t="n">
        <v>26500</v>
      </c>
      <c r="T27" s="59" t="inlineStr">
        <is>
          <t>계단식</t>
        </is>
      </c>
      <c r="U27" s="41" t="n">
        <v>3</v>
      </c>
      <c r="V27" s="41" t="n">
        <v>2</v>
      </c>
      <c r="W27" s="41" t="n">
        <v>206</v>
      </c>
      <c r="X27" s="93" t="n">
        <v>2024.06</v>
      </c>
      <c r="Y27" s="93" t="n">
        <v>0.02</v>
      </c>
      <c r="Z27" s="169" t="n">
        <v>24</v>
      </c>
      <c r="AA27" s="526" t="n">
        <v>27700</v>
      </c>
      <c r="AB27" s="526" t="n">
        <v>23000</v>
      </c>
      <c r="AC27" s="170" t="e">
        <v>#DIV/0!</v>
      </c>
      <c r="AD27" s="171" t="n">
        <v>0</v>
      </c>
      <c r="AE27" s="458" t="n"/>
      <c r="AF27" s="536" t="n"/>
      <c r="AG27" s="537" t="n"/>
      <c r="AH27" s="122" t="n"/>
      <c r="AI27" s="175" t="n"/>
      <c r="AJ27" s="238" t="n"/>
      <c r="AS27" s="236" t="n"/>
    </row>
    <row r="28" ht="18" customHeight="1" s="476">
      <c r="A28" s="48" t="inlineStr">
        <is>
          <t>홍도동</t>
        </is>
      </c>
      <c r="B28" s="174" t="inlineStr">
        <is>
          <t>중</t>
        </is>
      </c>
      <c r="C28" s="221" t="inlineStr">
        <is>
          <t>상</t>
        </is>
      </c>
      <c r="D28" s="218" t="inlineStr">
        <is>
          <t>홍도갤러리휴리움</t>
        </is>
      </c>
      <c r="E28" s="34" t="n">
        <v>22</v>
      </c>
      <c r="F28" s="34" t="n">
        <v>2.5</v>
      </c>
      <c r="G28" s="34" t="n">
        <v>2</v>
      </c>
      <c r="H28" s="41" t="n">
        <v>2023.02</v>
      </c>
      <c r="I28" s="41" t="n">
        <v>419</v>
      </c>
      <c r="J28" s="35" t="n">
        <v>3.980000000000018</v>
      </c>
      <c r="K28" s="41" t="inlineStr">
        <is>
          <t>71A, 72C, 74B</t>
        </is>
      </c>
      <c r="L28" s="41" t="n">
        <v>49</v>
      </c>
      <c r="M28" s="41" t="n">
        <v>22</v>
      </c>
      <c r="N28" s="530" t="n">
        <v>25000</v>
      </c>
      <c r="O28" s="531" t="n">
        <v>20000</v>
      </c>
      <c r="P28" s="524" t="n">
        <v>5000</v>
      </c>
      <c r="Q28" s="168" t="n">
        <v>0.8</v>
      </c>
      <c r="R28" s="531" t="n">
        <v>26800</v>
      </c>
      <c r="S28" s="532" t="n">
        <v>24500</v>
      </c>
      <c r="T28" s="59" t="inlineStr">
        <is>
          <t>계단식</t>
        </is>
      </c>
      <c r="U28" s="41" t="n">
        <v>2</v>
      </c>
      <c r="V28" s="41" t="n">
        <v>2</v>
      </c>
      <c r="W28" s="41" t="n">
        <v>128</v>
      </c>
      <c r="X28" s="93" t="n">
        <v>2025.12</v>
      </c>
      <c r="Y28" s="93" t="n">
        <v>0.01</v>
      </c>
      <c r="Z28" s="169" t="n">
        <v>22</v>
      </c>
      <c r="AA28" s="526" t="n">
        <v>25183</v>
      </c>
      <c r="AB28" s="526" t="n">
        <v>20300</v>
      </c>
      <c r="AC28" s="170" t="e">
        <v>#DIV/0!</v>
      </c>
      <c r="AD28" s="171" t="n">
        <v>0</v>
      </c>
      <c r="AE28" s="458" t="n"/>
      <c r="AF28" s="536" t="n"/>
      <c r="AG28" s="537" t="n"/>
      <c r="AH28" s="122" t="n"/>
      <c r="AI28" s="175" t="n"/>
      <c r="AJ28" s="238" t="n"/>
      <c r="AS28" s="236" t="n"/>
    </row>
    <row r="29" ht="18" customHeight="1" s="476" thickBot="1">
      <c r="A29" s="182" t="inlineStr">
        <is>
          <t>인동</t>
        </is>
      </c>
      <c r="B29" s="196" t="inlineStr">
        <is>
          <t>중</t>
        </is>
      </c>
      <c r="C29" s="220" t="inlineStr">
        <is>
          <t>하</t>
        </is>
      </c>
      <c r="D29" s="217" t="inlineStr">
        <is>
          <t>현대</t>
        </is>
      </c>
      <c r="E29" s="184" t="n">
        <v>29</v>
      </c>
      <c r="F29" s="184" t="n">
        <v>2.2</v>
      </c>
      <c r="G29" s="184" t="n">
        <v>1.3</v>
      </c>
      <c r="H29" s="201" t="n">
        <v>1987.06</v>
      </c>
      <c r="I29" s="201" t="n">
        <v>728</v>
      </c>
      <c r="J29" s="186" t="n">
        <v>39.94000000000005</v>
      </c>
      <c r="K29" s="201" t="n">
        <v>97</v>
      </c>
      <c r="L29" s="201" t="n">
        <v>79</v>
      </c>
      <c r="M29" s="201" t="n">
        <v>29</v>
      </c>
      <c r="N29" s="533" t="n">
        <v>22000</v>
      </c>
      <c r="O29" s="534" t="n">
        <v>13000</v>
      </c>
      <c r="P29" s="512" t="n">
        <v>9000</v>
      </c>
      <c r="Q29" s="188" t="n">
        <v>0.5909090909090909</v>
      </c>
      <c r="R29" s="534" t="n">
        <v>25500</v>
      </c>
      <c r="S29" s="535" t="n">
        <v>19000</v>
      </c>
      <c r="T29" s="202" t="inlineStr">
        <is>
          <t>계단식</t>
        </is>
      </c>
      <c r="U29" s="201" t="n">
        <v>3</v>
      </c>
      <c r="V29" s="201" t="n">
        <v>1</v>
      </c>
      <c r="W29" s="201" t="n">
        <v>52</v>
      </c>
      <c r="X29" s="190" t="n">
        <v>2020.01</v>
      </c>
      <c r="Y29" s="190" t="n">
        <v>0.01</v>
      </c>
      <c r="Z29" s="190" t="n">
        <v>29</v>
      </c>
      <c r="AA29" s="514" t="n">
        <v>15000</v>
      </c>
      <c r="AB29" s="514" t="n">
        <v>12000</v>
      </c>
      <c r="AC29" s="191" t="e">
        <v>#DIV/0!</v>
      </c>
      <c r="AD29" s="192" t="n">
        <v>0</v>
      </c>
      <c r="AE29" s="226" t="n"/>
      <c r="AF29" s="230" t="n"/>
      <c r="AG29" s="232" t="n"/>
      <c r="AH29" s="199" t="n"/>
      <c r="AI29" s="200" t="n"/>
      <c r="AJ29" s="238" t="n"/>
      <c r="AK29" s="15" t="n"/>
    </row>
    <row r="30" ht="18" customHeight="1" s="476">
      <c r="A30" s="182" t="inlineStr">
        <is>
          <t>인동</t>
        </is>
      </c>
      <c r="B30" s="183" t="inlineStr">
        <is>
          <t>중</t>
        </is>
      </c>
      <c r="C30" s="183" t="inlineStr">
        <is>
          <t>하</t>
        </is>
      </c>
      <c r="D30" s="217" t="inlineStr">
        <is>
          <t>현대</t>
        </is>
      </c>
      <c r="E30" s="184" t="n">
        <v>32</v>
      </c>
      <c r="F30" s="184" t="n">
        <v>2.2</v>
      </c>
      <c r="G30" s="184" t="n">
        <v>1.8</v>
      </c>
      <c r="H30" s="187" t="n">
        <v>1987.06</v>
      </c>
      <c r="I30" s="187" t="n">
        <v>728</v>
      </c>
      <c r="J30" s="186" t="n">
        <v>39.94000000000005</v>
      </c>
      <c r="K30" s="187" t="n">
        <v>104</v>
      </c>
      <c r="L30" s="187" t="n">
        <v>84</v>
      </c>
      <c r="M30" s="187" t="n">
        <v>32</v>
      </c>
      <c r="N30" s="510" t="n">
        <v>22000</v>
      </c>
      <c r="O30" s="511" t="n">
        <v>18000</v>
      </c>
      <c r="P30" s="512" t="n">
        <v>4000</v>
      </c>
      <c r="Q30" s="188" t="n">
        <v>0.8181818181818182</v>
      </c>
      <c r="R30" s="511" t="n">
        <v>27800</v>
      </c>
      <c r="S30" s="513" t="n">
        <v>19000</v>
      </c>
      <c r="T30" s="189" t="inlineStr">
        <is>
          <t>계단식</t>
        </is>
      </c>
      <c r="U30" s="187" t="n">
        <v>3</v>
      </c>
      <c r="V30" s="187" t="n">
        <v>1</v>
      </c>
      <c r="W30" s="187" t="n">
        <v>312</v>
      </c>
      <c r="X30" s="190" t="n">
        <v>2022.1</v>
      </c>
      <c r="Y30" s="190" t="n">
        <v>0.01</v>
      </c>
      <c r="Z30" s="190" t="n">
        <v>32</v>
      </c>
      <c r="AA30" s="514" t="n">
        <v>21633</v>
      </c>
      <c r="AB30" s="514" t="n">
        <v>17333</v>
      </c>
      <c r="AC30" s="191" t="e">
        <v>#DIV/0!</v>
      </c>
      <c r="AD30" s="192" t="n">
        <v>0</v>
      </c>
      <c r="AE30" s="226" t="n"/>
      <c r="AF30" s="230" t="n"/>
      <c r="AG30" s="232" t="n"/>
      <c r="AH30" s="199" t="n"/>
      <c r="AI30" s="200" t="n"/>
      <c r="AJ30" s="238" t="n"/>
    </row>
    <row r="31" ht="18" customFormat="1" customHeight="1" s="2">
      <c r="A31" s="182" t="inlineStr">
        <is>
          <t>인동</t>
        </is>
      </c>
      <c r="B31" s="196" t="inlineStr">
        <is>
          <t>중</t>
        </is>
      </c>
      <c r="C31" s="220" t="inlineStr">
        <is>
          <t>하</t>
        </is>
      </c>
      <c r="D31" s="217" t="inlineStr">
        <is>
          <t>현대</t>
        </is>
      </c>
      <c r="E31" s="184" t="n">
        <v>26</v>
      </c>
      <c r="F31" s="184" t="n">
        <v>2.1</v>
      </c>
      <c r="G31" s="184" t="n">
        <v>1.6</v>
      </c>
      <c r="H31" s="197" t="n">
        <v>1987.06</v>
      </c>
      <c r="I31" s="197" t="n">
        <v>728</v>
      </c>
      <c r="J31" s="186" t="n">
        <v>39.94000000000005</v>
      </c>
      <c r="K31" s="197" t="n">
        <v>86</v>
      </c>
      <c r="L31" s="197" t="n">
        <v>70</v>
      </c>
      <c r="M31" s="197" t="n">
        <v>26</v>
      </c>
      <c r="N31" s="517" t="n">
        <v>21000</v>
      </c>
      <c r="O31" s="518" t="n">
        <v>16000</v>
      </c>
      <c r="P31" s="512" t="n">
        <v>5000</v>
      </c>
      <c r="Q31" s="188" t="n">
        <v>0.7619047619047619</v>
      </c>
      <c r="R31" s="518" t="n">
        <v>25000</v>
      </c>
      <c r="S31" s="519" t="n">
        <v>17000</v>
      </c>
      <c r="T31" s="198" t="inlineStr">
        <is>
          <t>계단식</t>
        </is>
      </c>
      <c r="U31" s="197" t="n">
        <v>3</v>
      </c>
      <c r="V31" s="197" t="n">
        <v>1</v>
      </c>
      <c r="W31" s="197" t="n">
        <v>182</v>
      </c>
      <c r="X31" s="190" t="n">
        <v>2020.09</v>
      </c>
      <c r="Y31" s="190" t="n">
        <v>0.02</v>
      </c>
      <c r="Z31" s="190" t="n">
        <v>26</v>
      </c>
      <c r="AA31" s="514" t="n">
        <v>16838</v>
      </c>
      <c r="AB31" s="514" t="n">
        <v>14000</v>
      </c>
      <c r="AC31" s="191" t="e">
        <v>#DIV/0!</v>
      </c>
      <c r="AD31" s="192" t="n">
        <v>0</v>
      </c>
      <c r="AE31" s="226" t="n"/>
      <c r="AF31" s="230" t="n"/>
      <c r="AG31" s="232" t="n"/>
      <c r="AH31" s="234" t="n"/>
      <c r="AI31" s="200" t="n"/>
      <c r="AJ31" s="238" t="n"/>
      <c r="AK31" s="16" t="n"/>
    </row>
    <row r="32" ht="18" customFormat="1" customHeight="1" s="2">
      <c r="A32" s="182" t="inlineStr">
        <is>
          <t>인동</t>
        </is>
      </c>
      <c r="B32" s="196" t="inlineStr">
        <is>
          <t>중</t>
        </is>
      </c>
      <c r="C32" s="220" t="inlineStr">
        <is>
          <t>하</t>
        </is>
      </c>
      <c r="D32" s="217" t="inlineStr">
        <is>
          <t>현대</t>
        </is>
      </c>
      <c r="E32" s="184" t="n">
        <v>25</v>
      </c>
      <c r="F32" s="184" t="n">
        <v>1.8</v>
      </c>
      <c r="G32" s="184" t="n">
        <v>1.5</v>
      </c>
      <c r="H32" s="197" t="n">
        <v>1987.06</v>
      </c>
      <c r="I32" s="197" t="n">
        <v>728</v>
      </c>
      <c r="J32" s="186" t="n">
        <v>39.94000000000005</v>
      </c>
      <c r="K32" s="197" t="n">
        <v>81</v>
      </c>
      <c r="L32" s="197" t="n">
        <v>63</v>
      </c>
      <c r="M32" s="197" t="n">
        <v>25</v>
      </c>
      <c r="N32" s="517" t="n">
        <v>18000</v>
      </c>
      <c r="O32" s="518" t="n">
        <v>15000</v>
      </c>
      <c r="P32" s="512" t="n">
        <v>3000</v>
      </c>
      <c r="Q32" s="188" t="n">
        <v>0.8333333333333334</v>
      </c>
      <c r="R32" s="518" t="n">
        <v>23900</v>
      </c>
      <c r="S32" s="519" t="n">
        <v>16500</v>
      </c>
      <c r="T32" s="198" t="inlineStr">
        <is>
          <t>계단식</t>
        </is>
      </c>
      <c r="U32" s="197" t="n">
        <v>3</v>
      </c>
      <c r="V32" s="197" t="n">
        <v>1</v>
      </c>
      <c r="W32" s="197" t="n">
        <v>130</v>
      </c>
      <c r="X32" s="190" t="n"/>
      <c r="Y32" s="190" t="n"/>
      <c r="Z32" s="190" t="n">
        <v>25</v>
      </c>
      <c r="AA32" s="514" t="n"/>
      <c r="AB32" s="514" t="n"/>
      <c r="AC32" s="191" t="e">
        <v>#DIV/0!</v>
      </c>
      <c r="AD32" s="192" t="n">
        <v>0</v>
      </c>
      <c r="AE32" s="226" t="n"/>
      <c r="AF32" s="230" t="n"/>
      <c r="AG32" s="232" t="n"/>
      <c r="AH32" s="234" t="n"/>
      <c r="AI32" s="200" t="n"/>
      <c r="AJ32" s="238" t="n"/>
      <c r="AK32" s="16" t="n"/>
    </row>
    <row r="33" ht="18" customFormat="1" customHeight="1" s="2" thickBot="1">
      <c r="A33" s="182" t="inlineStr">
        <is>
          <t>인동</t>
        </is>
      </c>
      <c r="B33" s="213" t="inlineStr">
        <is>
          <t>중</t>
        </is>
      </c>
      <c r="C33" s="220" t="inlineStr">
        <is>
          <t>하</t>
        </is>
      </c>
      <c r="D33" s="217" t="inlineStr">
        <is>
          <t>현대</t>
        </is>
      </c>
      <c r="E33" s="184" t="n">
        <v>21</v>
      </c>
      <c r="F33" s="184" t="n">
        <v>1.35</v>
      </c>
      <c r="G33" s="184" t="n">
        <v>1.4</v>
      </c>
      <c r="H33" s="201" t="n">
        <v>1987.06</v>
      </c>
      <c r="I33" s="201" t="n">
        <v>728</v>
      </c>
      <c r="J33" s="186" t="n">
        <v>39.94000000000005</v>
      </c>
      <c r="K33" s="201" t="n">
        <v>70</v>
      </c>
      <c r="L33" s="201" t="n">
        <v>52</v>
      </c>
      <c r="M33" s="201" t="n">
        <v>21</v>
      </c>
      <c r="N33" s="533" t="n">
        <v>13500</v>
      </c>
      <c r="O33" s="534" t="n">
        <v>14000</v>
      </c>
      <c r="P33" s="512" t="n">
        <v>-500</v>
      </c>
      <c r="Q33" s="188" t="n">
        <v>1.037037037037037</v>
      </c>
      <c r="R33" s="534" t="n">
        <v>20500</v>
      </c>
      <c r="S33" s="535" t="n">
        <v>14500</v>
      </c>
      <c r="T33" s="202" t="inlineStr">
        <is>
          <t>계단식</t>
        </is>
      </c>
      <c r="U33" s="201" t="n">
        <v>3</v>
      </c>
      <c r="V33" s="201" t="n">
        <v>1</v>
      </c>
      <c r="W33" s="201" t="n">
        <v>52</v>
      </c>
      <c r="X33" s="190" t="n">
        <v>2021.09</v>
      </c>
      <c r="Y33" s="190" t="n">
        <v>0.03</v>
      </c>
      <c r="Z33" s="190" t="n">
        <v>21</v>
      </c>
      <c r="AA33" s="514" t="n">
        <v>13500</v>
      </c>
      <c r="AB33" s="514" t="n">
        <v>12500</v>
      </c>
      <c r="AC33" s="191" t="e">
        <v>#DIV/0!</v>
      </c>
      <c r="AD33" s="192" t="n">
        <v>0</v>
      </c>
      <c r="AE33" s="226" t="n"/>
      <c r="AF33" s="230" t="n"/>
      <c r="AG33" s="232" t="n"/>
      <c r="AH33" s="234" t="n"/>
      <c r="AI33" s="200" t="n"/>
      <c r="AJ33" s="238" t="n"/>
      <c r="AK33" s="16" t="n"/>
    </row>
    <row r="34" ht="18" customFormat="1" customHeight="1" s="2">
      <c r="A34" s="48" t="inlineStr">
        <is>
          <t>용운동</t>
        </is>
      </c>
      <c r="B34" s="163" t="inlineStr">
        <is>
          <t>하</t>
        </is>
      </c>
      <c r="C34" s="13" t="inlineStr">
        <is>
          <t>중</t>
        </is>
      </c>
      <c r="D34" s="218" t="inlineStr">
        <is>
          <t>한화꿈에그린</t>
        </is>
      </c>
      <c r="E34" s="34" t="n">
        <v>34</v>
      </c>
      <c r="F34" s="34" t="n">
        <v>2.8</v>
      </c>
      <c r="G34" s="34" t="n">
        <v>2.1</v>
      </c>
      <c r="H34" s="55" t="n">
        <v>2006.01</v>
      </c>
      <c r="I34" s="40" t="n">
        <v>641</v>
      </c>
      <c r="J34" s="35" t="n">
        <v>20.99000000000001</v>
      </c>
      <c r="K34" s="40" t="n">
        <v>112</v>
      </c>
      <c r="L34" s="40" t="n">
        <v>84</v>
      </c>
      <c r="M34" s="40" t="n">
        <v>34</v>
      </c>
      <c r="N34" s="527" t="n">
        <v>28000</v>
      </c>
      <c r="O34" s="528" t="n">
        <v>21000</v>
      </c>
      <c r="P34" s="524" t="n">
        <v>7000</v>
      </c>
      <c r="Q34" s="168" t="n">
        <v>0.75</v>
      </c>
      <c r="R34" s="528" t="n">
        <v>34000</v>
      </c>
      <c r="S34" s="529" t="n">
        <v>26000</v>
      </c>
      <c r="T34" s="58" t="inlineStr">
        <is>
          <t>계단식</t>
        </is>
      </c>
      <c r="U34" s="40" t="n">
        <v>3</v>
      </c>
      <c r="V34" s="40" t="n">
        <v>2</v>
      </c>
      <c r="W34" s="40" t="n">
        <v>435</v>
      </c>
      <c r="X34" s="169" t="n">
        <v>2020.1</v>
      </c>
      <c r="Y34" s="169" t="n">
        <v>0.02</v>
      </c>
      <c r="Z34" s="169" t="n">
        <v>34</v>
      </c>
      <c r="AA34" s="526" t="n">
        <v>25574</v>
      </c>
      <c r="AB34" s="526" t="n">
        <v>21429</v>
      </c>
      <c r="AC34" s="170" t="e">
        <v>#DIV/0!</v>
      </c>
      <c r="AD34" s="171" t="n">
        <v>0</v>
      </c>
      <c r="AE34" s="458" t="n"/>
      <c r="AF34" s="227" t="n"/>
      <c r="AG34" s="231" t="n"/>
      <c r="AH34" s="233" t="n"/>
      <c r="AI34" s="175" t="n"/>
      <c r="AJ34" s="238" t="n"/>
      <c r="AK34" s="1" t="n"/>
    </row>
    <row r="35" ht="18" customFormat="1" customHeight="1" s="2" thickBot="1">
      <c r="A35" s="48" t="inlineStr">
        <is>
          <t>용운동</t>
        </is>
      </c>
      <c r="B35" s="174" t="inlineStr">
        <is>
          <t>하</t>
        </is>
      </c>
      <c r="C35" s="221" t="inlineStr">
        <is>
          <t>중</t>
        </is>
      </c>
      <c r="D35" s="218" t="inlineStr">
        <is>
          <t>한화꿈에그린</t>
        </is>
      </c>
      <c r="E35" s="34" t="n">
        <v>37</v>
      </c>
      <c r="F35" s="34" t="n">
        <v>0</v>
      </c>
      <c r="G35" s="34" t="n">
        <v>0</v>
      </c>
      <c r="H35" s="56" t="n">
        <v>2006.01</v>
      </c>
      <c r="I35" s="42" t="n">
        <v>641</v>
      </c>
      <c r="J35" s="35" t="n">
        <v>20.99000000000001</v>
      </c>
      <c r="K35" s="42" t="n">
        <v>123</v>
      </c>
      <c r="L35" s="42" t="n">
        <v>93</v>
      </c>
      <c r="M35" s="42" t="n">
        <v>37</v>
      </c>
      <c r="N35" s="522" t="n">
        <v>0</v>
      </c>
      <c r="O35" s="523" t="n">
        <v>0</v>
      </c>
      <c r="P35" s="524" t="n">
        <v>0</v>
      </c>
      <c r="Q35" s="168" t="e">
        <v>#DIV/0!</v>
      </c>
      <c r="R35" s="523" t="n">
        <v>0</v>
      </c>
      <c r="S35" s="525" t="n">
        <v>0</v>
      </c>
      <c r="T35" s="60" t="inlineStr">
        <is>
          <t>계단식</t>
        </is>
      </c>
      <c r="U35" s="42" t="n">
        <v>3</v>
      </c>
      <c r="V35" s="42" t="n">
        <v>2</v>
      </c>
      <c r="W35" s="42" t="n">
        <v>30</v>
      </c>
      <c r="X35" s="169" t="n">
        <v>2020.11</v>
      </c>
      <c r="Y35" s="169" t="n">
        <v>0.02</v>
      </c>
      <c r="Z35" s="169" t="n">
        <v>37</v>
      </c>
      <c r="AA35" s="526" t="n">
        <v>28150</v>
      </c>
      <c r="AB35" s="526" t="n">
        <v>25000</v>
      </c>
      <c r="AC35" s="170" t="e">
        <v>#DIV/0!</v>
      </c>
      <c r="AD35" s="171" t="n">
        <v>0</v>
      </c>
      <c r="AE35" s="458" t="n"/>
      <c r="AF35" s="227" t="n"/>
      <c r="AG35" s="231" t="n"/>
      <c r="AH35" s="233" t="n"/>
      <c r="AI35" s="175" t="n"/>
      <c r="AJ35" s="238" t="n"/>
      <c r="AK35" s="1" t="n"/>
    </row>
    <row r="36" ht="18" customFormat="1" customHeight="1" s="2" thickBot="1">
      <c r="A36" s="48" t="inlineStr">
        <is>
          <t>용운동</t>
        </is>
      </c>
      <c r="B36" s="163" t="inlineStr">
        <is>
          <t>하</t>
        </is>
      </c>
      <c r="C36" s="163" t="inlineStr">
        <is>
          <t>중</t>
        </is>
      </c>
      <c r="D36" s="218" t="inlineStr">
        <is>
          <t>한화꿈에그린</t>
        </is>
      </c>
      <c r="E36" s="34" t="n">
        <v>46</v>
      </c>
      <c r="F36" s="34" t="n">
        <v>0</v>
      </c>
      <c r="G36" s="34" t="n">
        <v>0</v>
      </c>
      <c r="H36" s="43" t="n">
        <v>2006.01</v>
      </c>
      <c r="I36" s="43" t="n">
        <v>641</v>
      </c>
      <c r="J36" s="35" t="n">
        <v>20.99000000000001</v>
      </c>
      <c r="K36" s="43" t="n">
        <v>151</v>
      </c>
      <c r="L36" s="43" t="n">
        <v>122</v>
      </c>
      <c r="M36" s="43" t="n">
        <v>46</v>
      </c>
      <c r="N36" s="538" t="n">
        <v>0</v>
      </c>
      <c r="O36" s="539" t="n">
        <v>0</v>
      </c>
      <c r="P36" s="524" t="n">
        <v>0</v>
      </c>
      <c r="Q36" s="168" t="e">
        <v>#DIV/0!</v>
      </c>
      <c r="R36" s="528" t="n">
        <v>0</v>
      </c>
      <c r="S36" s="529" t="n">
        <v>0</v>
      </c>
      <c r="T36" s="61" t="inlineStr">
        <is>
          <t>계단식</t>
        </is>
      </c>
      <c r="U36" s="43" t="n">
        <v>4</v>
      </c>
      <c r="V36" s="43" t="n">
        <v>2</v>
      </c>
      <c r="W36" s="43" t="n">
        <v>120</v>
      </c>
      <c r="X36" s="169" t="n">
        <v>2020.11</v>
      </c>
      <c r="Y36" s="169" t="n">
        <v>0.03</v>
      </c>
      <c r="Z36" s="169" t="n">
        <v>46</v>
      </c>
      <c r="AA36" s="526" t="n">
        <v>28733</v>
      </c>
      <c r="AB36" s="526" t="n">
        <v>27000</v>
      </c>
      <c r="AC36" s="170" t="e">
        <v>#DIV/0!</v>
      </c>
      <c r="AD36" s="171" t="n">
        <v>0</v>
      </c>
      <c r="AE36" s="458" t="n"/>
      <c r="AF36" s="227" t="n"/>
      <c r="AG36" s="231" t="n"/>
      <c r="AH36" s="233" t="n"/>
      <c r="AI36" s="175" t="n"/>
      <c r="AJ36" s="238" t="n"/>
      <c r="AK36" s="16" t="n"/>
      <c r="AS36" s="458" t="n"/>
    </row>
    <row r="37" ht="18" customFormat="1" customHeight="1" s="2" thickBot="1">
      <c r="A37" s="48" t="inlineStr">
        <is>
          <t>용운동</t>
        </is>
      </c>
      <c r="B37" s="174" t="inlineStr">
        <is>
          <t>하</t>
        </is>
      </c>
      <c r="C37" s="221" t="inlineStr">
        <is>
          <t>중</t>
        </is>
      </c>
      <c r="D37" s="218" t="inlineStr">
        <is>
          <t>한화꿈에그린</t>
        </is>
      </c>
      <c r="E37" s="34" t="n">
        <v>52</v>
      </c>
      <c r="F37" s="34" t="n">
        <v>0</v>
      </c>
      <c r="G37" s="34" t="n">
        <v>0</v>
      </c>
      <c r="H37" s="41" t="n">
        <v>2006.01</v>
      </c>
      <c r="I37" s="41" t="n">
        <v>641</v>
      </c>
      <c r="J37" s="35" t="n">
        <v>20.99000000000001</v>
      </c>
      <c r="K37" s="48" t="n">
        <v>173</v>
      </c>
      <c r="L37" s="49" t="n">
        <v>140</v>
      </c>
      <c r="M37" s="50" t="n">
        <v>52</v>
      </c>
      <c r="N37" s="530" t="n">
        <v>0</v>
      </c>
      <c r="O37" s="531" t="n">
        <v>0</v>
      </c>
      <c r="P37" s="524" t="n">
        <v>0</v>
      </c>
      <c r="Q37" s="168" t="e">
        <v>#DIV/0!</v>
      </c>
      <c r="R37" s="531" t="n">
        <v>0</v>
      </c>
      <c r="S37" s="532" t="n">
        <v>0</v>
      </c>
      <c r="T37" s="59" t="inlineStr">
        <is>
          <t>계단식</t>
        </is>
      </c>
      <c r="U37" s="41" t="n">
        <v>4</v>
      </c>
      <c r="V37" s="41" t="n">
        <v>2</v>
      </c>
      <c r="W37" s="41" t="n">
        <v>56</v>
      </c>
      <c r="X37" s="169" t="n"/>
      <c r="Y37" s="169" t="n"/>
      <c r="Z37" s="169" t="n">
        <v>52</v>
      </c>
      <c r="AA37" s="526" t="n"/>
      <c r="AB37" s="526" t="n"/>
      <c r="AC37" s="170" t="e">
        <v>#DIV/0!</v>
      </c>
      <c r="AD37" s="171" t="n">
        <v>0</v>
      </c>
      <c r="AE37" s="458" t="n"/>
      <c r="AF37" s="227" t="n"/>
      <c r="AG37" s="231" t="n"/>
      <c r="AH37" s="233" t="n"/>
      <c r="AI37" s="175" t="n"/>
      <c r="AJ37" s="238" t="n"/>
      <c r="AK37" s="16" t="n"/>
      <c r="AS37" s="458" t="n"/>
    </row>
    <row r="38" ht="18" customFormat="1" customHeight="1" s="2" thickBot="1">
      <c r="A38" s="182" t="inlineStr">
        <is>
          <t>용전동</t>
        </is>
      </c>
      <c r="B38" s="196" t="inlineStr">
        <is>
          <t>하</t>
        </is>
      </c>
      <c r="C38" s="220" t="inlineStr">
        <is>
          <t>하</t>
        </is>
      </c>
      <c r="D38" s="217" t="inlineStr">
        <is>
          <t>한숲</t>
        </is>
      </c>
      <c r="E38" s="184" t="n">
        <v>32</v>
      </c>
      <c r="F38" s="184" t="n">
        <v>2.8</v>
      </c>
      <c r="G38" s="184" t="n">
        <v>2.2</v>
      </c>
      <c r="H38" s="201" t="n">
        <v>1999.08</v>
      </c>
      <c r="I38" s="201" t="n">
        <v>1036</v>
      </c>
      <c r="J38" s="186" t="n">
        <v>27.92000000000007</v>
      </c>
      <c r="K38" s="201" t="inlineStr">
        <is>
          <t>104A, 107B</t>
        </is>
      </c>
      <c r="L38" s="203" t="n">
        <v>84</v>
      </c>
      <c r="M38" s="201" t="n">
        <v>32</v>
      </c>
      <c r="N38" s="533" t="n">
        <v>28000</v>
      </c>
      <c r="O38" s="534" t="n">
        <v>22000</v>
      </c>
      <c r="P38" s="512" t="n">
        <v>6000</v>
      </c>
      <c r="Q38" s="188" t="n">
        <v>0.7857142857142857</v>
      </c>
      <c r="R38" s="534" t="n">
        <v>36000</v>
      </c>
      <c r="S38" s="535" t="n">
        <v>27500</v>
      </c>
      <c r="T38" s="202" t="inlineStr">
        <is>
          <t>계단식</t>
        </is>
      </c>
      <c r="U38" s="201" t="n">
        <v>3</v>
      </c>
      <c r="V38" s="201" t="n">
        <v>2</v>
      </c>
      <c r="W38" s="201" t="n">
        <v>528</v>
      </c>
      <c r="X38" s="190" t="n">
        <v>2020.09</v>
      </c>
      <c r="Y38" s="190" t="n">
        <v>0.01</v>
      </c>
      <c r="Z38" s="190" t="n">
        <v>32</v>
      </c>
      <c r="AA38" s="514" t="n">
        <v>24089</v>
      </c>
      <c r="AB38" s="514" t="n">
        <v>19333</v>
      </c>
      <c r="AC38" s="191" t="e">
        <v>#DIV/0!</v>
      </c>
      <c r="AD38" s="192" t="n">
        <v>0</v>
      </c>
      <c r="AE38" s="226" t="n"/>
      <c r="AF38" s="230" t="n"/>
      <c r="AG38" s="232" t="n"/>
      <c r="AH38" s="234" t="n"/>
      <c r="AI38" s="200" t="n"/>
      <c r="AJ38" s="238" t="n"/>
      <c r="AK38" s="1" t="n"/>
    </row>
    <row r="39" ht="18" customFormat="1" customHeight="1" s="2">
      <c r="A39" s="182" t="inlineStr">
        <is>
          <t>용전동</t>
        </is>
      </c>
      <c r="B39" s="183" t="inlineStr">
        <is>
          <t>하</t>
        </is>
      </c>
      <c r="C39" s="183" t="inlineStr">
        <is>
          <t>하</t>
        </is>
      </c>
      <c r="D39" s="217" t="inlineStr">
        <is>
          <t>한숲</t>
        </is>
      </c>
      <c r="E39" s="184" t="n">
        <v>24</v>
      </c>
      <c r="F39" s="184" t="n">
        <v>2.4</v>
      </c>
      <c r="G39" s="184" t="n">
        <v>2.1</v>
      </c>
      <c r="H39" s="246" t="n">
        <v>1999.08</v>
      </c>
      <c r="I39" s="187" t="n">
        <v>1036</v>
      </c>
      <c r="J39" s="186" t="n">
        <v>27.92000000000007</v>
      </c>
      <c r="K39" s="187" t="inlineStr">
        <is>
          <t>78A, 80B</t>
        </is>
      </c>
      <c r="L39" s="187" t="n">
        <v>59</v>
      </c>
      <c r="M39" s="187" t="n">
        <v>24</v>
      </c>
      <c r="N39" s="510" t="n">
        <v>24000</v>
      </c>
      <c r="O39" s="511" t="n">
        <v>21000</v>
      </c>
      <c r="P39" s="512" t="n">
        <v>3000</v>
      </c>
      <c r="Q39" s="188" t="n">
        <v>0.875</v>
      </c>
      <c r="R39" s="511" t="n">
        <v>28500</v>
      </c>
      <c r="S39" s="513" t="n">
        <v>21500</v>
      </c>
      <c r="T39" s="189" t="inlineStr">
        <is>
          <t>계단식</t>
        </is>
      </c>
      <c r="U39" s="187" t="n">
        <v>3</v>
      </c>
      <c r="V39" s="187" t="n">
        <v>1</v>
      </c>
      <c r="W39" s="187" t="n">
        <v>276</v>
      </c>
      <c r="X39" s="190" t="n">
        <v>2020.09</v>
      </c>
      <c r="Y39" s="190" t="n">
        <v>0.01</v>
      </c>
      <c r="Z39" s="190" t="n">
        <v>24</v>
      </c>
      <c r="AA39" s="514" t="n">
        <v>20323</v>
      </c>
      <c r="AB39" s="514" t="n">
        <v>17500</v>
      </c>
      <c r="AC39" s="191" t="e">
        <v>#DIV/0!</v>
      </c>
      <c r="AD39" s="192" t="n">
        <v>0</v>
      </c>
      <c r="AE39" s="226" t="n"/>
      <c r="AF39" s="230" t="n"/>
      <c r="AG39" s="232" t="n"/>
      <c r="AH39" s="234" t="n"/>
      <c r="AI39" s="200" t="n"/>
      <c r="AJ39" s="238" t="n"/>
      <c r="AK39" s="1" t="n"/>
    </row>
    <row r="40" ht="18" customFormat="1" customHeight="1" s="2">
      <c r="A40" s="182" t="inlineStr">
        <is>
          <t>용전동</t>
        </is>
      </c>
      <c r="B40" s="196" t="inlineStr">
        <is>
          <t>하</t>
        </is>
      </c>
      <c r="C40" s="220" t="inlineStr">
        <is>
          <t>하</t>
        </is>
      </c>
      <c r="D40" s="217" t="inlineStr">
        <is>
          <t>한숲</t>
        </is>
      </c>
      <c r="E40" s="184" t="n">
        <v>37</v>
      </c>
      <c r="F40" s="184" t="n">
        <v>0</v>
      </c>
      <c r="G40" s="184" t="n">
        <v>0</v>
      </c>
      <c r="H40" s="245" t="n">
        <v>1999.08</v>
      </c>
      <c r="I40" s="197" t="n">
        <v>1036</v>
      </c>
      <c r="J40" s="186" t="n">
        <v>27.92000000000007</v>
      </c>
      <c r="K40" s="197" t="n">
        <v>123</v>
      </c>
      <c r="L40" s="197" t="n">
        <v>99</v>
      </c>
      <c r="M40" s="197" t="n">
        <v>37</v>
      </c>
      <c r="N40" s="517" t="n">
        <v>0</v>
      </c>
      <c r="O40" s="518" t="n">
        <v>0</v>
      </c>
      <c r="P40" s="512" t="n">
        <v>0</v>
      </c>
      <c r="Q40" s="188" t="e">
        <v>#DIV/0!</v>
      </c>
      <c r="R40" s="518" t="n">
        <v>0</v>
      </c>
      <c r="S40" s="519" t="n">
        <v>0</v>
      </c>
      <c r="T40" s="198" t="inlineStr">
        <is>
          <t>계단식</t>
        </is>
      </c>
      <c r="U40" s="197" t="n">
        <v>3</v>
      </c>
      <c r="V40" s="197" t="n">
        <v>2</v>
      </c>
      <c r="W40" s="197" t="n">
        <v>72</v>
      </c>
      <c r="X40" s="190" t="n">
        <v>2022.06</v>
      </c>
      <c r="Y40" s="190" t="n">
        <v>0.03</v>
      </c>
      <c r="Z40" s="190" t="n">
        <v>37</v>
      </c>
      <c r="AA40" s="514" t="n">
        <v>35000</v>
      </c>
      <c r="AB40" s="514" t="n">
        <v>30000</v>
      </c>
      <c r="AC40" s="191" t="e">
        <v>#DIV/0!</v>
      </c>
      <c r="AD40" s="192" t="n">
        <v>0</v>
      </c>
      <c r="AE40" s="226" t="n"/>
      <c r="AF40" s="230" t="n"/>
      <c r="AG40" s="232" t="n"/>
      <c r="AH40" s="234" t="n"/>
      <c r="AI40" s="200" t="n"/>
      <c r="AJ40" s="238" t="n"/>
      <c r="AK40" s="1" t="n"/>
    </row>
    <row r="41" ht="16" customFormat="1" customHeight="1" s="2" thickBot="1">
      <c r="A41" s="182" t="inlineStr">
        <is>
          <t>용전동</t>
        </is>
      </c>
      <c r="B41" s="196" t="inlineStr">
        <is>
          <t>하</t>
        </is>
      </c>
      <c r="C41" s="220" t="inlineStr">
        <is>
          <t>하</t>
        </is>
      </c>
      <c r="D41" s="217" t="inlineStr">
        <is>
          <t>한숲</t>
        </is>
      </c>
      <c r="E41" s="184" t="n">
        <v>42</v>
      </c>
      <c r="F41" s="184" t="n">
        <v>0</v>
      </c>
      <c r="G41" s="184" t="n">
        <v>0</v>
      </c>
      <c r="H41" s="244" t="n">
        <v>1999.08</v>
      </c>
      <c r="I41" s="205" t="n">
        <v>1036</v>
      </c>
      <c r="J41" s="186" t="n">
        <v>27.92000000000007</v>
      </c>
      <c r="K41" s="205" t="n">
        <v>139</v>
      </c>
      <c r="L41" s="205" t="n">
        <v>114</v>
      </c>
      <c r="M41" s="205" t="n">
        <v>42</v>
      </c>
      <c r="N41" s="544" t="n">
        <v>0</v>
      </c>
      <c r="O41" s="545" t="n">
        <v>0</v>
      </c>
      <c r="P41" s="512" t="n">
        <v>0</v>
      </c>
      <c r="Q41" s="188" t="e">
        <v>#DIV/0!</v>
      </c>
      <c r="R41" s="545" t="n">
        <v>0</v>
      </c>
      <c r="S41" s="546" t="n">
        <v>0</v>
      </c>
      <c r="T41" s="206" t="inlineStr">
        <is>
          <t>계단식</t>
        </is>
      </c>
      <c r="U41" s="205" t="n">
        <v>4</v>
      </c>
      <c r="V41" s="205" t="n">
        <v>2</v>
      </c>
      <c r="W41" s="205" t="n">
        <v>160</v>
      </c>
      <c r="X41" s="190" t="n">
        <v>2021.06</v>
      </c>
      <c r="Y41" s="190" t="n">
        <v>0.02</v>
      </c>
      <c r="Z41" s="190" t="n">
        <v>42</v>
      </c>
      <c r="AA41" s="514" t="n">
        <v>33875</v>
      </c>
      <c r="AB41" s="514" t="n">
        <v>28000</v>
      </c>
      <c r="AC41" s="191" t="e">
        <v>#DIV/0!</v>
      </c>
      <c r="AD41" s="192" t="n">
        <v>0</v>
      </c>
      <c r="AE41" s="226" t="n"/>
      <c r="AF41" s="230" t="n"/>
      <c r="AG41" s="232" t="n"/>
      <c r="AH41" s="234" t="n"/>
      <c r="AI41" s="200" t="n"/>
      <c r="AJ41" s="238" t="n"/>
      <c r="AK41" s="1" t="n"/>
    </row>
    <row r="42" ht="16" customFormat="1" customHeight="1" s="2" thickBot="1">
      <c r="A42" s="48" t="inlineStr">
        <is>
          <t>삼성동</t>
        </is>
      </c>
      <c r="B42" s="163" t="inlineStr">
        <is>
          <t>하</t>
        </is>
      </c>
      <c r="C42" s="163" t="inlineStr">
        <is>
          <t>상</t>
        </is>
      </c>
      <c r="D42" s="218" t="inlineStr">
        <is>
          <t>한밭자이</t>
        </is>
      </c>
      <c r="E42" s="34" t="n">
        <v>35</v>
      </c>
      <c r="F42" s="34" t="n">
        <v>3.5</v>
      </c>
      <c r="G42" s="34" t="n">
        <v>3.2</v>
      </c>
      <c r="H42" s="40" t="n">
        <v>2006.08</v>
      </c>
      <c r="I42" s="40" t="n">
        <v>1063</v>
      </c>
      <c r="J42" s="35" t="n">
        <v>20.92000000000007</v>
      </c>
      <c r="K42" s="40" t="inlineStr">
        <is>
          <t>114, 117</t>
        </is>
      </c>
      <c r="L42" s="43" t="n">
        <v>84</v>
      </c>
      <c r="M42" s="40" t="n">
        <v>35</v>
      </c>
      <c r="N42" s="527" t="n">
        <v>35000</v>
      </c>
      <c r="O42" s="528" t="n">
        <v>32000</v>
      </c>
      <c r="P42" s="524" t="n">
        <v>3000</v>
      </c>
      <c r="Q42" s="168" t="n">
        <v>0.9142857142857143</v>
      </c>
      <c r="R42" s="528" t="n">
        <v>48000</v>
      </c>
      <c r="S42" s="529" t="n">
        <v>39000</v>
      </c>
      <c r="T42" s="58" t="inlineStr">
        <is>
          <t>계단식</t>
        </is>
      </c>
      <c r="U42" s="40" t="n">
        <v>3</v>
      </c>
      <c r="V42" s="40" t="n">
        <v>2</v>
      </c>
      <c r="W42" s="40" t="n">
        <v>739</v>
      </c>
      <c r="X42" s="169" t="n"/>
      <c r="Y42" s="169" t="n"/>
      <c r="Z42" s="169" t="n">
        <v>35</v>
      </c>
      <c r="AA42" s="526" t="n"/>
      <c r="AB42" s="526" t="n"/>
      <c r="AC42" s="170" t="e">
        <v>#DIV/0!</v>
      </c>
      <c r="AD42" s="171" t="n">
        <v>0</v>
      </c>
      <c r="AE42" s="458" t="n"/>
      <c r="AF42" s="227" t="n"/>
      <c r="AG42" s="231" t="n"/>
      <c r="AH42" s="233" t="n"/>
      <c r="AI42" s="175" t="n"/>
      <c r="AJ42" s="238" t="n"/>
      <c r="AK42" s="1" t="n"/>
      <c r="AS42" s="231" t="inlineStr">
        <is>
          <t>&gt;&gt;&gt; 외곽신축, 외곽 애매준신축, 외곽 비선호구축 등으로 단지 특징 기재</t>
        </is>
      </c>
    </row>
    <row r="43" ht="16" customFormat="1" customHeight="1" s="2" thickBot="1">
      <c r="A43" s="48" t="inlineStr">
        <is>
          <t>삼성동</t>
        </is>
      </c>
      <c r="B43" s="174" t="inlineStr">
        <is>
          <t>하</t>
        </is>
      </c>
      <c r="C43" s="221" t="inlineStr">
        <is>
          <t>상</t>
        </is>
      </c>
      <c r="D43" s="218" t="inlineStr">
        <is>
          <t>한밭자이</t>
        </is>
      </c>
      <c r="E43" s="34" t="n">
        <v>27</v>
      </c>
      <c r="F43" s="34" t="n">
        <v>2.9</v>
      </c>
      <c r="G43" s="34" t="n">
        <v>2.5</v>
      </c>
      <c r="H43" s="41" t="n">
        <v>2006.08</v>
      </c>
      <c r="I43" s="41" t="n">
        <v>1063</v>
      </c>
      <c r="J43" s="35" t="n">
        <v>20.92000000000007</v>
      </c>
      <c r="K43" s="48" t="n">
        <v>88</v>
      </c>
      <c r="L43" s="49" t="n">
        <v>59</v>
      </c>
      <c r="M43" s="50" t="n">
        <v>27</v>
      </c>
      <c r="N43" s="530" t="n">
        <v>29000</v>
      </c>
      <c r="O43" s="531" t="n">
        <v>25000</v>
      </c>
      <c r="P43" s="524" t="n">
        <v>4000</v>
      </c>
      <c r="Q43" s="168" t="n">
        <v>0.8620689655172413</v>
      </c>
      <c r="R43" s="531" t="n">
        <v>38000</v>
      </c>
      <c r="S43" s="532" t="n">
        <v>31500</v>
      </c>
      <c r="T43" s="59" t="inlineStr">
        <is>
          <t>계단식</t>
        </is>
      </c>
      <c r="U43" s="41" t="n">
        <v>3</v>
      </c>
      <c r="V43" s="41" t="n">
        <v>2</v>
      </c>
      <c r="W43" s="41" t="n">
        <v>204</v>
      </c>
      <c r="X43" s="169" t="n">
        <v>2022.03</v>
      </c>
      <c r="Y43" s="169" t="n">
        <v>0.01</v>
      </c>
      <c r="Z43" s="169" t="n">
        <v>27</v>
      </c>
      <c r="AA43" s="526" t="n">
        <v>34800</v>
      </c>
      <c r="AB43" s="526" t="n">
        <v>28714</v>
      </c>
      <c r="AC43" s="170" t="e">
        <v>#DIV/0!</v>
      </c>
      <c r="AD43" s="171" t="n">
        <v>0</v>
      </c>
      <c r="AE43" s="458" t="n"/>
      <c r="AF43" s="227" t="n"/>
      <c r="AG43" s="231" t="n"/>
      <c r="AH43" s="233" t="n"/>
      <c r="AI43" s="175" t="n"/>
      <c r="AJ43" s="238" t="n"/>
      <c r="AK43" s="1" t="n"/>
      <c r="AS43" s="231" t="e">
        <v>#NAME?</v>
      </c>
    </row>
    <row r="44" ht="15.5" customHeight="1" s="476">
      <c r="A44" s="48" t="inlineStr">
        <is>
          <t>삼성동</t>
        </is>
      </c>
      <c r="B44" s="174" t="inlineStr">
        <is>
          <t>하</t>
        </is>
      </c>
      <c r="C44" s="221" t="inlineStr">
        <is>
          <t>상</t>
        </is>
      </c>
      <c r="D44" s="218" t="inlineStr">
        <is>
          <t>한밭자이</t>
        </is>
      </c>
      <c r="E44" s="34" t="n">
        <v>50</v>
      </c>
      <c r="F44" s="34" t="n">
        <v>0</v>
      </c>
      <c r="G44" s="34" t="n">
        <v>0</v>
      </c>
      <c r="H44" s="41" t="n">
        <v>2006.08</v>
      </c>
      <c r="I44" s="41" t="n">
        <v>1063</v>
      </c>
      <c r="J44" s="35" t="n">
        <v>20.92000000000007</v>
      </c>
      <c r="K44" s="41" t="n">
        <v>164</v>
      </c>
      <c r="L44" s="51" t="n">
        <v>134</v>
      </c>
      <c r="M44" s="41" t="n">
        <v>50</v>
      </c>
      <c r="N44" s="530" t="n">
        <v>0</v>
      </c>
      <c r="O44" s="531" t="n">
        <v>0</v>
      </c>
      <c r="P44" s="524" t="n">
        <v>0</v>
      </c>
      <c r="Q44" s="168" t="e">
        <v>#DIV/0!</v>
      </c>
      <c r="R44" s="531" t="n">
        <v>0</v>
      </c>
      <c r="S44" s="532" t="n">
        <v>0</v>
      </c>
      <c r="T44" s="59" t="inlineStr">
        <is>
          <t>계단식</t>
        </is>
      </c>
      <c r="U44" s="41" t="n">
        <v>4</v>
      </c>
      <c r="V44" s="41" t="n">
        <v>2</v>
      </c>
      <c r="W44" s="41" t="n">
        <v>120</v>
      </c>
      <c r="X44" s="169" t="n"/>
      <c r="Y44" s="169" t="n"/>
      <c r="Z44" s="169" t="n">
        <v>50</v>
      </c>
      <c r="AA44" s="526" t="n"/>
      <c r="AB44" s="526" t="n"/>
      <c r="AC44" s="170" t="e">
        <v>#DIV/0!</v>
      </c>
      <c r="AD44" s="171" t="n">
        <v>0</v>
      </c>
      <c r="AE44" s="458" t="n"/>
      <c r="AF44" s="227" t="n"/>
      <c r="AG44" s="231" t="n"/>
      <c r="AH44" s="122" t="n"/>
      <c r="AI44" s="175" t="n"/>
      <c r="AJ44" s="238" t="n"/>
    </row>
    <row r="45" ht="16" customHeight="1" s="476" thickBot="1">
      <c r="A45" s="182" t="inlineStr">
        <is>
          <t>대동</t>
        </is>
      </c>
      <c r="B45" s="196" t="inlineStr">
        <is>
          <t>상</t>
        </is>
      </c>
      <c r="C45" s="220" t="inlineStr">
        <is>
          <t>하</t>
        </is>
      </c>
      <c r="D45" s="217" t="inlineStr">
        <is>
          <t>펜타뷰</t>
        </is>
      </c>
      <c r="E45" s="184" t="n">
        <v>34</v>
      </c>
      <c r="F45" s="184" t="n">
        <v>4</v>
      </c>
      <c r="G45" s="184" t="n">
        <v>2.6</v>
      </c>
      <c r="H45" s="201" t="n">
        <v>2011.1</v>
      </c>
      <c r="I45" s="201" t="n">
        <v>767</v>
      </c>
      <c r="J45" s="186" t="n">
        <v>15.90000000000009</v>
      </c>
      <c r="K45" s="201" t="inlineStr">
        <is>
          <t>111D, 111E, 111B, 111C, 111A, 111B1, 111A1, 111D-1, 111E-1, 111A2, 111A3, 111F</t>
        </is>
      </c>
      <c r="L45" s="201" t="n">
        <v>84</v>
      </c>
      <c r="M45" s="201" t="n">
        <v>34</v>
      </c>
      <c r="N45" s="533" t="n">
        <v>40000</v>
      </c>
      <c r="O45" s="534" t="n">
        <v>26000</v>
      </c>
      <c r="P45" s="512" t="n">
        <v>14000</v>
      </c>
      <c r="Q45" s="188" t="n">
        <v>0.65</v>
      </c>
      <c r="R45" s="534" t="n">
        <v>54700</v>
      </c>
      <c r="S45" s="535" t="n">
        <v>3400</v>
      </c>
      <c r="T45" s="202" t="inlineStr">
        <is>
          <t>계단식</t>
        </is>
      </c>
      <c r="U45" s="201" t="n">
        <v>3</v>
      </c>
      <c r="V45" s="201" t="n">
        <v>2</v>
      </c>
      <c r="W45" s="201" t="n">
        <v>565</v>
      </c>
      <c r="X45" s="184" t="n"/>
      <c r="Y45" s="190" t="n"/>
      <c r="Z45" s="190" t="n">
        <v>34</v>
      </c>
      <c r="AA45" s="514" t="n"/>
      <c r="AB45" s="514" t="n"/>
      <c r="AC45" s="191" t="e">
        <v>#DIV/0!</v>
      </c>
      <c r="AD45" s="192" t="n">
        <v>0</v>
      </c>
      <c r="AE45" s="226" t="n"/>
      <c r="AF45" s="520" t="n"/>
      <c r="AG45" s="521" t="n">
        <v>0</v>
      </c>
      <c r="AH45" s="194" t="e">
        <v>#DIV/0!</v>
      </c>
      <c r="AI45" s="200" t="e">
        <v>#DIV/0!</v>
      </c>
      <c r="AJ45" s="238" t="n"/>
    </row>
    <row r="46" ht="31" customHeight="1" s="476">
      <c r="A46" s="182" t="inlineStr">
        <is>
          <t>대동</t>
        </is>
      </c>
      <c r="B46" s="183" t="inlineStr">
        <is>
          <t>상</t>
        </is>
      </c>
      <c r="C46" s="183" t="inlineStr">
        <is>
          <t>하</t>
        </is>
      </c>
      <c r="D46" s="217" t="inlineStr">
        <is>
          <t>펜타뷰</t>
        </is>
      </c>
      <c r="E46" s="184" t="n">
        <v>25</v>
      </c>
      <c r="F46" s="184" t="n">
        <v>3.2</v>
      </c>
      <c r="G46" s="184" t="n">
        <v>2.2</v>
      </c>
      <c r="H46" s="187" t="n">
        <v>2011.1</v>
      </c>
      <c r="I46" s="187" t="n">
        <v>767</v>
      </c>
      <c r="J46" s="186" t="n">
        <v>15.90000000000009</v>
      </c>
      <c r="K46" s="187" t="inlineStr">
        <is>
          <t>84A, 84B, 84C</t>
        </is>
      </c>
      <c r="L46" s="187" t="n">
        <v>59</v>
      </c>
      <c r="M46" s="187" t="n">
        <v>25</v>
      </c>
      <c r="N46" s="510" t="n">
        <v>32000</v>
      </c>
      <c r="O46" s="511" t="n">
        <v>22000</v>
      </c>
      <c r="P46" s="512" t="n">
        <v>10000</v>
      </c>
      <c r="Q46" s="188" t="n">
        <v>0.6875</v>
      </c>
      <c r="R46" s="511" t="n">
        <v>39000</v>
      </c>
      <c r="S46" s="513" t="n">
        <v>29000</v>
      </c>
      <c r="T46" s="189" t="inlineStr">
        <is>
          <t>계단식</t>
        </is>
      </c>
      <c r="U46" s="187" t="n">
        <v>3</v>
      </c>
      <c r="V46" s="187" t="n">
        <v>2</v>
      </c>
      <c r="W46" s="187" t="n">
        <v>126</v>
      </c>
      <c r="X46" s="184" t="n"/>
      <c r="Y46" s="190" t="n"/>
      <c r="Z46" s="190" t="n">
        <v>25</v>
      </c>
      <c r="AA46" s="514" t="n"/>
      <c r="AB46" s="514" t="n"/>
      <c r="AC46" s="191" t="e">
        <v>#DIV/0!</v>
      </c>
      <c r="AD46" s="192" t="n">
        <v>0</v>
      </c>
      <c r="AE46" s="226" t="n"/>
      <c r="AF46" s="520" t="n"/>
      <c r="AG46" s="521" t="n">
        <v>0</v>
      </c>
      <c r="AH46" s="235" t="e">
        <v>#DIV/0!</v>
      </c>
      <c r="AI46" s="200" t="e">
        <v>#DIV/0!</v>
      </c>
      <c r="AJ46" s="238" t="n"/>
    </row>
    <row r="47" ht="155.5" customHeight="1" s="476" thickBot="1">
      <c r="A47" s="182" t="inlineStr">
        <is>
          <t>대동</t>
        </is>
      </c>
      <c r="B47" s="196" t="inlineStr">
        <is>
          <t>상</t>
        </is>
      </c>
      <c r="C47" s="220" t="inlineStr">
        <is>
          <t>하</t>
        </is>
      </c>
      <c r="D47" s="217" t="inlineStr">
        <is>
          <t>펜타뷰</t>
        </is>
      </c>
      <c r="E47" s="184" t="n">
        <v>46</v>
      </c>
      <c r="F47" s="184" t="n">
        <v>0</v>
      </c>
      <c r="G47" s="184" t="n">
        <v>0</v>
      </c>
      <c r="H47" s="201" t="n">
        <v>2011.1</v>
      </c>
      <c r="I47" s="201" t="n">
        <v>767</v>
      </c>
      <c r="J47" s="186" t="n">
        <v>15.90000000000009</v>
      </c>
      <c r="K47" s="201" t="inlineStr">
        <is>
          <t>153A, 153A-1, 153B</t>
        </is>
      </c>
      <c r="L47" s="201" t="n">
        <v>118</v>
      </c>
      <c r="M47" s="201" t="n">
        <v>46</v>
      </c>
      <c r="N47" s="533" t="n">
        <v>0</v>
      </c>
      <c r="O47" s="534" t="n">
        <v>0</v>
      </c>
      <c r="P47" s="512" t="n">
        <v>0</v>
      </c>
      <c r="Q47" s="188" t="e">
        <v>#DIV/0!</v>
      </c>
      <c r="R47" s="534" t="n">
        <v>0</v>
      </c>
      <c r="S47" s="535" t="n">
        <v>0</v>
      </c>
      <c r="T47" s="202" t="inlineStr">
        <is>
          <t>계단식</t>
        </is>
      </c>
      <c r="U47" s="201" t="n">
        <v>4</v>
      </c>
      <c r="V47" s="201" t="n">
        <v>2</v>
      </c>
      <c r="W47" s="201" t="n">
        <v>68</v>
      </c>
      <c r="X47" s="190" t="n"/>
      <c r="Y47" s="190" t="n"/>
      <c r="Z47" s="190" t="n">
        <v>46</v>
      </c>
      <c r="AA47" s="514" t="n"/>
      <c r="AB47" s="514" t="n"/>
      <c r="AC47" s="191" t="e">
        <v>#DIV/0!</v>
      </c>
      <c r="AD47" s="192" t="n">
        <v>0</v>
      </c>
      <c r="AE47" s="226" t="n"/>
      <c r="AF47" s="230" t="n"/>
      <c r="AG47" s="232" t="n"/>
      <c r="AH47" s="234" t="n"/>
      <c r="AI47" s="200" t="n"/>
      <c r="AJ47" s="238" t="n"/>
    </row>
    <row r="48" ht="31" customHeight="1" s="476">
      <c r="A48" s="182" t="inlineStr">
        <is>
          <t>대동</t>
        </is>
      </c>
      <c r="B48" s="183" t="inlineStr">
        <is>
          <t>상</t>
        </is>
      </c>
      <c r="C48" s="183" t="inlineStr">
        <is>
          <t>하</t>
        </is>
      </c>
      <c r="D48" s="217" t="inlineStr">
        <is>
          <t>펜타뷰</t>
        </is>
      </c>
      <c r="E48" s="184" t="n">
        <v>46</v>
      </c>
      <c r="F48" s="184" t="n">
        <v>0</v>
      </c>
      <c r="G48" s="184" t="n">
        <v>0</v>
      </c>
      <c r="H48" s="187" t="n">
        <v>2011.1</v>
      </c>
      <c r="I48" s="187" t="n">
        <v>767</v>
      </c>
      <c r="J48" s="186" t="n">
        <v>15.90000000000009</v>
      </c>
      <c r="K48" s="187" t="inlineStr">
        <is>
          <t>153C, 153D</t>
        </is>
      </c>
      <c r="L48" s="187" t="n">
        <v>118</v>
      </c>
      <c r="M48" s="187" t="n">
        <v>46</v>
      </c>
      <c r="N48" s="510" t="n">
        <v>0</v>
      </c>
      <c r="O48" s="511" t="n">
        <v>0</v>
      </c>
      <c r="P48" s="512" t="n">
        <v>0</v>
      </c>
      <c r="Q48" s="188" t="e">
        <v>#DIV/0!</v>
      </c>
      <c r="R48" s="511" t="n">
        <v>0</v>
      </c>
      <c r="S48" s="513" t="n">
        <v>0</v>
      </c>
      <c r="T48" s="189" t="inlineStr">
        <is>
          <t>계단식</t>
        </is>
      </c>
      <c r="U48" s="187" t="n">
        <v>4</v>
      </c>
      <c r="V48" s="187" t="n">
        <v>3</v>
      </c>
      <c r="W48" s="187" t="n">
        <v>8</v>
      </c>
      <c r="X48" s="190" t="n"/>
      <c r="Y48" s="190" t="n"/>
      <c r="Z48" s="190" t="n">
        <v>46</v>
      </c>
      <c r="AA48" s="514" t="n"/>
      <c r="AB48" s="514" t="n"/>
      <c r="AC48" s="191" t="e">
        <v>#DIV/0!</v>
      </c>
      <c r="AD48" s="192" t="n">
        <v>0</v>
      </c>
      <c r="AE48" s="226" t="n"/>
      <c r="AF48" s="230" t="n"/>
      <c r="AG48" s="232" t="n"/>
      <c r="AH48" s="234" t="n"/>
      <c r="AI48" s="200" t="n"/>
      <c r="AJ48" s="238" t="n"/>
    </row>
    <row r="49" ht="15.5" customHeight="1" s="476">
      <c r="A49" s="48" t="inlineStr">
        <is>
          <t>홍도동</t>
        </is>
      </c>
      <c r="B49" s="174" t="inlineStr">
        <is>
          <t>하</t>
        </is>
      </c>
      <c r="C49" s="221" t="inlineStr">
        <is>
          <t>하</t>
        </is>
      </c>
      <c r="D49" s="218" t="inlineStr">
        <is>
          <t>청룡</t>
        </is>
      </c>
      <c r="E49" s="34" t="n">
        <v>22</v>
      </c>
      <c r="F49" s="34" t="n">
        <v>1.9</v>
      </c>
      <c r="G49" s="34" t="n">
        <v>1</v>
      </c>
      <c r="H49" s="41" t="n">
        <v>1979.04</v>
      </c>
      <c r="I49" s="41" t="n">
        <v>425</v>
      </c>
      <c r="J49" s="35" t="n">
        <v>47.96000000000004</v>
      </c>
      <c r="K49" s="41" t="n">
        <v>74</v>
      </c>
      <c r="L49" s="41" t="n">
        <v>72</v>
      </c>
      <c r="M49" s="41" t="n">
        <v>22</v>
      </c>
      <c r="N49" s="530" t="n">
        <v>19000</v>
      </c>
      <c r="O49" s="531" t="n">
        <v>10000</v>
      </c>
      <c r="P49" s="524" t="n">
        <v>9000</v>
      </c>
      <c r="Q49" s="168" t="n">
        <v>0.5263157894736842</v>
      </c>
      <c r="R49" s="531" t="n">
        <v>18000</v>
      </c>
      <c r="S49" s="532" t="n">
        <v>14000</v>
      </c>
      <c r="T49" s="59" t="inlineStr">
        <is>
          <t>계단식</t>
        </is>
      </c>
      <c r="U49" s="41" t="n">
        <v>3</v>
      </c>
      <c r="V49" s="41" t="n">
        <v>1</v>
      </c>
      <c r="W49" s="41" t="n">
        <v>5</v>
      </c>
      <c r="X49" s="36" t="n"/>
      <c r="Y49" s="37" t="n"/>
      <c r="Z49" s="169" t="n">
        <v>22</v>
      </c>
      <c r="AA49" s="526" t="n"/>
      <c r="AB49" s="526" t="n"/>
      <c r="AC49" s="170" t="e">
        <v>#DIV/0!</v>
      </c>
      <c r="AD49" s="171" t="n">
        <v>0</v>
      </c>
      <c r="AE49" s="458" t="n"/>
      <c r="AF49" s="536" t="n"/>
      <c r="AG49" s="537" t="n"/>
      <c r="AH49" s="122" t="n"/>
      <c r="AI49" s="175" t="n"/>
      <c r="AJ49" s="238" t="n"/>
    </row>
    <row r="50" ht="16" customHeight="1" s="476" thickBot="1">
      <c r="A50" s="48" t="inlineStr">
        <is>
          <t>홍도동</t>
        </is>
      </c>
      <c r="B50" s="174" t="inlineStr">
        <is>
          <t>하</t>
        </is>
      </c>
      <c r="C50" s="221" t="inlineStr">
        <is>
          <t>하</t>
        </is>
      </c>
      <c r="D50" s="218" t="inlineStr">
        <is>
          <t>청룡</t>
        </is>
      </c>
      <c r="E50" s="34" t="n">
        <v>21</v>
      </c>
      <c r="F50" s="34" t="n">
        <v>1.4</v>
      </c>
      <c r="G50" s="34" t="n">
        <v>0.5</v>
      </c>
      <c r="H50" s="42" t="n">
        <v>1979.04</v>
      </c>
      <c r="I50" s="42" t="n">
        <v>425</v>
      </c>
      <c r="J50" s="35" t="n">
        <v>47.96000000000004</v>
      </c>
      <c r="K50" s="42" t="n">
        <v>68</v>
      </c>
      <c r="L50" s="42" t="n">
        <v>68</v>
      </c>
      <c r="M50" s="42" t="n">
        <v>21</v>
      </c>
      <c r="N50" s="522" t="n">
        <v>14000</v>
      </c>
      <c r="O50" s="523" t="n">
        <v>5000</v>
      </c>
      <c r="P50" s="524" t="n">
        <v>9000</v>
      </c>
      <c r="Q50" s="168" t="n">
        <v>0.3571428571428572</v>
      </c>
      <c r="R50" s="523" t="n">
        <v>15100</v>
      </c>
      <c r="S50" s="525" t="n">
        <v>12500</v>
      </c>
      <c r="T50" s="60" t="inlineStr">
        <is>
          <t>계단식</t>
        </is>
      </c>
      <c r="U50" s="42" t="n">
        <v>3</v>
      </c>
      <c r="V50" s="42" t="n">
        <v>1</v>
      </c>
      <c r="W50" s="42" t="n">
        <v>100</v>
      </c>
      <c r="X50" s="169" t="n"/>
      <c r="Y50" s="169" t="n"/>
      <c r="Z50" s="169" t="n">
        <v>21</v>
      </c>
      <c r="AA50" s="526" t="n"/>
      <c r="AB50" s="526" t="n"/>
      <c r="AC50" s="170" t="e">
        <v>#DIV/0!</v>
      </c>
      <c r="AD50" s="171" t="n">
        <v>0</v>
      </c>
      <c r="AE50" s="458" t="n"/>
      <c r="AF50" s="227" t="n"/>
      <c r="AG50" s="231" t="n"/>
      <c r="AH50" s="122" t="n"/>
      <c r="AI50" s="175" t="n"/>
      <c r="AJ50" s="238" t="n"/>
    </row>
    <row r="51" ht="31" customHeight="1" s="476">
      <c r="A51" s="48" t="inlineStr">
        <is>
          <t>홍도동</t>
        </is>
      </c>
      <c r="B51" s="163" t="inlineStr">
        <is>
          <t>하</t>
        </is>
      </c>
      <c r="C51" s="163" t="inlineStr">
        <is>
          <t>하</t>
        </is>
      </c>
      <c r="D51" s="218" t="inlineStr">
        <is>
          <t>청룡</t>
        </is>
      </c>
      <c r="E51" s="34" t="n">
        <v>20</v>
      </c>
      <c r="F51" s="34" t="n">
        <v>1.3</v>
      </c>
      <c r="G51" s="34" t="n">
        <v>0.45</v>
      </c>
      <c r="H51" s="40" t="n">
        <v>1979.04</v>
      </c>
      <c r="I51" s="40" t="n">
        <v>425</v>
      </c>
      <c r="J51" s="35" t="n">
        <v>47.96000000000004</v>
      </c>
      <c r="K51" s="40" t="n">
        <v>67</v>
      </c>
      <c r="L51" s="40" t="n">
        <v>65</v>
      </c>
      <c r="M51" s="40" t="n">
        <v>20</v>
      </c>
      <c r="N51" s="527" t="n">
        <v>13000</v>
      </c>
      <c r="O51" s="528" t="n">
        <v>4500</v>
      </c>
      <c r="P51" s="524" t="n">
        <v>8500</v>
      </c>
      <c r="Q51" s="168" t="n">
        <v>0.3461538461538461</v>
      </c>
      <c r="R51" s="528" t="n">
        <v>17500</v>
      </c>
      <c r="S51" s="529" t="n">
        <v>14500</v>
      </c>
      <c r="T51" s="58" t="inlineStr">
        <is>
          <t>계단식</t>
        </is>
      </c>
      <c r="U51" s="40" t="n">
        <v>3</v>
      </c>
      <c r="V51" s="40" t="n">
        <v>1</v>
      </c>
      <c r="W51" s="40" t="n">
        <v>90</v>
      </c>
      <c r="X51" s="169" t="n"/>
      <c r="Y51" s="169" t="n"/>
      <c r="Z51" s="169" t="n">
        <v>20</v>
      </c>
      <c r="AA51" s="526" t="n"/>
      <c r="AB51" s="526" t="n"/>
      <c r="AC51" s="170" t="e">
        <v>#DIV/0!</v>
      </c>
      <c r="AD51" s="171" t="n">
        <v>0</v>
      </c>
      <c r="AE51" s="458" t="n"/>
      <c r="AF51" s="227" t="n"/>
      <c r="AG51" s="231" t="n"/>
      <c r="AH51" s="122" t="n"/>
      <c r="AI51" s="175" t="n"/>
      <c r="AJ51" s="238" t="n"/>
    </row>
    <row r="52" ht="15.5" customHeight="1" s="476">
      <c r="A52" s="48" t="inlineStr">
        <is>
          <t>홍도동</t>
        </is>
      </c>
      <c r="B52" s="174" t="inlineStr">
        <is>
          <t>하</t>
        </is>
      </c>
      <c r="C52" s="221" t="inlineStr">
        <is>
          <t>하</t>
        </is>
      </c>
      <c r="D52" s="218" t="inlineStr">
        <is>
          <t>청룡</t>
        </is>
      </c>
      <c r="E52" s="34" t="n">
        <v>19</v>
      </c>
      <c r="F52" s="34" t="n">
        <v>1.23</v>
      </c>
      <c r="G52" s="34" t="n">
        <v>0.6</v>
      </c>
      <c r="H52" s="41" t="n">
        <v>1979.04</v>
      </c>
      <c r="I52" s="41" t="n">
        <v>425</v>
      </c>
      <c r="J52" s="35" t="n">
        <v>47.96000000000004</v>
      </c>
      <c r="K52" s="41" t="inlineStr">
        <is>
          <t>62A</t>
        </is>
      </c>
      <c r="L52" s="41" t="n">
        <v>60</v>
      </c>
      <c r="M52" s="41" t="n">
        <v>19</v>
      </c>
      <c r="N52" s="530" t="n">
        <v>12300</v>
      </c>
      <c r="O52" s="531" t="n">
        <v>6000</v>
      </c>
      <c r="P52" s="524" t="n">
        <v>6300</v>
      </c>
      <c r="Q52" s="168" t="n">
        <v>0.4878048780487805</v>
      </c>
      <c r="R52" s="531" t="n">
        <v>16000</v>
      </c>
      <c r="S52" s="532" t="n">
        <v>10500</v>
      </c>
      <c r="T52" s="59" t="inlineStr">
        <is>
          <t>계단식</t>
        </is>
      </c>
      <c r="U52" s="41" t="n">
        <v>3</v>
      </c>
      <c r="V52" s="41" t="n">
        <v>1</v>
      </c>
      <c r="W52" s="41" t="n">
        <v>5</v>
      </c>
      <c r="X52" s="169" t="n"/>
      <c r="Y52" s="169" t="n"/>
      <c r="Z52" s="169" t="n">
        <v>19</v>
      </c>
      <c r="AA52" s="526" t="n"/>
      <c r="AB52" s="526" t="n"/>
      <c r="AC52" s="170" t="e">
        <v>#DIV/0!</v>
      </c>
      <c r="AD52" s="171" t="n">
        <v>0</v>
      </c>
      <c r="AE52" s="458" t="n"/>
      <c r="AF52" s="227" t="n"/>
      <c r="AG52" s="231" t="n"/>
      <c r="AH52" s="122" t="n"/>
      <c r="AI52" s="175" t="n"/>
      <c r="AJ52" s="238" t="n"/>
    </row>
    <row r="53" ht="15.5" customHeight="1" s="476">
      <c r="A53" s="48" t="inlineStr">
        <is>
          <t>홍도동</t>
        </is>
      </c>
      <c r="B53" s="174" t="inlineStr">
        <is>
          <t>하</t>
        </is>
      </c>
      <c r="C53" s="221" t="inlineStr">
        <is>
          <t>하</t>
        </is>
      </c>
      <c r="D53" s="218" t="inlineStr">
        <is>
          <t>청룡</t>
        </is>
      </c>
      <c r="E53" s="34" t="n">
        <v>17</v>
      </c>
      <c r="F53" s="34" t="n">
        <v>1.1</v>
      </c>
      <c r="G53" s="34" t="n">
        <v>0.8</v>
      </c>
      <c r="H53" s="41" t="n">
        <v>1979.04</v>
      </c>
      <c r="I53" s="41" t="n">
        <v>425</v>
      </c>
      <c r="J53" s="35" t="n">
        <v>47.96000000000004</v>
      </c>
      <c r="K53" s="41" t="inlineStr">
        <is>
          <t>55A</t>
        </is>
      </c>
      <c r="L53" s="41" t="n">
        <v>54</v>
      </c>
      <c r="M53" s="41" t="n">
        <v>17</v>
      </c>
      <c r="N53" s="530" t="n">
        <v>11000</v>
      </c>
      <c r="O53" s="531" t="n">
        <v>8000</v>
      </c>
      <c r="P53" s="524" t="n">
        <v>3000</v>
      </c>
      <c r="Q53" s="168" t="n">
        <v>0.7272727272727273</v>
      </c>
      <c r="R53" s="531" t="n">
        <v>16500</v>
      </c>
      <c r="S53" s="532" t="n">
        <v>10000</v>
      </c>
      <c r="T53" s="59" t="inlineStr">
        <is>
          <t>계단식</t>
        </is>
      </c>
      <c r="U53" s="41" t="n">
        <v>2</v>
      </c>
      <c r="V53" s="41" t="n">
        <v>1</v>
      </c>
      <c r="W53" s="41" t="n">
        <v>60</v>
      </c>
      <c r="X53" s="169" t="n"/>
      <c r="Y53" s="169" t="n"/>
      <c r="Z53" s="169" t="n">
        <v>17</v>
      </c>
      <c r="AA53" s="526" t="n"/>
      <c r="AB53" s="526" t="n"/>
      <c r="AC53" s="170" t="e">
        <v>#DIV/0!</v>
      </c>
      <c r="AD53" s="171" t="n">
        <v>0</v>
      </c>
      <c r="AE53" s="458" t="n"/>
      <c r="AF53" s="227" t="n"/>
      <c r="AG53" s="231" t="n"/>
      <c r="AH53" s="122" t="n"/>
      <c r="AI53" s="175" t="n"/>
      <c r="AJ53" s="238" t="n"/>
    </row>
    <row r="54" ht="31.5" customHeight="1" s="476" thickBot="1">
      <c r="A54" s="48" t="inlineStr">
        <is>
          <t>홍도동</t>
        </is>
      </c>
      <c r="B54" s="174" t="inlineStr">
        <is>
          <t>하</t>
        </is>
      </c>
      <c r="C54" s="221" t="inlineStr">
        <is>
          <t>하</t>
        </is>
      </c>
      <c r="D54" s="218" t="inlineStr">
        <is>
          <t>청룡</t>
        </is>
      </c>
      <c r="E54" s="34" t="n">
        <v>18</v>
      </c>
      <c r="F54" s="34" t="n">
        <v>1</v>
      </c>
      <c r="G54" s="34" t="n">
        <v>0.6</v>
      </c>
      <c r="H54" s="42" t="n">
        <v>1979.04</v>
      </c>
      <c r="I54" s="42" t="n">
        <v>425</v>
      </c>
      <c r="J54" s="35" t="n">
        <v>47.96000000000004</v>
      </c>
      <c r="K54" s="42" t="inlineStr">
        <is>
          <t>61B</t>
        </is>
      </c>
      <c r="L54" s="42" t="n">
        <v>61</v>
      </c>
      <c r="M54" s="42" t="n">
        <v>18</v>
      </c>
      <c r="N54" s="522" t="n">
        <v>10000</v>
      </c>
      <c r="O54" s="523" t="n">
        <v>6000</v>
      </c>
      <c r="P54" s="524" t="n">
        <v>4000</v>
      </c>
      <c r="Q54" s="168" t="n">
        <v>0.6</v>
      </c>
      <c r="R54" s="523" t="n">
        <v>10000</v>
      </c>
      <c r="S54" s="525" t="n">
        <v>10000</v>
      </c>
      <c r="T54" s="60" t="inlineStr">
        <is>
          <t>계단식</t>
        </is>
      </c>
      <c r="U54" s="42" t="n">
        <v>3</v>
      </c>
      <c r="V54" s="42" t="n">
        <v>1</v>
      </c>
      <c r="W54" s="42" t="n">
        <v>5</v>
      </c>
      <c r="X54" s="169" t="n"/>
      <c r="Y54" s="169" t="n"/>
      <c r="Z54" s="169" t="n">
        <v>18</v>
      </c>
      <c r="AA54" s="526" t="n"/>
      <c r="AB54" s="526" t="n"/>
      <c r="AC54" s="170" t="e">
        <v>#DIV/0!</v>
      </c>
      <c r="AD54" s="171" t="n">
        <v>0</v>
      </c>
      <c r="AE54" s="458" t="n"/>
      <c r="AF54" s="227" t="n"/>
      <c r="AG54" s="231" t="n"/>
      <c r="AH54" s="122" t="n"/>
      <c r="AI54" s="175" t="n"/>
      <c r="AJ54" s="238" t="n"/>
    </row>
    <row r="55" ht="46.5" customHeight="1" s="476">
      <c r="A55" s="48" t="inlineStr">
        <is>
          <t>홍도동</t>
        </is>
      </c>
      <c r="B55" s="163" t="inlineStr">
        <is>
          <t>하</t>
        </is>
      </c>
      <c r="C55" s="163" t="inlineStr">
        <is>
          <t>하</t>
        </is>
      </c>
      <c r="D55" s="218" t="inlineStr">
        <is>
          <t>청룡</t>
        </is>
      </c>
      <c r="E55" s="34" t="n">
        <v>17</v>
      </c>
      <c r="F55" s="34" t="n">
        <v>0.98</v>
      </c>
      <c r="G55" s="34" t="n">
        <v>0.8</v>
      </c>
      <c r="H55" s="40" t="n">
        <v>1979.04</v>
      </c>
      <c r="I55" s="40" t="n">
        <v>425</v>
      </c>
      <c r="J55" s="35" t="n">
        <v>47.96000000000004</v>
      </c>
      <c r="K55" s="40" t="inlineStr">
        <is>
          <t>55B</t>
        </is>
      </c>
      <c r="L55" s="40" t="n">
        <v>55</v>
      </c>
      <c r="M55" s="40" t="n">
        <v>17</v>
      </c>
      <c r="N55" s="527" t="n">
        <v>9800</v>
      </c>
      <c r="O55" s="528" t="n">
        <v>8000</v>
      </c>
      <c r="P55" s="524" t="n">
        <v>1800</v>
      </c>
      <c r="Q55" s="168" t="n">
        <v>0.8163265306122449</v>
      </c>
      <c r="R55" s="528" t="n">
        <v>15700</v>
      </c>
      <c r="S55" s="529" t="n">
        <v>8950</v>
      </c>
      <c r="T55" s="58" t="inlineStr">
        <is>
          <t>계단식</t>
        </is>
      </c>
      <c r="U55" s="40" t="n">
        <v>2</v>
      </c>
      <c r="V55" s="40" t="n">
        <v>1</v>
      </c>
      <c r="W55" s="40" t="n">
        <v>160</v>
      </c>
      <c r="X55" s="169" t="n"/>
      <c r="Y55" s="169" t="n"/>
      <c r="Z55" s="169" t="n">
        <v>17</v>
      </c>
      <c r="AA55" s="526" t="n"/>
      <c r="AB55" s="526" t="n"/>
      <c r="AC55" s="170" t="e">
        <v>#DIV/0!</v>
      </c>
      <c r="AD55" s="171" t="n">
        <v>0</v>
      </c>
      <c r="AE55" s="458" t="n"/>
      <c r="AF55" s="227" t="n"/>
      <c r="AG55" s="231" t="n"/>
      <c r="AH55" s="122" t="n"/>
      <c r="AI55" s="175" t="n"/>
      <c r="AJ55" s="238" t="n"/>
      <c r="AS55" s="458" t="n"/>
    </row>
    <row r="56" ht="31" customHeight="1" s="476">
      <c r="A56" s="182" t="inlineStr">
        <is>
          <t>삼성동</t>
        </is>
      </c>
      <c r="B56" s="183" t="inlineStr">
        <is>
          <t>하</t>
        </is>
      </c>
      <c r="C56" s="208" t="inlineStr">
        <is>
          <t>하</t>
        </is>
      </c>
      <c r="D56" s="217" t="inlineStr">
        <is>
          <t>주공삼성타운</t>
        </is>
      </c>
      <c r="E56" s="184" t="n">
        <v>35</v>
      </c>
      <c r="F56" s="184" t="n">
        <v>3</v>
      </c>
      <c r="G56" s="184" t="n">
        <v>1.95</v>
      </c>
      <c r="H56" s="197" t="n">
        <v>2007.09</v>
      </c>
      <c r="I56" s="197" t="n">
        <v>613</v>
      </c>
      <c r="J56" s="186" t="n">
        <v>19.91000000000008</v>
      </c>
      <c r="K56" s="197" t="n">
        <v>114</v>
      </c>
      <c r="L56" s="197" t="n">
        <v>84</v>
      </c>
      <c r="M56" s="197" t="n">
        <v>35</v>
      </c>
      <c r="N56" s="517" t="n">
        <v>30000</v>
      </c>
      <c r="O56" s="518" t="n">
        <v>19500</v>
      </c>
      <c r="P56" s="512" t="n">
        <v>10500</v>
      </c>
      <c r="Q56" s="188" t="n">
        <v>0.65</v>
      </c>
      <c r="R56" s="518" t="n">
        <v>34500</v>
      </c>
      <c r="S56" s="519" t="n">
        <v>27000</v>
      </c>
      <c r="T56" s="198" t="inlineStr">
        <is>
          <t>계단식</t>
        </is>
      </c>
      <c r="U56" s="197" t="n">
        <v>3</v>
      </c>
      <c r="V56" s="197" t="n">
        <v>2</v>
      </c>
      <c r="W56" s="197" t="n">
        <v>99</v>
      </c>
      <c r="X56" s="220" t="n">
        <v>2020.04</v>
      </c>
      <c r="Y56" s="220" t="n">
        <v>0.01</v>
      </c>
      <c r="Z56" s="190" t="n">
        <v>35</v>
      </c>
      <c r="AA56" s="514" t="n">
        <v>23450</v>
      </c>
      <c r="AB56" s="514" t="n">
        <v>19000</v>
      </c>
      <c r="AC56" s="191" t="e">
        <v>#DIV/0!</v>
      </c>
      <c r="AD56" s="192" t="n">
        <v>0</v>
      </c>
      <c r="AE56" s="209" t="n"/>
      <c r="AF56" s="230" t="n"/>
      <c r="AG56" s="232" t="n"/>
      <c r="AH56" s="199" t="n"/>
      <c r="AI56" s="200" t="n"/>
      <c r="AJ56" s="238" t="n"/>
    </row>
    <row r="57" ht="16" customHeight="1" s="476" thickBot="1">
      <c r="A57" s="182" t="inlineStr">
        <is>
          <t>삼성동</t>
        </is>
      </c>
      <c r="B57" s="196" t="inlineStr">
        <is>
          <t>하</t>
        </is>
      </c>
      <c r="C57" s="208" t="inlineStr">
        <is>
          <t>하</t>
        </is>
      </c>
      <c r="D57" s="217" t="inlineStr">
        <is>
          <t>주공삼성타운</t>
        </is>
      </c>
      <c r="E57" s="184" t="n">
        <v>24</v>
      </c>
      <c r="F57" s="184" t="n">
        <v>2.4</v>
      </c>
      <c r="G57" s="184" t="n">
        <v>2</v>
      </c>
      <c r="H57" s="205" t="n">
        <v>2007.09</v>
      </c>
      <c r="I57" s="205" t="n">
        <v>613</v>
      </c>
      <c r="J57" s="186" t="n">
        <v>19.91000000000008</v>
      </c>
      <c r="K57" s="205" t="n">
        <v>79</v>
      </c>
      <c r="L57" s="205" t="n">
        <v>59</v>
      </c>
      <c r="M57" s="205" t="n">
        <v>24</v>
      </c>
      <c r="N57" s="544" t="n">
        <v>24000</v>
      </c>
      <c r="O57" s="545" t="n">
        <v>20000</v>
      </c>
      <c r="P57" s="512" t="n">
        <v>4000</v>
      </c>
      <c r="Q57" s="188" t="n">
        <v>0.8333333333333334</v>
      </c>
      <c r="R57" s="545" t="n">
        <v>30000</v>
      </c>
      <c r="S57" s="546" t="n">
        <v>27000</v>
      </c>
      <c r="T57" s="206" t="inlineStr">
        <is>
          <t>계단식</t>
        </is>
      </c>
      <c r="U57" s="205" t="n">
        <v>3</v>
      </c>
      <c r="V57" s="205" t="n">
        <v>2</v>
      </c>
      <c r="W57" s="205" t="n">
        <v>87</v>
      </c>
      <c r="X57" s="220" t="n"/>
      <c r="Y57" s="220" t="n"/>
      <c r="Z57" s="190" t="n">
        <v>24</v>
      </c>
      <c r="AA57" s="514" t="n"/>
      <c r="AB57" s="514" t="n"/>
      <c r="AC57" s="191" t="e">
        <v>#DIV/0!</v>
      </c>
      <c r="AD57" s="192" t="n">
        <v>0</v>
      </c>
      <c r="AE57" s="209" t="n"/>
      <c r="AF57" s="230" t="n"/>
      <c r="AG57" s="232" t="n"/>
      <c r="AH57" s="199" t="n"/>
      <c r="AI57" s="200" t="n"/>
      <c r="AJ57" s="238" t="n"/>
      <c r="AS57" s="231" t="e">
        <v>#NAME?</v>
      </c>
    </row>
    <row r="58" ht="15.5" customHeight="1" s="476">
      <c r="A58" s="48" t="inlineStr">
        <is>
          <t>판암동</t>
        </is>
      </c>
      <c r="B58" s="163" t="inlineStr">
        <is>
          <t>중</t>
        </is>
      </c>
      <c r="C58" s="163" t="inlineStr">
        <is>
          <t>하</t>
        </is>
      </c>
      <c r="D58" s="218" t="inlineStr">
        <is>
          <t>주공6차</t>
        </is>
      </c>
      <c r="E58" s="34" t="n">
        <v>18</v>
      </c>
      <c r="F58" s="34" t="n">
        <v>0.83</v>
      </c>
      <c r="G58" s="34" t="n">
        <v>0.7</v>
      </c>
      <c r="H58" s="40" t="n">
        <v>1992.08</v>
      </c>
      <c r="I58" s="40" t="n">
        <v>720</v>
      </c>
      <c r="J58" s="35" t="n">
        <v>34.92000000000007</v>
      </c>
      <c r="K58" s="40" t="n">
        <v>58</v>
      </c>
      <c r="L58" s="40" t="n">
        <v>44</v>
      </c>
      <c r="M58" s="40" t="n">
        <v>18</v>
      </c>
      <c r="N58" s="527" t="n">
        <v>8300</v>
      </c>
      <c r="O58" s="528" t="n">
        <v>7000</v>
      </c>
      <c r="P58" s="524" t="n">
        <v>1300</v>
      </c>
      <c r="Q58" s="168" t="n">
        <v>0.8433734939759037</v>
      </c>
      <c r="R58" s="528" t="n">
        <v>12200</v>
      </c>
      <c r="S58" s="529" t="n">
        <v>8400</v>
      </c>
      <c r="T58" s="58" t="inlineStr">
        <is>
          <t>복도식</t>
        </is>
      </c>
      <c r="U58" s="40" t="n">
        <v>2</v>
      </c>
      <c r="V58" s="40" t="n">
        <v>1</v>
      </c>
      <c r="W58" s="40" t="n">
        <v>240</v>
      </c>
      <c r="X58" s="221" t="n">
        <v>2020.04</v>
      </c>
      <c r="Y58" s="221" t="n">
        <v>0.01</v>
      </c>
      <c r="Z58" s="169" t="n">
        <v>18</v>
      </c>
      <c r="AA58" s="526" t="n">
        <v>6750</v>
      </c>
      <c r="AB58" s="526" t="n">
        <v>5500</v>
      </c>
      <c r="AC58" s="170" t="e">
        <v>#DIV/0!</v>
      </c>
      <c r="AD58" s="171" t="n">
        <v>0</v>
      </c>
      <c r="AE58" s="33" t="n"/>
      <c r="AF58" s="227" t="n"/>
      <c r="AG58" s="231" t="n"/>
      <c r="AH58" s="122" t="n"/>
      <c r="AI58" s="175" t="n"/>
      <c r="AJ58" s="238" t="n"/>
    </row>
    <row r="59" ht="16" customHeight="1" s="476" thickBot="1">
      <c r="A59" s="48" t="inlineStr">
        <is>
          <t>판암동</t>
        </is>
      </c>
      <c r="B59" s="174" t="inlineStr">
        <is>
          <t>중</t>
        </is>
      </c>
      <c r="C59" s="166" t="inlineStr">
        <is>
          <t>하</t>
        </is>
      </c>
      <c r="D59" s="218" t="inlineStr">
        <is>
          <t>주공6차</t>
        </is>
      </c>
      <c r="E59" s="34" t="n">
        <v>15</v>
      </c>
      <c r="F59" s="34" t="n">
        <v>0.7</v>
      </c>
      <c r="G59" s="34" t="n">
        <v>0.55</v>
      </c>
      <c r="H59" s="42" t="n">
        <v>1992.08</v>
      </c>
      <c r="I59" s="42" t="n">
        <v>720</v>
      </c>
      <c r="J59" s="35" t="n">
        <v>34.92000000000007</v>
      </c>
      <c r="K59" s="42" t="n">
        <v>50</v>
      </c>
      <c r="L59" s="42" t="n">
        <v>38</v>
      </c>
      <c r="M59" s="42" t="n">
        <v>15</v>
      </c>
      <c r="N59" s="522" t="n">
        <v>7000</v>
      </c>
      <c r="O59" s="523" t="n">
        <v>5500</v>
      </c>
      <c r="P59" s="524" t="n">
        <v>1500</v>
      </c>
      <c r="Q59" s="168" t="n">
        <v>0.7857142857142857</v>
      </c>
      <c r="R59" s="523" t="n">
        <v>10000</v>
      </c>
      <c r="S59" s="525" t="n">
        <v>7000</v>
      </c>
      <c r="T59" s="60" t="inlineStr">
        <is>
          <t>복도식</t>
        </is>
      </c>
      <c r="U59" s="42" t="n">
        <v>2</v>
      </c>
      <c r="V59" s="42" t="n">
        <v>1</v>
      </c>
      <c r="W59" s="42" t="n">
        <v>480</v>
      </c>
      <c r="X59" s="221" t="n"/>
      <c r="Y59" s="221" t="n"/>
      <c r="Z59" s="169" t="n">
        <v>15</v>
      </c>
      <c r="AA59" s="526" t="n"/>
      <c r="AB59" s="526" t="n"/>
      <c r="AC59" s="170" t="e">
        <v>#DIV/0!</v>
      </c>
      <c r="AD59" s="171" t="n">
        <v>0</v>
      </c>
      <c r="AE59" s="33" t="n"/>
      <c r="AF59" s="227" t="n"/>
      <c r="AG59" s="231" t="n"/>
      <c r="AH59" s="122" t="n"/>
      <c r="AI59" s="175" t="n"/>
      <c r="AJ59" s="238" t="n"/>
    </row>
    <row r="60" ht="15.5" customHeight="1" s="476">
      <c r="A60" s="182" t="inlineStr">
        <is>
          <t>판암동</t>
        </is>
      </c>
      <c r="B60" s="183" t="inlineStr">
        <is>
          <t>중</t>
        </is>
      </c>
      <c r="C60" s="183" t="inlineStr">
        <is>
          <t>하</t>
        </is>
      </c>
      <c r="D60" s="217" t="inlineStr">
        <is>
          <t>주공5차</t>
        </is>
      </c>
      <c r="E60" s="184" t="n">
        <v>24</v>
      </c>
      <c r="F60" s="184" t="n">
        <v>1.4</v>
      </c>
      <c r="G60" s="184" t="n">
        <v>1.3</v>
      </c>
      <c r="H60" s="187" t="n">
        <v>1992.08</v>
      </c>
      <c r="I60" s="187" t="n">
        <v>1436</v>
      </c>
      <c r="J60" s="186" t="n">
        <v>34.92000000000007</v>
      </c>
      <c r="K60" s="187" t="n">
        <v>78</v>
      </c>
      <c r="L60" s="187" t="n">
        <v>58</v>
      </c>
      <c r="M60" s="187" t="n">
        <v>24</v>
      </c>
      <c r="N60" s="510" t="n">
        <v>14000</v>
      </c>
      <c r="O60" s="511" t="n">
        <v>13000</v>
      </c>
      <c r="P60" s="512" t="n">
        <v>1000</v>
      </c>
      <c r="Q60" s="188" t="n">
        <v>0.9285714285714286</v>
      </c>
      <c r="R60" s="511" t="n">
        <v>19000</v>
      </c>
      <c r="S60" s="513" t="n">
        <v>15000</v>
      </c>
      <c r="T60" s="189" t="inlineStr">
        <is>
          <t>복도식</t>
        </is>
      </c>
      <c r="U60" s="187" t="n">
        <v>2</v>
      </c>
      <c r="V60" s="187" t="n">
        <v>1</v>
      </c>
      <c r="W60" s="187" t="n">
        <v>176</v>
      </c>
      <c r="X60" s="220" t="n">
        <v>2021.09</v>
      </c>
      <c r="Y60" s="220" t="n">
        <v>0.01</v>
      </c>
      <c r="Z60" s="190" t="n">
        <v>24</v>
      </c>
      <c r="AA60" s="514" t="n">
        <v>13425</v>
      </c>
      <c r="AB60" s="514" t="n">
        <v>11000</v>
      </c>
      <c r="AC60" s="191" t="e">
        <v>#DIV/0!</v>
      </c>
      <c r="AD60" s="192" t="n">
        <v>0</v>
      </c>
      <c r="AE60" s="209" t="n"/>
      <c r="AF60" s="230" t="n"/>
      <c r="AG60" s="232" t="n"/>
      <c r="AH60" s="199" t="n"/>
      <c r="AI60" s="200" t="n"/>
      <c r="AJ60" s="238" t="n"/>
    </row>
    <row r="61" ht="17" customHeight="1" s="476">
      <c r="A61" s="182" t="inlineStr">
        <is>
          <t>판암동</t>
        </is>
      </c>
      <c r="B61" s="196" t="inlineStr">
        <is>
          <t>중</t>
        </is>
      </c>
      <c r="C61" s="208" t="inlineStr">
        <is>
          <t>하</t>
        </is>
      </c>
      <c r="D61" s="217" t="inlineStr">
        <is>
          <t>주공5차</t>
        </is>
      </c>
      <c r="E61" s="184" t="n">
        <v>20</v>
      </c>
      <c r="F61" s="184" t="n">
        <v>1.15</v>
      </c>
      <c r="G61" s="184" t="n">
        <v>1</v>
      </c>
      <c r="H61" s="197" t="n">
        <v>1992.08</v>
      </c>
      <c r="I61" s="197" t="n">
        <v>1436</v>
      </c>
      <c r="J61" s="186" t="n">
        <v>34.92000000000007</v>
      </c>
      <c r="K61" s="197" t="inlineStr">
        <is>
          <t>66A</t>
        </is>
      </c>
      <c r="L61" s="197" t="n">
        <v>52</v>
      </c>
      <c r="M61" s="197" t="n">
        <v>20</v>
      </c>
      <c r="N61" s="517" t="n">
        <v>11500</v>
      </c>
      <c r="O61" s="518" t="n">
        <v>10000</v>
      </c>
      <c r="P61" s="512" t="n">
        <v>1500</v>
      </c>
      <c r="Q61" s="188" t="n">
        <v>0.8695652173913043</v>
      </c>
      <c r="R61" s="518" t="n">
        <v>15000</v>
      </c>
      <c r="S61" s="519" t="n">
        <v>11000</v>
      </c>
      <c r="T61" s="198" t="inlineStr">
        <is>
          <t>복도식</t>
        </is>
      </c>
      <c r="U61" s="197" t="n">
        <v>2</v>
      </c>
      <c r="V61" s="197" t="n">
        <v>1</v>
      </c>
      <c r="W61" s="197" t="n">
        <v>353</v>
      </c>
      <c r="X61" s="220" t="n"/>
      <c r="Y61" s="220" t="n"/>
      <c r="Z61" s="190" t="n">
        <v>20</v>
      </c>
      <c r="AA61" s="514" t="n"/>
      <c r="AB61" s="514" t="n"/>
      <c r="AC61" s="191" t="e">
        <v>#DIV/0!</v>
      </c>
      <c r="AD61" s="192" t="n">
        <v>0</v>
      </c>
      <c r="AE61" s="209" t="n"/>
      <c r="AF61" s="230" t="n"/>
      <c r="AG61" s="232" t="n"/>
      <c r="AH61" s="199" t="n"/>
      <c r="AI61" s="200" t="n"/>
      <c r="AJ61" s="238" t="n"/>
    </row>
    <row r="62" ht="47" customHeight="1" s="476" thickBot="1">
      <c r="A62" s="182" t="inlineStr">
        <is>
          <t>판암동</t>
        </is>
      </c>
      <c r="B62" s="196" t="inlineStr">
        <is>
          <t>중</t>
        </is>
      </c>
      <c r="C62" s="208" t="inlineStr">
        <is>
          <t>하</t>
        </is>
      </c>
      <c r="D62" s="217" t="inlineStr">
        <is>
          <t>주공5차</t>
        </is>
      </c>
      <c r="E62" s="184" t="n">
        <v>20</v>
      </c>
      <c r="F62" s="184" t="n">
        <v>1.05</v>
      </c>
      <c r="G62" s="184" t="n">
        <v>0.9</v>
      </c>
      <c r="H62" s="201" t="n">
        <v>1992.08</v>
      </c>
      <c r="I62" s="201" t="n">
        <v>1436</v>
      </c>
      <c r="J62" s="186" t="n">
        <v>34.92000000000007</v>
      </c>
      <c r="K62" s="201" t="inlineStr">
        <is>
          <t>67B</t>
        </is>
      </c>
      <c r="L62" s="201" t="n">
        <v>52</v>
      </c>
      <c r="M62" s="201" t="n">
        <v>20</v>
      </c>
      <c r="N62" s="533" t="n">
        <v>10500</v>
      </c>
      <c r="O62" s="534" t="n">
        <v>9000</v>
      </c>
      <c r="P62" s="512" t="n">
        <v>1500</v>
      </c>
      <c r="Q62" s="188" t="n">
        <v>0.8571428571428571</v>
      </c>
      <c r="R62" s="534" t="n">
        <v>14800</v>
      </c>
      <c r="S62" s="535" t="n">
        <v>14000</v>
      </c>
      <c r="T62" s="202" t="inlineStr">
        <is>
          <t>계단식</t>
        </is>
      </c>
      <c r="U62" s="201" t="n">
        <v>2</v>
      </c>
      <c r="V62" s="201" t="n">
        <v>1</v>
      </c>
      <c r="W62" s="201" t="n">
        <v>1</v>
      </c>
      <c r="X62" s="220" t="n"/>
      <c r="Y62" s="220" t="n"/>
      <c r="Z62" s="190" t="n">
        <v>20</v>
      </c>
      <c r="AA62" s="514" t="n"/>
      <c r="AB62" s="514" t="n"/>
      <c r="AC62" s="191" t="e">
        <v>#DIV/0!</v>
      </c>
      <c r="AD62" s="192" t="n">
        <v>0</v>
      </c>
      <c r="AE62" s="209" t="n"/>
      <c r="AF62" s="230" t="n"/>
      <c r="AG62" s="232" t="n"/>
      <c r="AH62" s="199" t="n"/>
      <c r="AI62" s="200" t="n"/>
      <c r="AJ62" s="238" t="n"/>
    </row>
    <row r="63" ht="15.5" customHeight="1" s="476">
      <c r="A63" s="182" t="inlineStr">
        <is>
          <t>판암동</t>
        </is>
      </c>
      <c r="B63" s="196" t="inlineStr">
        <is>
          <t>중</t>
        </is>
      </c>
      <c r="C63" s="183" t="inlineStr">
        <is>
          <t>하</t>
        </is>
      </c>
      <c r="D63" s="217" t="inlineStr">
        <is>
          <t>주공5차</t>
        </is>
      </c>
      <c r="E63" s="184" t="n">
        <v>17</v>
      </c>
      <c r="F63" s="184" t="n">
        <v>1</v>
      </c>
      <c r="G63" s="184" t="n">
        <v>0.7</v>
      </c>
      <c r="H63" s="187" t="n">
        <v>1992.08</v>
      </c>
      <c r="I63" s="187" t="n">
        <v>1436</v>
      </c>
      <c r="J63" s="186" t="n">
        <v>34.92000000000007</v>
      </c>
      <c r="K63" s="187" t="n">
        <v>55</v>
      </c>
      <c r="L63" s="187" t="n">
        <v>43</v>
      </c>
      <c r="M63" s="187" t="n">
        <v>17</v>
      </c>
      <c r="N63" s="510" t="n">
        <v>10000</v>
      </c>
      <c r="O63" s="511" t="n">
        <v>7000</v>
      </c>
      <c r="P63" s="512" t="n">
        <v>3000</v>
      </c>
      <c r="Q63" s="188" t="n">
        <v>0.7</v>
      </c>
      <c r="R63" s="511" t="n">
        <v>10200</v>
      </c>
      <c r="S63" s="513" t="n">
        <v>8500</v>
      </c>
      <c r="T63" s="189" t="inlineStr">
        <is>
          <t>복도식</t>
        </is>
      </c>
      <c r="U63" s="187" t="n">
        <v>2</v>
      </c>
      <c r="V63" s="187" t="n">
        <v>1</v>
      </c>
      <c r="W63" s="187" t="n">
        <v>6</v>
      </c>
      <c r="X63" s="220" t="n"/>
      <c r="Y63" s="220" t="n"/>
      <c r="Z63" s="190" t="n">
        <v>17</v>
      </c>
      <c r="AA63" s="514" t="n"/>
      <c r="AB63" s="514" t="n"/>
      <c r="AC63" s="191" t="e">
        <v>#DIV/0!</v>
      </c>
      <c r="AD63" s="192" t="n">
        <v>0</v>
      </c>
      <c r="AE63" s="209" t="n"/>
      <c r="AF63" s="230" t="n"/>
      <c r="AG63" s="232" t="n"/>
      <c r="AH63" s="199" t="n"/>
      <c r="AI63" s="200" t="n"/>
      <c r="AJ63" s="238" t="n"/>
    </row>
    <row r="64" ht="15.5" customHeight="1" s="476">
      <c r="A64" s="182" t="inlineStr">
        <is>
          <t>판암동</t>
        </is>
      </c>
      <c r="B64" s="196" t="inlineStr">
        <is>
          <t>중</t>
        </is>
      </c>
      <c r="C64" s="208" t="inlineStr">
        <is>
          <t>하</t>
        </is>
      </c>
      <c r="D64" s="217" t="inlineStr">
        <is>
          <t>주공5차</t>
        </is>
      </c>
      <c r="E64" s="184" t="n">
        <v>18</v>
      </c>
      <c r="F64" s="184" t="n">
        <v>0.85</v>
      </c>
      <c r="G64" s="184" t="n">
        <v>0.83</v>
      </c>
      <c r="H64" s="197" t="n">
        <v>1992.08</v>
      </c>
      <c r="I64" s="197" t="n">
        <v>1436</v>
      </c>
      <c r="J64" s="186" t="n">
        <v>34.92000000000007</v>
      </c>
      <c r="K64" s="197" t="inlineStr">
        <is>
          <t>58A</t>
        </is>
      </c>
      <c r="L64" s="197" t="n">
        <v>44</v>
      </c>
      <c r="M64" s="197" t="n">
        <v>18</v>
      </c>
      <c r="N64" s="517" t="n">
        <v>8500</v>
      </c>
      <c r="O64" s="518" t="n">
        <v>8300</v>
      </c>
      <c r="P64" s="512" t="n">
        <v>200</v>
      </c>
      <c r="Q64" s="188" t="n">
        <v>0.9764705882352941</v>
      </c>
      <c r="R64" s="518" t="n">
        <v>11500</v>
      </c>
      <c r="S64" s="519" t="n">
        <v>10500</v>
      </c>
      <c r="T64" s="198" t="inlineStr">
        <is>
          <t>복도식</t>
        </is>
      </c>
      <c r="U64" s="197" t="n">
        <v>2</v>
      </c>
      <c r="V64" s="197" t="n">
        <v>1</v>
      </c>
      <c r="W64" s="197" t="n">
        <v>240</v>
      </c>
      <c r="X64" s="220" t="n"/>
      <c r="Y64" s="220" t="n"/>
      <c r="Z64" s="190" t="n">
        <v>18</v>
      </c>
      <c r="AA64" s="514" t="n"/>
      <c r="AB64" s="514" t="n"/>
      <c r="AC64" s="191" t="e">
        <v>#DIV/0!</v>
      </c>
      <c r="AD64" s="192" t="n">
        <v>0</v>
      </c>
      <c r="AE64" s="209" t="n"/>
      <c r="AF64" s="230" t="n"/>
      <c r="AG64" s="232" t="n"/>
      <c r="AH64" s="199" t="n"/>
      <c r="AI64" s="200" t="n"/>
      <c r="AJ64" s="238" t="n"/>
    </row>
    <row r="65" ht="31" customHeight="1" s="476">
      <c r="A65" s="182" t="inlineStr">
        <is>
          <t>판암동</t>
        </is>
      </c>
      <c r="B65" s="196" t="inlineStr">
        <is>
          <t>중</t>
        </is>
      </c>
      <c r="C65" s="208" t="inlineStr">
        <is>
          <t>하</t>
        </is>
      </c>
      <c r="D65" s="217" t="inlineStr">
        <is>
          <t>주공5차</t>
        </is>
      </c>
      <c r="E65" s="184" t="n">
        <v>17</v>
      </c>
      <c r="F65" s="184" t="n">
        <v>0.8</v>
      </c>
      <c r="G65" s="184" t="n">
        <v>0.7</v>
      </c>
      <c r="H65" s="197" t="n">
        <v>1992.08</v>
      </c>
      <c r="I65" s="197" t="n">
        <v>1436</v>
      </c>
      <c r="J65" s="186" t="n">
        <v>34.92000000000007</v>
      </c>
      <c r="K65" s="197" t="inlineStr">
        <is>
          <t>57B</t>
        </is>
      </c>
      <c r="L65" s="197" t="n">
        <v>45</v>
      </c>
      <c r="M65" s="197" t="n">
        <v>17</v>
      </c>
      <c r="N65" s="517" t="n">
        <v>8000</v>
      </c>
      <c r="O65" s="518" t="n">
        <v>7000</v>
      </c>
      <c r="P65" s="512" t="n">
        <v>1000</v>
      </c>
      <c r="Q65" s="188" t="n">
        <v>0.875</v>
      </c>
      <c r="R65" s="518" t="n">
        <v>10900</v>
      </c>
      <c r="S65" s="519" t="n">
        <v>9500</v>
      </c>
      <c r="T65" s="198" t="inlineStr">
        <is>
          <t>계단식</t>
        </is>
      </c>
      <c r="U65" s="197" t="n">
        <v>2</v>
      </c>
      <c r="V65" s="197" t="n">
        <v>1</v>
      </c>
      <c r="W65" s="197" t="n">
        <v>180</v>
      </c>
      <c r="X65" s="220" t="n"/>
      <c r="Y65" s="220" t="n"/>
      <c r="Z65" s="190" t="n">
        <v>17</v>
      </c>
      <c r="AA65" s="514" t="n"/>
      <c r="AB65" s="514" t="n"/>
      <c r="AC65" s="191" t="e">
        <v>#DIV/0!</v>
      </c>
      <c r="AD65" s="192" t="n">
        <v>0</v>
      </c>
      <c r="AE65" s="209" t="n"/>
      <c r="AF65" s="230" t="n"/>
      <c r="AG65" s="232" t="n"/>
      <c r="AH65" s="199" t="n"/>
      <c r="AI65" s="200" t="n"/>
      <c r="AJ65" s="238" t="n"/>
    </row>
    <row r="66" ht="15.5" customHeight="1" s="476">
      <c r="A66" s="182" t="inlineStr">
        <is>
          <t>판암동</t>
        </is>
      </c>
      <c r="B66" s="196" t="inlineStr">
        <is>
          <t>중</t>
        </is>
      </c>
      <c r="C66" s="208" t="inlineStr">
        <is>
          <t>하</t>
        </is>
      </c>
      <c r="D66" s="217" t="inlineStr">
        <is>
          <t>주공5차</t>
        </is>
      </c>
      <c r="E66" s="184" t="n">
        <v>15</v>
      </c>
      <c r="F66" s="184" t="n">
        <v>0.75</v>
      </c>
      <c r="G66" s="184" t="n">
        <v>0.7</v>
      </c>
      <c r="H66" s="197" t="n">
        <v>1992.08</v>
      </c>
      <c r="I66" s="197" t="n">
        <v>1436</v>
      </c>
      <c r="J66" s="186" t="n">
        <v>34.92000000000007</v>
      </c>
      <c r="K66" s="197" t="n">
        <v>50</v>
      </c>
      <c r="L66" s="197" t="n">
        <v>38</v>
      </c>
      <c r="M66" s="197" t="n">
        <v>15</v>
      </c>
      <c r="N66" s="517" t="n">
        <v>7500</v>
      </c>
      <c r="O66" s="518" t="n">
        <v>7000</v>
      </c>
      <c r="P66" s="512" t="n">
        <v>500</v>
      </c>
      <c r="Q66" s="188" t="n">
        <v>0.9333333333333333</v>
      </c>
      <c r="R66" s="518" t="n">
        <v>10200</v>
      </c>
      <c r="S66" s="519" t="n">
        <v>7500</v>
      </c>
      <c r="T66" s="198" t="inlineStr">
        <is>
          <t>복도식</t>
        </is>
      </c>
      <c r="U66" s="197" t="n">
        <v>2</v>
      </c>
      <c r="V66" s="197" t="n">
        <v>1</v>
      </c>
      <c r="W66" s="197" t="n">
        <v>480</v>
      </c>
      <c r="X66" s="220" t="n"/>
      <c r="Y66" s="220" t="n"/>
      <c r="Z66" s="190" t="n">
        <v>15</v>
      </c>
      <c r="AA66" s="514" t="n"/>
      <c r="AB66" s="514" t="n"/>
      <c r="AC66" s="191" t="e">
        <v>#DIV/0!</v>
      </c>
      <c r="AD66" s="192" t="n">
        <v>0</v>
      </c>
      <c r="AE66" s="209" t="n"/>
      <c r="AF66" s="230" t="n"/>
      <c r="AG66" s="232" t="n"/>
      <c r="AH66" s="199" t="n"/>
      <c r="AI66" s="200" t="n"/>
      <c r="AJ66" s="238" t="n"/>
    </row>
    <row r="67" ht="16" customHeight="1" s="476" thickBot="1">
      <c r="A67" s="48" t="inlineStr">
        <is>
          <t>판암동</t>
        </is>
      </c>
      <c r="B67" s="174" t="inlineStr">
        <is>
          <t>중</t>
        </is>
      </c>
      <c r="C67" s="166" t="inlineStr">
        <is>
          <t>하</t>
        </is>
      </c>
      <c r="D67" s="218" t="inlineStr">
        <is>
          <t>주공2차</t>
        </is>
      </c>
      <c r="E67" s="34" t="n">
        <v>32</v>
      </c>
      <c r="F67" s="34" t="n">
        <v>2.15</v>
      </c>
      <c r="G67" s="34" t="n">
        <v>1.5</v>
      </c>
      <c r="H67" s="42" t="n">
        <v>1990.1</v>
      </c>
      <c r="I67" s="42" t="n">
        <v>1130</v>
      </c>
      <c r="J67" s="35" t="n">
        <v>36.90000000000009</v>
      </c>
      <c r="K67" s="42" t="n">
        <v>105</v>
      </c>
      <c r="L67" s="42" t="n">
        <v>79</v>
      </c>
      <c r="M67" s="42" t="n">
        <v>32</v>
      </c>
      <c r="N67" s="522" t="n">
        <v>21500</v>
      </c>
      <c r="O67" s="523" t="n">
        <v>15000</v>
      </c>
      <c r="P67" s="524" t="n">
        <v>6500</v>
      </c>
      <c r="Q67" s="168" t="n">
        <v>0.6976744186046512</v>
      </c>
      <c r="R67" s="523" t="n">
        <v>17000</v>
      </c>
      <c r="S67" s="525" t="n">
        <v>14000</v>
      </c>
      <c r="T67" s="60" t="inlineStr">
        <is>
          <t>복도식</t>
        </is>
      </c>
      <c r="U67" s="42" t="n">
        <v>3</v>
      </c>
      <c r="V67" s="42" t="n">
        <v>1</v>
      </c>
      <c r="W67" s="42" t="n">
        <v>240</v>
      </c>
      <c r="X67" s="221" t="n"/>
      <c r="Y67" s="221" t="n"/>
      <c r="Z67" s="169" t="n">
        <v>32</v>
      </c>
      <c r="AA67" s="526" t="n"/>
      <c r="AB67" s="526" t="n"/>
      <c r="AC67" s="170" t="e">
        <v>#DIV/0!</v>
      </c>
      <c r="AD67" s="171" t="n">
        <v>0</v>
      </c>
      <c r="AE67" s="33" t="n"/>
      <c r="AF67" s="227" t="n"/>
      <c r="AG67" s="231" t="n"/>
      <c r="AH67" s="122" t="n"/>
      <c r="AI67" s="175" t="n"/>
      <c r="AJ67" s="238" t="n"/>
    </row>
    <row r="68" ht="31" customHeight="1" s="476">
      <c r="A68" s="48" t="inlineStr">
        <is>
          <t>판암동</t>
        </is>
      </c>
      <c r="B68" s="174" t="inlineStr">
        <is>
          <t>중</t>
        </is>
      </c>
      <c r="C68" s="163" t="inlineStr">
        <is>
          <t>하</t>
        </is>
      </c>
      <c r="D68" s="218" t="inlineStr">
        <is>
          <t>주공2차</t>
        </is>
      </c>
      <c r="E68" s="34" t="n">
        <v>25</v>
      </c>
      <c r="F68" s="34" t="n">
        <v>1.5</v>
      </c>
      <c r="G68" s="34" t="n">
        <v>1.3</v>
      </c>
      <c r="H68" s="40" t="n">
        <v>1990.1</v>
      </c>
      <c r="I68" s="40" t="n">
        <v>1130</v>
      </c>
      <c r="J68" s="35" t="n">
        <v>36.90000000000009</v>
      </c>
      <c r="K68" s="40" t="n">
        <v>82</v>
      </c>
      <c r="L68" s="40" t="n">
        <v>59</v>
      </c>
      <c r="M68" s="40" t="n">
        <v>25</v>
      </c>
      <c r="N68" s="527" t="n">
        <v>15000</v>
      </c>
      <c r="O68" s="528" t="n">
        <v>13000</v>
      </c>
      <c r="P68" s="524" t="n">
        <v>2000</v>
      </c>
      <c r="Q68" s="168" t="n">
        <v>0.8666666666666667</v>
      </c>
      <c r="R68" s="528" t="n">
        <v>16000</v>
      </c>
      <c r="S68" s="529" t="n">
        <v>13000</v>
      </c>
      <c r="T68" s="58" t="inlineStr">
        <is>
          <t>복도식</t>
        </is>
      </c>
      <c r="U68" s="40" t="n">
        <v>2</v>
      </c>
      <c r="V68" s="40" t="n">
        <v>1</v>
      </c>
      <c r="W68" s="40" t="n">
        <v>324</v>
      </c>
      <c r="X68" s="221" t="n"/>
      <c r="Y68" s="221" t="n"/>
      <c r="Z68" s="169" t="n">
        <v>25</v>
      </c>
      <c r="AA68" s="526" t="n"/>
      <c r="AB68" s="526" t="n"/>
      <c r="AC68" s="170" t="e">
        <v>#DIV/0!</v>
      </c>
      <c r="AD68" s="171" t="n">
        <v>0</v>
      </c>
      <c r="AE68" s="33" t="n"/>
      <c r="AF68" s="227" t="n"/>
      <c r="AG68" s="231" t="n"/>
      <c r="AH68" s="122" t="n"/>
      <c r="AI68" s="175" t="n"/>
      <c r="AJ68" s="238" t="n"/>
    </row>
    <row r="69" ht="15.5" customHeight="1" s="476">
      <c r="A69" s="48" t="inlineStr">
        <is>
          <t>판암동</t>
        </is>
      </c>
      <c r="B69" s="174" t="inlineStr">
        <is>
          <t>중</t>
        </is>
      </c>
      <c r="C69" s="166" t="inlineStr">
        <is>
          <t>하</t>
        </is>
      </c>
      <c r="D69" s="218" t="inlineStr">
        <is>
          <t>주공2차</t>
        </is>
      </c>
      <c r="E69" s="34" t="n">
        <v>25</v>
      </c>
      <c r="F69" s="34" t="n">
        <v>1.48</v>
      </c>
      <c r="G69" s="34" t="n">
        <v>1</v>
      </c>
      <c r="H69" s="41" t="n">
        <v>1990.1</v>
      </c>
      <c r="I69" s="41" t="n">
        <v>1130</v>
      </c>
      <c r="J69" s="35" t="n">
        <v>36.90000000000009</v>
      </c>
      <c r="K69" s="41" t="n">
        <v>81</v>
      </c>
      <c r="L69" s="41" t="n">
        <v>58</v>
      </c>
      <c r="M69" s="41" t="n">
        <v>25</v>
      </c>
      <c r="N69" s="530" t="n">
        <v>14800</v>
      </c>
      <c r="O69" s="531" t="n">
        <v>10000</v>
      </c>
      <c r="P69" s="524" t="n">
        <v>4800</v>
      </c>
      <c r="Q69" s="168" t="n">
        <v>0.6756756756756757</v>
      </c>
      <c r="R69" s="531" t="n">
        <v>15500</v>
      </c>
      <c r="S69" s="532" t="n">
        <v>11000</v>
      </c>
      <c r="T69" s="59" t="inlineStr">
        <is>
          <t>복도식</t>
        </is>
      </c>
      <c r="U69" s="41" t="n">
        <v>2</v>
      </c>
      <c r="V69" s="41" t="n">
        <v>1</v>
      </c>
      <c r="W69" s="41" t="n">
        <v>350</v>
      </c>
      <c r="X69" s="221" t="n"/>
      <c r="Y69" s="221" t="n"/>
      <c r="Z69" s="169" t="n">
        <v>25</v>
      </c>
      <c r="AA69" s="526" t="n"/>
      <c r="AB69" s="526" t="n"/>
      <c r="AC69" s="170" t="e">
        <v>#DIV/0!</v>
      </c>
      <c r="AD69" s="171" t="n">
        <v>0</v>
      </c>
      <c r="AE69" s="33" t="n"/>
      <c r="AF69" s="227" t="n"/>
      <c r="AG69" s="231" t="n"/>
      <c r="AH69" s="122" t="n"/>
      <c r="AI69" s="175" t="n"/>
      <c r="AJ69" s="238" t="n"/>
    </row>
    <row r="70" ht="16" customHeight="1" s="476" thickBot="1">
      <c r="A70" s="48" t="inlineStr">
        <is>
          <t>판암동</t>
        </is>
      </c>
      <c r="B70" s="174" t="inlineStr">
        <is>
          <t>중</t>
        </is>
      </c>
      <c r="C70" s="166" t="inlineStr">
        <is>
          <t>하</t>
        </is>
      </c>
      <c r="D70" s="218" t="inlineStr">
        <is>
          <t>주공2차</t>
        </is>
      </c>
      <c r="E70" s="34" t="n">
        <v>19</v>
      </c>
      <c r="F70" s="34" t="n">
        <v>1.09</v>
      </c>
      <c r="G70" s="34" t="n">
        <v>0.8</v>
      </c>
      <c r="H70" s="44" t="n">
        <v>1990.1</v>
      </c>
      <c r="I70" s="44" t="n">
        <v>1130</v>
      </c>
      <c r="J70" s="35" t="n">
        <v>36.90000000000009</v>
      </c>
      <c r="K70" s="44" t="n">
        <v>63</v>
      </c>
      <c r="L70" s="44" t="n">
        <v>45</v>
      </c>
      <c r="M70" s="44" t="n">
        <v>19</v>
      </c>
      <c r="N70" s="553" t="n">
        <v>10900</v>
      </c>
      <c r="O70" s="554" t="n">
        <v>8000</v>
      </c>
      <c r="P70" s="524" t="n">
        <v>2900</v>
      </c>
      <c r="Q70" s="168" t="n">
        <v>0.7339449541284404</v>
      </c>
      <c r="R70" s="554" t="n">
        <v>10000</v>
      </c>
      <c r="S70" s="555" t="n">
        <v>7500</v>
      </c>
      <c r="T70" s="62" t="inlineStr">
        <is>
          <t>복도식</t>
        </is>
      </c>
      <c r="U70" s="44" t="n">
        <v>2</v>
      </c>
      <c r="V70" s="44" t="n">
        <v>1</v>
      </c>
      <c r="W70" s="44" t="n">
        <v>216</v>
      </c>
      <c r="X70" s="221" t="n"/>
      <c r="Y70" s="221" t="n"/>
      <c r="Z70" s="169" t="n">
        <v>19</v>
      </c>
      <c r="AA70" s="526" t="n"/>
      <c r="AB70" s="526" t="n"/>
      <c r="AC70" s="170" t="e">
        <v>#DIV/0!</v>
      </c>
      <c r="AD70" s="171" t="n">
        <v>0</v>
      </c>
      <c r="AE70" s="33" t="n"/>
      <c r="AF70" s="227" t="n"/>
      <c r="AG70" s="231" t="n"/>
      <c r="AH70" s="122" t="n"/>
      <c r="AI70" s="175" t="n"/>
      <c r="AJ70" s="238" t="n"/>
    </row>
    <row r="71" ht="62" customHeight="1" s="476">
      <c r="A71" s="182" t="inlineStr">
        <is>
          <t>용운동</t>
        </is>
      </c>
      <c r="B71" s="196" t="inlineStr">
        <is>
          <t>중</t>
        </is>
      </c>
      <c r="C71" s="183" t="inlineStr">
        <is>
          <t>하</t>
        </is>
      </c>
      <c r="D71" s="217" t="inlineStr">
        <is>
          <t>주공2단지</t>
        </is>
      </c>
      <c r="E71" s="184" t="n">
        <v>28</v>
      </c>
      <c r="F71" s="184" t="n">
        <v>1.7</v>
      </c>
      <c r="G71" s="184" t="n">
        <v>1.2</v>
      </c>
      <c r="H71" s="187" t="n">
        <v>1987.09</v>
      </c>
      <c r="I71" s="187" t="n">
        <v>840</v>
      </c>
      <c r="J71" s="186" t="n">
        <v>39.91000000000008</v>
      </c>
      <c r="K71" s="187" t="n">
        <v>94</v>
      </c>
      <c r="L71" s="187" t="n">
        <v>64</v>
      </c>
      <c r="M71" s="187" t="n">
        <v>28</v>
      </c>
      <c r="N71" s="510" t="n">
        <v>17000</v>
      </c>
      <c r="O71" s="511" t="n">
        <v>12000</v>
      </c>
      <c r="P71" s="512" t="n">
        <v>5000</v>
      </c>
      <c r="Q71" s="188" t="n">
        <v>0.7058823529411765</v>
      </c>
      <c r="R71" s="511" t="n">
        <v>17800</v>
      </c>
      <c r="S71" s="513" t="n">
        <v>16700</v>
      </c>
      <c r="T71" s="189" t="inlineStr">
        <is>
          <t>복도식</t>
        </is>
      </c>
      <c r="U71" s="187" t="n">
        <v>3</v>
      </c>
      <c r="V71" s="187" t="n">
        <v>1</v>
      </c>
      <c r="W71" s="187" t="n">
        <v>60</v>
      </c>
      <c r="X71" s="220" t="n">
        <v>2022.01</v>
      </c>
      <c r="Y71" s="220" t="n">
        <v>0.01</v>
      </c>
      <c r="Z71" s="190" t="n">
        <v>28</v>
      </c>
      <c r="AA71" s="514" t="n">
        <v>15900</v>
      </c>
      <c r="AB71" s="514" t="n">
        <v>13333</v>
      </c>
      <c r="AC71" s="191" t="e">
        <v>#DIV/0!</v>
      </c>
      <c r="AD71" s="192" t="n">
        <v>0</v>
      </c>
      <c r="AE71" s="209" t="n"/>
      <c r="AF71" s="230" t="n"/>
      <c r="AG71" s="232" t="n"/>
      <c r="AH71" s="234" t="n"/>
      <c r="AI71" s="200" t="n"/>
      <c r="AJ71" s="238" t="n"/>
      <c r="AS71" s="458" t="n"/>
    </row>
    <row r="72" ht="201.5" customHeight="1" s="476">
      <c r="A72" s="182" t="inlineStr">
        <is>
          <t>용운동</t>
        </is>
      </c>
      <c r="B72" s="196" t="inlineStr">
        <is>
          <t>중</t>
        </is>
      </c>
      <c r="C72" s="208" t="inlineStr">
        <is>
          <t>하</t>
        </is>
      </c>
      <c r="D72" s="217" t="inlineStr">
        <is>
          <t>주공2단지</t>
        </is>
      </c>
      <c r="E72" s="184" t="n">
        <v>24</v>
      </c>
      <c r="F72" s="184" t="n">
        <v>1.4</v>
      </c>
      <c r="G72" s="184" t="n">
        <v>1.1</v>
      </c>
      <c r="H72" s="197" t="n">
        <v>1987.09</v>
      </c>
      <c r="I72" s="197" t="n">
        <v>840</v>
      </c>
      <c r="J72" s="186" t="n">
        <v>39.91000000000008</v>
      </c>
      <c r="K72" s="197" t="n">
        <v>80</v>
      </c>
      <c r="L72" s="197" t="n">
        <v>54</v>
      </c>
      <c r="M72" s="197" t="n">
        <v>24</v>
      </c>
      <c r="N72" s="517" t="n">
        <v>14000</v>
      </c>
      <c r="O72" s="518" t="n">
        <v>11000</v>
      </c>
      <c r="P72" s="512" t="n">
        <v>3000</v>
      </c>
      <c r="Q72" s="188" t="n">
        <v>0.7857142857142857</v>
      </c>
      <c r="R72" s="518" t="n">
        <v>13700</v>
      </c>
      <c r="S72" s="519" t="n">
        <v>12650</v>
      </c>
      <c r="T72" s="198" t="inlineStr">
        <is>
          <t>복도식</t>
        </is>
      </c>
      <c r="U72" s="197" t="n">
        <v>2</v>
      </c>
      <c r="V72" s="197" t="n">
        <v>1</v>
      </c>
      <c r="W72" s="197" t="n">
        <v>60</v>
      </c>
      <c r="X72" s="220" t="n"/>
      <c r="Y72" s="220" t="n"/>
      <c r="Z72" s="190" t="n">
        <v>24</v>
      </c>
      <c r="AA72" s="514" t="n"/>
      <c r="AB72" s="514" t="n"/>
      <c r="AC72" s="191" t="e">
        <v>#DIV/0!</v>
      </c>
      <c r="AD72" s="192" t="n">
        <v>0</v>
      </c>
      <c r="AE72" s="209" t="n"/>
      <c r="AF72" s="230" t="n"/>
      <c r="AG72" s="232" t="n"/>
      <c r="AH72" s="234" t="n"/>
      <c r="AI72" s="200" t="n"/>
      <c r="AJ72" s="238" t="n"/>
      <c r="AS72" s="458" t="n"/>
    </row>
    <row r="73" ht="124" customHeight="1" s="476">
      <c r="A73" s="182" t="inlineStr">
        <is>
          <t>용운동</t>
        </is>
      </c>
      <c r="B73" s="196" t="inlineStr">
        <is>
          <t>중</t>
        </is>
      </c>
      <c r="C73" s="208" t="inlineStr">
        <is>
          <t>하</t>
        </is>
      </c>
      <c r="D73" s="217" t="inlineStr">
        <is>
          <t>주공2단지</t>
        </is>
      </c>
      <c r="E73" s="184" t="n">
        <v>23</v>
      </c>
      <c r="F73" s="184" t="n">
        <v>1.05</v>
      </c>
      <c r="G73" s="184" t="n">
        <v>0.9</v>
      </c>
      <c r="H73" s="197" t="n">
        <v>1987.09</v>
      </c>
      <c r="I73" s="197" t="n">
        <v>840</v>
      </c>
      <c r="J73" s="186" t="n">
        <v>39.91000000000008</v>
      </c>
      <c r="K73" s="197" t="n">
        <v>75</v>
      </c>
      <c r="L73" s="197" t="n">
        <v>49</v>
      </c>
      <c r="M73" s="197" t="n">
        <v>23</v>
      </c>
      <c r="N73" s="517" t="n">
        <v>10500</v>
      </c>
      <c r="O73" s="518" t="n">
        <v>9000</v>
      </c>
      <c r="P73" s="512" t="n">
        <v>1500</v>
      </c>
      <c r="Q73" s="188" t="n">
        <v>0.8571428571428571</v>
      </c>
      <c r="R73" s="518" t="n">
        <v>14400</v>
      </c>
      <c r="S73" s="519" t="n">
        <v>11000</v>
      </c>
      <c r="T73" s="198" t="inlineStr">
        <is>
          <t>복도식</t>
        </is>
      </c>
      <c r="U73" s="197" t="n">
        <v>2</v>
      </c>
      <c r="V73" s="197" t="n">
        <v>1</v>
      </c>
      <c r="W73" s="197" t="n">
        <v>145</v>
      </c>
      <c r="X73" s="220" t="n"/>
      <c r="Y73" s="220" t="n"/>
      <c r="Z73" s="190" t="n">
        <v>23</v>
      </c>
      <c r="AA73" s="514" t="n"/>
      <c r="AB73" s="514" t="n"/>
      <c r="AC73" s="191" t="e">
        <v>#DIV/0!</v>
      </c>
      <c r="AD73" s="192" t="n">
        <v>0</v>
      </c>
      <c r="AE73" s="209" t="n"/>
      <c r="AF73" s="230" t="n"/>
      <c r="AG73" s="232" t="n"/>
      <c r="AH73" s="234" t="n"/>
      <c r="AI73" s="200" t="n"/>
      <c r="AJ73" s="238" t="n"/>
    </row>
    <row r="74" ht="31.5" customHeight="1" s="476" thickBot="1">
      <c r="A74" s="182" t="inlineStr">
        <is>
          <t>용운동</t>
        </is>
      </c>
      <c r="B74" s="196" t="inlineStr">
        <is>
          <t>중</t>
        </is>
      </c>
      <c r="C74" s="208" t="inlineStr">
        <is>
          <t>하</t>
        </is>
      </c>
      <c r="D74" s="217" t="inlineStr">
        <is>
          <t>주공2단지</t>
        </is>
      </c>
      <c r="E74" s="184" t="n">
        <v>19</v>
      </c>
      <c r="F74" s="184" t="n">
        <v>1</v>
      </c>
      <c r="G74" s="184" t="n">
        <v>0.75</v>
      </c>
      <c r="H74" s="201" t="n">
        <v>1987.09</v>
      </c>
      <c r="I74" s="201" t="n">
        <v>840</v>
      </c>
      <c r="J74" s="186" t="n">
        <v>39.91000000000008</v>
      </c>
      <c r="K74" s="201" t="inlineStr">
        <is>
          <t>62A, 62B, 64A, 64B</t>
        </is>
      </c>
      <c r="L74" s="201" t="n">
        <v>41</v>
      </c>
      <c r="M74" s="201" t="n">
        <v>19</v>
      </c>
      <c r="N74" s="533" t="n">
        <v>10000</v>
      </c>
      <c r="O74" s="534" t="n">
        <v>7500</v>
      </c>
      <c r="P74" s="512" t="n">
        <v>2500</v>
      </c>
      <c r="Q74" s="188" t="n">
        <v>0.75</v>
      </c>
      <c r="R74" s="534" t="n">
        <v>12000</v>
      </c>
      <c r="S74" s="535" t="n">
        <v>8800</v>
      </c>
      <c r="T74" s="202" t="inlineStr">
        <is>
          <t>복도식</t>
        </is>
      </c>
      <c r="U74" s="201" t="n">
        <v>2</v>
      </c>
      <c r="V74" s="201" t="n">
        <v>1</v>
      </c>
      <c r="W74" s="201" t="n">
        <v>358</v>
      </c>
      <c r="X74" s="220" t="n"/>
      <c r="Y74" s="220" t="n"/>
      <c r="Z74" s="190" t="n">
        <v>19</v>
      </c>
      <c r="AA74" s="514" t="n"/>
      <c r="AB74" s="514" t="n"/>
      <c r="AC74" s="191" t="e">
        <v>#DIV/0!</v>
      </c>
      <c r="AD74" s="192" t="n">
        <v>0</v>
      </c>
      <c r="AE74" s="209" t="n"/>
      <c r="AF74" s="230" t="n"/>
      <c r="AG74" s="232" t="n"/>
      <c r="AH74" s="199" t="n"/>
      <c r="AI74" s="200" t="n"/>
      <c r="AJ74" s="238" t="n"/>
    </row>
    <row r="75" ht="15.5" customHeight="1" s="476">
      <c r="A75" s="182" t="inlineStr">
        <is>
          <t>용운동</t>
        </is>
      </c>
      <c r="B75" s="183" t="inlineStr">
        <is>
          <t>중</t>
        </is>
      </c>
      <c r="C75" s="183" t="inlineStr">
        <is>
          <t>하</t>
        </is>
      </c>
      <c r="D75" s="217" t="inlineStr">
        <is>
          <t>주공2단지</t>
        </is>
      </c>
      <c r="E75" s="184" t="n">
        <v>15</v>
      </c>
      <c r="F75" s="184" t="n">
        <v>0.73</v>
      </c>
      <c r="G75" s="184" t="n">
        <v>0.5</v>
      </c>
      <c r="H75" s="187" t="n">
        <v>1987.09</v>
      </c>
      <c r="I75" s="187" t="n">
        <v>840</v>
      </c>
      <c r="J75" s="186" t="n">
        <v>39.91000000000008</v>
      </c>
      <c r="K75" s="187" t="n">
        <v>50</v>
      </c>
      <c r="L75" s="187" t="n">
        <v>32</v>
      </c>
      <c r="M75" s="187" t="n">
        <v>15</v>
      </c>
      <c r="N75" s="510" t="n">
        <v>7300</v>
      </c>
      <c r="O75" s="511" t="n">
        <v>5000</v>
      </c>
      <c r="P75" s="512" t="n">
        <v>2300</v>
      </c>
      <c r="Q75" s="188" t="n">
        <v>0.684931506849315</v>
      </c>
      <c r="R75" s="511" t="n">
        <v>8200</v>
      </c>
      <c r="S75" s="513" t="n">
        <v>6800</v>
      </c>
      <c r="T75" s="189" t="inlineStr">
        <is>
          <t>복도식</t>
        </is>
      </c>
      <c r="U75" s="187" t="n">
        <v>1</v>
      </c>
      <c r="V75" s="187" t="n">
        <v>1</v>
      </c>
      <c r="W75" s="187" t="n">
        <v>216</v>
      </c>
      <c r="X75" s="220" t="n"/>
      <c r="Y75" s="220" t="n"/>
      <c r="Z75" s="190" t="n">
        <v>15</v>
      </c>
      <c r="AA75" s="514" t="n"/>
      <c r="AB75" s="514" t="n"/>
      <c r="AC75" s="191" t="e">
        <v>#DIV/0!</v>
      </c>
      <c r="AD75" s="192" t="n">
        <v>0</v>
      </c>
      <c r="AE75" s="209" t="n"/>
      <c r="AF75" s="230" t="n"/>
      <c r="AG75" s="232" t="n"/>
      <c r="AH75" s="199" t="n"/>
      <c r="AI75" s="200" t="n"/>
      <c r="AJ75" s="238" t="n"/>
    </row>
    <row r="76" ht="15.5" customHeight="1" s="476">
      <c r="A76" s="182" t="inlineStr">
        <is>
          <t>용운동</t>
        </is>
      </c>
      <c r="B76" s="196" t="inlineStr">
        <is>
          <t>중</t>
        </is>
      </c>
      <c r="C76" s="208" t="inlineStr">
        <is>
          <t>하</t>
        </is>
      </c>
      <c r="D76" s="217" t="inlineStr">
        <is>
          <t>주공2단지</t>
        </is>
      </c>
      <c r="E76" s="184" t="n">
        <v>15</v>
      </c>
      <c r="F76" s="184" t="n">
        <v>0.73</v>
      </c>
      <c r="G76" s="184" t="n">
        <v>0.5</v>
      </c>
      <c r="H76" s="197" t="n">
        <v>1987.09</v>
      </c>
      <c r="I76" s="197" t="n">
        <v>840</v>
      </c>
      <c r="J76" s="186" t="n">
        <v>39.91000000000008</v>
      </c>
      <c r="K76" s="197" t="n">
        <v>50</v>
      </c>
      <c r="L76" s="197" t="n">
        <v>32</v>
      </c>
      <c r="M76" s="197" t="n">
        <v>15</v>
      </c>
      <c r="N76" s="517" t="n">
        <v>7300</v>
      </c>
      <c r="O76" s="518" t="n">
        <v>5000</v>
      </c>
      <c r="P76" s="512" t="n">
        <v>2300</v>
      </c>
      <c r="Q76" s="188" t="n">
        <v>0.684931506849315</v>
      </c>
      <c r="R76" s="518" t="n">
        <v>8500</v>
      </c>
      <c r="S76" s="519" t="n">
        <v>6800</v>
      </c>
      <c r="T76" s="198" t="inlineStr">
        <is>
          <t>복도식</t>
        </is>
      </c>
      <c r="U76" s="197" t="n">
        <v>2</v>
      </c>
      <c r="V76" s="197" t="n">
        <v>1</v>
      </c>
      <c r="W76" s="197" t="n">
        <v>1</v>
      </c>
      <c r="X76" s="220" t="n"/>
      <c r="Y76" s="220" t="n"/>
      <c r="Z76" s="190" t="n">
        <v>15</v>
      </c>
      <c r="AA76" s="514" t="n"/>
      <c r="AB76" s="514" t="n"/>
      <c r="AC76" s="191" t="e">
        <v>#DIV/0!</v>
      </c>
      <c r="AD76" s="192" t="n">
        <v>0</v>
      </c>
      <c r="AE76" s="209" t="n"/>
      <c r="AF76" s="230" t="n"/>
      <c r="AG76" s="232" t="n"/>
      <c r="AH76" s="199" t="n"/>
      <c r="AI76" s="200" t="n"/>
      <c r="AJ76" s="238" t="n"/>
    </row>
    <row r="77" ht="31" customHeight="1" s="476">
      <c r="A77" s="48" t="inlineStr">
        <is>
          <t>판암동</t>
        </is>
      </c>
      <c r="B77" s="174" t="inlineStr">
        <is>
          <t>중</t>
        </is>
      </c>
      <c r="C77" s="166" t="inlineStr">
        <is>
          <t>하</t>
        </is>
      </c>
      <c r="D77" s="218" t="inlineStr">
        <is>
          <t>주공1차</t>
        </is>
      </c>
      <c r="E77" s="34" t="n">
        <v>32</v>
      </c>
      <c r="F77" s="34" t="n">
        <v>1.7</v>
      </c>
      <c r="G77" s="34" t="n">
        <v>1.5</v>
      </c>
      <c r="H77" s="41" t="n">
        <v>1990.03</v>
      </c>
      <c r="I77" s="41" t="n">
        <v>1016</v>
      </c>
      <c r="J77" s="35" t="n">
        <v>36.97000000000003</v>
      </c>
      <c r="K77" s="41" t="n">
        <v>105</v>
      </c>
      <c r="L77" s="41" t="n">
        <v>79</v>
      </c>
      <c r="M77" s="41" t="n">
        <v>32</v>
      </c>
      <c r="N77" s="530" t="n">
        <v>17000</v>
      </c>
      <c r="O77" s="531" t="n">
        <v>15000</v>
      </c>
      <c r="P77" s="524" t="n">
        <v>2000</v>
      </c>
      <c r="Q77" s="168" t="n">
        <v>0.8823529411764706</v>
      </c>
      <c r="R77" s="531" t="n">
        <v>24000</v>
      </c>
      <c r="S77" s="532" t="n">
        <v>17000</v>
      </c>
      <c r="T77" s="59" t="inlineStr">
        <is>
          <t>계단식</t>
        </is>
      </c>
      <c r="U77" s="41" t="n">
        <v>3</v>
      </c>
      <c r="V77" s="41" t="n">
        <v>1</v>
      </c>
      <c r="W77" s="41" t="n">
        <v>240</v>
      </c>
      <c r="X77" s="221" t="n">
        <v>2025.02</v>
      </c>
      <c r="Y77" s="221" t="n">
        <v>0.01</v>
      </c>
      <c r="Z77" s="169" t="n">
        <v>32</v>
      </c>
      <c r="AA77" s="526" t="n">
        <v>19000</v>
      </c>
      <c r="AB77" s="526" t="n">
        <v>16000</v>
      </c>
      <c r="AC77" s="170" t="e">
        <v>#DIV/0!</v>
      </c>
      <c r="AD77" s="171" t="n">
        <v>0</v>
      </c>
      <c r="AE77" s="33" t="n"/>
      <c r="AF77" s="227" t="n"/>
      <c r="AG77" s="231" t="n"/>
      <c r="AH77" s="122" t="n"/>
      <c r="AI77" s="175" t="n"/>
      <c r="AJ77" s="238" t="n"/>
      <c r="AS77" s="236" t="n"/>
    </row>
    <row r="78" ht="46.5" customHeight="1" s="476">
      <c r="A78" s="48" t="inlineStr">
        <is>
          <t>판암동</t>
        </is>
      </c>
      <c r="B78" s="174" t="inlineStr">
        <is>
          <t>중</t>
        </is>
      </c>
      <c r="C78" s="166" t="inlineStr">
        <is>
          <t>하</t>
        </is>
      </c>
      <c r="D78" s="218" t="inlineStr">
        <is>
          <t>주공1차</t>
        </is>
      </c>
      <c r="E78" s="34" t="n">
        <v>25</v>
      </c>
      <c r="F78" s="34" t="n">
        <v>1.5</v>
      </c>
      <c r="G78" s="34" t="n">
        <v>1.4</v>
      </c>
      <c r="H78" s="41" t="n">
        <v>1990.03</v>
      </c>
      <c r="I78" s="41" t="n">
        <v>1016</v>
      </c>
      <c r="J78" s="35" t="n">
        <v>36.97000000000003</v>
      </c>
      <c r="K78" s="41" t="n">
        <v>82</v>
      </c>
      <c r="L78" s="41" t="n">
        <v>59</v>
      </c>
      <c r="M78" s="41" t="n">
        <v>25</v>
      </c>
      <c r="N78" s="530" t="n">
        <v>15000</v>
      </c>
      <c r="O78" s="531" t="n">
        <v>14000</v>
      </c>
      <c r="P78" s="524" t="n">
        <v>1000</v>
      </c>
      <c r="Q78" s="168" t="n">
        <v>0.9333333333333333</v>
      </c>
      <c r="R78" s="531" t="n">
        <v>19000</v>
      </c>
      <c r="S78" s="532" t="n">
        <v>16000</v>
      </c>
      <c r="T78" s="59" t="inlineStr">
        <is>
          <t>계단식</t>
        </is>
      </c>
      <c r="U78" s="41" t="n">
        <v>2</v>
      </c>
      <c r="V78" s="41" t="n">
        <v>1</v>
      </c>
      <c r="W78" s="41" t="n">
        <v>360</v>
      </c>
      <c r="X78" s="221" t="n"/>
      <c r="Y78" s="221" t="n"/>
      <c r="Z78" s="169" t="n">
        <v>25</v>
      </c>
      <c r="AA78" s="526" t="n"/>
      <c r="AB78" s="526" t="n"/>
      <c r="AC78" s="170" t="e">
        <v>#DIV/0!</v>
      </c>
      <c r="AD78" s="171" t="n">
        <v>0</v>
      </c>
      <c r="AE78" s="33" t="n"/>
      <c r="AF78" s="227" t="n"/>
      <c r="AG78" s="231" t="n"/>
      <c r="AH78" s="233" t="n"/>
      <c r="AI78" s="175" t="n"/>
      <c r="AJ78" s="238" t="n"/>
    </row>
    <row r="79" ht="16" customHeight="1" s="476" thickBot="1">
      <c r="A79" s="48" t="inlineStr">
        <is>
          <t>판암동</t>
        </is>
      </c>
      <c r="B79" s="174" t="inlineStr">
        <is>
          <t>중</t>
        </is>
      </c>
      <c r="C79" s="166" t="inlineStr">
        <is>
          <t>하</t>
        </is>
      </c>
      <c r="D79" s="218" t="inlineStr">
        <is>
          <t>주공1차</t>
        </is>
      </c>
      <c r="E79" s="34" t="n">
        <v>24</v>
      </c>
      <c r="F79" s="34" t="n">
        <v>1.45</v>
      </c>
      <c r="G79" s="34" t="n">
        <v>1.3</v>
      </c>
      <c r="H79" s="44" t="n">
        <v>1990.03</v>
      </c>
      <c r="I79" s="44" t="n">
        <v>1016</v>
      </c>
      <c r="J79" s="35" t="n">
        <v>36.97000000000003</v>
      </c>
      <c r="K79" s="44" t="n">
        <v>80</v>
      </c>
      <c r="L79" s="44" t="n">
        <v>58</v>
      </c>
      <c r="M79" s="44" t="n">
        <v>24</v>
      </c>
      <c r="N79" s="553" t="n">
        <v>14500</v>
      </c>
      <c r="O79" s="554" t="n">
        <v>13000</v>
      </c>
      <c r="P79" s="524" t="n">
        <v>1500</v>
      </c>
      <c r="Q79" s="168" t="n">
        <v>0.896551724137931</v>
      </c>
      <c r="R79" s="554" t="n">
        <v>19500</v>
      </c>
      <c r="S79" s="555" t="n">
        <v>16000</v>
      </c>
      <c r="T79" s="62" t="inlineStr">
        <is>
          <t>계단식</t>
        </is>
      </c>
      <c r="U79" s="44" t="n">
        <v>2</v>
      </c>
      <c r="V79" s="44" t="n">
        <v>1</v>
      </c>
      <c r="W79" s="44" t="n">
        <v>176</v>
      </c>
      <c r="X79" s="221" t="n"/>
      <c r="Y79" s="221" t="n"/>
      <c r="Z79" s="169" t="n">
        <v>24</v>
      </c>
      <c r="AA79" s="526" t="n"/>
      <c r="AB79" s="526" t="n"/>
      <c r="AC79" s="170" t="e">
        <v>#DIV/0!</v>
      </c>
      <c r="AD79" s="171" t="n">
        <v>0</v>
      </c>
      <c r="AE79" s="33" t="n"/>
      <c r="AF79" s="227" t="n"/>
      <c r="AG79" s="231" t="n"/>
      <c r="AH79" s="233" t="n"/>
      <c r="AI79" s="175" t="n"/>
      <c r="AJ79" s="238" t="n"/>
    </row>
    <row r="80" ht="46.5" customHeight="1" s="476">
      <c r="A80" s="48" t="inlineStr">
        <is>
          <t>판암동</t>
        </is>
      </c>
      <c r="B80" s="163" t="inlineStr">
        <is>
          <t>중</t>
        </is>
      </c>
      <c r="C80" s="163" t="inlineStr">
        <is>
          <t>하</t>
        </is>
      </c>
      <c r="D80" s="218" t="inlineStr">
        <is>
          <t>주공1차</t>
        </is>
      </c>
      <c r="E80" s="34" t="n">
        <v>19</v>
      </c>
      <c r="F80" s="34" t="n">
        <v>0.95</v>
      </c>
      <c r="G80" s="34" t="n">
        <v>0.75</v>
      </c>
      <c r="H80" s="40" t="n">
        <v>1990.03</v>
      </c>
      <c r="I80" s="40" t="n">
        <v>1016</v>
      </c>
      <c r="J80" s="35" t="n">
        <v>36.97000000000003</v>
      </c>
      <c r="K80" s="40" t="n">
        <v>63</v>
      </c>
      <c r="L80" s="40" t="n">
        <v>45</v>
      </c>
      <c r="M80" s="40" t="n">
        <v>19</v>
      </c>
      <c r="N80" s="527" t="n">
        <v>9500</v>
      </c>
      <c r="O80" s="528" t="n">
        <v>7500</v>
      </c>
      <c r="P80" s="524" t="n">
        <v>2000</v>
      </c>
      <c r="Q80" s="168" t="n">
        <v>0.7894736842105263</v>
      </c>
      <c r="R80" s="528" t="n">
        <v>15000</v>
      </c>
      <c r="S80" s="529" t="n">
        <v>8000</v>
      </c>
      <c r="T80" s="58" t="inlineStr">
        <is>
          <t>계단식</t>
        </is>
      </c>
      <c r="U80" s="40" t="n">
        <v>1</v>
      </c>
      <c r="V80" s="40" t="n">
        <v>1</v>
      </c>
      <c r="W80" s="40" t="n">
        <v>240</v>
      </c>
      <c r="X80" s="221" t="n"/>
      <c r="Y80" s="221" t="n"/>
      <c r="Z80" s="169" t="n">
        <v>19</v>
      </c>
      <c r="AA80" s="526" t="n"/>
      <c r="AB80" s="526" t="n"/>
      <c r="AC80" s="170" t="e">
        <v>#DIV/0!</v>
      </c>
      <c r="AD80" s="171" t="n">
        <v>0</v>
      </c>
      <c r="AE80" s="33" t="n"/>
      <c r="AF80" s="227" t="n"/>
      <c r="AG80" s="231" t="n"/>
      <c r="AH80" s="122" t="n"/>
      <c r="AI80" s="175" t="n"/>
      <c r="AJ80" s="238" t="n"/>
    </row>
    <row r="81" ht="31" customHeight="1" s="476">
      <c r="A81" s="182" t="inlineStr">
        <is>
          <t>가오동</t>
        </is>
      </c>
      <c r="B81" s="196" t="inlineStr">
        <is>
          <t>중</t>
        </is>
      </c>
      <c r="C81" s="208" t="inlineStr">
        <is>
          <t>하</t>
        </is>
      </c>
      <c r="D81" s="217" t="inlineStr">
        <is>
          <t>주공(210)</t>
        </is>
      </c>
      <c r="E81" s="184" t="n">
        <v>19</v>
      </c>
      <c r="F81" s="184" t="n">
        <v>1.6</v>
      </c>
      <c r="G81" s="184" t="n">
        <v>0.5</v>
      </c>
      <c r="H81" s="197" t="n">
        <v>1985.1</v>
      </c>
      <c r="I81" s="197" t="n">
        <v>460</v>
      </c>
      <c r="J81" s="186" t="n">
        <v>41.90000000000009</v>
      </c>
      <c r="K81" s="197" t="n">
        <v>63</v>
      </c>
      <c r="L81" s="197" t="n">
        <v>57</v>
      </c>
      <c r="M81" s="197" t="n">
        <v>19</v>
      </c>
      <c r="N81" s="517" t="n">
        <v>16000</v>
      </c>
      <c r="O81" s="518" t="n">
        <v>5000</v>
      </c>
      <c r="P81" s="512" t="n">
        <v>11000</v>
      </c>
      <c r="Q81" s="188" t="n">
        <v>0.3125</v>
      </c>
      <c r="R81" s="518" t="n">
        <v>24500</v>
      </c>
      <c r="S81" s="519" t="n">
        <v>20500</v>
      </c>
      <c r="T81" s="198" t="inlineStr">
        <is>
          <t>계단식</t>
        </is>
      </c>
      <c r="U81" s="197" t="n">
        <v>2</v>
      </c>
      <c r="V81" s="197" t="n">
        <v>1</v>
      </c>
      <c r="W81" s="197" t="n">
        <v>1</v>
      </c>
      <c r="X81" s="224" t="n"/>
      <c r="Y81" s="220" t="n"/>
      <c r="Z81" s="190" t="n">
        <v>19</v>
      </c>
      <c r="AA81" s="514" t="n"/>
      <c r="AB81" s="514" t="n"/>
      <c r="AC81" s="191" t="e">
        <v>#DIV/0!</v>
      </c>
      <c r="AD81" s="192" t="n">
        <v>0</v>
      </c>
      <c r="AE81" s="209" t="n"/>
      <c r="AF81" s="520" t="n"/>
      <c r="AG81" s="521" t="n">
        <v>0</v>
      </c>
      <c r="AH81" s="194" t="e">
        <v>#DIV/0!</v>
      </c>
      <c r="AI81" s="200" t="e">
        <v>#DIV/0!</v>
      </c>
      <c r="AJ81" s="238" t="n"/>
    </row>
    <row r="82" ht="47" customHeight="1" s="476" thickBot="1">
      <c r="A82" s="182" t="inlineStr">
        <is>
          <t>가오동</t>
        </is>
      </c>
      <c r="B82" s="196" t="inlineStr">
        <is>
          <t>중</t>
        </is>
      </c>
      <c r="C82" s="208" t="inlineStr">
        <is>
          <t>하</t>
        </is>
      </c>
      <c r="D82" s="217" t="inlineStr">
        <is>
          <t>주공(210)</t>
        </is>
      </c>
      <c r="E82" s="184" t="n">
        <v>20</v>
      </c>
      <c r="F82" s="184" t="n">
        <v>1.6</v>
      </c>
      <c r="G82" s="184" t="n">
        <v>0.6</v>
      </c>
      <c r="H82" s="201" t="n">
        <v>1985.1</v>
      </c>
      <c r="I82" s="201" t="n">
        <v>460</v>
      </c>
      <c r="J82" s="186" t="n">
        <v>41.90000000000009</v>
      </c>
      <c r="K82" s="201" t="n">
        <v>65</v>
      </c>
      <c r="L82" s="201" t="n">
        <v>59</v>
      </c>
      <c r="M82" s="201" t="n">
        <v>20</v>
      </c>
      <c r="N82" s="533" t="n">
        <v>16000</v>
      </c>
      <c r="O82" s="534" t="n">
        <v>6000</v>
      </c>
      <c r="P82" s="512" t="n">
        <v>10000</v>
      </c>
      <c r="Q82" s="188" t="n">
        <v>0.375</v>
      </c>
      <c r="R82" s="534" t="n">
        <v>23500</v>
      </c>
      <c r="S82" s="535" t="n">
        <v>17700</v>
      </c>
      <c r="T82" s="202" t="inlineStr">
        <is>
          <t>계단식</t>
        </is>
      </c>
      <c r="U82" s="201" t="n">
        <v>3</v>
      </c>
      <c r="V82" s="201" t="n">
        <v>1</v>
      </c>
      <c r="W82" s="201" t="n">
        <v>229</v>
      </c>
      <c r="X82" s="224" t="n"/>
      <c r="Y82" s="220" t="n"/>
      <c r="Z82" s="190" t="n">
        <v>20</v>
      </c>
      <c r="AA82" s="514" t="n"/>
      <c r="AB82" s="514" t="n"/>
      <c r="AC82" s="191" t="e">
        <v>#DIV/0!</v>
      </c>
      <c r="AD82" s="192" t="n">
        <v>0</v>
      </c>
      <c r="AE82" s="209" t="n"/>
      <c r="AF82" s="520" t="n"/>
      <c r="AG82" s="521" t="n">
        <v>0</v>
      </c>
      <c r="AH82" s="194" t="e">
        <v>#DIV/0!</v>
      </c>
      <c r="AI82" s="200" t="e">
        <v>#DIV/0!</v>
      </c>
      <c r="AJ82" s="238" t="n"/>
      <c r="AS82" s="458" t="n"/>
    </row>
    <row r="83" ht="15.5" customHeight="1" s="476">
      <c r="A83" s="182" t="inlineStr">
        <is>
          <t>가오동</t>
        </is>
      </c>
      <c r="B83" s="239" t="inlineStr">
        <is>
          <t>중</t>
        </is>
      </c>
      <c r="C83" s="183" t="inlineStr">
        <is>
          <t>하</t>
        </is>
      </c>
      <c r="D83" s="217" t="inlineStr">
        <is>
          <t>주공(210)</t>
        </is>
      </c>
      <c r="E83" s="184" t="n">
        <v>14</v>
      </c>
      <c r="F83" s="184" t="n">
        <v>1.4</v>
      </c>
      <c r="G83" s="184" t="n">
        <v>0.8</v>
      </c>
      <c r="H83" s="187" t="n">
        <v>1985.1</v>
      </c>
      <c r="I83" s="187" t="n">
        <v>460</v>
      </c>
      <c r="J83" s="186" t="n">
        <v>41.90000000000009</v>
      </c>
      <c r="K83" s="187" t="n">
        <v>47</v>
      </c>
      <c r="L83" s="187" t="n">
        <v>42</v>
      </c>
      <c r="M83" s="187" t="n">
        <v>14</v>
      </c>
      <c r="N83" s="510" t="n">
        <v>14000</v>
      </c>
      <c r="O83" s="511" t="n">
        <v>8000</v>
      </c>
      <c r="P83" s="512" t="n">
        <v>6000</v>
      </c>
      <c r="Q83" s="188" t="n">
        <v>0.5714285714285714</v>
      </c>
      <c r="R83" s="511" t="n">
        <v>18000</v>
      </c>
      <c r="S83" s="513" t="n">
        <v>13000</v>
      </c>
      <c r="T83" s="189" t="inlineStr">
        <is>
          <t>계단식</t>
        </is>
      </c>
      <c r="U83" s="187" t="n">
        <v>2</v>
      </c>
      <c r="V83" s="187" t="n">
        <v>1</v>
      </c>
      <c r="W83" s="187" t="n">
        <v>27</v>
      </c>
      <c r="X83" s="224" t="n"/>
      <c r="Y83" s="220" t="n"/>
      <c r="Z83" s="190" t="n">
        <v>14</v>
      </c>
      <c r="AA83" s="514" t="n"/>
      <c r="AB83" s="514" t="n"/>
      <c r="AC83" s="191" t="e">
        <v>#DIV/0!</v>
      </c>
      <c r="AD83" s="192" t="n">
        <v>0</v>
      </c>
      <c r="AE83" s="209" t="n"/>
      <c r="AF83" s="520" t="n"/>
      <c r="AG83" s="521" t="n">
        <v>0</v>
      </c>
      <c r="AH83" s="194" t="e">
        <v>#DIV/0!</v>
      </c>
      <c r="AI83" s="200" t="e">
        <v>#DIV/0!</v>
      </c>
      <c r="AJ83" s="238" t="n"/>
    </row>
    <row r="84" ht="46.5" customHeight="1" s="476">
      <c r="A84" s="182" t="inlineStr">
        <is>
          <t>가오동</t>
        </is>
      </c>
      <c r="B84" s="196" t="inlineStr">
        <is>
          <t>중</t>
        </is>
      </c>
      <c r="C84" s="208" t="inlineStr">
        <is>
          <t>하</t>
        </is>
      </c>
      <c r="D84" s="217" t="inlineStr">
        <is>
          <t>주공(210)</t>
        </is>
      </c>
      <c r="E84" s="184" t="n">
        <v>16</v>
      </c>
      <c r="F84" s="184" t="n">
        <v>1</v>
      </c>
      <c r="G84" s="184" t="n">
        <v>0.6</v>
      </c>
      <c r="H84" s="197" t="n">
        <v>1985.1</v>
      </c>
      <c r="I84" s="197" t="n">
        <v>460</v>
      </c>
      <c r="J84" s="186" t="n">
        <v>41.90000000000009</v>
      </c>
      <c r="K84" s="197" t="n">
        <v>54</v>
      </c>
      <c r="L84" s="197" t="n">
        <v>49</v>
      </c>
      <c r="M84" s="197" t="n">
        <v>16</v>
      </c>
      <c r="N84" s="517" t="n">
        <v>10000</v>
      </c>
      <c r="O84" s="518" t="n">
        <v>6000</v>
      </c>
      <c r="P84" s="512" t="n">
        <v>4000</v>
      </c>
      <c r="Q84" s="188" t="n">
        <v>0.6</v>
      </c>
      <c r="R84" s="518" t="n">
        <v>21500</v>
      </c>
      <c r="S84" s="519" t="n">
        <v>13100</v>
      </c>
      <c r="T84" s="198" t="inlineStr">
        <is>
          <t>계단식</t>
        </is>
      </c>
      <c r="U84" s="197" t="n">
        <v>2</v>
      </c>
      <c r="V84" s="197" t="n">
        <v>1</v>
      </c>
      <c r="W84" s="197" t="n">
        <v>203</v>
      </c>
      <c r="X84" s="224" t="n"/>
      <c r="Y84" s="220" t="n"/>
      <c r="Z84" s="190" t="n">
        <v>16</v>
      </c>
      <c r="AA84" s="514" t="n"/>
      <c r="AB84" s="514" t="n"/>
      <c r="AC84" s="191" t="e">
        <v>#DIV/0!</v>
      </c>
      <c r="AD84" s="192" t="n">
        <v>0</v>
      </c>
      <c r="AE84" s="209" t="n"/>
      <c r="AF84" s="520" t="n"/>
      <c r="AG84" s="521" t="n">
        <v>0</v>
      </c>
      <c r="AH84" s="194" t="e">
        <v>#DIV/0!</v>
      </c>
      <c r="AI84" s="200" t="e">
        <v>#DIV/0!</v>
      </c>
      <c r="AJ84" s="238" t="n"/>
    </row>
    <row r="85" ht="31" customHeight="1" s="476">
      <c r="A85" s="45" t="inlineStr">
        <is>
          <t>신흥동</t>
        </is>
      </c>
      <c r="B85" s="174" t="inlineStr">
        <is>
          <t>상</t>
        </is>
      </c>
      <c r="C85" s="166" t="inlineStr">
        <is>
          <t>중</t>
        </is>
      </c>
      <c r="D85" s="219" t="inlineStr">
        <is>
          <t>이스트시티2단지</t>
        </is>
      </c>
      <c r="E85" s="34" t="n">
        <v>31</v>
      </c>
      <c r="F85" s="34" t="n">
        <v>4</v>
      </c>
      <c r="G85" s="34" t="n">
        <v>3</v>
      </c>
      <c r="H85" s="47" t="n">
        <v>2018.1</v>
      </c>
      <c r="I85" s="47" t="n">
        <v>636</v>
      </c>
      <c r="J85" s="35" t="n">
        <v>8.900000000000091</v>
      </c>
      <c r="K85" s="47" t="inlineStr">
        <is>
          <t>102A, 102A-2, 102C</t>
        </is>
      </c>
      <c r="L85" s="47" t="n">
        <v>74</v>
      </c>
      <c r="M85" s="47" t="n">
        <v>31</v>
      </c>
      <c r="N85" s="556" t="n">
        <v>40000</v>
      </c>
      <c r="O85" s="557" t="n">
        <v>30000</v>
      </c>
      <c r="P85" s="524" t="n">
        <v>10000</v>
      </c>
      <c r="Q85" s="168" t="n">
        <v>0.75</v>
      </c>
      <c r="R85" s="557" t="n">
        <v>53000</v>
      </c>
      <c r="S85" s="558" t="n">
        <v>35000</v>
      </c>
      <c r="T85" s="63" t="inlineStr">
        <is>
          <t>계단식</t>
        </is>
      </c>
      <c r="U85" s="47" t="n">
        <v>3</v>
      </c>
      <c r="V85" s="47" t="n">
        <v>2</v>
      </c>
      <c r="W85" s="47" t="n">
        <v>228</v>
      </c>
      <c r="X85" s="221" t="n"/>
      <c r="Y85" s="221" t="n"/>
      <c r="Z85" s="169" t="n">
        <v>31</v>
      </c>
      <c r="AA85" s="526" t="n"/>
      <c r="AB85" s="526" t="n"/>
      <c r="AC85" s="170" t="e">
        <v>#DIV/0!</v>
      </c>
      <c r="AD85" s="171" t="n">
        <v>0</v>
      </c>
      <c r="AE85" s="33" t="n"/>
      <c r="AF85" s="227" t="n"/>
      <c r="AG85" s="231" t="n"/>
      <c r="AH85" s="122" t="n"/>
      <c r="AI85" s="175" t="n"/>
      <c r="AJ85" s="238" t="n"/>
    </row>
    <row r="86" ht="124.5" customHeight="1" s="476" thickBot="1">
      <c r="A86" s="45" t="inlineStr">
        <is>
          <t>신흥동</t>
        </is>
      </c>
      <c r="B86" s="174" t="inlineStr">
        <is>
          <t>상</t>
        </is>
      </c>
      <c r="C86" s="166" t="inlineStr">
        <is>
          <t>중</t>
        </is>
      </c>
      <c r="D86" s="219" t="inlineStr">
        <is>
          <t>이스트시티2단지</t>
        </is>
      </c>
      <c r="E86" s="34" t="n">
        <v>25</v>
      </c>
      <c r="F86" s="34" t="n">
        <v>3.3</v>
      </c>
      <c r="G86" s="34" t="n">
        <v>2.3</v>
      </c>
      <c r="H86" s="242" t="n">
        <v>2018.1</v>
      </c>
      <c r="I86" s="242" t="n">
        <v>636</v>
      </c>
      <c r="J86" s="35" t="n">
        <v>8.900000000000091</v>
      </c>
      <c r="K86" s="242" t="inlineStr">
        <is>
          <t>83A</t>
        </is>
      </c>
      <c r="L86" s="242" t="n">
        <v>59</v>
      </c>
      <c r="M86" s="242" t="n">
        <v>25</v>
      </c>
      <c r="N86" s="559" t="n">
        <v>33000</v>
      </c>
      <c r="O86" s="560" t="n">
        <v>23000</v>
      </c>
      <c r="P86" s="524" t="n">
        <v>10000</v>
      </c>
      <c r="Q86" s="168" t="n">
        <v>0.696969696969697</v>
      </c>
      <c r="R86" s="560" t="n">
        <v>32000</v>
      </c>
      <c r="S86" s="561" t="n">
        <v>22000</v>
      </c>
      <c r="T86" s="248" t="inlineStr">
        <is>
          <t>계단식</t>
        </is>
      </c>
      <c r="U86" s="242" t="n">
        <v>3</v>
      </c>
      <c r="V86" s="242" t="n">
        <v>2</v>
      </c>
      <c r="W86" s="242" t="n">
        <v>31</v>
      </c>
      <c r="X86" s="221" t="n">
        <v>2024.1</v>
      </c>
      <c r="Y86" s="221" t="n">
        <v>0.02</v>
      </c>
      <c r="Z86" s="169" t="n">
        <v>25</v>
      </c>
      <c r="AA86" s="526" t="n">
        <v>30000</v>
      </c>
      <c r="AB86" s="526" t="n">
        <v>24000</v>
      </c>
      <c r="AC86" s="170" t="e">
        <v>#DIV/0!</v>
      </c>
      <c r="AD86" s="171" t="n">
        <v>0</v>
      </c>
      <c r="AE86" s="33" t="n"/>
      <c r="AF86" s="227" t="n"/>
      <c r="AG86" s="231" t="n"/>
      <c r="AH86" s="122" t="n"/>
      <c r="AI86" s="175" t="n"/>
      <c r="AJ86" s="238" t="n"/>
    </row>
    <row r="87" ht="62" customHeight="1" s="476">
      <c r="A87" s="45" t="inlineStr">
        <is>
          <t>신흥동</t>
        </is>
      </c>
      <c r="B87" s="163" t="inlineStr">
        <is>
          <t>상</t>
        </is>
      </c>
      <c r="C87" s="163" t="inlineStr">
        <is>
          <t>중</t>
        </is>
      </c>
      <c r="D87" s="219" t="inlineStr">
        <is>
          <t>이스트시티2단지</t>
        </is>
      </c>
      <c r="E87" s="34" t="n">
        <v>22</v>
      </c>
      <c r="F87" s="34" t="n">
        <v>2.25</v>
      </c>
      <c r="G87" s="34" t="n">
        <v>1.75</v>
      </c>
      <c r="H87" s="46" t="n">
        <v>2018.1</v>
      </c>
      <c r="I87" s="46" t="n">
        <v>636</v>
      </c>
      <c r="J87" s="35" t="n">
        <v>8.900000000000091</v>
      </c>
      <c r="K87" s="46" t="inlineStr">
        <is>
          <t>73A</t>
        </is>
      </c>
      <c r="L87" s="46" t="n">
        <v>46</v>
      </c>
      <c r="M87" s="46" t="n">
        <v>22</v>
      </c>
      <c r="N87" s="562" t="n">
        <v>22500</v>
      </c>
      <c r="O87" s="563" t="n">
        <v>17500</v>
      </c>
      <c r="P87" s="524" t="n">
        <v>5000</v>
      </c>
      <c r="Q87" s="168" t="n">
        <v>0.7777777777777778</v>
      </c>
      <c r="R87" s="563" t="n">
        <v>22000</v>
      </c>
      <c r="S87" s="564" t="n">
        <v>20000</v>
      </c>
      <c r="T87" s="64" t="inlineStr">
        <is>
          <t>계단식</t>
        </is>
      </c>
      <c r="U87" s="46" t="n">
        <v>3</v>
      </c>
      <c r="V87" s="46" t="n">
        <v>2</v>
      </c>
      <c r="W87" s="46" t="n">
        <v>165</v>
      </c>
      <c r="X87" s="221" t="n"/>
      <c r="Y87" s="221" t="n"/>
      <c r="Z87" s="169" t="n">
        <v>22</v>
      </c>
      <c r="AA87" s="526" t="n"/>
      <c r="AB87" s="526" t="n"/>
      <c r="AC87" s="170" t="e">
        <v>#DIV/0!</v>
      </c>
      <c r="AD87" s="171" t="n">
        <v>0</v>
      </c>
      <c r="AE87" s="33" t="n"/>
      <c r="AF87" s="227" t="n"/>
      <c r="AG87" s="231" t="n"/>
      <c r="AH87" s="122" t="n"/>
      <c r="AI87" s="175" t="n"/>
      <c r="AJ87" s="238" t="n"/>
    </row>
    <row r="88" ht="46.5" customHeight="1" s="476">
      <c r="A88" s="45" t="inlineStr">
        <is>
          <t>신흥동</t>
        </is>
      </c>
      <c r="B88" s="174" t="inlineStr">
        <is>
          <t>상</t>
        </is>
      </c>
      <c r="C88" s="66" t="inlineStr">
        <is>
          <t>중</t>
        </is>
      </c>
      <c r="D88" s="219" t="inlineStr">
        <is>
          <t>이스트시티2단지</t>
        </is>
      </c>
      <c r="E88" s="34" t="n">
        <v>19</v>
      </c>
      <c r="F88" s="34" t="n">
        <v>2</v>
      </c>
      <c r="G88" s="34" t="n">
        <v>1.5</v>
      </c>
      <c r="H88" s="247" t="n">
        <v>2018.1</v>
      </c>
      <c r="I88" s="247" t="n">
        <v>636</v>
      </c>
      <c r="J88" s="35" t="n">
        <v>8.900000000000091</v>
      </c>
      <c r="K88" s="247" t="inlineStr">
        <is>
          <t>64A</t>
        </is>
      </c>
      <c r="L88" s="247" t="n">
        <v>39</v>
      </c>
      <c r="M88" s="247" t="n">
        <v>19</v>
      </c>
      <c r="N88" s="565" t="n">
        <v>20000</v>
      </c>
      <c r="O88" s="566" t="n">
        <v>15000</v>
      </c>
      <c r="P88" s="524" t="n">
        <v>5000</v>
      </c>
      <c r="Q88" s="168" t="n">
        <v>0.75</v>
      </c>
      <c r="R88" s="557" t="n">
        <v>19000</v>
      </c>
      <c r="S88" s="558" t="n">
        <v>16000</v>
      </c>
      <c r="T88" s="250" t="inlineStr">
        <is>
          <t>복도식</t>
        </is>
      </c>
      <c r="U88" s="247" t="n">
        <v>3</v>
      </c>
      <c r="V88" s="247" t="n">
        <v>2</v>
      </c>
      <c r="W88" s="247" t="n">
        <v>35</v>
      </c>
      <c r="X88" s="221" t="n">
        <v>2024.06</v>
      </c>
      <c r="Y88" s="221" t="n">
        <v>0.04</v>
      </c>
      <c r="Z88" s="169" t="n">
        <v>19</v>
      </c>
      <c r="AA88" s="526" t="n">
        <v>16000</v>
      </c>
      <c r="AB88" s="526" t="n">
        <v>15000</v>
      </c>
      <c r="AC88" s="170" t="e">
        <v>#DIV/0!</v>
      </c>
      <c r="AD88" s="171" t="n">
        <v>0</v>
      </c>
      <c r="AE88" s="33" t="n"/>
      <c r="AF88" s="227" t="n"/>
      <c r="AG88" s="231" t="n"/>
      <c r="AH88" s="233" t="n"/>
      <c r="AI88" s="175" t="n"/>
      <c r="AJ88" s="238" t="n"/>
    </row>
    <row r="89" ht="46.5" customHeight="1" s="476">
      <c r="A89" s="182" t="inlineStr">
        <is>
          <t>대동</t>
        </is>
      </c>
      <c r="B89" s="196" t="inlineStr">
        <is>
          <t>상</t>
        </is>
      </c>
      <c r="C89" s="208" t="inlineStr">
        <is>
          <t>상</t>
        </is>
      </c>
      <c r="D89" s="217" t="inlineStr">
        <is>
          <t>이스트시티1단지</t>
        </is>
      </c>
      <c r="E89" s="184" t="n">
        <v>34</v>
      </c>
      <c r="F89" s="184" t="n">
        <v>4.95</v>
      </c>
      <c r="G89" s="184" t="n">
        <v>4.5</v>
      </c>
      <c r="H89" s="197" t="n">
        <v>2018.11</v>
      </c>
      <c r="I89" s="197" t="n">
        <v>1345</v>
      </c>
      <c r="J89" s="186" t="n">
        <v>8.8900000000001</v>
      </c>
      <c r="K89" s="197" t="inlineStr">
        <is>
          <t>113A-1, 113A, 113B</t>
        </is>
      </c>
      <c r="L89" s="197" t="n">
        <v>84</v>
      </c>
      <c r="M89" s="197" t="n">
        <v>34</v>
      </c>
      <c r="N89" s="517" t="n">
        <v>50000</v>
      </c>
      <c r="O89" s="518" t="n">
        <v>45000</v>
      </c>
      <c r="P89" s="512" t="n">
        <v>4500</v>
      </c>
      <c r="Q89" s="188" t="n">
        <v>0.9090909090909091</v>
      </c>
      <c r="R89" s="518" t="n">
        <v>71000</v>
      </c>
      <c r="S89" s="519" t="n">
        <v>46600</v>
      </c>
      <c r="T89" s="198" t="inlineStr">
        <is>
          <t>계단식</t>
        </is>
      </c>
      <c r="U89" s="197" t="n">
        <v>3</v>
      </c>
      <c r="V89" s="197" t="n">
        <v>2</v>
      </c>
      <c r="W89" s="197" t="n">
        <v>777</v>
      </c>
      <c r="X89" s="224" t="n"/>
      <c r="Y89" s="220" t="n"/>
      <c r="Z89" s="190" t="n">
        <v>34</v>
      </c>
      <c r="AA89" s="514" t="n"/>
      <c r="AB89" s="514" t="n"/>
      <c r="AC89" s="191" t="e">
        <v>#DIV/0!</v>
      </c>
      <c r="AD89" s="192" t="n">
        <v>0</v>
      </c>
      <c r="AE89" s="209" t="n"/>
      <c r="AF89" s="520" t="n"/>
      <c r="AG89" s="521" t="n">
        <v>0</v>
      </c>
      <c r="AH89" s="194" t="e">
        <v>#DIV/0!</v>
      </c>
      <c r="AI89" s="200" t="e">
        <v>#DIV/0!</v>
      </c>
      <c r="AJ89" s="238" t="n"/>
    </row>
    <row r="90" ht="15.5" customHeight="1" s="476">
      <c r="A90" s="182" t="inlineStr">
        <is>
          <t>대동</t>
        </is>
      </c>
      <c r="B90" s="196" t="inlineStr">
        <is>
          <t>상</t>
        </is>
      </c>
      <c r="C90" s="208" t="inlineStr">
        <is>
          <t>상</t>
        </is>
      </c>
      <c r="D90" s="217" t="inlineStr">
        <is>
          <t>이스트시티1단지</t>
        </is>
      </c>
      <c r="E90" s="184" t="n">
        <v>30</v>
      </c>
      <c r="F90" s="184" t="n">
        <v>4.2</v>
      </c>
      <c r="G90" s="184" t="n">
        <v>2.8</v>
      </c>
      <c r="H90" s="197" t="n">
        <v>2018.11</v>
      </c>
      <c r="I90" s="197" t="n">
        <v>1345</v>
      </c>
      <c r="J90" s="186" t="n">
        <v>8.8900000000001</v>
      </c>
      <c r="K90" s="197" t="inlineStr">
        <is>
          <t>100B, 101A</t>
        </is>
      </c>
      <c r="L90" s="197" t="n">
        <v>74</v>
      </c>
      <c r="M90" s="197" t="n">
        <v>30</v>
      </c>
      <c r="N90" s="517" t="n">
        <v>42000</v>
      </c>
      <c r="O90" s="518" t="n">
        <v>28000</v>
      </c>
      <c r="P90" s="512" t="n">
        <v>14000</v>
      </c>
      <c r="Q90" s="188" t="n">
        <v>0.6666666666666666</v>
      </c>
      <c r="R90" s="518" t="n">
        <v>59800</v>
      </c>
      <c r="S90" s="519" t="n">
        <v>40000</v>
      </c>
      <c r="T90" s="198" t="inlineStr">
        <is>
          <t>계단식</t>
        </is>
      </c>
      <c r="U90" s="197" t="n">
        <v>3</v>
      </c>
      <c r="V90" s="197" t="n">
        <v>2</v>
      </c>
      <c r="W90" s="197" t="n">
        <v>336</v>
      </c>
      <c r="X90" s="224" t="n"/>
      <c r="Y90" s="220" t="n"/>
      <c r="Z90" s="190" t="n">
        <v>30</v>
      </c>
      <c r="AA90" s="514" t="n"/>
      <c r="AB90" s="514" t="n"/>
      <c r="AC90" s="191" t="e">
        <v>#DIV/0!</v>
      </c>
      <c r="AD90" s="192" t="n">
        <v>0</v>
      </c>
      <c r="AE90" s="209" t="n"/>
      <c r="AF90" s="520" t="n"/>
      <c r="AG90" s="521" t="n">
        <v>0</v>
      </c>
      <c r="AH90" s="194" t="e">
        <v>#DIV/0!</v>
      </c>
      <c r="AI90" s="200" t="e">
        <v>#DIV/0!</v>
      </c>
      <c r="AJ90" s="238" t="n"/>
    </row>
    <row r="91" ht="16" customHeight="1" s="476" thickBot="1">
      <c r="A91" s="182" t="inlineStr">
        <is>
          <t>대동</t>
        </is>
      </c>
      <c r="B91" s="196" t="inlineStr">
        <is>
          <t>상</t>
        </is>
      </c>
      <c r="C91" s="208" t="inlineStr">
        <is>
          <t>상</t>
        </is>
      </c>
      <c r="D91" s="217" t="inlineStr">
        <is>
          <t>이스트시티1단지</t>
        </is>
      </c>
      <c r="E91" s="184" t="n">
        <v>26</v>
      </c>
      <c r="F91" s="184" t="n">
        <v>3.7</v>
      </c>
      <c r="G91" s="184" t="n">
        <v>2.6</v>
      </c>
      <c r="H91" s="203" t="n">
        <v>2018.11</v>
      </c>
      <c r="I91" s="203" t="n">
        <v>1345</v>
      </c>
      <c r="J91" s="186" t="n">
        <v>8.8900000000001</v>
      </c>
      <c r="K91" s="203" t="inlineStr">
        <is>
          <t>86A</t>
        </is>
      </c>
      <c r="L91" s="203" t="n">
        <v>59</v>
      </c>
      <c r="M91" s="203" t="n">
        <v>26</v>
      </c>
      <c r="N91" s="567" t="n">
        <v>37000</v>
      </c>
      <c r="O91" s="568" t="n">
        <v>26000</v>
      </c>
      <c r="P91" s="512" t="n">
        <v>11000</v>
      </c>
      <c r="Q91" s="188" t="n">
        <v>0.7027027027027027</v>
      </c>
      <c r="R91" s="534" t="n">
        <v>50000</v>
      </c>
      <c r="S91" s="535" t="n">
        <v>33000</v>
      </c>
      <c r="T91" s="214" t="inlineStr">
        <is>
          <t>계단식</t>
        </is>
      </c>
      <c r="U91" s="203" t="n">
        <v>3</v>
      </c>
      <c r="V91" s="203" t="n">
        <v>2</v>
      </c>
      <c r="W91" s="203" t="n">
        <v>232</v>
      </c>
      <c r="X91" s="224" t="n"/>
      <c r="Y91" s="220" t="n"/>
      <c r="Z91" s="190" t="n">
        <v>26</v>
      </c>
      <c r="AA91" s="514" t="n"/>
      <c r="AB91" s="514" t="n"/>
      <c r="AC91" s="191" t="e">
        <v>#DIV/0!</v>
      </c>
      <c r="AD91" s="192" t="n">
        <v>0</v>
      </c>
      <c r="AE91" s="209" t="n"/>
      <c r="AF91" s="520" t="n"/>
      <c r="AG91" s="521" t="n">
        <v>0</v>
      </c>
      <c r="AH91" s="194" t="e">
        <v>#DIV/0!</v>
      </c>
      <c r="AI91" s="200" t="e">
        <v>#DIV/0!</v>
      </c>
      <c r="AJ91" s="238" t="n"/>
    </row>
    <row r="92" ht="31" customHeight="1" s="476">
      <c r="A92" s="48" t="inlineStr">
        <is>
          <t>대성동</t>
        </is>
      </c>
      <c r="B92" s="163" t="inlineStr">
        <is>
          <t>중</t>
        </is>
      </c>
      <c r="C92" s="163" t="inlineStr">
        <is>
          <t>상</t>
        </is>
      </c>
      <c r="D92" s="218" t="inlineStr">
        <is>
          <t>은어송하늘채리버뷰</t>
        </is>
      </c>
      <c r="E92" s="34" t="n">
        <v>33</v>
      </c>
      <c r="F92" s="34" t="n">
        <v>4.7</v>
      </c>
      <c r="G92" s="34" t="n">
        <v>3.5</v>
      </c>
      <c r="H92" s="40" t="n">
        <v>2024.07</v>
      </c>
      <c r="I92" s="40" t="n">
        <v>934</v>
      </c>
      <c r="J92" s="35" t="n">
        <v>2.930000000000064</v>
      </c>
      <c r="K92" s="40" t="inlineStr">
        <is>
          <t>109A, 109AT, 110B, 110BT, 111C</t>
        </is>
      </c>
      <c r="L92" s="40" t="n">
        <v>84</v>
      </c>
      <c r="M92" s="40" t="n">
        <v>33</v>
      </c>
      <c r="N92" s="527" t="n">
        <v>47000</v>
      </c>
      <c r="O92" s="528" t="n">
        <v>35000</v>
      </c>
      <c r="P92" s="524" t="n">
        <v>12000</v>
      </c>
      <c r="Q92" s="168" t="n">
        <v>0.7446808510638298</v>
      </c>
      <c r="R92" s="528" t="n">
        <v>45000</v>
      </c>
      <c r="S92" s="529" t="n">
        <v>42500</v>
      </c>
      <c r="T92" s="58" t="inlineStr">
        <is>
          <t>계단식</t>
        </is>
      </c>
      <c r="U92" s="40" t="n">
        <v>3</v>
      </c>
      <c r="V92" s="40" t="n">
        <v>2</v>
      </c>
      <c r="W92" s="40" t="n">
        <v>782</v>
      </c>
      <c r="X92" s="221" t="n"/>
      <c r="Y92" s="221" t="n"/>
      <c r="Z92" s="169" t="n">
        <v>33</v>
      </c>
      <c r="AA92" s="526" t="n"/>
      <c r="AB92" s="526" t="n"/>
      <c r="AC92" s="170" t="e">
        <v>#DIV/0!</v>
      </c>
      <c r="AD92" s="171" t="n">
        <v>0</v>
      </c>
      <c r="AE92" s="33" t="n"/>
      <c r="AF92" s="227" t="n"/>
      <c r="AG92" s="231" t="n"/>
      <c r="AH92" s="233" t="n"/>
      <c r="AI92" s="175" t="n"/>
      <c r="AJ92" s="238" t="n"/>
      <c r="AS92" s="458" t="n"/>
    </row>
    <row r="93" ht="31" customHeight="1" s="476">
      <c r="A93" s="48" t="inlineStr">
        <is>
          <t>대성동</t>
        </is>
      </c>
      <c r="B93" s="65" t="inlineStr">
        <is>
          <t>중</t>
        </is>
      </c>
      <c r="C93" s="166" t="inlineStr">
        <is>
          <t>상</t>
        </is>
      </c>
      <c r="D93" s="218" t="inlineStr">
        <is>
          <t>은어송하늘채리버뷰</t>
        </is>
      </c>
      <c r="E93" s="34" t="n">
        <v>30</v>
      </c>
      <c r="F93" s="34" t="n">
        <v>4.3</v>
      </c>
      <c r="G93" s="34" t="n">
        <v>2.4</v>
      </c>
      <c r="H93" s="41" t="n">
        <v>2024.07</v>
      </c>
      <c r="I93" s="41" t="n">
        <v>934</v>
      </c>
      <c r="J93" s="35" t="n">
        <v>2.930000000000064</v>
      </c>
      <c r="K93" s="41" t="inlineStr">
        <is>
          <t>99A</t>
        </is>
      </c>
      <c r="L93" s="41" t="n">
        <v>76</v>
      </c>
      <c r="M93" s="41" t="n">
        <v>30</v>
      </c>
      <c r="N93" s="530" t="n">
        <v>43000</v>
      </c>
      <c r="O93" s="531" t="n">
        <v>24000</v>
      </c>
      <c r="P93" s="524" t="n">
        <v>19000</v>
      </c>
      <c r="Q93" s="168" t="n">
        <v>0.5581395348837209</v>
      </c>
      <c r="R93" s="531" t="n">
        <v>40300</v>
      </c>
      <c r="S93" s="532" t="n">
        <v>39720</v>
      </c>
      <c r="T93" s="59" t="inlineStr">
        <is>
          <t>계단식</t>
        </is>
      </c>
      <c r="U93" s="41" t="n">
        <v>3</v>
      </c>
      <c r="V93" s="41" t="n">
        <v>2</v>
      </c>
      <c r="W93" s="41" t="n">
        <v>30</v>
      </c>
      <c r="X93" s="221" t="n"/>
      <c r="Y93" s="221" t="n"/>
      <c r="Z93" s="169" t="n">
        <v>30</v>
      </c>
      <c r="AA93" s="526" t="n"/>
      <c r="AB93" s="526" t="n"/>
      <c r="AC93" s="170" t="e">
        <v>#DIV/0!</v>
      </c>
      <c r="AD93" s="171" t="n">
        <v>0</v>
      </c>
      <c r="AE93" s="33" t="n"/>
      <c r="AF93" s="227" t="n"/>
      <c r="AG93" s="231" t="n"/>
      <c r="AH93" s="233" t="n"/>
      <c r="AI93" s="175" t="n"/>
      <c r="AJ93" s="238" t="n"/>
      <c r="AS93" s="231" t="inlineStr">
        <is>
          <t>[공급 영향 심화 버전]</t>
        </is>
      </c>
    </row>
    <row r="94" ht="16" customHeight="1" s="476" thickBot="1">
      <c r="A94" s="48" t="inlineStr">
        <is>
          <t>대성동</t>
        </is>
      </c>
      <c r="B94" s="65" t="inlineStr">
        <is>
          <t>중</t>
        </is>
      </c>
      <c r="C94" s="166" t="inlineStr">
        <is>
          <t>상</t>
        </is>
      </c>
      <c r="D94" s="218" t="inlineStr">
        <is>
          <t>은어송하늘채리버뷰</t>
        </is>
      </c>
      <c r="E94" s="34" t="n">
        <v>24</v>
      </c>
      <c r="F94" s="34" t="n">
        <v>3.57</v>
      </c>
      <c r="G94" s="34" t="n">
        <v>1.5</v>
      </c>
      <c r="H94" s="42" t="n">
        <v>2024.07</v>
      </c>
      <c r="I94" s="42" t="n">
        <v>934</v>
      </c>
      <c r="J94" s="35" t="n">
        <v>2.930000000000064</v>
      </c>
      <c r="K94" s="42" t="inlineStr">
        <is>
          <t>78A</t>
        </is>
      </c>
      <c r="L94" s="42" t="n">
        <v>59</v>
      </c>
      <c r="M94" s="42" t="n">
        <v>24</v>
      </c>
      <c r="N94" s="522" t="n">
        <v>35700</v>
      </c>
      <c r="O94" s="523" t="n">
        <v>15000</v>
      </c>
      <c r="P94" s="524" t="n">
        <v>20700</v>
      </c>
      <c r="Q94" s="168" t="n">
        <v>0.4201680672268908</v>
      </c>
      <c r="R94" s="523" t="n">
        <v>32000</v>
      </c>
      <c r="S94" s="525" t="n">
        <v>32000</v>
      </c>
      <c r="T94" s="60" t="inlineStr">
        <is>
          <t>계단식</t>
        </is>
      </c>
      <c r="U94" s="42" t="n">
        <v>3</v>
      </c>
      <c r="V94" s="42" t="n">
        <v>2</v>
      </c>
      <c r="W94" s="42" t="n">
        <v>122</v>
      </c>
      <c r="X94" s="221" t="n"/>
      <c r="Y94" s="221" t="n"/>
      <c r="Z94" s="169" t="n">
        <v>24</v>
      </c>
      <c r="AA94" s="526" t="n"/>
      <c r="AB94" s="526" t="n"/>
      <c r="AC94" s="170" t="e">
        <v>#DIV/0!</v>
      </c>
      <c r="AD94" s="171" t="n">
        <v>0</v>
      </c>
      <c r="AE94" s="33" t="n"/>
      <c r="AF94" s="227" t="n"/>
      <c r="AG94" s="231" t="n"/>
      <c r="AH94" s="233" t="n"/>
      <c r="AI94" s="175" t="n"/>
      <c r="AJ94" s="238" t="n"/>
    </row>
    <row r="95" ht="46.5" customHeight="1" s="476">
      <c r="A95" s="182" t="inlineStr">
        <is>
          <t>대성동</t>
        </is>
      </c>
      <c r="B95" s="183" t="inlineStr">
        <is>
          <t>중</t>
        </is>
      </c>
      <c r="C95" s="183" t="inlineStr">
        <is>
          <t>상</t>
        </is>
      </c>
      <c r="D95" s="217" t="inlineStr">
        <is>
          <t>은어송코오롱하늘채2차</t>
        </is>
      </c>
      <c r="E95" s="184" t="n">
        <v>35</v>
      </c>
      <c r="F95" s="184" t="n">
        <v>3.9</v>
      </c>
      <c r="G95" s="184" t="n">
        <v>2.8</v>
      </c>
      <c r="H95" s="187" t="n">
        <v>2016.09</v>
      </c>
      <c r="I95" s="187" t="n">
        <v>408</v>
      </c>
      <c r="J95" s="186" t="n">
        <v>10.91000000000008</v>
      </c>
      <c r="K95" s="187" t="inlineStr">
        <is>
          <t>115B, 117A</t>
        </is>
      </c>
      <c r="L95" s="187" t="n">
        <v>84</v>
      </c>
      <c r="M95" s="187" t="n">
        <v>35</v>
      </c>
      <c r="N95" s="510" t="n">
        <v>35500</v>
      </c>
      <c r="O95" s="511" t="n">
        <v>28000</v>
      </c>
      <c r="P95" s="512" t="n">
        <v>11000</v>
      </c>
      <c r="Q95" s="188" t="n">
        <v>0.717948717948718</v>
      </c>
      <c r="R95" s="511" t="n">
        <v>44000</v>
      </c>
      <c r="S95" s="513" t="n">
        <v>31000</v>
      </c>
      <c r="T95" s="189" t="inlineStr">
        <is>
          <t>계단식</t>
        </is>
      </c>
      <c r="U95" s="187" t="n">
        <v>3</v>
      </c>
      <c r="V95" s="187" t="n">
        <v>2</v>
      </c>
      <c r="W95" s="187" t="n">
        <v>234</v>
      </c>
      <c r="X95" s="220" t="n">
        <v>2020.07</v>
      </c>
      <c r="Y95" s="220" t="n">
        <v>0.03</v>
      </c>
      <c r="Z95" s="190" t="n">
        <v>35</v>
      </c>
      <c r="AA95" s="514" t="n">
        <v>31454</v>
      </c>
      <c r="AB95" s="514" t="n">
        <v>27000</v>
      </c>
      <c r="AC95" s="191" t="e">
        <v>#DIV/0!</v>
      </c>
      <c r="AD95" s="192" t="n">
        <v>0</v>
      </c>
      <c r="AE95" s="209" t="n"/>
      <c r="AF95" s="230" t="n"/>
      <c r="AG95" s="232" t="n"/>
      <c r="AH95" s="234" t="n"/>
      <c r="AI95" s="200" t="n"/>
      <c r="AJ95" s="238" t="n"/>
    </row>
    <row r="96" ht="46.5" customHeight="1" s="476">
      <c r="A96" s="182" t="inlineStr">
        <is>
          <t>대성동</t>
        </is>
      </c>
      <c r="B96" s="196" t="inlineStr">
        <is>
          <t>중</t>
        </is>
      </c>
      <c r="C96" s="208" t="inlineStr">
        <is>
          <t>상</t>
        </is>
      </c>
      <c r="D96" s="217" t="inlineStr">
        <is>
          <t>은어송코오롱하늘채2차</t>
        </is>
      </c>
      <c r="E96" s="184" t="n">
        <v>30</v>
      </c>
      <c r="F96" s="184" t="n">
        <v>3</v>
      </c>
      <c r="G96" s="184" t="n">
        <v>2.2</v>
      </c>
      <c r="H96" s="197" t="n">
        <v>2016.09</v>
      </c>
      <c r="I96" s="197" t="n">
        <v>408</v>
      </c>
      <c r="J96" s="186" t="n">
        <v>10.91000000000008</v>
      </c>
      <c r="K96" s="197" t="inlineStr">
        <is>
          <t>98B, 99A</t>
        </is>
      </c>
      <c r="L96" s="197" t="n">
        <v>70</v>
      </c>
      <c r="M96" s="197" t="n">
        <v>30</v>
      </c>
      <c r="N96" s="517" t="n">
        <v>30000</v>
      </c>
      <c r="O96" s="518" t="n">
        <v>22000</v>
      </c>
      <c r="P96" s="512" t="n">
        <v>8000</v>
      </c>
      <c r="Q96" s="188" t="n">
        <v>0.7333333333333333</v>
      </c>
      <c r="R96" s="518" t="n">
        <v>36500</v>
      </c>
      <c r="S96" s="519" t="n">
        <v>32000</v>
      </c>
      <c r="T96" s="198" t="inlineStr">
        <is>
          <t>계단식</t>
        </is>
      </c>
      <c r="U96" s="197" t="n">
        <v>3</v>
      </c>
      <c r="V96" s="197" t="n">
        <v>2</v>
      </c>
      <c r="W96" s="197" t="n">
        <v>70</v>
      </c>
      <c r="X96" s="220" t="n"/>
      <c r="Y96" s="220" t="n"/>
      <c r="Z96" s="190" t="n">
        <v>30</v>
      </c>
      <c r="AA96" s="514" t="n"/>
      <c r="AB96" s="514" t="n"/>
      <c r="AC96" s="191" t="e">
        <v>#DIV/0!</v>
      </c>
      <c r="AD96" s="192" t="n">
        <v>0</v>
      </c>
      <c r="AE96" s="209" t="n"/>
      <c r="AF96" s="230" t="n"/>
      <c r="AG96" s="232" t="n"/>
      <c r="AH96" s="234" t="n"/>
      <c r="AI96" s="200" t="n"/>
      <c r="AJ96" s="238" t="n"/>
    </row>
    <row r="97" ht="15.5" customHeight="1" s="476">
      <c r="A97" s="182" t="inlineStr">
        <is>
          <t>대성동</t>
        </is>
      </c>
      <c r="B97" s="196" t="inlineStr">
        <is>
          <t>중</t>
        </is>
      </c>
      <c r="C97" s="208" t="inlineStr">
        <is>
          <t>상</t>
        </is>
      </c>
      <c r="D97" s="217" t="inlineStr">
        <is>
          <t>은어송코오롱하늘채2차</t>
        </is>
      </c>
      <c r="E97" s="184" t="n">
        <v>27</v>
      </c>
      <c r="F97" s="184" t="n">
        <v>2.7</v>
      </c>
      <c r="G97" s="184" t="n">
        <v>2</v>
      </c>
      <c r="H97" s="197" t="n">
        <v>2016.09</v>
      </c>
      <c r="I97" s="197" t="n">
        <v>408</v>
      </c>
      <c r="J97" s="186" t="n">
        <v>10.91000000000008</v>
      </c>
      <c r="K97" s="197" t="n">
        <v>90</v>
      </c>
      <c r="L97" s="197" t="n">
        <v>59</v>
      </c>
      <c r="M97" s="197" t="n">
        <v>27</v>
      </c>
      <c r="N97" s="517" t="n">
        <v>27000</v>
      </c>
      <c r="O97" s="518" t="n">
        <v>20000</v>
      </c>
      <c r="P97" s="512" t="n">
        <v>7000</v>
      </c>
      <c r="Q97" s="188" t="n">
        <v>0.7407407407407407</v>
      </c>
      <c r="R97" s="518" t="n">
        <v>31000</v>
      </c>
      <c r="S97" s="519" t="n">
        <v>28500</v>
      </c>
      <c r="T97" s="198" t="inlineStr">
        <is>
          <t>계단식</t>
        </is>
      </c>
      <c r="U97" s="197" t="n">
        <v>3</v>
      </c>
      <c r="V97" s="197" t="n">
        <v>2</v>
      </c>
      <c r="W97" s="197" t="n">
        <v>68</v>
      </c>
      <c r="X97" s="220" t="n">
        <v>2020.07</v>
      </c>
      <c r="Y97" s="220" t="n">
        <v>0.09</v>
      </c>
      <c r="Z97" s="190" t="n">
        <v>27</v>
      </c>
      <c r="AA97" s="514" t="n">
        <v>24229</v>
      </c>
      <c r="AB97" s="514" t="n">
        <v>21500</v>
      </c>
      <c r="AC97" s="191" t="e">
        <v>#DIV/0!</v>
      </c>
      <c r="AD97" s="192" t="n">
        <v>0</v>
      </c>
      <c r="AE97" s="209" t="n"/>
      <c r="AF97" s="230" t="n"/>
      <c r="AG97" s="232" t="n"/>
      <c r="AH97" s="199" t="n"/>
      <c r="AI97" s="200" t="n"/>
      <c r="AJ97" s="238" t="n"/>
    </row>
    <row r="98" ht="15.5" customHeight="1" s="476">
      <c r="A98" s="182" t="inlineStr">
        <is>
          <t>대성동</t>
        </is>
      </c>
      <c r="B98" s="213" t="inlineStr">
        <is>
          <t>중</t>
        </is>
      </c>
      <c r="C98" s="208" t="inlineStr">
        <is>
          <t>상</t>
        </is>
      </c>
      <c r="D98" s="217" t="inlineStr">
        <is>
          <t>은어송코오롱하늘채2차</t>
        </is>
      </c>
      <c r="E98" s="184" t="n">
        <v>18</v>
      </c>
      <c r="F98" s="184" t="n">
        <v>1.93</v>
      </c>
      <c r="G98" s="184" t="n">
        <v>1</v>
      </c>
      <c r="H98" s="197" t="n">
        <v>2016.09</v>
      </c>
      <c r="I98" s="197" t="n">
        <v>408</v>
      </c>
      <c r="J98" s="186" t="n">
        <v>10.91000000000008</v>
      </c>
      <c r="K98" s="197" t="n">
        <v>61</v>
      </c>
      <c r="L98" s="197" t="n">
        <v>38</v>
      </c>
      <c r="M98" s="197" t="n">
        <v>18</v>
      </c>
      <c r="N98" s="517" t="n">
        <v>19300</v>
      </c>
      <c r="O98" s="518" t="n">
        <v>10000</v>
      </c>
      <c r="P98" s="512" t="n">
        <v>9300</v>
      </c>
      <c r="Q98" s="188" t="n">
        <v>0.5181347150259067</v>
      </c>
      <c r="R98" s="518" t="n">
        <v>18000</v>
      </c>
      <c r="S98" s="519" t="n">
        <v>16500</v>
      </c>
      <c r="T98" s="198" t="inlineStr">
        <is>
          <t>계단식</t>
        </is>
      </c>
      <c r="U98" s="197" t="n">
        <v>3</v>
      </c>
      <c r="V98" s="197" t="n">
        <v>2</v>
      </c>
      <c r="W98" s="197" t="n">
        <v>36</v>
      </c>
      <c r="X98" s="220" t="n"/>
      <c r="Y98" s="220" t="n"/>
      <c r="Z98" s="190" t="n">
        <v>18</v>
      </c>
      <c r="AA98" s="514" t="n"/>
      <c r="AB98" s="514" t="n"/>
      <c r="AC98" s="191" t="e">
        <v>#DIV/0!</v>
      </c>
      <c r="AD98" s="192" t="n">
        <v>0</v>
      </c>
      <c r="AE98" s="209" t="n"/>
      <c r="AF98" s="230" t="n"/>
      <c r="AG98" s="232" t="n"/>
      <c r="AH98" s="199" t="n"/>
      <c r="AI98" s="200" t="n"/>
      <c r="AJ98" s="238" t="n"/>
    </row>
    <row r="99" ht="31.5" customHeight="1" s="476" thickBot="1">
      <c r="A99" s="48" t="inlineStr">
        <is>
          <t>가오동</t>
        </is>
      </c>
      <c r="B99" s="65" t="inlineStr">
        <is>
          <t>중</t>
        </is>
      </c>
      <c r="C99" s="66" t="inlineStr">
        <is>
          <t>중</t>
        </is>
      </c>
      <c r="D99" s="218" t="inlineStr">
        <is>
          <t>은어송6단지풍림아이원</t>
        </is>
      </c>
      <c r="E99" s="34" t="n">
        <v>35</v>
      </c>
      <c r="F99" s="34" t="n">
        <v>2.9</v>
      </c>
      <c r="G99" s="34" t="n">
        <v>2.5</v>
      </c>
      <c r="H99" s="42" t="n">
        <v>2007.1</v>
      </c>
      <c r="I99" s="42" t="n">
        <v>451</v>
      </c>
      <c r="J99" s="35" t="n">
        <v>19.90000000000009</v>
      </c>
      <c r="K99" s="42" t="inlineStr">
        <is>
          <t>114B, 114C, 115A</t>
        </is>
      </c>
      <c r="L99" s="42" t="n">
        <v>84</v>
      </c>
      <c r="M99" s="42" t="n">
        <v>35</v>
      </c>
      <c r="N99" s="522" t="n">
        <v>29000</v>
      </c>
      <c r="O99" s="523" t="n">
        <v>25000</v>
      </c>
      <c r="P99" s="524" t="n">
        <v>4000</v>
      </c>
      <c r="Q99" s="168" t="n">
        <v>0.8620689655172413</v>
      </c>
      <c r="R99" s="523" t="n">
        <v>39500</v>
      </c>
      <c r="S99" s="525" t="n">
        <v>28000</v>
      </c>
      <c r="T99" s="60" t="inlineStr">
        <is>
          <t>계단식</t>
        </is>
      </c>
      <c r="U99" s="42" t="n">
        <v>3</v>
      </c>
      <c r="V99" s="42" t="n">
        <v>2</v>
      </c>
      <c r="W99" s="42" t="n">
        <v>451</v>
      </c>
      <c r="X99" s="225" t="n">
        <v>2021.02</v>
      </c>
      <c r="Y99" s="221" t="n">
        <v>0.04</v>
      </c>
      <c r="Z99" s="169" t="n">
        <v>35</v>
      </c>
      <c r="AA99" s="526" t="n">
        <v>34019</v>
      </c>
      <c r="AB99" s="526" t="n">
        <v>28889</v>
      </c>
      <c r="AC99" s="170" t="e">
        <v>#DIV/0!</v>
      </c>
      <c r="AD99" s="171" t="n">
        <v>0</v>
      </c>
      <c r="AE99" s="33" t="n"/>
      <c r="AF99" s="569" t="n"/>
      <c r="AG99" s="570" t="n">
        <v>0</v>
      </c>
      <c r="AH99" s="173" t="e">
        <v>#DIV/0!</v>
      </c>
      <c r="AI99" s="175" t="e">
        <v>#DIV/0!</v>
      </c>
      <c r="AJ99" s="238" t="n"/>
    </row>
    <row r="100" ht="31.5" customHeight="1" s="476" thickBot="1">
      <c r="A100" s="182" t="inlineStr">
        <is>
          <t>가오동</t>
        </is>
      </c>
      <c r="B100" s="213" t="inlineStr">
        <is>
          <t>중</t>
        </is>
      </c>
      <c r="C100" s="183" t="inlineStr">
        <is>
          <t>하</t>
        </is>
      </c>
      <c r="D100" s="217" t="inlineStr">
        <is>
          <t>은어송5단지우미린</t>
        </is>
      </c>
      <c r="E100" s="184" t="n">
        <v>27</v>
      </c>
      <c r="F100" s="184" t="n">
        <v>2.9</v>
      </c>
      <c r="G100" s="184" t="n">
        <v>2.1</v>
      </c>
      <c r="H100" s="187" t="n">
        <v>2007.01</v>
      </c>
      <c r="I100" s="187" t="n">
        <v>653</v>
      </c>
      <c r="J100" s="186" t="n">
        <v>19.99000000000001</v>
      </c>
      <c r="K100" s="187" t="inlineStr">
        <is>
          <t>89A, 89B, 95</t>
        </is>
      </c>
      <c r="L100" s="187" t="n">
        <v>59</v>
      </c>
      <c r="M100" s="187" t="n">
        <v>27</v>
      </c>
      <c r="N100" s="510" t="n">
        <v>29000</v>
      </c>
      <c r="O100" s="511" t="n">
        <v>21000</v>
      </c>
      <c r="P100" s="512" t="n">
        <v>8000</v>
      </c>
      <c r="Q100" s="188" t="n">
        <v>0.7241379310344828</v>
      </c>
      <c r="R100" s="511" t="n">
        <v>31500</v>
      </c>
      <c r="S100" s="513" t="n">
        <v>24500</v>
      </c>
      <c r="T100" s="189" t="inlineStr">
        <is>
          <t>계단식</t>
        </is>
      </c>
      <c r="U100" s="187" t="n">
        <v>3</v>
      </c>
      <c r="V100" s="187" t="n">
        <v>2</v>
      </c>
      <c r="W100" s="187" t="n">
        <v>653</v>
      </c>
      <c r="X100" s="224" t="n">
        <v>2020.01</v>
      </c>
      <c r="Y100" s="220" t="n">
        <v>0.03</v>
      </c>
      <c r="Z100" s="190" t="n">
        <v>27</v>
      </c>
      <c r="AA100" s="514" t="n">
        <v>23825</v>
      </c>
      <c r="AB100" s="514" t="n">
        <v>21000</v>
      </c>
      <c r="AC100" s="191" t="e">
        <v>#DIV/0!</v>
      </c>
      <c r="AD100" s="192" t="n">
        <v>0</v>
      </c>
      <c r="AE100" s="209" t="n"/>
      <c r="AF100" s="520" t="n"/>
      <c r="AG100" s="521" t="n">
        <v>0</v>
      </c>
      <c r="AH100" s="194" t="e">
        <v>#DIV/0!</v>
      </c>
      <c r="AI100" s="200" t="e">
        <v>#DIV/0!</v>
      </c>
      <c r="AJ100" s="238" t="n"/>
      <c r="AK100" s="16" t="n"/>
    </row>
    <row r="101" ht="15.5" customHeight="1" s="476">
      <c r="A101" s="48" t="inlineStr">
        <is>
          <t>가오동</t>
        </is>
      </c>
      <c r="B101" s="65" t="inlineStr">
        <is>
          <t>중</t>
        </is>
      </c>
      <c r="C101" s="166" t="inlineStr">
        <is>
          <t>상</t>
        </is>
      </c>
      <c r="D101" s="218" t="inlineStr">
        <is>
          <t>은어송3단지아이파크</t>
        </is>
      </c>
      <c r="E101" s="34" t="n">
        <v>36</v>
      </c>
      <c r="F101" s="34" t="n">
        <v>3.1</v>
      </c>
      <c r="G101" s="34" t="n">
        <v>2.5</v>
      </c>
      <c r="H101" s="54" t="n">
        <v>2006.07</v>
      </c>
      <c r="I101" s="54" t="n">
        <v>696</v>
      </c>
      <c r="J101" s="35" t="n">
        <v>20.93000000000006</v>
      </c>
      <c r="K101" s="41" t="inlineStr">
        <is>
          <t>119A, 121B</t>
        </is>
      </c>
      <c r="L101" s="41" t="n">
        <v>84</v>
      </c>
      <c r="M101" s="41" t="n">
        <v>36</v>
      </c>
      <c r="N101" s="530" t="n">
        <v>31000</v>
      </c>
      <c r="O101" s="531" t="n">
        <v>25000</v>
      </c>
      <c r="P101" s="524" t="n">
        <v>6000</v>
      </c>
      <c r="Q101" s="168" t="n">
        <v>0.8064516129032258</v>
      </c>
      <c r="R101" s="531" t="n">
        <v>46000</v>
      </c>
      <c r="S101" s="529" t="n">
        <v>35000</v>
      </c>
      <c r="T101" s="59" t="inlineStr">
        <is>
          <t>계단식</t>
        </is>
      </c>
      <c r="U101" s="41" t="n">
        <v>3</v>
      </c>
      <c r="V101" s="41" t="n">
        <v>2</v>
      </c>
      <c r="W101" s="41" t="n">
        <v>414</v>
      </c>
      <c r="X101" s="225" t="n">
        <v>2020.01</v>
      </c>
      <c r="Y101" s="221" t="n">
        <v>0.04</v>
      </c>
      <c r="Z101" s="169" t="n">
        <v>36</v>
      </c>
      <c r="AA101" s="526" t="n">
        <v>30900</v>
      </c>
      <c r="AB101" s="526" t="n">
        <v>26000</v>
      </c>
      <c r="AC101" s="170" t="e">
        <v>#DIV/0!</v>
      </c>
      <c r="AD101" s="171" t="n">
        <v>0</v>
      </c>
      <c r="AE101" s="33" t="n"/>
      <c r="AF101" s="569" t="n"/>
      <c r="AG101" s="570" t="n">
        <v>0</v>
      </c>
      <c r="AH101" s="173" t="e">
        <v>#DIV/0!</v>
      </c>
      <c r="AI101" s="175" t="e">
        <v>#DIV/0!</v>
      </c>
      <c r="AJ101" s="238" t="n"/>
      <c r="AK101" s="16" t="n"/>
    </row>
    <row r="102" ht="15.5" customHeight="1" s="476">
      <c r="A102" s="48" t="inlineStr">
        <is>
          <t>가오동</t>
        </is>
      </c>
      <c r="B102" s="174" t="inlineStr">
        <is>
          <t>중</t>
        </is>
      </c>
      <c r="C102" s="166" t="inlineStr">
        <is>
          <t>상</t>
        </is>
      </c>
      <c r="D102" s="218" t="inlineStr">
        <is>
          <t>은어송3단지아이파크</t>
        </is>
      </c>
      <c r="E102" s="34" t="n">
        <v>42</v>
      </c>
      <c r="F102" s="34" t="n">
        <v>0</v>
      </c>
      <c r="G102" s="34" t="n">
        <v>0</v>
      </c>
      <c r="H102" s="54" t="n">
        <v>2006.07</v>
      </c>
      <c r="I102" s="54" t="n">
        <v>696</v>
      </c>
      <c r="J102" s="35" t="n">
        <v>20.93000000000006</v>
      </c>
      <c r="K102" s="41" t="inlineStr">
        <is>
          <t>140, 143</t>
        </is>
      </c>
      <c r="L102" s="41" t="n">
        <v>101</v>
      </c>
      <c r="M102" s="41" t="n">
        <v>42</v>
      </c>
      <c r="N102" s="530" t="n">
        <v>0</v>
      </c>
      <c r="O102" s="531" t="n">
        <v>0</v>
      </c>
      <c r="P102" s="524" t="n">
        <v>0</v>
      </c>
      <c r="Q102" s="168" t="e">
        <v>#DIV/0!</v>
      </c>
      <c r="R102" s="531" t="n">
        <v>0</v>
      </c>
      <c r="S102" s="532" t="n">
        <v>0</v>
      </c>
      <c r="T102" s="59" t="inlineStr">
        <is>
          <t>계단식</t>
        </is>
      </c>
      <c r="U102" s="41" t="n">
        <v>3</v>
      </c>
      <c r="V102" s="41" t="n">
        <v>2</v>
      </c>
      <c r="W102" s="41" t="n">
        <v>219</v>
      </c>
      <c r="X102" s="225" t="n">
        <v>2025.12</v>
      </c>
      <c r="Y102" s="221" t="n">
        <v>0.01</v>
      </c>
      <c r="Z102" s="169" t="n">
        <v>42</v>
      </c>
      <c r="AA102" s="526" t="n">
        <v>36250</v>
      </c>
      <c r="AB102" s="526" t="n">
        <v>29167</v>
      </c>
      <c r="AC102" s="170" t="e">
        <v>#DIV/0!</v>
      </c>
      <c r="AD102" s="171" t="n">
        <v>0</v>
      </c>
      <c r="AE102" s="33" t="n"/>
      <c r="AF102" s="569" t="n"/>
      <c r="AG102" s="570" t="n">
        <v>0</v>
      </c>
      <c r="AH102" s="173" t="e">
        <v>#DIV/0!</v>
      </c>
      <c r="AI102" s="175" t="e">
        <v>#DIV/0!</v>
      </c>
      <c r="AJ102" s="238" t="n"/>
      <c r="AK102" s="16" t="n"/>
    </row>
    <row r="103" ht="108.5" customHeight="1" s="476">
      <c r="A103" s="48" t="inlineStr">
        <is>
          <t>가오동</t>
        </is>
      </c>
      <c r="B103" s="174" t="inlineStr">
        <is>
          <t>중</t>
        </is>
      </c>
      <c r="C103" s="166" t="inlineStr">
        <is>
          <t>상</t>
        </is>
      </c>
      <c r="D103" s="218" t="inlineStr">
        <is>
          <t>은어송3단지아이파크</t>
        </is>
      </c>
      <c r="E103" s="34" t="n">
        <v>51</v>
      </c>
      <c r="F103" s="34" t="n">
        <v>0</v>
      </c>
      <c r="G103" s="34" t="n">
        <v>0</v>
      </c>
      <c r="H103" s="54" t="n">
        <v>2006.07</v>
      </c>
      <c r="I103" s="54" t="n">
        <v>696</v>
      </c>
      <c r="J103" s="35" t="n">
        <v>20.93000000000006</v>
      </c>
      <c r="K103" s="41" t="n">
        <v>169</v>
      </c>
      <c r="L103" s="41" t="n">
        <v>131</v>
      </c>
      <c r="M103" s="41" t="n">
        <v>51</v>
      </c>
      <c r="N103" s="530" t="n">
        <v>0</v>
      </c>
      <c r="O103" s="531" t="n">
        <v>0</v>
      </c>
      <c r="P103" s="524" t="n">
        <v>0</v>
      </c>
      <c r="Q103" s="168" t="e">
        <v>#DIV/0!</v>
      </c>
      <c r="R103" s="531" t="n">
        <v>0</v>
      </c>
      <c r="S103" s="532" t="n">
        <v>0</v>
      </c>
      <c r="T103" s="59" t="inlineStr">
        <is>
          <t>계단식</t>
        </is>
      </c>
      <c r="U103" s="41" t="n">
        <v>4</v>
      </c>
      <c r="V103" s="41" t="n">
        <v>2</v>
      </c>
      <c r="W103" s="41" t="n">
        <v>63</v>
      </c>
      <c r="X103" s="225" t="n"/>
      <c r="Y103" s="221" t="n"/>
      <c r="Z103" s="169" t="n">
        <v>51</v>
      </c>
      <c r="AA103" s="526" t="n"/>
      <c r="AB103" s="526" t="n"/>
      <c r="AC103" s="170" t="e">
        <v>#DIV/0!</v>
      </c>
      <c r="AD103" s="171" t="n">
        <v>0</v>
      </c>
      <c r="AE103" s="33" t="n"/>
      <c r="AF103" s="569" t="n"/>
      <c r="AG103" s="570" t="n">
        <v>0</v>
      </c>
      <c r="AH103" s="173" t="e">
        <v>#DIV/0!</v>
      </c>
      <c r="AI103" s="175" t="e">
        <v>#DIV/0!</v>
      </c>
      <c r="AJ103" s="238" t="n"/>
      <c r="AK103" s="16" t="n"/>
    </row>
    <row r="104" ht="15.5" customHeight="1" s="476">
      <c r="A104" s="182" t="inlineStr">
        <is>
          <t>대성동</t>
        </is>
      </c>
      <c r="B104" s="213" t="inlineStr">
        <is>
          <t>중</t>
        </is>
      </c>
      <c r="C104" s="212" t="inlineStr">
        <is>
          <t>중</t>
        </is>
      </c>
      <c r="D104" s="217" t="inlineStr">
        <is>
          <t>은어송2단지코오롱하늘채</t>
        </is>
      </c>
      <c r="E104" s="184" t="n">
        <v>36</v>
      </c>
      <c r="F104" s="184" t="n">
        <v>4.3</v>
      </c>
      <c r="G104" s="184" t="n">
        <v>2.8</v>
      </c>
      <c r="H104" s="197" t="n">
        <v>2007.02</v>
      </c>
      <c r="I104" s="197" t="n">
        <v>1241</v>
      </c>
      <c r="J104" s="186" t="n">
        <v>19.98000000000002</v>
      </c>
      <c r="K104" s="197" t="inlineStr">
        <is>
          <t>118C, 118A, 118B</t>
        </is>
      </c>
      <c r="L104" s="197" t="n">
        <v>84</v>
      </c>
      <c r="M104" s="197" t="n">
        <v>36</v>
      </c>
      <c r="N104" s="517" t="n">
        <v>43000</v>
      </c>
      <c r="O104" s="518" t="n">
        <v>28000</v>
      </c>
      <c r="P104" s="512" t="n">
        <v>15000</v>
      </c>
      <c r="Q104" s="188" t="n">
        <v>0.6511627906976745</v>
      </c>
      <c r="R104" s="518" t="n">
        <v>35000</v>
      </c>
      <c r="S104" s="519" t="n">
        <v>23000</v>
      </c>
      <c r="T104" s="198" t="inlineStr">
        <is>
          <t>계단식</t>
        </is>
      </c>
      <c r="U104" s="197" t="n">
        <v>3</v>
      </c>
      <c r="V104" s="197" t="n">
        <v>2</v>
      </c>
      <c r="W104" s="197" t="n">
        <v>701</v>
      </c>
      <c r="X104" s="220" t="n"/>
      <c r="Y104" s="220" t="n"/>
      <c r="Z104" s="190" t="n">
        <v>36</v>
      </c>
      <c r="AA104" s="514" t="n"/>
      <c r="AB104" s="514" t="n"/>
      <c r="AC104" s="191" t="e">
        <v>#DIV/0!</v>
      </c>
      <c r="AD104" s="192" t="n">
        <v>0</v>
      </c>
      <c r="AE104" s="209" t="n"/>
      <c r="AF104" s="230" t="n"/>
      <c r="AG104" s="232" t="n"/>
      <c r="AH104" s="234" t="n"/>
      <c r="AI104" s="200" t="n"/>
      <c r="AJ104" s="238" t="n"/>
    </row>
    <row r="105" ht="31.5" customHeight="1" s="476" thickBot="1">
      <c r="A105" s="182" t="inlineStr">
        <is>
          <t>대성동</t>
        </is>
      </c>
      <c r="B105" s="196" t="inlineStr">
        <is>
          <t>중</t>
        </is>
      </c>
      <c r="C105" s="208" t="inlineStr">
        <is>
          <t>중</t>
        </is>
      </c>
      <c r="D105" s="217" t="inlineStr">
        <is>
          <t>은어송2단지코오롱하늘채</t>
        </is>
      </c>
      <c r="E105" s="184" t="n">
        <v>41</v>
      </c>
      <c r="F105" s="184" t="n">
        <v>0</v>
      </c>
      <c r="G105" s="184" t="n">
        <v>0</v>
      </c>
      <c r="H105" s="205" t="n">
        <v>2007.02</v>
      </c>
      <c r="I105" s="205" t="n">
        <v>1241</v>
      </c>
      <c r="J105" s="186" t="n">
        <v>19.98000000000002</v>
      </c>
      <c r="K105" s="205" t="n">
        <v>135</v>
      </c>
      <c r="L105" s="205" t="n">
        <v>102</v>
      </c>
      <c r="M105" s="205" t="n">
        <v>41</v>
      </c>
      <c r="N105" s="544" t="n">
        <v>0</v>
      </c>
      <c r="O105" s="545" t="n">
        <v>0</v>
      </c>
      <c r="P105" s="512" t="n">
        <v>0</v>
      </c>
      <c r="Q105" s="188" t="e">
        <v>#DIV/0!</v>
      </c>
      <c r="R105" s="545" t="n">
        <v>0</v>
      </c>
      <c r="S105" s="546" t="n">
        <v>0</v>
      </c>
      <c r="T105" s="206" t="inlineStr">
        <is>
          <t>계단식</t>
        </is>
      </c>
      <c r="U105" s="205" t="n">
        <v>4</v>
      </c>
      <c r="V105" s="205" t="n">
        <v>2</v>
      </c>
      <c r="W105" s="205" t="n">
        <v>420</v>
      </c>
      <c r="X105" s="220" t="n">
        <v>2020.08</v>
      </c>
      <c r="Y105" s="220" t="n">
        <v>0.03</v>
      </c>
      <c r="Z105" s="190" t="n">
        <v>41</v>
      </c>
      <c r="AA105" s="514" t="n">
        <v>37113</v>
      </c>
      <c r="AB105" s="514" t="n">
        <v>29750</v>
      </c>
      <c r="AC105" s="191" t="e">
        <v>#DIV/0!</v>
      </c>
      <c r="AD105" s="192" t="n">
        <v>0</v>
      </c>
      <c r="AE105" s="209" t="n"/>
      <c r="AF105" s="230" t="n"/>
      <c r="AG105" s="232" t="n"/>
      <c r="AH105" s="234" t="n"/>
      <c r="AI105" s="200" t="n"/>
      <c r="AJ105" s="238" t="n"/>
    </row>
    <row r="106" ht="62" customHeight="1" s="476">
      <c r="A106" s="182" t="inlineStr">
        <is>
          <t>대성동</t>
        </is>
      </c>
      <c r="B106" s="196" t="inlineStr">
        <is>
          <t>중</t>
        </is>
      </c>
      <c r="C106" s="183" t="inlineStr">
        <is>
          <t>중</t>
        </is>
      </c>
      <c r="D106" s="217" t="inlineStr">
        <is>
          <t>은어송2단지코오롱하늘채</t>
        </is>
      </c>
      <c r="E106" s="184" t="n">
        <v>47</v>
      </c>
      <c r="F106" s="184" t="n">
        <v>0</v>
      </c>
      <c r="G106" s="184" t="n">
        <v>0</v>
      </c>
      <c r="H106" s="187" t="n">
        <v>2007.02</v>
      </c>
      <c r="I106" s="187" t="n">
        <v>1241</v>
      </c>
      <c r="J106" s="186" t="n">
        <v>19.98000000000002</v>
      </c>
      <c r="K106" s="187" t="n">
        <v>155</v>
      </c>
      <c r="L106" s="187" t="n">
        <v>121</v>
      </c>
      <c r="M106" s="187" t="n">
        <v>47</v>
      </c>
      <c r="N106" s="510" t="n">
        <v>0</v>
      </c>
      <c r="O106" s="511" t="n">
        <v>0</v>
      </c>
      <c r="P106" s="512" t="n">
        <v>0</v>
      </c>
      <c r="Q106" s="188" t="e">
        <v>#DIV/0!</v>
      </c>
      <c r="R106" s="511" t="n">
        <v>0</v>
      </c>
      <c r="S106" s="513" t="n">
        <v>0</v>
      </c>
      <c r="T106" s="189" t="inlineStr">
        <is>
          <t>계단식</t>
        </is>
      </c>
      <c r="U106" s="187" t="n">
        <v>4</v>
      </c>
      <c r="V106" s="187" t="n">
        <v>2</v>
      </c>
      <c r="W106" s="187" t="n">
        <v>120</v>
      </c>
      <c r="X106" s="220" t="n">
        <v>2021.09</v>
      </c>
      <c r="Y106" s="220" t="n">
        <v>0.04</v>
      </c>
      <c r="Z106" s="190" t="n">
        <v>47</v>
      </c>
      <c r="AA106" s="514" t="n">
        <v>49125</v>
      </c>
      <c r="AB106" s="514" t="n">
        <v>40000</v>
      </c>
      <c r="AC106" s="191" t="e">
        <v>#DIV/0!</v>
      </c>
      <c r="AD106" s="192" t="n">
        <v>0</v>
      </c>
      <c r="AE106" s="209" t="n"/>
      <c r="AF106" s="230" t="n"/>
      <c r="AG106" s="232" t="n"/>
      <c r="AH106" s="234" t="n"/>
      <c r="AI106" s="200" t="n"/>
      <c r="AJ106" s="238" t="n"/>
    </row>
    <row r="107" ht="15.5" customHeight="1" s="476">
      <c r="A107" s="48" t="inlineStr">
        <is>
          <t>가오동</t>
        </is>
      </c>
      <c r="B107" s="65" t="inlineStr">
        <is>
          <t>중</t>
        </is>
      </c>
      <c r="C107" s="166" t="inlineStr">
        <is>
          <t>하</t>
        </is>
      </c>
      <c r="D107" s="218" t="inlineStr">
        <is>
          <t>은어송1단지풍림아이원</t>
        </is>
      </c>
      <c r="E107" s="34" t="n">
        <v>33</v>
      </c>
      <c r="F107" s="34" t="n">
        <v>3.1</v>
      </c>
      <c r="G107" s="34" t="n">
        <v>2.5</v>
      </c>
      <c r="H107" s="41" t="n">
        <v>2007.06</v>
      </c>
      <c r="I107" s="41" t="n">
        <v>664</v>
      </c>
      <c r="J107" s="35" t="n">
        <v>19.94000000000005</v>
      </c>
      <c r="K107" s="41" t="inlineStr">
        <is>
          <t>109B, 110A, 114</t>
        </is>
      </c>
      <c r="L107" s="41" t="n">
        <v>84</v>
      </c>
      <c r="M107" s="41" t="n">
        <v>33</v>
      </c>
      <c r="N107" s="530" t="n">
        <v>31000</v>
      </c>
      <c r="O107" s="531" t="n">
        <v>25000</v>
      </c>
      <c r="P107" s="524" t="n">
        <v>6000</v>
      </c>
      <c r="Q107" s="168" t="n">
        <v>0.8064516129032258</v>
      </c>
      <c r="R107" s="531" t="n">
        <v>41000</v>
      </c>
      <c r="S107" s="532" t="n">
        <v>29700</v>
      </c>
      <c r="T107" s="59" t="inlineStr">
        <is>
          <t>계단식</t>
        </is>
      </c>
      <c r="U107" s="41" t="n">
        <v>3</v>
      </c>
      <c r="V107" s="41" t="n">
        <v>2</v>
      </c>
      <c r="W107" s="41" t="n">
        <v>664</v>
      </c>
      <c r="X107" s="225" t="n">
        <v>2021.02</v>
      </c>
      <c r="Y107" s="221" t="n">
        <v>0.04</v>
      </c>
      <c r="Z107" s="169" t="n">
        <v>33</v>
      </c>
      <c r="AA107" s="526" t="n">
        <v>34019</v>
      </c>
      <c r="AB107" s="526" t="n">
        <v>28889</v>
      </c>
      <c r="AC107" s="170" t="e">
        <v>#DIV/0!</v>
      </c>
      <c r="AD107" s="171" t="n">
        <v>0</v>
      </c>
      <c r="AE107" s="33" t="n"/>
      <c r="AF107" s="569" t="n"/>
      <c r="AG107" s="570" t="n">
        <v>0</v>
      </c>
      <c r="AH107" s="173" t="e">
        <v>#DIV/0!</v>
      </c>
      <c r="AI107" s="175" t="e">
        <v>#DIV/0!</v>
      </c>
      <c r="AJ107" s="238" t="n"/>
      <c r="AK107" s="16" t="n"/>
      <c r="AS107" s="458" t="n"/>
    </row>
    <row r="108" ht="15.5" customHeight="1" s="476">
      <c r="A108" s="182" t="inlineStr">
        <is>
          <t>천동</t>
        </is>
      </c>
      <c r="B108" s="196" t="inlineStr">
        <is>
          <t>하</t>
        </is>
      </c>
      <c r="C108" s="208" t="inlineStr">
        <is>
          <t>중</t>
        </is>
      </c>
      <c r="D108" s="217" t="inlineStr">
        <is>
          <t>위드힐</t>
        </is>
      </c>
      <c r="E108" s="184" t="n">
        <v>33</v>
      </c>
      <c r="F108" s="184" t="n">
        <v>3.1</v>
      </c>
      <c r="G108" s="184" t="n">
        <v>2.4</v>
      </c>
      <c r="H108" s="197" t="n">
        <v>2013.06</v>
      </c>
      <c r="I108" s="197" t="n">
        <v>960</v>
      </c>
      <c r="J108" s="186" t="n">
        <v>13.94000000000005</v>
      </c>
      <c r="K108" s="197" t="inlineStr">
        <is>
          <t>110B, 110C, 111A, 111D, 111A-1, 115E, 118F</t>
        </is>
      </c>
      <c r="L108" s="197" t="n">
        <v>84</v>
      </c>
      <c r="M108" s="197" t="n">
        <v>33</v>
      </c>
      <c r="N108" s="517" t="n">
        <v>31000</v>
      </c>
      <c r="O108" s="518" t="n">
        <v>24000</v>
      </c>
      <c r="P108" s="512" t="n">
        <v>7000</v>
      </c>
      <c r="Q108" s="188" t="n">
        <v>0.7741935483870968</v>
      </c>
      <c r="R108" s="518" t="n">
        <v>44000</v>
      </c>
      <c r="S108" s="519" t="n">
        <v>36000</v>
      </c>
      <c r="T108" s="198" t="inlineStr">
        <is>
          <t>계단식</t>
        </is>
      </c>
      <c r="U108" s="197" t="n">
        <v>3</v>
      </c>
      <c r="V108" s="197" t="n">
        <v>2</v>
      </c>
      <c r="W108" s="197" t="n">
        <v>799</v>
      </c>
      <c r="X108" s="220" t="n"/>
      <c r="Y108" s="220" t="n"/>
      <c r="Z108" s="190" t="n">
        <v>33</v>
      </c>
      <c r="AA108" s="514" t="n"/>
      <c r="AB108" s="514" t="n"/>
      <c r="AC108" s="191" t="e">
        <v>#DIV/0!</v>
      </c>
      <c r="AD108" s="192" t="n">
        <v>0</v>
      </c>
      <c r="AE108" s="209" t="n"/>
      <c r="AF108" s="230" t="n"/>
      <c r="AG108" s="232" t="n"/>
      <c r="AH108" s="199" t="n"/>
      <c r="AI108" s="200" t="n"/>
      <c r="AJ108" s="238" t="n"/>
      <c r="AS108" s="458" t="n"/>
    </row>
    <row r="109" ht="16" customHeight="1" s="476" thickBot="1">
      <c r="A109" s="182" t="inlineStr">
        <is>
          <t>천동</t>
        </is>
      </c>
      <c r="B109" s="196" t="inlineStr">
        <is>
          <t>하</t>
        </is>
      </c>
      <c r="C109" s="212" t="inlineStr">
        <is>
          <t>중</t>
        </is>
      </c>
      <c r="D109" s="217" t="inlineStr">
        <is>
          <t>위드힐</t>
        </is>
      </c>
      <c r="E109" s="184" t="n">
        <v>25</v>
      </c>
      <c r="F109" s="184" t="n">
        <v>3</v>
      </c>
      <c r="G109" s="184" t="n">
        <v>2</v>
      </c>
      <c r="H109" s="201" t="n">
        <v>2013.06</v>
      </c>
      <c r="I109" s="201" t="n">
        <v>960</v>
      </c>
      <c r="J109" s="186" t="n">
        <v>13.94000000000005</v>
      </c>
      <c r="K109" s="201" t="inlineStr">
        <is>
          <t>82A, 82A-1</t>
        </is>
      </c>
      <c r="L109" s="201" t="n">
        <v>59</v>
      </c>
      <c r="M109" s="201" t="n">
        <v>25</v>
      </c>
      <c r="N109" s="533" t="n">
        <v>30000</v>
      </c>
      <c r="O109" s="534" t="n">
        <v>20000</v>
      </c>
      <c r="P109" s="512" t="n">
        <v>10000</v>
      </c>
      <c r="Q109" s="188" t="n">
        <v>0.6666666666666666</v>
      </c>
      <c r="R109" s="534" t="n">
        <v>33000</v>
      </c>
      <c r="S109" s="535" t="n">
        <v>29000</v>
      </c>
      <c r="T109" s="202" t="inlineStr">
        <is>
          <t>계단식</t>
        </is>
      </c>
      <c r="U109" s="201" t="n">
        <v>3</v>
      </c>
      <c r="V109" s="201" t="n">
        <v>2</v>
      </c>
      <c r="W109" s="201" t="n">
        <v>72</v>
      </c>
      <c r="X109" s="220" t="n">
        <v>2020.05</v>
      </c>
      <c r="Y109" s="220" t="n">
        <v>0.05</v>
      </c>
      <c r="Z109" s="190" t="n">
        <v>25</v>
      </c>
      <c r="AA109" s="514" t="n">
        <v>24500</v>
      </c>
      <c r="AB109" s="514" t="n">
        <v>22500</v>
      </c>
      <c r="AC109" s="191" t="e">
        <v>#DIV/0!</v>
      </c>
      <c r="AD109" s="192" t="n">
        <v>0</v>
      </c>
      <c r="AE109" s="209" t="n"/>
      <c r="AF109" s="230" t="n"/>
      <c r="AG109" s="232" t="n"/>
      <c r="AH109" s="199" t="n"/>
      <c r="AI109" s="200" t="n"/>
      <c r="AJ109" s="238" t="n"/>
    </row>
    <row r="110" ht="62" customHeight="1" s="476">
      <c r="A110" s="182" t="inlineStr">
        <is>
          <t>천동</t>
        </is>
      </c>
      <c r="B110" s="196" t="inlineStr">
        <is>
          <t>하</t>
        </is>
      </c>
      <c r="C110" s="183" t="inlineStr">
        <is>
          <t>중</t>
        </is>
      </c>
      <c r="D110" s="217" t="inlineStr">
        <is>
          <t>위드힐</t>
        </is>
      </c>
      <c r="E110" s="184" t="n">
        <v>45</v>
      </c>
      <c r="F110" s="184" t="n">
        <v>0</v>
      </c>
      <c r="G110" s="184" t="n">
        <v>0</v>
      </c>
      <c r="H110" s="187" t="n">
        <v>2013.06</v>
      </c>
      <c r="I110" s="187" t="n">
        <v>960</v>
      </c>
      <c r="J110" s="186" t="n">
        <v>13.94000000000005</v>
      </c>
      <c r="K110" s="187" t="inlineStr">
        <is>
          <t>147A, 147A-1, 152B</t>
        </is>
      </c>
      <c r="L110" s="187" t="n">
        <v>118</v>
      </c>
      <c r="M110" s="187" t="n">
        <v>45</v>
      </c>
      <c r="N110" s="510" t="n">
        <v>0</v>
      </c>
      <c r="O110" s="511" t="n">
        <v>0</v>
      </c>
      <c r="P110" s="512" t="n">
        <v>0</v>
      </c>
      <c r="Q110" s="188" t="e">
        <v>#DIV/0!</v>
      </c>
      <c r="R110" s="511" t="n">
        <v>0</v>
      </c>
      <c r="S110" s="513" t="n">
        <v>0</v>
      </c>
      <c r="T110" s="189" t="inlineStr">
        <is>
          <t>계단식</t>
        </is>
      </c>
      <c r="U110" s="187" t="n">
        <v>4</v>
      </c>
      <c r="V110" s="187" t="n">
        <v>2</v>
      </c>
      <c r="W110" s="187" t="n">
        <v>89</v>
      </c>
      <c r="X110" s="220" t="n"/>
      <c r="Y110" s="220" t="n"/>
      <c r="Z110" s="190" t="n">
        <v>45</v>
      </c>
      <c r="AA110" s="514" t="n"/>
      <c r="AB110" s="514" t="n"/>
      <c r="AC110" s="191" t="e">
        <v>#DIV/0!</v>
      </c>
      <c r="AD110" s="192" t="n">
        <v>0</v>
      </c>
      <c r="AE110" s="209" t="n"/>
      <c r="AF110" s="230" t="n"/>
      <c r="AG110" s="232" t="n"/>
      <c r="AH110" s="199" t="n"/>
      <c r="AI110" s="200" t="n"/>
      <c r="AJ110" s="238" t="n"/>
    </row>
    <row r="111" ht="15.5" customHeight="1" s="476">
      <c r="A111" s="48" t="inlineStr">
        <is>
          <t>용운동</t>
        </is>
      </c>
      <c r="B111" s="174" t="inlineStr">
        <is>
          <t>하</t>
        </is>
      </c>
      <c r="C111" s="166" t="inlineStr">
        <is>
          <t>하</t>
        </is>
      </c>
      <c r="D111" s="218" t="inlineStr">
        <is>
          <t>용방마을</t>
        </is>
      </c>
      <c r="E111" s="34" t="n">
        <v>35</v>
      </c>
      <c r="F111" s="34" t="n">
        <v>2.25</v>
      </c>
      <c r="G111" s="34" t="n">
        <v>1.8</v>
      </c>
      <c r="H111" s="41" t="n">
        <v>2003.05</v>
      </c>
      <c r="I111" s="41" t="n">
        <v>1350</v>
      </c>
      <c r="J111" s="35" t="n">
        <v>23.95000000000005</v>
      </c>
      <c r="K111" s="41" t="inlineStr">
        <is>
          <t>115A, 116C, 116B</t>
        </is>
      </c>
      <c r="L111" s="41" t="n">
        <v>84</v>
      </c>
      <c r="M111" s="41" t="n">
        <v>35</v>
      </c>
      <c r="N111" s="530" t="n">
        <v>22500</v>
      </c>
      <c r="O111" s="531" t="n">
        <v>18000</v>
      </c>
      <c r="P111" s="524" t="n">
        <v>4500</v>
      </c>
      <c r="Q111" s="168" t="n">
        <v>0.8</v>
      </c>
      <c r="R111" s="531" t="n">
        <v>34000</v>
      </c>
      <c r="S111" s="532" t="n">
        <v>22500</v>
      </c>
      <c r="T111" s="59" t="inlineStr">
        <is>
          <t>계단식</t>
        </is>
      </c>
      <c r="U111" s="41" t="n">
        <v>3</v>
      </c>
      <c r="V111" s="41" t="n">
        <v>2</v>
      </c>
      <c r="W111" s="41" t="n">
        <v>458</v>
      </c>
      <c r="X111" s="221" t="n">
        <v>2020.01</v>
      </c>
      <c r="Y111" s="221" t="n">
        <v>0.01</v>
      </c>
      <c r="Z111" s="169" t="n">
        <v>35</v>
      </c>
      <c r="AA111" s="526" t="n">
        <v>19388</v>
      </c>
      <c r="AB111" s="526" t="n">
        <v>17000</v>
      </c>
      <c r="AC111" s="170" t="e">
        <v>#DIV/0!</v>
      </c>
      <c r="AD111" s="171" t="n">
        <v>0</v>
      </c>
      <c r="AE111" s="33" t="n"/>
      <c r="AF111" s="227" t="n"/>
      <c r="AG111" s="231" t="n"/>
      <c r="AH111" s="233" t="n"/>
      <c r="AI111" s="175" t="n"/>
      <c r="AJ111" s="238" t="n"/>
    </row>
    <row r="112" ht="15.5" customHeight="1" s="476">
      <c r="A112" s="48" t="inlineStr">
        <is>
          <t>용운동</t>
        </is>
      </c>
      <c r="B112" s="174" t="inlineStr">
        <is>
          <t>하</t>
        </is>
      </c>
      <c r="C112" s="166" t="inlineStr">
        <is>
          <t>하</t>
        </is>
      </c>
      <c r="D112" s="218" t="inlineStr">
        <is>
          <t>용방마을</t>
        </is>
      </c>
      <c r="E112" s="34" t="n">
        <v>30</v>
      </c>
      <c r="F112" s="34" t="n">
        <v>2.05</v>
      </c>
      <c r="G112" s="34" t="n">
        <v>1.7</v>
      </c>
      <c r="H112" s="41" t="n">
        <v>2003.05</v>
      </c>
      <c r="I112" s="41" t="n">
        <v>1350</v>
      </c>
      <c r="J112" s="35" t="n">
        <v>23.95000000000005</v>
      </c>
      <c r="K112" s="41" t="n">
        <v>98</v>
      </c>
      <c r="L112" s="41" t="n">
        <v>72</v>
      </c>
      <c r="M112" s="41" t="n">
        <v>30</v>
      </c>
      <c r="N112" s="530" t="n">
        <v>20500</v>
      </c>
      <c r="O112" s="531" t="n">
        <v>17000</v>
      </c>
      <c r="P112" s="524" t="n">
        <v>3500</v>
      </c>
      <c r="Q112" s="168" t="n">
        <v>0.8292682926829268</v>
      </c>
      <c r="R112" s="531" t="n">
        <v>28000</v>
      </c>
      <c r="S112" s="532" t="n">
        <v>20000</v>
      </c>
      <c r="T112" s="59" t="inlineStr">
        <is>
          <t>계단식</t>
        </is>
      </c>
      <c r="U112" s="41" t="n">
        <v>3</v>
      </c>
      <c r="V112" s="41" t="n">
        <v>2</v>
      </c>
      <c r="W112" s="41" t="n">
        <v>195</v>
      </c>
      <c r="X112" s="221" t="n">
        <v>2020.02</v>
      </c>
      <c r="Y112" s="221" t="n">
        <v>0.02</v>
      </c>
      <c r="Z112" s="169" t="n">
        <v>30</v>
      </c>
      <c r="AA112" s="526" t="n">
        <v>17650</v>
      </c>
      <c r="AB112" s="526" t="n">
        <v>15000</v>
      </c>
      <c r="AC112" s="170" t="e">
        <v>#DIV/0!</v>
      </c>
      <c r="AD112" s="171" t="n">
        <v>0</v>
      </c>
      <c r="AE112" s="33" t="n"/>
      <c r="AF112" s="227" t="n"/>
      <c r="AG112" s="231" t="n"/>
      <c r="AH112" s="233" t="n"/>
      <c r="AI112" s="175" t="n"/>
      <c r="AJ112" s="238" t="n"/>
    </row>
    <row r="113" ht="16" customHeight="1" s="476" thickBot="1">
      <c r="A113" s="48" t="inlineStr">
        <is>
          <t>용운동</t>
        </is>
      </c>
      <c r="B113" s="174" t="inlineStr">
        <is>
          <t>하</t>
        </is>
      </c>
      <c r="C113" s="166" t="inlineStr">
        <is>
          <t>하</t>
        </is>
      </c>
      <c r="D113" s="218" t="inlineStr">
        <is>
          <t>용방마을</t>
        </is>
      </c>
      <c r="E113" s="34" t="n">
        <v>25</v>
      </c>
      <c r="F113" s="34" t="n">
        <v>1.85</v>
      </c>
      <c r="G113" s="34" t="n">
        <v>1.45</v>
      </c>
      <c r="H113" s="44" t="n">
        <v>2003.05</v>
      </c>
      <c r="I113" s="44" t="n">
        <v>1350</v>
      </c>
      <c r="J113" s="35" t="n">
        <v>23.95000000000005</v>
      </c>
      <c r="K113" s="44" t="inlineStr">
        <is>
          <t>84A, 84B</t>
        </is>
      </c>
      <c r="L113" s="44" t="n">
        <v>59</v>
      </c>
      <c r="M113" s="44" t="n">
        <v>25</v>
      </c>
      <c r="N113" s="553" t="n">
        <v>18500</v>
      </c>
      <c r="O113" s="554" t="n">
        <v>14500</v>
      </c>
      <c r="P113" s="524" t="n">
        <v>4000</v>
      </c>
      <c r="Q113" s="168" t="n">
        <v>0.7837837837837838</v>
      </c>
      <c r="R113" s="554" t="n">
        <v>18600</v>
      </c>
      <c r="S113" s="555" t="n">
        <v>16500</v>
      </c>
      <c r="T113" s="62" t="inlineStr">
        <is>
          <t>계단식</t>
        </is>
      </c>
      <c r="U113" s="44" t="n">
        <v>3</v>
      </c>
      <c r="V113" s="44" t="n">
        <v>1</v>
      </c>
      <c r="W113" s="44" t="n">
        <v>386</v>
      </c>
      <c r="X113" s="221" t="n">
        <v>2025.09</v>
      </c>
      <c r="Y113" s="221" t="n">
        <v>0.02</v>
      </c>
      <c r="Z113" s="169" t="n">
        <v>25</v>
      </c>
      <c r="AA113" s="526" t="n">
        <v>17338</v>
      </c>
      <c r="AB113" s="526" t="n">
        <v>14200</v>
      </c>
      <c r="AC113" s="170" t="e">
        <v>#DIV/0!</v>
      </c>
      <c r="AD113" s="171" t="n">
        <v>0</v>
      </c>
      <c r="AE113" s="33" t="n"/>
      <c r="AF113" s="227" t="n"/>
      <c r="AG113" s="231" t="n"/>
      <c r="AH113" s="233" t="n"/>
      <c r="AI113" s="175" t="n"/>
      <c r="AJ113" s="238" t="n"/>
      <c r="AS113" s="458" t="n"/>
    </row>
    <row r="114" ht="15.5" customHeight="1" s="476">
      <c r="A114" s="48" t="inlineStr">
        <is>
          <t>용운동</t>
        </is>
      </c>
      <c r="B114" s="174" t="inlineStr">
        <is>
          <t>하</t>
        </is>
      </c>
      <c r="C114" s="163" t="inlineStr">
        <is>
          <t>하</t>
        </is>
      </c>
      <c r="D114" s="218" t="inlineStr">
        <is>
          <t>용방마을</t>
        </is>
      </c>
      <c r="E114" s="34" t="n">
        <v>27</v>
      </c>
      <c r="F114" s="34" t="n">
        <v>1.8</v>
      </c>
      <c r="G114" s="34" t="n">
        <v>1.6</v>
      </c>
      <c r="H114" s="40" t="n">
        <v>2003.05</v>
      </c>
      <c r="I114" s="40" t="n">
        <v>1350</v>
      </c>
      <c r="J114" s="35" t="n">
        <v>23.95000000000005</v>
      </c>
      <c r="K114" s="40" t="inlineStr">
        <is>
          <t>89A, 89C, 89B</t>
        </is>
      </c>
      <c r="L114" s="40" t="n">
        <v>66</v>
      </c>
      <c r="M114" s="40" t="n">
        <v>27</v>
      </c>
      <c r="N114" s="527" t="n">
        <v>18000</v>
      </c>
      <c r="O114" s="528" t="n">
        <v>16000</v>
      </c>
      <c r="P114" s="524" t="n">
        <v>2000</v>
      </c>
      <c r="Q114" s="168" t="n">
        <v>0.8888888888888888</v>
      </c>
      <c r="R114" s="528" t="n">
        <v>24000</v>
      </c>
      <c r="S114" s="529" t="n">
        <v>17500</v>
      </c>
      <c r="T114" s="58" t="inlineStr">
        <is>
          <t>계단식</t>
        </is>
      </c>
      <c r="U114" s="40" t="n">
        <v>2</v>
      </c>
      <c r="V114" s="40" t="n">
        <v>1</v>
      </c>
      <c r="W114" s="40" t="n">
        <v>18</v>
      </c>
      <c r="X114" s="221" t="n">
        <v>2024.1</v>
      </c>
      <c r="Y114" s="221" t="n">
        <v>0.02</v>
      </c>
      <c r="Z114" s="169" t="n">
        <v>27</v>
      </c>
      <c r="AA114" s="526" t="n">
        <v>17950</v>
      </c>
      <c r="AB114" s="526" t="n">
        <v>15000</v>
      </c>
      <c r="AC114" s="170" t="e">
        <v>#DIV/0!</v>
      </c>
      <c r="AD114" s="171" t="n">
        <v>0</v>
      </c>
      <c r="AE114" s="33" t="n"/>
      <c r="AF114" s="227" t="n"/>
      <c r="AG114" s="231" t="n"/>
      <c r="AH114" s="233" t="n"/>
      <c r="AI114" s="175" t="n"/>
      <c r="AJ114" s="238" t="n"/>
    </row>
    <row r="115" ht="15.5" customHeight="1" s="476">
      <c r="A115" s="48" t="inlineStr">
        <is>
          <t>용운동</t>
        </is>
      </c>
      <c r="B115" s="174" t="inlineStr">
        <is>
          <t>하</t>
        </is>
      </c>
      <c r="C115" s="166" t="inlineStr">
        <is>
          <t>하</t>
        </is>
      </c>
      <c r="D115" s="218" t="inlineStr">
        <is>
          <t>용방마을</t>
        </is>
      </c>
      <c r="E115" s="34" t="n">
        <v>22</v>
      </c>
      <c r="F115" s="34" t="n">
        <v>1.5</v>
      </c>
      <c r="G115" s="34" t="n">
        <v>1.2</v>
      </c>
      <c r="H115" s="41" t="n">
        <v>2003.05</v>
      </c>
      <c r="I115" s="41" t="n">
        <v>1350</v>
      </c>
      <c r="J115" s="35" t="n">
        <v>23.95000000000005</v>
      </c>
      <c r="K115" s="41" t="inlineStr">
        <is>
          <t>74B, 75A, 75A1</t>
        </is>
      </c>
      <c r="L115" s="41" t="n">
        <v>49</v>
      </c>
      <c r="M115" s="41" t="n">
        <v>22</v>
      </c>
      <c r="N115" s="530" t="n">
        <v>15000</v>
      </c>
      <c r="O115" s="531" t="n">
        <v>12000</v>
      </c>
      <c r="P115" s="524" t="n">
        <v>3000</v>
      </c>
      <c r="Q115" s="168" t="n">
        <v>0.8</v>
      </c>
      <c r="R115" s="531" t="n">
        <v>20000</v>
      </c>
      <c r="S115" s="532" t="n">
        <v>13800</v>
      </c>
      <c r="T115" s="59" t="inlineStr">
        <is>
          <t>계단식</t>
        </is>
      </c>
      <c r="U115" s="41" t="n">
        <v>2</v>
      </c>
      <c r="V115" s="41" t="n">
        <v>1</v>
      </c>
      <c r="W115" s="41" t="n">
        <v>293</v>
      </c>
      <c r="X115" s="221" t="n">
        <v>2021.05</v>
      </c>
      <c r="Y115" s="221" t="n">
        <v>0.03</v>
      </c>
      <c r="Z115" s="169" t="n">
        <v>22</v>
      </c>
      <c r="AA115" s="526" t="n">
        <v>14907</v>
      </c>
      <c r="AB115" s="526" t="n">
        <v>12500</v>
      </c>
      <c r="AC115" s="170" t="e">
        <v>#DIV/0!</v>
      </c>
      <c r="AD115" s="171" t="n">
        <v>0</v>
      </c>
      <c r="AE115" s="33" t="n"/>
      <c r="AF115" s="227" t="n"/>
      <c r="AG115" s="231" t="n"/>
      <c r="AH115" s="122" t="n"/>
      <c r="AI115" s="175" t="n"/>
      <c r="AJ115" s="238" t="n"/>
    </row>
    <row r="116" ht="15.5" customHeight="1" s="476">
      <c r="A116" s="182" t="inlineStr">
        <is>
          <t>낭월동</t>
        </is>
      </c>
      <c r="B116" s="196" t="inlineStr">
        <is>
          <t>하</t>
        </is>
      </c>
      <c r="C116" s="208" t="inlineStr">
        <is>
          <t>하</t>
        </is>
      </c>
      <c r="D116" s="217" t="inlineStr">
        <is>
          <t>오투그란데</t>
        </is>
      </c>
      <c r="E116" s="184" t="n">
        <v>34</v>
      </c>
      <c r="F116" s="184" t="n">
        <v>2.4</v>
      </c>
      <c r="G116" s="184" t="n">
        <v>2</v>
      </c>
      <c r="H116" s="197" t="n">
        <v>2008.08</v>
      </c>
      <c r="I116" s="197" t="n">
        <v>877</v>
      </c>
      <c r="J116" s="186" t="n">
        <v>18.92000000000007</v>
      </c>
      <c r="K116" s="197" t="inlineStr">
        <is>
          <t>113, 115, 118</t>
        </is>
      </c>
      <c r="L116" s="197" t="n">
        <v>84</v>
      </c>
      <c r="M116" s="197" t="n">
        <v>34</v>
      </c>
      <c r="N116" s="517" t="n">
        <v>24000</v>
      </c>
      <c r="O116" s="518" t="n">
        <v>20000</v>
      </c>
      <c r="P116" s="512" t="n">
        <v>4000</v>
      </c>
      <c r="Q116" s="188" t="n">
        <v>0.8333333333333334</v>
      </c>
      <c r="R116" s="518" t="n">
        <v>33000</v>
      </c>
      <c r="S116" s="519" t="n">
        <v>24500</v>
      </c>
      <c r="T116" s="198" t="inlineStr">
        <is>
          <t>계단식</t>
        </is>
      </c>
      <c r="U116" s="197" t="n">
        <v>3</v>
      </c>
      <c r="V116" s="197" t="n">
        <v>2</v>
      </c>
      <c r="W116" s="197" t="n">
        <v>753</v>
      </c>
      <c r="X116" s="224" t="n">
        <v>2020.02</v>
      </c>
      <c r="Y116" s="220" t="n">
        <v>0.1</v>
      </c>
      <c r="Z116" s="190" t="n">
        <v>34</v>
      </c>
      <c r="AA116" s="514" t="n">
        <v>21133</v>
      </c>
      <c r="AB116" s="514" t="n">
        <v>18300</v>
      </c>
      <c r="AC116" s="191" t="e">
        <v>#DIV/0!</v>
      </c>
      <c r="AD116" s="192" t="n">
        <v>0</v>
      </c>
      <c r="AE116" s="209" t="n"/>
      <c r="AF116" s="520" t="n"/>
      <c r="AG116" s="521" t="n">
        <v>0</v>
      </c>
      <c r="AH116" s="194" t="e">
        <v>#DIV/0!</v>
      </c>
      <c r="AI116" s="200" t="e">
        <v>#DIV/0!</v>
      </c>
      <c r="AJ116" s="238" t="n"/>
    </row>
    <row r="117" ht="16" customHeight="1" s="476" thickBot="1">
      <c r="A117" s="182" t="inlineStr">
        <is>
          <t>낭월동</t>
        </is>
      </c>
      <c r="B117" s="196" t="inlineStr">
        <is>
          <t>하</t>
        </is>
      </c>
      <c r="C117" s="208" t="inlineStr">
        <is>
          <t>하</t>
        </is>
      </c>
      <c r="D117" s="217" t="inlineStr">
        <is>
          <t>오투그란데</t>
        </is>
      </c>
      <c r="E117" s="184" t="n">
        <v>43</v>
      </c>
      <c r="F117" s="184" t="n">
        <v>0</v>
      </c>
      <c r="G117" s="184" t="n">
        <v>0</v>
      </c>
      <c r="H117" s="201" t="n">
        <v>2008.08</v>
      </c>
      <c r="I117" s="201" t="n">
        <v>877</v>
      </c>
      <c r="J117" s="186" t="n">
        <v>18.92000000000007</v>
      </c>
      <c r="K117" s="201" t="n">
        <v>143</v>
      </c>
      <c r="L117" s="201" t="n">
        <v>110</v>
      </c>
      <c r="M117" s="201" t="n">
        <v>43</v>
      </c>
      <c r="N117" s="533" t="n">
        <v>0</v>
      </c>
      <c r="O117" s="534" t="n">
        <v>0</v>
      </c>
      <c r="P117" s="512" t="n">
        <v>0</v>
      </c>
      <c r="Q117" s="188" t="e">
        <v>#DIV/0!</v>
      </c>
      <c r="R117" s="534" t="n">
        <v>0</v>
      </c>
      <c r="S117" s="535" t="n">
        <v>0</v>
      </c>
      <c r="T117" s="202" t="inlineStr">
        <is>
          <t>계단식</t>
        </is>
      </c>
      <c r="U117" s="201" t="n">
        <v>4</v>
      </c>
      <c r="V117" s="201" t="n">
        <v>2</v>
      </c>
      <c r="W117" s="201" t="n">
        <v>124</v>
      </c>
      <c r="X117" s="224" t="n">
        <v>2020.01</v>
      </c>
      <c r="Y117" s="220" t="n">
        <v>0.01</v>
      </c>
      <c r="Z117" s="190" t="n">
        <v>43</v>
      </c>
      <c r="AA117" s="514" t="n">
        <v>23100</v>
      </c>
      <c r="AB117" s="514" t="n">
        <v>19000</v>
      </c>
      <c r="AC117" s="191" t="e">
        <v>#DIV/0!</v>
      </c>
      <c r="AD117" s="192" t="n">
        <v>0</v>
      </c>
      <c r="AE117" s="209" t="n"/>
      <c r="AF117" s="520" t="n"/>
      <c r="AG117" s="521" t="n">
        <v>0</v>
      </c>
      <c r="AH117" s="194" t="e">
        <v>#DIV/0!</v>
      </c>
      <c r="AI117" s="200" t="e">
        <v>#DIV/0!</v>
      </c>
      <c r="AJ117" s="238" t="n"/>
    </row>
    <row r="118" ht="15.5" customHeight="1" s="476">
      <c r="A118" s="48" t="inlineStr">
        <is>
          <t>인동</t>
        </is>
      </c>
      <c r="B118" s="163" t="inlineStr">
        <is>
          <t>중</t>
        </is>
      </c>
      <c r="C118" s="163" t="inlineStr">
        <is>
          <t>중</t>
        </is>
      </c>
      <c r="D118" s="218" t="inlineStr">
        <is>
          <t>어진마을</t>
        </is>
      </c>
      <c r="E118" s="34" t="n">
        <v>34</v>
      </c>
      <c r="F118" s="34" t="n">
        <v>3.3</v>
      </c>
      <c r="G118" s="34" t="n">
        <v>2.2</v>
      </c>
      <c r="H118" s="40" t="n">
        <v>2007.04</v>
      </c>
      <c r="I118" s="40" t="n">
        <v>813</v>
      </c>
      <c r="J118" s="35" t="n">
        <v>19.96000000000004</v>
      </c>
      <c r="K118" s="40" t="inlineStr">
        <is>
          <t>111J, 112A</t>
        </is>
      </c>
      <c r="L118" s="40" t="n">
        <v>84</v>
      </c>
      <c r="M118" s="40" t="n">
        <v>34</v>
      </c>
      <c r="N118" s="527" t="n">
        <v>33000</v>
      </c>
      <c r="O118" s="528" t="n">
        <v>22000</v>
      </c>
      <c r="P118" s="524" t="n">
        <v>11000</v>
      </c>
      <c r="Q118" s="168" t="n">
        <v>0.6666666666666666</v>
      </c>
      <c r="R118" s="528" t="n">
        <v>39000</v>
      </c>
      <c r="S118" s="529" t="n">
        <v>28000</v>
      </c>
      <c r="T118" s="58" t="inlineStr">
        <is>
          <t>계단식</t>
        </is>
      </c>
      <c r="U118" s="40" t="n">
        <v>3</v>
      </c>
      <c r="V118" s="40" t="n">
        <v>2</v>
      </c>
      <c r="W118" s="40" t="n">
        <v>281</v>
      </c>
      <c r="X118" s="221" t="n">
        <v>2022.03</v>
      </c>
      <c r="Y118" s="221" t="n">
        <v>0.01</v>
      </c>
      <c r="Z118" s="169" t="n">
        <v>34</v>
      </c>
      <c r="AA118" s="526" t="n">
        <v>36500</v>
      </c>
      <c r="AB118" s="526" t="n">
        <v>29500</v>
      </c>
      <c r="AC118" s="170" t="e">
        <v>#DIV/0!</v>
      </c>
      <c r="AD118" s="171" t="n">
        <v>0</v>
      </c>
      <c r="AE118" s="33" t="n"/>
      <c r="AF118" s="227" t="n"/>
      <c r="AG118" s="231" t="n"/>
      <c r="AH118" s="122" t="n"/>
      <c r="AI118" s="175" t="n"/>
      <c r="AJ118" s="238" t="n"/>
    </row>
    <row r="119" ht="15.5" customHeight="1" s="476">
      <c r="A119" s="48" t="inlineStr">
        <is>
          <t>인동</t>
        </is>
      </c>
      <c r="B119" s="65" t="inlineStr">
        <is>
          <t>중</t>
        </is>
      </c>
      <c r="C119" s="66" t="inlineStr">
        <is>
          <t>중</t>
        </is>
      </c>
      <c r="D119" s="218" t="inlineStr">
        <is>
          <t>어진마을</t>
        </is>
      </c>
      <c r="E119" s="34" t="n">
        <v>24</v>
      </c>
      <c r="F119" s="34" t="n">
        <v>2.8</v>
      </c>
      <c r="G119" s="34" t="n">
        <v>2.1</v>
      </c>
      <c r="H119" s="41" t="n">
        <v>2007.04</v>
      </c>
      <c r="I119" s="41" t="n">
        <v>813</v>
      </c>
      <c r="J119" s="35" t="n">
        <v>19.96000000000004</v>
      </c>
      <c r="K119" s="41" t="inlineStr">
        <is>
          <t>78A, 79C</t>
        </is>
      </c>
      <c r="L119" s="41" t="n">
        <v>59</v>
      </c>
      <c r="M119" s="41" t="n">
        <v>24</v>
      </c>
      <c r="N119" s="530" t="n">
        <v>28000</v>
      </c>
      <c r="O119" s="531" t="n">
        <v>21000</v>
      </c>
      <c r="P119" s="524" t="n">
        <v>7000</v>
      </c>
      <c r="Q119" s="168" t="n">
        <v>0.75</v>
      </c>
      <c r="R119" s="531" t="n">
        <v>30800</v>
      </c>
      <c r="S119" s="532" t="n">
        <v>21000</v>
      </c>
      <c r="T119" s="59" t="inlineStr">
        <is>
          <t>계단식</t>
        </is>
      </c>
      <c r="U119" s="41" t="n">
        <v>3</v>
      </c>
      <c r="V119" s="41" t="n">
        <v>2</v>
      </c>
      <c r="W119" s="41" t="n">
        <v>396</v>
      </c>
      <c r="X119" s="221" t="n"/>
      <c r="Y119" s="221" t="n"/>
      <c r="Z119" s="169" t="n">
        <v>24</v>
      </c>
      <c r="AA119" s="526" t="n"/>
      <c r="AB119" s="526" t="n"/>
      <c r="AC119" s="170" t="e">
        <v>#DIV/0!</v>
      </c>
      <c r="AD119" s="171" t="n">
        <v>0</v>
      </c>
      <c r="AE119" s="33" t="n"/>
      <c r="AF119" s="227" t="n"/>
      <c r="AG119" s="231" t="n"/>
      <c r="AH119" s="122" t="n"/>
      <c r="AI119" s="175" t="n"/>
      <c r="AJ119" s="238" t="n"/>
    </row>
    <row r="120" ht="15.5" customHeight="1" s="476">
      <c r="A120" s="48" t="inlineStr">
        <is>
          <t>인동</t>
        </is>
      </c>
      <c r="B120" s="174" t="inlineStr">
        <is>
          <t>중</t>
        </is>
      </c>
      <c r="C120" s="166" t="inlineStr">
        <is>
          <t>중</t>
        </is>
      </c>
      <c r="D120" s="218" t="inlineStr">
        <is>
          <t>어진마을</t>
        </is>
      </c>
      <c r="E120" s="34" t="n">
        <v>30</v>
      </c>
      <c r="F120" s="34" t="n">
        <v>2.8</v>
      </c>
      <c r="G120" s="34" t="n">
        <v>2</v>
      </c>
      <c r="H120" s="41" t="n">
        <v>2007.04</v>
      </c>
      <c r="I120" s="41" t="n">
        <v>813</v>
      </c>
      <c r="J120" s="35" t="n">
        <v>19.96000000000004</v>
      </c>
      <c r="K120" s="41" t="n">
        <v>100</v>
      </c>
      <c r="L120" s="41" t="n">
        <v>75</v>
      </c>
      <c r="M120" s="41" t="n">
        <v>30</v>
      </c>
      <c r="N120" s="530" t="n">
        <v>28000</v>
      </c>
      <c r="O120" s="531" t="n">
        <v>20000</v>
      </c>
      <c r="P120" s="524" t="n">
        <v>8000</v>
      </c>
      <c r="Q120" s="168" t="n">
        <v>0.7142857142857143</v>
      </c>
      <c r="R120" s="531" t="n">
        <v>36500</v>
      </c>
      <c r="S120" s="532" t="n">
        <v>26000</v>
      </c>
      <c r="T120" s="59" t="inlineStr">
        <is>
          <t>계단식</t>
        </is>
      </c>
      <c r="U120" s="41" t="n">
        <v>3</v>
      </c>
      <c r="V120" s="41" t="n">
        <v>2</v>
      </c>
      <c r="W120" s="41" t="n">
        <v>78</v>
      </c>
      <c r="X120" s="221" t="n">
        <v>2020.03</v>
      </c>
      <c r="Y120" s="221" t="n">
        <v>0.01</v>
      </c>
      <c r="Z120" s="169" t="n">
        <v>30</v>
      </c>
      <c r="AA120" s="526" t="n">
        <v>25900</v>
      </c>
      <c r="AB120" s="526" t="n">
        <v>22000</v>
      </c>
      <c r="AC120" s="170" t="e">
        <v>#DIV/0!</v>
      </c>
      <c r="AD120" s="171" t="n">
        <v>0</v>
      </c>
      <c r="AE120" s="33" t="n"/>
      <c r="AF120" s="227" t="n"/>
      <c r="AG120" s="231" t="n"/>
      <c r="AH120" s="122" t="n"/>
      <c r="AI120" s="175" t="n"/>
      <c r="AJ120" s="238" t="n"/>
    </row>
    <row r="121" ht="62.5" customHeight="1" s="476" thickBot="1">
      <c r="A121" s="48" t="inlineStr">
        <is>
          <t>인동</t>
        </is>
      </c>
      <c r="B121" s="174" t="inlineStr">
        <is>
          <t>중</t>
        </is>
      </c>
      <c r="C121" s="166" t="inlineStr">
        <is>
          <t>중</t>
        </is>
      </c>
      <c r="D121" s="218" t="inlineStr">
        <is>
          <t>어진마을</t>
        </is>
      </c>
      <c r="E121" s="34" t="n">
        <v>24</v>
      </c>
      <c r="F121" s="34" t="n">
        <v>2.5</v>
      </c>
      <c r="G121" s="34" t="n">
        <v>1.8</v>
      </c>
      <c r="H121" s="42" t="n">
        <v>2007.04</v>
      </c>
      <c r="I121" s="42" t="n">
        <v>813</v>
      </c>
      <c r="J121" s="35" t="n">
        <v>19.96000000000004</v>
      </c>
      <c r="K121" s="42" t="inlineStr">
        <is>
          <t>79B</t>
        </is>
      </c>
      <c r="L121" s="42" t="n">
        <v>59</v>
      </c>
      <c r="M121" s="42" t="n">
        <v>24</v>
      </c>
      <c r="N121" s="522" t="n">
        <v>25000</v>
      </c>
      <c r="O121" s="523" t="n">
        <v>18000</v>
      </c>
      <c r="P121" s="524" t="n">
        <v>7000</v>
      </c>
      <c r="Q121" s="168" t="n">
        <v>0.72</v>
      </c>
      <c r="R121" s="523" t="n">
        <v>30000</v>
      </c>
      <c r="S121" s="525" t="n">
        <v>22000</v>
      </c>
      <c r="T121" s="60" t="inlineStr">
        <is>
          <t>계단식</t>
        </is>
      </c>
      <c r="U121" s="42" t="n">
        <v>3</v>
      </c>
      <c r="V121" s="42" t="n">
        <v>1</v>
      </c>
      <c r="W121" s="42" t="n">
        <v>58</v>
      </c>
      <c r="X121" s="221" t="n"/>
      <c r="Y121" s="221" t="n"/>
      <c r="Z121" s="169" t="n">
        <v>24</v>
      </c>
      <c r="AA121" s="526" t="n"/>
      <c r="AB121" s="526" t="n"/>
      <c r="AC121" s="170" t="e">
        <v>#DIV/0!</v>
      </c>
      <c r="AD121" s="171" t="n">
        <v>0</v>
      </c>
      <c r="AE121" s="33" t="n"/>
      <c r="AF121" s="227" t="n"/>
      <c r="AG121" s="231" t="n"/>
      <c r="AH121" s="122" t="n"/>
      <c r="AI121" s="175" t="n"/>
      <c r="AJ121" s="238" t="n"/>
    </row>
    <row r="122" ht="15.5" customHeight="1" s="476">
      <c r="A122" s="182" t="inlineStr">
        <is>
          <t>가양동</t>
        </is>
      </c>
      <c r="B122" s="183" t="inlineStr">
        <is>
          <t>하</t>
        </is>
      </c>
      <c r="C122" s="183" t="inlineStr">
        <is>
          <t>중</t>
        </is>
      </c>
      <c r="D122" s="217" t="inlineStr">
        <is>
          <t>아침LH</t>
        </is>
      </c>
      <c r="E122" s="184" t="n">
        <v>34</v>
      </c>
      <c r="F122" s="184" t="n">
        <v>3.45</v>
      </c>
      <c r="G122" s="184" t="n">
        <v>2.8</v>
      </c>
      <c r="H122" s="210" t="n">
        <v>2011.08</v>
      </c>
      <c r="I122" s="210" t="n">
        <v>1025</v>
      </c>
      <c r="J122" s="186" t="n">
        <v>15.92000000000007</v>
      </c>
      <c r="K122" s="187" t="inlineStr">
        <is>
          <t>112A-3, 112A-1, 112A-2, 112C-2, 112A-4, 112B, 112C-1</t>
        </is>
      </c>
      <c r="L122" s="187" t="n">
        <v>84</v>
      </c>
      <c r="M122" s="187" t="n">
        <v>34</v>
      </c>
      <c r="N122" s="510" t="n">
        <v>34500</v>
      </c>
      <c r="O122" s="511" t="n">
        <v>28000</v>
      </c>
      <c r="P122" s="512" t="n">
        <v>6500</v>
      </c>
      <c r="Q122" s="188" t="n">
        <v>0.8115942028985508</v>
      </c>
      <c r="R122" s="511" t="n">
        <v>54000</v>
      </c>
      <c r="S122" s="513" t="n">
        <v>38000</v>
      </c>
      <c r="T122" s="189" t="inlineStr">
        <is>
          <t>계단식</t>
        </is>
      </c>
      <c r="U122" s="187" t="n">
        <v>3</v>
      </c>
      <c r="V122" s="187" t="n">
        <v>2</v>
      </c>
      <c r="W122" s="187" t="n">
        <v>868</v>
      </c>
      <c r="X122" s="224" t="n"/>
      <c r="Y122" s="220" t="n"/>
      <c r="Z122" s="190" t="n">
        <v>34</v>
      </c>
      <c r="AA122" s="514" t="n"/>
      <c r="AB122" s="514" t="n"/>
      <c r="AC122" s="191" t="e">
        <v>#DIV/0!</v>
      </c>
      <c r="AD122" s="192" t="n">
        <v>0</v>
      </c>
      <c r="AE122" s="209" t="n"/>
      <c r="AF122" s="520" t="n"/>
      <c r="AG122" s="521" t="n">
        <v>0</v>
      </c>
      <c r="AH122" s="194" t="e">
        <v>#DIV/0!</v>
      </c>
      <c r="AI122" s="200" t="e">
        <v>#DIV/0!</v>
      </c>
      <c r="AJ122" s="238" t="n"/>
      <c r="AK122" s="16" t="n"/>
    </row>
    <row r="123" ht="15.5" customHeight="1" s="476">
      <c r="A123" s="182" t="inlineStr">
        <is>
          <t>가양동</t>
        </is>
      </c>
      <c r="B123" s="196" t="inlineStr">
        <is>
          <t>하</t>
        </is>
      </c>
      <c r="C123" s="212" t="inlineStr">
        <is>
          <t>중</t>
        </is>
      </c>
      <c r="D123" s="217" t="inlineStr">
        <is>
          <t>아침LH</t>
        </is>
      </c>
      <c r="E123" s="184" t="n">
        <v>30</v>
      </c>
      <c r="F123" s="184" t="n">
        <v>3.3</v>
      </c>
      <c r="G123" s="184" t="n">
        <v>2.7</v>
      </c>
      <c r="H123" s="211" t="n">
        <v>2011.08</v>
      </c>
      <c r="I123" s="211" t="n">
        <v>1025</v>
      </c>
      <c r="J123" s="186" t="n">
        <v>15.92000000000007</v>
      </c>
      <c r="K123" s="197" t="inlineStr">
        <is>
          <t>99A, 99B-1, 99B-2</t>
        </is>
      </c>
      <c r="L123" s="197" t="n">
        <v>74</v>
      </c>
      <c r="M123" s="197" t="n">
        <v>30</v>
      </c>
      <c r="N123" s="517" t="n">
        <v>33000</v>
      </c>
      <c r="O123" s="518" t="n">
        <v>27000</v>
      </c>
      <c r="P123" s="512" t="n">
        <v>6000</v>
      </c>
      <c r="Q123" s="188" t="n">
        <v>0.8181818181818182</v>
      </c>
      <c r="R123" s="518" t="n">
        <v>39000</v>
      </c>
      <c r="S123" s="519" t="n">
        <v>30500</v>
      </c>
      <c r="T123" s="198" t="inlineStr">
        <is>
          <t>계단식</t>
        </is>
      </c>
      <c r="U123" s="197" t="n">
        <v>3</v>
      </c>
      <c r="V123" s="197" t="n">
        <v>2</v>
      </c>
      <c r="W123" s="197" t="n">
        <v>55</v>
      </c>
      <c r="X123" s="224" t="n"/>
      <c r="Y123" s="220" t="n"/>
      <c r="Z123" s="190" t="n">
        <v>30</v>
      </c>
      <c r="AA123" s="514" t="n"/>
      <c r="AB123" s="514" t="n"/>
      <c r="AC123" s="191" t="e">
        <v>#DIV/0!</v>
      </c>
      <c r="AD123" s="192" t="n">
        <v>0</v>
      </c>
      <c r="AE123" s="209" t="n"/>
      <c r="AF123" s="520" t="n"/>
      <c r="AG123" s="521" t="n">
        <v>0</v>
      </c>
      <c r="AH123" s="194" t="e">
        <v>#DIV/0!</v>
      </c>
      <c r="AI123" s="200" t="e">
        <v>#DIV/0!</v>
      </c>
      <c r="AJ123" s="238" t="n"/>
      <c r="AK123" s="16" t="n"/>
      <c r="AS123" s="458" t="n"/>
    </row>
    <row r="124" ht="15.5" customHeight="1" s="476">
      <c r="A124" s="182" t="inlineStr">
        <is>
          <t>가양동</t>
        </is>
      </c>
      <c r="B124" s="196" t="inlineStr">
        <is>
          <t>하</t>
        </is>
      </c>
      <c r="C124" s="208" t="inlineStr">
        <is>
          <t>중</t>
        </is>
      </c>
      <c r="D124" s="217" t="inlineStr">
        <is>
          <t>아침LH</t>
        </is>
      </c>
      <c r="E124" s="184" t="n">
        <v>47</v>
      </c>
      <c r="F124" s="184" t="n">
        <v>0</v>
      </c>
      <c r="G124" s="184" t="n">
        <v>0</v>
      </c>
      <c r="H124" s="211" t="n">
        <v>2011.08</v>
      </c>
      <c r="I124" s="211" t="n">
        <v>1025</v>
      </c>
      <c r="J124" s="186" t="n">
        <v>15.92000000000007</v>
      </c>
      <c r="K124" s="197" t="inlineStr">
        <is>
          <t>154A-2, 154B-2, 154A-1, 154B-1</t>
        </is>
      </c>
      <c r="L124" s="197" t="n">
        <v>118</v>
      </c>
      <c r="M124" s="197" t="n">
        <v>47</v>
      </c>
      <c r="N124" s="517" t="n">
        <v>0</v>
      </c>
      <c r="O124" s="518" t="n">
        <v>0</v>
      </c>
      <c r="P124" s="512" t="n">
        <v>0</v>
      </c>
      <c r="Q124" s="188" t="e">
        <v>#DIV/0!</v>
      </c>
      <c r="R124" s="518" t="n">
        <v>0</v>
      </c>
      <c r="S124" s="519" t="n">
        <v>0</v>
      </c>
      <c r="T124" s="198" t="inlineStr">
        <is>
          <t>계단식</t>
        </is>
      </c>
      <c r="U124" s="197" t="n">
        <v>4</v>
      </c>
      <c r="V124" s="197" t="n">
        <v>2</v>
      </c>
      <c r="W124" s="197" t="n">
        <v>102</v>
      </c>
      <c r="X124" s="224" t="n">
        <v>2021.1</v>
      </c>
      <c r="Y124" s="220" t="n">
        <v>0.01</v>
      </c>
      <c r="Z124" s="190" t="n">
        <v>47</v>
      </c>
      <c r="AA124" s="514" t="n">
        <v>55250</v>
      </c>
      <c r="AB124" s="514" t="n">
        <v>44250</v>
      </c>
      <c r="AC124" s="191" t="e">
        <v>#DIV/0!</v>
      </c>
      <c r="AD124" s="192" t="n">
        <v>0</v>
      </c>
      <c r="AE124" s="209" t="n"/>
      <c r="AF124" s="520" t="n"/>
      <c r="AG124" s="521" t="n">
        <v>0</v>
      </c>
      <c r="AH124" s="194" t="e">
        <v>#DIV/0!</v>
      </c>
      <c r="AI124" s="200" t="e">
        <v>#DIV/0!</v>
      </c>
      <c r="AJ124" s="238" t="n"/>
      <c r="AK124" s="16" t="n"/>
    </row>
    <row r="125" ht="15.5" customHeight="1" s="476">
      <c r="A125" s="48" t="inlineStr">
        <is>
          <t>신흥동</t>
        </is>
      </c>
      <c r="B125" s="174" t="inlineStr">
        <is>
          <t>중</t>
        </is>
      </c>
      <c r="C125" s="166" t="inlineStr">
        <is>
          <t>하</t>
        </is>
      </c>
      <c r="D125" s="218" t="inlineStr">
        <is>
          <t>신흥마을</t>
        </is>
      </c>
      <c r="E125" s="34" t="n">
        <v>29</v>
      </c>
      <c r="F125" s="34" t="n">
        <v>2.7</v>
      </c>
      <c r="G125" s="34" t="n">
        <v>2.3</v>
      </c>
      <c r="H125" s="41" t="n">
        <v>2006.05</v>
      </c>
      <c r="I125" s="41" t="n">
        <v>721</v>
      </c>
      <c r="J125" s="35" t="n">
        <v>20.95000000000005</v>
      </c>
      <c r="K125" s="41" t="n">
        <v>95</v>
      </c>
      <c r="L125" s="41" t="n">
        <v>75</v>
      </c>
      <c r="M125" s="41" t="n">
        <v>29</v>
      </c>
      <c r="N125" s="530" t="n">
        <v>27000</v>
      </c>
      <c r="O125" s="531" t="n">
        <v>23000</v>
      </c>
      <c r="P125" s="524" t="n">
        <v>4000</v>
      </c>
      <c r="Q125" s="168" t="n">
        <v>0.8518518518518519</v>
      </c>
      <c r="R125" s="531" t="n">
        <v>33000</v>
      </c>
      <c r="S125" s="532" t="n">
        <v>24000</v>
      </c>
      <c r="T125" s="59" t="inlineStr">
        <is>
          <t>계단식</t>
        </is>
      </c>
      <c r="U125" s="41" t="n">
        <v>3</v>
      </c>
      <c r="V125" s="41" t="n">
        <v>2</v>
      </c>
      <c r="W125" s="41" t="n">
        <v>178</v>
      </c>
      <c r="X125" s="221" t="n">
        <v>2020.09</v>
      </c>
      <c r="Y125" s="221" t="n">
        <v>0.02</v>
      </c>
      <c r="Z125" s="169" t="n">
        <v>29</v>
      </c>
      <c r="AA125" s="526" t="n">
        <v>30160</v>
      </c>
      <c r="AB125" s="526" t="n">
        <v>26000</v>
      </c>
      <c r="AC125" s="170" t="e">
        <v>#DIV/0!</v>
      </c>
      <c r="AD125" s="171" t="n">
        <v>0</v>
      </c>
      <c r="AE125" s="33" t="n"/>
      <c r="AF125" s="227" t="n"/>
      <c r="AG125" s="231" t="n"/>
      <c r="AH125" s="122" t="n"/>
      <c r="AI125" s="175" t="n"/>
      <c r="AJ125" s="238" t="n"/>
    </row>
    <row r="126" ht="16" customHeight="1" s="476" thickBot="1">
      <c r="A126" s="48" t="inlineStr">
        <is>
          <t>신흥동</t>
        </is>
      </c>
      <c r="B126" s="174" t="inlineStr">
        <is>
          <t>중</t>
        </is>
      </c>
      <c r="C126" s="166" t="inlineStr">
        <is>
          <t>하</t>
        </is>
      </c>
      <c r="D126" s="218" t="inlineStr">
        <is>
          <t>신흥마을</t>
        </is>
      </c>
      <c r="E126" s="34" t="n">
        <v>33</v>
      </c>
      <c r="F126" s="34" t="n">
        <v>2.7</v>
      </c>
      <c r="G126" s="34" t="n">
        <v>2.2</v>
      </c>
      <c r="H126" s="42" t="n">
        <v>2006.05</v>
      </c>
      <c r="I126" s="42" t="n">
        <v>721</v>
      </c>
      <c r="J126" s="35" t="n">
        <v>20.95000000000005</v>
      </c>
      <c r="K126" s="42" t="n">
        <v>109</v>
      </c>
      <c r="L126" s="42" t="n">
        <v>84</v>
      </c>
      <c r="M126" s="42" t="n">
        <v>33</v>
      </c>
      <c r="N126" s="522" t="n">
        <v>27000</v>
      </c>
      <c r="O126" s="523" t="n">
        <v>22000</v>
      </c>
      <c r="P126" s="524" t="n">
        <v>5000</v>
      </c>
      <c r="Q126" s="168" t="n">
        <v>0.8148148148148148</v>
      </c>
      <c r="R126" s="523" t="n">
        <v>35000</v>
      </c>
      <c r="S126" s="525" t="n">
        <v>26500</v>
      </c>
      <c r="T126" s="60" t="inlineStr">
        <is>
          <t>계단식</t>
        </is>
      </c>
      <c r="U126" s="42" t="n">
        <v>3</v>
      </c>
      <c r="V126" s="42" t="n">
        <v>2</v>
      </c>
      <c r="W126" s="42" t="n">
        <v>204</v>
      </c>
      <c r="X126" s="221" t="n">
        <v>2025.11</v>
      </c>
      <c r="Y126" s="221" t="n">
        <v>0.04</v>
      </c>
      <c r="Z126" s="169" t="n">
        <v>33</v>
      </c>
      <c r="AA126" s="526" t="n">
        <v>26167</v>
      </c>
      <c r="AB126" s="526" t="n">
        <v>22500</v>
      </c>
      <c r="AC126" s="170" t="e">
        <v>#DIV/0!</v>
      </c>
      <c r="AD126" s="171" t="n">
        <v>0</v>
      </c>
      <c r="AE126" s="33" t="n"/>
      <c r="AF126" s="227" t="n"/>
      <c r="AG126" s="231" t="n"/>
      <c r="AH126" s="122" t="n"/>
      <c r="AI126" s="175" t="n"/>
      <c r="AJ126" s="238" t="n"/>
      <c r="AK126" s="16" t="n"/>
      <c r="AS126" s="19" t="n"/>
      <c r="AT126" s="18" t="n"/>
      <c r="AU126" s="18" t="n"/>
      <c r="AV126" s="18" t="n"/>
    </row>
    <row r="127" ht="15.5" customHeight="1" s="476">
      <c r="A127" s="48" t="inlineStr">
        <is>
          <t>신흥동</t>
        </is>
      </c>
      <c r="B127" s="13" t="inlineStr">
        <is>
          <t>중</t>
        </is>
      </c>
      <c r="C127" s="163" t="inlineStr">
        <is>
          <t>하</t>
        </is>
      </c>
      <c r="D127" s="218" t="inlineStr">
        <is>
          <t>신흥마을</t>
        </is>
      </c>
      <c r="E127" s="34" t="n">
        <v>24</v>
      </c>
      <c r="F127" s="34" t="n">
        <v>2.35</v>
      </c>
      <c r="G127" s="34" t="n">
        <v>1.9</v>
      </c>
      <c r="H127" s="40" t="n">
        <v>2006.05</v>
      </c>
      <c r="I127" s="40" t="n">
        <v>721</v>
      </c>
      <c r="J127" s="35" t="n">
        <v>20.95000000000005</v>
      </c>
      <c r="K127" s="40" t="inlineStr">
        <is>
          <t>79B, 80A</t>
        </is>
      </c>
      <c r="L127" s="40" t="n">
        <v>59</v>
      </c>
      <c r="M127" s="40" t="n">
        <v>24</v>
      </c>
      <c r="N127" s="527" t="n">
        <v>23500</v>
      </c>
      <c r="O127" s="528" t="n">
        <v>19000</v>
      </c>
      <c r="P127" s="524" t="n">
        <v>4500</v>
      </c>
      <c r="Q127" s="168" t="n">
        <v>0.8085106382978723</v>
      </c>
      <c r="R127" s="528" t="n">
        <v>30000</v>
      </c>
      <c r="S127" s="529" t="n">
        <v>22000</v>
      </c>
      <c r="T127" s="58" t="inlineStr">
        <is>
          <t>계단식</t>
        </is>
      </c>
      <c r="U127" s="40" t="n">
        <v>3</v>
      </c>
      <c r="V127" s="40" t="n">
        <v>2</v>
      </c>
      <c r="W127" s="40" t="n">
        <v>339</v>
      </c>
      <c r="X127" s="221" t="n">
        <v>2023.12</v>
      </c>
      <c r="Y127" s="221" t="n">
        <v>0.04</v>
      </c>
      <c r="Z127" s="169" t="n">
        <v>24</v>
      </c>
      <c r="AA127" s="526" t="n">
        <v>22700</v>
      </c>
      <c r="AB127" s="526" t="n">
        <v>19000</v>
      </c>
      <c r="AC127" s="170" t="e">
        <v>#DIV/0!</v>
      </c>
      <c r="AD127" s="171" t="n">
        <v>0</v>
      </c>
      <c r="AE127" s="33" t="n"/>
      <c r="AF127" s="227" t="n"/>
      <c r="AG127" s="231" t="n"/>
      <c r="AH127" s="122" t="n"/>
      <c r="AI127" s="175" t="n"/>
      <c r="AJ127" s="238" t="n"/>
    </row>
    <row r="128" ht="16" customHeight="1" s="476" thickBot="1">
      <c r="A128" s="182" t="inlineStr">
        <is>
          <t>신흥동</t>
        </is>
      </c>
      <c r="B128" s="196" t="inlineStr">
        <is>
          <t>상</t>
        </is>
      </c>
      <c r="C128" s="208" t="inlineStr">
        <is>
          <t>상</t>
        </is>
      </c>
      <c r="D128" s="217" t="inlineStr">
        <is>
          <t>신흥SK뷰</t>
        </is>
      </c>
      <c r="E128" s="184" t="n">
        <v>34</v>
      </c>
      <c r="F128" s="184" t="n">
        <v>5.4</v>
      </c>
      <c r="G128" s="184" t="n">
        <v>3.5</v>
      </c>
      <c r="H128" s="201" t="n">
        <v>2022.04</v>
      </c>
      <c r="I128" s="201" t="n">
        <v>1588</v>
      </c>
      <c r="J128" s="186" t="n">
        <v>4.960000000000036</v>
      </c>
      <c r="K128" s="201" t="n">
        <v>113</v>
      </c>
      <c r="L128" s="201" t="n">
        <v>84</v>
      </c>
      <c r="M128" s="201" t="n">
        <v>34</v>
      </c>
      <c r="N128" s="533" t="n">
        <v>56000</v>
      </c>
      <c r="O128" s="534" t="n">
        <v>38000</v>
      </c>
      <c r="P128" s="512" t="n">
        <v>19000</v>
      </c>
      <c r="Q128" s="188" t="n">
        <v>0.6481481481481481</v>
      </c>
      <c r="R128" s="534" t="n">
        <v>55800</v>
      </c>
      <c r="S128" s="535" t="n">
        <v>50200</v>
      </c>
      <c r="T128" s="202" t="inlineStr">
        <is>
          <t>계단식</t>
        </is>
      </c>
      <c r="U128" s="201" t="n">
        <v>3</v>
      </c>
      <c r="V128" s="201" t="n">
        <v>2</v>
      </c>
      <c r="W128" s="201" t="n">
        <v>394</v>
      </c>
      <c r="X128" s="220" t="n">
        <v>2022.05</v>
      </c>
      <c r="Y128" s="220" t="n">
        <v>0.01</v>
      </c>
      <c r="Z128" s="190" t="n">
        <v>34</v>
      </c>
      <c r="AA128" s="514" t="n">
        <v>39190</v>
      </c>
      <c r="AB128" s="514" t="n">
        <v>32070</v>
      </c>
      <c r="AC128" s="191" t="e">
        <v>#DIV/0!</v>
      </c>
      <c r="AD128" s="192" t="n">
        <v>0</v>
      </c>
      <c r="AE128" s="209" t="n"/>
      <c r="AF128" s="230" t="n"/>
      <c r="AG128" s="232" t="n"/>
      <c r="AH128" s="199" t="n"/>
      <c r="AI128" s="200" t="n"/>
      <c r="AJ128" s="238" t="n"/>
      <c r="AS128" s="458" t="n"/>
    </row>
    <row r="129" ht="15.5" customHeight="1" s="476">
      <c r="A129" s="182" t="inlineStr">
        <is>
          <t>신흥동</t>
        </is>
      </c>
      <c r="B129" s="183" t="inlineStr">
        <is>
          <t>상</t>
        </is>
      </c>
      <c r="C129" s="183" t="inlineStr">
        <is>
          <t>상</t>
        </is>
      </c>
      <c r="D129" s="217" t="inlineStr">
        <is>
          <t>신흥SK뷰</t>
        </is>
      </c>
      <c r="E129" s="184" t="n">
        <v>30</v>
      </c>
      <c r="F129" s="184" t="n">
        <v>4.85</v>
      </c>
      <c r="G129" s="184" t="n">
        <v>3.3</v>
      </c>
      <c r="H129" s="187" t="n">
        <v>2022.04</v>
      </c>
      <c r="I129" s="187" t="n">
        <v>1588</v>
      </c>
      <c r="J129" s="186" t="n">
        <v>4.960000000000036</v>
      </c>
      <c r="K129" s="187" t="n">
        <v>100</v>
      </c>
      <c r="L129" s="187" t="n">
        <v>74</v>
      </c>
      <c r="M129" s="187" t="n">
        <v>30</v>
      </c>
      <c r="N129" s="510" t="n">
        <v>48500</v>
      </c>
      <c r="O129" s="511" t="n">
        <v>33000</v>
      </c>
      <c r="P129" s="512" t="n">
        <v>15500</v>
      </c>
      <c r="Q129" s="188" t="n">
        <v>0.6804123711340206</v>
      </c>
      <c r="R129" s="511" t="n">
        <v>45700</v>
      </c>
      <c r="S129" s="513" t="n">
        <v>34000</v>
      </c>
      <c r="T129" s="189" t="inlineStr">
        <is>
          <t>계단식</t>
        </is>
      </c>
      <c r="U129" s="187" t="n">
        <v>3</v>
      </c>
      <c r="V129" s="187" t="n">
        <v>2</v>
      </c>
      <c r="W129" s="187" t="n">
        <v>297</v>
      </c>
      <c r="X129" s="220" t="n"/>
      <c r="Y129" s="220" t="n"/>
      <c r="Z129" s="190" t="n">
        <v>30</v>
      </c>
      <c r="AA129" s="514" t="n"/>
      <c r="AB129" s="514" t="n"/>
      <c r="AC129" s="191" t="e">
        <v>#DIV/0!</v>
      </c>
      <c r="AD129" s="192" t="n">
        <v>0</v>
      </c>
      <c r="AE129" s="209" t="n"/>
      <c r="AF129" s="230" t="n"/>
      <c r="AG129" s="232" t="n"/>
      <c r="AH129" s="199" t="n"/>
      <c r="AI129" s="200" t="n"/>
      <c r="AJ129" s="238" t="n"/>
    </row>
    <row r="130" ht="15.5" customHeight="1" s="476">
      <c r="A130" s="182" t="inlineStr">
        <is>
          <t>신흥동</t>
        </is>
      </c>
      <c r="B130" s="196" t="inlineStr">
        <is>
          <t>상</t>
        </is>
      </c>
      <c r="C130" s="208" t="inlineStr">
        <is>
          <t>상</t>
        </is>
      </c>
      <c r="D130" s="217" t="inlineStr">
        <is>
          <t>신흥SK뷰</t>
        </is>
      </c>
      <c r="E130" s="184" t="n">
        <v>24</v>
      </c>
      <c r="F130" s="184" t="n">
        <v>3.8</v>
      </c>
      <c r="G130" s="184" t="n">
        <v>3</v>
      </c>
      <c r="H130" s="197" t="n">
        <v>2022.04</v>
      </c>
      <c r="I130" s="197" t="n">
        <v>1588</v>
      </c>
      <c r="J130" s="186" t="n">
        <v>4.960000000000036</v>
      </c>
      <c r="K130" s="197" t="inlineStr">
        <is>
          <t>80A, 81B</t>
        </is>
      </c>
      <c r="L130" s="197" t="n">
        <v>59</v>
      </c>
      <c r="M130" s="197" t="n">
        <v>24</v>
      </c>
      <c r="N130" s="517" t="n">
        <v>38000</v>
      </c>
      <c r="O130" s="518" t="n">
        <v>30000</v>
      </c>
      <c r="P130" s="512" t="n">
        <v>8000</v>
      </c>
      <c r="Q130" s="188" t="n">
        <v>0.7894736842105263</v>
      </c>
      <c r="R130" s="518" t="n">
        <v>31000</v>
      </c>
      <c r="S130" s="519" t="n">
        <v>37500</v>
      </c>
      <c r="T130" s="198" t="inlineStr">
        <is>
          <t>계단식</t>
        </is>
      </c>
      <c r="U130" s="197" t="n">
        <v>3</v>
      </c>
      <c r="V130" s="197" t="n">
        <v>2</v>
      </c>
      <c r="W130" s="197" t="n">
        <v>808</v>
      </c>
      <c r="X130" s="220" t="n"/>
      <c r="Y130" s="220" t="n"/>
      <c r="Z130" s="190" t="n">
        <v>24</v>
      </c>
      <c r="AA130" s="514" t="n"/>
      <c r="AB130" s="514" t="n"/>
      <c r="AC130" s="191" t="e">
        <v>#DIV/0!</v>
      </c>
      <c r="AD130" s="192" t="n">
        <v>0</v>
      </c>
      <c r="AE130" s="209" t="n"/>
      <c r="AF130" s="230" t="n"/>
      <c r="AG130" s="232" t="n"/>
      <c r="AH130" s="199" t="n"/>
      <c r="AI130" s="200" t="n"/>
      <c r="AJ130" s="238" t="n"/>
    </row>
    <row r="131" ht="15.5" customHeight="1" s="476">
      <c r="A131" s="182" t="inlineStr">
        <is>
          <t>신흥동</t>
        </is>
      </c>
      <c r="B131" s="196" t="inlineStr">
        <is>
          <t>상</t>
        </is>
      </c>
      <c r="C131" s="208" t="inlineStr">
        <is>
          <t>상</t>
        </is>
      </c>
      <c r="D131" s="217" t="inlineStr">
        <is>
          <t>신흥SK뷰</t>
        </is>
      </c>
      <c r="E131" s="184" t="n">
        <v>16</v>
      </c>
      <c r="F131" s="184" t="n">
        <v>0</v>
      </c>
      <c r="G131" s="184" t="n">
        <v>1.68</v>
      </c>
      <c r="H131" s="197" t="n">
        <v>2022.04</v>
      </c>
      <c r="I131" s="197" t="n">
        <v>1588</v>
      </c>
      <c r="J131" s="186" t="n">
        <v>4.960000000000036</v>
      </c>
      <c r="K131" s="197" t="n">
        <v>53</v>
      </c>
      <c r="L131" s="197" t="n">
        <v>39</v>
      </c>
      <c r="M131" s="197" t="n">
        <v>16</v>
      </c>
      <c r="N131" s="517" t="n">
        <v>0</v>
      </c>
      <c r="O131" s="518" t="n">
        <v>16800</v>
      </c>
      <c r="P131" s="512" t="n">
        <v>-16800</v>
      </c>
      <c r="Q131" s="188" t="e">
        <v>#DIV/0!</v>
      </c>
      <c r="R131" s="518" t="n">
        <v>0</v>
      </c>
      <c r="S131" s="519" t="n">
        <v>0</v>
      </c>
      <c r="T131" s="198" t="inlineStr">
        <is>
          <t>계단식</t>
        </is>
      </c>
      <c r="U131" s="197" t="n">
        <v>2</v>
      </c>
      <c r="V131" s="197" t="n">
        <v>1</v>
      </c>
      <c r="W131" s="197" t="n">
        <v>68</v>
      </c>
      <c r="X131" s="220" t="n"/>
      <c r="Y131" s="220" t="n"/>
      <c r="Z131" s="190" t="n">
        <v>16</v>
      </c>
      <c r="AA131" s="514" t="n"/>
      <c r="AB131" s="514" t="n"/>
      <c r="AC131" s="191" t="e">
        <v>#DIV/0!</v>
      </c>
      <c r="AD131" s="192" t="n">
        <v>0</v>
      </c>
      <c r="AE131" s="209" t="n"/>
      <c r="AF131" s="230" t="n"/>
      <c r="AG131" s="232" t="n"/>
      <c r="AH131" s="199" t="n"/>
      <c r="AI131" s="200" t="n"/>
      <c r="AJ131" s="238" t="n"/>
    </row>
    <row r="132" ht="16" customHeight="1" s="476" thickBot="1">
      <c r="A132" s="182" t="inlineStr">
        <is>
          <t>신흥동</t>
        </is>
      </c>
      <c r="B132" s="196" t="inlineStr">
        <is>
          <t>상</t>
        </is>
      </c>
      <c r="C132" s="208" t="inlineStr">
        <is>
          <t>상</t>
        </is>
      </c>
      <c r="D132" s="217" t="inlineStr">
        <is>
          <t>신흥SK뷰</t>
        </is>
      </c>
      <c r="E132" s="184" t="n">
        <v>21</v>
      </c>
      <c r="F132" s="184" t="n">
        <v>0</v>
      </c>
      <c r="G132" s="184" t="n">
        <v>2.2</v>
      </c>
      <c r="H132" s="205" t="n">
        <v>2022.04</v>
      </c>
      <c r="I132" s="205" t="n">
        <v>1588</v>
      </c>
      <c r="J132" s="186" t="n">
        <v>4.960000000000036</v>
      </c>
      <c r="K132" s="205" t="n">
        <v>68</v>
      </c>
      <c r="L132" s="205" t="n">
        <v>51</v>
      </c>
      <c r="M132" s="205" t="n">
        <v>21</v>
      </c>
      <c r="N132" s="544" t="n">
        <v>0</v>
      </c>
      <c r="O132" s="545" t="n">
        <v>22000</v>
      </c>
      <c r="P132" s="512" t="n">
        <v>-22000</v>
      </c>
      <c r="Q132" s="188" t="e">
        <v>#DIV/0!</v>
      </c>
      <c r="R132" s="545" t="n">
        <v>0</v>
      </c>
      <c r="S132" s="546" t="n">
        <v>0</v>
      </c>
      <c r="T132" s="206" t="inlineStr">
        <is>
          <t>계단식</t>
        </is>
      </c>
      <c r="U132" s="205" t="n">
        <v>2</v>
      </c>
      <c r="V132" s="205" t="n">
        <v>1</v>
      </c>
      <c r="W132" s="205" t="n">
        <v>21</v>
      </c>
      <c r="X132" s="220" t="n"/>
      <c r="Y132" s="220" t="n"/>
      <c r="Z132" s="190" t="n">
        <v>21</v>
      </c>
      <c r="AA132" s="514" t="n"/>
      <c r="AB132" s="514" t="n"/>
      <c r="AC132" s="191" t="e">
        <v>#DIV/0!</v>
      </c>
      <c r="AD132" s="192" t="n">
        <v>0</v>
      </c>
      <c r="AE132" s="209" t="n"/>
      <c r="AF132" s="230" t="n"/>
      <c r="AG132" s="232" t="n"/>
      <c r="AH132" s="199" t="n"/>
      <c r="AI132" s="200" t="n"/>
      <c r="AJ132" s="238" t="n"/>
    </row>
    <row r="133" ht="15.5" customHeight="1" s="476">
      <c r="A133" s="48" t="inlineStr">
        <is>
          <t>홍도동</t>
        </is>
      </c>
      <c r="B133" s="174" t="inlineStr">
        <is>
          <t>하</t>
        </is>
      </c>
      <c r="C133" s="163" t="inlineStr">
        <is>
          <t>중</t>
        </is>
      </c>
      <c r="D133" s="218" t="inlineStr">
        <is>
          <t>신동아파밀리에1단지</t>
        </is>
      </c>
      <c r="E133" s="34" t="n">
        <v>33</v>
      </c>
      <c r="F133" s="34" t="n">
        <v>2.89</v>
      </c>
      <c r="G133" s="34" t="n">
        <v>2.2</v>
      </c>
      <c r="H133" s="40" t="n">
        <v>2007.07</v>
      </c>
      <c r="I133" s="40" t="n">
        <v>349</v>
      </c>
      <c r="J133" s="35" t="n">
        <v>19.93000000000006</v>
      </c>
      <c r="K133" s="40" t="inlineStr">
        <is>
          <t>109B, 110C, 111A</t>
        </is>
      </c>
      <c r="L133" s="40" t="n">
        <v>84</v>
      </c>
      <c r="M133" s="40" t="n">
        <v>33</v>
      </c>
      <c r="N133" s="527" t="n">
        <v>28900</v>
      </c>
      <c r="O133" s="528" t="n">
        <v>22000</v>
      </c>
      <c r="P133" s="524" t="n">
        <v>6900</v>
      </c>
      <c r="Q133" s="168" t="n">
        <v>0.7612456747404844</v>
      </c>
      <c r="R133" s="528" t="n">
        <v>38000</v>
      </c>
      <c r="S133" s="529" t="n">
        <v>33000</v>
      </c>
      <c r="T133" s="58" t="inlineStr">
        <is>
          <t>계단식</t>
        </is>
      </c>
      <c r="U133" s="40" t="n">
        <v>3</v>
      </c>
      <c r="V133" s="40" t="n">
        <v>2</v>
      </c>
      <c r="W133" s="40" t="n">
        <v>298</v>
      </c>
      <c r="X133" s="221" t="n">
        <v>2020.05</v>
      </c>
      <c r="Y133" s="221" t="n">
        <v>0.04</v>
      </c>
      <c r="Z133" s="169" t="n">
        <v>33</v>
      </c>
      <c r="AA133" s="526" t="n">
        <v>26477</v>
      </c>
      <c r="AB133" s="526" t="n">
        <v>21545</v>
      </c>
      <c r="AC133" s="170" t="e">
        <v>#DIV/0!</v>
      </c>
      <c r="AD133" s="171" t="n">
        <v>0</v>
      </c>
      <c r="AE133" s="33" t="n"/>
      <c r="AF133" s="227" t="n"/>
      <c r="AG133" s="231" t="n"/>
      <c r="AH133" s="122" t="n"/>
      <c r="AI133" s="175" t="n"/>
      <c r="AJ133" s="238" t="n"/>
    </row>
    <row r="134" ht="15.5" customHeight="1" s="476">
      <c r="A134" s="48" t="inlineStr">
        <is>
          <t>홍도동</t>
        </is>
      </c>
      <c r="B134" s="174" t="inlineStr">
        <is>
          <t>하</t>
        </is>
      </c>
      <c r="C134" s="240" t="inlineStr">
        <is>
          <t>중</t>
        </is>
      </c>
      <c r="D134" s="218" t="inlineStr">
        <is>
          <t>신동아파밀리에1단지</t>
        </is>
      </c>
      <c r="E134" s="34" t="n">
        <v>29</v>
      </c>
      <c r="F134" s="34" t="n">
        <v>2.85</v>
      </c>
      <c r="G134" s="34" t="n">
        <v>2.3</v>
      </c>
      <c r="H134" s="41" t="n">
        <v>2007.07</v>
      </c>
      <c r="I134" s="41" t="n">
        <v>349</v>
      </c>
      <c r="J134" s="35" t="n">
        <v>19.93000000000006</v>
      </c>
      <c r="K134" s="41" t="n">
        <v>95</v>
      </c>
      <c r="L134" s="41" t="n">
        <v>74</v>
      </c>
      <c r="M134" s="41" t="n">
        <v>29</v>
      </c>
      <c r="N134" s="530" t="n">
        <v>28500</v>
      </c>
      <c r="O134" s="531" t="n">
        <v>23000</v>
      </c>
      <c r="P134" s="524" t="n">
        <v>5500</v>
      </c>
      <c r="Q134" s="168" t="n">
        <v>0.8070175438596491</v>
      </c>
      <c r="R134" s="531" t="n">
        <v>34000</v>
      </c>
      <c r="S134" s="532" t="n">
        <v>31000</v>
      </c>
      <c r="T134" s="59" t="inlineStr">
        <is>
          <t>계단식</t>
        </is>
      </c>
      <c r="U134" s="41" t="n">
        <v>3</v>
      </c>
      <c r="V134" s="41" t="n">
        <v>2</v>
      </c>
      <c r="W134" s="41" t="n">
        <v>51</v>
      </c>
      <c r="X134" s="221" t="n">
        <v>2022.07</v>
      </c>
      <c r="Y134" s="221" t="n">
        <v>0.04</v>
      </c>
      <c r="Z134" s="169" t="n">
        <v>29</v>
      </c>
      <c r="AA134" s="526" t="n">
        <v>31800</v>
      </c>
      <c r="AB134" s="526" t="n">
        <v>26000</v>
      </c>
      <c r="AC134" s="170" t="e">
        <v>#DIV/0!</v>
      </c>
      <c r="AD134" s="171" t="n">
        <v>0</v>
      </c>
      <c r="AE134" s="33" t="n"/>
      <c r="AF134" s="227" t="n"/>
      <c r="AG134" s="231" t="n"/>
      <c r="AH134" s="122" t="n"/>
      <c r="AI134" s="175" t="n"/>
      <c r="AJ134" s="238" t="n"/>
      <c r="AK134" s="15" t="n"/>
      <c r="AS134" s="458" t="n"/>
    </row>
    <row r="135" ht="15.5" customHeight="1" s="476">
      <c r="A135" s="182" t="inlineStr">
        <is>
          <t>용전동</t>
        </is>
      </c>
      <c r="B135" s="196" t="inlineStr">
        <is>
          <t>상</t>
        </is>
      </c>
      <c r="C135" s="208" t="inlineStr">
        <is>
          <t>하</t>
        </is>
      </c>
      <c r="D135" s="217" t="inlineStr">
        <is>
          <t>신동아</t>
        </is>
      </c>
      <c r="E135" s="184" t="n">
        <v>31</v>
      </c>
      <c r="F135" s="184" t="n">
        <v>2</v>
      </c>
      <c r="G135" s="184" t="n">
        <v>2.02</v>
      </c>
      <c r="H135" s="197" t="n">
        <v>1990.09</v>
      </c>
      <c r="I135" s="197" t="n">
        <v>914</v>
      </c>
      <c r="J135" s="186" t="n">
        <v>36.91000000000008</v>
      </c>
      <c r="K135" s="197" t="n">
        <v>101</v>
      </c>
      <c r="L135" s="197" t="n">
        <v>84</v>
      </c>
      <c r="M135" s="197" t="n">
        <v>31</v>
      </c>
      <c r="N135" s="517" t="n">
        <v>20000</v>
      </c>
      <c r="O135" s="518" t="n">
        <v>20200</v>
      </c>
      <c r="P135" s="512" t="n">
        <v>-200</v>
      </c>
      <c r="Q135" s="188" t="n">
        <v>1.01</v>
      </c>
      <c r="R135" s="518" t="n">
        <v>31000</v>
      </c>
      <c r="S135" s="519" t="n">
        <v>21500</v>
      </c>
      <c r="T135" s="198" t="inlineStr">
        <is>
          <t>계단식</t>
        </is>
      </c>
      <c r="U135" s="197" t="n">
        <v>3</v>
      </c>
      <c r="V135" s="197" t="n">
        <v>2</v>
      </c>
      <c r="W135" s="197" t="n">
        <v>524</v>
      </c>
      <c r="X135" s="220" t="n"/>
      <c r="Y135" s="220" t="n"/>
      <c r="Z135" s="190" t="n">
        <v>31</v>
      </c>
      <c r="AA135" s="514" t="n"/>
      <c r="AB135" s="514" t="n"/>
      <c r="AC135" s="191" t="e">
        <v>#DIV/0!</v>
      </c>
      <c r="AD135" s="192" t="n">
        <v>0</v>
      </c>
      <c r="AE135" s="209" t="n"/>
      <c r="AF135" s="230" t="n"/>
      <c r="AG135" s="232" t="n"/>
      <c r="AH135" s="199" t="n"/>
      <c r="AI135" s="200" t="n"/>
      <c r="AJ135" s="238" t="n"/>
    </row>
    <row r="136" ht="16" customHeight="1" s="476" thickBot="1">
      <c r="A136" s="182" t="inlineStr">
        <is>
          <t>용전동</t>
        </is>
      </c>
      <c r="B136" s="196" t="inlineStr">
        <is>
          <t>상</t>
        </is>
      </c>
      <c r="C136" s="208" t="inlineStr">
        <is>
          <t>하</t>
        </is>
      </c>
      <c r="D136" s="217" t="inlineStr">
        <is>
          <t>신동아</t>
        </is>
      </c>
      <c r="E136" s="184" t="n">
        <v>25</v>
      </c>
      <c r="F136" s="184" t="n">
        <v>1.6</v>
      </c>
      <c r="G136" s="184" t="n">
        <v>1.4</v>
      </c>
      <c r="H136" s="201" t="n">
        <v>1990.09</v>
      </c>
      <c r="I136" s="201" t="n">
        <v>914</v>
      </c>
      <c r="J136" s="186" t="n">
        <v>36.91000000000008</v>
      </c>
      <c r="K136" s="201" t="n">
        <v>82</v>
      </c>
      <c r="L136" s="201" t="n">
        <v>67</v>
      </c>
      <c r="M136" s="201" t="n">
        <v>25</v>
      </c>
      <c r="N136" s="533" t="n">
        <v>16000</v>
      </c>
      <c r="O136" s="534" t="n">
        <v>14000</v>
      </c>
      <c r="P136" s="512" t="n">
        <v>2000</v>
      </c>
      <c r="Q136" s="188" t="n">
        <v>0.875</v>
      </c>
      <c r="R136" s="518" t="n">
        <v>20500</v>
      </c>
      <c r="S136" s="535" t="n">
        <v>15000</v>
      </c>
      <c r="T136" s="202" t="inlineStr">
        <is>
          <t>계단식</t>
        </is>
      </c>
      <c r="U136" s="201" t="n">
        <v>3</v>
      </c>
      <c r="V136" s="201" t="n">
        <v>1</v>
      </c>
      <c r="W136" s="201" t="n">
        <v>240</v>
      </c>
      <c r="X136" s="220" t="n">
        <v>2025.02</v>
      </c>
      <c r="Y136" s="220" t="n">
        <v>0.02</v>
      </c>
      <c r="Z136" s="190" t="n">
        <v>25</v>
      </c>
      <c r="AA136" s="514" t="n">
        <v>16333</v>
      </c>
      <c r="AB136" s="514" t="n">
        <v>13281</v>
      </c>
      <c r="AC136" s="191" t="e">
        <v>#DIV/0!</v>
      </c>
      <c r="AD136" s="192" t="n">
        <v>0</v>
      </c>
      <c r="AE136" s="209" t="n"/>
      <c r="AF136" s="230" t="n"/>
      <c r="AG136" s="232" t="n"/>
      <c r="AH136" s="199" t="n"/>
      <c r="AI136" s="200" t="n"/>
      <c r="AJ136" s="238" t="n"/>
      <c r="AS136" s="236" t="n"/>
    </row>
    <row r="137" ht="15.5" customHeight="1" s="476">
      <c r="A137" s="182" t="inlineStr">
        <is>
          <t>용전동</t>
        </is>
      </c>
      <c r="B137" s="196" t="inlineStr">
        <is>
          <t>상</t>
        </is>
      </c>
      <c r="C137" s="183" t="inlineStr">
        <is>
          <t>하</t>
        </is>
      </c>
      <c r="D137" s="217" t="inlineStr">
        <is>
          <t>신동아</t>
        </is>
      </c>
      <c r="E137" s="184" t="n">
        <v>39</v>
      </c>
      <c r="F137" s="184" t="n">
        <v>0</v>
      </c>
      <c r="G137" s="184" t="n">
        <v>0</v>
      </c>
      <c r="H137" s="187" t="n">
        <v>1990.09</v>
      </c>
      <c r="I137" s="187" t="n">
        <v>914</v>
      </c>
      <c r="J137" s="186" t="n">
        <v>36.91000000000008</v>
      </c>
      <c r="K137" s="187" t="n">
        <v>130</v>
      </c>
      <c r="L137" s="187" t="n">
        <v>111</v>
      </c>
      <c r="M137" s="187" t="n">
        <v>39</v>
      </c>
      <c r="N137" s="510" t="n">
        <v>0</v>
      </c>
      <c r="O137" s="511" t="n">
        <v>0</v>
      </c>
      <c r="P137" s="512" t="n">
        <v>0</v>
      </c>
      <c r="Q137" s="188" t="e">
        <v>#DIV/0!</v>
      </c>
      <c r="R137" s="511" t="n">
        <v>0</v>
      </c>
      <c r="S137" s="513" t="n">
        <v>0</v>
      </c>
      <c r="T137" s="189" t="inlineStr">
        <is>
          <t>계단식</t>
        </is>
      </c>
      <c r="U137" s="187" t="n">
        <v>4</v>
      </c>
      <c r="V137" s="187" t="n">
        <v>2</v>
      </c>
      <c r="W137" s="187" t="n">
        <v>90</v>
      </c>
      <c r="X137" s="220" t="n">
        <v>2023.09</v>
      </c>
      <c r="Y137" s="220" t="n">
        <v>0.04</v>
      </c>
      <c r="Z137" s="190" t="n">
        <v>39</v>
      </c>
      <c r="AA137" s="514" t="n">
        <v>24800</v>
      </c>
      <c r="AB137" s="514" t="n">
        <v>24800</v>
      </c>
      <c r="AC137" s="191" t="e">
        <v>#DIV/0!</v>
      </c>
      <c r="AD137" s="192" t="n">
        <v>0</v>
      </c>
      <c r="AE137" s="209" t="n"/>
      <c r="AF137" s="230" t="n"/>
      <c r="AG137" s="232" t="n"/>
      <c r="AH137" s="199" t="n"/>
      <c r="AI137" s="200" t="n"/>
      <c r="AJ137" s="238" t="n"/>
    </row>
    <row r="138" ht="15.5" customHeight="1" s="476">
      <c r="A138" s="182" t="inlineStr">
        <is>
          <t>용전동</t>
        </is>
      </c>
      <c r="B138" s="196" t="inlineStr">
        <is>
          <t>상</t>
        </is>
      </c>
      <c r="C138" s="208" t="inlineStr">
        <is>
          <t>하</t>
        </is>
      </c>
      <c r="D138" s="217" t="inlineStr">
        <is>
          <t>신동아</t>
        </is>
      </c>
      <c r="E138" s="184" t="n">
        <v>44</v>
      </c>
      <c r="F138" s="184" t="n">
        <v>0</v>
      </c>
      <c r="G138" s="184" t="n">
        <v>0</v>
      </c>
      <c r="H138" s="197" t="n">
        <v>1990.09</v>
      </c>
      <c r="I138" s="197" t="n">
        <v>914</v>
      </c>
      <c r="J138" s="186" t="n">
        <v>36.91000000000008</v>
      </c>
      <c r="K138" s="197" t="n">
        <v>145</v>
      </c>
      <c r="L138" s="197" t="n">
        <v>126</v>
      </c>
      <c r="M138" s="197" t="n">
        <v>44</v>
      </c>
      <c r="N138" s="517" t="n">
        <v>0</v>
      </c>
      <c r="O138" s="518" t="n">
        <v>0</v>
      </c>
      <c r="P138" s="512" t="n">
        <v>0</v>
      </c>
      <c r="Q138" s="188" t="e">
        <v>#DIV/0!</v>
      </c>
      <c r="R138" s="518" t="n">
        <v>0</v>
      </c>
      <c r="S138" s="519" t="n">
        <v>0</v>
      </c>
      <c r="T138" s="198" t="inlineStr">
        <is>
          <t>계단식</t>
        </is>
      </c>
      <c r="U138" s="197" t="n">
        <v>4</v>
      </c>
      <c r="V138" s="197" t="n">
        <v>2</v>
      </c>
      <c r="W138" s="197" t="n">
        <v>60</v>
      </c>
      <c r="X138" s="220" t="n"/>
      <c r="Y138" s="220" t="n"/>
      <c r="Z138" s="190" t="n">
        <v>44</v>
      </c>
      <c r="AA138" s="514" t="n"/>
      <c r="AB138" s="514" t="n"/>
      <c r="AC138" s="191" t="e">
        <v>#DIV/0!</v>
      </c>
      <c r="AD138" s="192" t="n">
        <v>0</v>
      </c>
      <c r="AE138" s="209" t="n"/>
      <c r="AF138" s="230" t="n"/>
      <c r="AG138" s="232" t="n"/>
      <c r="AH138" s="199" t="n"/>
      <c r="AI138" s="200" t="n"/>
      <c r="AJ138" s="238" t="n"/>
      <c r="AK138" s="16" t="n"/>
      <c r="AS138" s="458" t="n"/>
    </row>
    <row r="139" ht="16" customHeight="1" s="476" thickBot="1">
      <c r="A139" s="48" t="inlineStr">
        <is>
          <t>성남동</t>
        </is>
      </c>
      <c r="B139" s="174" t="inlineStr">
        <is>
          <t>상</t>
        </is>
      </c>
      <c r="C139" s="166" t="inlineStr">
        <is>
          <t>상</t>
        </is>
      </c>
      <c r="D139" s="218" t="inlineStr">
        <is>
          <t>스마트뷰</t>
        </is>
      </c>
      <c r="E139" s="34" t="n">
        <v>30</v>
      </c>
      <c r="F139" s="34" t="n">
        <v>3.5</v>
      </c>
      <c r="G139" s="34" t="n">
        <v>2.2</v>
      </c>
      <c r="H139" s="42" t="n">
        <v>2011.12</v>
      </c>
      <c r="I139" s="42" t="n">
        <v>1115</v>
      </c>
      <c r="J139" s="35" t="n">
        <v>15.88000000000011</v>
      </c>
      <c r="K139" s="42" t="inlineStr">
        <is>
          <t>98B, 98A</t>
        </is>
      </c>
      <c r="L139" s="42" t="n">
        <v>74</v>
      </c>
      <c r="M139" s="42" t="n">
        <v>30</v>
      </c>
      <c r="N139" s="522" t="n">
        <v>35000</v>
      </c>
      <c r="O139" s="523" t="n">
        <v>22000</v>
      </c>
      <c r="P139" s="524" t="n">
        <v>13000</v>
      </c>
      <c r="Q139" s="168" t="n">
        <v>0.6285714285714286</v>
      </c>
      <c r="R139" s="523" t="n">
        <v>42000</v>
      </c>
      <c r="S139" s="525" t="n">
        <v>30000</v>
      </c>
      <c r="T139" s="60" t="inlineStr">
        <is>
          <t>계단식</t>
        </is>
      </c>
      <c r="U139" s="42" t="n">
        <v>3</v>
      </c>
      <c r="V139" s="42" t="n">
        <v>2</v>
      </c>
      <c r="W139" s="42" t="n">
        <v>55</v>
      </c>
      <c r="X139" s="221" t="n">
        <v>2023.08</v>
      </c>
      <c r="Y139" s="221" t="n">
        <v>0.01</v>
      </c>
      <c r="Z139" s="169" t="n">
        <v>30</v>
      </c>
      <c r="AA139" s="526" t="n">
        <v>32900</v>
      </c>
      <c r="AB139" s="526" t="n">
        <v>29000</v>
      </c>
      <c r="AC139" s="170" t="e">
        <v>#DIV/0!</v>
      </c>
      <c r="AD139" s="171" t="n">
        <v>0</v>
      </c>
      <c r="AE139" s="172" t="n"/>
      <c r="AF139" s="227" t="n"/>
      <c r="AG139" s="231" t="n"/>
      <c r="AH139" s="122" t="n"/>
      <c r="AI139" s="175" t="n"/>
      <c r="AJ139" s="238" t="n"/>
      <c r="AS139" s="231" t="inlineStr">
        <is>
          <t>&gt;&gt;&gt; 투자 적용 및 질문 등으로 파트 나눠볼 수 있음</t>
        </is>
      </c>
    </row>
    <row r="140" ht="15.5" customHeight="1" s="476">
      <c r="A140" s="48" t="inlineStr">
        <is>
          <t>성남동</t>
        </is>
      </c>
      <c r="B140" s="174" t="inlineStr">
        <is>
          <t>상</t>
        </is>
      </c>
      <c r="C140" s="163" t="inlineStr">
        <is>
          <t>상</t>
        </is>
      </c>
      <c r="D140" s="218" t="inlineStr">
        <is>
          <t>스마트뷰</t>
        </is>
      </c>
      <c r="E140" s="34" t="n">
        <v>34</v>
      </c>
      <c r="F140" s="34" t="n">
        <v>3.3</v>
      </c>
      <c r="G140" s="34" t="n">
        <v>2.6</v>
      </c>
      <c r="H140" s="40" t="n">
        <v>2011.12</v>
      </c>
      <c r="I140" s="40" t="n">
        <v>1115</v>
      </c>
      <c r="J140" s="35" t="n">
        <v>15.88000000000011</v>
      </c>
      <c r="K140" s="40" t="inlineStr">
        <is>
          <t>111A, 111B, 111C</t>
        </is>
      </c>
      <c r="L140" s="40" t="n">
        <v>84</v>
      </c>
      <c r="M140" s="40" t="n">
        <v>34</v>
      </c>
      <c r="N140" s="527" t="n">
        <v>33000</v>
      </c>
      <c r="O140" s="528" t="n">
        <v>26000</v>
      </c>
      <c r="P140" s="524" t="n">
        <v>7000</v>
      </c>
      <c r="Q140" s="168" t="n">
        <v>0.7878787878787878</v>
      </c>
      <c r="R140" s="528" t="n">
        <v>44800</v>
      </c>
      <c r="S140" s="529" t="n">
        <v>31800</v>
      </c>
      <c r="T140" s="58" t="inlineStr">
        <is>
          <t>계단식</t>
        </is>
      </c>
      <c r="U140" s="40" t="n">
        <v>3</v>
      </c>
      <c r="V140" s="40" t="n">
        <v>2</v>
      </c>
      <c r="W140" s="40" t="n">
        <v>964</v>
      </c>
      <c r="X140" s="221" t="n"/>
      <c r="Y140" s="221" t="n"/>
      <c r="Z140" s="169" t="n">
        <v>34</v>
      </c>
      <c r="AA140" s="526" t="n"/>
      <c r="AB140" s="526" t="n"/>
      <c r="AC140" s="170" t="e">
        <v>#DIV/0!</v>
      </c>
      <c r="AD140" s="171" t="n">
        <v>0</v>
      </c>
      <c r="AE140" s="172" t="n"/>
      <c r="AF140" s="227" t="n"/>
      <c r="AG140" s="231" t="n"/>
      <c r="AH140" s="122" t="n"/>
      <c r="AI140" s="175" t="n"/>
      <c r="AJ140" s="238" t="n"/>
      <c r="AK140" s="16" t="n"/>
    </row>
    <row r="141" ht="15.5" customHeight="1" s="476">
      <c r="A141" s="48" t="inlineStr">
        <is>
          <t>성남동</t>
        </is>
      </c>
      <c r="B141" s="174" t="inlineStr">
        <is>
          <t>상</t>
        </is>
      </c>
      <c r="C141" s="166" t="inlineStr">
        <is>
          <t>상</t>
        </is>
      </c>
      <c r="D141" s="218" t="inlineStr">
        <is>
          <t>스마트뷰</t>
        </is>
      </c>
      <c r="E141" s="34" t="n">
        <v>45</v>
      </c>
      <c r="F141" s="34" t="n">
        <v>0</v>
      </c>
      <c r="G141" s="34" t="n">
        <v>0</v>
      </c>
      <c r="H141" s="41" t="n">
        <v>2011.12</v>
      </c>
      <c r="I141" s="41" t="n">
        <v>1115</v>
      </c>
      <c r="J141" s="35" t="n">
        <v>15.88000000000011</v>
      </c>
      <c r="K141" s="41" t="inlineStr">
        <is>
          <t>148, 151P</t>
        </is>
      </c>
      <c r="L141" s="41" t="n">
        <v>118</v>
      </c>
      <c r="M141" s="41" t="n">
        <v>45</v>
      </c>
      <c r="N141" s="530" t="n">
        <v>0</v>
      </c>
      <c r="O141" s="531" t="n">
        <v>0</v>
      </c>
      <c r="P141" s="524" t="n">
        <v>0</v>
      </c>
      <c r="Q141" s="168" t="e">
        <v>#DIV/0!</v>
      </c>
      <c r="R141" s="531" t="n">
        <v>0</v>
      </c>
      <c r="S141" s="532" t="n">
        <v>0</v>
      </c>
      <c r="T141" s="59" t="inlineStr">
        <is>
          <t>계단식</t>
        </is>
      </c>
      <c r="U141" s="41" t="n">
        <v>4</v>
      </c>
      <c r="V141" s="41" t="n">
        <v>2</v>
      </c>
      <c r="W141" s="41" t="n">
        <v>96</v>
      </c>
      <c r="X141" s="221" t="n">
        <v>2020.01</v>
      </c>
      <c r="Y141" s="221" t="n">
        <v>0.04</v>
      </c>
      <c r="Z141" s="169" t="n">
        <v>45</v>
      </c>
      <c r="AA141" s="526" t="n">
        <v>34200</v>
      </c>
      <c r="AB141" s="526" t="n">
        <v>30000</v>
      </c>
      <c r="AC141" s="170" t="e">
        <v>#DIV/0!</v>
      </c>
      <c r="AD141" s="171" t="n">
        <v>0</v>
      </c>
      <c r="AE141" s="33" t="n"/>
      <c r="AF141" s="227" t="n"/>
      <c r="AG141" s="231" t="n"/>
      <c r="AH141" s="122" t="n"/>
      <c r="AI141" s="175" t="n"/>
      <c r="AJ141" s="238" t="n"/>
      <c r="AK141" s="16" t="n"/>
      <c r="AS141" s="231" t="inlineStr">
        <is>
          <t>★중요한 것은 스스로 생각해보고 결론 내어보고 매임까지 하면서 [검증]해 나가는 것</t>
        </is>
      </c>
    </row>
    <row r="142" ht="16" customHeight="1" s="476" thickBot="1">
      <c r="A142" s="182" t="inlineStr">
        <is>
          <t>성남동</t>
        </is>
      </c>
      <c r="B142" s="196" t="inlineStr">
        <is>
          <t>상</t>
        </is>
      </c>
      <c r="C142" s="208" t="inlineStr">
        <is>
          <t>하</t>
        </is>
      </c>
      <c r="D142" s="217" t="inlineStr">
        <is>
          <t>석촌주공</t>
        </is>
      </c>
      <c r="E142" s="184" t="n">
        <v>33</v>
      </c>
      <c r="F142" s="184" t="n">
        <v>2.65</v>
      </c>
      <c r="G142" s="184" t="n">
        <v>1.4</v>
      </c>
      <c r="H142" s="201" t="n">
        <v>2000.07</v>
      </c>
      <c r="I142" s="201" t="n">
        <v>451</v>
      </c>
      <c r="J142" s="186" t="n">
        <v>26.93000000000006</v>
      </c>
      <c r="K142" s="201" t="n">
        <v>110</v>
      </c>
      <c r="L142" s="201" t="n">
        <v>84</v>
      </c>
      <c r="M142" s="201" t="n">
        <v>33</v>
      </c>
      <c r="N142" s="533" t="n">
        <v>26500</v>
      </c>
      <c r="O142" s="534" t="n">
        <v>14000</v>
      </c>
      <c r="P142" s="512" t="n">
        <v>12500</v>
      </c>
      <c r="Q142" s="188" t="n">
        <v>0.5283018867924528</v>
      </c>
      <c r="R142" s="534" t="n">
        <v>36000</v>
      </c>
      <c r="S142" s="535" t="n">
        <v>28000</v>
      </c>
      <c r="T142" s="202" t="inlineStr">
        <is>
          <t>복도식</t>
        </is>
      </c>
      <c r="U142" s="201" t="n">
        <v>3</v>
      </c>
      <c r="V142" s="201" t="n">
        <v>2</v>
      </c>
      <c r="W142" s="201" t="n">
        <v>125</v>
      </c>
      <c r="X142" s="220" t="n">
        <v>2024.05</v>
      </c>
      <c r="Y142" s="220" t="n">
        <v>0.04</v>
      </c>
      <c r="Z142" s="190" t="n">
        <v>33</v>
      </c>
      <c r="AA142" s="514" t="n">
        <v>25000</v>
      </c>
      <c r="AB142" s="514" t="n">
        <v>23500</v>
      </c>
      <c r="AC142" s="191" t="e">
        <v>#DIV/0!</v>
      </c>
      <c r="AD142" s="192" t="n">
        <v>0</v>
      </c>
      <c r="AE142" s="193" t="n"/>
      <c r="AF142" s="230" t="n"/>
      <c r="AG142" s="232" t="n"/>
      <c r="AH142" s="199" t="n"/>
      <c r="AI142" s="200" t="n"/>
      <c r="AJ142" s="238" t="n"/>
      <c r="AS142" s="231" t="inlineStr">
        <is>
          <t>&gt;&gt;&gt; 결론 (찾은 내용을 바탕으로 기준 및 우선순위 정리)</t>
        </is>
      </c>
    </row>
    <row r="143" ht="15.5" customHeight="1" s="476">
      <c r="A143" s="182" t="inlineStr">
        <is>
          <t>성남동</t>
        </is>
      </c>
      <c r="B143" s="183" t="inlineStr">
        <is>
          <t>상</t>
        </is>
      </c>
      <c r="C143" s="183" t="inlineStr">
        <is>
          <t>하</t>
        </is>
      </c>
      <c r="D143" s="217" t="inlineStr">
        <is>
          <t>석촌주공</t>
        </is>
      </c>
      <c r="E143" s="184" t="n">
        <v>24</v>
      </c>
      <c r="F143" s="184" t="n">
        <v>2.4</v>
      </c>
      <c r="G143" s="184" t="n">
        <v>1.6</v>
      </c>
      <c r="H143" s="187" t="n">
        <v>2000.07</v>
      </c>
      <c r="I143" s="187" t="n">
        <v>451</v>
      </c>
      <c r="J143" s="186" t="n">
        <v>26.93000000000006</v>
      </c>
      <c r="K143" s="187" t="n">
        <v>78</v>
      </c>
      <c r="L143" s="187" t="n">
        <v>59</v>
      </c>
      <c r="M143" s="187" t="n">
        <v>24</v>
      </c>
      <c r="N143" s="510" t="n">
        <v>24000</v>
      </c>
      <c r="O143" s="511" t="n">
        <v>16000</v>
      </c>
      <c r="P143" s="512" t="n">
        <v>8000</v>
      </c>
      <c r="Q143" s="188" t="n">
        <v>0.6666666666666666</v>
      </c>
      <c r="R143" s="511" t="n">
        <v>27000</v>
      </c>
      <c r="S143" s="513" t="n">
        <v>25000</v>
      </c>
      <c r="T143" s="189" t="inlineStr">
        <is>
          <t>복도식</t>
        </is>
      </c>
      <c r="U143" s="187" t="n">
        <v>3</v>
      </c>
      <c r="V143" s="187" t="n">
        <v>1</v>
      </c>
      <c r="W143" s="187" t="n">
        <v>59</v>
      </c>
      <c r="X143" s="220" t="n">
        <v>2023.09</v>
      </c>
      <c r="Y143" s="220" t="n">
        <v>0.01</v>
      </c>
      <c r="Z143" s="190" t="n">
        <v>24</v>
      </c>
      <c r="AA143" s="514" t="n">
        <v>19833</v>
      </c>
      <c r="AB143" s="514" t="n">
        <v>16500</v>
      </c>
      <c r="AC143" s="191" t="e">
        <v>#DIV/0!</v>
      </c>
      <c r="AD143" s="192" t="n">
        <v>0</v>
      </c>
      <c r="AE143" s="193" t="n"/>
      <c r="AF143" s="230" t="n"/>
      <c r="AG143" s="232" t="n"/>
      <c r="AH143" s="199" t="n"/>
      <c r="AI143" s="200" t="n"/>
      <c r="AJ143" s="238" t="n"/>
      <c r="AS143" s="231" t="inlineStr">
        <is>
          <t>&gt;&gt;&gt; 인사이트 (가격을 통해 찾은 내용)</t>
        </is>
      </c>
    </row>
    <row r="144" ht="15.5" customHeight="1" s="476">
      <c r="A144" s="182" t="inlineStr">
        <is>
          <t>성남동</t>
        </is>
      </c>
      <c r="B144" s="196" t="inlineStr">
        <is>
          <t>상</t>
        </is>
      </c>
      <c r="C144" s="208" t="inlineStr">
        <is>
          <t>하</t>
        </is>
      </c>
      <c r="D144" s="217" t="inlineStr">
        <is>
          <t>석촌주공</t>
        </is>
      </c>
      <c r="E144" s="184" t="n">
        <v>24</v>
      </c>
      <c r="F144" s="184" t="n">
        <v>2.15</v>
      </c>
      <c r="G144" s="184" t="n">
        <v>1.7</v>
      </c>
      <c r="H144" s="197" t="n">
        <v>2000.07</v>
      </c>
      <c r="I144" s="197" t="n">
        <v>451</v>
      </c>
      <c r="J144" s="186" t="n">
        <v>26.93000000000006</v>
      </c>
      <c r="K144" s="197" t="inlineStr">
        <is>
          <t>78B, 78A</t>
        </is>
      </c>
      <c r="L144" s="197" t="n">
        <v>59</v>
      </c>
      <c r="M144" s="197" t="n">
        <v>24</v>
      </c>
      <c r="N144" s="517" t="n">
        <v>21500</v>
      </c>
      <c r="O144" s="518" t="n">
        <v>17000</v>
      </c>
      <c r="P144" s="512" t="n">
        <v>4500</v>
      </c>
      <c r="Q144" s="188" t="n">
        <v>0.7906976744186046</v>
      </c>
      <c r="R144" s="518" t="n">
        <v>26000</v>
      </c>
      <c r="S144" s="519" t="n">
        <v>25000</v>
      </c>
      <c r="T144" s="198" t="inlineStr">
        <is>
          <t>계단식</t>
        </is>
      </c>
      <c r="U144" s="197" t="n">
        <v>2</v>
      </c>
      <c r="V144" s="197" t="n">
        <v>1</v>
      </c>
      <c r="W144" s="197" t="n">
        <v>129</v>
      </c>
      <c r="X144" s="220" t="n">
        <v>2023.09</v>
      </c>
      <c r="Y144" s="220" t="n">
        <v>0.01</v>
      </c>
      <c r="Z144" s="190" t="n">
        <v>24</v>
      </c>
      <c r="AA144" s="514" t="n">
        <v>19833</v>
      </c>
      <c r="AB144" s="514" t="n">
        <v>16500</v>
      </c>
      <c r="AC144" s="191" t="e">
        <v>#DIV/0!</v>
      </c>
      <c r="AD144" s="192" t="n">
        <v>0</v>
      </c>
      <c r="AE144" s="193" t="n"/>
      <c r="AF144" s="230" t="n"/>
      <c r="AG144" s="232" t="n"/>
      <c r="AH144" s="199" t="n"/>
      <c r="AI144" s="200" t="n"/>
      <c r="AJ144" s="238" t="n"/>
      <c r="AS144" s="231" t="e">
        <v>#NAME?</v>
      </c>
    </row>
    <row r="145" ht="15.5" customHeight="1" s="476">
      <c r="A145" s="182" t="inlineStr">
        <is>
          <t>성남동</t>
        </is>
      </c>
      <c r="B145" s="196" t="inlineStr">
        <is>
          <t>상</t>
        </is>
      </c>
      <c r="C145" s="208" t="inlineStr">
        <is>
          <t>하</t>
        </is>
      </c>
      <c r="D145" s="217" t="inlineStr">
        <is>
          <t>석촌주공</t>
        </is>
      </c>
      <c r="E145" s="184" t="n">
        <v>20</v>
      </c>
      <c r="F145" s="184" t="n">
        <v>1.8</v>
      </c>
      <c r="G145" s="184" t="n">
        <v>1.57</v>
      </c>
      <c r="H145" s="197" t="n">
        <v>2000.07</v>
      </c>
      <c r="I145" s="197" t="n">
        <v>451</v>
      </c>
      <c r="J145" s="186" t="n">
        <v>26.93000000000006</v>
      </c>
      <c r="K145" s="197" t="n">
        <v>65</v>
      </c>
      <c r="L145" s="197" t="n">
        <v>49</v>
      </c>
      <c r="M145" s="197" t="n">
        <v>20</v>
      </c>
      <c r="N145" s="517" t="n">
        <v>18000</v>
      </c>
      <c r="O145" s="518" t="n">
        <v>15700</v>
      </c>
      <c r="P145" s="512" t="n">
        <v>2300</v>
      </c>
      <c r="Q145" s="188" t="n">
        <v>0.8722222222222222</v>
      </c>
      <c r="R145" s="518" t="n">
        <v>22000</v>
      </c>
      <c r="S145" s="519" t="n">
        <v>16500</v>
      </c>
      <c r="T145" s="198" t="inlineStr">
        <is>
          <t>복도식</t>
        </is>
      </c>
      <c r="U145" s="197" t="n">
        <v>2</v>
      </c>
      <c r="V145" s="197" t="n">
        <v>1</v>
      </c>
      <c r="W145" s="197" t="n">
        <v>94</v>
      </c>
      <c r="X145" s="220" t="n">
        <v>2025.01</v>
      </c>
      <c r="Y145" s="220" t="n">
        <v>0.03</v>
      </c>
      <c r="Z145" s="190" t="n">
        <v>20</v>
      </c>
      <c r="AA145" s="514" t="n">
        <v>12000</v>
      </c>
      <c r="AB145" s="514" t="n">
        <v>10500</v>
      </c>
      <c r="AC145" s="191" t="e">
        <v>#DIV/0!</v>
      </c>
      <c r="AD145" s="192" t="n">
        <v>0</v>
      </c>
      <c r="AE145" s="193" t="n"/>
      <c r="AF145" s="230" t="n"/>
      <c r="AG145" s="232" t="n"/>
      <c r="AH145" s="199" t="n"/>
      <c r="AI145" s="200" t="n"/>
      <c r="AJ145" s="238" t="n"/>
      <c r="AS145" s="231" t="e">
        <v>#NAME?</v>
      </c>
    </row>
    <row r="146" ht="15.5" customHeight="1" s="476">
      <c r="A146" s="182" t="inlineStr">
        <is>
          <t>성남동</t>
        </is>
      </c>
      <c r="B146" s="196" t="inlineStr">
        <is>
          <t>상</t>
        </is>
      </c>
      <c r="C146" s="208" t="inlineStr">
        <is>
          <t>하</t>
        </is>
      </c>
      <c r="D146" s="217" t="inlineStr">
        <is>
          <t>석촌주공</t>
        </is>
      </c>
      <c r="E146" s="184" t="n">
        <v>20</v>
      </c>
      <c r="F146" s="184" t="n">
        <v>1.8</v>
      </c>
      <c r="G146" s="184" t="n">
        <v>0.9</v>
      </c>
      <c r="H146" s="197" t="n">
        <v>2000.07</v>
      </c>
      <c r="I146" s="197" t="n">
        <v>451</v>
      </c>
      <c r="J146" s="186" t="n">
        <v>26.93000000000006</v>
      </c>
      <c r="K146" s="197" t="n">
        <v>65</v>
      </c>
      <c r="L146" s="197" t="n">
        <v>49</v>
      </c>
      <c r="M146" s="197" t="n">
        <v>20</v>
      </c>
      <c r="N146" s="517" t="n">
        <v>18000</v>
      </c>
      <c r="O146" s="518" t="n">
        <v>9000</v>
      </c>
      <c r="P146" s="512" t="n">
        <v>9000</v>
      </c>
      <c r="Q146" s="188" t="n">
        <v>0.5</v>
      </c>
      <c r="R146" s="518" t="n">
        <v>22000</v>
      </c>
      <c r="S146" s="519" t="n">
        <v>20000</v>
      </c>
      <c r="T146" s="198" t="inlineStr">
        <is>
          <t>계단식</t>
        </is>
      </c>
      <c r="U146" s="197" t="n">
        <v>2</v>
      </c>
      <c r="V146" s="197" t="n">
        <v>1</v>
      </c>
      <c r="W146" s="197" t="n">
        <v>44</v>
      </c>
      <c r="X146" s="220" t="n">
        <v>2025.01</v>
      </c>
      <c r="Y146" s="220" t="n">
        <v>0.03</v>
      </c>
      <c r="Z146" s="190" t="n">
        <v>20</v>
      </c>
      <c r="AA146" s="514" t="n">
        <v>12000</v>
      </c>
      <c r="AB146" s="514" t="n">
        <v>10500</v>
      </c>
      <c r="AC146" s="191" t="e">
        <v>#DIV/0!</v>
      </c>
      <c r="AD146" s="192" t="n">
        <v>0</v>
      </c>
      <c r="AE146" s="193" t="n"/>
      <c r="AF146" s="229" t="n"/>
      <c r="AG146" s="193" t="n"/>
      <c r="AH146" s="199" t="n"/>
      <c r="AI146" s="200" t="n"/>
      <c r="AJ146" s="238" t="n"/>
      <c r="AK146" s="16" t="n"/>
    </row>
    <row r="147" ht="47" customHeight="1" s="476" thickBot="1">
      <c r="A147" s="45" t="inlineStr">
        <is>
          <t>대동</t>
        </is>
      </c>
      <c r="B147" s="174" t="inlineStr">
        <is>
          <t>상</t>
        </is>
      </c>
      <c r="C147" s="166" t="inlineStr">
        <is>
          <t>중</t>
        </is>
      </c>
      <c r="D147" s="219" t="inlineStr">
        <is>
          <t>새들뫼휴먼시아1단지</t>
        </is>
      </c>
      <c r="E147" s="34" t="n">
        <v>34</v>
      </c>
      <c r="F147" s="34" t="n">
        <v>4.1</v>
      </c>
      <c r="G147" s="34" t="n">
        <v>3.5</v>
      </c>
      <c r="H147" s="242" t="n">
        <v>2010.1</v>
      </c>
      <c r="I147" s="242" t="n">
        <v>897</v>
      </c>
      <c r="J147" s="35" t="n">
        <v>16.90000000000009</v>
      </c>
      <c r="K147" s="242" t="inlineStr">
        <is>
          <t>112E, 112C, 112C-, 113A, 113D, 113B, 113B-, 113A-</t>
        </is>
      </c>
      <c r="L147" s="242" t="n">
        <v>84</v>
      </c>
      <c r="M147" s="242" t="n">
        <v>34</v>
      </c>
      <c r="N147" s="559" t="n">
        <v>41000</v>
      </c>
      <c r="O147" s="560" t="n">
        <v>35000</v>
      </c>
      <c r="P147" s="524" t="n">
        <v>6000</v>
      </c>
      <c r="Q147" s="168" t="n">
        <v>0.8536585365853658</v>
      </c>
      <c r="R147" s="560" t="n">
        <v>37000</v>
      </c>
      <c r="S147" s="561" t="n">
        <v>25000</v>
      </c>
      <c r="T147" s="248" t="inlineStr">
        <is>
          <t>계단식</t>
        </is>
      </c>
      <c r="U147" s="242" t="n">
        <v>3</v>
      </c>
      <c r="V147" s="242" t="n">
        <v>2</v>
      </c>
      <c r="W147" s="242" t="n">
        <v>788</v>
      </c>
      <c r="X147" s="225" t="n"/>
      <c r="Y147" s="221" t="n"/>
      <c r="Z147" s="169" t="n">
        <v>34</v>
      </c>
      <c r="AA147" s="526" t="n"/>
      <c r="AB147" s="526" t="n"/>
      <c r="AC147" s="170" t="e">
        <v>#DIV/0!</v>
      </c>
      <c r="AD147" s="171" t="n">
        <v>0</v>
      </c>
      <c r="AE147" s="172" t="n"/>
      <c r="AF147" s="569" t="n"/>
      <c r="AG147" s="570" t="n">
        <v>0</v>
      </c>
      <c r="AH147" s="323" t="e">
        <v>#DIV/0!</v>
      </c>
      <c r="AI147" s="175" t="e">
        <v>#DIV/0!</v>
      </c>
      <c r="AJ147" s="238" t="n"/>
    </row>
    <row r="148" ht="279" customHeight="1" s="476">
      <c r="A148" s="45" t="inlineStr">
        <is>
          <t>대동</t>
        </is>
      </c>
      <c r="B148" s="174" t="inlineStr">
        <is>
          <t>상</t>
        </is>
      </c>
      <c r="C148" s="13" t="inlineStr">
        <is>
          <t>중</t>
        </is>
      </c>
      <c r="D148" s="219" t="inlineStr">
        <is>
          <t>새들뫼휴먼시아1단지</t>
        </is>
      </c>
      <c r="E148" s="34" t="n">
        <v>28</v>
      </c>
      <c r="F148" s="34" t="n">
        <v>3.7</v>
      </c>
      <c r="G148" s="34" t="n">
        <v>2.4</v>
      </c>
      <c r="H148" s="46" t="n">
        <v>2010.1</v>
      </c>
      <c r="I148" s="46" t="n">
        <v>897</v>
      </c>
      <c r="J148" s="35" t="n">
        <v>16.90000000000009</v>
      </c>
      <c r="K148" s="46" t="inlineStr">
        <is>
          <t>99, 99-</t>
        </is>
      </c>
      <c r="L148" s="46" t="n">
        <v>74</v>
      </c>
      <c r="M148" s="46" t="n">
        <v>28</v>
      </c>
      <c r="N148" s="562" t="n">
        <v>37000</v>
      </c>
      <c r="O148" s="563" t="n">
        <v>24000</v>
      </c>
      <c r="P148" s="524" t="n">
        <v>13000</v>
      </c>
      <c r="Q148" s="168" t="n">
        <v>0.6486486486486487</v>
      </c>
      <c r="R148" s="563" t="n">
        <v>43000</v>
      </c>
      <c r="S148" s="564" t="n">
        <v>34500</v>
      </c>
      <c r="T148" s="64" t="inlineStr">
        <is>
          <t>계단식</t>
        </is>
      </c>
      <c r="U148" s="46" t="n">
        <v>3</v>
      </c>
      <c r="V148" s="46" t="n">
        <v>2</v>
      </c>
      <c r="W148" s="46" t="n">
        <v>25</v>
      </c>
      <c r="X148" s="225" t="n">
        <v>2022.07</v>
      </c>
      <c r="Y148" s="221" t="n">
        <v>0.02</v>
      </c>
      <c r="Z148" s="169" t="n">
        <v>28</v>
      </c>
      <c r="AA148" s="526" t="n">
        <v>50000</v>
      </c>
      <c r="AB148" s="526" t="n">
        <v>43000</v>
      </c>
      <c r="AC148" s="170" t="e">
        <v>#DIV/0!</v>
      </c>
      <c r="AD148" s="171" t="n">
        <v>0</v>
      </c>
      <c r="AE148" s="172" t="n"/>
      <c r="AF148" s="569" t="n"/>
      <c r="AG148" s="570" t="n">
        <v>0</v>
      </c>
      <c r="AH148" s="323" t="e">
        <v>#DIV/0!</v>
      </c>
      <c r="AI148" s="175" t="e">
        <v>#DIV/0!</v>
      </c>
      <c r="AJ148" s="238" t="n"/>
      <c r="AS148" s="458" t="n"/>
    </row>
    <row r="149" ht="62" customHeight="1" s="476">
      <c r="A149" s="45" t="inlineStr">
        <is>
          <t>대동</t>
        </is>
      </c>
      <c r="B149" s="174" t="inlineStr">
        <is>
          <t>상</t>
        </is>
      </c>
      <c r="C149" s="166" t="inlineStr">
        <is>
          <t>중</t>
        </is>
      </c>
      <c r="D149" s="219" t="inlineStr">
        <is>
          <t>새들뫼휴먼시아1단지</t>
        </is>
      </c>
      <c r="E149" s="34" t="n">
        <v>48</v>
      </c>
      <c r="F149" s="34" t="n">
        <v>0</v>
      </c>
      <c r="G149" s="34" t="n">
        <v>0</v>
      </c>
      <c r="H149" s="47" t="n">
        <v>2010.1</v>
      </c>
      <c r="I149" s="47" t="n">
        <v>897</v>
      </c>
      <c r="J149" s="35" t="n">
        <v>16.90000000000009</v>
      </c>
      <c r="K149" s="47" t="inlineStr">
        <is>
          <t>157, 157-</t>
        </is>
      </c>
      <c r="L149" s="47" t="n">
        <v>118</v>
      </c>
      <c r="M149" s="47" t="n">
        <v>48</v>
      </c>
      <c r="N149" s="556" t="n">
        <v>0</v>
      </c>
      <c r="O149" s="557" t="n">
        <v>0</v>
      </c>
      <c r="P149" s="524" t="n">
        <v>0</v>
      </c>
      <c r="Q149" s="168" t="e">
        <v>#DIV/0!</v>
      </c>
      <c r="R149" s="557" t="n">
        <v>0</v>
      </c>
      <c r="S149" s="558" t="n">
        <v>0</v>
      </c>
      <c r="T149" s="63" t="inlineStr">
        <is>
          <t>계단식</t>
        </is>
      </c>
      <c r="U149" s="47" t="n">
        <v>4</v>
      </c>
      <c r="V149" s="47" t="n">
        <v>2</v>
      </c>
      <c r="W149" s="47" t="n">
        <v>84</v>
      </c>
      <c r="X149" s="225" t="n"/>
      <c r="Y149" s="221" t="n"/>
      <c r="Z149" s="169" t="n">
        <v>48</v>
      </c>
      <c r="AA149" s="526" t="n"/>
      <c r="AB149" s="526" t="n"/>
      <c r="AC149" s="170" t="e">
        <v>#DIV/0!</v>
      </c>
      <c r="AD149" s="171" t="n">
        <v>0</v>
      </c>
      <c r="AE149" s="172" t="n"/>
      <c r="AF149" s="569" t="n"/>
      <c r="AG149" s="570" t="n">
        <v>0</v>
      </c>
      <c r="AH149" s="173" t="e">
        <v>#DIV/0!</v>
      </c>
      <c r="AI149" s="175" t="e">
        <v>#DIV/0!</v>
      </c>
      <c r="AJ149" s="238" t="n"/>
    </row>
    <row r="150" ht="31" customHeight="1" s="476">
      <c r="A150" s="182" t="inlineStr">
        <is>
          <t>용운동</t>
        </is>
      </c>
      <c r="B150" s="196" t="inlineStr">
        <is>
          <t>하</t>
        </is>
      </c>
      <c r="C150" s="208" t="inlineStr">
        <is>
          <t>하</t>
        </is>
      </c>
      <c r="D150" s="217" t="inlineStr">
        <is>
          <t>삼정하이츠타운</t>
        </is>
      </c>
      <c r="E150" s="184" t="n">
        <v>29</v>
      </c>
      <c r="F150" s="184" t="n">
        <v>1.63</v>
      </c>
      <c r="G150" s="184" t="n">
        <v>1.2</v>
      </c>
      <c r="H150" s="197" t="n">
        <v>1990.07</v>
      </c>
      <c r="I150" s="197" t="n">
        <v>360</v>
      </c>
      <c r="J150" s="186" t="n">
        <v>36.93000000000006</v>
      </c>
      <c r="K150" s="197" t="n">
        <v>97</v>
      </c>
      <c r="L150" s="197" t="n">
        <v>84</v>
      </c>
      <c r="M150" s="197" t="n">
        <v>29</v>
      </c>
      <c r="N150" s="517" t="n">
        <v>16300</v>
      </c>
      <c r="O150" s="518" t="n">
        <v>12000</v>
      </c>
      <c r="P150" s="512" t="n">
        <v>4300</v>
      </c>
      <c r="Q150" s="188" t="n">
        <v>0.7361963190184049</v>
      </c>
      <c r="R150" s="518" t="n">
        <v>18700</v>
      </c>
      <c r="S150" s="519" t="n">
        <v>16500</v>
      </c>
      <c r="T150" s="198" t="inlineStr">
        <is>
          <t>계단식</t>
        </is>
      </c>
      <c r="U150" s="197" t="n">
        <v>3</v>
      </c>
      <c r="V150" s="197" t="n">
        <v>2</v>
      </c>
      <c r="W150" s="197" t="n">
        <v>80</v>
      </c>
      <c r="X150" s="220" t="n"/>
      <c r="Y150" s="220" t="n"/>
      <c r="Z150" s="190" t="n">
        <v>29</v>
      </c>
      <c r="AA150" s="514" t="n"/>
      <c r="AB150" s="514" t="n"/>
      <c r="AC150" s="191" t="e">
        <v>#DIV/0!</v>
      </c>
      <c r="AD150" s="192" t="n">
        <v>0</v>
      </c>
      <c r="AE150" s="193" t="n"/>
      <c r="AF150" s="230" t="n"/>
      <c r="AG150" s="232" t="n"/>
      <c r="AH150" s="199" t="n"/>
      <c r="AI150" s="200" t="n"/>
      <c r="AJ150" s="238" t="n"/>
    </row>
    <row r="151" ht="16" customHeight="1" s="476" thickBot="1">
      <c r="A151" s="182" t="inlineStr">
        <is>
          <t>용운동</t>
        </is>
      </c>
      <c r="B151" s="196" t="inlineStr">
        <is>
          <t>하</t>
        </is>
      </c>
      <c r="C151" s="208" t="inlineStr">
        <is>
          <t>하</t>
        </is>
      </c>
      <c r="D151" s="217" t="inlineStr">
        <is>
          <t>삼정하이츠타운</t>
        </is>
      </c>
      <c r="E151" s="184" t="n">
        <v>25</v>
      </c>
      <c r="F151" s="184" t="n">
        <v>1.3</v>
      </c>
      <c r="G151" s="184" t="n">
        <v>1.2</v>
      </c>
      <c r="H151" s="201" t="n">
        <v>1990.07</v>
      </c>
      <c r="I151" s="201" t="n">
        <v>360</v>
      </c>
      <c r="J151" s="186" t="n">
        <v>36.93000000000006</v>
      </c>
      <c r="K151" s="201" t="n">
        <v>84</v>
      </c>
      <c r="L151" s="201" t="n">
        <v>72</v>
      </c>
      <c r="M151" s="201" t="n">
        <v>25</v>
      </c>
      <c r="N151" s="533" t="n">
        <v>13000</v>
      </c>
      <c r="O151" s="534" t="n">
        <v>12000</v>
      </c>
      <c r="P151" s="512" t="n">
        <v>1000</v>
      </c>
      <c r="Q151" s="188" t="n">
        <v>0.9230769230769231</v>
      </c>
      <c r="R151" s="534" t="n">
        <v>16900</v>
      </c>
      <c r="S151" s="535" t="n">
        <v>14000</v>
      </c>
      <c r="T151" s="202" t="inlineStr">
        <is>
          <t>계단식</t>
        </is>
      </c>
      <c r="U151" s="201" t="n">
        <v>3</v>
      </c>
      <c r="V151" s="201" t="n">
        <v>1</v>
      </c>
      <c r="W151" s="201" t="n">
        <v>120</v>
      </c>
      <c r="X151" s="220" t="n">
        <v>2022.03</v>
      </c>
      <c r="Y151" s="220" t="n">
        <v>0.01</v>
      </c>
      <c r="Z151" s="190" t="n">
        <v>25</v>
      </c>
      <c r="AA151" s="514" t="n">
        <v>14200</v>
      </c>
      <c r="AB151" s="514" t="n">
        <v>11500</v>
      </c>
      <c r="AC151" s="191" t="e">
        <v>#DIV/0!</v>
      </c>
      <c r="AD151" s="192" t="n">
        <v>0</v>
      </c>
      <c r="AE151" s="193" t="n"/>
      <c r="AF151" s="230" t="n"/>
      <c r="AG151" s="232" t="n"/>
      <c r="AH151" s="199" t="n"/>
      <c r="AI151" s="200" t="n"/>
      <c r="AJ151" s="238" t="n"/>
      <c r="AS151" s="458" t="n"/>
    </row>
    <row r="152" ht="31" customHeight="1" s="476">
      <c r="A152" s="182" t="inlineStr">
        <is>
          <t>용운동</t>
        </is>
      </c>
      <c r="B152" s="196" t="inlineStr">
        <is>
          <t>하</t>
        </is>
      </c>
      <c r="C152" s="183" t="inlineStr">
        <is>
          <t>하</t>
        </is>
      </c>
      <c r="D152" s="217" t="inlineStr">
        <is>
          <t>삼정하이츠타운</t>
        </is>
      </c>
      <c r="E152" s="184" t="n">
        <v>20</v>
      </c>
      <c r="F152" s="184" t="n">
        <v>1.1</v>
      </c>
      <c r="G152" s="184" t="n">
        <v>0.85</v>
      </c>
      <c r="H152" s="187" t="n">
        <v>1990.07</v>
      </c>
      <c r="I152" s="187" t="n">
        <v>360</v>
      </c>
      <c r="J152" s="186" t="n">
        <v>36.93000000000006</v>
      </c>
      <c r="K152" s="187" t="n">
        <v>66</v>
      </c>
      <c r="L152" s="187" t="n">
        <v>55</v>
      </c>
      <c r="M152" s="187" t="n">
        <v>20</v>
      </c>
      <c r="N152" s="510" t="n">
        <v>11000</v>
      </c>
      <c r="O152" s="511" t="n">
        <v>8500</v>
      </c>
      <c r="P152" s="512" t="n">
        <v>2500</v>
      </c>
      <c r="Q152" s="188" t="n">
        <v>0.7727272727272727</v>
      </c>
      <c r="R152" s="511" t="n">
        <v>20000</v>
      </c>
      <c r="S152" s="513" t="n">
        <v>16000</v>
      </c>
      <c r="T152" s="189" t="inlineStr">
        <is>
          <t>계단식</t>
        </is>
      </c>
      <c r="U152" s="187" t="n">
        <v>3</v>
      </c>
      <c r="V152" s="187" t="n">
        <v>1</v>
      </c>
      <c r="W152" s="187" t="n">
        <v>160</v>
      </c>
      <c r="X152" s="220" t="n">
        <v>2021.05</v>
      </c>
      <c r="Y152" s="220" t="n">
        <v>0.02</v>
      </c>
      <c r="Z152" s="190" t="n">
        <v>20</v>
      </c>
      <c r="AA152" s="514" t="n">
        <v>9510</v>
      </c>
      <c r="AB152" s="514" t="n">
        <v>11000</v>
      </c>
      <c r="AC152" s="191" t="e">
        <v>#DIV/0!</v>
      </c>
      <c r="AD152" s="192" t="n">
        <v>0</v>
      </c>
      <c r="AE152" s="193" t="n"/>
      <c r="AF152" s="230" t="n"/>
      <c r="AG152" s="232" t="n"/>
      <c r="AH152" s="194" t="n"/>
      <c r="AI152" s="200" t="n"/>
      <c r="AJ152" s="238" t="n"/>
      <c r="AK152" s="176" t="n"/>
      <c r="AL152" s="231" t="n"/>
      <c r="AM152" s="231" t="n"/>
      <c r="AN152" s="231" t="n"/>
      <c r="AO152" s="231" t="n"/>
      <c r="AP152" s="231" t="n"/>
      <c r="AQ152" s="231" t="n"/>
      <c r="AR152" s="231" t="n"/>
      <c r="AS152" s="231" t="n"/>
      <c r="AT152" s="231" t="n"/>
      <c r="AU152" s="231" t="n"/>
      <c r="AV152" s="231" t="n"/>
    </row>
    <row r="153" ht="15.5" customHeight="1" s="476">
      <c r="A153" s="48" t="inlineStr">
        <is>
          <t>판암동</t>
        </is>
      </c>
      <c r="B153" s="174" t="inlineStr">
        <is>
          <t>상</t>
        </is>
      </c>
      <c r="C153" s="166" t="inlineStr">
        <is>
          <t>중</t>
        </is>
      </c>
      <c r="D153" s="218" t="inlineStr">
        <is>
          <t>삼정그린코아포레2</t>
        </is>
      </c>
      <c r="E153" s="34" t="n">
        <v>32</v>
      </c>
      <c r="F153" s="34" t="n">
        <v>3.65</v>
      </c>
      <c r="G153" s="34" t="n">
        <v>2.5</v>
      </c>
      <c r="H153" s="41" t="n">
        <v>2018.07</v>
      </c>
      <c r="I153" s="41" t="n">
        <v>320</v>
      </c>
      <c r="J153" s="35" t="n">
        <v>8.930000000000064</v>
      </c>
      <c r="K153" s="41" t="n">
        <v>104</v>
      </c>
      <c r="L153" s="41" t="n">
        <v>76</v>
      </c>
      <c r="M153" s="41" t="n">
        <v>32</v>
      </c>
      <c r="N153" s="530" t="n">
        <v>36500</v>
      </c>
      <c r="O153" s="531" t="n">
        <v>25000</v>
      </c>
      <c r="P153" s="524" t="n">
        <v>11500</v>
      </c>
      <c r="Q153" s="168" t="n">
        <v>0.684931506849315</v>
      </c>
      <c r="R153" s="531" t="n">
        <v>44000</v>
      </c>
      <c r="S153" s="532" t="n">
        <v>35000</v>
      </c>
      <c r="T153" s="59" t="inlineStr">
        <is>
          <t>계단식</t>
        </is>
      </c>
      <c r="U153" s="41" t="n">
        <v>3</v>
      </c>
      <c r="V153" s="41" t="n">
        <v>2</v>
      </c>
      <c r="W153" s="41" t="n">
        <v>38</v>
      </c>
      <c r="X153" s="221" t="n">
        <v>2021.08</v>
      </c>
      <c r="Y153" s="221" t="n">
        <v>0.01</v>
      </c>
      <c r="Z153" s="169" t="n">
        <v>32</v>
      </c>
      <c r="AA153" s="526" t="n">
        <v>45500</v>
      </c>
      <c r="AB153" s="526" t="n">
        <v>36667</v>
      </c>
      <c r="AC153" s="170" t="e">
        <v>#DIV/0!</v>
      </c>
      <c r="AD153" s="171" t="n">
        <v>0</v>
      </c>
      <c r="AE153" s="172" t="n"/>
      <c r="AF153" s="227" t="n"/>
      <c r="AG153" s="231" t="n"/>
      <c r="AH153" s="173" t="n"/>
      <c r="AI153" s="175" t="n"/>
      <c r="AJ153" s="238" t="n"/>
      <c r="AK153" s="176" t="n"/>
      <c r="AL153" s="231" t="n"/>
      <c r="AM153" s="231" t="n"/>
      <c r="AN153" s="231" t="n"/>
      <c r="AO153" s="231" t="n"/>
      <c r="AP153" s="231" t="n"/>
      <c r="AQ153" s="231" t="n"/>
      <c r="AR153" s="231" t="n"/>
      <c r="AS153" s="231" t="n"/>
      <c r="AT153" s="231" t="n"/>
      <c r="AU153" s="231" t="n"/>
      <c r="AV153" s="231" t="n"/>
    </row>
    <row r="154" ht="31" customHeight="1" s="476">
      <c r="A154" s="48" t="inlineStr">
        <is>
          <t>판암동</t>
        </is>
      </c>
      <c r="B154" s="174" t="inlineStr">
        <is>
          <t>상</t>
        </is>
      </c>
      <c r="C154" s="166" t="inlineStr">
        <is>
          <t>중</t>
        </is>
      </c>
      <c r="D154" s="218" t="inlineStr">
        <is>
          <t>삼정그린코아포레2</t>
        </is>
      </c>
      <c r="E154" s="34" t="n">
        <v>30</v>
      </c>
      <c r="F154" s="34" t="n">
        <v>3.45</v>
      </c>
      <c r="G154" s="34" t="n">
        <v>2.5</v>
      </c>
      <c r="H154" s="41" t="n">
        <v>2018.07</v>
      </c>
      <c r="I154" s="41" t="n">
        <v>320</v>
      </c>
      <c r="J154" s="35" t="n">
        <v>8.930000000000064</v>
      </c>
      <c r="K154" s="41" t="n">
        <v>98</v>
      </c>
      <c r="L154" s="41" t="n">
        <v>72</v>
      </c>
      <c r="M154" s="41" t="n">
        <v>30</v>
      </c>
      <c r="N154" s="530" t="n">
        <v>34500</v>
      </c>
      <c r="O154" s="531" t="n">
        <v>25000</v>
      </c>
      <c r="P154" s="524" t="n">
        <v>9500</v>
      </c>
      <c r="Q154" s="168" t="n">
        <v>0.7246376811594203</v>
      </c>
      <c r="R154" s="531" t="n">
        <v>40000</v>
      </c>
      <c r="S154" s="532" t="n">
        <v>32500</v>
      </c>
      <c r="T154" s="59" t="inlineStr">
        <is>
          <t>계단식</t>
        </is>
      </c>
      <c r="U154" s="41" t="n">
        <v>3</v>
      </c>
      <c r="V154" s="41" t="n">
        <v>2</v>
      </c>
      <c r="W154" s="41" t="n">
        <v>64</v>
      </c>
      <c r="X154" s="221" t="n"/>
      <c r="Y154" s="221" t="n"/>
      <c r="Z154" s="169" t="n">
        <v>30</v>
      </c>
      <c r="AA154" s="526" t="n"/>
      <c r="AB154" s="526" t="n"/>
      <c r="AC154" s="170" t="e">
        <v>#DIV/0!</v>
      </c>
      <c r="AD154" s="171" t="n">
        <v>0</v>
      </c>
      <c r="AE154" s="172" t="n"/>
      <c r="AF154" s="227" t="n"/>
      <c r="AG154" s="231" t="n"/>
      <c r="AH154" s="173" t="n"/>
      <c r="AI154" s="175" t="n"/>
      <c r="AJ154" s="238" t="n"/>
      <c r="AK154" s="176" t="n"/>
      <c r="AL154" s="231" t="n"/>
      <c r="AM154" s="231" t="n"/>
      <c r="AN154" s="231" t="n"/>
      <c r="AO154" s="231" t="n"/>
      <c r="AP154" s="231" t="n"/>
      <c r="AQ154" s="231" t="n"/>
      <c r="AR154" s="231" t="n"/>
      <c r="AS154" s="231" t="n"/>
      <c r="AT154" s="231" t="n"/>
      <c r="AU154" s="231" t="n"/>
      <c r="AV154" s="231" t="n"/>
    </row>
    <row r="155" ht="31.5" customHeight="1" s="476" thickBot="1">
      <c r="A155" s="48" t="inlineStr">
        <is>
          <t>판암동</t>
        </is>
      </c>
      <c r="B155" s="174" t="inlineStr">
        <is>
          <t>상</t>
        </is>
      </c>
      <c r="C155" s="166" t="inlineStr">
        <is>
          <t>중</t>
        </is>
      </c>
      <c r="D155" s="218" t="inlineStr">
        <is>
          <t>삼정그린코아포레2</t>
        </is>
      </c>
      <c r="E155" s="34" t="n">
        <v>29</v>
      </c>
      <c r="F155" s="34" t="n">
        <v>3.4</v>
      </c>
      <c r="G155" s="34" t="n">
        <v>2.55</v>
      </c>
      <c r="H155" s="44" t="n">
        <v>2018.07</v>
      </c>
      <c r="I155" s="44" t="n">
        <v>320</v>
      </c>
      <c r="J155" s="35" t="n">
        <v>8.930000000000064</v>
      </c>
      <c r="K155" s="44" t="inlineStr">
        <is>
          <t>95B, 95A</t>
        </is>
      </c>
      <c r="L155" s="44" t="n">
        <v>69</v>
      </c>
      <c r="M155" s="44" t="n">
        <v>29</v>
      </c>
      <c r="N155" s="553" t="n">
        <v>34000</v>
      </c>
      <c r="O155" s="554" t="n">
        <v>25500</v>
      </c>
      <c r="P155" s="524" t="n">
        <v>8500</v>
      </c>
      <c r="Q155" s="168" t="n">
        <v>0.75</v>
      </c>
      <c r="R155" s="554" t="n">
        <v>37000</v>
      </c>
      <c r="S155" s="555" t="n">
        <v>31000</v>
      </c>
      <c r="T155" s="62" t="inlineStr">
        <is>
          <t>계단식</t>
        </is>
      </c>
      <c r="U155" s="44" t="n">
        <v>3</v>
      </c>
      <c r="V155" s="44" t="n">
        <v>2</v>
      </c>
      <c r="W155" s="44" t="n">
        <v>89</v>
      </c>
      <c r="X155" s="221" t="n">
        <v>2020.03</v>
      </c>
      <c r="Y155" s="221" t="n">
        <v>0.08</v>
      </c>
      <c r="Z155" s="169" t="n">
        <v>29</v>
      </c>
      <c r="AA155" s="526" t="n">
        <v>30233</v>
      </c>
      <c r="AB155" s="526" t="n">
        <v>26000</v>
      </c>
      <c r="AC155" s="170" t="e">
        <v>#DIV/0!</v>
      </c>
      <c r="AD155" s="171" t="n">
        <v>0</v>
      </c>
      <c r="AE155" s="172" t="n"/>
      <c r="AF155" s="227" t="n"/>
      <c r="AG155" s="231" t="n"/>
      <c r="AH155" s="173" t="n"/>
      <c r="AI155" s="175" t="n"/>
      <c r="AJ155" s="238" t="n"/>
      <c r="AK155" s="176" t="n"/>
      <c r="AL155" s="231" t="n"/>
      <c r="AM155" s="231" t="n"/>
      <c r="AN155" s="231" t="n"/>
      <c r="AO155" s="231" t="n"/>
      <c r="AP155" s="231" t="n"/>
      <c r="AQ155" s="231" t="n"/>
      <c r="AR155" s="231" t="n"/>
      <c r="AS155" s="231" t="n"/>
      <c r="AT155" s="231" t="n"/>
      <c r="AU155" s="231" t="n"/>
      <c r="AV155" s="231" t="n"/>
    </row>
    <row r="156" ht="15.5" customHeight="1" s="476">
      <c r="A156" s="48" t="inlineStr">
        <is>
          <t>판암동</t>
        </is>
      </c>
      <c r="B156" s="174" t="inlineStr">
        <is>
          <t>상</t>
        </is>
      </c>
      <c r="C156" s="66" t="inlineStr">
        <is>
          <t>중</t>
        </is>
      </c>
      <c r="D156" s="218" t="inlineStr">
        <is>
          <t>삼정그린코아포레2</t>
        </is>
      </c>
      <c r="E156" s="34" t="n">
        <v>25</v>
      </c>
      <c r="F156" s="34" t="n">
        <v>3.1</v>
      </c>
      <c r="G156" s="34" t="n">
        <v>2.65</v>
      </c>
      <c r="H156" s="40" t="n">
        <v>2018.07</v>
      </c>
      <c r="I156" s="40" t="n">
        <v>320</v>
      </c>
      <c r="J156" s="35" t="n">
        <v>8.930000000000064</v>
      </c>
      <c r="K156" s="40" t="inlineStr">
        <is>
          <t>82A</t>
        </is>
      </c>
      <c r="L156" s="40" t="n">
        <v>59</v>
      </c>
      <c r="M156" s="40" t="n">
        <v>25</v>
      </c>
      <c r="N156" s="527" t="n">
        <v>31000</v>
      </c>
      <c r="O156" s="528" t="n">
        <v>26500</v>
      </c>
      <c r="P156" s="524" t="n">
        <v>4500</v>
      </c>
      <c r="Q156" s="168" t="n">
        <v>0.8548387096774194</v>
      </c>
      <c r="R156" s="528" t="n">
        <v>35500</v>
      </c>
      <c r="S156" s="529" t="n">
        <v>26500</v>
      </c>
      <c r="T156" s="58" t="inlineStr">
        <is>
          <t>계단식</t>
        </is>
      </c>
      <c r="U156" s="40" t="n">
        <v>3</v>
      </c>
      <c r="V156" s="40" t="n">
        <v>2</v>
      </c>
      <c r="W156" s="40" t="n">
        <v>129</v>
      </c>
      <c r="X156" s="221" t="n"/>
      <c r="Y156" s="221" t="n"/>
      <c r="Z156" s="169" t="n">
        <v>25</v>
      </c>
      <c r="AA156" s="526" t="n"/>
      <c r="AB156" s="526" t="n"/>
      <c r="AC156" s="170" t="e">
        <v>#DIV/0!</v>
      </c>
      <c r="AD156" s="171" t="n">
        <v>0</v>
      </c>
      <c r="AE156" s="172" t="n"/>
      <c r="AF156" s="227" t="n"/>
      <c r="AG156" s="231" t="n"/>
      <c r="AH156" s="173" t="n"/>
      <c r="AI156" s="175" t="n"/>
      <c r="AJ156" s="238" t="n"/>
      <c r="AK156" s="176" t="n"/>
      <c r="AL156" s="231" t="n"/>
      <c r="AM156" s="231" t="n"/>
      <c r="AN156" s="231" t="n"/>
      <c r="AO156" s="231" t="n"/>
      <c r="AP156" s="231" t="n"/>
      <c r="AQ156" s="231" t="n"/>
      <c r="AR156" s="231" t="n"/>
      <c r="AS156" s="231" t="n"/>
      <c r="AT156" s="231" t="n"/>
      <c r="AU156" s="231" t="n"/>
      <c r="AV156" s="231" t="n"/>
    </row>
    <row r="157" ht="15.5" customHeight="1" s="476">
      <c r="A157" s="182" t="inlineStr">
        <is>
          <t>판암동</t>
        </is>
      </c>
      <c r="B157" s="196" t="inlineStr">
        <is>
          <t>상</t>
        </is>
      </c>
      <c r="C157" s="208" t="inlineStr">
        <is>
          <t>상</t>
        </is>
      </c>
      <c r="D157" s="217" t="inlineStr">
        <is>
          <t>삼정그린코아포레1</t>
        </is>
      </c>
      <c r="E157" s="184" t="n">
        <v>36</v>
      </c>
      <c r="F157" s="184" t="n">
        <v>6.9</v>
      </c>
      <c r="G157" s="184" t="n">
        <v>2.5</v>
      </c>
      <c r="H157" s="197" t="n">
        <v>2018.07</v>
      </c>
      <c r="I157" s="197" t="n">
        <v>1245</v>
      </c>
      <c r="J157" s="186" t="n">
        <v>8.930000000000064</v>
      </c>
      <c r="K157" s="197" t="n">
        <v>118</v>
      </c>
      <c r="L157" s="197" t="n">
        <v>84</v>
      </c>
      <c r="M157" s="197" t="n">
        <v>36</v>
      </c>
      <c r="N157" s="517" t="n">
        <v>51500</v>
      </c>
      <c r="O157" s="518" t="n">
        <v>25000</v>
      </c>
      <c r="P157" s="512" t="n">
        <v>44000</v>
      </c>
      <c r="Q157" s="188" t="n">
        <v>0.3623188405797101</v>
      </c>
      <c r="R157" s="518" t="n">
        <v>61500</v>
      </c>
      <c r="S157" s="519" t="n">
        <v>51500</v>
      </c>
      <c r="T157" s="198" t="inlineStr">
        <is>
          <t>계단식</t>
        </is>
      </c>
      <c r="U157" s="197" t="n">
        <v>3</v>
      </c>
      <c r="V157" s="197" t="n">
        <v>3</v>
      </c>
      <c r="W157" s="197" t="n">
        <v>6</v>
      </c>
      <c r="X157" s="220" t="n"/>
      <c r="Y157" s="220" t="n"/>
      <c r="Z157" s="190" t="n">
        <v>36</v>
      </c>
      <c r="AA157" s="514" t="n"/>
      <c r="AB157" s="514" t="n"/>
      <c r="AC157" s="191" t="e">
        <v>#DIV/0!</v>
      </c>
      <c r="AD157" s="192" t="n">
        <v>0</v>
      </c>
      <c r="AE157" s="193" t="n"/>
      <c r="AF157" s="230" t="n"/>
      <c r="AG157" s="232" t="n"/>
      <c r="AH157" s="194" t="n"/>
      <c r="AI157" s="200" t="n"/>
      <c r="AJ157" s="238" t="n"/>
      <c r="AK157" s="176" t="n"/>
      <c r="AL157" s="231" t="n"/>
      <c r="AM157" s="231" t="n"/>
      <c r="AN157" s="231" t="n"/>
      <c r="AO157" s="231" t="n"/>
      <c r="AP157" s="231" t="n"/>
      <c r="AQ157" s="231" t="n"/>
      <c r="AR157" s="231" t="n"/>
      <c r="AS157" s="231" t="n"/>
      <c r="AT157" s="231" t="n"/>
      <c r="AU157" s="231" t="n"/>
      <c r="AV157" s="231" t="n"/>
    </row>
    <row r="158" ht="15.5" customHeight="1" s="476">
      <c r="A158" s="182" t="inlineStr">
        <is>
          <t>판암동</t>
        </is>
      </c>
      <c r="B158" s="196" t="inlineStr">
        <is>
          <t>상</t>
        </is>
      </c>
      <c r="C158" s="208" t="inlineStr">
        <is>
          <t>상</t>
        </is>
      </c>
      <c r="D158" s="217" t="inlineStr">
        <is>
          <t>삼정그린코아포레1</t>
        </is>
      </c>
      <c r="E158" s="184" t="n">
        <v>31</v>
      </c>
      <c r="F158" s="184" t="n">
        <v>4</v>
      </c>
      <c r="G158" s="184" t="n">
        <v>3.1</v>
      </c>
      <c r="H158" s="197" t="n">
        <v>2018.07</v>
      </c>
      <c r="I158" s="197" t="n">
        <v>1245</v>
      </c>
      <c r="J158" s="186" t="n">
        <v>8.930000000000064</v>
      </c>
      <c r="K158" s="197" t="n">
        <v>103</v>
      </c>
      <c r="L158" s="197" t="n">
        <v>76</v>
      </c>
      <c r="M158" s="197" t="n">
        <v>31</v>
      </c>
      <c r="N158" s="517" t="n">
        <v>40000</v>
      </c>
      <c r="O158" s="518" t="n">
        <v>31000</v>
      </c>
      <c r="P158" s="512" t="n">
        <v>9000</v>
      </c>
      <c r="Q158" s="188" t="n">
        <v>0.775</v>
      </c>
      <c r="R158" s="518" t="n">
        <v>49000</v>
      </c>
      <c r="S158" s="519" t="n">
        <v>37000</v>
      </c>
      <c r="T158" s="198" t="inlineStr">
        <is>
          <t>계단식</t>
        </is>
      </c>
      <c r="U158" s="197" t="n">
        <v>3</v>
      </c>
      <c r="V158" s="197" t="n">
        <v>2</v>
      </c>
      <c r="W158" s="197" t="n">
        <v>163</v>
      </c>
      <c r="X158" s="220" t="n">
        <v>2021.08</v>
      </c>
      <c r="Y158" s="220" t="n">
        <v>0.01</v>
      </c>
      <c r="Z158" s="190" t="n">
        <v>31</v>
      </c>
      <c r="AA158" s="514" t="n">
        <v>45500</v>
      </c>
      <c r="AB158" s="514" t="n">
        <v>36667</v>
      </c>
      <c r="AC158" s="191" t="e">
        <v>#DIV/0!</v>
      </c>
      <c r="AD158" s="192" t="n">
        <v>0</v>
      </c>
      <c r="AE158" s="193" t="n"/>
      <c r="AF158" s="230" t="n"/>
      <c r="AG158" s="232" t="n"/>
      <c r="AH158" s="194" t="n"/>
      <c r="AI158" s="200" t="n"/>
      <c r="AJ158" s="238" t="n"/>
      <c r="AK158" s="176" t="n"/>
      <c r="AL158" s="231" t="n"/>
      <c r="AM158" s="231" t="n"/>
      <c r="AN158" s="231" t="n"/>
      <c r="AO158" s="231" t="n"/>
      <c r="AP158" s="231" t="n"/>
      <c r="AQ158" s="231" t="n"/>
      <c r="AR158" s="231" t="n"/>
      <c r="AS158" s="231" t="n"/>
      <c r="AT158" s="231" t="n"/>
      <c r="AU158" s="231" t="n"/>
      <c r="AV158" s="231" t="n"/>
    </row>
    <row r="159" ht="16" customHeight="1" s="476" thickBot="1">
      <c r="A159" s="182" t="inlineStr">
        <is>
          <t>판암동</t>
        </is>
      </c>
      <c r="B159" s="196" t="inlineStr">
        <is>
          <t>상</t>
        </is>
      </c>
      <c r="C159" s="208" t="inlineStr">
        <is>
          <t>상</t>
        </is>
      </c>
      <c r="D159" s="217" t="inlineStr">
        <is>
          <t>삼정그린코아포레1</t>
        </is>
      </c>
      <c r="E159" s="184" t="n">
        <v>28</v>
      </c>
      <c r="F159" s="184" t="n">
        <v>3.7</v>
      </c>
      <c r="G159" s="184" t="n">
        <v>2.5</v>
      </c>
      <c r="H159" s="201" t="n">
        <v>2018.07</v>
      </c>
      <c r="I159" s="201" t="n">
        <v>1245</v>
      </c>
      <c r="J159" s="186" t="n">
        <v>8.930000000000064</v>
      </c>
      <c r="K159" s="201" t="inlineStr">
        <is>
          <t>94A, 94B</t>
        </is>
      </c>
      <c r="L159" s="201" t="n">
        <v>69</v>
      </c>
      <c r="M159" s="201" t="n">
        <v>28</v>
      </c>
      <c r="N159" s="533" t="n">
        <v>37000</v>
      </c>
      <c r="O159" s="534" t="n">
        <v>25000</v>
      </c>
      <c r="P159" s="512" t="n">
        <v>12000</v>
      </c>
      <c r="Q159" s="188" t="n">
        <v>0.6756756756756757</v>
      </c>
      <c r="R159" s="534" t="n">
        <v>44000</v>
      </c>
      <c r="S159" s="535" t="n">
        <v>32000</v>
      </c>
      <c r="T159" s="202" t="inlineStr">
        <is>
          <t>계단식</t>
        </is>
      </c>
      <c r="U159" s="201" t="n">
        <v>3</v>
      </c>
      <c r="V159" s="201" t="n">
        <v>2</v>
      </c>
      <c r="W159" s="201" t="n">
        <v>156</v>
      </c>
      <c r="X159" s="220" t="n">
        <v>2020.03</v>
      </c>
      <c r="Y159" s="220" t="n">
        <v>0.08</v>
      </c>
      <c r="Z159" s="190" t="n">
        <v>28</v>
      </c>
      <c r="AA159" s="514" t="n">
        <v>30233</v>
      </c>
      <c r="AB159" s="514" t="n">
        <v>26000</v>
      </c>
      <c r="AC159" s="191" t="e">
        <v>#DIV/0!</v>
      </c>
      <c r="AD159" s="192" t="n">
        <v>0</v>
      </c>
      <c r="AE159" s="193" t="n"/>
      <c r="AF159" s="230" t="n"/>
      <c r="AG159" s="232" t="n"/>
      <c r="AH159" s="194" t="n"/>
      <c r="AI159" s="200" t="n"/>
      <c r="AJ159" s="238" t="n"/>
      <c r="AK159" s="176" t="n"/>
      <c r="AL159" s="231" t="n"/>
      <c r="AM159" s="231" t="n"/>
      <c r="AN159" s="231" t="n"/>
      <c r="AO159" s="231" t="n"/>
      <c r="AP159" s="231" t="n"/>
      <c r="AQ159" s="231" t="n"/>
      <c r="AR159" s="231" t="n"/>
      <c r="AS159" s="231" t="n"/>
      <c r="AT159" s="231" t="n"/>
      <c r="AU159" s="231" t="n"/>
      <c r="AV159" s="231" t="n"/>
    </row>
    <row r="160" ht="15.5" customHeight="1" s="476">
      <c r="A160" s="182" t="inlineStr">
        <is>
          <t>판암동</t>
        </is>
      </c>
      <c r="B160" s="196" t="inlineStr">
        <is>
          <t>상</t>
        </is>
      </c>
      <c r="C160" s="208" t="inlineStr">
        <is>
          <t>상</t>
        </is>
      </c>
      <c r="D160" s="217" t="inlineStr">
        <is>
          <t>삼정그린코아포레1</t>
        </is>
      </c>
      <c r="E160" s="184" t="n">
        <v>29</v>
      </c>
      <c r="F160" s="184" t="n">
        <v>3.7</v>
      </c>
      <c r="G160" s="184" t="n">
        <v>3</v>
      </c>
      <c r="H160" s="187" t="n">
        <v>2018.07</v>
      </c>
      <c r="I160" s="187" t="n">
        <v>1245</v>
      </c>
      <c r="J160" s="186" t="n">
        <v>8.930000000000064</v>
      </c>
      <c r="K160" s="187" t="n">
        <v>97</v>
      </c>
      <c r="L160" s="187" t="n">
        <v>72</v>
      </c>
      <c r="M160" s="187" t="n">
        <v>29</v>
      </c>
      <c r="N160" s="510" t="n">
        <v>37000</v>
      </c>
      <c r="O160" s="511" t="n">
        <v>30000</v>
      </c>
      <c r="P160" s="512" t="n">
        <v>7000</v>
      </c>
      <c r="Q160" s="188" t="n">
        <v>0.8108108108108109</v>
      </c>
      <c r="R160" s="511" t="n">
        <v>46100</v>
      </c>
      <c r="S160" s="513" t="n">
        <v>34000</v>
      </c>
      <c r="T160" s="189" t="inlineStr">
        <is>
          <t>계단식</t>
        </is>
      </c>
      <c r="U160" s="187" t="n">
        <v>3</v>
      </c>
      <c r="V160" s="187" t="n">
        <v>2</v>
      </c>
      <c r="W160" s="187" t="n">
        <v>523</v>
      </c>
      <c r="X160" s="220" t="n"/>
      <c r="Y160" s="220" t="n"/>
      <c r="Z160" s="190" t="n">
        <v>29</v>
      </c>
      <c r="AA160" s="514" t="n"/>
      <c r="AB160" s="514" t="n"/>
      <c r="AC160" s="191" t="e">
        <v>#DIV/0!</v>
      </c>
      <c r="AD160" s="192" t="n">
        <v>0</v>
      </c>
      <c r="AE160" s="193" t="n"/>
      <c r="AF160" s="230" t="n"/>
      <c r="AG160" s="232" t="n"/>
      <c r="AH160" s="194" t="n"/>
      <c r="AI160" s="200" t="n"/>
      <c r="AJ160" s="238" t="n"/>
      <c r="AK160" s="176" t="n"/>
      <c r="AL160" s="231" t="n"/>
      <c r="AM160" s="231" t="n"/>
      <c r="AN160" s="231" t="n"/>
      <c r="AO160" s="231" t="n"/>
      <c r="AP160" s="231" t="n"/>
      <c r="AQ160" s="231" t="n"/>
      <c r="AR160" s="231" t="n"/>
      <c r="AS160" s="231" t="n"/>
      <c r="AT160" s="231" t="n"/>
      <c r="AU160" s="231" t="n"/>
      <c r="AV160" s="231" t="n"/>
    </row>
    <row r="161" ht="15.5" customHeight="1" s="476">
      <c r="A161" s="182" t="inlineStr">
        <is>
          <t>판암동</t>
        </is>
      </c>
      <c r="B161" s="196" t="inlineStr">
        <is>
          <t>상</t>
        </is>
      </c>
      <c r="C161" s="208" t="inlineStr">
        <is>
          <t>상</t>
        </is>
      </c>
      <c r="D161" s="217" t="inlineStr">
        <is>
          <t>삼정그린코아포레1</t>
        </is>
      </c>
      <c r="E161" s="184" t="n">
        <v>25</v>
      </c>
      <c r="F161" s="184" t="n">
        <v>3.3</v>
      </c>
      <c r="G161" s="184" t="n">
        <v>2.75</v>
      </c>
      <c r="H161" s="197" t="n">
        <v>2018.07</v>
      </c>
      <c r="I161" s="197" t="n">
        <v>1245</v>
      </c>
      <c r="J161" s="186" t="n">
        <v>8.930000000000064</v>
      </c>
      <c r="K161" s="197" t="inlineStr">
        <is>
          <t>81A, 82B</t>
        </is>
      </c>
      <c r="L161" s="197" t="n">
        <v>59</v>
      </c>
      <c r="M161" s="197" t="n">
        <v>25</v>
      </c>
      <c r="N161" s="517" t="n">
        <v>33000</v>
      </c>
      <c r="O161" s="518" t="n">
        <v>27500</v>
      </c>
      <c r="P161" s="512" t="n">
        <v>5500</v>
      </c>
      <c r="Q161" s="188" t="n">
        <v>0.8333333333333334</v>
      </c>
      <c r="R161" s="518" t="n">
        <v>40000</v>
      </c>
      <c r="S161" s="519" t="n">
        <v>27900</v>
      </c>
      <c r="T161" s="198" t="inlineStr">
        <is>
          <t>계단식</t>
        </is>
      </c>
      <c r="U161" s="197" t="n">
        <v>3</v>
      </c>
      <c r="V161" s="197" t="n">
        <v>2</v>
      </c>
      <c r="W161" s="197" t="n">
        <v>397</v>
      </c>
      <c r="X161" s="220" t="n"/>
      <c r="Y161" s="220" t="n"/>
      <c r="Z161" s="190" t="n">
        <v>25</v>
      </c>
      <c r="AA161" s="514" t="n"/>
      <c r="AB161" s="514" t="n"/>
      <c r="AC161" s="191" t="e">
        <v>#DIV/0!</v>
      </c>
      <c r="AD161" s="192" t="n">
        <v>0</v>
      </c>
      <c r="AE161" s="193" t="n"/>
      <c r="AF161" s="230" t="n"/>
      <c r="AG161" s="232" t="n"/>
      <c r="AH161" s="194" t="n"/>
      <c r="AI161" s="200" t="n"/>
      <c r="AJ161" s="238" t="n"/>
      <c r="AK161" s="176" t="n"/>
      <c r="AL161" s="231" t="n"/>
      <c r="AM161" s="231" t="n"/>
      <c r="AN161" s="231" t="n"/>
      <c r="AO161" s="231" t="n"/>
      <c r="AP161" s="231" t="n"/>
      <c r="AQ161" s="231" t="n"/>
      <c r="AR161" s="231" t="n"/>
      <c r="AS161" s="231" t="n"/>
      <c r="AT161" s="231" t="n"/>
      <c r="AU161" s="231" t="n"/>
      <c r="AV161" s="231" t="n"/>
    </row>
    <row r="162" ht="15.5" customHeight="1" s="476">
      <c r="A162" s="48" t="inlineStr">
        <is>
          <t>대성동</t>
        </is>
      </c>
      <c r="B162" s="65" t="inlineStr">
        <is>
          <t>중</t>
        </is>
      </c>
      <c r="C162" s="166" t="inlineStr">
        <is>
          <t>하</t>
        </is>
      </c>
      <c r="D162" s="218" t="inlineStr">
        <is>
          <t>삼익세라믹</t>
        </is>
      </c>
      <c r="E162" s="34" t="n">
        <v>27</v>
      </c>
      <c r="F162" s="34" t="n">
        <v>1.55</v>
      </c>
      <c r="G162" s="34" t="n">
        <v>1.3</v>
      </c>
      <c r="H162" s="41" t="n">
        <v>1991.08</v>
      </c>
      <c r="I162" s="41" t="n">
        <v>633</v>
      </c>
      <c r="J162" s="35" t="n">
        <v>35.92000000000007</v>
      </c>
      <c r="K162" s="41" t="n">
        <v>88</v>
      </c>
      <c r="L162" s="41" t="n">
        <v>72</v>
      </c>
      <c r="M162" s="41" t="n">
        <v>27</v>
      </c>
      <c r="N162" s="530" t="n">
        <v>15500</v>
      </c>
      <c r="O162" s="531" t="n">
        <v>13000</v>
      </c>
      <c r="P162" s="524" t="n">
        <v>2500</v>
      </c>
      <c r="Q162" s="168" t="n">
        <v>0.8387096774193549</v>
      </c>
      <c r="R162" s="531" t="n">
        <v>17000</v>
      </c>
      <c r="S162" s="532" t="n">
        <v>16000</v>
      </c>
      <c r="T162" s="59" t="inlineStr">
        <is>
          <t>계단식</t>
        </is>
      </c>
      <c r="U162" s="41" t="n">
        <v>3</v>
      </c>
      <c r="V162" s="41" t="n">
        <v>1</v>
      </c>
      <c r="W162" s="41" t="n">
        <v>191</v>
      </c>
      <c r="X162" s="221" t="n">
        <v>2020.09</v>
      </c>
      <c r="Y162" s="221" t="n">
        <v>0.06</v>
      </c>
      <c r="Z162" s="169" t="n">
        <v>27</v>
      </c>
      <c r="AA162" s="526" t="n">
        <v>12992</v>
      </c>
      <c r="AB162" s="526" t="n">
        <v>13000</v>
      </c>
      <c r="AC162" s="170" t="e">
        <v>#DIV/0!</v>
      </c>
      <c r="AD162" s="171" t="n">
        <v>0</v>
      </c>
      <c r="AE162" s="172" t="n"/>
      <c r="AF162" s="227" t="n"/>
      <c r="AG162" s="231" t="n"/>
      <c r="AH162" s="173" t="n"/>
      <c r="AI162" s="175" t="n"/>
      <c r="AJ162" s="238" t="n"/>
      <c r="AK162" s="176" t="n"/>
      <c r="AL162" s="231" t="n"/>
      <c r="AM162" s="231" t="n"/>
      <c r="AN162" s="231" t="n"/>
      <c r="AO162" s="231" t="n"/>
      <c r="AP162" s="231" t="n"/>
      <c r="AQ162" s="231" t="n"/>
      <c r="AR162" s="231" t="n"/>
      <c r="AS162" s="231" t="n"/>
      <c r="AT162" s="231" t="n"/>
      <c r="AU162" s="231" t="n"/>
      <c r="AV162" s="231" t="n"/>
    </row>
    <row r="163" ht="15.5" customHeight="1" s="476">
      <c r="A163" s="48" t="inlineStr">
        <is>
          <t>대성동</t>
        </is>
      </c>
      <c r="B163" s="174" t="inlineStr">
        <is>
          <t>중</t>
        </is>
      </c>
      <c r="C163" s="166" t="inlineStr">
        <is>
          <t>하</t>
        </is>
      </c>
      <c r="D163" s="218" t="inlineStr">
        <is>
          <t>삼익세라믹</t>
        </is>
      </c>
      <c r="E163" s="34" t="n">
        <v>31</v>
      </c>
      <c r="F163" s="34" t="n">
        <v>1.5</v>
      </c>
      <c r="G163" s="34" t="n">
        <v>1.4</v>
      </c>
      <c r="H163" s="41" t="n">
        <v>1991.08</v>
      </c>
      <c r="I163" s="41" t="n">
        <v>633</v>
      </c>
      <c r="J163" s="35" t="n">
        <v>35.92000000000007</v>
      </c>
      <c r="K163" s="41" t="n">
        <v>102</v>
      </c>
      <c r="L163" s="41" t="n">
        <v>84</v>
      </c>
      <c r="M163" s="41" t="n">
        <v>31</v>
      </c>
      <c r="N163" s="530" t="n">
        <v>15000</v>
      </c>
      <c r="O163" s="531" t="n">
        <v>14000</v>
      </c>
      <c r="P163" s="524" t="n">
        <v>1000</v>
      </c>
      <c r="Q163" s="168" t="n">
        <v>0.9333333333333333</v>
      </c>
      <c r="R163" s="531" t="n">
        <v>24200</v>
      </c>
      <c r="S163" s="532" t="n">
        <v>14500</v>
      </c>
      <c r="T163" s="59" t="inlineStr">
        <is>
          <t>계단식</t>
        </is>
      </c>
      <c r="U163" s="41" t="n">
        <v>3</v>
      </c>
      <c r="V163" s="41" t="n">
        <v>2</v>
      </c>
      <c r="W163" s="41" t="n">
        <v>442</v>
      </c>
      <c r="X163" s="221" t="n">
        <v>2020.02</v>
      </c>
      <c r="Y163" s="221" t="n">
        <v>0.01</v>
      </c>
      <c r="Z163" s="169" t="n">
        <v>31</v>
      </c>
      <c r="AA163" s="526" t="n">
        <v>14143</v>
      </c>
      <c r="AB163" s="526" t="n">
        <v>12000</v>
      </c>
      <c r="AC163" s="170" t="e">
        <v>#DIV/0!</v>
      </c>
      <c r="AD163" s="171" t="n">
        <v>0</v>
      </c>
      <c r="AE163" s="172" t="n"/>
      <c r="AF163" s="227" t="n"/>
      <c r="AG163" s="231" t="n"/>
      <c r="AH163" s="173" t="n"/>
      <c r="AI163" s="175" t="n"/>
      <c r="AJ163" s="238" t="n"/>
      <c r="AK163" s="176" t="n"/>
      <c r="AL163" s="231" t="n"/>
      <c r="AM163" s="231" t="n"/>
      <c r="AN163" s="231" t="n"/>
      <c r="AO163" s="231" t="n"/>
      <c r="AP163" s="231" t="n"/>
      <c r="AQ163" s="231" t="n"/>
      <c r="AR163" s="231" t="n"/>
      <c r="AS163" s="231" t="n"/>
      <c r="AT163" s="231" t="n"/>
      <c r="AU163" s="231" t="n"/>
      <c r="AV163" s="231" t="n"/>
    </row>
    <row r="164" ht="15.5" customHeight="1" s="476">
      <c r="A164" s="182" t="inlineStr">
        <is>
          <t>천동</t>
        </is>
      </c>
      <c r="B164" s="196" t="inlineStr">
        <is>
          <t>상</t>
        </is>
      </c>
      <c r="C164" s="208" t="inlineStr">
        <is>
          <t>상</t>
        </is>
      </c>
      <c r="D164" s="217" t="inlineStr">
        <is>
          <t>리더스시티5BL</t>
        </is>
      </c>
      <c r="E164" s="184" t="n">
        <v>34</v>
      </c>
      <c r="F164" s="184" t="n">
        <v>5</v>
      </c>
      <c r="G164" s="184" t="n">
        <v>3.5</v>
      </c>
      <c r="H164" s="197" t="n">
        <v>2024.12</v>
      </c>
      <c r="I164" s="197" t="n">
        <v>2135</v>
      </c>
      <c r="J164" s="186" t="n">
        <v>2.880000000000109</v>
      </c>
      <c r="K164" s="197" t="inlineStr">
        <is>
          <t>113A</t>
        </is>
      </c>
      <c r="L164" s="197" t="n">
        <v>84</v>
      </c>
      <c r="M164" s="197" t="n">
        <v>34</v>
      </c>
      <c r="N164" s="517" t="n">
        <v>50000</v>
      </c>
      <c r="O164" s="518" t="n">
        <v>35000</v>
      </c>
      <c r="P164" s="512" t="n">
        <v>15000</v>
      </c>
      <c r="Q164" s="188" t="n">
        <v>0.7</v>
      </c>
      <c r="R164" s="518" t="n">
        <v>44000</v>
      </c>
      <c r="S164" s="519" t="n">
        <v>39000</v>
      </c>
      <c r="T164" s="198" t="inlineStr">
        <is>
          <t>계단식</t>
        </is>
      </c>
      <c r="U164" s="197" t="n">
        <v>4</v>
      </c>
      <c r="V164" s="197" t="n">
        <v>2</v>
      </c>
      <c r="W164" s="197" t="n">
        <v>228</v>
      </c>
      <c r="X164" s="220" t="n"/>
      <c r="Y164" s="220" t="n"/>
      <c r="Z164" s="190" t="n">
        <v>34</v>
      </c>
      <c r="AA164" s="514" t="n"/>
      <c r="AB164" s="514" t="n"/>
      <c r="AC164" s="191" t="e">
        <v>#DIV/0!</v>
      </c>
      <c r="AD164" s="192" t="n">
        <v>0</v>
      </c>
      <c r="AE164" s="193" t="n"/>
      <c r="AF164" s="230" t="n"/>
      <c r="AG164" s="232" t="n"/>
      <c r="AH164" s="199" t="n"/>
      <c r="AI164" s="200" t="n"/>
      <c r="AJ164" s="238" t="n"/>
    </row>
    <row r="165" ht="15.5" customHeight="1" s="476">
      <c r="A165" s="182" t="inlineStr">
        <is>
          <t>천동</t>
        </is>
      </c>
      <c r="B165" s="196" t="inlineStr">
        <is>
          <t>상</t>
        </is>
      </c>
      <c r="C165" s="208" t="inlineStr">
        <is>
          <t>상</t>
        </is>
      </c>
      <c r="D165" s="217" t="inlineStr">
        <is>
          <t>리더스시티5BL</t>
        </is>
      </c>
      <c r="E165" s="184" t="n">
        <v>30</v>
      </c>
      <c r="F165" s="184" t="n">
        <v>4.8</v>
      </c>
      <c r="G165" s="184" t="n">
        <v>2.6</v>
      </c>
      <c r="H165" s="197" t="n">
        <v>2024.12</v>
      </c>
      <c r="I165" s="197" t="n">
        <v>2135</v>
      </c>
      <c r="J165" s="186" t="n">
        <v>2.880000000000109</v>
      </c>
      <c r="K165" s="197" t="inlineStr">
        <is>
          <t>100A, 100B</t>
        </is>
      </c>
      <c r="L165" s="197" t="n">
        <v>74</v>
      </c>
      <c r="M165" s="197" t="n">
        <v>30</v>
      </c>
      <c r="N165" s="517" t="n">
        <v>48000</v>
      </c>
      <c r="O165" s="518" t="n">
        <v>26000</v>
      </c>
      <c r="P165" s="512" t="n">
        <v>22000</v>
      </c>
      <c r="Q165" s="188" t="n">
        <v>0.5416666666666666</v>
      </c>
      <c r="R165" s="518" t="n">
        <v>39000</v>
      </c>
      <c r="S165" s="519" t="n">
        <v>35800</v>
      </c>
      <c r="T165" s="198" t="inlineStr">
        <is>
          <t>계단식</t>
        </is>
      </c>
      <c r="U165" s="197" t="n">
        <v>3</v>
      </c>
      <c r="V165" s="197" t="n">
        <v>2</v>
      </c>
      <c r="W165" s="197" t="n">
        <v>536</v>
      </c>
      <c r="X165" s="220" t="n"/>
      <c r="Y165" s="220" t="n"/>
      <c r="Z165" s="190" t="n">
        <v>30</v>
      </c>
      <c r="AA165" s="514" t="n"/>
      <c r="AB165" s="514" t="n"/>
      <c r="AC165" s="191" t="e">
        <v>#DIV/0!</v>
      </c>
      <c r="AD165" s="192" t="n">
        <v>0</v>
      </c>
      <c r="AE165" s="193" t="n"/>
      <c r="AF165" s="230" t="n"/>
      <c r="AG165" s="232" t="n"/>
      <c r="AH165" s="199" t="n"/>
      <c r="AI165" s="200" t="n"/>
      <c r="AJ165" s="238" t="n"/>
      <c r="AK165" s="16" t="n"/>
      <c r="AS165" s="458" t="n"/>
    </row>
    <row r="166" ht="16" customHeight="1" s="476" thickBot="1">
      <c r="A166" s="182" t="inlineStr">
        <is>
          <t>천동</t>
        </is>
      </c>
      <c r="B166" s="196" t="inlineStr">
        <is>
          <t>상</t>
        </is>
      </c>
      <c r="C166" s="208" t="inlineStr">
        <is>
          <t>상</t>
        </is>
      </c>
      <c r="D166" s="217" t="inlineStr">
        <is>
          <t>리더스시티5BL</t>
        </is>
      </c>
      <c r="E166" s="184" t="n">
        <v>34</v>
      </c>
      <c r="F166" s="184" t="n">
        <v>4.2</v>
      </c>
      <c r="G166" s="184" t="n">
        <v>2.7</v>
      </c>
      <c r="H166" s="201" t="n">
        <v>2024.12</v>
      </c>
      <c r="I166" s="201" t="n">
        <v>2135</v>
      </c>
      <c r="J166" s="186" t="n">
        <v>2.880000000000109</v>
      </c>
      <c r="K166" s="201" t="inlineStr">
        <is>
          <t>113B</t>
        </is>
      </c>
      <c r="L166" s="201" t="n">
        <v>84</v>
      </c>
      <c r="M166" s="201" t="n">
        <v>34</v>
      </c>
      <c r="N166" s="533" t="n">
        <v>42000</v>
      </c>
      <c r="O166" s="534" t="n">
        <v>27000</v>
      </c>
      <c r="P166" s="512" t="n">
        <v>15000</v>
      </c>
      <c r="Q166" s="188" t="n">
        <v>0.6428571428571429</v>
      </c>
      <c r="R166" s="534" t="n">
        <v>44000</v>
      </c>
      <c r="S166" s="535" t="n">
        <v>39800</v>
      </c>
      <c r="T166" s="202" t="inlineStr">
        <is>
          <t>계단식</t>
        </is>
      </c>
      <c r="U166" s="201" t="n">
        <v>3</v>
      </c>
      <c r="V166" s="201" t="n">
        <v>2</v>
      </c>
      <c r="W166" s="201" t="n">
        <v>108</v>
      </c>
      <c r="X166" s="220" t="n"/>
      <c r="Y166" s="220" t="n"/>
      <c r="Z166" s="190" t="n">
        <v>34</v>
      </c>
      <c r="AA166" s="514" t="n"/>
      <c r="AB166" s="514" t="n"/>
      <c r="AC166" s="191" t="e">
        <v>#DIV/0!</v>
      </c>
      <c r="AD166" s="192" t="n">
        <v>0</v>
      </c>
      <c r="AE166" s="193" t="n"/>
      <c r="AF166" s="230" t="n"/>
      <c r="AG166" s="232" t="n"/>
      <c r="AH166" s="194" t="n"/>
      <c r="AI166" s="200" t="n"/>
      <c r="AJ166" s="238" t="n"/>
      <c r="AK166" s="176" t="n"/>
      <c r="AL166" s="231" t="n"/>
      <c r="AM166" s="231" t="n"/>
      <c r="AN166" s="231" t="n"/>
      <c r="AO166" s="231" t="n"/>
      <c r="AP166" s="231" t="n"/>
      <c r="AQ166" s="231" t="n"/>
      <c r="AR166" s="231" t="n"/>
      <c r="AS166" s="231" t="n"/>
      <c r="AT166" s="231" t="n"/>
      <c r="AU166" s="231" t="n"/>
      <c r="AV166" s="231" t="n"/>
    </row>
    <row r="167" ht="46.5" customHeight="1" s="476">
      <c r="A167" s="182" t="inlineStr">
        <is>
          <t>천동</t>
        </is>
      </c>
      <c r="B167" s="196" t="inlineStr">
        <is>
          <t>상</t>
        </is>
      </c>
      <c r="C167" s="208" t="inlineStr">
        <is>
          <t>상</t>
        </is>
      </c>
      <c r="D167" s="217" t="inlineStr">
        <is>
          <t>리더스시티5BL</t>
        </is>
      </c>
      <c r="E167" s="184" t="n">
        <v>25</v>
      </c>
      <c r="F167" s="184" t="n">
        <v>3.8</v>
      </c>
      <c r="G167" s="184" t="n">
        <v>3.1</v>
      </c>
      <c r="H167" s="187" t="n">
        <v>2024.12</v>
      </c>
      <c r="I167" s="187" t="n">
        <v>2135</v>
      </c>
      <c r="J167" s="186" t="n">
        <v>2.880000000000109</v>
      </c>
      <c r="K167" s="187" t="inlineStr">
        <is>
          <t>81A, 81B</t>
        </is>
      </c>
      <c r="L167" s="187" t="n">
        <v>59</v>
      </c>
      <c r="M167" s="187" t="n">
        <v>25</v>
      </c>
      <c r="N167" s="510" t="n">
        <v>38000</v>
      </c>
      <c r="O167" s="511" t="n">
        <v>31000</v>
      </c>
      <c r="P167" s="512" t="n">
        <v>7000</v>
      </c>
      <c r="Q167" s="188" t="n">
        <v>0.8157894736842105</v>
      </c>
      <c r="R167" s="511" t="n">
        <v>31000</v>
      </c>
      <c r="S167" s="513" t="n">
        <v>29000</v>
      </c>
      <c r="T167" s="189" t="inlineStr">
        <is>
          <t>계단식</t>
        </is>
      </c>
      <c r="U167" s="187" t="n">
        <v>3</v>
      </c>
      <c r="V167" s="187" t="n">
        <v>2</v>
      </c>
      <c r="W167" s="187" t="n">
        <v>551</v>
      </c>
      <c r="X167" s="220" t="n"/>
      <c r="Y167" s="220" t="n"/>
      <c r="Z167" s="190" t="n">
        <v>25</v>
      </c>
      <c r="AA167" s="514" t="n"/>
      <c r="AB167" s="514" t="n"/>
      <c r="AC167" s="191" t="e">
        <v>#DIV/0!</v>
      </c>
      <c r="AD167" s="192" t="n">
        <v>0</v>
      </c>
      <c r="AE167" s="193" t="n"/>
      <c r="AF167" s="228" t="n"/>
      <c r="AG167" s="193" t="n"/>
      <c r="AH167" s="199" t="n"/>
      <c r="AI167" s="200" t="n"/>
      <c r="AJ167" s="238" t="n"/>
    </row>
    <row r="168" ht="47" customHeight="1" s="476" thickBot="1">
      <c r="A168" s="48" t="inlineStr">
        <is>
          <t>천동</t>
        </is>
      </c>
      <c r="B168" s="174" t="inlineStr">
        <is>
          <t>상</t>
        </is>
      </c>
      <c r="C168" s="166" t="inlineStr">
        <is>
          <t>상</t>
        </is>
      </c>
      <c r="D168" s="218" t="inlineStr">
        <is>
          <t>리더스시티4BL</t>
        </is>
      </c>
      <c r="E168" s="34" t="n">
        <v>34</v>
      </c>
      <c r="F168" s="34" t="n">
        <v>5.5</v>
      </c>
      <c r="G168" s="34" t="n">
        <v>4</v>
      </c>
      <c r="H168" s="42" t="n">
        <v>2024.07</v>
      </c>
      <c r="I168" s="42" t="n">
        <v>1328</v>
      </c>
      <c r="J168" s="35" t="n">
        <v>2.930000000000064</v>
      </c>
      <c r="K168" s="42" t="inlineStr">
        <is>
          <t>111B</t>
        </is>
      </c>
      <c r="L168" s="42" t="n">
        <v>84</v>
      </c>
      <c r="M168" s="42" t="n">
        <v>34</v>
      </c>
      <c r="N168" s="522" t="n">
        <v>52000</v>
      </c>
      <c r="O168" s="523" t="n">
        <v>40000</v>
      </c>
      <c r="P168" s="524" t="n">
        <v>15000</v>
      </c>
      <c r="Q168" s="168" t="n">
        <v>0.7272727272727273</v>
      </c>
      <c r="R168" s="523" t="n">
        <v>42000</v>
      </c>
      <c r="S168" s="525" t="n">
        <v>36000</v>
      </c>
      <c r="T168" s="60" t="inlineStr">
        <is>
          <t>계단식</t>
        </is>
      </c>
      <c r="U168" s="42" t="n">
        <v>3</v>
      </c>
      <c r="V168" s="42" t="n">
        <v>2</v>
      </c>
      <c r="W168" s="42" t="n">
        <v>122</v>
      </c>
      <c r="X168" s="221" t="n"/>
      <c r="Y168" s="221" t="n"/>
      <c r="Z168" s="169" t="n">
        <v>34</v>
      </c>
      <c r="AA168" s="526" t="n"/>
      <c r="AB168" s="526" t="n"/>
      <c r="AC168" s="170" t="e">
        <v>#DIV/0!</v>
      </c>
      <c r="AD168" s="171" t="n">
        <v>0</v>
      </c>
      <c r="AE168" s="172" t="n"/>
      <c r="AF168" s="255" t="n"/>
      <c r="AG168" s="172" t="n"/>
      <c r="AH168" s="122" t="n"/>
      <c r="AI168" s="175" t="n"/>
      <c r="AJ168" s="238" t="n"/>
      <c r="AS168" s="236" t="n"/>
    </row>
    <row r="169" ht="15.5" customHeight="1" s="476">
      <c r="A169" s="48" t="inlineStr">
        <is>
          <t>천동</t>
        </is>
      </c>
      <c r="B169" s="163" t="inlineStr">
        <is>
          <t>상</t>
        </is>
      </c>
      <c r="C169" s="163" t="inlineStr">
        <is>
          <t>상</t>
        </is>
      </c>
      <c r="D169" s="218" t="inlineStr">
        <is>
          <t>리더스시티4BL</t>
        </is>
      </c>
      <c r="E169" s="34" t="n">
        <v>30</v>
      </c>
      <c r="F169" s="34" t="n">
        <v>4.7</v>
      </c>
      <c r="G169" s="34" t="n">
        <v>2.3</v>
      </c>
      <c r="H169" s="40" t="n">
        <v>2024.07</v>
      </c>
      <c r="I169" s="40" t="n">
        <v>1328</v>
      </c>
      <c r="J169" s="35" t="n">
        <v>2.930000000000064</v>
      </c>
      <c r="K169" s="40" t="inlineStr">
        <is>
          <t>98A, 99B</t>
        </is>
      </c>
      <c r="L169" s="40" t="n">
        <v>74</v>
      </c>
      <c r="M169" s="40" t="n">
        <v>30</v>
      </c>
      <c r="N169" s="527" t="n">
        <v>45000</v>
      </c>
      <c r="O169" s="528" t="n">
        <v>32000</v>
      </c>
      <c r="P169" s="524" t="n">
        <v>24000</v>
      </c>
      <c r="Q169" s="168" t="n">
        <v>0.4893617021276596</v>
      </c>
      <c r="R169" s="528" t="n">
        <v>35800</v>
      </c>
      <c r="S169" s="529" t="n">
        <v>33800</v>
      </c>
      <c r="T169" s="58" t="inlineStr">
        <is>
          <t>계단식</t>
        </is>
      </c>
      <c r="U169" s="40" t="n">
        <v>3</v>
      </c>
      <c r="V169" s="40" t="n">
        <v>2</v>
      </c>
      <c r="W169" s="40" t="n">
        <v>516</v>
      </c>
      <c r="X169" s="221" t="n"/>
      <c r="Y169" s="221" t="n"/>
      <c r="Z169" s="169" t="n">
        <v>30</v>
      </c>
      <c r="AA169" s="526" t="n"/>
      <c r="AB169" s="526" t="n"/>
      <c r="AC169" s="170" t="e">
        <v>#DIV/0!</v>
      </c>
      <c r="AD169" s="171" t="n">
        <v>0</v>
      </c>
      <c r="AE169" s="172" t="n"/>
      <c r="AF169" s="254" t="n"/>
      <c r="AG169" s="172" t="n"/>
      <c r="AH169" s="122" t="n"/>
      <c r="AI169" s="175" t="n"/>
      <c r="AJ169" s="238" t="n"/>
      <c r="AS169" s="458" t="n"/>
    </row>
    <row r="170" ht="16" customHeight="1" s="476" thickBot="1">
      <c r="A170" s="48" t="inlineStr">
        <is>
          <t>천동</t>
        </is>
      </c>
      <c r="B170" s="174" t="inlineStr">
        <is>
          <t>상</t>
        </is>
      </c>
      <c r="C170" s="166" t="inlineStr">
        <is>
          <t>상</t>
        </is>
      </c>
      <c r="D170" s="218" t="inlineStr">
        <is>
          <t>리더스시티4BL</t>
        </is>
      </c>
      <c r="E170" s="34" t="n">
        <v>24</v>
      </c>
      <c r="F170" s="34" t="n">
        <v>3.65</v>
      </c>
      <c r="G170" s="34" t="n">
        <v>2.1</v>
      </c>
      <c r="H170" s="42" t="n">
        <v>2024.07</v>
      </c>
      <c r="I170" s="42" t="n">
        <v>1328</v>
      </c>
      <c r="J170" s="35" t="n">
        <v>2.930000000000064</v>
      </c>
      <c r="K170" s="42" t="inlineStr">
        <is>
          <t>79B, 80A, 80C</t>
        </is>
      </c>
      <c r="L170" s="42" t="n">
        <v>59</v>
      </c>
      <c r="M170" s="42" t="n">
        <v>24</v>
      </c>
      <c r="N170" s="522" t="n">
        <v>36500</v>
      </c>
      <c r="O170" s="523" t="n">
        <v>21000</v>
      </c>
      <c r="P170" s="524" t="n">
        <v>15500</v>
      </c>
      <c r="Q170" s="168" t="n">
        <v>0.5753424657534246</v>
      </c>
      <c r="R170" s="523" t="n">
        <v>29600</v>
      </c>
      <c r="S170" s="525" t="n">
        <v>28400</v>
      </c>
      <c r="T170" s="60" t="inlineStr">
        <is>
          <t>계단식</t>
        </is>
      </c>
      <c r="U170" s="42" t="n">
        <v>3</v>
      </c>
      <c r="V170" s="42" t="n">
        <v>2</v>
      </c>
      <c r="W170" s="42" t="n">
        <v>456</v>
      </c>
      <c r="X170" s="221" t="n"/>
      <c r="Y170" s="221" t="n"/>
      <c r="Z170" s="169" t="n">
        <v>24</v>
      </c>
      <c r="AA170" s="526" t="n"/>
      <c r="AB170" s="526" t="n"/>
      <c r="AC170" s="170" t="e">
        <v>#DIV/0!</v>
      </c>
      <c r="AD170" s="171" t="n">
        <v>0</v>
      </c>
      <c r="AE170" s="172" t="n"/>
      <c r="AF170" s="255" t="n"/>
      <c r="AG170" s="172" t="n"/>
      <c r="AH170" s="122" t="n"/>
      <c r="AI170" s="175" t="n"/>
      <c r="AJ170" s="238" t="n"/>
    </row>
    <row r="171" ht="16" customHeight="1" s="476" thickBot="1">
      <c r="A171" s="48" t="inlineStr">
        <is>
          <t>천동</t>
        </is>
      </c>
      <c r="B171" s="174" t="inlineStr">
        <is>
          <t>상</t>
        </is>
      </c>
      <c r="C171" s="163" t="inlineStr">
        <is>
          <t>상</t>
        </is>
      </c>
      <c r="D171" s="218" t="inlineStr">
        <is>
          <t>리더스시티4BL</t>
        </is>
      </c>
      <c r="E171" s="34" t="n">
        <v>34</v>
      </c>
      <c r="F171" s="34" t="n">
        <v>5.4</v>
      </c>
      <c r="G171" s="34" t="n">
        <v>3.8</v>
      </c>
      <c r="H171" s="40" t="n">
        <v>2024.07</v>
      </c>
      <c r="I171" s="40" t="n">
        <v>1328</v>
      </c>
      <c r="J171" s="35" t="n">
        <v>2.930000000000064</v>
      </c>
      <c r="K171" s="40" t="inlineStr">
        <is>
          <t>111A</t>
        </is>
      </c>
      <c r="L171" s="40" t="n">
        <v>84</v>
      </c>
      <c r="M171" s="40" t="n">
        <v>34</v>
      </c>
      <c r="N171" s="527" t="n"/>
      <c r="O171" s="528" t="n"/>
      <c r="P171" s="524" t="n">
        <v>16000</v>
      </c>
      <c r="Q171" s="168" t="n">
        <v>0.7037037037037037</v>
      </c>
      <c r="R171" s="528" t="n">
        <v>43000</v>
      </c>
      <c r="S171" s="529" t="n">
        <v>37000</v>
      </c>
      <c r="T171" s="58" t="inlineStr">
        <is>
          <t>계단식</t>
        </is>
      </c>
      <c r="U171" s="40" t="n">
        <v>4</v>
      </c>
      <c r="V171" s="40" t="n">
        <v>2</v>
      </c>
      <c r="W171" s="40" t="n">
        <v>234</v>
      </c>
      <c r="X171" s="221" t="n"/>
      <c r="Y171" s="221" t="n"/>
      <c r="Z171" s="169" t="n">
        <v>34</v>
      </c>
      <c r="AA171" s="526" t="n"/>
      <c r="AB171" s="526" t="n"/>
      <c r="AC171" s="170" t="e">
        <v>#DIV/0!</v>
      </c>
      <c r="AD171" s="171" t="n">
        <v>0</v>
      </c>
      <c r="AE171" s="172" t="n"/>
      <c r="AF171" s="254" t="n"/>
      <c r="AG171" s="172" t="n"/>
      <c r="AH171" s="122" t="n"/>
      <c r="AI171" s="175" t="n"/>
      <c r="AJ171" s="238" t="n"/>
    </row>
    <row r="172" ht="15.5" customHeight="1" s="476">
      <c r="A172" s="182" t="inlineStr">
        <is>
          <t>자양동</t>
        </is>
      </c>
      <c r="B172" s="196" t="inlineStr">
        <is>
          <t>하</t>
        </is>
      </c>
      <c r="C172" s="208" t="inlineStr">
        <is>
          <t>하</t>
        </is>
      </c>
      <c r="D172" s="217" t="inlineStr">
        <is>
          <t>동아</t>
        </is>
      </c>
      <c r="E172" s="184" t="n">
        <v>31</v>
      </c>
      <c r="F172" s="184" t="n">
        <v>1.85</v>
      </c>
      <c r="G172" s="184" t="n">
        <v>1.35</v>
      </c>
      <c r="H172" s="197" t="n">
        <v>1990.1</v>
      </c>
      <c r="I172" s="197" t="n">
        <v>590</v>
      </c>
      <c r="J172" s="186" t="n">
        <v>36.90000000000009</v>
      </c>
      <c r="K172" s="197" t="n">
        <v>102</v>
      </c>
      <c r="L172" s="197" t="n">
        <v>84</v>
      </c>
      <c r="M172" s="197" t="n">
        <v>31</v>
      </c>
      <c r="N172" s="517" t="n">
        <v>18500</v>
      </c>
      <c r="O172" s="511" t="n">
        <v>13500</v>
      </c>
      <c r="P172" s="512" t="n">
        <v>5000</v>
      </c>
      <c r="Q172" s="188" t="n">
        <v>0.7297297297297297</v>
      </c>
      <c r="R172" s="518" t="n">
        <v>24300</v>
      </c>
      <c r="S172" s="519" t="n">
        <v>22000</v>
      </c>
      <c r="T172" s="198" t="inlineStr">
        <is>
          <t>계단식</t>
        </is>
      </c>
      <c r="U172" s="197" t="n">
        <v>3</v>
      </c>
      <c r="V172" s="197" t="n">
        <v>2</v>
      </c>
      <c r="W172" s="197" t="n">
        <v>410</v>
      </c>
      <c r="X172" s="220" t="n"/>
      <c r="Y172" s="220" t="n"/>
      <c r="Z172" s="190" t="n">
        <v>31</v>
      </c>
      <c r="AA172" s="514" t="n"/>
      <c r="AB172" s="514" t="n"/>
      <c r="AC172" s="191" t="e">
        <v>#DIV/0!</v>
      </c>
      <c r="AD172" s="192" t="n">
        <v>0</v>
      </c>
      <c r="AE172" s="193" t="n"/>
      <c r="AF172" s="229" t="n"/>
      <c r="AG172" s="193" t="n"/>
      <c r="AH172" s="199" t="n"/>
      <c r="AI172" s="200" t="n"/>
      <c r="AJ172" s="238" t="n"/>
    </row>
    <row r="173" ht="15.5" customHeight="1" s="476">
      <c r="A173" s="182" t="inlineStr">
        <is>
          <t>자양동</t>
        </is>
      </c>
      <c r="B173" s="196" t="inlineStr">
        <is>
          <t>하</t>
        </is>
      </c>
      <c r="C173" s="208" t="inlineStr">
        <is>
          <t>하</t>
        </is>
      </c>
      <c r="D173" s="217" t="inlineStr">
        <is>
          <t>동아</t>
        </is>
      </c>
      <c r="E173" s="184" t="n">
        <v>47</v>
      </c>
      <c r="F173" s="184" t="n">
        <v>0</v>
      </c>
      <c r="G173" s="184" t="n">
        <v>0</v>
      </c>
      <c r="H173" s="197" t="n">
        <v>1990.1</v>
      </c>
      <c r="I173" s="197" t="n">
        <v>590</v>
      </c>
      <c r="J173" s="186" t="n">
        <v>36.90000000000009</v>
      </c>
      <c r="K173" s="197" t="n">
        <v>155</v>
      </c>
      <c r="L173" s="197" t="n">
        <v>134</v>
      </c>
      <c r="M173" s="197" t="n">
        <v>47</v>
      </c>
      <c r="N173" s="517" t="n">
        <v>0</v>
      </c>
      <c r="O173" s="518" t="n">
        <v>0</v>
      </c>
      <c r="P173" s="512" t="n">
        <v>0</v>
      </c>
      <c r="Q173" s="188" t="e">
        <v>#DIV/0!</v>
      </c>
      <c r="R173" s="518" t="n">
        <v>0</v>
      </c>
      <c r="S173" s="519" t="n">
        <v>0</v>
      </c>
      <c r="T173" s="198" t="inlineStr">
        <is>
          <t>계단식</t>
        </is>
      </c>
      <c r="U173" s="197" t="n">
        <v>4</v>
      </c>
      <c r="V173" s="197" t="n">
        <v>2</v>
      </c>
      <c r="W173" s="197" t="n">
        <v>180</v>
      </c>
      <c r="X173" s="220" t="n">
        <v>2022.04</v>
      </c>
      <c r="Y173" s="220" t="n">
        <v>0.02</v>
      </c>
      <c r="Z173" s="190" t="n">
        <v>47</v>
      </c>
      <c r="AA173" s="514" t="n">
        <v>30167</v>
      </c>
      <c r="AB173" s="514" t="n">
        <v>24500</v>
      </c>
      <c r="AC173" s="191" t="e">
        <v>#DIV/0!</v>
      </c>
      <c r="AD173" s="192" t="n">
        <v>0</v>
      </c>
      <c r="AE173" s="193" t="n"/>
      <c r="AF173" s="229" t="n"/>
      <c r="AG173" s="193" t="n"/>
      <c r="AH173" s="199" t="n"/>
      <c r="AI173" s="200" t="n"/>
      <c r="AJ173" s="238" t="n"/>
    </row>
    <row r="174" ht="31" customHeight="1" s="476">
      <c r="A174" s="48" t="inlineStr">
        <is>
          <t>가양동</t>
        </is>
      </c>
      <c r="B174" s="174" t="inlineStr">
        <is>
          <t>하</t>
        </is>
      </c>
      <c r="C174" s="166" t="inlineStr">
        <is>
          <t>하</t>
        </is>
      </c>
      <c r="D174" s="218" t="inlineStr">
        <is>
          <t>대주파크빌</t>
        </is>
      </c>
      <c r="E174" s="34" t="n">
        <v>31</v>
      </c>
      <c r="F174" s="34" t="n">
        <v>2.8</v>
      </c>
      <c r="G174" s="34" t="n">
        <v>2.2</v>
      </c>
      <c r="H174" s="54" t="n">
        <v>2006.01</v>
      </c>
      <c r="I174" s="54" t="n">
        <v>670</v>
      </c>
      <c r="J174" s="35" t="n">
        <v>20.99000000000001</v>
      </c>
      <c r="K174" s="41" t="inlineStr">
        <is>
          <t>102C, 102A, 102B</t>
        </is>
      </c>
      <c r="L174" s="41" t="n">
        <v>81</v>
      </c>
      <c r="M174" s="41" t="n">
        <v>31</v>
      </c>
      <c r="N174" s="530" t="n">
        <v>28000</v>
      </c>
      <c r="O174" s="531" t="n">
        <v>22000</v>
      </c>
      <c r="P174" s="524" t="n">
        <v>6000</v>
      </c>
      <c r="Q174" s="168" t="n">
        <v>0.7857142857142857</v>
      </c>
      <c r="R174" s="531" t="n">
        <v>33800</v>
      </c>
      <c r="S174" s="532" t="n">
        <v>25800</v>
      </c>
      <c r="T174" s="59" t="inlineStr">
        <is>
          <t>계단식</t>
        </is>
      </c>
      <c r="U174" s="41" t="n">
        <v>3</v>
      </c>
      <c r="V174" s="41" t="n">
        <v>2</v>
      </c>
      <c r="W174" s="41" t="n">
        <v>308</v>
      </c>
      <c r="X174" s="225" t="n">
        <v>2020.06</v>
      </c>
      <c r="Y174" s="221" t="n">
        <v>0.05</v>
      </c>
      <c r="Z174" s="169" t="n">
        <v>31</v>
      </c>
      <c r="AA174" s="526" t="n">
        <v>23117</v>
      </c>
      <c r="AB174" s="526" t="n">
        <v>19000</v>
      </c>
      <c r="AC174" s="170" t="e">
        <v>#DIV/0!</v>
      </c>
      <c r="AD174" s="171" t="n">
        <v>0</v>
      </c>
      <c r="AE174" s="172" t="n"/>
      <c r="AF174" s="571" t="n"/>
      <c r="AG174" s="572" t="n">
        <v>0</v>
      </c>
      <c r="AH174" s="173" t="e">
        <v>#DIV/0!</v>
      </c>
      <c r="AI174" s="175" t="e">
        <v>#DIV/0!</v>
      </c>
      <c r="AJ174" s="238" t="n"/>
      <c r="AK174" s="16" t="n"/>
      <c r="AS174" s="19" t="inlineStr">
        <is>
          <t>선명한 앞마당을 만들어 줄 '찐' 수익률분석 [나알이]</t>
        </is>
      </c>
      <c r="AT174" s="18" t="n"/>
      <c r="AU174" s="18" t="n"/>
      <c r="AV174" s="18" t="n"/>
    </row>
    <row r="175" ht="15.5" customHeight="1" s="476">
      <c r="A175" s="48" t="inlineStr">
        <is>
          <t>가양동</t>
        </is>
      </c>
      <c r="B175" s="174" t="inlineStr">
        <is>
          <t>하</t>
        </is>
      </c>
      <c r="C175" s="166" t="inlineStr">
        <is>
          <t>하</t>
        </is>
      </c>
      <c r="D175" s="218" t="inlineStr">
        <is>
          <t>대주파크빌</t>
        </is>
      </c>
      <c r="E175" s="34" t="n">
        <v>33</v>
      </c>
      <c r="F175" s="34" t="n">
        <v>2.8</v>
      </c>
      <c r="G175" s="34" t="n">
        <v>1.9</v>
      </c>
      <c r="H175" s="54" t="n">
        <v>2006.01</v>
      </c>
      <c r="I175" s="54" t="n">
        <v>670</v>
      </c>
      <c r="J175" s="35" t="n">
        <v>20.99000000000001</v>
      </c>
      <c r="K175" s="41" t="inlineStr">
        <is>
          <t>108A, 108B</t>
        </is>
      </c>
      <c r="L175" s="41" t="n">
        <v>84</v>
      </c>
      <c r="M175" s="41" t="n">
        <v>33</v>
      </c>
      <c r="N175" s="530" t="n">
        <v>28000</v>
      </c>
      <c r="O175" s="531" t="n">
        <v>19000</v>
      </c>
      <c r="P175" s="524" t="n">
        <v>9000</v>
      </c>
      <c r="Q175" s="168" t="n">
        <v>0.6785714285714286</v>
      </c>
      <c r="R175" s="531" t="n">
        <v>37700</v>
      </c>
      <c r="S175" s="532" t="n">
        <v>30000</v>
      </c>
      <c r="T175" s="59" t="inlineStr">
        <is>
          <t>계단식</t>
        </is>
      </c>
      <c r="U175" s="41" t="n">
        <v>3</v>
      </c>
      <c r="V175" s="41" t="n">
        <v>2</v>
      </c>
      <c r="W175" s="41" t="n">
        <v>166</v>
      </c>
      <c r="X175" s="225" t="n">
        <v>2020.01</v>
      </c>
      <c r="Y175" s="221" t="n">
        <v>0.03</v>
      </c>
      <c r="Z175" s="169" t="n">
        <v>33</v>
      </c>
      <c r="AA175" s="526" t="n">
        <v>23000</v>
      </c>
      <c r="AB175" s="526" t="n">
        <v>19000</v>
      </c>
      <c r="AC175" s="170" t="e">
        <v>#DIV/0!</v>
      </c>
      <c r="AD175" s="171" t="n">
        <v>0</v>
      </c>
      <c r="AE175" s="172" t="n"/>
      <c r="AF175" s="571" t="n"/>
      <c r="AG175" s="572" t="n">
        <v>0</v>
      </c>
      <c r="AH175" s="173" t="e">
        <v>#DIV/0!</v>
      </c>
      <c r="AI175" s="175" t="e">
        <v>#DIV/0!</v>
      </c>
      <c r="AJ175" s="238" t="n"/>
      <c r="AK175" s="15" t="inlineStr">
        <is>
          <t>결론</t>
        </is>
      </c>
      <c r="AS175" s="231" t="inlineStr">
        <is>
          <t>https://weolbu.com/s/MhxRTz9ZpG</t>
        </is>
      </c>
    </row>
    <row r="176" ht="62" customHeight="1" s="476">
      <c r="A176" s="48" t="inlineStr">
        <is>
          <t>가양동</t>
        </is>
      </c>
      <c r="B176" s="177" t="inlineStr">
        <is>
          <t>하</t>
        </is>
      </c>
      <c r="C176" s="178" t="inlineStr">
        <is>
          <t>하</t>
        </is>
      </c>
      <c r="D176" s="218" t="inlineStr">
        <is>
          <t>대주파크빌</t>
        </is>
      </c>
      <c r="E176" s="34" t="n">
        <v>25</v>
      </c>
      <c r="F176" s="34" t="n">
        <v>2.3</v>
      </c>
      <c r="G176" s="34" t="n">
        <v>1.4</v>
      </c>
      <c r="H176" s="54" t="n">
        <v>2006.01</v>
      </c>
      <c r="I176" s="54" t="n">
        <v>670</v>
      </c>
      <c r="J176" s="35" t="n">
        <v>20.99000000000001</v>
      </c>
      <c r="K176" s="41" t="inlineStr">
        <is>
          <t>82B, 82A</t>
        </is>
      </c>
      <c r="L176" s="41" t="n">
        <v>63</v>
      </c>
      <c r="M176" s="41" t="n">
        <v>25</v>
      </c>
      <c r="N176" s="530" t="n">
        <v>23000</v>
      </c>
      <c r="O176" s="531" t="n">
        <v>14000</v>
      </c>
      <c r="P176" s="524" t="n">
        <v>9000</v>
      </c>
      <c r="Q176" s="168" t="n">
        <v>0.6086956521739131</v>
      </c>
      <c r="R176" s="531" t="n">
        <v>27500</v>
      </c>
      <c r="S176" s="532" t="n">
        <v>21500</v>
      </c>
      <c r="T176" s="59" t="inlineStr">
        <is>
          <t>계단식</t>
        </is>
      </c>
      <c r="U176" s="41" t="n">
        <v>3</v>
      </c>
      <c r="V176" s="41" t="n">
        <v>2</v>
      </c>
      <c r="W176" s="41" t="n">
        <v>196</v>
      </c>
      <c r="X176" s="162" t="n">
        <v>2020.03</v>
      </c>
      <c r="Y176" s="179" t="n">
        <v>0.11</v>
      </c>
      <c r="Z176" s="169" t="n">
        <v>25</v>
      </c>
      <c r="AA176" s="526" t="n">
        <v>19633</v>
      </c>
      <c r="AB176" s="526" t="n">
        <v>16000</v>
      </c>
      <c r="AC176" s="170" t="e">
        <v>#DIV/0!</v>
      </c>
      <c r="AD176" s="171" t="n">
        <v>0</v>
      </c>
      <c r="AE176" s="253" t="n"/>
      <c r="AF176" s="573" t="n"/>
      <c r="AG176" s="574" t="n">
        <v>0</v>
      </c>
      <c r="AH176" s="180" t="e">
        <v>#DIV/0!</v>
      </c>
      <c r="AI176" s="181" t="e">
        <v>#DIV/0!</v>
      </c>
      <c r="AJ176" s="238" t="n"/>
      <c r="AK176" s="16" t="n"/>
    </row>
    <row r="177" ht="31.5" customHeight="1" s="476" thickBot="1">
      <c r="A177" s="182" t="inlineStr">
        <is>
          <t>낭월동</t>
        </is>
      </c>
      <c r="B177" s="215" t="inlineStr">
        <is>
          <t>하</t>
        </is>
      </c>
      <c r="C177" s="212" t="inlineStr">
        <is>
          <t>중</t>
        </is>
      </c>
      <c r="D177" s="217" t="inlineStr">
        <is>
          <t>남대전e편한세상</t>
        </is>
      </c>
      <c r="E177" s="184" t="n">
        <v>34</v>
      </c>
      <c r="F177" s="184" t="n">
        <v>2.9</v>
      </c>
      <c r="G177" s="184" t="n">
        <v>2</v>
      </c>
      <c r="H177" s="201" t="n">
        <v>2011.09</v>
      </c>
      <c r="I177" s="201" t="n">
        <v>713</v>
      </c>
      <c r="J177" s="186" t="n">
        <v>15.91000000000008</v>
      </c>
      <c r="K177" s="201" t="inlineStr">
        <is>
          <t>111A1, 111B1, 112A2, 112B2</t>
        </is>
      </c>
      <c r="L177" s="201" t="n">
        <v>84</v>
      </c>
      <c r="M177" s="201" t="n">
        <v>34</v>
      </c>
      <c r="N177" s="533" t="n">
        <v>29000</v>
      </c>
      <c r="O177" s="533" t="n">
        <v>20000</v>
      </c>
      <c r="P177" s="512" t="n">
        <v>9000</v>
      </c>
      <c r="Q177" s="188" t="n">
        <v>0.6896551724137931</v>
      </c>
      <c r="R177" s="533" t="n">
        <v>36700</v>
      </c>
      <c r="S177" s="575" t="n">
        <v>27000</v>
      </c>
      <c r="T177" s="202" t="inlineStr">
        <is>
          <t>계단식</t>
        </is>
      </c>
      <c r="U177" s="201" t="n">
        <v>3</v>
      </c>
      <c r="V177" s="201" t="n">
        <v>2</v>
      </c>
      <c r="W177" s="201" t="n">
        <v>488</v>
      </c>
      <c r="X177" s="224" t="n">
        <v>2020.02</v>
      </c>
      <c r="Y177" s="220" t="n">
        <v>0.01</v>
      </c>
      <c r="Z177" s="190" t="n">
        <v>34</v>
      </c>
      <c r="AA177" s="514" t="n">
        <v>23472</v>
      </c>
      <c r="AB177" s="514" t="n">
        <v>19333</v>
      </c>
      <c r="AC177" s="191" t="e">
        <v>#DIV/0!</v>
      </c>
      <c r="AD177" s="192" t="n">
        <v>0</v>
      </c>
      <c r="AE177" s="193" t="n"/>
      <c r="AF177" s="576" t="n"/>
      <c r="AG177" s="516" t="n">
        <v>0</v>
      </c>
      <c r="AH177" s="194" t="e">
        <v>#DIV/0!</v>
      </c>
      <c r="AI177" s="200" t="e">
        <v>#DIV/0!</v>
      </c>
      <c r="AJ177" s="237" t="n"/>
    </row>
    <row r="178" ht="46.5" customHeight="1" s="476">
      <c r="A178" s="182" t="inlineStr">
        <is>
          <t>낭월동</t>
        </is>
      </c>
      <c r="B178" s="215" t="inlineStr">
        <is>
          <t>하</t>
        </is>
      </c>
      <c r="C178" s="183" t="inlineStr">
        <is>
          <t>중</t>
        </is>
      </c>
      <c r="D178" s="217" t="inlineStr">
        <is>
          <t>남대전e편한세상</t>
        </is>
      </c>
      <c r="E178" s="184" t="n">
        <v>39</v>
      </c>
      <c r="F178" s="184" t="n">
        <v>0</v>
      </c>
      <c r="G178" s="184" t="n">
        <v>0</v>
      </c>
      <c r="H178" s="187" t="n">
        <v>2011.09</v>
      </c>
      <c r="I178" s="187" t="n">
        <v>713</v>
      </c>
      <c r="J178" s="186" t="n">
        <v>15.91000000000008</v>
      </c>
      <c r="K178" s="187" t="n">
        <v>128</v>
      </c>
      <c r="L178" s="187" t="n">
        <v>101</v>
      </c>
      <c r="M178" s="187" t="n">
        <v>39</v>
      </c>
      <c r="N178" s="510" t="n">
        <v>0</v>
      </c>
      <c r="O178" s="511" t="n">
        <v>0</v>
      </c>
      <c r="P178" s="512" t="n">
        <v>0</v>
      </c>
      <c r="Q178" s="188" t="e">
        <v>#DIV/0!</v>
      </c>
      <c r="R178" s="511" t="n">
        <v>0</v>
      </c>
      <c r="S178" s="513" t="n">
        <v>0</v>
      </c>
      <c r="T178" s="189" t="inlineStr">
        <is>
          <t>계단식</t>
        </is>
      </c>
      <c r="U178" s="187" t="n">
        <v>3</v>
      </c>
      <c r="V178" s="187" t="n">
        <v>2</v>
      </c>
      <c r="W178" s="187" t="n">
        <v>140</v>
      </c>
      <c r="X178" s="224" t="n">
        <v>2020.04</v>
      </c>
      <c r="Y178" s="220" t="n">
        <v>0.08</v>
      </c>
      <c r="Z178" s="190" t="n">
        <v>39</v>
      </c>
      <c r="AA178" s="514" t="n">
        <v>27274</v>
      </c>
      <c r="AB178" s="514" t="n">
        <v>23000</v>
      </c>
      <c r="AC178" s="191" t="e">
        <v>#DIV/0!</v>
      </c>
      <c r="AD178" s="192" t="n">
        <v>0</v>
      </c>
      <c r="AE178" s="193" t="n"/>
      <c r="AF178" s="577" t="n"/>
      <c r="AG178" s="516" t="n">
        <v>0</v>
      </c>
      <c r="AH178" s="194" t="e">
        <v>#DIV/0!</v>
      </c>
      <c r="AI178" s="200" t="e">
        <v>#DIV/0!</v>
      </c>
      <c r="AJ178" s="237" t="n"/>
    </row>
    <row r="179" ht="15.5" customHeight="1" s="476">
      <c r="A179" s="182" t="inlineStr">
        <is>
          <t>낭월동</t>
        </is>
      </c>
      <c r="B179" s="215" t="inlineStr">
        <is>
          <t>하</t>
        </is>
      </c>
      <c r="C179" s="208" t="inlineStr">
        <is>
          <t>중</t>
        </is>
      </c>
      <c r="D179" s="217" t="inlineStr">
        <is>
          <t>남대전e편한세상</t>
        </is>
      </c>
      <c r="E179" s="184" t="n">
        <v>42</v>
      </c>
      <c r="F179" s="184" t="n">
        <v>0</v>
      </c>
      <c r="G179" s="184" t="n">
        <v>0</v>
      </c>
      <c r="H179" s="197" t="n">
        <v>2011.09</v>
      </c>
      <c r="I179" s="197" t="n">
        <v>713</v>
      </c>
      <c r="J179" s="186" t="n">
        <v>15.91000000000008</v>
      </c>
      <c r="K179" s="197" t="n">
        <v>139</v>
      </c>
      <c r="L179" s="197" t="n">
        <v>105</v>
      </c>
      <c r="M179" s="197" t="n">
        <v>42</v>
      </c>
      <c r="N179" s="517" t="n">
        <v>0</v>
      </c>
      <c r="O179" s="518" t="n">
        <v>0</v>
      </c>
      <c r="P179" s="512" t="n">
        <v>0</v>
      </c>
      <c r="Q179" s="188" t="e">
        <v>#DIV/0!</v>
      </c>
      <c r="R179" s="518" t="n">
        <v>0</v>
      </c>
      <c r="S179" s="519" t="n">
        <v>0</v>
      </c>
      <c r="T179" s="198" t="inlineStr">
        <is>
          <t>계단식</t>
        </is>
      </c>
      <c r="U179" s="197" t="n">
        <v>4</v>
      </c>
      <c r="V179" s="197" t="n">
        <v>2</v>
      </c>
      <c r="W179" s="197" t="n">
        <v>9</v>
      </c>
      <c r="X179" s="224" t="n"/>
      <c r="Y179" s="220" t="n"/>
      <c r="Z179" s="190" t="n">
        <v>42</v>
      </c>
      <c r="AA179" s="514" t="n"/>
      <c r="AB179" s="514" t="n"/>
      <c r="AC179" s="191" t="e">
        <v>#DIV/0!</v>
      </c>
      <c r="AD179" s="192" t="n">
        <v>0</v>
      </c>
      <c r="AE179" s="193" t="n"/>
      <c r="AF179" s="578" t="n"/>
      <c r="AG179" s="516" t="n">
        <v>0</v>
      </c>
      <c r="AH179" s="194" t="e">
        <v>#DIV/0!</v>
      </c>
      <c r="AI179" s="200" t="e">
        <v>#DIV/0!</v>
      </c>
      <c r="AJ179" s="237" t="n"/>
      <c r="AS179" s="458" t="n"/>
    </row>
    <row r="180" ht="16" customHeight="1" s="476" thickBot="1">
      <c r="A180" s="182" t="inlineStr">
        <is>
          <t>낭월동</t>
        </is>
      </c>
      <c r="B180" s="215" t="inlineStr">
        <is>
          <t>하</t>
        </is>
      </c>
      <c r="C180" s="208" t="inlineStr">
        <is>
          <t>중</t>
        </is>
      </c>
      <c r="D180" s="217" t="inlineStr">
        <is>
          <t>남대전e편한세상</t>
        </is>
      </c>
      <c r="E180" s="184" t="n">
        <v>46</v>
      </c>
      <c r="F180" s="184" t="n">
        <v>0</v>
      </c>
      <c r="G180" s="184" t="n">
        <v>0</v>
      </c>
      <c r="H180" s="201" t="n">
        <v>2011.09</v>
      </c>
      <c r="I180" s="201" t="n">
        <v>713</v>
      </c>
      <c r="J180" s="186" t="n">
        <v>15.91000000000008</v>
      </c>
      <c r="K180" s="201" t="n">
        <v>153</v>
      </c>
      <c r="L180" s="201" t="n">
        <v>122</v>
      </c>
      <c r="M180" s="201" t="n">
        <v>46</v>
      </c>
      <c r="N180" s="533" t="n">
        <v>0</v>
      </c>
      <c r="O180" s="534" t="n">
        <v>0</v>
      </c>
      <c r="P180" s="512" t="n">
        <v>0</v>
      </c>
      <c r="Q180" s="188" t="e">
        <v>#DIV/0!</v>
      </c>
      <c r="R180" s="534" t="n">
        <v>0</v>
      </c>
      <c r="S180" s="535" t="n">
        <v>0</v>
      </c>
      <c r="T180" s="202" t="inlineStr">
        <is>
          <t>계단식</t>
        </is>
      </c>
      <c r="U180" s="201" t="n">
        <v>4</v>
      </c>
      <c r="V180" s="201" t="n">
        <v>2</v>
      </c>
      <c r="W180" s="201" t="n">
        <v>76</v>
      </c>
      <c r="X180" s="224" t="n">
        <v>2020.02</v>
      </c>
      <c r="Y180" s="220" t="n">
        <v>0.05</v>
      </c>
      <c r="Z180" s="190" t="n">
        <v>46</v>
      </c>
      <c r="AA180" s="514" t="n">
        <v>29950</v>
      </c>
      <c r="AB180" s="514" t="n">
        <v>26000</v>
      </c>
      <c r="AC180" s="191" t="e">
        <v>#DIV/0!</v>
      </c>
      <c r="AD180" s="192" t="n">
        <v>0</v>
      </c>
      <c r="AE180" s="193" t="n"/>
      <c r="AF180" s="520" t="n"/>
      <c r="AG180" s="521" t="n">
        <v>0</v>
      </c>
      <c r="AH180" s="194" t="e">
        <v>#DIV/0!</v>
      </c>
      <c r="AI180" s="200" t="e">
        <v>#DIV/0!</v>
      </c>
      <c r="AJ180" s="237" t="n"/>
      <c r="AS180" s="458" t="n"/>
    </row>
    <row r="181" ht="31" customHeight="1" s="476">
      <c r="A181" s="48" t="inlineStr">
        <is>
          <t>가양동</t>
        </is>
      </c>
      <c r="B181" s="165" t="inlineStr">
        <is>
          <t>하</t>
        </is>
      </c>
      <c r="C181" s="163" t="inlineStr">
        <is>
          <t>하</t>
        </is>
      </c>
      <c r="D181" s="218" t="inlineStr">
        <is>
          <t>고운하이플러스</t>
        </is>
      </c>
      <c r="E181" s="34" t="n">
        <v>32</v>
      </c>
      <c r="F181" s="34" t="n">
        <v>3.8</v>
      </c>
      <c r="G181" s="34" t="n">
        <v>2.3</v>
      </c>
      <c r="H181" s="53" t="n">
        <v>2023.05</v>
      </c>
      <c r="I181" s="53" t="n">
        <v>430</v>
      </c>
      <c r="J181" s="35" t="n">
        <v>3.950000000000045</v>
      </c>
      <c r="K181" s="40" t="n">
        <v>107</v>
      </c>
      <c r="L181" s="40" t="n">
        <v>79</v>
      </c>
      <c r="M181" s="40" t="n">
        <v>32</v>
      </c>
      <c r="N181" s="527" t="n">
        <v>38000</v>
      </c>
      <c r="O181" s="528" t="n">
        <v>23000</v>
      </c>
      <c r="P181" s="524" t="n">
        <v>15000</v>
      </c>
      <c r="Q181" s="168" t="n">
        <v>0.6052631578947368</v>
      </c>
      <c r="R181" s="528" t="n">
        <v>40000</v>
      </c>
      <c r="S181" s="529" t="n">
        <v>35800</v>
      </c>
      <c r="T181" s="58" t="inlineStr">
        <is>
          <t>계단식</t>
        </is>
      </c>
      <c r="U181" s="40" t="n">
        <v>3</v>
      </c>
      <c r="V181" s="40" t="n">
        <v>2</v>
      </c>
      <c r="W181" s="40" t="n">
        <v>100</v>
      </c>
      <c r="X181" s="225" t="n"/>
      <c r="Y181" s="221" t="n"/>
      <c r="Z181" s="169" t="n">
        <v>32</v>
      </c>
      <c r="AA181" s="526" t="n"/>
      <c r="AB181" s="526" t="n"/>
      <c r="AC181" s="170" t="e">
        <v>#DIV/0!</v>
      </c>
      <c r="AD181" s="171" t="n">
        <v>0</v>
      </c>
      <c r="AE181" s="172" t="n"/>
      <c r="AF181" s="569" t="n"/>
      <c r="AG181" s="570" t="n">
        <v>0</v>
      </c>
      <c r="AH181" s="173" t="e">
        <v>#DIV/0!</v>
      </c>
      <c r="AI181" s="175" t="e">
        <v>#DIV/0!</v>
      </c>
      <c r="AJ181" s="237" t="n"/>
      <c r="AK181" s="16" t="n"/>
      <c r="AS181" s="231" t="inlineStr">
        <is>
          <t>2. 각 단지들 투자하기 좋았던 시기 기록 (전세가율 80% 이상인 시기, 투자기회를 얼마나 주었는가?)</t>
        </is>
      </c>
    </row>
    <row r="182" ht="15.5" customHeight="1" s="476">
      <c r="A182" s="48" t="inlineStr">
        <is>
          <t>가양동</t>
        </is>
      </c>
      <c r="B182" s="165" t="inlineStr">
        <is>
          <t>하</t>
        </is>
      </c>
      <c r="C182" s="166" t="inlineStr">
        <is>
          <t>하</t>
        </is>
      </c>
      <c r="D182" s="218" t="inlineStr">
        <is>
          <t>고운하이플러스</t>
        </is>
      </c>
      <c r="E182" s="34" t="n">
        <v>25</v>
      </c>
      <c r="F182" s="34" t="n">
        <v>2.95</v>
      </c>
      <c r="G182" s="34" t="n">
        <v>2.2</v>
      </c>
      <c r="H182" s="54" t="n">
        <v>2023.05</v>
      </c>
      <c r="I182" s="54" t="n">
        <v>430</v>
      </c>
      <c r="J182" s="35" t="n">
        <v>3.950000000000045</v>
      </c>
      <c r="K182" s="41" t="n">
        <v>81</v>
      </c>
      <c r="L182" s="41" t="n">
        <v>59</v>
      </c>
      <c r="M182" s="41" t="n">
        <v>25</v>
      </c>
      <c r="N182" s="530" t="n">
        <v>29500</v>
      </c>
      <c r="O182" s="531" t="n">
        <v>22000</v>
      </c>
      <c r="P182" s="524" t="n">
        <v>7500</v>
      </c>
      <c r="Q182" s="168" t="n">
        <v>0.7457627118644068</v>
      </c>
      <c r="R182" s="531" t="n">
        <v>32000</v>
      </c>
      <c r="S182" s="532" t="n">
        <v>25000</v>
      </c>
      <c r="T182" s="59" t="inlineStr">
        <is>
          <t>계단식</t>
        </is>
      </c>
      <c r="U182" s="41" t="n">
        <v>3</v>
      </c>
      <c r="V182" s="41" t="n">
        <v>2</v>
      </c>
      <c r="W182" s="41" t="n">
        <v>281</v>
      </c>
      <c r="X182" s="225" t="n"/>
      <c r="Y182" s="221" t="n"/>
      <c r="Z182" s="169" t="n">
        <v>25</v>
      </c>
      <c r="AA182" s="526" t="n"/>
      <c r="AB182" s="526" t="n"/>
      <c r="AC182" s="170" t="e">
        <v>#DIV/0!</v>
      </c>
      <c r="AD182" s="171" t="n">
        <v>0</v>
      </c>
      <c r="AE182" s="172" t="n"/>
      <c r="AF182" s="569" t="n"/>
      <c r="AG182" s="570" t="n">
        <v>0</v>
      </c>
      <c r="AH182" s="173" t="e">
        <v>#DIV/0!</v>
      </c>
      <c r="AI182" s="175" t="e">
        <v>#DIV/0!</v>
      </c>
      <c r="AJ182" s="237" t="n"/>
      <c r="AK182" s="16" t="n"/>
      <c r="AS182" s="231" t="inlineStr">
        <is>
          <t>1. 생활권 별 / 선호도 별 단지 추출 (상중하)</t>
        </is>
      </c>
      <c r="AT182" s="458" t="n"/>
      <c r="AU182" s="458" t="n"/>
      <c r="AV182" s="458" t="n"/>
    </row>
    <row r="183" ht="15.5" customHeight="1" s="476">
      <c r="A183" s="48" t="inlineStr">
        <is>
          <t>가양동</t>
        </is>
      </c>
      <c r="B183" s="165" t="inlineStr">
        <is>
          <t>하</t>
        </is>
      </c>
      <c r="C183" s="166" t="inlineStr">
        <is>
          <t>하</t>
        </is>
      </c>
      <c r="D183" s="218" t="inlineStr">
        <is>
          <t>고운하이플러스</t>
        </is>
      </c>
      <c r="E183" s="34" t="n">
        <v>22</v>
      </c>
      <c r="F183" s="34" t="n">
        <v>2.9</v>
      </c>
      <c r="G183" s="34" t="n">
        <v>1.8</v>
      </c>
      <c r="H183" s="54" t="n">
        <v>2023.05</v>
      </c>
      <c r="I183" s="54" t="n">
        <v>430</v>
      </c>
      <c r="J183" s="35" t="n">
        <v>3.950000000000045</v>
      </c>
      <c r="K183" s="41" t="n">
        <v>73</v>
      </c>
      <c r="L183" s="41" t="n">
        <v>53</v>
      </c>
      <c r="M183" s="41" t="n">
        <v>22</v>
      </c>
      <c r="N183" s="530" t="n">
        <v>29000</v>
      </c>
      <c r="O183" s="531" t="n">
        <v>18000</v>
      </c>
      <c r="P183" s="524" t="n">
        <v>11000</v>
      </c>
      <c r="Q183" s="168" t="n">
        <v>0.6206896551724138</v>
      </c>
      <c r="R183" s="531" t="n">
        <v>27000</v>
      </c>
      <c r="S183" s="532" t="n">
        <v>27000</v>
      </c>
      <c r="T183" s="59" t="inlineStr">
        <is>
          <t>계단식</t>
        </is>
      </c>
      <c r="U183" s="41" t="n">
        <v>2</v>
      </c>
      <c r="V183" s="41" t="n">
        <v>2</v>
      </c>
      <c r="W183" s="41" t="n">
        <v>42</v>
      </c>
      <c r="X183" s="225" t="n"/>
      <c r="Y183" s="221" t="n"/>
      <c r="Z183" s="169" t="n">
        <v>22</v>
      </c>
      <c r="AA183" s="526" t="n"/>
      <c r="AB183" s="526" t="n"/>
      <c r="AC183" s="170" t="e">
        <v>#DIV/0!</v>
      </c>
      <c r="AD183" s="171" t="n">
        <v>0</v>
      </c>
      <c r="AE183" s="172" t="n"/>
      <c r="AF183" s="569" t="n"/>
      <c r="AG183" s="570" t="n">
        <v>0</v>
      </c>
      <c r="AH183" s="173" t="e">
        <v>#DIV/0!</v>
      </c>
      <c r="AI183" s="175" t="e">
        <v>#DIV/0!</v>
      </c>
      <c r="AJ183" s="237" t="n"/>
      <c r="AK183" s="15" t="inlineStr">
        <is>
          <t>나만의 인싸이트</t>
        </is>
      </c>
      <c r="AS183" s="231" t="inlineStr">
        <is>
          <t xml:space="preserve">감사합니다 튜터님 ㅎㅎㅎ 정리하자면 </t>
        </is>
      </c>
    </row>
    <row r="184" ht="16" customHeight="1" s="476" thickBot="1">
      <c r="A184" s="48" t="inlineStr">
        <is>
          <t>가양동</t>
        </is>
      </c>
      <c r="B184" s="165" t="inlineStr">
        <is>
          <t>하</t>
        </is>
      </c>
      <c r="C184" s="166" t="inlineStr">
        <is>
          <t>하</t>
        </is>
      </c>
      <c r="D184" s="218" t="inlineStr">
        <is>
          <t>고운하이플러스</t>
        </is>
      </c>
      <c r="E184" s="34" t="n">
        <v>35</v>
      </c>
      <c r="F184" s="34" t="n">
        <v>0</v>
      </c>
      <c r="G184" s="34" t="n">
        <v>0</v>
      </c>
      <c r="H184" s="67" t="n">
        <v>2023.05</v>
      </c>
      <c r="I184" s="67" t="n">
        <v>430</v>
      </c>
      <c r="J184" s="35" t="n">
        <v>3.950000000000045</v>
      </c>
      <c r="K184" s="42" t="inlineStr">
        <is>
          <t>117C, 118B, 119A</t>
        </is>
      </c>
      <c r="L184" s="42" t="n">
        <v>84</v>
      </c>
      <c r="M184" s="42" t="n">
        <v>35</v>
      </c>
      <c r="N184" s="522" t="n">
        <v>0</v>
      </c>
      <c r="O184" s="523" t="n">
        <v>0</v>
      </c>
      <c r="P184" s="524" t="n">
        <v>0</v>
      </c>
      <c r="Q184" s="168" t="e">
        <v>#DIV/0!</v>
      </c>
      <c r="R184" s="523" t="n">
        <v>0</v>
      </c>
      <c r="S184" s="525" t="n">
        <v>0</v>
      </c>
      <c r="T184" s="60" t="inlineStr">
        <is>
          <t>계단식</t>
        </is>
      </c>
      <c r="U184" s="42" t="n">
        <v>3</v>
      </c>
      <c r="V184" s="42" t="n">
        <v>2</v>
      </c>
      <c r="W184" s="42" t="n">
        <v>5</v>
      </c>
      <c r="X184" s="225" t="n"/>
      <c r="Y184" s="221" t="n"/>
      <c r="Z184" s="169" t="n">
        <v>35</v>
      </c>
      <c r="AA184" s="526" t="n"/>
      <c r="AB184" s="526" t="n"/>
      <c r="AC184" s="170" t="e">
        <v>#DIV/0!</v>
      </c>
      <c r="AD184" s="171" t="n">
        <v>0</v>
      </c>
      <c r="AE184" s="172" t="n"/>
      <c r="AF184" s="569" t="n"/>
      <c r="AG184" s="570" t="n">
        <v>0</v>
      </c>
      <c r="AH184" s="173" t="e">
        <v>#DIV/0!</v>
      </c>
      <c r="AI184" s="175" t="e">
        <v>#DIV/0!</v>
      </c>
      <c r="AJ184" s="237" t="n"/>
      <c r="AK184" s="16" t="n"/>
      <c r="AS184" s="231" t="inlineStr">
        <is>
          <t>3. 그 단지들 전고점 시기 기록</t>
        </is>
      </c>
      <c r="AT184" s="458" t="n"/>
      <c r="AU184" s="458" t="n"/>
      <c r="AV184" s="458" t="n"/>
    </row>
    <row r="185" ht="46.5" customHeight="1" s="476">
      <c r="A185" s="48" t="inlineStr">
        <is>
          <t>가양동</t>
        </is>
      </c>
      <c r="B185" s="163" t="inlineStr">
        <is>
          <t>하</t>
        </is>
      </c>
      <c r="C185" s="163" t="inlineStr">
        <is>
          <t>하</t>
        </is>
      </c>
      <c r="D185" s="218" t="inlineStr">
        <is>
          <t>고운하이플러스</t>
        </is>
      </c>
      <c r="E185" s="34" t="n">
        <v>48</v>
      </c>
      <c r="F185" s="34" t="n">
        <v>0</v>
      </c>
      <c r="G185" s="34" t="n">
        <v>0</v>
      </c>
      <c r="H185" s="53" t="n">
        <v>2023.05</v>
      </c>
      <c r="I185" s="53" t="n">
        <v>430</v>
      </c>
      <c r="J185" s="35" t="n">
        <v>3.950000000000045</v>
      </c>
      <c r="K185" s="40" t="n">
        <v>160</v>
      </c>
      <c r="L185" s="40" t="n">
        <v>114</v>
      </c>
      <c r="M185" s="40" t="n">
        <v>48</v>
      </c>
      <c r="N185" s="527" t="n">
        <v>0</v>
      </c>
      <c r="O185" s="528" t="n">
        <v>0</v>
      </c>
      <c r="P185" s="524" t="n">
        <v>0</v>
      </c>
      <c r="Q185" s="168" t="e">
        <v>#DIV/0!</v>
      </c>
      <c r="R185" s="528" t="n">
        <v>0</v>
      </c>
      <c r="S185" s="529" t="n">
        <v>0</v>
      </c>
      <c r="T185" s="58" t="inlineStr">
        <is>
          <t>계단식</t>
        </is>
      </c>
      <c r="U185" s="40" t="n">
        <v>3</v>
      </c>
      <c r="V185" s="40" t="n">
        <v>2</v>
      </c>
      <c r="W185" s="40" t="n">
        <v>2</v>
      </c>
      <c r="X185" s="225" t="n"/>
      <c r="Y185" s="221" t="n"/>
      <c r="Z185" s="169" t="n">
        <v>48</v>
      </c>
      <c r="AA185" s="526" t="n"/>
      <c r="AB185" s="526" t="n"/>
      <c r="AC185" s="170" t="e">
        <v>#DIV/0!</v>
      </c>
      <c r="AD185" s="171" t="n">
        <v>0</v>
      </c>
      <c r="AE185" s="172" t="n"/>
      <c r="AF185" s="569" t="n"/>
      <c r="AG185" s="570" t="n">
        <v>0</v>
      </c>
      <c r="AH185" s="173" t="e">
        <v>#DIV/0!</v>
      </c>
      <c r="AI185" s="175" t="e">
        <v>#DIV/0!</v>
      </c>
      <c r="AJ185" s="237" t="n"/>
      <c r="AK185" s="16" t="n"/>
      <c r="AS185" s="231" t="inlineStr">
        <is>
          <t>4. [2번 시기]에 투자했을 때 [3번 시기] 기준 수익률 분석</t>
        </is>
      </c>
    </row>
    <row r="186" ht="15.5" customHeight="1" s="476">
      <c r="A186" s="182" t="inlineStr">
        <is>
          <t>용운동</t>
        </is>
      </c>
      <c r="B186" s="215" t="inlineStr">
        <is>
          <t>하</t>
        </is>
      </c>
      <c r="C186" s="208" t="inlineStr">
        <is>
          <t>상</t>
        </is>
      </c>
      <c r="D186" s="217" t="inlineStr">
        <is>
          <t>e편한세상대전에코포레</t>
        </is>
      </c>
      <c r="E186" s="184" t="n">
        <v>34</v>
      </c>
      <c r="F186" s="184" t="n">
        <v>4.1</v>
      </c>
      <c r="G186" s="184" t="n">
        <v>2.8</v>
      </c>
      <c r="H186" s="197" t="n">
        <v>2020.11</v>
      </c>
      <c r="I186" s="197" t="n">
        <v>2267</v>
      </c>
      <c r="J186" s="186" t="n">
        <v>6.8900000000001</v>
      </c>
      <c r="K186" s="197" t="n">
        <v>112</v>
      </c>
      <c r="L186" s="197" t="n">
        <v>84</v>
      </c>
      <c r="M186" s="197" t="n">
        <v>34</v>
      </c>
      <c r="N186" s="517" t="n">
        <v>42500</v>
      </c>
      <c r="O186" s="518" t="n">
        <v>28000</v>
      </c>
      <c r="P186" s="512" t="n">
        <v>13000</v>
      </c>
      <c r="Q186" s="188" t="n">
        <v>0.6829268292682927</v>
      </c>
      <c r="R186" s="518" t="n">
        <v>59000</v>
      </c>
      <c r="S186" s="519" t="n">
        <v>41000</v>
      </c>
      <c r="T186" s="198" t="inlineStr">
        <is>
          <t>계단식</t>
        </is>
      </c>
      <c r="U186" s="197" t="n">
        <v>3</v>
      </c>
      <c r="V186" s="197" t="n">
        <v>2</v>
      </c>
      <c r="W186" s="197" t="n">
        <v>448</v>
      </c>
      <c r="X186" s="220" t="n"/>
      <c r="Y186" s="220" t="n"/>
      <c r="Z186" s="190" t="n">
        <v>34</v>
      </c>
      <c r="AA186" s="514" t="n"/>
      <c r="AB186" s="514" t="n"/>
      <c r="AC186" s="191" t="e">
        <v>#DIV/0!</v>
      </c>
      <c r="AD186" s="192" t="n">
        <v>0</v>
      </c>
      <c r="AE186" s="193" t="n"/>
      <c r="AF186" s="230" t="n"/>
      <c r="AG186" s="232" t="n"/>
      <c r="AH186" s="199" t="n"/>
      <c r="AI186" s="200" t="n"/>
      <c r="AJ186" s="237" t="n"/>
    </row>
    <row r="187" ht="31" customHeight="1" s="476">
      <c r="A187" s="182" t="inlineStr">
        <is>
          <t>용운동</t>
        </is>
      </c>
      <c r="B187" s="215" t="inlineStr">
        <is>
          <t>하</t>
        </is>
      </c>
      <c r="C187" s="208" t="inlineStr">
        <is>
          <t>상</t>
        </is>
      </c>
      <c r="D187" s="217" t="inlineStr">
        <is>
          <t>e편한세상대전에코포레</t>
        </is>
      </c>
      <c r="E187" s="184" t="n">
        <v>31</v>
      </c>
      <c r="F187" s="184" t="n">
        <v>3.75</v>
      </c>
      <c r="G187" s="184" t="n">
        <v>3</v>
      </c>
      <c r="H187" s="197" t="n">
        <v>2020.11</v>
      </c>
      <c r="I187" s="197" t="n">
        <v>2267</v>
      </c>
      <c r="J187" s="186" t="n">
        <v>6.8900000000001</v>
      </c>
      <c r="K187" s="197" t="n">
        <v>101</v>
      </c>
      <c r="L187" s="197" t="n">
        <v>75</v>
      </c>
      <c r="M187" s="197" t="n">
        <v>31</v>
      </c>
      <c r="N187" s="517" t="n">
        <v>37500</v>
      </c>
      <c r="O187" s="518" t="n">
        <v>30000</v>
      </c>
      <c r="P187" s="512" t="n">
        <v>7500</v>
      </c>
      <c r="Q187" s="188" t="n">
        <v>0.8</v>
      </c>
      <c r="R187" s="518" t="n">
        <v>53000</v>
      </c>
      <c r="S187" s="519" t="n">
        <v>34000</v>
      </c>
      <c r="T187" s="198" t="inlineStr">
        <is>
          <t>계단식</t>
        </is>
      </c>
      <c r="U187" s="197" t="n">
        <v>3</v>
      </c>
      <c r="V187" s="197" t="n">
        <v>2</v>
      </c>
      <c r="W187" s="197" t="n">
        <v>363</v>
      </c>
      <c r="X187" s="220" t="n"/>
      <c r="Y187" s="220" t="n"/>
      <c r="Z187" s="190" t="n">
        <v>31</v>
      </c>
      <c r="AA187" s="514" t="n"/>
      <c r="AB187" s="514" t="n"/>
      <c r="AC187" s="191" t="e">
        <v>#DIV/0!</v>
      </c>
      <c r="AD187" s="192" t="n">
        <v>0</v>
      </c>
      <c r="AE187" s="193" t="n"/>
      <c r="AF187" s="230" t="n"/>
      <c r="AG187" s="232" t="n"/>
      <c r="AH187" s="234" t="n"/>
      <c r="AI187" s="235" t="n"/>
      <c r="AJ187" s="237" t="n"/>
    </row>
    <row r="188" ht="31" customHeight="1" s="476">
      <c r="A188" s="182" t="inlineStr">
        <is>
          <t>용운동</t>
        </is>
      </c>
      <c r="B188" s="215" t="inlineStr">
        <is>
          <t>하</t>
        </is>
      </c>
      <c r="C188" s="208" t="inlineStr">
        <is>
          <t>상</t>
        </is>
      </c>
      <c r="D188" s="217" t="inlineStr">
        <is>
          <t>e편한세상대전에코포레</t>
        </is>
      </c>
      <c r="E188" s="184" t="n">
        <v>30</v>
      </c>
      <c r="F188" s="184" t="n">
        <v>3.4</v>
      </c>
      <c r="G188" s="184" t="n">
        <v>2.8</v>
      </c>
      <c r="H188" s="197" t="n">
        <v>2020.11</v>
      </c>
      <c r="I188" s="197" t="n">
        <v>2267</v>
      </c>
      <c r="J188" s="186" t="n">
        <v>6.8900000000001</v>
      </c>
      <c r="K188" s="197" t="n">
        <v>98</v>
      </c>
      <c r="L188" s="197" t="n">
        <v>72</v>
      </c>
      <c r="M188" s="197" t="n">
        <v>30</v>
      </c>
      <c r="N188" s="517" t="n">
        <v>34000</v>
      </c>
      <c r="O188" s="518" t="n">
        <v>28000</v>
      </c>
      <c r="P188" s="512" t="n">
        <v>6000</v>
      </c>
      <c r="Q188" s="188" t="n">
        <v>0.8235294117647058</v>
      </c>
      <c r="R188" s="518" t="n">
        <v>51000</v>
      </c>
      <c r="S188" s="519" t="n">
        <v>35000</v>
      </c>
      <c r="T188" s="198" t="inlineStr">
        <is>
          <t>계단식</t>
        </is>
      </c>
      <c r="U188" s="197" t="n">
        <v>3</v>
      </c>
      <c r="V188" s="197" t="n">
        <v>2</v>
      </c>
      <c r="W188" s="197" t="n">
        <v>477</v>
      </c>
      <c r="X188" s="220" t="n"/>
      <c r="Y188" s="220" t="n"/>
      <c r="Z188" s="190" t="n">
        <v>30</v>
      </c>
      <c r="AA188" s="514" t="n"/>
      <c r="AB188" s="514" t="n"/>
      <c r="AC188" s="191" t="e">
        <v>#DIV/0!</v>
      </c>
      <c r="AD188" s="192" t="n">
        <v>0</v>
      </c>
      <c r="AE188" s="193" t="n"/>
      <c r="AF188" s="230" t="n"/>
      <c r="AG188" s="232" t="n"/>
      <c r="AH188" s="234" t="n"/>
      <c r="AI188" s="235" t="n"/>
      <c r="AJ188" s="237" t="n"/>
    </row>
    <row r="189" ht="15.5" customHeight="1" s="476">
      <c r="A189" s="182" t="inlineStr">
        <is>
          <t>용운동</t>
        </is>
      </c>
      <c r="B189" s="215" t="inlineStr">
        <is>
          <t>하</t>
        </is>
      </c>
      <c r="C189" s="208" t="inlineStr">
        <is>
          <t>상</t>
        </is>
      </c>
      <c r="D189" s="217" t="inlineStr">
        <is>
          <t>e편한세상대전에코포레</t>
        </is>
      </c>
      <c r="E189" s="184" t="n">
        <v>25</v>
      </c>
      <c r="F189" s="184" t="n">
        <v>2.9</v>
      </c>
      <c r="G189" s="184" t="n">
        <v>2.5</v>
      </c>
      <c r="H189" s="197" t="n">
        <v>2020.11</v>
      </c>
      <c r="I189" s="197" t="n">
        <v>2267</v>
      </c>
      <c r="J189" s="186" t="n">
        <v>6.8900000000001</v>
      </c>
      <c r="K189" s="197" t="n">
        <v>83</v>
      </c>
      <c r="L189" s="197" t="n">
        <v>59</v>
      </c>
      <c r="M189" s="197" t="n">
        <v>25</v>
      </c>
      <c r="N189" s="517" t="n">
        <v>29000</v>
      </c>
      <c r="O189" s="518" t="n">
        <v>25000</v>
      </c>
      <c r="P189" s="512" t="n">
        <v>4000</v>
      </c>
      <c r="Q189" s="188" t="n">
        <v>0.8620689655172413</v>
      </c>
      <c r="R189" s="518" t="n">
        <v>44000</v>
      </c>
      <c r="S189" s="519" t="n">
        <v>29500</v>
      </c>
      <c r="T189" s="198" t="inlineStr">
        <is>
          <t>계단식</t>
        </is>
      </c>
      <c r="U189" s="197" t="n">
        <v>3</v>
      </c>
      <c r="V189" s="197" t="n">
        <v>2</v>
      </c>
      <c r="W189" s="197" t="n">
        <v>879</v>
      </c>
      <c r="X189" s="220" t="n"/>
      <c r="Y189" s="220" t="n"/>
      <c r="Z189" s="190" t="n">
        <v>25</v>
      </c>
      <c r="AA189" s="514" t="n"/>
      <c r="AB189" s="514" t="n"/>
      <c r="AC189" s="191" t="e">
        <v>#DIV/0!</v>
      </c>
      <c r="AD189" s="192" t="n">
        <v>0</v>
      </c>
      <c r="AE189" s="193" t="n"/>
      <c r="AF189" s="230" t="n"/>
      <c r="AG189" s="232" t="n"/>
      <c r="AH189" s="234" t="n"/>
      <c r="AI189" s="235" t="n"/>
      <c r="AJ189" s="237" t="n"/>
    </row>
    <row r="190" ht="16" customHeight="1" s="476" thickBot="1">
      <c r="A190" s="182" t="inlineStr">
        <is>
          <t>용운동</t>
        </is>
      </c>
      <c r="B190" s="215" t="inlineStr">
        <is>
          <t>하</t>
        </is>
      </c>
      <c r="C190" s="208" t="inlineStr">
        <is>
          <t>상</t>
        </is>
      </c>
      <c r="D190" s="217" t="inlineStr">
        <is>
          <t>e편한세상대전에코포레</t>
        </is>
      </c>
      <c r="E190" s="184" t="n">
        <v>19</v>
      </c>
      <c r="F190" s="184" t="n">
        <v>2.35</v>
      </c>
      <c r="G190" s="184" t="n">
        <v>2</v>
      </c>
      <c r="H190" s="201" t="n">
        <v>2020.11</v>
      </c>
      <c r="I190" s="201" t="n">
        <v>2267</v>
      </c>
      <c r="J190" s="186" t="n">
        <v>6.8900000000001</v>
      </c>
      <c r="K190" s="201" t="n">
        <v>64</v>
      </c>
      <c r="L190" s="201" t="n">
        <v>43</v>
      </c>
      <c r="M190" s="201" t="n">
        <v>19</v>
      </c>
      <c r="N190" s="533" t="n">
        <v>23500</v>
      </c>
      <c r="O190" s="534" t="n">
        <v>20000</v>
      </c>
      <c r="P190" s="512" t="n">
        <v>3500</v>
      </c>
      <c r="Q190" s="188" t="n">
        <v>0.851063829787234</v>
      </c>
      <c r="R190" s="534" t="n">
        <v>30000</v>
      </c>
      <c r="S190" s="535" t="n">
        <v>23000</v>
      </c>
      <c r="T190" s="202" t="inlineStr">
        <is>
          <t>계단식</t>
        </is>
      </c>
      <c r="U190" s="201" t="n">
        <v>2</v>
      </c>
      <c r="V190" s="201" t="n">
        <v>1</v>
      </c>
      <c r="W190" s="201" t="n">
        <v>100</v>
      </c>
      <c r="X190" s="220" t="n"/>
      <c r="Y190" s="220" t="n"/>
      <c r="Z190" s="190" t="n">
        <v>19</v>
      </c>
      <c r="AA190" s="514" t="n"/>
      <c r="AB190" s="514" t="n"/>
      <c r="AC190" s="191" t="e">
        <v>#DIV/0!</v>
      </c>
      <c r="AD190" s="192" t="n">
        <v>0</v>
      </c>
      <c r="AE190" s="193" t="n"/>
      <c r="AF190" s="230" t="n"/>
      <c r="AG190" s="232" t="n"/>
      <c r="AH190" s="235" t="n"/>
      <c r="AI190" s="235" t="n"/>
      <c r="AJ190" s="237" t="n"/>
      <c r="AS190" s="458" t="n"/>
    </row>
  </sheetData>
  <autoFilter ref="A4:AV4">
    <sortState ref="A5:AV190">
      <sortCondition descending="1" ref="D4"/>
    </sortState>
  </autoFilter>
  <mergeCells count="3">
    <mergeCell ref="AE3:AI3"/>
    <mergeCell ref="B3:C3"/>
    <mergeCell ref="D3:AD3"/>
  </mergeCells>
  <conditionalFormatting sqref="B6:C9 B11:C12 B14:C15 B17:C19 B22:C23">
    <cfRule type="cellIs" priority="179" operator="equal" dxfId="1">
      <formula>"중"</formula>
    </cfRule>
    <cfRule type="cellIs" priority="180" operator="equal" dxfId="0">
      <formula>"상"</formula>
    </cfRule>
  </conditionalFormatting>
  <conditionalFormatting sqref="AI1:AI1048576">
    <cfRule type="dataBar" priority="181">
      <dataBar>
        <cfvo type="min"/>
        <cfvo type="max"/>
        <color rgb="FF63C384"/>
      </dataBar>
    </cfRule>
  </conditionalFormatting>
  <conditionalFormatting sqref="B1">
    <cfRule type="cellIs" priority="177" operator="equal" dxfId="1">
      <formula>"중"</formula>
    </cfRule>
    <cfRule type="cellIs" priority="178" operator="equal" dxfId="0">
      <formula>"상"</formula>
    </cfRule>
  </conditionalFormatting>
  <conditionalFormatting sqref="C1">
    <cfRule type="cellIs" priority="175" operator="equal" dxfId="1">
      <formula>"중"</formula>
    </cfRule>
    <cfRule type="cellIs" priority="176" operator="equal" dxfId="0">
      <formula>"상"</formula>
    </cfRule>
  </conditionalFormatting>
  <conditionalFormatting sqref="B2">
    <cfRule type="cellIs" priority="173" operator="equal" dxfId="1">
      <formula>"중"</formula>
    </cfRule>
    <cfRule type="cellIs" priority="174" operator="equal" dxfId="0">
      <formula>"상"</formula>
    </cfRule>
  </conditionalFormatting>
  <conditionalFormatting sqref="B27:C29 B31:C33 B35:C35 B37:C38 B40:C41 B43:C43">
    <cfRule type="cellIs" priority="171" operator="equal" dxfId="1">
      <formula>"중"</formula>
    </cfRule>
    <cfRule type="cellIs" priority="172" operator="equal" dxfId="0">
      <formula>"상"</formula>
    </cfRule>
  </conditionalFormatting>
  <conditionalFormatting sqref="B5">
    <cfRule type="cellIs" priority="169" operator="equal" dxfId="1">
      <formula>"중"</formula>
    </cfRule>
    <cfRule type="cellIs" priority="170" operator="equal" dxfId="0">
      <formula>"상"</formula>
    </cfRule>
  </conditionalFormatting>
  <conditionalFormatting sqref="C5">
    <cfRule type="cellIs" priority="167" operator="equal" dxfId="1">
      <formula>"중"</formula>
    </cfRule>
    <cfRule type="cellIs" priority="168" operator="equal" dxfId="0">
      <formula>"상"</formula>
    </cfRule>
  </conditionalFormatting>
  <conditionalFormatting sqref="B10">
    <cfRule type="cellIs" priority="165" operator="equal" dxfId="1">
      <formula>"중"</formula>
    </cfRule>
    <cfRule type="cellIs" priority="166" operator="equal" dxfId="0">
      <formula>"상"</formula>
    </cfRule>
  </conditionalFormatting>
  <conditionalFormatting sqref="C10">
    <cfRule type="cellIs" priority="163" operator="equal" dxfId="1">
      <formula>"중"</formula>
    </cfRule>
    <cfRule type="cellIs" priority="164" operator="equal" dxfId="0">
      <formula>"상"</formula>
    </cfRule>
  </conditionalFormatting>
  <conditionalFormatting sqref="B13">
    <cfRule type="cellIs" priority="161" operator="equal" dxfId="1">
      <formula>"중"</formula>
    </cfRule>
    <cfRule type="cellIs" priority="162" operator="equal" dxfId="0">
      <formula>"상"</formula>
    </cfRule>
  </conditionalFormatting>
  <conditionalFormatting sqref="C13">
    <cfRule type="cellIs" priority="159" operator="equal" dxfId="1">
      <formula>"중"</formula>
    </cfRule>
    <cfRule type="cellIs" priority="160" operator="equal" dxfId="0">
      <formula>"상"</formula>
    </cfRule>
  </conditionalFormatting>
  <conditionalFormatting sqref="B16">
    <cfRule type="cellIs" priority="157" operator="equal" dxfId="1">
      <formula>"중"</formula>
    </cfRule>
    <cfRule type="cellIs" priority="158" operator="equal" dxfId="0">
      <formula>"상"</formula>
    </cfRule>
  </conditionalFormatting>
  <conditionalFormatting sqref="C16">
    <cfRule type="cellIs" priority="155" operator="equal" dxfId="1">
      <formula>"중"</formula>
    </cfRule>
    <cfRule type="cellIs" priority="156" operator="equal" dxfId="0">
      <formula>"상"</formula>
    </cfRule>
  </conditionalFormatting>
  <conditionalFormatting sqref="B36">
    <cfRule type="cellIs" priority="153" operator="equal" dxfId="1">
      <formula>"중"</formula>
    </cfRule>
    <cfRule type="cellIs" priority="154" operator="equal" dxfId="0">
      <formula>"상"</formula>
    </cfRule>
  </conditionalFormatting>
  <conditionalFormatting sqref="B39">
    <cfRule type="cellIs" priority="151" operator="equal" dxfId="1">
      <formula>"중"</formula>
    </cfRule>
    <cfRule type="cellIs" priority="152" operator="equal" dxfId="0">
      <formula>"상"</formula>
    </cfRule>
  </conditionalFormatting>
  <conditionalFormatting sqref="B42">
    <cfRule type="cellIs" priority="149" operator="equal" dxfId="1">
      <formula>"중"</formula>
    </cfRule>
    <cfRule type="cellIs" priority="150" operator="equal" dxfId="0">
      <formula>"상"</formula>
    </cfRule>
  </conditionalFormatting>
  <conditionalFormatting sqref="B75">
    <cfRule type="cellIs" priority="147" operator="equal" dxfId="1">
      <formula>"중"</formula>
    </cfRule>
    <cfRule type="cellIs" priority="148" operator="equal" dxfId="0">
      <formula>"상"</formula>
    </cfRule>
  </conditionalFormatting>
  <conditionalFormatting sqref="B83">
    <cfRule type="cellIs" priority="145" operator="equal" dxfId="1">
      <formula>"중"</formula>
    </cfRule>
    <cfRule type="cellIs" priority="146" operator="equal" dxfId="0">
      <formula>"상"</formula>
    </cfRule>
  </conditionalFormatting>
  <conditionalFormatting sqref="C36">
    <cfRule type="cellIs" priority="143" operator="equal" dxfId="1">
      <formula>"중"</formula>
    </cfRule>
    <cfRule type="cellIs" priority="144" operator="equal" dxfId="0">
      <formula>"상"</formula>
    </cfRule>
  </conditionalFormatting>
  <conditionalFormatting sqref="C42">
    <cfRule type="cellIs" priority="141" operator="equal" dxfId="1">
      <formula>"중"</formula>
    </cfRule>
    <cfRule type="cellIs" priority="142" operator="equal" dxfId="0">
      <formula>"상"</formula>
    </cfRule>
  </conditionalFormatting>
  <conditionalFormatting sqref="C39">
    <cfRule type="cellIs" priority="139" operator="equal" dxfId="1">
      <formula>"중"</formula>
    </cfRule>
    <cfRule type="cellIs" priority="140" operator="equal" dxfId="0">
      <formula>"상"</formula>
    </cfRule>
  </conditionalFormatting>
  <conditionalFormatting sqref="C75">
    <cfRule type="cellIs" priority="137" operator="equal" dxfId="1">
      <formula>"중"</formula>
    </cfRule>
    <cfRule type="cellIs" priority="138" operator="equal" dxfId="0">
      <formula>"상"</formula>
    </cfRule>
  </conditionalFormatting>
  <conditionalFormatting sqref="B20">
    <cfRule type="cellIs" priority="135" operator="equal" dxfId="1">
      <formula>"중"</formula>
    </cfRule>
    <cfRule type="cellIs" priority="136" operator="equal" dxfId="0">
      <formula>"상"</formula>
    </cfRule>
  </conditionalFormatting>
  <conditionalFormatting sqref="C20">
    <cfRule type="cellIs" priority="133" operator="equal" dxfId="1">
      <formula>"중"</formula>
    </cfRule>
    <cfRule type="cellIs" priority="134" operator="equal" dxfId="0">
      <formula>"상"</formula>
    </cfRule>
  </conditionalFormatting>
  <conditionalFormatting sqref="B21">
    <cfRule type="cellIs" priority="131" operator="equal" dxfId="1">
      <formula>"중"</formula>
    </cfRule>
    <cfRule type="cellIs" priority="132" operator="equal" dxfId="0">
      <formula>"상"</formula>
    </cfRule>
  </conditionalFormatting>
  <conditionalFormatting sqref="C21">
    <cfRule type="cellIs" priority="129" operator="equal" dxfId="1">
      <formula>"중"</formula>
    </cfRule>
    <cfRule type="cellIs" priority="130" operator="equal" dxfId="0">
      <formula>"상"</formula>
    </cfRule>
  </conditionalFormatting>
  <conditionalFormatting sqref="C24">
    <cfRule type="cellIs" priority="127" operator="equal" dxfId="1">
      <formula>"중"</formula>
    </cfRule>
    <cfRule type="cellIs" priority="128" operator="equal" dxfId="0">
      <formula>"상"</formula>
    </cfRule>
  </conditionalFormatting>
  <conditionalFormatting sqref="C25">
    <cfRule type="cellIs" priority="125" operator="equal" dxfId="1">
      <formula>"중"</formula>
    </cfRule>
    <cfRule type="cellIs" priority="126" operator="equal" dxfId="0">
      <formula>"상"</formula>
    </cfRule>
  </conditionalFormatting>
  <conditionalFormatting sqref="C26">
    <cfRule type="cellIs" priority="123" operator="equal" dxfId="1">
      <formula>"중"</formula>
    </cfRule>
    <cfRule type="cellIs" priority="124" operator="equal" dxfId="0">
      <formula>"상"</formula>
    </cfRule>
  </conditionalFormatting>
  <conditionalFormatting sqref="B30">
    <cfRule type="cellIs" priority="121" operator="equal" dxfId="1">
      <formula>"중"</formula>
    </cfRule>
    <cfRule type="cellIs" priority="122" operator="equal" dxfId="0">
      <formula>"상"</formula>
    </cfRule>
  </conditionalFormatting>
  <conditionalFormatting sqref="B24">
    <cfRule type="cellIs" priority="119" operator="equal" dxfId="1">
      <formula>"중"</formula>
    </cfRule>
    <cfRule type="cellIs" priority="120" operator="equal" dxfId="0">
      <formula>"상"</formula>
    </cfRule>
  </conditionalFormatting>
  <conditionalFormatting sqref="B25">
    <cfRule type="cellIs" priority="117" operator="equal" dxfId="1">
      <formula>"중"</formula>
    </cfRule>
    <cfRule type="cellIs" priority="118" operator="equal" dxfId="0">
      <formula>"상"</formula>
    </cfRule>
  </conditionalFormatting>
  <conditionalFormatting sqref="B26">
    <cfRule type="cellIs" priority="115" operator="equal" dxfId="1">
      <formula>"중"</formula>
    </cfRule>
    <cfRule type="cellIs" priority="116" operator="equal" dxfId="0">
      <formula>"상"</formula>
    </cfRule>
  </conditionalFormatting>
  <conditionalFormatting sqref="C30">
    <cfRule type="cellIs" priority="113" operator="equal" dxfId="1">
      <formula>"중"</formula>
    </cfRule>
    <cfRule type="cellIs" priority="114" operator="equal" dxfId="0">
      <formula>"상"</formula>
    </cfRule>
  </conditionalFormatting>
  <conditionalFormatting sqref="B34">
    <cfRule type="cellIs" priority="111" operator="equal" dxfId="1">
      <formula>"중"</formula>
    </cfRule>
    <cfRule type="cellIs" priority="112" operator="equal" dxfId="0">
      <formula>"상"</formula>
    </cfRule>
  </conditionalFormatting>
  <conditionalFormatting sqref="C34">
    <cfRule type="cellIs" priority="109" operator="equal" dxfId="1">
      <formula>"중"</formula>
    </cfRule>
    <cfRule type="cellIs" priority="110" operator="equal" dxfId="0">
      <formula>"상"</formula>
    </cfRule>
  </conditionalFormatting>
  <conditionalFormatting sqref="C46">
    <cfRule type="cellIs" priority="107" operator="equal" dxfId="1">
      <formula>"중"</formula>
    </cfRule>
    <cfRule type="cellIs" priority="108" operator="equal" dxfId="0">
      <formula>"상"</formula>
    </cfRule>
  </conditionalFormatting>
  <conditionalFormatting sqref="B46">
    <cfRule type="cellIs" priority="105" operator="equal" dxfId="1">
      <formula>"중"</formula>
    </cfRule>
    <cfRule type="cellIs" priority="106" operator="equal" dxfId="0">
      <formula>"상"</formula>
    </cfRule>
  </conditionalFormatting>
  <conditionalFormatting sqref="B48">
    <cfRule type="cellIs" priority="103" operator="equal" dxfId="1">
      <formula>"중"</formula>
    </cfRule>
    <cfRule type="cellIs" priority="104" operator="equal" dxfId="0">
      <formula>"상"</formula>
    </cfRule>
  </conditionalFormatting>
  <conditionalFormatting sqref="C48">
    <cfRule type="cellIs" priority="101" operator="equal" dxfId="1">
      <formula>"중"</formula>
    </cfRule>
    <cfRule type="cellIs" priority="102" operator="equal" dxfId="0">
      <formula>"상"</formula>
    </cfRule>
  </conditionalFormatting>
  <conditionalFormatting sqref="C51">
    <cfRule type="cellIs" priority="99" operator="equal" dxfId="1">
      <formula>"중"</formula>
    </cfRule>
    <cfRule type="cellIs" priority="100" operator="equal" dxfId="0">
      <formula>"상"</formula>
    </cfRule>
  </conditionalFormatting>
  <conditionalFormatting sqref="C55">
    <cfRule type="cellIs" priority="97" operator="equal" dxfId="1">
      <formula>"중"</formula>
    </cfRule>
    <cfRule type="cellIs" priority="98" operator="equal" dxfId="0">
      <formula>"상"</formula>
    </cfRule>
  </conditionalFormatting>
  <conditionalFormatting sqref="B51">
    <cfRule type="cellIs" priority="95" operator="equal" dxfId="1">
      <formula>"중"</formula>
    </cfRule>
    <cfRule type="cellIs" priority="96" operator="equal" dxfId="0">
      <formula>"상"</formula>
    </cfRule>
  </conditionalFormatting>
  <conditionalFormatting sqref="B56">
    <cfRule type="cellIs" priority="93" operator="equal" dxfId="1">
      <formula>"중"</formula>
    </cfRule>
    <cfRule type="cellIs" priority="94" operator="equal" dxfId="0">
      <formula>"상"</formula>
    </cfRule>
  </conditionalFormatting>
  <conditionalFormatting sqref="B55">
    <cfRule type="cellIs" priority="91" operator="equal" dxfId="1">
      <formula>"중"</formula>
    </cfRule>
    <cfRule type="cellIs" priority="92" operator="equal" dxfId="0">
      <formula>"상"</formula>
    </cfRule>
  </conditionalFormatting>
  <conditionalFormatting sqref="B60">
    <cfRule type="cellIs" priority="89" operator="equal" dxfId="1">
      <formula>"중"</formula>
    </cfRule>
    <cfRule type="cellIs" priority="90" operator="equal" dxfId="0">
      <formula>"상"</formula>
    </cfRule>
  </conditionalFormatting>
  <conditionalFormatting sqref="C60">
    <cfRule type="cellIs" priority="87" operator="equal" dxfId="1">
      <formula>"중"</formula>
    </cfRule>
    <cfRule type="cellIs" priority="88" operator="equal" dxfId="0">
      <formula>"상"</formula>
    </cfRule>
  </conditionalFormatting>
  <conditionalFormatting sqref="B58">
    <cfRule type="cellIs" priority="85" operator="equal" dxfId="1">
      <formula>"중"</formula>
    </cfRule>
    <cfRule type="cellIs" priority="86" operator="equal" dxfId="0">
      <formula>"상"</formula>
    </cfRule>
  </conditionalFormatting>
  <conditionalFormatting sqref="C58">
    <cfRule type="cellIs" priority="83" operator="equal" dxfId="1">
      <formula>"중"</formula>
    </cfRule>
    <cfRule type="cellIs" priority="84" operator="equal" dxfId="0">
      <formula>"상"</formula>
    </cfRule>
  </conditionalFormatting>
  <conditionalFormatting sqref="C63">
    <cfRule type="cellIs" priority="81" operator="equal" dxfId="1">
      <formula>"중"</formula>
    </cfRule>
    <cfRule type="cellIs" priority="82" operator="equal" dxfId="0">
      <formula>"상"</formula>
    </cfRule>
  </conditionalFormatting>
  <conditionalFormatting sqref="C68">
    <cfRule type="cellIs" priority="79" operator="equal" dxfId="1">
      <formula>"중"</formula>
    </cfRule>
    <cfRule type="cellIs" priority="80" operator="equal" dxfId="0">
      <formula>"상"</formula>
    </cfRule>
  </conditionalFormatting>
  <conditionalFormatting sqref="C71">
    <cfRule type="cellIs" priority="77" operator="equal" dxfId="1">
      <formula>"중"</formula>
    </cfRule>
    <cfRule type="cellIs" priority="78" operator="equal" dxfId="0">
      <formula>"상"</formula>
    </cfRule>
  </conditionalFormatting>
  <conditionalFormatting sqref="C80">
    <cfRule type="cellIs" priority="75" operator="equal" dxfId="1">
      <formula>"중"</formula>
    </cfRule>
    <cfRule type="cellIs" priority="76" operator="equal" dxfId="0">
      <formula>"상"</formula>
    </cfRule>
  </conditionalFormatting>
  <conditionalFormatting sqref="B80">
    <cfRule type="cellIs" priority="73" operator="equal" dxfId="1">
      <formula>"중"</formula>
    </cfRule>
    <cfRule type="cellIs" priority="74" operator="equal" dxfId="0">
      <formula>"상"</formula>
    </cfRule>
  </conditionalFormatting>
  <conditionalFormatting sqref="C83">
    <cfRule type="cellIs" priority="71" operator="equal" dxfId="1">
      <formula>"중"</formula>
    </cfRule>
    <cfRule type="cellIs" priority="72" operator="equal" dxfId="0">
      <formula>"상"</formula>
    </cfRule>
  </conditionalFormatting>
  <conditionalFormatting sqref="C133">
    <cfRule type="cellIs" priority="27" operator="equal" dxfId="1">
      <formula>"중"</formula>
    </cfRule>
    <cfRule type="cellIs" priority="28" operator="equal" dxfId="0">
      <formula>"상"</formula>
    </cfRule>
  </conditionalFormatting>
  <conditionalFormatting sqref="C87">
    <cfRule type="cellIs" priority="67" operator="equal" dxfId="1">
      <formula>"중"</formula>
    </cfRule>
    <cfRule type="cellIs" priority="68" operator="equal" dxfId="0">
      <formula>"상"</formula>
    </cfRule>
  </conditionalFormatting>
  <conditionalFormatting sqref="C143">
    <cfRule type="cellIs" priority="21" operator="equal" dxfId="1">
      <formula>"중"</formula>
    </cfRule>
    <cfRule type="cellIs" priority="22" operator="equal" dxfId="0">
      <formula>"상"</formula>
    </cfRule>
  </conditionalFormatting>
  <conditionalFormatting sqref="C92">
    <cfRule type="cellIs" priority="63" operator="equal" dxfId="1">
      <formula>"중"</formula>
    </cfRule>
    <cfRule type="cellIs" priority="64" operator="equal" dxfId="0">
      <formula>"상"</formula>
    </cfRule>
  </conditionalFormatting>
  <conditionalFormatting sqref="C95">
    <cfRule type="cellIs" priority="61" operator="equal" dxfId="1">
      <formula>"중"</formula>
    </cfRule>
    <cfRule type="cellIs" priority="62" operator="equal" dxfId="0">
      <formula>"상"</formula>
    </cfRule>
  </conditionalFormatting>
  <conditionalFormatting sqref="B169">
    <cfRule type="cellIs" priority="13" operator="equal" dxfId="1">
      <formula>"중"</formula>
    </cfRule>
    <cfRule type="cellIs" priority="14" operator="equal" dxfId="0">
      <formula>"상"</formula>
    </cfRule>
  </conditionalFormatting>
  <conditionalFormatting sqref="C100">
    <cfRule type="cellIs" priority="57" operator="equal" dxfId="1">
      <formula>"중"</formula>
    </cfRule>
    <cfRule type="cellIs" priority="58" operator="equal" dxfId="0">
      <formula>"상"</formula>
    </cfRule>
  </conditionalFormatting>
  <conditionalFormatting sqref="C106">
    <cfRule type="cellIs" priority="55" operator="equal" dxfId="1">
      <formula>"중"</formula>
    </cfRule>
    <cfRule type="cellIs" priority="56" operator="equal" dxfId="0">
      <formula>"상"</formula>
    </cfRule>
  </conditionalFormatting>
  <conditionalFormatting sqref="C110">
    <cfRule type="cellIs" priority="53" operator="equal" dxfId="1">
      <formula>"중"</formula>
    </cfRule>
    <cfRule type="cellIs" priority="54" operator="equal" dxfId="0">
      <formula>"상"</formula>
    </cfRule>
  </conditionalFormatting>
  <conditionalFormatting sqref="C114">
    <cfRule type="cellIs" priority="51" operator="equal" dxfId="1">
      <formula>"중"</formula>
    </cfRule>
    <cfRule type="cellIs" priority="52" operator="equal" dxfId="0">
      <formula>"상"</formula>
    </cfRule>
  </conditionalFormatting>
  <conditionalFormatting sqref="C118">
    <cfRule type="cellIs" priority="49" operator="equal" dxfId="1">
      <formula>"중"</formula>
    </cfRule>
    <cfRule type="cellIs" priority="50" operator="equal" dxfId="0">
      <formula>"상"</formula>
    </cfRule>
  </conditionalFormatting>
  <conditionalFormatting sqref="B118">
    <cfRule type="cellIs" priority="47" operator="equal" dxfId="1">
      <formula>"중"</formula>
    </cfRule>
    <cfRule type="cellIs" priority="48" operator="equal" dxfId="0">
      <formula>"상"</formula>
    </cfRule>
  </conditionalFormatting>
  <conditionalFormatting sqref="B95">
    <cfRule type="cellIs" priority="45" operator="equal" dxfId="1">
      <formula>"중"</formula>
    </cfRule>
    <cfRule type="cellIs" priority="46" operator="equal" dxfId="0">
      <formula>"상"</formula>
    </cfRule>
  </conditionalFormatting>
  <conditionalFormatting sqref="B92">
    <cfRule type="cellIs" priority="43" operator="equal" dxfId="1">
      <formula>"중"</formula>
    </cfRule>
    <cfRule type="cellIs" priority="44" operator="equal" dxfId="0">
      <formula>"상"</formula>
    </cfRule>
  </conditionalFormatting>
  <conditionalFormatting sqref="B87">
    <cfRule type="cellIs" priority="41" operator="equal" dxfId="1">
      <formula>"중"</formula>
    </cfRule>
    <cfRule type="cellIs" priority="42" operator="equal" dxfId="0">
      <formula>"상"</formula>
    </cfRule>
  </conditionalFormatting>
  <conditionalFormatting sqref="B122">
    <cfRule type="cellIs" priority="39" operator="equal" dxfId="1">
      <formula>"중"</formula>
    </cfRule>
    <cfRule type="cellIs" priority="40" operator="equal" dxfId="0">
      <formula>"상"</formula>
    </cfRule>
  </conditionalFormatting>
  <conditionalFormatting sqref="C122">
    <cfRule type="cellIs" priority="37" operator="equal" dxfId="1">
      <formula>"중"</formula>
    </cfRule>
    <cfRule type="cellIs" priority="38" operator="equal" dxfId="0">
      <formula>"상"</formula>
    </cfRule>
  </conditionalFormatting>
  <conditionalFormatting sqref="C127">
    <cfRule type="cellIs" priority="35" operator="equal" dxfId="1">
      <formula>"중"</formula>
    </cfRule>
    <cfRule type="cellIs" priority="36" operator="equal" dxfId="0">
      <formula>"상"</formula>
    </cfRule>
  </conditionalFormatting>
  <conditionalFormatting sqref="B127">
    <cfRule type="cellIs" priority="33" operator="equal" dxfId="1">
      <formula>"중"</formula>
    </cfRule>
    <cfRule type="cellIs" priority="34" operator="equal" dxfId="0">
      <formula>"상"</formula>
    </cfRule>
  </conditionalFormatting>
  <conditionalFormatting sqref="B129">
    <cfRule type="cellIs" priority="31" operator="equal" dxfId="1">
      <formula>"중"</formula>
    </cfRule>
    <cfRule type="cellIs" priority="32" operator="equal" dxfId="0">
      <formula>"상"</formula>
    </cfRule>
  </conditionalFormatting>
  <conditionalFormatting sqref="C129">
    <cfRule type="cellIs" priority="29" operator="equal" dxfId="1">
      <formula>"중"</formula>
    </cfRule>
    <cfRule type="cellIs" priority="30" operator="equal" dxfId="0">
      <formula>"상"</formula>
    </cfRule>
  </conditionalFormatting>
  <conditionalFormatting sqref="C137">
    <cfRule type="cellIs" priority="25" operator="equal" dxfId="1">
      <formula>"중"</formula>
    </cfRule>
    <cfRule type="cellIs" priority="26" operator="equal" dxfId="0">
      <formula>"상"</formula>
    </cfRule>
  </conditionalFormatting>
  <conditionalFormatting sqref="C140">
    <cfRule type="cellIs" priority="23" operator="equal" dxfId="1">
      <formula>"중"</formula>
    </cfRule>
    <cfRule type="cellIs" priority="24" operator="equal" dxfId="0">
      <formula>"상"</formula>
    </cfRule>
  </conditionalFormatting>
  <conditionalFormatting sqref="B143">
    <cfRule type="cellIs" priority="19" operator="equal" dxfId="1">
      <formula>"중"</formula>
    </cfRule>
    <cfRule type="cellIs" priority="20" operator="equal" dxfId="0">
      <formula>"상"</formula>
    </cfRule>
  </conditionalFormatting>
  <conditionalFormatting sqref="C148">
    <cfRule type="cellIs" priority="17" operator="equal" dxfId="1">
      <formula>"중"</formula>
    </cfRule>
    <cfRule type="cellIs" priority="18" operator="equal" dxfId="0">
      <formula>"상"</formula>
    </cfRule>
  </conditionalFormatting>
  <conditionalFormatting sqref="C152">
    <cfRule type="cellIs" priority="15" operator="equal" dxfId="1">
      <formula>"중"</formula>
    </cfRule>
    <cfRule type="cellIs" priority="16" operator="equal" dxfId="0">
      <formula>"상"</formula>
    </cfRule>
  </conditionalFormatting>
  <conditionalFormatting sqref="C169">
    <cfRule type="cellIs" priority="11" operator="equal" dxfId="1">
      <formula>"중"</formula>
    </cfRule>
    <cfRule type="cellIs" priority="12" operator="equal" dxfId="0">
      <formula>"상"</formula>
    </cfRule>
  </conditionalFormatting>
  <conditionalFormatting sqref="C171">
    <cfRule type="cellIs" priority="9" operator="equal" dxfId="1">
      <formula>"중"</formula>
    </cfRule>
    <cfRule type="cellIs" priority="10" operator="equal" dxfId="0">
      <formula>"상"</formula>
    </cfRule>
  </conditionalFormatting>
  <conditionalFormatting sqref="C178">
    <cfRule type="cellIs" priority="7" operator="equal" dxfId="1">
      <formula>"중"</formula>
    </cfRule>
    <cfRule type="cellIs" priority="8" operator="equal" dxfId="0">
      <formula>"상"</formula>
    </cfRule>
  </conditionalFormatting>
  <conditionalFormatting sqref="C181">
    <cfRule type="cellIs" priority="5" operator="equal" dxfId="1">
      <formula>"중"</formula>
    </cfRule>
    <cfRule type="cellIs" priority="6" operator="equal" dxfId="0">
      <formula>"상"</formula>
    </cfRule>
  </conditionalFormatting>
  <conditionalFormatting sqref="C185">
    <cfRule type="cellIs" priority="3" operator="equal" dxfId="1">
      <formula>"중"</formula>
    </cfRule>
    <cfRule type="cellIs" priority="4" operator="equal" dxfId="0">
      <formula>"상"</formula>
    </cfRule>
  </conditionalFormatting>
  <conditionalFormatting sqref="B185">
    <cfRule type="cellIs" priority="1" operator="equal" dxfId="1">
      <formula>"중"</formula>
    </cfRule>
    <cfRule type="cellIs" priority="2" operator="equal" dxfId="0">
      <formula>"상"</formula>
    </cfRule>
  </conditionalFormatting>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s>
  <pageMargins left="0.25" right="0.25" top="0.75" bottom="0.75" header="0.3" footer="0.3"/>
  <pageSetup orientation="landscape" paperSize="9" scale="4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Y255"/>
  <sheetViews>
    <sheetView zoomScale="55" zoomScaleNormal="55" workbookViewId="0">
      <pane ySplit="4" topLeftCell="A197" activePane="bottomLeft" state="frozen"/>
      <selection pane="bottomLeft" activeCell="J42" sqref="J42"/>
    </sheetView>
  </sheetViews>
  <sheetFormatPr baseColWidth="8" defaultRowHeight="14"/>
  <cols>
    <col width="8.7265625" customWidth="1" style="159" min="1" max="1"/>
    <col width="7.81640625" bestFit="1" customWidth="1" style="9" min="2" max="2"/>
    <col width="9.453125" customWidth="1" style="10" min="3" max="3"/>
    <col width="9.453125" customWidth="1" style="159" min="4" max="4"/>
    <col width="33.453125" bestFit="1" customWidth="1" style="17" min="5" max="5"/>
    <col width="9.54296875" customWidth="1" style="21" min="6" max="6"/>
    <col width="7.81640625" customWidth="1" style="21" min="7" max="7"/>
    <col width="5.90625" customWidth="1" style="21" min="8" max="8"/>
    <col width="6.7265625" customWidth="1" style="134" min="9" max="10"/>
    <col width="5.453125" customWidth="1" style="134" min="11" max="11"/>
    <col hidden="1" width="6.6328125" customWidth="1" style="134" min="12" max="12"/>
    <col hidden="1" width="5.08984375" customWidth="1" style="134" min="13" max="13"/>
    <col hidden="1" width="7.08984375" customWidth="1" style="134" min="14" max="14"/>
    <col hidden="1" width="6.6328125" customWidth="1" style="134" min="15" max="15"/>
    <col hidden="1" width="5" customWidth="1" style="134" min="16" max="16"/>
    <col width="11" bestFit="1" customWidth="1" style="134" min="17" max="18"/>
    <col width="9.81640625" customWidth="1" style="134" min="19" max="19"/>
    <col width="9.81640625" bestFit="1" customWidth="1" style="134" min="20" max="20"/>
    <col width="9.6328125" bestFit="1" customWidth="1" style="134" min="21" max="22"/>
    <col width="6.90625" bestFit="1" customWidth="1" style="151" min="23" max="23"/>
    <col width="3.90625" bestFit="1" customWidth="1" style="134" min="24" max="25"/>
    <col width="5.7265625" customWidth="1" style="134" min="26" max="26"/>
    <col width="9.81640625" bestFit="1" customWidth="1" style="159" min="27" max="27"/>
    <col width="10.26953125" customWidth="1" style="159" min="28" max="28"/>
    <col width="10.90625" customWidth="1" style="159" min="29" max="29"/>
    <col width="9.81640625" bestFit="1" customWidth="1" style="476" min="30" max="31"/>
    <col width="9.81640625" customWidth="1" style="476" min="32" max="32"/>
    <col width="7.81640625" bestFit="1" customWidth="1" style="476" min="33" max="33"/>
    <col width="9.81640625" bestFit="1" customWidth="1" style="11" min="34" max="34"/>
    <col width="9.81640625" bestFit="1" customWidth="1" style="476" min="35" max="36"/>
    <col width="8.54296875" bestFit="1" customWidth="1" style="137" min="37" max="37"/>
    <col width="7.81640625" bestFit="1" customWidth="1" style="137" min="38" max="38"/>
    <col width="8.7265625" customWidth="1" style="2" min="39" max="39"/>
    <col width="11.1796875" customWidth="1" style="1" min="40" max="40"/>
    <col width="8.453125" bestFit="1" customWidth="1" style="476" min="48" max="48"/>
  </cols>
  <sheetData>
    <row r="1">
      <c r="B1" s="12" t="inlineStr">
        <is>
          <t>상</t>
        </is>
      </c>
      <c r="C1" s="13" t="inlineStr">
        <is>
          <t>중</t>
        </is>
      </c>
      <c r="D1" s="160" t="n"/>
      <c r="AH1" s="458" t="n"/>
      <c r="AM1" s="236" t="n"/>
    </row>
    <row r="2">
      <c r="B2" s="12" t="inlineStr">
        <is>
          <t>하</t>
        </is>
      </c>
      <c r="C2" s="12" t="n"/>
      <c r="AH2" s="458" t="n"/>
      <c r="AM2" s="236" t="n"/>
    </row>
    <row r="3" ht="20" customHeight="1" s="476">
      <c r="A3" s="159" t="n">
        <v>84</v>
      </c>
      <c r="B3" s="444" t="inlineStr">
        <is>
          <t>선호도</t>
        </is>
      </c>
      <c r="C3" s="445" t="n"/>
      <c r="D3" s="72" t="n"/>
      <c r="E3" s="73" t="inlineStr">
        <is>
          <t>단지정보 (30평)</t>
        </is>
      </c>
      <c r="F3" s="443" t="n"/>
      <c r="G3" s="443" t="n"/>
      <c r="H3" s="443" t="n"/>
      <c r="I3" s="443" t="n"/>
      <c r="J3" s="443" t="n"/>
      <c r="K3" s="443" t="n"/>
      <c r="L3" s="443" t="n"/>
      <c r="M3" s="443" t="n"/>
      <c r="N3" s="443" t="n"/>
      <c r="O3" s="443" t="n"/>
      <c r="P3" s="443" t="n"/>
      <c r="Q3" s="443" t="n"/>
      <c r="R3" s="443" t="n"/>
      <c r="S3" s="443" t="n"/>
      <c r="T3" s="443" t="n"/>
      <c r="U3" s="443" t="n"/>
      <c r="V3" s="443" t="n"/>
      <c r="W3" s="443" t="n"/>
      <c r="X3" s="443" t="n"/>
      <c r="Y3" s="443" t="n"/>
      <c r="Z3" s="443" t="n"/>
      <c r="AA3" s="443" t="n"/>
      <c r="AB3" s="443" t="n"/>
      <c r="AC3" s="443" t="n"/>
      <c r="AD3" s="443" t="n"/>
      <c r="AE3" s="443" t="n"/>
      <c r="AF3" s="443" t="n"/>
      <c r="AG3" s="443" t="n"/>
      <c r="AH3" s="446" t="inlineStr">
        <is>
          <t>투자결과</t>
        </is>
      </c>
      <c r="AI3" s="443" t="n"/>
      <c r="AJ3" s="443" t="n"/>
      <c r="AK3" s="443" t="n"/>
      <c r="AL3" s="445" t="n"/>
    </row>
    <row r="4" ht="17.5" customHeight="1" s="476" thickBot="1">
      <c r="B4" s="9" t="inlineStr">
        <is>
          <t>생활권</t>
        </is>
      </c>
      <c r="C4" s="10" t="inlineStr">
        <is>
          <t>생활권 내</t>
        </is>
      </c>
      <c r="D4" s="458" t="inlineStr">
        <is>
          <t>단지코드</t>
        </is>
      </c>
      <c r="E4" s="458" t="inlineStr">
        <is>
          <t>단지명</t>
        </is>
      </c>
      <c r="F4" s="458" t="inlineStr">
        <is>
          <t>사용승인일</t>
        </is>
      </c>
      <c r="G4" s="458" t="inlineStr">
        <is>
          <t>총세대수</t>
        </is>
      </c>
      <c r="H4" s="22" t="inlineStr">
        <is>
          <t>나이</t>
        </is>
      </c>
      <c r="I4" s="68" t="inlineStr">
        <is>
          <t>타입</t>
        </is>
      </c>
      <c r="J4" s="68" t="inlineStr">
        <is>
          <t>공급면적</t>
        </is>
      </c>
      <c r="K4" s="116" t="inlineStr">
        <is>
          <t>전용면적</t>
        </is>
      </c>
      <c r="L4" s="116" t="inlineStr">
        <is>
          <t>평형</t>
        </is>
      </c>
      <c r="M4" s="458" t="inlineStr">
        <is>
          <t>구조</t>
        </is>
      </c>
      <c r="N4" s="458" t="inlineStr">
        <is>
          <t>방수</t>
        </is>
      </c>
      <c r="O4" s="458" t="inlineStr">
        <is>
          <t>욕실수</t>
        </is>
      </c>
      <c r="P4" s="458" t="inlineStr">
        <is>
          <t>평형별 세대수</t>
        </is>
      </c>
      <c r="Q4" s="116" t="inlineStr">
        <is>
          <t>매</t>
        </is>
      </c>
      <c r="R4" s="116" t="inlineStr">
        <is>
          <t>전</t>
        </is>
      </c>
      <c r="S4" s="116" t="inlineStr">
        <is>
          <t>차</t>
        </is>
      </c>
      <c r="T4" s="116" t="inlineStr">
        <is>
          <t>전세가율</t>
        </is>
      </c>
      <c r="U4" s="116" t="inlineStr">
        <is>
          <t>전고</t>
        </is>
      </c>
      <c r="V4" s="116" t="inlineStr">
        <is>
          <t>전저</t>
        </is>
      </c>
      <c r="W4" s="57" t="inlineStr">
        <is>
          <t>계/복</t>
        </is>
      </c>
      <c r="X4" s="116" t="inlineStr">
        <is>
          <t>방</t>
        </is>
      </c>
      <c r="Y4" s="116" t="inlineStr">
        <is>
          <t>화</t>
        </is>
      </c>
      <c r="Z4" s="116" t="inlineStr">
        <is>
          <t>면적세대수</t>
        </is>
      </c>
      <c r="AA4" s="159" t="inlineStr">
        <is>
          <t>시기(년)</t>
        </is>
      </c>
      <c r="AB4" s="236" t="inlineStr">
        <is>
          <t>(전세가율80%이상인)기간</t>
        </is>
      </c>
      <c r="AC4" s="159" t="inlineStr">
        <is>
          <t>평형</t>
        </is>
      </c>
      <c r="AD4" s="159" t="inlineStr">
        <is>
          <t>매매가</t>
        </is>
      </c>
      <c r="AE4" s="159" t="inlineStr">
        <is>
          <t>전세가</t>
        </is>
      </c>
      <c r="AF4" s="159" t="inlineStr">
        <is>
          <t>전세가율</t>
        </is>
      </c>
      <c r="AG4" s="24" t="inlineStr">
        <is>
          <t>투자금</t>
        </is>
      </c>
      <c r="AH4" s="9" t="inlineStr">
        <is>
          <t>시기(년)</t>
        </is>
      </c>
      <c r="AI4" s="9" t="inlineStr">
        <is>
          <t>매매가</t>
        </is>
      </c>
      <c r="AJ4" s="9" t="inlineStr">
        <is>
          <t>수익금</t>
        </is>
      </c>
      <c r="AK4" s="25" t="inlineStr">
        <is>
          <t>상승율</t>
        </is>
      </c>
      <c r="AL4" s="26" t="inlineStr">
        <is>
          <t>수익율</t>
        </is>
      </c>
      <c r="AN4" s="14" t="n"/>
    </row>
    <row r="5" ht="18" customHeight="1" s="476" thickBot="1">
      <c r="A5" s="86" t="inlineStr">
        <is>
          <t>신부동</t>
        </is>
      </c>
      <c r="B5" s="12" t="n"/>
      <c r="C5" s="12" t="n"/>
      <c r="D5" s="458" t="n">
        <v>143063</v>
      </c>
      <c r="E5" s="145" t="inlineStr">
        <is>
          <t>포레나천안신부</t>
        </is>
      </c>
      <c r="F5" s="92" t="n">
        <v>2023.12</v>
      </c>
      <c r="G5" s="92" t="n">
        <v>602</v>
      </c>
      <c r="H5" s="93">
        <f>2026-F5+1</f>
        <v/>
      </c>
      <c r="I5" s="95" t="inlineStr">
        <is>
          <t>110A, 111B</t>
        </is>
      </c>
      <c r="J5" s="95" t="n">
        <v>110</v>
      </c>
      <c r="K5" s="95" t="n">
        <v>84</v>
      </c>
      <c r="L5" s="92" t="n">
        <v>33</v>
      </c>
      <c r="M5" s="92" t="inlineStr">
        <is>
          <t>계단식</t>
        </is>
      </c>
      <c r="N5" s="92" t="n">
        <v>3</v>
      </c>
      <c r="O5" s="92" t="n">
        <v>2</v>
      </c>
      <c r="P5" s="92" t="n">
        <v>222</v>
      </c>
      <c r="Q5" s="579" t="n">
        <v>47000</v>
      </c>
      <c r="R5" s="580" t="n">
        <v>32000</v>
      </c>
      <c r="S5" s="581">
        <f>Q5-R5</f>
        <v/>
      </c>
      <c r="T5" s="71">
        <f>R5/Q5</f>
        <v/>
      </c>
      <c r="U5" s="580" t="n"/>
      <c r="V5" s="582" t="n"/>
      <c r="W5" s="92" t="inlineStr">
        <is>
          <t>계단식</t>
        </is>
      </c>
      <c r="X5" s="92" t="n">
        <v>3</v>
      </c>
      <c r="Y5" s="92" t="n">
        <v>2</v>
      </c>
      <c r="Z5" s="92" t="n">
        <v>222</v>
      </c>
      <c r="AA5" s="37" t="n">
        <v>2025.01</v>
      </c>
      <c r="AB5" s="37" t="n">
        <v>0.01</v>
      </c>
      <c r="AC5" s="37">
        <f>L5</f>
        <v/>
      </c>
      <c r="AD5" s="583" t="n">
        <v>36000</v>
      </c>
      <c r="AE5" s="583" t="n">
        <v>34000</v>
      </c>
      <c r="AF5" s="38">
        <f>AE5/AD5</f>
        <v/>
      </c>
      <c r="AG5" s="39">
        <f>AD5-AE5</f>
        <v/>
      </c>
      <c r="AH5" s="33" t="n">
        <v>2026.04</v>
      </c>
      <c r="AI5" s="33" t="n">
        <v>47000</v>
      </c>
      <c r="AJ5" s="33">
        <f>AI5-AD5</f>
        <v/>
      </c>
      <c r="AK5" s="129">
        <f>(AI5-AD5)/AD5</f>
        <v/>
      </c>
      <c r="AL5" s="28">
        <f>AJ5/AG5</f>
        <v/>
      </c>
      <c r="AM5" s="236" t="n"/>
      <c r="AO5" s="458" t="n"/>
      <c r="AP5" s="458" t="n"/>
      <c r="AQ5" s="458" t="n"/>
      <c r="AR5" s="458" t="n"/>
      <c r="AS5" s="458" t="n"/>
      <c r="AT5" s="458" t="n"/>
      <c r="AU5" s="458" t="n"/>
      <c r="AW5" s="458" t="n"/>
      <c r="AX5" s="458" t="n"/>
      <c r="AY5" s="458" t="n"/>
    </row>
    <row r="6" ht="18" customHeight="1" s="476">
      <c r="A6" s="494" t="inlineStr">
        <is>
          <t>청당동</t>
        </is>
      </c>
      <c r="B6" s="88" t="n"/>
      <c r="C6" s="89" t="n"/>
      <c r="D6" s="494" t="n">
        <v>151758</v>
      </c>
      <c r="E6" s="133" t="inlineStr">
        <is>
          <t>천안롯데캐슬더청당</t>
        </is>
      </c>
      <c r="F6" s="494" t="n">
        <v>2025.08</v>
      </c>
      <c r="G6" s="494" t="n">
        <v>1199</v>
      </c>
      <c r="H6" s="494">
        <f>2026-F6+1</f>
        <v/>
      </c>
      <c r="I6" s="494" t="inlineStr">
        <is>
          <t>113A, 114B, 114C</t>
        </is>
      </c>
      <c r="J6" s="494" t="n">
        <v>113</v>
      </c>
      <c r="K6" s="494" t="n">
        <v>84</v>
      </c>
      <c r="L6" s="494" t="n">
        <v>34</v>
      </c>
      <c r="M6" s="494" t="inlineStr">
        <is>
          <t>계단식</t>
        </is>
      </c>
      <c r="N6" s="494" t="n">
        <v>3</v>
      </c>
      <c r="O6" s="494" t="n">
        <v>2</v>
      </c>
      <c r="P6" s="494" t="n">
        <v>942</v>
      </c>
      <c r="Q6" s="579" t="n">
        <v>47000</v>
      </c>
      <c r="R6" s="580" t="n">
        <v>35000</v>
      </c>
      <c r="S6" s="581">
        <f>Q6-R6</f>
        <v/>
      </c>
      <c r="T6" s="71">
        <f>R6/Q6</f>
        <v/>
      </c>
      <c r="U6" s="580" t="n"/>
      <c r="V6" s="582" t="n"/>
      <c r="W6" s="458" t="inlineStr">
        <is>
          <t>계단식</t>
        </is>
      </c>
      <c r="X6" s="458" t="n">
        <v>3</v>
      </c>
      <c r="Y6" s="458" t="n">
        <v>2</v>
      </c>
      <c r="Z6" s="458" t="n">
        <v>942</v>
      </c>
      <c r="AA6" s="98" t="n"/>
      <c r="AB6" s="99" t="n"/>
      <c r="AC6" s="99">
        <f>L6</f>
        <v/>
      </c>
      <c r="AD6" s="99" t="n"/>
      <c r="AE6" s="99" t="n"/>
      <c r="AF6" s="99">
        <f>AE6/AD6</f>
        <v/>
      </c>
      <c r="AG6" s="100">
        <f>AD6-AE6</f>
        <v/>
      </c>
      <c r="AH6" s="458" t="n">
        <v>2026.04</v>
      </c>
      <c r="AI6" s="458" t="n">
        <v>47000</v>
      </c>
      <c r="AJ6" s="458">
        <f>AI6-AD6</f>
        <v/>
      </c>
      <c r="AK6" s="129">
        <f>(AI6-AD6)/AD6</f>
        <v/>
      </c>
      <c r="AL6" s="101">
        <f>AJ6/AG6</f>
        <v/>
      </c>
      <c r="AM6" s="289" t="n"/>
      <c r="AN6" s="289" t="n"/>
      <c r="AO6" s="458" t="n"/>
      <c r="AP6" s="458" t="n"/>
      <c r="AQ6" s="458" t="n"/>
      <c r="AR6" s="458" t="n"/>
      <c r="AS6" s="458" t="n"/>
      <c r="AT6" s="458" t="n"/>
      <c r="AU6" s="458" t="n"/>
      <c r="AV6" s="289" t="n"/>
      <c r="AW6" s="458" t="n"/>
      <c r="AX6" s="458" t="n"/>
      <c r="AY6" s="458" t="n"/>
    </row>
    <row r="7" ht="18" customHeight="1" s="476">
      <c r="A7" s="494" t="inlineStr">
        <is>
          <t>봉명동</t>
        </is>
      </c>
      <c r="B7" s="88" t="n"/>
      <c r="C7" s="89" t="n"/>
      <c r="D7" s="494" t="n">
        <v>137226</v>
      </c>
      <c r="E7" s="133" t="inlineStr">
        <is>
          <t>봉명역센트럴시티</t>
        </is>
      </c>
      <c r="F7" s="494" t="n">
        <v>2025.01</v>
      </c>
      <c r="G7" s="494" t="n">
        <v>816</v>
      </c>
      <c r="H7" s="494">
        <f>2026-F7+1</f>
        <v/>
      </c>
      <c r="I7" s="494" t="inlineStr">
        <is>
          <t>114A, 114B</t>
        </is>
      </c>
      <c r="J7" s="494" t="n">
        <v>114</v>
      </c>
      <c r="K7" s="494" t="n">
        <v>84</v>
      </c>
      <c r="L7" s="494" t="n">
        <v>34</v>
      </c>
      <c r="M7" s="494" t="inlineStr">
        <is>
          <t>계단식</t>
        </is>
      </c>
      <c r="N7" s="494" t="n">
        <v>3</v>
      </c>
      <c r="O7" s="494" t="n">
        <v>2</v>
      </c>
      <c r="P7" s="494" t="n">
        <v>146</v>
      </c>
      <c r="Q7" s="584" t="n">
        <v>43800</v>
      </c>
      <c r="R7" s="585" t="n">
        <v>30000</v>
      </c>
      <c r="S7" s="581">
        <f>Q7-R7</f>
        <v/>
      </c>
      <c r="T7" s="71">
        <f>R7/Q7</f>
        <v/>
      </c>
      <c r="U7" s="585" t="n"/>
      <c r="V7" s="585" t="n"/>
      <c r="W7" s="458" t="inlineStr">
        <is>
          <t>계단식</t>
        </is>
      </c>
      <c r="X7" s="458" t="n">
        <v>3</v>
      </c>
      <c r="Y7" s="458" t="n">
        <v>2</v>
      </c>
      <c r="Z7" s="458" t="n">
        <v>146</v>
      </c>
      <c r="AA7" s="98" t="n"/>
      <c r="AB7" s="99" t="n"/>
      <c r="AC7" s="77">
        <f>L7</f>
        <v/>
      </c>
      <c r="AD7" s="586" t="n"/>
      <c r="AE7" s="586" t="n"/>
      <c r="AF7" s="78">
        <f>AE7/AD7</f>
        <v/>
      </c>
      <c r="AG7" s="79">
        <f>AD7-AE7</f>
        <v/>
      </c>
      <c r="AH7" s="458" t="n">
        <v>2026.04</v>
      </c>
      <c r="AI7" s="458" t="n">
        <v>43800</v>
      </c>
      <c r="AJ7" s="458">
        <f>AI7-AD7</f>
        <v/>
      </c>
      <c r="AK7" s="129">
        <f>(AI7-AD7)/AD7</f>
        <v/>
      </c>
      <c r="AL7" s="80">
        <f>AJ7/AG7</f>
        <v/>
      </c>
      <c r="AM7" s="503" t="n"/>
      <c r="AN7" s="289" t="n"/>
      <c r="AV7" s="494" t="inlineStr">
        <is>
          <t>★중요한 것은 스스로 생각해보고 결론 내어보고 매임까지 하면서 [검증]해 나가는 것</t>
        </is>
      </c>
    </row>
    <row r="8" ht="18" customHeight="1" s="476">
      <c r="A8" s="458" t="inlineStr">
        <is>
          <t>문화동</t>
        </is>
      </c>
      <c r="B8" s="2" t="n"/>
      <c r="C8" s="90" t="n"/>
      <c r="D8" s="458" t="n">
        <v>121930</v>
      </c>
      <c r="E8" s="146" t="inlineStr">
        <is>
          <t>힐스테이트천안(주상복합)</t>
        </is>
      </c>
      <c r="F8" s="458" t="n">
        <v>2021.03</v>
      </c>
      <c r="G8" s="458" t="n">
        <v>451</v>
      </c>
      <c r="H8" s="458">
        <f>2026-F8+1</f>
        <v/>
      </c>
      <c r="I8" s="458" t="inlineStr">
        <is>
          <t>120</t>
        </is>
      </c>
      <c r="J8" s="458" t="n">
        <v>120</v>
      </c>
      <c r="K8" s="458" t="n">
        <v>84</v>
      </c>
      <c r="L8" s="458" t="n">
        <v>36</v>
      </c>
      <c r="M8" s="458" t="inlineStr">
        <is>
          <t>계단식</t>
        </is>
      </c>
      <c r="N8" s="458" t="n">
        <v>3</v>
      </c>
      <c r="O8" s="458" t="n">
        <v>2</v>
      </c>
      <c r="P8" s="458" t="n">
        <v>164</v>
      </c>
      <c r="Q8" s="587" t="n">
        <v>42000</v>
      </c>
      <c r="R8" s="588" t="n">
        <v>28000</v>
      </c>
      <c r="S8" s="581">
        <f>Q8-R8</f>
        <v/>
      </c>
      <c r="T8" s="71">
        <f>R8/Q8</f>
        <v/>
      </c>
      <c r="U8" s="588" t="n">
        <v>45000</v>
      </c>
      <c r="V8" s="588" t="n">
        <v>39000</v>
      </c>
      <c r="W8" s="458" t="inlineStr">
        <is>
          <t>계단식</t>
        </is>
      </c>
      <c r="X8" s="458" t="n">
        <v>3</v>
      </c>
      <c r="Y8" s="458" t="n">
        <v>2</v>
      </c>
      <c r="Z8" s="458" t="n">
        <v>164</v>
      </c>
      <c r="AA8" s="69" t="n"/>
      <c r="AB8" s="37" t="n"/>
      <c r="AC8" s="37">
        <f>L8</f>
        <v/>
      </c>
      <c r="AD8" s="583" t="n"/>
      <c r="AE8" s="583" t="n"/>
      <c r="AF8" s="38">
        <f>AE8/AD8</f>
        <v/>
      </c>
      <c r="AG8" s="39">
        <f>AD8-AE8</f>
        <v/>
      </c>
      <c r="AH8" s="458" t="n">
        <v>2026.04</v>
      </c>
      <c r="AI8" s="458" t="n">
        <v>42000</v>
      </c>
      <c r="AJ8" s="458">
        <f>AI8-AD8</f>
        <v/>
      </c>
      <c r="AK8" s="129">
        <f>(AI8-AD8)/AD8</f>
        <v/>
      </c>
      <c r="AL8" s="29">
        <f>AJ8/AG8</f>
        <v/>
      </c>
      <c r="AM8" s="236" t="n"/>
      <c r="AO8" s="458" t="n"/>
      <c r="AP8" s="458" t="n"/>
      <c r="AQ8" s="458" t="n"/>
      <c r="AR8" s="458" t="n"/>
      <c r="AS8" s="458" t="n"/>
      <c r="AT8" s="458" t="n"/>
      <c r="AU8" s="458" t="n"/>
      <c r="AV8" s="458" t="n"/>
      <c r="AW8" s="458" t="n"/>
      <c r="AX8" s="458" t="n"/>
      <c r="AY8" s="458" t="n"/>
    </row>
    <row r="9" ht="18" customFormat="1" customHeight="1" s="494">
      <c r="A9" s="494" t="inlineStr">
        <is>
          <t>삼룡동</t>
        </is>
      </c>
      <c r="B9" s="88" t="n"/>
      <c r="C9" s="89" t="n"/>
      <c r="D9" s="494" t="n">
        <v>146718</v>
      </c>
      <c r="E9" s="133" t="inlineStr">
        <is>
          <t>호반써밋포레센트</t>
        </is>
      </c>
      <c r="F9" s="494" t="n">
        <v>2023.12</v>
      </c>
      <c r="G9" s="494" t="n">
        <v>594</v>
      </c>
      <c r="H9" s="494">
        <f>2026-F9+1</f>
        <v/>
      </c>
      <c r="I9" s="494" t="inlineStr">
        <is>
          <t>109C, 109B, 111A</t>
        </is>
      </c>
      <c r="J9" s="494" t="n">
        <v>109</v>
      </c>
      <c r="K9" s="494" t="n">
        <v>84</v>
      </c>
      <c r="L9" s="494" t="n">
        <v>33</v>
      </c>
      <c r="M9" s="494" t="inlineStr">
        <is>
          <t>계단식</t>
        </is>
      </c>
      <c r="N9" s="494" t="n">
        <v>3</v>
      </c>
      <c r="O9" s="494" t="n">
        <v>2</v>
      </c>
      <c r="P9" s="494" t="n">
        <v>430</v>
      </c>
      <c r="Q9" s="584" t="n">
        <v>42000</v>
      </c>
      <c r="R9" s="585" t="n">
        <v>30000</v>
      </c>
      <c r="S9" s="581">
        <f>Q9-R9</f>
        <v/>
      </c>
      <c r="T9" s="71">
        <f>R9/Q9</f>
        <v/>
      </c>
      <c r="U9" s="585" t="n"/>
      <c r="V9" s="585" t="n"/>
      <c r="W9" s="458" t="inlineStr">
        <is>
          <t>계단식</t>
        </is>
      </c>
      <c r="X9" s="458" t="n">
        <v>3</v>
      </c>
      <c r="Y9" s="458" t="n">
        <v>2</v>
      </c>
      <c r="Z9" s="458" t="n">
        <v>430</v>
      </c>
      <c r="AA9" s="98" t="n"/>
      <c r="AB9" s="99" t="n"/>
      <c r="AC9" s="77">
        <f>L9</f>
        <v/>
      </c>
      <c r="AD9" s="586" t="n"/>
      <c r="AE9" s="586" t="n"/>
      <c r="AF9" s="78">
        <f>AE9/AD9</f>
        <v/>
      </c>
      <c r="AG9" s="79">
        <f>AD9-AE9</f>
        <v/>
      </c>
      <c r="AH9" s="458" t="n">
        <v>2026.04</v>
      </c>
      <c r="AI9" s="458" t="n">
        <v>42000</v>
      </c>
      <c r="AJ9" s="458">
        <f>AI9-AD9</f>
        <v/>
      </c>
      <c r="AK9" s="129">
        <f>(AI9-AD9)/AD9</f>
        <v/>
      </c>
      <c r="AL9" s="80">
        <f>AJ9/AG9</f>
        <v/>
      </c>
      <c r="AM9" s="503" t="n"/>
      <c r="AN9" s="289" t="n"/>
      <c r="AO9" s="458" t="n"/>
      <c r="AP9" s="458" t="n"/>
      <c r="AQ9" s="458" t="n"/>
      <c r="AR9" s="458" t="n"/>
      <c r="AS9" s="458" t="n"/>
      <c r="AT9" s="458" t="n"/>
      <c r="AU9" s="458" t="n"/>
      <c r="AV9" s="289" t="n"/>
      <c r="AW9" s="458" t="n"/>
      <c r="AX9" s="458" t="n"/>
      <c r="AY9" s="458" t="n"/>
    </row>
    <row r="10" ht="18" customFormat="1" customHeight="1" s="494">
      <c r="A10" s="458" t="inlineStr">
        <is>
          <t>신부동</t>
        </is>
      </c>
      <c r="B10" s="9" t="n"/>
      <c r="C10" s="10" t="n"/>
      <c r="D10" s="458" t="n">
        <v>143063</v>
      </c>
      <c r="E10" s="146" t="inlineStr">
        <is>
          <t>포레나천안신부</t>
        </is>
      </c>
      <c r="F10" s="458" t="n">
        <v>2023.12</v>
      </c>
      <c r="G10" s="458" t="n">
        <v>602</v>
      </c>
      <c r="H10" s="458">
        <f>2026-F10+1</f>
        <v/>
      </c>
      <c r="I10" s="458" t="inlineStr">
        <is>
          <t>101</t>
        </is>
      </c>
      <c r="J10" s="458" t="n">
        <v>101</v>
      </c>
      <c r="K10" s="458" t="n">
        <v>76</v>
      </c>
      <c r="L10" s="458" t="n">
        <v>31</v>
      </c>
      <c r="M10" s="458" t="inlineStr">
        <is>
          <t>계단식</t>
        </is>
      </c>
      <c r="N10" s="458" t="n">
        <v>3</v>
      </c>
      <c r="O10" s="458" t="n">
        <v>2</v>
      </c>
      <c r="P10" s="458" t="n">
        <v>123</v>
      </c>
      <c r="Q10" s="587" t="n">
        <v>42000</v>
      </c>
      <c r="R10" s="588" t="n">
        <v>32000</v>
      </c>
      <c r="S10" s="581">
        <f>Q10-R10</f>
        <v/>
      </c>
      <c r="T10" s="71">
        <f>R10/Q10</f>
        <v/>
      </c>
      <c r="U10" s="588" t="n"/>
      <c r="V10" s="588" t="n"/>
      <c r="W10" s="458" t="inlineStr">
        <is>
          <t>계단식</t>
        </is>
      </c>
      <c r="X10" s="458" t="n">
        <v>3</v>
      </c>
      <c r="Y10" s="458" t="n">
        <v>2</v>
      </c>
      <c r="Z10" s="458" t="n">
        <v>123</v>
      </c>
      <c r="AA10" s="69" t="n">
        <v>2024.03</v>
      </c>
      <c r="AB10" s="37" t="n">
        <v>0.06</v>
      </c>
      <c r="AC10" s="37">
        <f>L10</f>
        <v/>
      </c>
      <c r="AD10" s="583" t="n">
        <v>33000</v>
      </c>
      <c r="AE10" s="583" t="n">
        <v>28429</v>
      </c>
      <c r="AF10" s="38">
        <f>AE10/AD10</f>
        <v/>
      </c>
      <c r="AG10" s="39">
        <f>AD10-AE10</f>
        <v/>
      </c>
      <c r="AH10" s="458" t="n">
        <v>2026.04</v>
      </c>
      <c r="AI10" s="458" t="n">
        <v>42000</v>
      </c>
      <c r="AJ10" s="458">
        <f>AI10-AD10</f>
        <v/>
      </c>
      <c r="AK10" s="129">
        <f>(AI10-AD10)/AD10</f>
        <v/>
      </c>
      <c r="AL10" s="29">
        <f>AJ10/AG10</f>
        <v/>
      </c>
      <c r="AM10" s="236" t="n"/>
      <c r="AN10" s="1" t="n"/>
      <c r="AO10" s="458" t="n"/>
      <c r="AP10" s="458" t="n"/>
      <c r="AQ10" s="458" t="n"/>
      <c r="AR10" s="458" t="n"/>
      <c r="AS10" s="458" t="n"/>
      <c r="AT10" s="458" t="n"/>
      <c r="AU10" s="458" t="n"/>
      <c r="AW10" s="458" t="n"/>
      <c r="AX10" s="458" t="n"/>
      <c r="AY10" s="458" t="n"/>
    </row>
    <row r="11" ht="18" customFormat="1" customHeight="1" s="494">
      <c r="A11" s="458" t="inlineStr">
        <is>
          <t>용곡동</t>
        </is>
      </c>
      <c r="B11" s="9" t="n"/>
      <c r="C11" s="10" t="n"/>
      <c r="D11" s="458" t="n">
        <v>186759</v>
      </c>
      <c r="E11" s="146" t="inlineStr">
        <is>
          <t>천안용곡두산위브</t>
        </is>
      </c>
      <c r="F11" s="458" t="n">
        <v>2025.1</v>
      </c>
      <c r="G11" s="458" t="n">
        <v>409</v>
      </c>
      <c r="H11" s="458">
        <f>2026-F11+1</f>
        <v/>
      </c>
      <c r="I11" s="458" t="inlineStr">
        <is>
          <t>109C</t>
        </is>
      </c>
      <c r="J11" s="458" t="n">
        <v>109</v>
      </c>
      <c r="K11" s="458" t="n">
        <v>84</v>
      </c>
      <c r="L11" s="458" t="n">
        <v>33</v>
      </c>
      <c r="M11" s="458" t="inlineStr">
        <is>
          <t>계단식</t>
        </is>
      </c>
      <c r="N11" s="458" t="n">
        <v>4</v>
      </c>
      <c r="O11" s="458" t="n">
        <v>2</v>
      </c>
      <c r="P11" s="458" t="n">
        <v>3</v>
      </c>
      <c r="Q11" s="530" t="n">
        <v>42000</v>
      </c>
      <c r="R11" s="531" t="n">
        <v>25000</v>
      </c>
      <c r="S11" s="581">
        <f>Q11-R11</f>
        <v/>
      </c>
      <c r="T11" s="71">
        <f>R11/Q11</f>
        <v/>
      </c>
      <c r="U11" s="531" t="n"/>
      <c r="V11" s="531" t="n"/>
      <c r="W11" s="458" t="inlineStr">
        <is>
          <t>계단식</t>
        </is>
      </c>
      <c r="X11" s="458" t="n">
        <v>4</v>
      </c>
      <c r="Y11" s="458" t="n">
        <v>2</v>
      </c>
      <c r="Z11" s="458" t="n">
        <v>3</v>
      </c>
      <c r="AA11" s="70" t="n"/>
      <c r="AB11" s="37" t="n"/>
      <c r="AC11" s="37">
        <f>L11</f>
        <v/>
      </c>
      <c r="AD11" s="583" t="n"/>
      <c r="AE11" s="583" t="n"/>
      <c r="AF11" s="38">
        <f>AE11/AD11</f>
        <v/>
      </c>
      <c r="AG11" s="39">
        <f>AD11-AE11</f>
        <v/>
      </c>
      <c r="AH11" s="458" t="n">
        <v>2026.04</v>
      </c>
      <c r="AI11" s="509" t="n">
        <v>42000</v>
      </c>
      <c r="AJ11" s="509">
        <f>AI11-AD11</f>
        <v/>
      </c>
      <c r="AK11" s="129">
        <f>(AI11-AD11)/AD11</f>
        <v/>
      </c>
      <c r="AL11" s="29">
        <f>AJ11/AG11</f>
        <v/>
      </c>
      <c r="AM11" s="236" t="n"/>
      <c r="AN11" s="16" t="n"/>
      <c r="AO11" s="458" t="n"/>
      <c r="AP11" s="458" t="n"/>
      <c r="AQ11" s="458" t="n"/>
      <c r="AR11" s="458" t="n"/>
      <c r="AS11" s="458" t="n"/>
      <c r="AT11" s="458" t="n"/>
      <c r="AU11" s="458" t="n"/>
      <c r="AW11" s="458" t="n"/>
      <c r="AX11" s="458" t="n"/>
      <c r="AY11" s="458" t="n"/>
    </row>
    <row r="12" ht="18" customFormat="1" customHeight="1" s="494">
      <c r="A12" s="458" t="inlineStr">
        <is>
          <t>신부동</t>
        </is>
      </c>
      <c r="B12" s="9" t="n"/>
      <c r="C12" s="10" t="n"/>
      <c r="D12" s="458" t="n">
        <v>152942</v>
      </c>
      <c r="E12" s="146" t="inlineStr">
        <is>
          <t>더샵신부센트라</t>
        </is>
      </c>
      <c r="F12" s="458" t="n">
        <v>2025.06</v>
      </c>
      <c r="G12" s="458" t="n">
        <v>592</v>
      </c>
      <c r="H12" s="458">
        <f>2026-F12+1</f>
        <v/>
      </c>
      <c r="I12" s="458" t="inlineStr">
        <is>
          <t>110A, 112B, 112C</t>
        </is>
      </c>
      <c r="J12" s="458" t="n">
        <v>110</v>
      </c>
      <c r="K12" s="458" t="n">
        <v>84</v>
      </c>
      <c r="L12" s="458" t="n">
        <v>33</v>
      </c>
      <c r="M12" s="458" t="inlineStr">
        <is>
          <t>계단식</t>
        </is>
      </c>
      <c r="N12" s="458" t="n">
        <v>3</v>
      </c>
      <c r="O12" s="458" t="n">
        <v>2</v>
      </c>
      <c r="P12" s="458" t="n">
        <v>446</v>
      </c>
      <c r="Q12" s="587" t="n">
        <v>41760</v>
      </c>
      <c r="R12" s="588" t="n">
        <v>33000</v>
      </c>
      <c r="S12" s="581">
        <f>Q12-R12</f>
        <v/>
      </c>
      <c r="T12" s="71">
        <f>R12/Q12</f>
        <v/>
      </c>
      <c r="U12" s="588" t="n"/>
      <c r="V12" s="588" t="n"/>
      <c r="W12" s="458" t="inlineStr">
        <is>
          <t>계단식</t>
        </is>
      </c>
      <c r="X12" s="458" t="n">
        <v>3</v>
      </c>
      <c r="Y12" s="458" t="n">
        <v>2</v>
      </c>
      <c r="Z12" s="458" t="n">
        <v>446</v>
      </c>
      <c r="AA12" s="69" t="n"/>
      <c r="AB12" s="37" t="n"/>
      <c r="AC12" s="37">
        <f>L12</f>
        <v/>
      </c>
      <c r="AD12" s="583" t="n"/>
      <c r="AE12" s="583" t="n"/>
      <c r="AF12" s="38">
        <f>AE12/AD12</f>
        <v/>
      </c>
      <c r="AG12" s="39">
        <f>AD12-AE12</f>
        <v/>
      </c>
      <c r="AH12" s="458" t="n">
        <v>2026.04</v>
      </c>
      <c r="AI12" s="458" t="n">
        <v>41760</v>
      </c>
      <c r="AJ12" s="458">
        <f>AI12-AD12</f>
        <v/>
      </c>
      <c r="AK12" s="129">
        <f>(AI12-AD12)/AD12</f>
        <v/>
      </c>
      <c r="AL12" s="29">
        <f>AJ12/AG12</f>
        <v/>
      </c>
      <c r="AM12" s="236" t="n"/>
      <c r="AN12" s="1" t="n"/>
      <c r="AO12" s="458" t="n"/>
      <c r="AP12" s="458" t="n"/>
      <c r="AQ12" s="458" t="n"/>
      <c r="AR12" s="458" t="n"/>
      <c r="AS12" s="458" t="n"/>
      <c r="AT12" s="458" t="n"/>
      <c r="AU12" s="458" t="n"/>
      <c r="AW12" s="458" t="n"/>
      <c r="AX12" s="458" t="n"/>
      <c r="AY12" s="458" t="n"/>
    </row>
    <row r="13" ht="18" customHeight="1" s="476">
      <c r="A13" s="494" t="inlineStr">
        <is>
          <t>용곡동</t>
        </is>
      </c>
      <c r="B13" s="88" t="n"/>
      <c r="C13" s="89" t="n"/>
      <c r="D13" s="494" t="n">
        <v>153265</v>
      </c>
      <c r="E13" s="133" t="inlineStr">
        <is>
          <t>호반써밋센트럴파크Ⅰ</t>
        </is>
      </c>
      <c r="F13" s="494" t="n">
        <v>2025.12</v>
      </c>
      <c r="G13" s="494" t="n">
        <v>453</v>
      </c>
      <c r="H13" s="494">
        <f>2026-F13+1</f>
        <v/>
      </c>
      <c r="I13" s="494" t="inlineStr">
        <is>
          <t>108B</t>
        </is>
      </c>
      <c r="J13" s="494" t="n">
        <v>108</v>
      </c>
      <c r="K13" s="494" t="n">
        <v>84</v>
      </c>
      <c r="L13" s="494" t="n">
        <v>33</v>
      </c>
      <c r="M13" s="494" t="inlineStr">
        <is>
          <t>계단식</t>
        </is>
      </c>
      <c r="N13" s="494" t="n">
        <v>3</v>
      </c>
      <c r="O13" s="494" t="n">
        <v>2</v>
      </c>
      <c r="P13" s="494" t="n">
        <v>85</v>
      </c>
      <c r="Q13" s="96" t="n">
        <v>41000</v>
      </c>
      <c r="R13" s="96" t="n">
        <v>28000</v>
      </c>
      <c r="S13" s="581">
        <f>Q13-R13</f>
        <v/>
      </c>
      <c r="T13" s="71">
        <f>R13/Q13</f>
        <v/>
      </c>
      <c r="U13" s="96" t="n"/>
      <c r="V13" s="96" t="n"/>
      <c r="W13" s="458" t="inlineStr">
        <is>
          <t>계단식</t>
        </is>
      </c>
      <c r="X13" s="458" t="n">
        <v>3</v>
      </c>
      <c r="Y13" s="458" t="n">
        <v>2</v>
      </c>
      <c r="Z13" s="458" t="n">
        <v>85</v>
      </c>
      <c r="AA13" s="98" t="n"/>
      <c r="AB13" s="99" t="n"/>
      <c r="AC13" s="99">
        <f>L13</f>
        <v/>
      </c>
      <c r="AD13" s="99" t="n"/>
      <c r="AE13" s="99" t="n"/>
      <c r="AF13" s="99">
        <f>AE13/AD13</f>
        <v/>
      </c>
      <c r="AG13" s="100">
        <f>AD13-AE13</f>
        <v/>
      </c>
      <c r="AH13" s="458" t="n">
        <v>2026.04</v>
      </c>
      <c r="AI13" s="458" t="n">
        <v>41000</v>
      </c>
      <c r="AJ13" s="458">
        <f>AI13-AD13</f>
        <v/>
      </c>
      <c r="AK13" s="129">
        <f>(AI13-AD13)/AD13</f>
        <v/>
      </c>
      <c r="AL13" s="101">
        <f>AJ13/AG13</f>
        <v/>
      </c>
      <c r="AM13" s="289" t="n"/>
      <c r="AN13" s="289" t="n"/>
      <c r="AV13" s="289" t="n"/>
    </row>
    <row r="14" ht="18" customHeight="1" s="476">
      <c r="A14" s="494" t="inlineStr">
        <is>
          <t>청당동</t>
        </is>
      </c>
      <c r="B14" s="88" t="n"/>
      <c r="C14" s="89" t="n"/>
      <c r="D14" s="494" t="n">
        <v>134767</v>
      </c>
      <c r="E14" s="133" t="inlineStr">
        <is>
          <t>행정타운센트럴두산위브</t>
        </is>
      </c>
      <c r="F14" s="494" t="n">
        <v>2023.02</v>
      </c>
      <c r="G14" s="494" t="n">
        <v>655</v>
      </c>
      <c r="H14" s="494">
        <f>2026-F14+1</f>
        <v/>
      </c>
      <c r="I14" s="494" t="inlineStr">
        <is>
          <t>111A, 111D, 111C, 111B, 113F, 114E, 114G</t>
        </is>
      </c>
      <c r="J14" s="494" t="n">
        <v>111</v>
      </c>
      <c r="K14" s="494" t="n">
        <v>84</v>
      </c>
      <c r="L14" s="494" t="n">
        <v>34</v>
      </c>
      <c r="M14" s="494" t="inlineStr">
        <is>
          <t>계단식</t>
        </is>
      </c>
      <c r="N14" s="494" t="n">
        <v>3</v>
      </c>
      <c r="O14" s="494" t="n">
        <v>2</v>
      </c>
      <c r="P14" s="494" t="n">
        <v>399</v>
      </c>
      <c r="Q14" s="96" t="n">
        <v>40500</v>
      </c>
      <c r="R14" s="96" t="n">
        <v>33000</v>
      </c>
      <c r="S14" s="581">
        <f>Q14-R14</f>
        <v/>
      </c>
      <c r="T14" s="71">
        <f>R14/Q14</f>
        <v/>
      </c>
      <c r="U14" s="96" t="n"/>
      <c r="V14" s="96" t="n">
        <v>37500</v>
      </c>
      <c r="W14" s="458" t="inlineStr">
        <is>
          <t>계단식</t>
        </is>
      </c>
      <c r="X14" s="458" t="n">
        <v>3</v>
      </c>
      <c r="Y14" s="458" t="n">
        <v>2</v>
      </c>
      <c r="Z14" s="458" t="n">
        <v>399</v>
      </c>
      <c r="AA14" s="98" t="n"/>
      <c r="AB14" s="99" t="n"/>
      <c r="AC14" s="99">
        <f>L14</f>
        <v/>
      </c>
      <c r="AD14" s="99" t="n"/>
      <c r="AE14" s="99" t="n"/>
      <c r="AF14" s="99">
        <f>AE14/AD14</f>
        <v/>
      </c>
      <c r="AG14" s="100">
        <f>AD14-AE14</f>
        <v/>
      </c>
      <c r="AH14" s="458" t="n">
        <v>2026.04</v>
      </c>
      <c r="AI14" s="458" t="n">
        <v>40500</v>
      </c>
      <c r="AJ14" s="458">
        <f>AI14-AD14</f>
        <v/>
      </c>
      <c r="AK14" s="129">
        <f>(AI14-AD14)/AD14</f>
        <v/>
      </c>
      <c r="AL14" s="101">
        <f>AJ14/AG14</f>
        <v/>
      </c>
      <c r="AM14" s="289" t="n"/>
      <c r="AN14" s="289" t="n"/>
      <c r="AO14" s="458" t="n"/>
      <c r="AP14" s="458" t="n"/>
      <c r="AQ14" s="458" t="n"/>
      <c r="AR14" s="458" t="n"/>
      <c r="AS14" s="458" t="n"/>
      <c r="AT14" s="458" t="n"/>
      <c r="AU14" s="458" t="n"/>
      <c r="AV14" s="289" t="n"/>
      <c r="AW14" s="458" t="n"/>
      <c r="AX14" s="458" t="n"/>
      <c r="AY14" s="458" t="n"/>
    </row>
    <row r="15" ht="18" customFormat="1" customHeight="1" s="494">
      <c r="A15" s="494" t="inlineStr">
        <is>
          <t>삼룡동</t>
        </is>
      </c>
      <c r="B15" s="88" t="n"/>
      <c r="C15" s="89" t="n"/>
      <c r="D15" s="494" t="n">
        <v>146718</v>
      </c>
      <c r="E15" s="133" t="inlineStr">
        <is>
          <t>호반써밋포레센트</t>
        </is>
      </c>
      <c r="F15" s="494" t="n">
        <v>2023.12</v>
      </c>
      <c r="G15" s="494" t="n">
        <v>594</v>
      </c>
      <c r="H15" s="494">
        <f>2026-F15+1</f>
        <v/>
      </c>
      <c r="I15" s="494" t="inlineStr">
        <is>
          <t>100C, 101B, 102A</t>
        </is>
      </c>
      <c r="J15" s="494" t="n">
        <v>100</v>
      </c>
      <c r="K15" s="494" t="n">
        <v>76</v>
      </c>
      <c r="L15" s="494" t="n">
        <v>30</v>
      </c>
      <c r="M15" s="494" t="inlineStr">
        <is>
          <t>계단식</t>
        </is>
      </c>
      <c r="N15" s="494" t="n">
        <v>3</v>
      </c>
      <c r="O15" s="494" t="n">
        <v>2</v>
      </c>
      <c r="P15" s="494" t="n">
        <v>160</v>
      </c>
      <c r="Q15" s="584" t="n">
        <v>40000</v>
      </c>
      <c r="R15" s="585" t="n">
        <v>22000</v>
      </c>
      <c r="S15" s="581">
        <f>Q15-R15</f>
        <v/>
      </c>
      <c r="T15" s="71">
        <f>R15/Q15</f>
        <v/>
      </c>
      <c r="U15" s="585" t="n"/>
      <c r="V15" s="585" t="n"/>
      <c r="W15" s="458" t="inlineStr">
        <is>
          <t>계단식</t>
        </is>
      </c>
      <c r="X15" s="458" t="n">
        <v>3</v>
      </c>
      <c r="Y15" s="458" t="n">
        <v>2</v>
      </c>
      <c r="Z15" s="458" t="n">
        <v>160</v>
      </c>
      <c r="AA15" s="98" t="n"/>
      <c r="AB15" s="99" t="n"/>
      <c r="AC15" s="77">
        <f>L15</f>
        <v/>
      </c>
      <c r="AD15" s="586" t="n"/>
      <c r="AE15" s="586" t="n"/>
      <c r="AF15" s="78">
        <f>AE15/AD15</f>
        <v/>
      </c>
      <c r="AG15" s="79">
        <f>AD15-AE15</f>
        <v/>
      </c>
      <c r="AH15" s="458" t="n">
        <v>2026.04</v>
      </c>
      <c r="AI15" s="458" t="n">
        <v>40000</v>
      </c>
      <c r="AJ15" s="458">
        <f>AI15-AD15</f>
        <v/>
      </c>
      <c r="AK15" s="129">
        <f>(AI15-AD15)/AD15</f>
        <v/>
      </c>
      <c r="AL15" s="80">
        <f>AJ15/AG15</f>
        <v/>
      </c>
      <c r="AM15" s="503" t="n"/>
      <c r="AN15" s="289" t="n"/>
      <c r="AO15" s="458" t="n"/>
      <c r="AP15" s="458" t="n"/>
      <c r="AQ15" s="458" t="n"/>
      <c r="AR15" s="458" t="n"/>
      <c r="AS15" s="458" t="n"/>
      <c r="AT15" s="458" t="n"/>
      <c r="AU15" s="458" t="n"/>
      <c r="AV15" s="289" t="n"/>
      <c r="AW15" s="458" t="n"/>
      <c r="AX15" s="458" t="n"/>
      <c r="AY15" s="458" t="n"/>
    </row>
    <row r="16" ht="15.5" customHeight="1" s="476">
      <c r="A16" s="458" t="inlineStr">
        <is>
          <t>용곡동</t>
        </is>
      </c>
      <c r="D16" s="458" t="n">
        <v>186759</v>
      </c>
      <c r="E16" s="146" t="inlineStr">
        <is>
          <t>천안용곡두산위브</t>
        </is>
      </c>
      <c r="F16" s="458" t="n">
        <v>2025.1</v>
      </c>
      <c r="G16" s="458" t="n">
        <v>409</v>
      </c>
      <c r="H16" s="458">
        <f>2026-F16+1</f>
        <v/>
      </c>
      <c r="I16" s="458" t="inlineStr">
        <is>
          <t>109A, 110B</t>
        </is>
      </c>
      <c r="J16" s="458" t="n">
        <v>109</v>
      </c>
      <c r="K16" s="458" t="n">
        <v>84</v>
      </c>
      <c r="L16" s="458" t="n">
        <v>33</v>
      </c>
      <c r="M16" s="458" t="inlineStr">
        <is>
          <t>계단식</t>
        </is>
      </c>
      <c r="N16" s="458" t="n">
        <v>3</v>
      </c>
      <c r="O16" s="458" t="n">
        <v>2</v>
      </c>
      <c r="P16" s="458" t="n">
        <v>34</v>
      </c>
      <c r="Q16" s="530" t="n">
        <v>39500</v>
      </c>
      <c r="R16" s="531" t="n">
        <v>25000</v>
      </c>
      <c r="S16" s="581">
        <f>Q16-R16</f>
        <v/>
      </c>
      <c r="T16" s="71">
        <f>R16/Q16</f>
        <v/>
      </c>
      <c r="U16" s="531" t="n"/>
      <c r="V16" s="531" t="n"/>
      <c r="W16" s="458" t="inlineStr">
        <is>
          <t>계단식</t>
        </is>
      </c>
      <c r="X16" s="458" t="n">
        <v>3</v>
      </c>
      <c r="Y16" s="458" t="n">
        <v>2</v>
      </c>
      <c r="Z16" s="458" t="n">
        <v>34</v>
      </c>
      <c r="AA16" s="70" t="n"/>
      <c r="AB16" s="37" t="n"/>
      <c r="AC16" s="37">
        <f>L16</f>
        <v/>
      </c>
      <c r="AD16" s="583" t="n"/>
      <c r="AE16" s="583" t="n"/>
      <c r="AF16" s="38">
        <f>AE16/AD16</f>
        <v/>
      </c>
      <c r="AG16" s="39">
        <f>AD16-AE16</f>
        <v/>
      </c>
      <c r="AH16" s="458" t="n">
        <v>2026.04</v>
      </c>
      <c r="AI16" s="509" t="n">
        <v>39500</v>
      </c>
      <c r="AJ16" s="509">
        <f>AI16-AD16</f>
        <v/>
      </c>
      <c r="AK16" s="129">
        <f>(AI16-AD16)/AD16</f>
        <v/>
      </c>
      <c r="AL16" s="29">
        <f>AJ16/AG16</f>
        <v/>
      </c>
      <c r="AM16" s="236" t="n"/>
      <c r="AN16" s="16" t="n"/>
    </row>
    <row r="17" ht="18" customHeight="1" s="476">
      <c r="A17" s="494" t="inlineStr">
        <is>
          <t>문화동</t>
        </is>
      </c>
      <c r="B17" s="88" t="n"/>
      <c r="C17" s="89" t="n"/>
      <c r="D17" s="494" t="n">
        <v>126749</v>
      </c>
      <c r="E17" s="133" t="inlineStr">
        <is>
          <t>천안역필하우스에듀시티1단지</t>
        </is>
      </c>
      <c r="F17" s="494" t="n">
        <v>2022.04</v>
      </c>
      <c r="G17" s="494" t="n">
        <v>1532</v>
      </c>
      <c r="H17" s="494">
        <f>2026-F17+1</f>
        <v/>
      </c>
      <c r="I17" s="494" t="inlineStr">
        <is>
          <t>112A, 113B, 114C, 114D</t>
        </is>
      </c>
      <c r="J17" s="494" t="n">
        <v>112</v>
      </c>
      <c r="K17" s="494" t="n">
        <v>84</v>
      </c>
      <c r="L17" s="494" t="n">
        <v>34</v>
      </c>
      <c r="M17" s="494" t="inlineStr">
        <is>
          <t>계단식</t>
        </is>
      </c>
      <c r="N17" s="494" t="n">
        <v>3</v>
      </c>
      <c r="O17" s="494" t="n">
        <v>2</v>
      </c>
      <c r="P17" s="494" t="n">
        <v>913</v>
      </c>
      <c r="Q17" s="584" t="n">
        <v>38800</v>
      </c>
      <c r="R17" s="585" t="n">
        <v>29000</v>
      </c>
      <c r="S17" s="581">
        <f>Q17-R17</f>
        <v/>
      </c>
      <c r="T17" s="71">
        <f>R17/Q17</f>
        <v/>
      </c>
      <c r="U17" s="585" t="n">
        <v>35500</v>
      </c>
      <c r="V17" s="585" t="n">
        <v>30000</v>
      </c>
      <c r="W17" s="458" t="inlineStr">
        <is>
          <t>계단식</t>
        </is>
      </c>
      <c r="X17" s="458" t="n">
        <v>3</v>
      </c>
      <c r="Y17" s="458" t="n">
        <v>2</v>
      </c>
      <c r="Z17" s="458" t="n">
        <v>913</v>
      </c>
      <c r="AA17" s="76" t="n"/>
      <c r="AB17" s="77" t="n"/>
      <c r="AC17" s="77">
        <f>L17</f>
        <v/>
      </c>
      <c r="AD17" s="586" t="n"/>
      <c r="AE17" s="586" t="n"/>
      <c r="AF17" s="78">
        <f>AE17/AD17</f>
        <v/>
      </c>
      <c r="AG17" s="79">
        <f>AD17-AE17</f>
        <v/>
      </c>
      <c r="AH17" s="458" t="n">
        <v>2026.04</v>
      </c>
      <c r="AI17" s="458" t="n">
        <v>38800</v>
      </c>
      <c r="AJ17" s="458">
        <f>AI17-AD17</f>
        <v/>
      </c>
      <c r="AK17" s="129">
        <f>(AI17-AD17)/AD17</f>
        <v/>
      </c>
      <c r="AL17" s="80">
        <f>AJ17/AG17</f>
        <v/>
      </c>
      <c r="AM17" s="503" t="n"/>
      <c r="AN17" s="81" t="n"/>
      <c r="AO17" s="458" t="n"/>
      <c r="AP17" s="458" t="n"/>
      <c r="AQ17" s="458" t="n"/>
      <c r="AR17" s="458" t="n"/>
      <c r="AS17" s="458" t="n"/>
      <c r="AT17" s="458" t="n"/>
      <c r="AU17" s="458" t="n"/>
      <c r="AV17" s="494" t="n"/>
      <c r="AW17" s="458" t="n"/>
      <c r="AX17" s="458" t="n"/>
      <c r="AY17" s="458" t="n"/>
    </row>
    <row r="18" ht="18" customHeight="1" s="476">
      <c r="A18" s="458" t="inlineStr">
        <is>
          <t>신부동</t>
        </is>
      </c>
      <c r="D18" s="458" t="n">
        <v>110256</v>
      </c>
      <c r="E18" s="146" t="inlineStr">
        <is>
          <t>힐스테이트천안신부</t>
        </is>
      </c>
      <c r="F18" s="458" t="n">
        <v>2017.08</v>
      </c>
      <c r="G18" s="458" t="n">
        <v>984</v>
      </c>
      <c r="H18" s="458">
        <f>2026-F18+1</f>
        <v/>
      </c>
      <c r="I18" s="458" t="inlineStr">
        <is>
          <t>113</t>
        </is>
      </c>
      <c r="J18" s="458" t="n">
        <v>113</v>
      </c>
      <c r="K18" s="458" t="n">
        <v>84</v>
      </c>
      <c r="L18" s="458" t="n">
        <v>34</v>
      </c>
      <c r="M18" s="458" t="inlineStr">
        <is>
          <t>계단식</t>
        </is>
      </c>
      <c r="N18" s="458" t="n">
        <v>3</v>
      </c>
      <c r="O18" s="458" t="n">
        <v>2</v>
      </c>
      <c r="P18" s="458" t="n">
        <v>262</v>
      </c>
      <c r="Q18" s="587" t="n">
        <v>37800</v>
      </c>
      <c r="R18" s="588" t="n">
        <v>31000</v>
      </c>
      <c r="S18" s="581">
        <f>Q18-R18</f>
        <v/>
      </c>
      <c r="T18" s="71">
        <f>R18/Q18</f>
        <v/>
      </c>
      <c r="U18" s="588" t="n">
        <v>56000</v>
      </c>
      <c r="V18" s="588" t="n">
        <v>36600</v>
      </c>
      <c r="W18" s="458" t="inlineStr">
        <is>
          <t>계단식</t>
        </is>
      </c>
      <c r="X18" s="458" t="n">
        <v>3</v>
      </c>
      <c r="Y18" s="458" t="n">
        <v>2</v>
      </c>
      <c r="Z18" s="458" t="n">
        <v>262</v>
      </c>
      <c r="AA18" s="69" t="n"/>
      <c r="AB18" s="37" t="n"/>
      <c r="AC18" s="37">
        <f>L18</f>
        <v/>
      </c>
      <c r="AD18" s="583" t="n"/>
      <c r="AE18" s="583" t="n"/>
      <c r="AF18" s="38">
        <f>AE18/AD18</f>
        <v/>
      </c>
      <c r="AG18" s="39">
        <f>AD18-AE18</f>
        <v/>
      </c>
      <c r="AH18" s="458" t="n">
        <v>2026.04</v>
      </c>
      <c r="AI18" s="458" t="n">
        <v>37800</v>
      </c>
      <c r="AJ18" s="458">
        <f>AI18-AD18</f>
        <v/>
      </c>
      <c r="AK18" s="129">
        <f>(AI18-AD18)/AD18</f>
        <v/>
      </c>
      <c r="AL18" s="29">
        <f>AJ18/AG18</f>
        <v/>
      </c>
      <c r="AM18" s="236" t="n"/>
      <c r="AO18" s="458" t="n"/>
      <c r="AP18" s="458" t="n"/>
      <c r="AQ18" s="458" t="n"/>
      <c r="AR18" s="458" t="n"/>
      <c r="AS18" s="458" t="n"/>
      <c r="AT18" s="458" t="n"/>
      <c r="AU18" s="458" t="n"/>
      <c r="AW18" s="458" t="n"/>
      <c r="AX18" s="458" t="n"/>
      <c r="AY18" s="458" t="n"/>
    </row>
    <row r="19" ht="18" customFormat="1" customHeight="1" s="494">
      <c r="A19" s="458" t="inlineStr">
        <is>
          <t>다가동</t>
        </is>
      </c>
      <c r="B19" s="9" t="n"/>
      <c r="C19" s="10" t="n"/>
      <c r="D19" s="458" t="n">
        <v>145699</v>
      </c>
      <c r="E19" s="146" t="inlineStr">
        <is>
          <t>천안극동스타클래스더퍼스트</t>
        </is>
      </c>
      <c r="F19" s="458" t="n">
        <v>2025.01</v>
      </c>
      <c r="G19" s="458" t="n">
        <v>1225</v>
      </c>
      <c r="H19" s="458">
        <f>2026-F19+1</f>
        <v/>
      </c>
      <c r="I19" s="458" t="inlineStr">
        <is>
          <t>112A, 113B</t>
        </is>
      </c>
      <c r="J19" s="458" t="n">
        <v>112</v>
      </c>
      <c r="K19" s="458" t="n">
        <v>84</v>
      </c>
      <c r="L19" s="458" t="n">
        <v>34</v>
      </c>
      <c r="M19" s="458" t="inlineStr">
        <is>
          <t>계단식</t>
        </is>
      </c>
      <c r="N19" s="458" t="n">
        <v>3</v>
      </c>
      <c r="O19" s="458" t="n">
        <v>2</v>
      </c>
      <c r="P19" s="458" t="n">
        <v>123</v>
      </c>
      <c r="Q19" s="587" t="n">
        <v>37000</v>
      </c>
      <c r="R19" s="588" t="n">
        <v>24000</v>
      </c>
      <c r="S19" s="581">
        <f>Q19-R19</f>
        <v/>
      </c>
      <c r="T19" s="71">
        <f>R19/Q19</f>
        <v/>
      </c>
      <c r="U19" s="588" t="n"/>
      <c r="V19" s="588" t="n"/>
      <c r="W19" s="458" t="inlineStr">
        <is>
          <t>계단식</t>
        </is>
      </c>
      <c r="X19" s="458" t="n">
        <v>3</v>
      </c>
      <c r="Y19" s="458" t="n">
        <v>2</v>
      </c>
      <c r="Z19" s="458" t="n">
        <v>123</v>
      </c>
      <c r="AA19" s="70" t="n"/>
      <c r="AB19" s="37" t="n"/>
      <c r="AC19" s="37">
        <f>L19</f>
        <v/>
      </c>
      <c r="AD19" s="583" t="n"/>
      <c r="AE19" s="583" t="n"/>
      <c r="AF19" s="38">
        <f>AE19/AD19</f>
        <v/>
      </c>
      <c r="AG19" s="39">
        <f>AD19-AE19</f>
        <v/>
      </c>
      <c r="AH19" s="458" t="n">
        <v>2026.04</v>
      </c>
      <c r="AI19" s="509" t="n">
        <v>37000</v>
      </c>
      <c r="AJ19" s="509">
        <f>AI19-AD19</f>
        <v/>
      </c>
      <c r="AK19" s="129">
        <f>(AI19-AD19)/AD19</f>
        <v/>
      </c>
      <c r="AL19" s="29">
        <f>AJ19/AG19</f>
        <v/>
      </c>
      <c r="AM19" s="236" t="n"/>
      <c r="AN19" s="1" t="n"/>
      <c r="AO19" s="458" t="n"/>
      <c r="AP19" s="458" t="n"/>
      <c r="AQ19" s="458" t="n"/>
      <c r="AR19" s="458" t="n"/>
      <c r="AS19" s="458" t="n"/>
      <c r="AT19" s="458" t="n"/>
      <c r="AU19" s="458" t="n"/>
      <c r="AW19" s="458" t="n"/>
      <c r="AX19" s="458" t="n"/>
      <c r="AY19" s="458" t="n"/>
    </row>
    <row r="20" ht="18" customFormat="1" customHeight="1" s="494">
      <c r="A20" s="458" t="inlineStr">
        <is>
          <t>문화동</t>
        </is>
      </c>
      <c r="B20" s="2" t="n"/>
      <c r="C20" s="90" t="n"/>
      <c r="D20" s="458" t="n">
        <v>121930</v>
      </c>
      <c r="E20" s="146" t="inlineStr">
        <is>
          <t>힐스테이트천안(주상복합)</t>
        </is>
      </c>
      <c r="F20" s="458" t="n">
        <v>2021.03</v>
      </c>
      <c r="G20" s="458" t="n">
        <v>451</v>
      </c>
      <c r="H20" s="458">
        <f>2026-F20+1</f>
        <v/>
      </c>
      <c r="I20" s="458" t="inlineStr">
        <is>
          <t>106</t>
        </is>
      </c>
      <c r="J20" s="458" t="n">
        <v>106</v>
      </c>
      <c r="K20" s="458" t="n">
        <v>74</v>
      </c>
      <c r="L20" s="458" t="n">
        <v>32</v>
      </c>
      <c r="M20" s="458" t="inlineStr">
        <is>
          <t>계단식</t>
        </is>
      </c>
      <c r="N20" s="458" t="n">
        <v>3</v>
      </c>
      <c r="O20" s="458" t="n">
        <v>2</v>
      </c>
      <c r="P20" s="458" t="n">
        <v>123</v>
      </c>
      <c r="Q20" s="587" t="n">
        <v>37000</v>
      </c>
      <c r="R20" s="588" t="n">
        <v>25000</v>
      </c>
      <c r="S20" s="581">
        <f>Q20-R20</f>
        <v/>
      </c>
      <c r="T20" s="71">
        <f>R20/Q20</f>
        <v/>
      </c>
      <c r="U20" s="588" t="n">
        <v>41800</v>
      </c>
      <c r="V20" s="588" t="n">
        <v>39000</v>
      </c>
      <c r="W20" s="458" t="inlineStr">
        <is>
          <t>계단식</t>
        </is>
      </c>
      <c r="X20" s="458" t="n">
        <v>3</v>
      </c>
      <c r="Y20" s="458" t="n">
        <v>2</v>
      </c>
      <c r="Z20" s="458" t="n">
        <v>123</v>
      </c>
      <c r="AA20" s="69" t="n"/>
      <c r="AB20" s="37" t="n"/>
      <c r="AC20" s="37">
        <f>L20</f>
        <v/>
      </c>
      <c r="AD20" s="583" t="n"/>
      <c r="AE20" s="583" t="n"/>
      <c r="AF20" s="38">
        <f>AE20/AD20</f>
        <v/>
      </c>
      <c r="AG20" s="39">
        <f>AD20-AE20</f>
        <v/>
      </c>
      <c r="AH20" s="458" t="n">
        <v>2026.04</v>
      </c>
      <c r="AI20" s="458" t="n">
        <v>37000</v>
      </c>
      <c r="AJ20" s="458">
        <f>AI20-AD20</f>
        <v/>
      </c>
      <c r="AK20" s="129">
        <f>(AI20-AD20)/AD20</f>
        <v/>
      </c>
      <c r="AL20" s="29">
        <f>AJ20/AG20</f>
        <v/>
      </c>
      <c r="AM20" s="236" t="n"/>
      <c r="AN20" s="1" t="n"/>
      <c r="AO20" s="458" t="n"/>
      <c r="AP20" s="458" t="n"/>
      <c r="AQ20" s="458" t="n"/>
      <c r="AR20" s="458" t="n"/>
      <c r="AS20" s="458" t="n"/>
      <c r="AT20" s="458" t="n"/>
      <c r="AU20" s="458" t="n"/>
      <c r="AV20" s="458" t="n"/>
      <c r="AW20" s="458" t="n"/>
      <c r="AX20" s="458" t="n"/>
      <c r="AY20" s="458" t="n"/>
    </row>
    <row r="21" ht="18" customFormat="1" customHeight="1" s="494">
      <c r="A21" s="458" t="inlineStr">
        <is>
          <t>봉명동</t>
        </is>
      </c>
      <c r="B21" s="9" t="n"/>
      <c r="C21" s="10" t="n"/>
      <c r="D21" s="458" t="n">
        <v>124679</v>
      </c>
      <c r="E21" s="146" t="inlineStr">
        <is>
          <t>e편한세상봉명아너리움</t>
        </is>
      </c>
      <c r="F21" s="458" t="n">
        <v>2020.06</v>
      </c>
      <c r="G21" s="458" t="n">
        <v>459</v>
      </c>
      <c r="H21" s="458">
        <f>2026-F21+1</f>
        <v/>
      </c>
      <c r="I21" s="458" t="inlineStr">
        <is>
          <t>113</t>
        </is>
      </c>
      <c r="J21" s="458" t="n">
        <v>113</v>
      </c>
      <c r="K21" s="458" t="n">
        <v>84</v>
      </c>
      <c r="L21" s="458" t="n">
        <v>34</v>
      </c>
      <c r="M21" s="458" t="inlineStr">
        <is>
          <t>계단식</t>
        </is>
      </c>
      <c r="N21" s="458" t="n">
        <v>3</v>
      </c>
      <c r="O21" s="458" t="n">
        <v>2</v>
      </c>
      <c r="P21" s="458" t="n">
        <v>98</v>
      </c>
      <c r="Q21" s="587" t="n">
        <v>37000</v>
      </c>
      <c r="R21" s="588" t="n">
        <v>30000</v>
      </c>
      <c r="S21" s="581">
        <f>Q21-R21</f>
        <v/>
      </c>
      <c r="T21" s="71">
        <f>R21/Q21</f>
        <v/>
      </c>
      <c r="U21" s="588" t="n"/>
      <c r="V21" s="588" t="n">
        <v>34400</v>
      </c>
      <c r="W21" s="458" t="inlineStr">
        <is>
          <t>계단식</t>
        </is>
      </c>
      <c r="X21" s="458" t="n">
        <v>3</v>
      </c>
      <c r="Y21" s="458" t="n">
        <v>2</v>
      </c>
      <c r="Z21" s="458" t="n">
        <v>98</v>
      </c>
      <c r="AA21" s="69" t="n"/>
      <c r="AB21" s="37" t="n"/>
      <c r="AC21" s="37">
        <f>L21</f>
        <v/>
      </c>
      <c r="AD21" s="583" t="n"/>
      <c r="AE21" s="583" t="n"/>
      <c r="AF21" s="38">
        <f>AE21/AD21</f>
        <v/>
      </c>
      <c r="AG21" s="39">
        <f>AD21-AE21</f>
        <v/>
      </c>
      <c r="AH21" s="458" t="n">
        <v>2026.04</v>
      </c>
      <c r="AI21" s="458" t="n">
        <v>37000</v>
      </c>
      <c r="AJ21" s="458">
        <f>AI21-AD21</f>
        <v/>
      </c>
      <c r="AK21" s="129">
        <f>(AI21-AD21)/AD21</f>
        <v/>
      </c>
      <c r="AL21" s="29">
        <f>AJ21/AG21</f>
        <v/>
      </c>
      <c r="AM21" s="236" t="n"/>
      <c r="AN21" s="1" t="n"/>
      <c r="AO21" s="458" t="n"/>
      <c r="AP21" s="458" t="n"/>
      <c r="AQ21" s="458" t="n"/>
      <c r="AR21" s="458" t="n"/>
      <c r="AS21" s="458" t="n"/>
      <c r="AT21" s="458" t="n"/>
      <c r="AU21" s="458" t="n"/>
      <c r="AV21" s="458" t="inlineStr">
        <is>
          <t>&gt;&gt;&gt; 인사이트 (가격을 통해 찾은 내용)</t>
        </is>
      </c>
      <c r="AW21" s="458" t="n"/>
      <c r="AX21" s="458" t="n"/>
      <c r="AY21" s="458" t="n"/>
    </row>
    <row r="22" ht="18" customFormat="1" customHeight="1" s="494">
      <c r="A22" s="458" t="inlineStr">
        <is>
          <t>신부동</t>
        </is>
      </c>
      <c r="B22" s="9" t="n"/>
      <c r="C22" s="10" t="n"/>
      <c r="D22" s="458" t="n">
        <v>109735</v>
      </c>
      <c r="E22" s="146" t="inlineStr">
        <is>
          <t>신부디이스트</t>
        </is>
      </c>
      <c r="F22" s="458" t="n">
        <v>2018.05</v>
      </c>
      <c r="G22" s="458" t="n">
        <v>2144</v>
      </c>
      <c r="H22" s="458">
        <f>2026-F22+1</f>
        <v/>
      </c>
      <c r="I22" s="458" t="inlineStr">
        <is>
          <t>113A, 114B</t>
        </is>
      </c>
      <c r="J22" s="458" t="n">
        <v>113</v>
      </c>
      <c r="K22" s="458" t="n">
        <v>84</v>
      </c>
      <c r="L22" s="458" t="n">
        <v>34</v>
      </c>
      <c r="M22" s="458" t="inlineStr">
        <is>
          <t>계단식</t>
        </is>
      </c>
      <c r="N22" s="458" t="n">
        <v>3</v>
      </c>
      <c r="O22" s="458" t="n">
        <v>2</v>
      </c>
      <c r="P22" s="458" t="n">
        <v>448</v>
      </c>
      <c r="Q22" s="589" t="n">
        <v>37000</v>
      </c>
      <c r="R22" s="590" t="n">
        <v>32000</v>
      </c>
      <c r="S22" s="581">
        <f>Q22-R22</f>
        <v/>
      </c>
      <c r="T22" s="71">
        <f>R22/Q22</f>
        <v/>
      </c>
      <c r="U22" s="588" t="n">
        <v>56800</v>
      </c>
      <c r="V22" s="588" t="n">
        <v>37500</v>
      </c>
      <c r="W22" s="458" t="inlineStr">
        <is>
          <t>계단식</t>
        </is>
      </c>
      <c r="X22" s="458" t="n">
        <v>3</v>
      </c>
      <c r="Y22" s="458" t="n">
        <v>2</v>
      </c>
      <c r="Z22" s="458" t="n">
        <v>448</v>
      </c>
      <c r="AA22" s="69" t="n">
        <v>2020.01</v>
      </c>
      <c r="AB22" s="37" t="n">
        <v>0.01</v>
      </c>
      <c r="AC22" s="37">
        <f>L22</f>
        <v/>
      </c>
      <c r="AD22" s="583" t="n">
        <v>33525</v>
      </c>
      <c r="AE22" s="583" t="n">
        <v>27167</v>
      </c>
      <c r="AF22" s="38">
        <f>AE22/AD22</f>
        <v/>
      </c>
      <c r="AG22" s="39">
        <f>AD22-AE22</f>
        <v/>
      </c>
      <c r="AH22" s="458" t="n">
        <v>2026.04</v>
      </c>
      <c r="AI22" s="458" t="n">
        <v>37000</v>
      </c>
      <c r="AJ22" s="458">
        <f>AI22-AD22</f>
        <v/>
      </c>
      <c r="AK22" s="129">
        <f>(AI22-AD22)/AD22</f>
        <v/>
      </c>
      <c r="AL22" s="29">
        <f>AJ22/AG22</f>
        <v/>
      </c>
      <c r="AM22" s="236" t="n"/>
      <c r="AN22" s="1" t="n"/>
      <c r="AO22" s="458" t="n"/>
      <c r="AP22" s="458" t="n"/>
      <c r="AQ22" s="458" t="n"/>
      <c r="AR22" s="458" t="n"/>
      <c r="AS22" s="458" t="n"/>
      <c r="AT22" s="458" t="n"/>
      <c r="AU22" s="458" t="n"/>
      <c r="AW22" s="458" t="n"/>
      <c r="AX22" s="458" t="n"/>
      <c r="AY22" s="458" t="n"/>
    </row>
    <row r="23" ht="18" customFormat="1" customHeight="1" s="494">
      <c r="A23" s="494" t="inlineStr">
        <is>
          <t>청당동</t>
        </is>
      </c>
      <c r="B23" s="88" t="n"/>
      <c r="C23" s="89" t="n"/>
      <c r="D23" s="494" t="n">
        <v>129755</v>
      </c>
      <c r="E23" s="133" t="inlineStr">
        <is>
          <t>청당서희스타힐스</t>
        </is>
      </c>
      <c r="F23" s="494" t="n">
        <v>2022.12</v>
      </c>
      <c r="G23" s="494" t="n">
        <v>741</v>
      </c>
      <c r="H23" s="494">
        <f>2026-F23+1</f>
        <v/>
      </c>
      <c r="I23" s="494" t="inlineStr">
        <is>
          <t>111</t>
        </is>
      </c>
      <c r="J23" s="494" t="n">
        <v>111</v>
      </c>
      <c r="K23" s="494" t="n">
        <v>84</v>
      </c>
      <c r="L23" s="494" t="n">
        <v>34</v>
      </c>
      <c r="M23" s="494" t="inlineStr">
        <is>
          <t>계단식</t>
        </is>
      </c>
      <c r="N23" s="494" t="n">
        <v>3</v>
      </c>
      <c r="O23" s="494" t="n">
        <v>2</v>
      </c>
      <c r="P23" s="494" t="n">
        <v>227</v>
      </c>
      <c r="Q23" s="96" t="n">
        <v>37000</v>
      </c>
      <c r="R23" s="96" t="n">
        <v>32000</v>
      </c>
      <c r="S23" s="581">
        <f>Q23-R23</f>
        <v/>
      </c>
      <c r="T23" s="71">
        <f>R23/Q23</f>
        <v/>
      </c>
      <c r="U23" s="96" t="n">
        <v>33020</v>
      </c>
      <c r="V23" s="96" t="n">
        <v>32500</v>
      </c>
      <c r="W23" s="458" t="inlineStr">
        <is>
          <t>계단식</t>
        </is>
      </c>
      <c r="X23" s="458" t="n">
        <v>3</v>
      </c>
      <c r="Y23" s="458" t="n">
        <v>2</v>
      </c>
      <c r="Z23" s="458" t="n">
        <v>227</v>
      </c>
      <c r="AA23" s="98" t="n"/>
      <c r="AB23" s="99" t="n"/>
      <c r="AC23" s="99">
        <f>L23</f>
        <v/>
      </c>
      <c r="AD23" s="99" t="n"/>
      <c r="AE23" s="99" t="n"/>
      <c r="AF23" s="99">
        <f>AE23/AD23</f>
        <v/>
      </c>
      <c r="AG23" s="100">
        <f>AD23-AE23</f>
        <v/>
      </c>
      <c r="AH23" s="458" t="n">
        <v>2026.04</v>
      </c>
      <c r="AI23" s="458" t="n">
        <v>37000</v>
      </c>
      <c r="AJ23" s="458">
        <f>AI23-AD23</f>
        <v/>
      </c>
      <c r="AK23" s="129">
        <f>(AI23-AD23)/AD23</f>
        <v/>
      </c>
      <c r="AL23" s="101">
        <f>AJ23/AG23</f>
        <v/>
      </c>
      <c r="AM23" s="289" t="n"/>
      <c r="AN23" s="289" t="n"/>
      <c r="AO23" s="458" t="n"/>
      <c r="AP23" s="458" t="n"/>
      <c r="AQ23" s="458" t="n"/>
      <c r="AR23" s="458" t="n"/>
      <c r="AS23" s="458" t="n"/>
      <c r="AT23" s="458" t="n"/>
      <c r="AU23" s="458" t="n"/>
      <c r="AV23" s="289" t="n"/>
      <c r="AW23" s="458" t="n"/>
      <c r="AX23" s="458" t="n"/>
      <c r="AY23" s="458" t="n"/>
    </row>
    <row r="24" ht="18" customHeight="1" s="476">
      <c r="A24" s="494" t="inlineStr">
        <is>
          <t>청당동</t>
        </is>
      </c>
      <c r="B24" s="88" t="n"/>
      <c r="C24" s="89" t="n"/>
      <c r="D24" s="494" t="n">
        <v>134767</v>
      </c>
      <c r="E24" s="133" t="inlineStr">
        <is>
          <t>행정타운센트럴두산위브</t>
        </is>
      </c>
      <c r="F24" s="494" t="n">
        <v>2023.02</v>
      </c>
      <c r="G24" s="494" t="n">
        <v>655</v>
      </c>
      <c r="H24" s="494">
        <f>2026-F24+1</f>
        <v/>
      </c>
      <c r="I24" s="494" t="inlineStr">
        <is>
          <t>98A, 98B</t>
        </is>
      </c>
      <c r="J24" s="494" t="n">
        <v>98</v>
      </c>
      <c r="K24" s="494" t="n">
        <v>74</v>
      </c>
      <c r="L24" s="494" t="n">
        <v>30</v>
      </c>
      <c r="M24" s="494" t="inlineStr">
        <is>
          <t>계단식</t>
        </is>
      </c>
      <c r="N24" s="494" t="n">
        <v>3</v>
      </c>
      <c r="O24" s="494" t="n">
        <v>2</v>
      </c>
      <c r="P24" s="494" t="n">
        <v>256</v>
      </c>
      <c r="Q24" s="96" t="n">
        <v>37000</v>
      </c>
      <c r="R24" s="96" t="n">
        <v>25000</v>
      </c>
      <c r="S24" s="581">
        <f>Q24-R24</f>
        <v/>
      </c>
      <c r="T24" s="71">
        <f>R24/Q24</f>
        <v/>
      </c>
      <c r="U24" s="96" t="n"/>
      <c r="V24" s="96" t="n">
        <v>30300</v>
      </c>
      <c r="W24" s="458" t="inlineStr">
        <is>
          <t>계단식</t>
        </is>
      </c>
      <c r="X24" s="458" t="n">
        <v>3</v>
      </c>
      <c r="Y24" s="458" t="n">
        <v>2</v>
      </c>
      <c r="Z24" s="458" t="n">
        <v>256</v>
      </c>
      <c r="AA24" s="98" t="n"/>
      <c r="AB24" s="99" t="n"/>
      <c r="AC24" s="99">
        <f>L24</f>
        <v/>
      </c>
      <c r="AD24" s="99" t="n"/>
      <c r="AE24" s="99" t="n"/>
      <c r="AF24" s="99">
        <f>AE24/AD24</f>
        <v/>
      </c>
      <c r="AG24" s="100">
        <f>AD24-AE24</f>
        <v/>
      </c>
      <c r="AH24" s="458" t="n">
        <v>2026.04</v>
      </c>
      <c r="AI24" s="458" t="n">
        <v>37000</v>
      </c>
      <c r="AJ24" s="458">
        <f>AI24-AD24</f>
        <v/>
      </c>
      <c r="AK24" s="129">
        <f>(AI24-AD24)/AD24</f>
        <v/>
      </c>
      <c r="AL24" s="101">
        <f>AJ24/AG24</f>
        <v/>
      </c>
      <c r="AM24" s="289" t="n"/>
      <c r="AN24" s="289" t="n"/>
      <c r="AV24" s="289" t="n"/>
    </row>
    <row r="25" ht="18" customHeight="1" s="476">
      <c r="A25" s="494" t="inlineStr">
        <is>
          <t>청당동</t>
        </is>
      </c>
      <c r="B25" s="88" t="n"/>
      <c r="C25" s="89" t="n"/>
      <c r="D25" s="494" t="n">
        <v>107332</v>
      </c>
      <c r="E25" s="133" t="inlineStr">
        <is>
          <t>청수포레나</t>
        </is>
      </c>
      <c r="F25" s="494" t="n">
        <v>2015.07</v>
      </c>
      <c r="G25" s="494" t="n">
        <v>468</v>
      </c>
      <c r="H25" s="494">
        <f>2026-F25+1</f>
        <v/>
      </c>
      <c r="I25" s="494" t="inlineStr">
        <is>
          <t>112B, 113A, 113C</t>
        </is>
      </c>
      <c r="J25" s="494" t="n">
        <v>112</v>
      </c>
      <c r="K25" s="494" t="n">
        <v>86</v>
      </c>
      <c r="L25" s="494" t="n">
        <v>34</v>
      </c>
      <c r="M25" s="494" t="inlineStr">
        <is>
          <t>계단식</t>
        </is>
      </c>
      <c r="N25" s="494" t="n">
        <v>3</v>
      </c>
      <c r="O25" s="494" t="n">
        <v>2</v>
      </c>
      <c r="P25" s="494" t="n">
        <v>416</v>
      </c>
      <c r="Q25" s="96" t="n">
        <v>36000</v>
      </c>
      <c r="R25" s="96" t="n">
        <v>25000</v>
      </c>
      <c r="S25" s="581">
        <f>Q25-R25</f>
        <v/>
      </c>
      <c r="T25" s="71">
        <f>R25/Q25</f>
        <v/>
      </c>
      <c r="U25" s="96" t="n">
        <v>52500</v>
      </c>
      <c r="V25" s="96" t="n">
        <v>33000</v>
      </c>
      <c r="W25" s="458" t="inlineStr">
        <is>
          <t>계단식</t>
        </is>
      </c>
      <c r="X25" s="458" t="n">
        <v>3</v>
      </c>
      <c r="Y25" s="458" t="n">
        <v>2</v>
      </c>
      <c r="Z25" s="458" t="n">
        <v>416</v>
      </c>
      <c r="AA25" s="98" t="n">
        <v>2020.01</v>
      </c>
      <c r="AB25" s="99" t="n">
        <v>0.01</v>
      </c>
      <c r="AC25" s="99">
        <f>L25</f>
        <v/>
      </c>
      <c r="AD25" s="99" t="n">
        <v>31900</v>
      </c>
      <c r="AE25" s="99" t="n">
        <v>27000</v>
      </c>
      <c r="AF25" s="99">
        <f>AE25/AD25</f>
        <v/>
      </c>
      <c r="AG25" s="100">
        <f>AD25-AE25</f>
        <v/>
      </c>
      <c r="AH25" s="458" t="n">
        <v>2026.04</v>
      </c>
      <c r="AI25" s="458" t="n">
        <v>36000</v>
      </c>
      <c r="AJ25" s="458">
        <f>AI25-AD25</f>
        <v/>
      </c>
      <c r="AK25" s="129">
        <f>(AI25-AD25)/AD25</f>
        <v/>
      </c>
      <c r="AL25" s="101">
        <f>AJ25/AG25</f>
        <v/>
      </c>
      <c r="AM25" s="289" t="n"/>
      <c r="AN25" s="289" t="n"/>
      <c r="AO25" s="458" t="n"/>
      <c r="AP25" s="458" t="n"/>
      <c r="AQ25" s="458" t="n"/>
      <c r="AR25" s="458" t="n"/>
      <c r="AS25" s="458" t="n"/>
      <c r="AT25" s="458" t="n"/>
      <c r="AU25" s="458" t="n"/>
      <c r="AV25" s="289" t="n"/>
      <c r="AW25" s="458" t="n"/>
      <c r="AX25" s="458" t="n"/>
      <c r="AY25" s="458" t="n"/>
    </row>
    <row r="26" ht="18" customHeight="1" s="476">
      <c r="A26" s="494" t="inlineStr">
        <is>
          <t>청수동</t>
        </is>
      </c>
      <c r="B26" s="289" t="n"/>
      <c r="C26" s="289" t="n"/>
      <c r="D26" s="494" t="n">
        <v>133523</v>
      </c>
      <c r="E26" s="133" t="inlineStr">
        <is>
          <t>청수행정타운금호어울림</t>
        </is>
      </c>
      <c r="F26" s="494" t="n">
        <v>2023.01</v>
      </c>
      <c r="G26" s="494" t="n">
        <v>584</v>
      </c>
      <c r="H26" s="494">
        <f>2026-F26+1</f>
        <v/>
      </c>
      <c r="I26" s="494" t="inlineStr">
        <is>
          <t>109</t>
        </is>
      </c>
      <c r="J26" s="494" t="n">
        <v>109</v>
      </c>
      <c r="K26" s="494" t="n">
        <v>84</v>
      </c>
      <c r="L26" s="494" t="n">
        <v>33</v>
      </c>
      <c r="M26" s="494" t="inlineStr">
        <is>
          <t>계단식</t>
        </is>
      </c>
      <c r="N26" s="494" t="n">
        <v>3</v>
      </c>
      <c r="O26" s="494" t="n">
        <v>2</v>
      </c>
      <c r="P26" s="494" t="n">
        <v>102</v>
      </c>
      <c r="Q26" s="96" t="n">
        <v>36000</v>
      </c>
      <c r="R26" s="96" t="n">
        <v>23000</v>
      </c>
      <c r="S26" s="581">
        <f>Q26-R26</f>
        <v/>
      </c>
      <c r="T26" s="71">
        <f>R26/Q26</f>
        <v/>
      </c>
      <c r="U26" s="96" t="n"/>
      <c r="V26" s="96" t="n">
        <v>30790</v>
      </c>
      <c r="W26" s="458" t="inlineStr">
        <is>
          <t>계단식</t>
        </is>
      </c>
      <c r="X26" s="458" t="n">
        <v>3</v>
      </c>
      <c r="Y26" s="458" t="n">
        <v>2</v>
      </c>
      <c r="Z26" s="458" t="n">
        <v>102</v>
      </c>
      <c r="AA26" s="98" t="n"/>
      <c r="AB26" s="99" t="n"/>
      <c r="AC26" s="99">
        <f>L26</f>
        <v/>
      </c>
      <c r="AD26" s="99" t="n"/>
      <c r="AE26" s="99" t="n"/>
      <c r="AF26" s="99">
        <f>AE26/AD26</f>
        <v/>
      </c>
      <c r="AG26" s="100">
        <f>AD26-AE26</f>
        <v/>
      </c>
      <c r="AH26" s="458" t="n">
        <v>2026.04</v>
      </c>
      <c r="AI26" s="458" t="n">
        <v>36000</v>
      </c>
      <c r="AJ26" s="458">
        <f>AI26-AD26</f>
        <v/>
      </c>
      <c r="AK26" s="129">
        <f>(AI26-AD26)/AD26</f>
        <v/>
      </c>
      <c r="AL26" s="101">
        <f>AJ26/AG26</f>
        <v/>
      </c>
      <c r="AM26" s="289" t="n"/>
      <c r="AN26" s="289" t="n"/>
      <c r="AO26" s="458" t="n"/>
      <c r="AP26" s="458" t="n"/>
      <c r="AQ26" s="458" t="n"/>
      <c r="AR26" s="458" t="n"/>
      <c r="AS26" s="458" t="n"/>
      <c r="AT26" s="458" t="n"/>
      <c r="AU26" s="458" t="n"/>
      <c r="AV26" s="289" t="n"/>
      <c r="AW26" s="458" t="n"/>
      <c r="AX26" s="458" t="n"/>
      <c r="AY26" s="458" t="n"/>
    </row>
    <row r="27" ht="18" customHeight="1" s="476">
      <c r="A27" s="494" t="inlineStr">
        <is>
          <t>봉명동</t>
        </is>
      </c>
      <c r="B27" s="289" t="n"/>
      <c r="C27" s="289" t="n"/>
      <c r="D27" s="494" t="n">
        <v>113728</v>
      </c>
      <c r="E27" s="133" t="inlineStr">
        <is>
          <t>봉서산아이파크</t>
        </is>
      </c>
      <c r="F27" s="494" t="n">
        <v>2018.1</v>
      </c>
      <c r="G27" s="494" t="n">
        <v>665</v>
      </c>
      <c r="H27" s="494">
        <f>2026-F27+1</f>
        <v/>
      </c>
      <c r="I27" s="494" t="inlineStr">
        <is>
          <t>114A, 114B, 115C</t>
        </is>
      </c>
      <c r="J27" s="494" t="n">
        <v>114</v>
      </c>
      <c r="K27" s="494" t="n">
        <v>84</v>
      </c>
      <c r="L27" s="494" t="n">
        <v>34</v>
      </c>
      <c r="M27" s="494" t="inlineStr">
        <is>
          <t>계단식</t>
        </is>
      </c>
      <c r="N27" s="494" t="n">
        <v>3</v>
      </c>
      <c r="O27" s="494" t="n">
        <v>2</v>
      </c>
      <c r="P27" s="494" t="n">
        <v>431</v>
      </c>
      <c r="Q27" s="584" t="n">
        <v>35000</v>
      </c>
      <c r="R27" s="585" t="n">
        <v>32000</v>
      </c>
      <c r="S27" s="581">
        <f>Q27-R27</f>
        <v/>
      </c>
      <c r="T27" s="71">
        <f>R27/Q27</f>
        <v/>
      </c>
      <c r="U27" s="585" t="n">
        <v>46800</v>
      </c>
      <c r="V27" s="585" t="n">
        <v>36000</v>
      </c>
      <c r="W27" s="458" t="inlineStr">
        <is>
          <t>계단식</t>
        </is>
      </c>
      <c r="X27" s="458" t="n">
        <v>3</v>
      </c>
      <c r="Y27" s="458" t="n">
        <v>2</v>
      </c>
      <c r="Z27" s="458" t="n">
        <v>431</v>
      </c>
      <c r="AA27" s="98" t="n"/>
      <c r="AB27" s="99" t="n"/>
      <c r="AC27" s="77">
        <f>L27</f>
        <v/>
      </c>
      <c r="AD27" s="586" t="n"/>
      <c r="AE27" s="586" t="n"/>
      <c r="AF27" s="78">
        <f>AE27/AD27</f>
        <v/>
      </c>
      <c r="AG27" s="79">
        <f>AD27-AE27</f>
        <v/>
      </c>
      <c r="AH27" s="458" t="n">
        <v>2026.04</v>
      </c>
      <c r="AI27" s="458" t="n">
        <v>35000</v>
      </c>
      <c r="AJ27" s="458">
        <f>AI27-AD27</f>
        <v/>
      </c>
      <c r="AK27" s="129">
        <f>(AI27-AD27)/AD27</f>
        <v/>
      </c>
      <c r="AL27" s="80">
        <f>AJ27/AG27</f>
        <v/>
      </c>
      <c r="AM27" s="503" t="n"/>
      <c r="AN27" s="289" t="n"/>
      <c r="AO27" s="458" t="n"/>
      <c r="AP27" s="458" t="n"/>
      <c r="AQ27" s="458" t="n"/>
      <c r="AR27" s="458" t="n"/>
      <c r="AS27" s="458" t="n"/>
      <c r="AT27" s="458" t="n"/>
      <c r="AU27" s="458" t="n"/>
      <c r="AV27" s="289" t="n"/>
      <c r="AW27" s="458" t="n"/>
      <c r="AX27" s="458" t="n"/>
      <c r="AY27" s="458" t="n"/>
    </row>
    <row r="28" ht="18" customHeight="1" s="476">
      <c r="A28" s="458" t="inlineStr">
        <is>
          <t>신방동</t>
        </is>
      </c>
      <c r="D28" s="458" t="n">
        <v>135648</v>
      </c>
      <c r="E28" s="146" t="inlineStr">
        <is>
          <t>천안신방삼부르네상스</t>
        </is>
      </c>
      <c r="F28" s="458" t="n">
        <v>2023.05</v>
      </c>
      <c r="G28" s="458" t="n">
        <v>830</v>
      </c>
      <c r="H28" s="458">
        <f>2026-F28+1</f>
        <v/>
      </c>
      <c r="I28" s="458" t="inlineStr">
        <is>
          <t>111A</t>
        </is>
      </c>
      <c r="J28" s="458" t="n">
        <v>111</v>
      </c>
      <c r="K28" s="458" t="n">
        <v>84</v>
      </c>
      <c r="L28" s="458" t="n">
        <v>34</v>
      </c>
      <c r="M28" s="458" t="inlineStr">
        <is>
          <t>계단식</t>
        </is>
      </c>
      <c r="N28" s="458" t="n">
        <v>3</v>
      </c>
      <c r="O28" s="458" t="n">
        <v>2</v>
      </c>
      <c r="P28" s="458" t="n">
        <v>94</v>
      </c>
      <c r="Q28" s="587" t="n">
        <v>35000</v>
      </c>
      <c r="R28" s="588" t="n">
        <v>30000</v>
      </c>
      <c r="S28" s="581">
        <f>Q28-R28</f>
        <v/>
      </c>
      <c r="T28" s="71">
        <f>R28/Q28</f>
        <v/>
      </c>
      <c r="U28" s="588" t="n"/>
      <c r="V28" s="588" t="n">
        <v>32230</v>
      </c>
      <c r="W28" s="458" t="inlineStr">
        <is>
          <t>계단식</t>
        </is>
      </c>
      <c r="X28" s="458" t="n">
        <v>3</v>
      </c>
      <c r="Y28" s="458" t="n">
        <v>2</v>
      </c>
      <c r="Z28" s="458" t="n">
        <v>94</v>
      </c>
      <c r="AA28" s="69" t="n"/>
      <c r="AB28" s="37" t="n"/>
      <c r="AC28" s="37">
        <f>L28</f>
        <v/>
      </c>
      <c r="AD28" s="583" t="n"/>
      <c r="AE28" s="583" t="n"/>
      <c r="AF28" s="38">
        <f>AE28/AD28</f>
        <v/>
      </c>
      <c r="AG28" s="39">
        <f>AD28-AE28</f>
        <v/>
      </c>
      <c r="AH28" s="458" t="n">
        <v>2026.04</v>
      </c>
      <c r="AI28" s="458" t="n">
        <v>35000</v>
      </c>
      <c r="AJ28" s="458">
        <f>AI28-AD28</f>
        <v/>
      </c>
      <c r="AK28" s="129">
        <f>(AI28-AD28)/AD28</f>
        <v/>
      </c>
      <c r="AL28" s="29">
        <f>AJ28/AG28</f>
        <v/>
      </c>
      <c r="AM28" s="236" t="n"/>
    </row>
    <row r="29" ht="18" customHeight="1" s="476">
      <c r="A29" s="458" t="inlineStr">
        <is>
          <t>청당동</t>
        </is>
      </c>
      <c r="D29" s="458" t="n">
        <v>116435</v>
      </c>
      <c r="E29" s="146" t="inlineStr">
        <is>
          <t>청당코오롱하늘채</t>
        </is>
      </c>
      <c r="F29" s="458" t="n">
        <v>2019.12</v>
      </c>
      <c r="G29" s="458" t="n">
        <v>1534</v>
      </c>
      <c r="H29" s="458">
        <f>2026-F29+1</f>
        <v/>
      </c>
      <c r="I29" s="458" t="inlineStr">
        <is>
          <t>111</t>
        </is>
      </c>
      <c r="J29" s="458" t="n">
        <v>111</v>
      </c>
      <c r="K29" s="458" t="n">
        <v>84</v>
      </c>
      <c r="L29" s="458" t="n">
        <v>34</v>
      </c>
      <c r="M29" s="458" t="inlineStr">
        <is>
          <t>계단식</t>
        </is>
      </c>
      <c r="N29" s="458" t="n">
        <v>3</v>
      </c>
      <c r="O29" s="458" t="n">
        <v>2</v>
      </c>
      <c r="P29" s="458" t="n">
        <v>354</v>
      </c>
      <c r="Q29" s="104" t="n">
        <v>35000</v>
      </c>
      <c r="R29" s="104" t="n">
        <v>28000</v>
      </c>
      <c r="S29" s="581">
        <f>Q29-R29</f>
        <v/>
      </c>
      <c r="T29" s="71">
        <f>R29/Q29</f>
        <v/>
      </c>
      <c r="U29" s="104" t="n">
        <v>50200</v>
      </c>
      <c r="V29" s="104" t="n">
        <v>33800</v>
      </c>
      <c r="W29" s="458" t="inlineStr">
        <is>
          <t>계단식</t>
        </is>
      </c>
      <c r="X29" s="458" t="n">
        <v>3</v>
      </c>
      <c r="Y29" s="458" t="n">
        <v>2</v>
      </c>
      <c r="Z29" s="458" t="n">
        <v>354</v>
      </c>
      <c r="AA29" s="69" t="n">
        <v>2020.09</v>
      </c>
      <c r="AB29" s="37" t="n">
        <v>0.04</v>
      </c>
      <c r="AC29" s="37">
        <f>L29</f>
        <v/>
      </c>
      <c r="AD29" s="108" t="n">
        <v>30112</v>
      </c>
      <c r="AE29" s="108" t="n">
        <v>25857</v>
      </c>
      <c r="AF29" s="108">
        <f>AE29/AD29</f>
        <v/>
      </c>
      <c r="AG29" s="109">
        <f>AD29-AE29</f>
        <v/>
      </c>
      <c r="AH29" s="458" t="n">
        <v>2026.04</v>
      </c>
      <c r="AI29" s="458" t="n">
        <v>35000</v>
      </c>
      <c r="AJ29" s="458">
        <f>AI29-AD29</f>
        <v/>
      </c>
      <c r="AK29" s="129">
        <f>(AI29-AD29)/AD29</f>
        <v/>
      </c>
      <c r="AL29" s="29">
        <f>AJ29/AG29</f>
        <v/>
      </c>
      <c r="AM29" s="236" t="n"/>
      <c r="AO29" s="458" t="n"/>
      <c r="AP29" s="458" t="n"/>
      <c r="AQ29" s="458" t="n"/>
      <c r="AR29" s="458" t="n"/>
      <c r="AS29" s="458" t="n"/>
      <c r="AT29" s="458" t="n"/>
      <c r="AU29" s="458" t="n"/>
      <c r="AW29" s="458" t="n"/>
      <c r="AX29" s="458" t="n"/>
      <c r="AY29" s="458" t="n"/>
    </row>
    <row r="30" ht="18" customHeight="1" s="476">
      <c r="A30" s="494" t="inlineStr">
        <is>
          <t>문화동</t>
        </is>
      </c>
      <c r="B30" s="289" t="n"/>
      <c r="C30" s="289" t="n"/>
      <c r="D30" s="494" t="n">
        <v>126749</v>
      </c>
      <c r="E30" s="133" t="inlineStr">
        <is>
          <t>천안역필하우스에듀시티1단지</t>
        </is>
      </c>
      <c r="F30" s="494" t="n">
        <v>2022.04</v>
      </c>
      <c r="G30" s="494" t="n">
        <v>1532</v>
      </c>
      <c r="H30" s="494">
        <f>2026-F30+1</f>
        <v/>
      </c>
      <c r="I30" s="494" t="inlineStr">
        <is>
          <t>98A, 102C</t>
        </is>
      </c>
      <c r="J30" s="494" t="n">
        <v>98</v>
      </c>
      <c r="K30" s="494" t="n">
        <v>73</v>
      </c>
      <c r="L30" s="494" t="n">
        <v>30</v>
      </c>
      <c r="M30" s="494" t="inlineStr">
        <is>
          <t>계단식</t>
        </is>
      </c>
      <c r="N30" s="494" t="n">
        <v>3</v>
      </c>
      <c r="O30" s="494" t="n">
        <v>2</v>
      </c>
      <c r="P30" s="494" t="n">
        <v>401</v>
      </c>
      <c r="Q30" s="584" t="n">
        <v>34000</v>
      </c>
      <c r="R30" s="585" t="n">
        <v>27500</v>
      </c>
      <c r="S30" s="581">
        <f>Q30-R30</f>
        <v/>
      </c>
      <c r="T30" s="71">
        <f>R30/Q30</f>
        <v/>
      </c>
      <c r="U30" s="585" t="n">
        <v>32000</v>
      </c>
      <c r="V30" s="585" t="n">
        <v>30000</v>
      </c>
      <c r="W30" s="458" t="inlineStr">
        <is>
          <t>계단식</t>
        </is>
      </c>
      <c r="X30" s="458" t="n">
        <v>3</v>
      </c>
      <c r="Y30" s="458" t="n">
        <v>2</v>
      </c>
      <c r="Z30" s="458" t="n">
        <v>401</v>
      </c>
      <c r="AA30" s="76" t="n"/>
      <c r="AB30" s="77" t="n"/>
      <c r="AC30" s="77">
        <f>L30</f>
        <v/>
      </c>
      <c r="AD30" s="586" t="n"/>
      <c r="AE30" s="586" t="n"/>
      <c r="AF30" s="78">
        <f>AE30/AD30</f>
        <v/>
      </c>
      <c r="AG30" s="79">
        <f>AD30-AE30</f>
        <v/>
      </c>
      <c r="AH30" s="458" t="n">
        <v>2026.04</v>
      </c>
      <c r="AI30" s="458" t="n">
        <v>34000</v>
      </c>
      <c r="AJ30" s="458">
        <f>AI30-AD30</f>
        <v/>
      </c>
      <c r="AK30" s="129">
        <f>(AI30-AD30)/AD30</f>
        <v/>
      </c>
      <c r="AL30" s="80">
        <f>AJ30/AG30</f>
        <v/>
      </c>
      <c r="AM30" s="503" t="n"/>
      <c r="AN30" s="81" t="n"/>
      <c r="AO30" s="458" t="n"/>
      <c r="AP30" s="458" t="n"/>
      <c r="AQ30" s="458" t="n"/>
      <c r="AR30" s="458" t="n"/>
      <c r="AS30" s="458" t="n"/>
      <c r="AT30" s="458" t="n"/>
      <c r="AU30" s="458" t="n"/>
      <c r="AV30" s="494" t="n"/>
      <c r="AW30" s="458" t="n"/>
      <c r="AX30" s="458" t="n"/>
      <c r="AY30" s="458" t="n"/>
    </row>
    <row r="31" ht="18" customFormat="1" customHeight="1" s="2">
      <c r="A31" s="494" t="inlineStr">
        <is>
          <t>봉명동</t>
        </is>
      </c>
      <c r="B31" s="289" t="n"/>
      <c r="C31" s="289" t="n"/>
      <c r="D31" s="494" t="n">
        <v>137226</v>
      </c>
      <c r="E31" s="133" t="inlineStr">
        <is>
          <t>봉명역센트럴시티</t>
        </is>
      </c>
      <c r="F31" s="494" t="n">
        <v>2025.01</v>
      </c>
      <c r="G31" s="494" t="n">
        <v>816</v>
      </c>
      <c r="H31" s="494">
        <f>2026-F31+1</f>
        <v/>
      </c>
      <c r="I31" s="494" t="inlineStr">
        <is>
          <t>101B, 101A</t>
        </is>
      </c>
      <c r="J31" s="494" t="n">
        <v>101</v>
      </c>
      <c r="K31" s="494" t="n">
        <v>74</v>
      </c>
      <c r="L31" s="494" t="n">
        <v>31</v>
      </c>
      <c r="M31" s="494" t="inlineStr">
        <is>
          <t>계단식</t>
        </is>
      </c>
      <c r="N31" s="494" t="n">
        <v>3</v>
      </c>
      <c r="O31" s="494" t="n">
        <v>2</v>
      </c>
      <c r="P31" s="494" t="n">
        <v>288</v>
      </c>
      <c r="Q31" s="584" t="n">
        <v>34000</v>
      </c>
      <c r="R31" s="585" t="n">
        <v>27000</v>
      </c>
      <c r="S31" s="581">
        <f>Q31-R31</f>
        <v/>
      </c>
      <c r="T31" s="71">
        <f>R31/Q31</f>
        <v/>
      </c>
      <c r="U31" s="585" t="n"/>
      <c r="V31" s="585" t="n"/>
      <c r="W31" s="458" t="inlineStr">
        <is>
          <t>계단식</t>
        </is>
      </c>
      <c r="X31" s="458" t="n">
        <v>3</v>
      </c>
      <c r="Y31" s="458" t="n">
        <v>2</v>
      </c>
      <c r="Z31" s="458" t="n">
        <v>288</v>
      </c>
      <c r="AA31" s="76" t="n"/>
      <c r="AB31" s="77" t="n"/>
      <c r="AC31" s="77">
        <f>L31</f>
        <v/>
      </c>
      <c r="AD31" s="586" t="n"/>
      <c r="AE31" s="586" t="n"/>
      <c r="AF31" s="78">
        <f>AE31/AD31</f>
        <v/>
      </c>
      <c r="AG31" s="79">
        <f>AD31-AE31</f>
        <v/>
      </c>
      <c r="AH31" s="458" t="n">
        <v>2026.04</v>
      </c>
      <c r="AI31" s="458" t="n">
        <v>34000</v>
      </c>
      <c r="AJ31" s="458">
        <f>AI31-AD31</f>
        <v/>
      </c>
      <c r="AK31" s="129">
        <f>(AI31-AD31)/AD31</f>
        <v/>
      </c>
      <c r="AL31" s="80">
        <f>AJ31/AG31</f>
        <v/>
      </c>
      <c r="AM31" s="503" t="n"/>
      <c r="AN31" s="289" t="n"/>
      <c r="AO31" s="458" t="n"/>
      <c r="AP31" s="458" t="n"/>
      <c r="AQ31" s="458" t="n"/>
      <c r="AR31" s="458" t="n"/>
      <c r="AS31" s="458" t="n"/>
      <c r="AT31" s="458" t="n"/>
      <c r="AU31" s="458" t="n"/>
      <c r="AV31" s="88" t="n"/>
      <c r="AW31" s="458" t="n"/>
      <c r="AX31" s="458" t="n"/>
      <c r="AY31" s="458" t="n"/>
    </row>
    <row r="32" ht="18" customFormat="1" customHeight="1" s="2">
      <c r="A32" s="458" t="inlineStr">
        <is>
          <t>신부동</t>
        </is>
      </c>
      <c r="B32" s="159" t="n"/>
      <c r="C32" s="159" t="n"/>
      <c r="D32" s="458" t="n">
        <v>109735</v>
      </c>
      <c r="E32" s="146" t="inlineStr">
        <is>
          <t>신부디이스트</t>
        </is>
      </c>
      <c r="F32" s="458" t="n">
        <v>2018.05</v>
      </c>
      <c r="G32" s="458" t="n">
        <v>2144</v>
      </c>
      <c r="H32" s="458">
        <f>2026-F32+1</f>
        <v/>
      </c>
      <c r="I32" s="458" t="inlineStr">
        <is>
          <t>100A1, 100B1, 100C</t>
        </is>
      </c>
      <c r="J32" s="458" t="n">
        <v>100</v>
      </c>
      <c r="K32" s="458" t="n">
        <v>74</v>
      </c>
      <c r="L32" s="458" t="n">
        <v>30</v>
      </c>
      <c r="M32" s="458" t="inlineStr">
        <is>
          <t>계단식</t>
        </is>
      </c>
      <c r="N32" s="458" t="n">
        <v>3</v>
      </c>
      <c r="O32" s="458" t="n">
        <v>2</v>
      </c>
      <c r="P32" s="458" t="n">
        <v>633</v>
      </c>
      <c r="Q32" s="587" t="n">
        <v>34000</v>
      </c>
      <c r="R32" s="588" t="n">
        <v>30000</v>
      </c>
      <c r="S32" s="581">
        <f>Q32-R32</f>
        <v/>
      </c>
      <c r="T32" s="71">
        <f>R32/Q32</f>
        <v/>
      </c>
      <c r="U32" s="588" t="n">
        <v>48000</v>
      </c>
      <c r="V32" s="588" t="n">
        <v>29250</v>
      </c>
      <c r="W32" s="458" t="inlineStr">
        <is>
          <t>계단식</t>
        </is>
      </c>
      <c r="X32" s="458" t="n">
        <v>3</v>
      </c>
      <c r="Y32" s="458" t="n">
        <v>2</v>
      </c>
      <c r="Z32" s="458" t="n">
        <v>633</v>
      </c>
      <c r="AA32" s="69" t="n">
        <v>2020.01</v>
      </c>
      <c r="AB32" s="37" t="n">
        <v>0.02</v>
      </c>
      <c r="AC32" s="37">
        <f>L32</f>
        <v/>
      </c>
      <c r="AD32" s="583" t="n">
        <v>27623</v>
      </c>
      <c r="AE32" s="583" t="n">
        <v>23750</v>
      </c>
      <c r="AF32" s="38">
        <f>AE32/AD32</f>
        <v/>
      </c>
      <c r="AG32" s="39">
        <f>AD32-AE32</f>
        <v/>
      </c>
      <c r="AH32" s="458" t="n">
        <v>2026.04</v>
      </c>
      <c r="AI32" s="458" t="n">
        <v>34000</v>
      </c>
      <c r="AJ32" s="458">
        <f>AI32-AD32</f>
        <v/>
      </c>
      <c r="AK32" s="129">
        <f>(AI32-AD32)/AD32</f>
        <v/>
      </c>
      <c r="AL32" s="29">
        <f>AJ32/AG32</f>
        <v/>
      </c>
      <c r="AM32" s="236" t="n"/>
      <c r="AN32" s="1" t="n"/>
      <c r="AO32" s="458" t="n"/>
      <c r="AP32" s="458" t="n"/>
      <c r="AQ32" s="458" t="n"/>
      <c r="AR32" s="458" t="n"/>
      <c r="AS32" s="458" t="n"/>
      <c r="AT32" s="458" t="n"/>
      <c r="AU32" s="458" t="n"/>
      <c r="AV32" s="112" t="n"/>
      <c r="AW32" s="458" t="n"/>
      <c r="AX32" s="458" t="n"/>
      <c r="AY32" s="458" t="n"/>
    </row>
    <row r="33" ht="18" customFormat="1" customHeight="1" s="2">
      <c r="A33" s="494" t="inlineStr">
        <is>
          <t>청당동</t>
        </is>
      </c>
      <c r="B33" s="88" t="n"/>
      <c r="C33" s="88" t="n"/>
      <c r="D33" s="494" t="n">
        <v>129755</v>
      </c>
      <c r="E33" s="133" t="inlineStr">
        <is>
          <t>청당서희스타힐스</t>
        </is>
      </c>
      <c r="F33" s="494" t="n">
        <v>2022.12</v>
      </c>
      <c r="G33" s="494" t="n">
        <v>741</v>
      </c>
      <c r="H33" s="494">
        <f>2026-F33+1</f>
        <v/>
      </c>
      <c r="I33" s="494" t="inlineStr">
        <is>
          <t>98A, 98B</t>
        </is>
      </c>
      <c r="J33" s="494" t="n">
        <v>98</v>
      </c>
      <c r="K33" s="494" t="n">
        <v>74</v>
      </c>
      <c r="L33" s="494" t="n">
        <v>30</v>
      </c>
      <c r="M33" s="494" t="inlineStr">
        <is>
          <t>계단식</t>
        </is>
      </c>
      <c r="N33" s="494" t="n">
        <v>3</v>
      </c>
      <c r="O33" s="494" t="n">
        <v>2</v>
      </c>
      <c r="P33" s="494" t="n">
        <v>389</v>
      </c>
      <c r="Q33" s="96" t="n">
        <v>34000</v>
      </c>
      <c r="R33" s="96" t="n">
        <v>27000</v>
      </c>
      <c r="S33" s="581">
        <f>Q33-R33</f>
        <v/>
      </c>
      <c r="T33" s="71">
        <f>R33/Q33</f>
        <v/>
      </c>
      <c r="U33" s="96" t="n">
        <v>35500</v>
      </c>
      <c r="V33" s="96" t="n">
        <v>27150</v>
      </c>
      <c r="W33" s="458" t="inlineStr">
        <is>
          <t>계단식</t>
        </is>
      </c>
      <c r="X33" s="458" t="n">
        <v>3</v>
      </c>
      <c r="Y33" s="458" t="n">
        <v>2</v>
      </c>
      <c r="Z33" s="458" t="n">
        <v>389</v>
      </c>
      <c r="AA33" s="98" t="n"/>
      <c r="AB33" s="99" t="n"/>
      <c r="AC33" s="99">
        <f>L33</f>
        <v/>
      </c>
      <c r="AD33" s="99" t="n"/>
      <c r="AE33" s="99" t="n"/>
      <c r="AF33" s="99">
        <f>AE33/AD33</f>
        <v/>
      </c>
      <c r="AG33" s="100">
        <f>AD33-AE33</f>
        <v/>
      </c>
      <c r="AH33" s="458" t="n">
        <v>2026.04</v>
      </c>
      <c r="AI33" s="458" t="n">
        <v>34000</v>
      </c>
      <c r="AJ33" s="458">
        <f>AI33-AD33</f>
        <v/>
      </c>
      <c r="AK33" s="129">
        <f>(AI33-AD33)/AD33</f>
        <v/>
      </c>
      <c r="AL33" s="101">
        <f>AJ33/AG33</f>
        <v/>
      </c>
      <c r="AM33" s="289" t="n"/>
      <c r="AN33" s="289" t="n"/>
      <c r="AO33" s="458" t="n"/>
      <c r="AP33" s="458" t="n"/>
      <c r="AQ33" s="458" t="n"/>
      <c r="AR33" s="458" t="n"/>
      <c r="AS33" s="458" t="n"/>
      <c r="AT33" s="458" t="n"/>
      <c r="AU33" s="458" t="n"/>
      <c r="AV33" s="88" t="n"/>
      <c r="AW33" s="458" t="n"/>
      <c r="AX33" s="458" t="n"/>
      <c r="AY33" s="458" t="n"/>
    </row>
    <row r="34" ht="18" customFormat="1" customHeight="1" s="2">
      <c r="A34" s="494" t="inlineStr">
        <is>
          <t>청당동</t>
        </is>
      </c>
      <c r="B34" s="289" t="n"/>
      <c r="C34" s="289" t="n"/>
      <c r="D34" s="494" t="n">
        <v>151758</v>
      </c>
      <c r="E34" s="133" t="inlineStr">
        <is>
          <t>천안롯데캐슬더청당</t>
        </is>
      </c>
      <c r="F34" s="494" t="n">
        <v>2025.08</v>
      </c>
      <c r="G34" s="494" t="n">
        <v>1199</v>
      </c>
      <c r="H34" s="494">
        <f>2026-F34+1</f>
        <v/>
      </c>
      <c r="I34" s="494" t="inlineStr">
        <is>
          <t>82A, 82B</t>
        </is>
      </c>
      <c r="J34" s="494" t="n">
        <v>82</v>
      </c>
      <c r="K34" s="494" t="n">
        <v>59</v>
      </c>
      <c r="L34" s="494" t="n">
        <v>25</v>
      </c>
      <c r="M34" s="494" t="inlineStr">
        <is>
          <t>계단식</t>
        </is>
      </c>
      <c r="N34" s="494" t="n">
        <v>3</v>
      </c>
      <c r="O34" s="494" t="n">
        <v>2</v>
      </c>
      <c r="P34" s="494" t="n">
        <v>145</v>
      </c>
      <c r="Q34" s="96" t="n">
        <v>34000</v>
      </c>
      <c r="R34" s="96" t="n">
        <v>23000</v>
      </c>
      <c r="S34" s="581">
        <f>Q34-R34</f>
        <v/>
      </c>
      <c r="T34" s="71">
        <f>R34/Q34</f>
        <v/>
      </c>
      <c r="U34" s="96" t="n"/>
      <c r="V34" s="96" t="n"/>
      <c r="W34" s="458" t="inlineStr">
        <is>
          <t>계단식</t>
        </is>
      </c>
      <c r="X34" s="458" t="n">
        <v>3</v>
      </c>
      <c r="Y34" s="458" t="n">
        <v>2</v>
      </c>
      <c r="Z34" s="458" t="n">
        <v>145</v>
      </c>
      <c r="AA34" s="98" t="n"/>
      <c r="AB34" s="99" t="n"/>
      <c r="AC34" s="99">
        <f>L34</f>
        <v/>
      </c>
      <c r="AD34" s="99" t="n"/>
      <c r="AE34" s="99" t="n"/>
      <c r="AF34" s="99">
        <f>AE34/AD34</f>
        <v/>
      </c>
      <c r="AG34" s="100">
        <f>AD34-AE34</f>
        <v/>
      </c>
      <c r="AH34" s="458" t="n">
        <v>2026.04</v>
      </c>
      <c r="AI34" s="458" t="n">
        <v>34000</v>
      </c>
      <c r="AJ34" s="458">
        <f>AI34-AD34</f>
        <v/>
      </c>
      <c r="AK34" s="129">
        <f>(AI34-AD34)/AD34</f>
        <v/>
      </c>
      <c r="AL34" s="101">
        <f>AJ34/AG34</f>
        <v/>
      </c>
      <c r="AM34" s="289" t="n"/>
      <c r="AN34" s="289" t="n"/>
      <c r="AO34" s="458" t="n"/>
      <c r="AP34" s="458" t="n"/>
      <c r="AQ34" s="458" t="n"/>
      <c r="AR34" s="458" t="n"/>
      <c r="AS34" s="458" t="n"/>
      <c r="AT34" s="458" t="n"/>
      <c r="AU34" s="458" t="n"/>
      <c r="AV34" s="289" t="n"/>
      <c r="AW34" s="458" t="n"/>
      <c r="AX34" s="458" t="n"/>
      <c r="AY34" s="458" t="n"/>
    </row>
    <row r="35" ht="18" customFormat="1" customHeight="1" s="2">
      <c r="A35" s="458" t="inlineStr">
        <is>
          <t>청당동</t>
        </is>
      </c>
      <c r="B35" s="159" t="n"/>
      <c r="C35" s="159" t="n"/>
      <c r="D35" s="458" t="n">
        <v>111627</v>
      </c>
      <c r="E35" s="146" t="inlineStr">
        <is>
          <t>청당한양수자인블루시티</t>
        </is>
      </c>
      <c r="F35" s="458" t="n">
        <v>2018.03</v>
      </c>
      <c r="G35" s="458" t="n">
        <v>999</v>
      </c>
      <c r="H35" s="458">
        <f>2026-F35+1</f>
        <v/>
      </c>
      <c r="I35" s="458" t="inlineStr">
        <is>
          <t>113A, 114B</t>
        </is>
      </c>
      <c r="J35" s="458" t="n">
        <v>113</v>
      </c>
      <c r="K35" s="458" t="n">
        <v>84</v>
      </c>
      <c r="L35" s="458" t="n">
        <v>34</v>
      </c>
      <c r="M35" s="458" t="inlineStr">
        <is>
          <t>계단식</t>
        </is>
      </c>
      <c r="N35" s="458" t="n">
        <v>3</v>
      </c>
      <c r="O35" s="458" t="n">
        <v>2</v>
      </c>
      <c r="P35" s="458" t="n">
        <v>622</v>
      </c>
      <c r="Q35" s="104" t="n">
        <v>33000</v>
      </c>
      <c r="R35" s="104" t="n">
        <v>28000</v>
      </c>
      <c r="S35" s="581">
        <f>Q35-R35</f>
        <v/>
      </c>
      <c r="T35" s="71">
        <f>R35/Q35</f>
        <v/>
      </c>
      <c r="U35" s="104" t="n">
        <v>50000</v>
      </c>
      <c r="V35" s="104" t="n">
        <v>29000</v>
      </c>
      <c r="W35" s="458" t="inlineStr">
        <is>
          <t>계단식</t>
        </is>
      </c>
      <c r="X35" s="458" t="n">
        <v>3</v>
      </c>
      <c r="Y35" s="458" t="n">
        <v>2</v>
      </c>
      <c r="Z35" s="458" t="n">
        <v>622</v>
      </c>
      <c r="AA35" s="69" t="n"/>
      <c r="AB35" s="37" t="n"/>
      <c r="AC35" s="37">
        <f>L35</f>
        <v/>
      </c>
      <c r="AD35" s="108" t="n"/>
      <c r="AE35" s="108" t="n"/>
      <c r="AF35" s="108">
        <f>AE35/AD35</f>
        <v/>
      </c>
      <c r="AG35" s="109">
        <f>AD35-AE35</f>
        <v/>
      </c>
      <c r="AH35" s="458" t="n">
        <v>2026.04</v>
      </c>
      <c r="AI35" s="458" t="n">
        <v>33000</v>
      </c>
      <c r="AJ35" s="458">
        <f>AI35-AD35</f>
        <v/>
      </c>
      <c r="AK35" s="129">
        <f>(AI35-AD35)/AD35</f>
        <v/>
      </c>
      <c r="AL35" s="29">
        <f>AJ35/AG35</f>
        <v/>
      </c>
      <c r="AM35" s="236" t="n"/>
      <c r="AN35" s="1" t="n"/>
      <c r="AO35" s="458" t="n"/>
      <c r="AP35" s="458" t="n"/>
      <c r="AQ35" s="458" t="n"/>
      <c r="AR35" s="458" t="n"/>
      <c r="AS35" s="458" t="n"/>
      <c r="AT35" s="458" t="n"/>
      <c r="AU35" s="458" t="n"/>
      <c r="AW35" s="458" t="n"/>
      <c r="AX35" s="458" t="n"/>
      <c r="AY35" s="458" t="n"/>
    </row>
    <row r="36" ht="18" customFormat="1" customHeight="1" s="2">
      <c r="A36" s="458" t="inlineStr">
        <is>
          <t>봉명동</t>
        </is>
      </c>
      <c r="B36" s="159" t="n"/>
      <c r="C36" s="159" t="n"/>
      <c r="D36" s="458" t="n">
        <v>124679</v>
      </c>
      <c r="E36" s="146" t="inlineStr">
        <is>
          <t>e편한세상봉명아너리움</t>
        </is>
      </c>
      <c r="F36" s="458" t="n">
        <v>2020.06</v>
      </c>
      <c r="G36" s="458" t="n">
        <v>459</v>
      </c>
      <c r="H36" s="458">
        <f>2026-F36+1</f>
        <v/>
      </c>
      <c r="I36" s="458" t="inlineStr">
        <is>
          <t>109</t>
        </is>
      </c>
      <c r="J36" s="458" t="n">
        <v>109</v>
      </c>
      <c r="K36" s="458" t="n">
        <v>79</v>
      </c>
      <c r="L36" s="458" t="n">
        <v>33</v>
      </c>
      <c r="M36" s="458" t="inlineStr">
        <is>
          <t>계단식</t>
        </is>
      </c>
      <c r="N36" s="458" t="n">
        <v>3</v>
      </c>
      <c r="O36" s="458" t="n">
        <v>2</v>
      </c>
      <c r="P36" s="458" t="n">
        <v>80</v>
      </c>
      <c r="Q36" s="587" t="n">
        <v>32500</v>
      </c>
      <c r="R36" s="588" t="n">
        <v>27000</v>
      </c>
      <c r="S36" s="581">
        <f>Q36-R36</f>
        <v/>
      </c>
      <c r="T36" s="71">
        <f>R36/Q36</f>
        <v/>
      </c>
      <c r="U36" s="588" t="n">
        <v>37500</v>
      </c>
      <c r="V36" s="588" t="n">
        <v>32000</v>
      </c>
      <c r="W36" s="458" t="inlineStr">
        <is>
          <t>계단식</t>
        </is>
      </c>
      <c r="X36" s="458" t="n">
        <v>3</v>
      </c>
      <c r="Y36" s="458" t="n">
        <v>2</v>
      </c>
      <c r="Z36" s="458" t="n">
        <v>80</v>
      </c>
      <c r="AA36" s="69" t="n">
        <v>2024.06</v>
      </c>
      <c r="AB36" s="37" t="n">
        <v>0.01</v>
      </c>
      <c r="AC36" s="37">
        <f>L36</f>
        <v/>
      </c>
      <c r="AD36" s="583" t="n">
        <v>34100</v>
      </c>
      <c r="AE36" s="583" t="n">
        <v>28000</v>
      </c>
      <c r="AF36" s="38">
        <f>AE36/AD36</f>
        <v/>
      </c>
      <c r="AG36" s="39">
        <f>AD36-AE36</f>
        <v/>
      </c>
      <c r="AH36" s="458" t="n">
        <v>2026.04</v>
      </c>
      <c r="AI36" s="458" t="n">
        <v>32500</v>
      </c>
      <c r="AJ36" s="458">
        <f>AI36-AD36</f>
        <v/>
      </c>
      <c r="AK36" s="129">
        <f>(AI36-AD36)/AD36</f>
        <v/>
      </c>
      <c r="AL36" s="29">
        <f>AJ36/AG36</f>
        <v/>
      </c>
      <c r="AM36" s="236" t="n"/>
      <c r="AN36" s="1" t="n"/>
      <c r="AO36" s="458" t="n"/>
      <c r="AP36" s="458" t="n"/>
      <c r="AQ36" s="458" t="n"/>
      <c r="AR36" s="458" t="n"/>
      <c r="AS36" s="458" t="n"/>
      <c r="AT36" s="458" t="n"/>
      <c r="AU36" s="458" t="n"/>
      <c r="AV36" s="458">
        <f t="array" ref="AV36">- 엑셀에 값 입력 후 생각정리</f>
        <v/>
      </c>
      <c r="AW36" s="458" t="n"/>
      <c r="AX36" s="458" t="n"/>
      <c r="AY36" s="458" t="n"/>
    </row>
    <row r="37" ht="18" customFormat="1" customHeight="1" s="2">
      <c r="A37" s="458" t="inlineStr">
        <is>
          <t>신부동</t>
        </is>
      </c>
      <c r="B37" s="159" t="n"/>
      <c r="C37" s="159" t="n"/>
      <c r="D37" s="458" t="n">
        <v>110256</v>
      </c>
      <c r="E37" s="146" t="inlineStr">
        <is>
          <t>힐스테이트천안신부</t>
        </is>
      </c>
      <c r="F37" s="458" t="n">
        <v>2017.08</v>
      </c>
      <c r="G37" s="458" t="n">
        <v>984</v>
      </c>
      <c r="H37" s="458">
        <f>2026-F37+1</f>
        <v/>
      </c>
      <c r="I37" s="458" t="inlineStr">
        <is>
          <t>100</t>
        </is>
      </c>
      <c r="J37" s="458" t="n">
        <v>100</v>
      </c>
      <c r="K37" s="458" t="n">
        <v>74</v>
      </c>
      <c r="L37" s="458" t="n">
        <v>30</v>
      </c>
      <c r="M37" s="458" t="inlineStr">
        <is>
          <t>계단식</t>
        </is>
      </c>
      <c r="N37" s="458" t="n">
        <v>3</v>
      </c>
      <c r="O37" s="458" t="n">
        <v>2</v>
      </c>
      <c r="P37" s="458" t="n">
        <v>337</v>
      </c>
      <c r="Q37" s="587" t="n">
        <v>32500</v>
      </c>
      <c r="R37" s="588" t="n">
        <v>26000</v>
      </c>
      <c r="S37" s="581">
        <f>Q37-R37</f>
        <v/>
      </c>
      <c r="T37" s="71">
        <f>R37/Q37</f>
        <v/>
      </c>
      <c r="U37" s="588" t="n">
        <v>44300</v>
      </c>
      <c r="V37" s="588" t="n">
        <v>30000</v>
      </c>
      <c r="W37" s="458" t="inlineStr">
        <is>
          <t>계단식</t>
        </is>
      </c>
      <c r="X37" s="458" t="n">
        <v>3</v>
      </c>
      <c r="Y37" s="458" t="n">
        <v>2</v>
      </c>
      <c r="Z37" s="458" t="n">
        <v>337</v>
      </c>
      <c r="AA37" s="69" t="n">
        <v>2020.02</v>
      </c>
      <c r="AB37" s="37" t="n">
        <v>0.01</v>
      </c>
      <c r="AC37" s="37">
        <f>L37</f>
        <v/>
      </c>
      <c r="AD37" s="583" t="n">
        <v>29512</v>
      </c>
      <c r="AE37" s="583" t="n">
        <v>23750</v>
      </c>
      <c r="AF37" s="38">
        <f>AE37/AD37</f>
        <v/>
      </c>
      <c r="AG37" s="39">
        <f>AD37-AE37</f>
        <v/>
      </c>
      <c r="AH37" s="458" t="n">
        <v>2026.04</v>
      </c>
      <c r="AI37" s="458" t="n">
        <v>32500</v>
      </c>
      <c r="AJ37" s="458">
        <f>AI37-AD37</f>
        <v/>
      </c>
      <c r="AK37" s="129">
        <f>(AI37-AD37)/AD37</f>
        <v/>
      </c>
      <c r="AL37" s="29">
        <f>AJ37/AG37</f>
        <v/>
      </c>
      <c r="AM37" s="236" t="n"/>
      <c r="AN37" s="1" t="n"/>
      <c r="AO37" s="458" t="n"/>
      <c r="AP37" s="458" t="n"/>
      <c r="AQ37" s="458" t="n"/>
      <c r="AR37" s="458" t="n"/>
      <c r="AS37" s="458" t="n"/>
      <c r="AT37" s="458" t="n"/>
      <c r="AU37" s="458" t="n"/>
      <c r="AW37" s="458" t="n"/>
      <c r="AX37" s="458" t="n"/>
      <c r="AY37" s="458" t="n"/>
    </row>
    <row r="38" ht="18" customFormat="1" customHeight="1" s="2">
      <c r="A38" s="494" t="inlineStr">
        <is>
          <t>문화동</t>
        </is>
      </c>
      <c r="B38" s="88" t="n"/>
      <c r="C38" s="88" t="n"/>
      <c r="D38" s="494" t="n">
        <v>126749</v>
      </c>
      <c r="E38" s="133" t="inlineStr">
        <is>
          <t>천안역필하우스에듀시티1단지</t>
        </is>
      </c>
      <c r="F38" s="494" t="n">
        <v>2022.04</v>
      </c>
      <c r="G38" s="494" t="n">
        <v>1532</v>
      </c>
      <c r="H38" s="494">
        <f>2026-F38+1</f>
        <v/>
      </c>
      <c r="I38" s="494" t="inlineStr">
        <is>
          <t>83A, 84B</t>
        </is>
      </c>
      <c r="J38" s="494" t="n">
        <v>83</v>
      </c>
      <c r="K38" s="494" t="n">
        <v>59</v>
      </c>
      <c r="L38" s="494" t="n">
        <v>25</v>
      </c>
      <c r="M38" s="494" t="inlineStr">
        <is>
          <t>계단식</t>
        </is>
      </c>
      <c r="N38" s="494" t="n">
        <v>3</v>
      </c>
      <c r="O38" s="494" t="n">
        <v>2</v>
      </c>
      <c r="P38" s="494" t="n">
        <v>144</v>
      </c>
      <c r="Q38" s="584" t="n">
        <v>32000</v>
      </c>
      <c r="R38" s="585" t="n">
        <v>25000</v>
      </c>
      <c r="S38" s="581">
        <f>Q38-R38</f>
        <v/>
      </c>
      <c r="T38" s="71">
        <f>R38/Q38</f>
        <v/>
      </c>
      <c r="U38" s="585" t="n"/>
      <c r="V38" s="585" t="n">
        <v>26000</v>
      </c>
      <c r="W38" s="458" t="inlineStr">
        <is>
          <t>계단식</t>
        </is>
      </c>
      <c r="X38" s="458" t="n">
        <v>3</v>
      </c>
      <c r="Y38" s="458" t="n">
        <v>2</v>
      </c>
      <c r="Z38" s="458" t="n">
        <v>144</v>
      </c>
      <c r="AA38" s="76" t="n"/>
      <c r="AB38" s="77" t="n"/>
      <c r="AC38" s="77">
        <f>L38</f>
        <v/>
      </c>
      <c r="AD38" s="586" t="n"/>
      <c r="AE38" s="586" t="n"/>
      <c r="AF38" s="78">
        <f>AE38/AD38</f>
        <v/>
      </c>
      <c r="AG38" s="79">
        <f>AD38-AE38</f>
        <v/>
      </c>
      <c r="AH38" s="458" t="n">
        <v>2026.04</v>
      </c>
      <c r="AI38" s="458" t="n">
        <v>32000</v>
      </c>
      <c r="AJ38" s="458">
        <f>AI38-AD38</f>
        <v/>
      </c>
      <c r="AK38" s="129">
        <f>(AI38-AD38)/AD38</f>
        <v/>
      </c>
      <c r="AL38" s="80">
        <f>AJ38/AG38</f>
        <v/>
      </c>
      <c r="AM38" s="503" t="n"/>
      <c r="AN38" s="81" t="n"/>
      <c r="AO38" s="458" t="n"/>
      <c r="AP38" s="458" t="n"/>
      <c r="AQ38" s="458" t="n"/>
      <c r="AR38" s="458" t="n"/>
      <c r="AS38" s="458" t="n"/>
      <c r="AT38" s="458" t="n"/>
      <c r="AU38" s="458" t="n"/>
      <c r="AV38" s="110" t="n"/>
      <c r="AW38" s="458" t="n"/>
      <c r="AX38" s="458" t="n"/>
      <c r="AY38" s="458" t="n"/>
    </row>
    <row r="39" ht="18" customFormat="1" customHeight="1" s="2">
      <c r="A39" s="458" t="inlineStr">
        <is>
          <t>신부동</t>
        </is>
      </c>
      <c r="B39" s="9" t="n"/>
      <c r="C39" s="9" t="n"/>
      <c r="D39" s="458" t="n">
        <v>152942</v>
      </c>
      <c r="E39" s="146" t="inlineStr">
        <is>
          <t>더샵신부센트라</t>
        </is>
      </c>
      <c r="F39" s="458" t="n">
        <v>2025.06</v>
      </c>
      <c r="G39" s="458" t="n">
        <v>592</v>
      </c>
      <c r="H39" s="458">
        <f>2026-F39+1</f>
        <v/>
      </c>
      <c r="I39" s="458" t="inlineStr">
        <is>
          <t>82B, 85A</t>
        </is>
      </c>
      <c r="J39" s="458" t="n">
        <v>82</v>
      </c>
      <c r="K39" s="458" t="n">
        <v>59</v>
      </c>
      <c r="L39" s="458" t="n">
        <v>25</v>
      </c>
      <c r="M39" s="458" t="inlineStr">
        <is>
          <t>계단식</t>
        </is>
      </c>
      <c r="N39" s="458" t="n">
        <v>3</v>
      </c>
      <c r="O39" s="458" t="n">
        <v>2</v>
      </c>
      <c r="P39" s="458" t="n">
        <v>102</v>
      </c>
      <c r="Q39" s="587" t="n">
        <v>32000</v>
      </c>
      <c r="R39" s="588" t="inlineStr">
        <is>
          <t>-</t>
        </is>
      </c>
      <c r="S39" s="581">
        <f>Q39-R39</f>
        <v/>
      </c>
      <c r="T39" s="71">
        <f>R39/Q39</f>
        <v/>
      </c>
      <c r="U39" s="588" t="n"/>
      <c r="V39" s="588" t="n"/>
      <c r="W39" s="458" t="inlineStr">
        <is>
          <t>계단식</t>
        </is>
      </c>
      <c r="X39" s="458" t="n">
        <v>3</v>
      </c>
      <c r="Y39" s="458" t="n">
        <v>2</v>
      </c>
      <c r="Z39" s="458" t="n">
        <v>102</v>
      </c>
      <c r="AA39" s="69" t="n"/>
      <c r="AB39" s="37" t="n"/>
      <c r="AC39" s="37">
        <f>L39</f>
        <v/>
      </c>
      <c r="AD39" s="583" t="n"/>
      <c r="AE39" s="583" t="n"/>
      <c r="AF39" s="38">
        <f>AE39/AD39</f>
        <v/>
      </c>
      <c r="AG39" s="39">
        <f>AD39-AE39</f>
        <v/>
      </c>
      <c r="AH39" s="458" t="n">
        <v>2026.04</v>
      </c>
      <c r="AI39" s="458" t="n">
        <v>32000</v>
      </c>
      <c r="AJ39" s="458">
        <f>AI39-AD39</f>
        <v/>
      </c>
      <c r="AK39" s="129">
        <f>(AI39-AD39)/AD39</f>
        <v/>
      </c>
      <c r="AL39" s="29">
        <f>AJ39/AG39</f>
        <v/>
      </c>
      <c r="AM39" s="236" t="n"/>
      <c r="AN39" s="1" t="n"/>
      <c r="AO39" s="458" t="n"/>
      <c r="AP39" s="458" t="n"/>
      <c r="AQ39" s="458" t="n"/>
      <c r="AR39" s="458" t="n"/>
      <c r="AS39" s="458" t="n"/>
      <c r="AT39" s="458" t="n"/>
      <c r="AU39" s="458" t="n"/>
      <c r="AW39" s="458" t="n"/>
      <c r="AX39" s="458" t="n"/>
      <c r="AY39" s="458" t="n"/>
    </row>
    <row r="40" ht="18" customFormat="1" customHeight="1" s="2">
      <c r="A40" s="494" t="inlineStr">
        <is>
          <t>신부동</t>
        </is>
      </c>
      <c r="B40" s="88" t="n"/>
      <c r="C40" s="88" t="n"/>
      <c r="D40" s="494" t="n">
        <v>26534</v>
      </c>
      <c r="E40" s="133" t="inlineStr">
        <is>
          <t>휴먼시아</t>
        </is>
      </c>
      <c r="F40" s="494" t="n">
        <v>2009.09</v>
      </c>
      <c r="G40" s="494" t="n">
        <v>497</v>
      </c>
      <c r="H40" s="494">
        <f>2026-F40+1</f>
        <v/>
      </c>
      <c r="I40" s="494" t="inlineStr">
        <is>
          <t>112A, 112B, 113C, 113D</t>
        </is>
      </c>
      <c r="J40" s="494" t="n">
        <v>112</v>
      </c>
      <c r="K40" s="494" t="n">
        <v>84</v>
      </c>
      <c r="L40" s="494" t="n">
        <v>34</v>
      </c>
      <c r="M40" s="494" t="inlineStr">
        <is>
          <t>계단식</t>
        </is>
      </c>
      <c r="N40" s="494" t="n">
        <v>3</v>
      </c>
      <c r="O40" s="494" t="n">
        <v>2</v>
      </c>
      <c r="P40" s="494" t="n">
        <v>351</v>
      </c>
      <c r="Q40" s="584" t="n">
        <v>32000</v>
      </c>
      <c r="R40" s="585" t="n">
        <v>28000</v>
      </c>
      <c r="S40" s="581">
        <f>Q40-R40</f>
        <v/>
      </c>
      <c r="T40" s="71">
        <f>R40/Q40</f>
        <v/>
      </c>
      <c r="U40" s="585" t="n">
        <v>42700</v>
      </c>
      <c r="V40" s="585" t="n">
        <v>30200</v>
      </c>
      <c r="W40" s="458" t="inlineStr">
        <is>
          <t>계단식</t>
        </is>
      </c>
      <c r="X40" s="458" t="n">
        <v>3</v>
      </c>
      <c r="Y40" s="458" t="n">
        <v>2</v>
      </c>
      <c r="Z40" s="458" t="n">
        <v>351</v>
      </c>
      <c r="AA40" s="98" t="n">
        <v>2021.09</v>
      </c>
      <c r="AB40" s="99" t="n">
        <v>0.01</v>
      </c>
      <c r="AC40" s="77">
        <f>L40</f>
        <v/>
      </c>
      <c r="AD40" s="586" t="n">
        <v>35275</v>
      </c>
      <c r="AE40" s="586" t="n">
        <v>30667</v>
      </c>
      <c r="AF40" s="78">
        <f>AE40/AD40</f>
        <v/>
      </c>
      <c r="AG40" s="79">
        <f>AD40-AE40</f>
        <v/>
      </c>
      <c r="AH40" s="458" t="n">
        <v>2026.04</v>
      </c>
      <c r="AI40" s="458" t="n">
        <v>32000</v>
      </c>
      <c r="AJ40" s="458">
        <f>AI40-AD40</f>
        <v/>
      </c>
      <c r="AK40" s="129">
        <f>(AI40-AD40)/AD40</f>
        <v/>
      </c>
      <c r="AL40" s="80">
        <f>AJ40/AG40</f>
        <v/>
      </c>
      <c r="AM40" s="503" t="n"/>
      <c r="AN40" s="289" t="n"/>
      <c r="AO40" s="458" t="n"/>
      <c r="AP40" s="458" t="n"/>
      <c r="AQ40" s="458" t="n"/>
      <c r="AR40" s="458" t="n"/>
      <c r="AS40" s="458" t="n"/>
      <c r="AT40" s="458" t="n"/>
      <c r="AU40" s="458" t="n"/>
      <c r="AV40" s="88" t="n"/>
      <c r="AW40" s="458" t="n"/>
      <c r="AX40" s="458" t="n"/>
      <c r="AY40" s="458" t="n"/>
    </row>
    <row r="41" ht="15.5" customFormat="1" customHeight="1" s="2">
      <c r="A41" s="494" t="inlineStr">
        <is>
          <t>용곡동</t>
        </is>
      </c>
      <c r="B41" s="289" t="n"/>
      <c r="C41" s="289" t="n"/>
      <c r="D41" s="494" t="n">
        <v>26258</v>
      </c>
      <c r="E41" s="133" t="inlineStr">
        <is>
          <t>용곡한라비발디</t>
        </is>
      </c>
      <c r="F41" s="494" t="n">
        <v>2010.06</v>
      </c>
      <c r="G41" s="494" t="n">
        <v>1163</v>
      </c>
      <c r="H41" s="494">
        <f>2026-F41+1</f>
        <v/>
      </c>
      <c r="I41" s="494" t="inlineStr">
        <is>
          <t>115B, 115A, 120</t>
        </is>
      </c>
      <c r="J41" s="494" t="n">
        <v>115</v>
      </c>
      <c r="K41" s="494" t="n">
        <v>84</v>
      </c>
      <c r="L41" s="494" t="n">
        <v>35</v>
      </c>
      <c r="M41" s="494" t="inlineStr">
        <is>
          <t>계단식</t>
        </is>
      </c>
      <c r="N41" s="494" t="n">
        <v>3</v>
      </c>
      <c r="O41" s="494" t="n">
        <v>2</v>
      </c>
      <c r="P41" s="494" t="n">
        <v>605</v>
      </c>
      <c r="Q41" s="584" t="n">
        <v>32000</v>
      </c>
      <c r="R41" s="585" t="n">
        <v>25000</v>
      </c>
      <c r="S41" s="581">
        <f>Q41-R41</f>
        <v/>
      </c>
      <c r="T41" s="71">
        <f>R41/Q41</f>
        <v/>
      </c>
      <c r="U41" s="585" t="n">
        <v>40000</v>
      </c>
      <c r="V41" s="585" t="n">
        <v>32000</v>
      </c>
      <c r="W41" s="458" t="inlineStr">
        <is>
          <t>계단식</t>
        </is>
      </c>
      <c r="X41" s="458" t="n">
        <v>3</v>
      </c>
      <c r="Y41" s="458" t="n">
        <v>2</v>
      </c>
      <c r="Z41" s="458" t="n">
        <v>605</v>
      </c>
      <c r="AA41" s="98" t="n">
        <v>2021.02</v>
      </c>
      <c r="AB41" s="99" t="n">
        <v>0.01</v>
      </c>
      <c r="AC41" s="77">
        <f>L41</f>
        <v/>
      </c>
      <c r="AD41" s="586" t="n">
        <v>31647</v>
      </c>
      <c r="AE41" s="586" t="n">
        <v>29500</v>
      </c>
      <c r="AF41" s="78">
        <f>AE41/AD41</f>
        <v/>
      </c>
      <c r="AG41" s="79">
        <f>AD41-AE41</f>
        <v/>
      </c>
      <c r="AH41" s="458" t="n">
        <v>2026.04</v>
      </c>
      <c r="AI41" s="458" t="n">
        <v>32000</v>
      </c>
      <c r="AJ41" s="458">
        <f>AI41-AD41</f>
        <v/>
      </c>
      <c r="AK41" s="129">
        <f>(AI41-AD41)/AD41</f>
        <v/>
      </c>
      <c r="AL41" s="101">
        <f>AJ41/AG41</f>
        <v/>
      </c>
      <c r="AM41" s="289" t="n"/>
      <c r="AN41" s="289" t="n"/>
      <c r="AO41" s="458" t="n"/>
      <c r="AP41" s="458" t="n"/>
      <c r="AQ41" s="458" t="n"/>
      <c r="AR41" s="458" t="n"/>
      <c r="AS41" s="458" t="n"/>
      <c r="AT41" s="458" t="n"/>
      <c r="AU41" s="458" t="n"/>
      <c r="AV41" s="289" t="n"/>
      <c r="AW41" s="458" t="n"/>
      <c r="AX41" s="458" t="n"/>
      <c r="AY41" s="458" t="n"/>
    </row>
    <row r="42" ht="15.5" customFormat="1" customHeight="1" s="2">
      <c r="A42" s="494" t="inlineStr">
        <is>
          <t>봉명동</t>
        </is>
      </c>
      <c r="B42" s="289" t="n"/>
      <c r="C42" s="289" t="n"/>
      <c r="D42" s="494" t="n">
        <v>113728</v>
      </c>
      <c r="E42" s="133" t="inlineStr">
        <is>
          <t>봉서산아이파크</t>
        </is>
      </c>
      <c r="F42" s="494" t="n">
        <v>2018.1</v>
      </c>
      <c r="G42" s="494" t="n">
        <v>665</v>
      </c>
      <c r="H42" s="494">
        <f>2026-F42+1</f>
        <v/>
      </c>
      <c r="I42" s="494" t="inlineStr">
        <is>
          <t>86</t>
        </is>
      </c>
      <c r="J42" s="494" t="n">
        <v>86</v>
      </c>
      <c r="K42" s="494" t="n">
        <v>59</v>
      </c>
      <c r="L42" s="494" t="n">
        <v>26</v>
      </c>
      <c r="M42" s="494" t="inlineStr">
        <is>
          <t>계단식</t>
        </is>
      </c>
      <c r="N42" s="494" t="n">
        <v>3</v>
      </c>
      <c r="O42" s="494" t="n">
        <v>2</v>
      </c>
      <c r="P42" s="494" t="n">
        <v>110</v>
      </c>
      <c r="Q42" s="584" t="n">
        <v>31000</v>
      </c>
      <c r="R42" s="585" t="n">
        <v>24000</v>
      </c>
      <c r="S42" s="581">
        <f>Q42-R42</f>
        <v/>
      </c>
      <c r="T42" s="71">
        <f>R42/Q42</f>
        <v/>
      </c>
      <c r="U42" s="585" t="n">
        <v>36900</v>
      </c>
      <c r="V42" s="585" t="n">
        <v>26000</v>
      </c>
      <c r="W42" s="458" t="inlineStr">
        <is>
          <t>계단식</t>
        </is>
      </c>
      <c r="X42" s="458" t="n">
        <v>3</v>
      </c>
      <c r="Y42" s="458" t="n">
        <v>2</v>
      </c>
      <c r="Z42" s="458" t="n">
        <v>110</v>
      </c>
      <c r="AA42" s="98" t="n"/>
      <c r="AB42" s="99" t="n"/>
      <c r="AC42" s="77">
        <f>L42</f>
        <v/>
      </c>
      <c r="AD42" s="586" t="n"/>
      <c r="AE42" s="586" t="n"/>
      <c r="AF42" s="78">
        <f>AE42/AD42</f>
        <v/>
      </c>
      <c r="AG42" s="79">
        <f>AD42-AE42</f>
        <v/>
      </c>
      <c r="AH42" s="458" t="n">
        <v>2026.04</v>
      </c>
      <c r="AI42" s="458" t="n">
        <v>31000</v>
      </c>
      <c r="AJ42" s="458">
        <f>AI42-AD42</f>
        <v/>
      </c>
      <c r="AK42" s="129">
        <f>(AI42-AD42)/AD42</f>
        <v/>
      </c>
      <c r="AL42" s="80">
        <f>AJ42/AG42</f>
        <v/>
      </c>
      <c r="AM42" s="503" t="n"/>
      <c r="AN42" s="289" t="n"/>
      <c r="AO42" s="458" t="n"/>
      <c r="AP42" s="458" t="n"/>
      <c r="AQ42" s="458" t="n"/>
      <c r="AR42" s="458" t="n"/>
      <c r="AS42" s="458" t="n"/>
      <c r="AT42" s="458" t="n"/>
      <c r="AU42" s="458" t="n"/>
      <c r="AV42" s="88" t="n"/>
      <c r="AW42" s="458" t="n"/>
      <c r="AX42" s="458" t="n"/>
      <c r="AY42" s="458" t="n"/>
    </row>
    <row r="43" ht="15.5" customFormat="1" customHeight="1" s="2">
      <c r="A43" s="458" t="inlineStr">
        <is>
          <t>신부동</t>
        </is>
      </c>
      <c r="B43" s="159" t="n"/>
      <c r="C43" s="159" t="n"/>
      <c r="D43" s="458" t="n">
        <v>109735</v>
      </c>
      <c r="E43" s="146" t="inlineStr">
        <is>
          <t>신부디이스트</t>
        </is>
      </c>
      <c r="F43" s="458" t="n">
        <v>2018.05</v>
      </c>
      <c r="G43" s="458" t="n">
        <v>2144</v>
      </c>
      <c r="H43" s="458">
        <f>2026-F43+1</f>
        <v/>
      </c>
      <c r="I43" s="458" t="inlineStr">
        <is>
          <t>99A, 99B</t>
        </is>
      </c>
      <c r="J43" s="458" t="n">
        <v>99</v>
      </c>
      <c r="K43" s="458" t="n">
        <v>72</v>
      </c>
      <c r="L43" s="458" t="n">
        <v>30</v>
      </c>
      <c r="M43" s="458" t="inlineStr">
        <is>
          <t>계단식</t>
        </is>
      </c>
      <c r="N43" s="458" t="n">
        <v>3</v>
      </c>
      <c r="O43" s="458" t="n">
        <v>2</v>
      </c>
      <c r="P43" s="458" t="n">
        <v>437</v>
      </c>
      <c r="Q43" s="587" t="n">
        <v>31000</v>
      </c>
      <c r="R43" s="588" t="n">
        <v>25000</v>
      </c>
      <c r="S43" s="581">
        <f>Q43-R43</f>
        <v/>
      </c>
      <c r="T43" s="71">
        <f>R43/Q43</f>
        <v/>
      </c>
      <c r="U43" s="588" t="n">
        <v>40000</v>
      </c>
      <c r="V43" s="588" t="n">
        <v>29250</v>
      </c>
      <c r="W43" s="458" t="inlineStr">
        <is>
          <t>계단식</t>
        </is>
      </c>
      <c r="X43" s="458" t="n">
        <v>3</v>
      </c>
      <c r="Y43" s="458" t="n">
        <v>2</v>
      </c>
      <c r="Z43" s="458" t="n">
        <v>437</v>
      </c>
      <c r="AA43" s="69" t="n">
        <v>2020.01</v>
      </c>
      <c r="AB43" s="37" t="n">
        <v>0.01</v>
      </c>
      <c r="AC43" s="37">
        <f>L43</f>
        <v/>
      </c>
      <c r="AD43" s="583" t="n">
        <v>26850</v>
      </c>
      <c r="AE43" s="583" t="n">
        <v>23000</v>
      </c>
      <c r="AF43" s="38">
        <f>AE43/AD43</f>
        <v/>
      </c>
      <c r="AG43" s="39">
        <f>AD43-AE43</f>
        <v/>
      </c>
      <c r="AH43" s="458" t="n">
        <v>2026.04</v>
      </c>
      <c r="AI43" s="458" t="n">
        <v>31000</v>
      </c>
      <c r="AJ43" s="458">
        <f>AI43-AD43</f>
        <v/>
      </c>
      <c r="AK43" s="129">
        <f>(AI43-AD43)/AD43</f>
        <v/>
      </c>
      <c r="AL43" s="29">
        <f>AJ43/AG43</f>
        <v/>
      </c>
      <c r="AM43" s="236" t="n"/>
      <c r="AN43" s="1" t="n"/>
      <c r="AO43" s="458" t="n"/>
      <c r="AP43" s="458" t="n"/>
      <c r="AQ43" s="458" t="n"/>
      <c r="AR43" s="458" t="n"/>
      <c r="AS43" s="458" t="n"/>
      <c r="AT43" s="458" t="n"/>
      <c r="AU43" s="458" t="n"/>
      <c r="AW43" s="458" t="n"/>
      <c r="AX43" s="458" t="n"/>
      <c r="AY43" s="458" t="n"/>
    </row>
    <row r="44" ht="15.5" customHeight="1" s="476">
      <c r="A44" s="458" t="inlineStr">
        <is>
          <t>청당동</t>
        </is>
      </c>
      <c r="B44" s="159" t="n"/>
      <c r="C44" s="159" t="n"/>
      <c r="D44" s="458" t="n">
        <v>110995</v>
      </c>
      <c r="E44" s="146" t="inlineStr">
        <is>
          <t>행정타운두산위브더파크</t>
        </is>
      </c>
      <c r="F44" s="458" t="n">
        <v>2018.05</v>
      </c>
      <c r="G44" s="458" t="n">
        <v>1105</v>
      </c>
      <c r="H44" s="458">
        <f>2026-F44+1</f>
        <v/>
      </c>
      <c r="I44" s="458" t="inlineStr">
        <is>
          <t>112A, 112C, 112B</t>
        </is>
      </c>
      <c r="J44" s="458" t="n">
        <v>112</v>
      </c>
      <c r="K44" s="458" t="n">
        <v>84</v>
      </c>
      <c r="L44" s="458" t="n">
        <v>34</v>
      </c>
      <c r="M44" s="458" t="inlineStr">
        <is>
          <t>계단식</t>
        </is>
      </c>
      <c r="N44" s="458" t="n">
        <v>3</v>
      </c>
      <c r="O44" s="458" t="n">
        <v>2</v>
      </c>
      <c r="P44" s="458" t="n">
        <v>942</v>
      </c>
      <c r="Q44" s="104" t="n">
        <v>31000</v>
      </c>
      <c r="R44" s="104" t="n">
        <v>27000</v>
      </c>
      <c r="S44" s="581">
        <f>Q44-R44</f>
        <v/>
      </c>
      <c r="T44" s="71">
        <f>R44/Q44</f>
        <v/>
      </c>
      <c r="U44" s="104" t="n">
        <v>50000</v>
      </c>
      <c r="V44" s="104" t="n">
        <v>29000</v>
      </c>
      <c r="W44" s="458" t="inlineStr">
        <is>
          <t>계단식</t>
        </is>
      </c>
      <c r="X44" s="458" t="n">
        <v>3</v>
      </c>
      <c r="Y44" s="458" t="n">
        <v>2</v>
      </c>
      <c r="Z44" s="458" t="n">
        <v>942</v>
      </c>
      <c r="AA44" s="69" t="n"/>
      <c r="AB44" s="37" t="n"/>
      <c r="AC44" s="37">
        <f>L44</f>
        <v/>
      </c>
      <c r="AD44" s="108" t="n"/>
      <c r="AE44" s="108" t="n"/>
      <c r="AF44" s="108">
        <f>AE44/AD44</f>
        <v/>
      </c>
      <c r="AG44" s="109">
        <f>AD44-AE44</f>
        <v/>
      </c>
      <c r="AH44" s="458" t="n">
        <v>2026.04</v>
      </c>
      <c r="AI44" s="458" t="n">
        <v>31000</v>
      </c>
      <c r="AJ44" s="458">
        <f>AI44-AD44</f>
        <v/>
      </c>
      <c r="AK44" s="129">
        <f>(AI44-AD44)/AD44</f>
        <v/>
      </c>
      <c r="AL44" s="29">
        <f>AJ44/AG44</f>
        <v/>
      </c>
      <c r="AM44" s="236" t="n"/>
      <c r="AV44" s="236" t="n"/>
    </row>
    <row r="45" ht="15.5" customHeight="1" s="476">
      <c r="A45" s="458" t="inlineStr">
        <is>
          <t>청당동</t>
        </is>
      </c>
      <c r="D45" s="458" t="n">
        <v>116435</v>
      </c>
      <c r="E45" s="146" t="inlineStr">
        <is>
          <t>청당코오롱하늘채</t>
        </is>
      </c>
      <c r="F45" s="458" t="n">
        <v>2019.12</v>
      </c>
      <c r="G45" s="458" t="n">
        <v>1534</v>
      </c>
      <c r="H45" s="458">
        <f>2026-F45+1</f>
        <v/>
      </c>
      <c r="I45" s="458" t="inlineStr">
        <is>
          <t>94</t>
        </is>
      </c>
      <c r="J45" s="458" t="n">
        <v>94</v>
      </c>
      <c r="K45" s="458" t="n">
        <v>71</v>
      </c>
      <c r="L45" s="458" t="n">
        <v>28</v>
      </c>
      <c r="M45" s="458" t="inlineStr">
        <is>
          <t>계단식</t>
        </is>
      </c>
      <c r="N45" s="458" t="n">
        <v>3</v>
      </c>
      <c r="O45" s="458" t="n">
        <v>2</v>
      </c>
      <c r="P45" s="458" t="n">
        <v>588</v>
      </c>
      <c r="Q45" s="104" t="n">
        <v>31000</v>
      </c>
      <c r="R45" s="104" t="n">
        <v>26000</v>
      </c>
      <c r="S45" s="581">
        <f>Q45-R45</f>
        <v/>
      </c>
      <c r="T45" s="71">
        <f>R45/Q45</f>
        <v/>
      </c>
      <c r="U45" s="104" t="n">
        <v>42800</v>
      </c>
      <c r="V45" s="104" t="n">
        <v>26000</v>
      </c>
      <c r="W45" s="458" t="inlineStr">
        <is>
          <t>계단식</t>
        </is>
      </c>
      <c r="X45" s="458" t="n">
        <v>3</v>
      </c>
      <c r="Y45" s="458" t="n">
        <v>2</v>
      </c>
      <c r="Z45" s="458" t="n">
        <v>588</v>
      </c>
      <c r="AA45" s="69" t="n">
        <v>2021.04</v>
      </c>
      <c r="AB45" s="37" t="n">
        <v>0.05</v>
      </c>
      <c r="AC45" s="37">
        <f>L45</f>
        <v/>
      </c>
      <c r="AD45" s="93" t="n">
        <v>34080</v>
      </c>
      <c r="AE45" s="93" t="n">
        <v>32167</v>
      </c>
      <c r="AF45" s="93">
        <f>AE45/AD45</f>
        <v/>
      </c>
      <c r="AG45" s="128">
        <f>AD45-AE45</f>
        <v/>
      </c>
      <c r="AH45" s="458" t="n">
        <v>2026.04</v>
      </c>
      <c r="AI45" s="458" t="n">
        <v>31000</v>
      </c>
      <c r="AJ45" s="458">
        <f>AI45-AD45</f>
        <v/>
      </c>
      <c r="AK45" s="129">
        <f>(AI45-AD45)/AD45</f>
        <v/>
      </c>
      <c r="AL45" s="29">
        <f>AJ45/AG45</f>
        <v/>
      </c>
      <c r="AM45" s="236" t="n"/>
    </row>
    <row r="46" ht="15.5" customHeight="1" s="476">
      <c r="A46" s="494" t="inlineStr">
        <is>
          <t>청수동</t>
        </is>
      </c>
      <c r="B46" s="88" t="n"/>
      <c r="C46" s="89" t="n"/>
      <c r="D46" s="494" t="n">
        <v>133523</v>
      </c>
      <c r="E46" s="133" t="inlineStr">
        <is>
          <t>청수행정타운금호어울림</t>
        </is>
      </c>
      <c r="F46" s="494" t="n">
        <v>2023.01</v>
      </c>
      <c r="G46" s="494" t="n">
        <v>584</v>
      </c>
      <c r="H46" s="494">
        <f>2026-F46+1</f>
        <v/>
      </c>
      <c r="I46" s="494" t="inlineStr">
        <is>
          <t>96</t>
        </is>
      </c>
      <c r="J46" s="494" t="n">
        <v>96</v>
      </c>
      <c r="K46" s="494" t="n">
        <v>72</v>
      </c>
      <c r="L46" s="494" t="n">
        <v>29</v>
      </c>
      <c r="M46" s="494" t="inlineStr">
        <is>
          <t>계단식</t>
        </is>
      </c>
      <c r="N46" s="494" t="n">
        <v>3</v>
      </c>
      <c r="O46" s="494" t="n">
        <v>2</v>
      </c>
      <c r="P46" s="494" t="n">
        <v>224</v>
      </c>
      <c r="Q46" s="96" t="n">
        <v>30500</v>
      </c>
      <c r="R46" s="96" t="n">
        <v>21500</v>
      </c>
      <c r="S46" s="581">
        <f>Q46-R46</f>
        <v/>
      </c>
      <c r="T46" s="71">
        <f>R46/Q46</f>
        <v/>
      </c>
      <c r="U46" s="96" t="n"/>
      <c r="V46" s="96" t="n">
        <v>27000</v>
      </c>
      <c r="W46" s="458" t="inlineStr">
        <is>
          <t>계단식</t>
        </is>
      </c>
      <c r="X46" s="458" t="n">
        <v>3</v>
      </c>
      <c r="Y46" s="458" t="n">
        <v>2</v>
      </c>
      <c r="Z46" s="458" t="n">
        <v>224</v>
      </c>
      <c r="AA46" s="98" t="n"/>
      <c r="AB46" s="99" t="n"/>
      <c r="AC46" s="99">
        <f>L46</f>
        <v/>
      </c>
      <c r="AD46" s="99" t="n"/>
      <c r="AE46" s="99" t="n"/>
      <c r="AF46" s="99">
        <f>AE46/AD46</f>
        <v/>
      </c>
      <c r="AG46" s="100">
        <f>AD46-AE46</f>
        <v/>
      </c>
      <c r="AH46" s="458" t="n">
        <v>2026.04</v>
      </c>
      <c r="AI46" s="458" t="n">
        <v>30500</v>
      </c>
      <c r="AJ46" s="458">
        <f>AI46-AD46</f>
        <v/>
      </c>
      <c r="AK46" s="129">
        <f>(AI46-AD46)/AD46</f>
        <v/>
      </c>
      <c r="AL46" s="101">
        <f>AJ46/AG46</f>
        <v/>
      </c>
      <c r="AM46" s="289" t="n"/>
      <c r="AN46" s="289" t="n"/>
      <c r="AV46" s="289" t="n"/>
    </row>
    <row r="47" ht="15.5" customHeight="1" s="476">
      <c r="A47" s="458" t="inlineStr">
        <is>
          <t>문화동</t>
        </is>
      </c>
      <c r="B47" s="236" t="n"/>
      <c r="C47" s="236" t="n"/>
      <c r="D47" s="458" t="n">
        <v>121930</v>
      </c>
      <c r="E47" s="146" t="inlineStr">
        <is>
          <t>힐스테이트천안(주상복합)</t>
        </is>
      </c>
      <c r="F47" s="458" t="n">
        <v>2021.03</v>
      </c>
      <c r="G47" s="458" t="n">
        <v>451</v>
      </c>
      <c r="H47" s="458">
        <f>2026-F47+1</f>
        <v/>
      </c>
      <c r="I47" s="458" t="inlineStr">
        <is>
          <t>86</t>
        </is>
      </c>
      <c r="J47" s="458" t="n">
        <v>86</v>
      </c>
      <c r="K47" s="458" t="n">
        <v>59</v>
      </c>
      <c r="L47" s="458" t="n">
        <v>26</v>
      </c>
      <c r="M47" s="458" t="inlineStr">
        <is>
          <t>계단식</t>
        </is>
      </c>
      <c r="N47" s="458" t="n">
        <v>3</v>
      </c>
      <c r="O47" s="458" t="n">
        <v>2</v>
      </c>
      <c r="P47" s="458" t="n">
        <v>164</v>
      </c>
      <c r="Q47" s="587" t="n">
        <v>30000</v>
      </c>
      <c r="R47" s="588" t="n">
        <v>26000</v>
      </c>
      <c r="S47" s="581">
        <f>Q47-R47</f>
        <v/>
      </c>
      <c r="T47" s="71">
        <f>R47/Q47</f>
        <v/>
      </c>
      <c r="U47" s="588" t="n">
        <v>39000</v>
      </c>
      <c r="V47" s="588" t="n">
        <v>28700</v>
      </c>
      <c r="W47" s="458" t="inlineStr">
        <is>
          <t>계단식</t>
        </is>
      </c>
      <c r="X47" s="458" t="n">
        <v>3</v>
      </c>
      <c r="Y47" s="458" t="n">
        <v>2</v>
      </c>
      <c r="Z47" s="458" t="n">
        <v>164</v>
      </c>
      <c r="AA47" s="69" t="n"/>
      <c r="AB47" s="37" t="n"/>
      <c r="AC47" s="37">
        <f>L47</f>
        <v/>
      </c>
      <c r="AD47" s="583" t="n"/>
      <c r="AE47" s="583" t="n"/>
      <c r="AF47" s="38">
        <f>AE47/AD47</f>
        <v/>
      </c>
      <c r="AG47" s="39">
        <f>AD47-AE47</f>
        <v/>
      </c>
      <c r="AH47" s="458" t="n">
        <v>2026.04</v>
      </c>
      <c r="AI47" s="458" t="n">
        <v>30000</v>
      </c>
      <c r="AJ47" s="458">
        <f>AI47-AD47</f>
        <v/>
      </c>
      <c r="AK47" s="129">
        <f>(AI47-AD47)/AD47</f>
        <v/>
      </c>
      <c r="AL47" s="29">
        <f>AJ47/AG47</f>
        <v/>
      </c>
      <c r="AM47" s="236" t="n"/>
      <c r="AO47" s="458" t="n"/>
      <c r="AP47" s="458" t="n"/>
      <c r="AQ47" s="458" t="n"/>
      <c r="AR47" s="458" t="n"/>
      <c r="AS47" s="458" t="n"/>
      <c r="AT47" s="458" t="n"/>
      <c r="AU47" s="458" t="n"/>
      <c r="AV47" s="458" t="n"/>
      <c r="AW47" s="458" t="n"/>
      <c r="AX47" s="458" t="n"/>
      <c r="AY47" s="458" t="n"/>
    </row>
    <row r="48" ht="15.5" customHeight="1" s="476">
      <c r="A48" s="494" t="inlineStr">
        <is>
          <t>봉명동</t>
        </is>
      </c>
      <c r="B48" s="289" t="n"/>
      <c r="C48" s="289" t="n"/>
      <c r="D48" s="494" t="n">
        <v>137226</v>
      </c>
      <c r="E48" s="133" t="inlineStr">
        <is>
          <t>봉명역센트럴시티</t>
        </is>
      </c>
      <c r="F48" s="494" t="n">
        <v>2025.01</v>
      </c>
      <c r="G48" s="494" t="n">
        <v>816</v>
      </c>
      <c r="H48" s="494">
        <f>2026-F48+1</f>
        <v/>
      </c>
      <c r="I48" s="494" t="inlineStr">
        <is>
          <t>88B, 88A</t>
        </is>
      </c>
      <c r="J48" s="494" t="n">
        <v>88</v>
      </c>
      <c r="K48" s="494" t="n">
        <v>64</v>
      </c>
      <c r="L48" s="494" t="n">
        <v>27</v>
      </c>
      <c r="M48" s="494" t="inlineStr">
        <is>
          <t>계단식</t>
        </is>
      </c>
      <c r="N48" s="494" t="n">
        <v>3</v>
      </c>
      <c r="O48" s="494" t="n">
        <v>2</v>
      </c>
      <c r="P48" s="494" t="n">
        <v>122</v>
      </c>
      <c r="Q48" s="584" t="n">
        <v>29000</v>
      </c>
      <c r="R48" s="585" t="n">
        <v>24000</v>
      </c>
      <c r="S48" s="581">
        <f>Q48-R48</f>
        <v/>
      </c>
      <c r="T48" s="71">
        <f>R48/Q48</f>
        <v/>
      </c>
      <c r="U48" s="585" t="n"/>
      <c r="V48" s="585" t="n"/>
      <c r="W48" s="458" t="inlineStr">
        <is>
          <t>계단식</t>
        </is>
      </c>
      <c r="X48" s="458" t="n">
        <v>3</v>
      </c>
      <c r="Y48" s="458" t="n">
        <v>2</v>
      </c>
      <c r="Z48" s="458" t="n">
        <v>122</v>
      </c>
      <c r="AA48" s="76" t="n"/>
      <c r="AB48" s="77" t="n"/>
      <c r="AC48" s="77">
        <f>L48</f>
        <v/>
      </c>
      <c r="AD48" s="586" t="n"/>
      <c r="AE48" s="586" t="n"/>
      <c r="AF48" s="78">
        <f>AE48/AD48</f>
        <v/>
      </c>
      <c r="AG48" s="79">
        <f>AD48-AE48</f>
        <v/>
      </c>
      <c r="AH48" s="458" t="n">
        <v>2026.04</v>
      </c>
      <c r="AI48" s="458" t="n">
        <v>29000</v>
      </c>
      <c r="AJ48" s="458">
        <f>AI48-AD48</f>
        <v/>
      </c>
      <c r="AK48" s="129">
        <f>(AI48-AD48)/AD48</f>
        <v/>
      </c>
      <c r="AL48" s="80">
        <f>AJ48/AG48</f>
        <v/>
      </c>
      <c r="AM48" s="503" t="n"/>
      <c r="AN48" s="289" t="n"/>
      <c r="AV48" s="494" t="inlineStr">
        <is>
          <t>&gt;&gt;&gt; 투자 적용 및 질문 등으로 파트 나눠볼 수 있음</t>
        </is>
      </c>
    </row>
    <row r="49" ht="15.5" customHeight="1" s="476">
      <c r="A49" s="458" t="inlineStr">
        <is>
          <t>청당동</t>
        </is>
      </c>
      <c r="B49" s="159" t="n"/>
      <c r="C49" s="159" t="n"/>
      <c r="D49" s="458" t="n">
        <v>26891</v>
      </c>
      <c r="E49" s="146" t="inlineStr">
        <is>
          <t>천안청수한양수자인</t>
        </is>
      </c>
      <c r="F49" s="458" t="n">
        <v>2011.01</v>
      </c>
      <c r="G49" s="458" t="n">
        <v>1020</v>
      </c>
      <c r="H49" s="458">
        <f>2026-F49+1</f>
        <v/>
      </c>
      <c r="I49" s="458" t="inlineStr">
        <is>
          <t>110A, 110B, 110C, 111D, 112E</t>
        </is>
      </c>
      <c r="J49" s="458" t="n">
        <v>110</v>
      </c>
      <c r="K49" s="458" t="n">
        <v>84</v>
      </c>
      <c r="L49" s="458" t="n">
        <v>33</v>
      </c>
      <c r="M49" s="458" t="inlineStr">
        <is>
          <t>계단식</t>
        </is>
      </c>
      <c r="N49" s="458" t="n">
        <v>3</v>
      </c>
      <c r="O49" s="458" t="n">
        <v>2</v>
      </c>
      <c r="P49" s="458" t="n">
        <v>1020</v>
      </c>
      <c r="Q49" s="104" t="n">
        <v>29000</v>
      </c>
      <c r="R49" s="104" t="n">
        <v>30000</v>
      </c>
      <c r="S49" s="581">
        <f>Q49-R49</f>
        <v/>
      </c>
      <c r="T49" s="71">
        <f>R49/Q49</f>
        <v/>
      </c>
      <c r="U49" s="104" t="n">
        <v>50000</v>
      </c>
      <c r="V49" s="104" t="n">
        <v>20000</v>
      </c>
      <c r="W49" s="458" t="inlineStr">
        <is>
          <t>계단식</t>
        </is>
      </c>
      <c r="X49" s="458" t="n">
        <v>3</v>
      </c>
      <c r="Y49" s="458" t="n">
        <v>2</v>
      </c>
      <c r="Z49" s="458" t="n">
        <v>1020</v>
      </c>
      <c r="AA49" s="69" t="n"/>
      <c r="AB49" s="37" t="n"/>
      <c r="AC49" s="37">
        <f>L49</f>
        <v/>
      </c>
      <c r="AD49" s="108" t="n"/>
      <c r="AE49" s="108" t="n"/>
      <c r="AF49" s="108">
        <f>AE49/AD49</f>
        <v/>
      </c>
      <c r="AG49" s="109">
        <f>AD49-AE49</f>
        <v/>
      </c>
      <c r="AH49" s="458" t="n">
        <v>2026.04</v>
      </c>
      <c r="AI49" s="458" t="n">
        <v>29000</v>
      </c>
      <c r="AJ49" s="458">
        <f>AI49-AD49</f>
        <v/>
      </c>
      <c r="AK49" s="129">
        <f>(AI49-AD49)/AD49</f>
        <v/>
      </c>
      <c r="AL49" s="29">
        <f>AJ49/AG49</f>
        <v/>
      </c>
      <c r="AM49" s="236" t="n"/>
    </row>
    <row r="50" ht="15.5" customHeight="1" s="476">
      <c r="A50" s="494" t="inlineStr">
        <is>
          <t>청당동</t>
        </is>
      </c>
      <c r="B50" s="88" t="n"/>
      <c r="C50" s="89" t="n"/>
      <c r="D50" s="494" t="n">
        <v>129755</v>
      </c>
      <c r="E50" s="133" t="inlineStr">
        <is>
          <t>청당서희스타힐스</t>
        </is>
      </c>
      <c r="F50" s="494" t="n">
        <v>2022.12</v>
      </c>
      <c r="G50" s="494" t="n">
        <v>741</v>
      </c>
      <c r="H50" s="494">
        <f>2026-F50+1</f>
        <v/>
      </c>
      <c r="I50" s="494" t="inlineStr">
        <is>
          <t>78A, 81B</t>
        </is>
      </c>
      <c r="J50" s="494" t="n">
        <v>78</v>
      </c>
      <c r="K50" s="494" t="n">
        <v>59</v>
      </c>
      <c r="L50" s="494" t="n">
        <v>24</v>
      </c>
      <c r="M50" s="494" t="inlineStr">
        <is>
          <t>계단식</t>
        </is>
      </c>
      <c r="N50" s="494" t="n">
        <v>3</v>
      </c>
      <c r="O50" s="494" t="n">
        <v>2</v>
      </c>
      <c r="P50" s="494" t="n">
        <v>125</v>
      </c>
      <c r="Q50" s="96" t="n">
        <v>29000</v>
      </c>
      <c r="R50" s="96" t="n">
        <v>26000</v>
      </c>
      <c r="S50" s="581">
        <f>Q50-R50</f>
        <v/>
      </c>
      <c r="T50" s="71">
        <f>R50/Q50</f>
        <v/>
      </c>
      <c r="U50" s="96" t="n">
        <v>24470</v>
      </c>
      <c r="V50" s="96" t="n">
        <v>23500</v>
      </c>
      <c r="W50" s="458" t="inlineStr">
        <is>
          <t>계단식</t>
        </is>
      </c>
      <c r="X50" s="458" t="n">
        <v>3</v>
      </c>
      <c r="Y50" s="458" t="n">
        <v>2</v>
      </c>
      <c r="Z50" s="458" t="n">
        <v>125</v>
      </c>
      <c r="AA50" s="98" t="n">
        <v>2023.09</v>
      </c>
      <c r="AB50" s="99" t="n">
        <v>0.02</v>
      </c>
      <c r="AC50" s="99">
        <f>L50</f>
        <v/>
      </c>
      <c r="AD50" s="99" t="n">
        <v>24750</v>
      </c>
      <c r="AE50" s="99" t="n">
        <v>20850</v>
      </c>
      <c r="AF50" s="99">
        <f>AE50/AD50</f>
        <v/>
      </c>
      <c r="AG50" s="100">
        <f>AD50-AE50</f>
        <v/>
      </c>
      <c r="AH50" s="458" t="n">
        <v>2026.04</v>
      </c>
      <c r="AI50" s="458" t="n">
        <v>29000</v>
      </c>
      <c r="AJ50" s="458">
        <f>AI50-AD50</f>
        <v/>
      </c>
      <c r="AK50" s="129">
        <f>(AI50-AD50)/AD50</f>
        <v/>
      </c>
      <c r="AL50" s="101">
        <f>AJ50/AG50</f>
        <v/>
      </c>
      <c r="AM50" s="289" t="n"/>
      <c r="AN50" s="289" t="n"/>
      <c r="AV50" s="289" t="n"/>
    </row>
    <row r="51" ht="15.5" customHeight="1" s="476">
      <c r="A51" s="458" t="inlineStr">
        <is>
          <t>청당동</t>
        </is>
      </c>
      <c r="D51" s="458" t="n">
        <v>110995</v>
      </c>
      <c r="E51" s="146" t="inlineStr">
        <is>
          <t>행정타운두산위브더파크</t>
        </is>
      </c>
      <c r="F51" s="458" t="n">
        <v>2018.05</v>
      </c>
      <c r="G51" s="458" t="n">
        <v>1105</v>
      </c>
      <c r="H51" s="458">
        <f>2026-F51+1</f>
        <v/>
      </c>
      <c r="I51" s="458" t="inlineStr">
        <is>
          <t>98A, 99B</t>
        </is>
      </c>
      <c r="J51" s="458" t="n">
        <v>98</v>
      </c>
      <c r="K51" s="458" t="n">
        <v>72</v>
      </c>
      <c r="L51" s="458" t="n">
        <v>30</v>
      </c>
      <c r="M51" s="458" t="inlineStr">
        <is>
          <t>계단식</t>
        </is>
      </c>
      <c r="N51" s="458" t="n">
        <v>3</v>
      </c>
      <c r="O51" s="458" t="n">
        <v>2</v>
      </c>
      <c r="P51" s="458" t="n">
        <v>163</v>
      </c>
      <c r="Q51" s="104" t="n">
        <v>29000</v>
      </c>
      <c r="R51" s="104" t="n">
        <v>22000</v>
      </c>
      <c r="S51" s="581">
        <f>Q51-R51</f>
        <v/>
      </c>
      <c r="T51" s="71">
        <f>R51/Q51</f>
        <v/>
      </c>
      <c r="U51" s="104" t="n">
        <v>38500</v>
      </c>
      <c r="V51" s="104" t="n">
        <v>29500</v>
      </c>
      <c r="W51" s="458" t="inlineStr">
        <is>
          <t>계단식</t>
        </is>
      </c>
      <c r="X51" s="458" t="n">
        <v>3</v>
      </c>
      <c r="Y51" s="458" t="n">
        <v>2</v>
      </c>
      <c r="Z51" s="458" t="n">
        <v>163</v>
      </c>
      <c r="AA51" s="69" t="n">
        <v>2019.12</v>
      </c>
      <c r="AB51" s="37" t="n">
        <v>0.01</v>
      </c>
      <c r="AC51" s="37">
        <f>L51</f>
        <v/>
      </c>
      <c r="AD51" s="108" t="n">
        <v>24968</v>
      </c>
      <c r="AE51" s="108" t="n">
        <v>20000</v>
      </c>
      <c r="AF51" s="108">
        <f>AE51/AD51</f>
        <v/>
      </c>
      <c r="AG51" s="109">
        <f>AD51-AE51</f>
        <v/>
      </c>
      <c r="AH51" s="458" t="n">
        <v>2026.04</v>
      </c>
      <c r="AI51" s="458" t="n">
        <v>29000</v>
      </c>
      <c r="AJ51" s="458">
        <f>AI51-AD51</f>
        <v/>
      </c>
      <c r="AK51" s="129">
        <f>(AI51-AD51)/AD51</f>
        <v/>
      </c>
      <c r="AL51" s="29">
        <f>AJ51/AG51</f>
        <v/>
      </c>
      <c r="AM51" s="236" t="n"/>
      <c r="AO51" s="458" t="n"/>
      <c r="AP51" s="458" t="n"/>
      <c r="AQ51" s="458" t="n"/>
      <c r="AR51" s="458" t="n"/>
      <c r="AS51" s="458" t="n"/>
      <c r="AT51" s="458" t="n"/>
      <c r="AU51" s="458" t="n"/>
      <c r="AW51" s="458" t="n"/>
      <c r="AX51" s="458" t="n"/>
      <c r="AY51" s="458" t="n"/>
    </row>
    <row r="52" ht="15.5" customHeight="1" s="476">
      <c r="A52" s="458" t="inlineStr">
        <is>
          <t>신부동</t>
        </is>
      </c>
      <c r="D52" s="458" t="n">
        <v>110256</v>
      </c>
      <c r="E52" s="146" t="inlineStr">
        <is>
          <t>힐스테이트천안신부</t>
        </is>
      </c>
      <c r="F52" s="458" t="n">
        <v>2017.08</v>
      </c>
      <c r="G52" s="458" t="n">
        <v>984</v>
      </c>
      <c r="H52" s="458">
        <f>2026-F52+1</f>
        <v/>
      </c>
      <c r="I52" s="458" t="inlineStr">
        <is>
          <t>80</t>
        </is>
      </c>
      <c r="J52" s="458" t="n">
        <v>80</v>
      </c>
      <c r="K52" s="458" t="n">
        <v>59</v>
      </c>
      <c r="L52" s="458" t="n">
        <v>24</v>
      </c>
      <c r="M52" s="458" t="inlineStr">
        <is>
          <t>계단식</t>
        </is>
      </c>
      <c r="N52" s="458" t="n">
        <v>3</v>
      </c>
      <c r="O52" s="458" t="n">
        <v>2</v>
      </c>
      <c r="P52" s="458" t="n">
        <v>385</v>
      </c>
      <c r="Q52" s="587" t="n">
        <v>28500</v>
      </c>
      <c r="R52" s="588" t="n">
        <v>24000</v>
      </c>
      <c r="S52" s="581">
        <f>Q52-R52</f>
        <v/>
      </c>
      <c r="T52" s="71">
        <f>R52/Q52</f>
        <v/>
      </c>
      <c r="U52" s="588" t="n">
        <v>38500</v>
      </c>
      <c r="V52" s="588" t="n">
        <v>25000</v>
      </c>
      <c r="W52" s="458" t="inlineStr">
        <is>
          <t>계단식</t>
        </is>
      </c>
      <c r="X52" s="458" t="n">
        <v>3</v>
      </c>
      <c r="Y52" s="458" t="n">
        <v>2</v>
      </c>
      <c r="Z52" s="458" t="n">
        <v>385</v>
      </c>
      <c r="AA52" s="69" t="n"/>
      <c r="AB52" s="37" t="n"/>
      <c r="AC52" s="37">
        <f>L52</f>
        <v/>
      </c>
      <c r="AD52" s="583" t="n"/>
      <c r="AE52" s="583" t="n"/>
      <c r="AF52" s="38">
        <f>AE52/AD52</f>
        <v/>
      </c>
      <c r="AG52" s="39">
        <f>AD52-AE52</f>
        <v/>
      </c>
      <c r="AH52" s="458" t="n">
        <v>2026.04</v>
      </c>
      <c r="AI52" s="458" t="n">
        <v>28500</v>
      </c>
      <c r="AJ52" s="458">
        <f>AI52-AD52</f>
        <v/>
      </c>
      <c r="AK52" s="129">
        <f>(AI52-AD52)/AD52</f>
        <v/>
      </c>
      <c r="AL52" s="29">
        <f>AJ52/AG52</f>
        <v/>
      </c>
      <c r="AM52" s="236" t="n"/>
      <c r="AO52" s="458" t="n"/>
      <c r="AP52" s="458" t="n"/>
      <c r="AQ52" s="458" t="n"/>
      <c r="AR52" s="458" t="n"/>
      <c r="AS52" s="458" t="n"/>
      <c r="AT52" s="458" t="n"/>
      <c r="AU52" s="458" t="n"/>
      <c r="AV52" s="236" t="n"/>
      <c r="AW52" s="458" t="n"/>
      <c r="AX52" s="458" t="n"/>
      <c r="AY52" s="458" t="n"/>
    </row>
    <row r="53" ht="15.5" customHeight="1" s="476">
      <c r="A53" s="458" t="inlineStr">
        <is>
          <t>청당동</t>
        </is>
      </c>
      <c r="B53" s="159" t="n"/>
      <c r="C53" s="159" t="n"/>
      <c r="D53" s="458" t="n">
        <v>111627</v>
      </c>
      <c r="E53" s="146" t="inlineStr">
        <is>
          <t>청당한양수자인블루시티</t>
        </is>
      </c>
      <c r="F53" s="458" t="n">
        <v>2018.03</v>
      </c>
      <c r="G53" s="458" t="n">
        <v>999</v>
      </c>
      <c r="H53" s="458">
        <f>2026-F53+1</f>
        <v/>
      </c>
      <c r="I53" s="458" t="inlineStr">
        <is>
          <t>99B, 99A</t>
        </is>
      </c>
      <c r="J53" s="458" t="n">
        <v>99</v>
      </c>
      <c r="K53" s="458" t="n">
        <v>73</v>
      </c>
      <c r="L53" s="458" t="n">
        <v>30</v>
      </c>
      <c r="M53" s="458" t="inlineStr">
        <is>
          <t>계단식</t>
        </is>
      </c>
      <c r="N53" s="458" t="n">
        <v>3</v>
      </c>
      <c r="O53" s="458" t="n">
        <v>2</v>
      </c>
      <c r="P53" s="458" t="n">
        <v>377</v>
      </c>
      <c r="Q53" s="104" t="n">
        <v>28500</v>
      </c>
      <c r="R53" s="104" t="n">
        <v>25000</v>
      </c>
      <c r="S53" s="581">
        <f>Q53-R53</f>
        <v/>
      </c>
      <c r="T53" s="71">
        <f>R53/Q53</f>
        <v/>
      </c>
      <c r="U53" s="104" t="n">
        <v>42000</v>
      </c>
      <c r="V53" s="104" t="n">
        <v>25000</v>
      </c>
      <c r="W53" s="458" t="inlineStr">
        <is>
          <t>계단식</t>
        </is>
      </c>
      <c r="X53" s="458" t="n">
        <v>3</v>
      </c>
      <c r="Y53" s="458" t="n">
        <v>2</v>
      </c>
      <c r="Z53" s="458" t="n">
        <v>377</v>
      </c>
      <c r="AA53" s="69" t="n"/>
      <c r="AB53" s="37" t="n"/>
      <c r="AC53" s="37">
        <f>L53</f>
        <v/>
      </c>
      <c r="AD53" s="108" t="n"/>
      <c r="AE53" s="108" t="n"/>
      <c r="AF53" s="108">
        <f>AE53/AD53</f>
        <v/>
      </c>
      <c r="AG53" s="109">
        <f>AD53-AE53</f>
        <v/>
      </c>
      <c r="AH53" s="458" t="n">
        <v>2026.04</v>
      </c>
      <c r="AI53" s="458" t="n">
        <v>28500</v>
      </c>
      <c r="AJ53" s="458">
        <f>AI53-AD53</f>
        <v/>
      </c>
      <c r="AK53" s="129">
        <f>(AI53-AD53)/AD53</f>
        <v/>
      </c>
      <c r="AL53" s="29">
        <f>AJ53/AG53</f>
        <v/>
      </c>
      <c r="AM53" s="236" t="n"/>
      <c r="AV53" s="236" t="n"/>
    </row>
    <row r="54" ht="15.5" customHeight="1" s="476">
      <c r="A54" s="458" t="inlineStr">
        <is>
          <t>봉명동</t>
        </is>
      </c>
      <c r="B54" s="159" t="n"/>
      <c r="C54" s="159" t="n"/>
      <c r="D54" s="458" t="n">
        <v>124679</v>
      </c>
      <c r="E54" s="146" t="inlineStr">
        <is>
          <t>e편한세상봉명아너리움</t>
        </is>
      </c>
      <c r="F54" s="458" t="n">
        <v>2020.06</v>
      </c>
      <c r="G54" s="458" t="n">
        <v>459</v>
      </c>
      <c r="H54" s="458">
        <f>2026-F54+1</f>
        <v/>
      </c>
      <c r="I54" s="458" t="inlineStr">
        <is>
          <t>84</t>
        </is>
      </c>
      <c r="J54" s="458" t="n">
        <v>84</v>
      </c>
      <c r="K54" s="458" t="n">
        <v>59</v>
      </c>
      <c r="L54" s="458" t="n">
        <v>25</v>
      </c>
      <c r="M54" s="458" t="inlineStr">
        <is>
          <t>계단식</t>
        </is>
      </c>
      <c r="N54" s="458" t="n">
        <v>3</v>
      </c>
      <c r="O54" s="458" t="n">
        <v>2</v>
      </c>
      <c r="P54" s="458" t="n">
        <v>281</v>
      </c>
      <c r="Q54" s="587" t="n">
        <v>28000</v>
      </c>
      <c r="R54" s="588" t="n">
        <v>22000</v>
      </c>
      <c r="S54" s="581">
        <f>Q54-R54</f>
        <v/>
      </c>
      <c r="T54" s="71">
        <f>R54/Q54</f>
        <v/>
      </c>
      <c r="U54" s="588" t="n">
        <v>33000</v>
      </c>
      <c r="V54" s="588" t="n">
        <v>25500</v>
      </c>
      <c r="W54" s="458" t="inlineStr">
        <is>
          <t>계단식</t>
        </is>
      </c>
      <c r="X54" s="458" t="n">
        <v>3</v>
      </c>
      <c r="Y54" s="458" t="n">
        <v>2</v>
      </c>
      <c r="Z54" s="458" t="n">
        <v>281</v>
      </c>
      <c r="AA54" s="69" t="n"/>
      <c r="AB54" s="37" t="n"/>
      <c r="AC54" s="37">
        <f>L54</f>
        <v/>
      </c>
      <c r="AD54" s="583" t="n"/>
      <c r="AE54" s="583" t="n"/>
      <c r="AF54" s="38">
        <f>AE54/AD54</f>
        <v/>
      </c>
      <c r="AG54" s="39">
        <f>AD54-AE54</f>
        <v/>
      </c>
      <c r="AH54" s="458" t="n">
        <v>2026.04</v>
      </c>
      <c r="AI54" s="458" t="n">
        <v>28000</v>
      </c>
      <c r="AJ54" s="458">
        <f>AI54-AD54</f>
        <v/>
      </c>
      <c r="AK54" s="129">
        <f>(AI54-AD54)/AD54</f>
        <v/>
      </c>
      <c r="AL54" s="29">
        <f>AJ54/AG54</f>
        <v/>
      </c>
      <c r="AM54" s="236" t="n"/>
    </row>
    <row r="55" ht="15.5" customHeight="1" s="476">
      <c r="A55" s="494" t="inlineStr">
        <is>
          <t>봉명동</t>
        </is>
      </c>
      <c r="B55" s="289" t="n"/>
      <c r="C55" s="289" t="n"/>
      <c r="D55" s="494" t="n">
        <v>137226</v>
      </c>
      <c r="E55" s="133" t="inlineStr">
        <is>
          <t>봉명역센트럴시티</t>
        </is>
      </c>
      <c r="F55" s="494" t="n">
        <v>2025.01</v>
      </c>
      <c r="G55" s="494" t="n">
        <v>816</v>
      </c>
      <c r="H55" s="494">
        <f>2026-F55+1</f>
        <v/>
      </c>
      <c r="I55" s="494" t="inlineStr">
        <is>
          <t>82</t>
        </is>
      </c>
      <c r="J55" s="494" t="n">
        <v>82</v>
      </c>
      <c r="K55" s="494" t="n">
        <v>59</v>
      </c>
      <c r="L55" s="494" t="n">
        <v>25</v>
      </c>
      <c r="M55" s="494" t="inlineStr">
        <is>
          <t>계단식</t>
        </is>
      </c>
      <c r="N55" s="494" t="n">
        <v>3</v>
      </c>
      <c r="O55" s="494" t="n">
        <v>2</v>
      </c>
      <c r="P55" s="494" t="n">
        <v>210</v>
      </c>
      <c r="Q55" s="584" t="n">
        <v>28000</v>
      </c>
      <c r="R55" s="585" t="n">
        <v>22000</v>
      </c>
      <c r="S55" s="581">
        <f>Q55-R55</f>
        <v/>
      </c>
      <c r="T55" s="71">
        <f>R55/Q55</f>
        <v/>
      </c>
      <c r="U55" s="585" t="n"/>
      <c r="V55" s="585" t="n"/>
      <c r="W55" s="458" t="inlineStr">
        <is>
          <t>계단식</t>
        </is>
      </c>
      <c r="X55" s="458" t="n">
        <v>3</v>
      </c>
      <c r="Y55" s="458" t="n">
        <v>2</v>
      </c>
      <c r="Z55" s="458" t="n">
        <v>210</v>
      </c>
      <c r="AA55" s="76" t="n"/>
      <c r="AB55" s="77" t="n"/>
      <c r="AC55" s="77">
        <f>L55</f>
        <v/>
      </c>
      <c r="AD55" s="586" t="n"/>
      <c r="AE55" s="586" t="n"/>
      <c r="AF55" s="78">
        <f>AE55/AD55</f>
        <v/>
      </c>
      <c r="AG55" s="79">
        <f>AD55-AE55</f>
        <v/>
      </c>
      <c r="AH55" s="458" t="n">
        <v>2026.04</v>
      </c>
      <c r="AI55" s="458" t="n">
        <v>28000</v>
      </c>
      <c r="AJ55" s="458">
        <f>AI55-AD55</f>
        <v/>
      </c>
      <c r="AK55" s="129">
        <f>(AI55-AD55)/AD55</f>
        <v/>
      </c>
      <c r="AL55" s="80">
        <f>AJ55/AG55</f>
        <v/>
      </c>
      <c r="AM55" s="503" t="n"/>
      <c r="AN55" s="289" t="n"/>
      <c r="AV55" s="494" t="inlineStr">
        <is>
          <t>&gt;&gt;&gt; 결론 (찾은 내용을 바탕으로 기준 및 우선순위 정리)</t>
        </is>
      </c>
    </row>
    <row r="56" ht="15.5" customHeight="1" s="476">
      <c r="A56" s="458" t="inlineStr">
        <is>
          <t>신부동</t>
        </is>
      </c>
      <c r="B56" s="159" t="n"/>
      <c r="C56" s="159" t="n"/>
      <c r="D56" s="458" t="n">
        <v>109735</v>
      </c>
      <c r="E56" s="146" t="inlineStr">
        <is>
          <t>신부디이스트</t>
        </is>
      </c>
      <c r="F56" s="458" t="n">
        <v>2018.05</v>
      </c>
      <c r="G56" s="458" t="n">
        <v>2144</v>
      </c>
      <c r="H56" s="458">
        <f>2026-F56+1</f>
        <v/>
      </c>
      <c r="I56" s="458" t="inlineStr">
        <is>
          <t>81B, 81C, 82A</t>
        </is>
      </c>
      <c r="J56" s="458" t="n">
        <v>81</v>
      </c>
      <c r="K56" s="458" t="n">
        <v>59</v>
      </c>
      <c r="L56" s="458" t="n">
        <v>25</v>
      </c>
      <c r="M56" s="458" t="inlineStr">
        <is>
          <t>계단식</t>
        </is>
      </c>
      <c r="N56" s="458" t="n">
        <v>3</v>
      </c>
      <c r="O56" s="458" t="n">
        <v>2</v>
      </c>
      <c r="P56" s="458" t="n">
        <v>626</v>
      </c>
      <c r="Q56" s="587" t="n">
        <v>27000</v>
      </c>
      <c r="R56" s="588" t="n">
        <v>24000</v>
      </c>
      <c r="S56" s="581">
        <f>Q56-R56</f>
        <v/>
      </c>
      <c r="T56" s="71">
        <f>R56/Q56</f>
        <v/>
      </c>
      <c r="U56" s="588" t="n">
        <v>35900</v>
      </c>
      <c r="V56" s="588" t="n">
        <v>26000</v>
      </c>
      <c r="W56" s="458" t="inlineStr">
        <is>
          <t>계단식</t>
        </is>
      </c>
      <c r="X56" s="458" t="n">
        <v>3</v>
      </c>
      <c r="Y56" s="458" t="n">
        <v>2</v>
      </c>
      <c r="Z56" s="458" t="n">
        <v>626</v>
      </c>
      <c r="AC56" s="37">
        <f>L56</f>
        <v/>
      </c>
      <c r="AD56" s="583" t="n"/>
      <c r="AE56" s="583" t="n"/>
      <c r="AF56" s="38">
        <f>AE56/AD56</f>
        <v/>
      </c>
      <c r="AG56" s="39">
        <f>AD56-AE56</f>
        <v/>
      </c>
      <c r="AH56" s="458" t="n">
        <v>2026.04</v>
      </c>
      <c r="AI56" s="458" t="n">
        <v>27000</v>
      </c>
      <c r="AJ56" s="458">
        <f>AI56-AD56</f>
        <v/>
      </c>
      <c r="AK56" s="129">
        <f>(AI56-AD56)/AD56</f>
        <v/>
      </c>
      <c r="AL56" s="29">
        <f>AJ56/AG56</f>
        <v/>
      </c>
      <c r="AM56" s="236" t="n"/>
      <c r="AV56" s="236" t="n"/>
    </row>
    <row r="57" ht="15.5" customHeight="1" s="476">
      <c r="A57" s="494" t="inlineStr">
        <is>
          <t>용곡동</t>
        </is>
      </c>
      <c r="B57" s="289" t="n"/>
      <c r="C57" s="289" t="n"/>
      <c r="D57" s="494" t="n">
        <v>107116</v>
      </c>
      <c r="E57" s="133" t="inlineStr">
        <is>
          <t>용곡동일하이빌하이씨티4단지</t>
        </is>
      </c>
      <c r="F57" s="494" t="n">
        <v>2015.08</v>
      </c>
      <c r="G57" s="494" t="n">
        <v>379</v>
      </c>
      <c r="H57" s="494">
        <f>2026-F57+1</f>
        <v/>
      </c>
      <c r="I57" s="494" t="inlineStr">
        <is>
          <t>111</t>
        </is>
      </c>
      <c r="J57" s="494" t="n">
        <v>111</v>
      </c>
      <c r="K57" s="494" t="n">
        <v>84</v>
      </c>
      <c r="L57" s="494" t="n">
        <v>34</v>
      </c>
      <c r="M57" s="494" t="inlineStr">
        <is>
          <t>계단식</t>
        </is>
      </c>
      <c r="N57" s="494" t="n">
        <v>3</v>
      </c>
      <c r="O57" s="494" t="n">
        <v>2</v>
      </c>
      <c r="P57" s="494" t="n">
        <v>265</v>
      </c>
      <c r="Q57" s="584" t="n">
        <v>27000</v>
      </c>
      <c r="R57" s="585" t="n">
        <v>22000</v>
      </c>
      <c r="S57" s="581">
        <f>Q57-R57</f>
        <v/>
      </c>
      <c r="T57" s="71">
        <f>R57/Q57</f>
        <v/>
      </c>
      <c r="U57" s="585" t="n">
        <v>36500</v>
      </c>
      <c r="V57" s="585" t="n">
        <v>30000</v>
      </c>
      <c r="W57" s="458" t="inlineStr">
        <is>
          <t>계단식</t>
        </is>
      </c>
      <c r="X57" s="458" t="n">
        <v>3</v>
      </c>
      <c r="Y57" s="458" t="n">
        <v>2</v>
      </c>
      <c r="Z57" s="458" t="n">
        <v>265</v>
      </c>
      <c r="AA57" s="289" t="n">
        <v>2025.08</v>
      </c>
      <c r="AB57" s="289" t="n">
        <v>0.01</v>
      </c>
      <c r="AC57" s="77">
        <f>L57</f>
        <v/>
      </c>
      <c r="AD57" s="586" t="n">
        <v>28900</v>
      </c>
      <c r="AE57" s="586" t="n">
        <v>23200</v>
      </c>
      <c r="AF57" s="78">
        <f>AE57/AD57</f>
        <v/>
      </c>
      <c r="AG57" s="79">
        <f>AD57-AE57</f>
        <v/>
      </c>
      <c r="AH57" s="458" t="n">
        <v>2026.04</v>
      </c>
      <c r="AI57" s="458" t="n">
        <v>27000</v>
      </c>
      <c r="AJ57" s="458">
        <f>AI57-AD57</f>
        <v/>
      </c>
      <c r="AK57" s="129">
        <f>(AI57-AD57)/AD57</f>
        <v/>
      </c>
      <c r="AL57" s="80">
        <f>AJ57/AG57</f>
        <v/>
      </c>
      <c r="AM57" s="503" t="n"/>
      <c r="AN57" s="289" t="n"/>
      <c r="AV57" s="289" t="n"/>
    </row>
    <row r="58" ht="15.5" customHeight="1" s="476">
      <c r="A58" s="494" t="inlineStr">
        <is>
          <t>다가동</t>
        </is>
      </c>
      <c r="B58" s="132" t="n"/>
      <c r="C58" s="132" t="n"/>
      <c r="D58" s="494" t="n">
        <v>110996</v>
      </c>
      <c r="E58" s="133" t="inlineStr">
        <is>
          <t>일봉산해피트리</t>
        </is>
      </c>
      <c r="F58" s="494" t="n">
        <v>2017.12</v>
      </c>
      <c r="G58" s="494" t="n">
        <v>546</v>
      </c>
      <c r="H58" s="494">
        <f>2026-F58+1</f>
        <v/>
      </c>
      <c r="I58" s="494" t="inlineStr">
        <is>
          <t>114C, 115A, 115B</t>
        </is>
      </c>
      <c r="J58" s="494" t="n">
        <v>114</v>
      </c>
      <c r="K58" s="494" t="n">
        <v>84</v>
      </c>
      <c r="L58" s="494" t="n">
        <v>34</v>
      </c>
      <c r="M58" s="494" t="inlineStr">
        <is>
          <t>계단식</t>
        </is>
      </c>
      <c r="N58" s="494" t="n">
        <v>3</v>
      </c>
      <c r="O58" s="494" t="n">
        <v>2</v>
      </c>
      <c r="P58" s="494" t="n">
        <v>546</v>
      </c>
      <c r="Q58" s="584" t="n">
        <v>26000</v>
      </c>
      <c r="R58" s="584" t="n">
        <v>21000</v>
      </c>
      <c r="S58" s="581">
        <f>Q58-R58</f>
        <v/>
      </c>
      <c r="T58" s="71">
        <f>R58/Q58</f>
        <v/>
      </c>
      <c r="U58" s="584" t="n">
        <v>34000</v>
      </c>
      <c r="V58" s="584" t="n">
        <v>22000</v>
      </c>
      <c r="W58" s="458" t="inlineStr">
        <is>
          <t>계단식</t>
        </is>
      </c>
      <c r="X58" s="458" t="n">
        <v>3</v>
      </c>
      <c r="Y58" s="458" t="n">
        <v>2</v>
      </c>
      <c r="Z58" s="458" t="n">
        <v>546</v>
      </c>
      <c r="AA58" s="141" t="n">
        <v>2021.02</v>
      </c>
      <c r="AB58" s="132" t="n">
        <v>0.04</v>
      </c>
      <c r="AC58" s="77">
        <f>L58</f>
        <v/>
      </c>
      <c r="AD58" s="586" t="n">
        <v>26893</v>
      </c>
      <c r="AE58" s="586" t="n">
        <v>23278</v>
      </c>
      <c r="AF58" s="78">
        <f>AE58/AD58</f>
        <v/>
      </c>
      <c r="AG58" s="79">
        <f>AD58-AE58</f>
        <v/>
      </c>
      <c r="AH58" s="110" t="n">
        <v>2026.04</v>
      </c>
      <c r="AI58" s="591" t="n">
        <v>26000</v>
      </c>
      <c r="AJ58" s="591">
        <f>AI58-AD58</f>
        <v/>
      </c>
      <c r="AK58" s="129">
        <f>(AI58-AD58)/AD58</f>
        <v/>
      </c>
      <c r="AL58" s="80">
        <f>AJ58/AG58</f>
        <v/>
      </c>
      <c r="AM58" s="503" t="n"/>
      <c r="AN58" s="81" t="n"/>
      <c r="AO58" s="494" t="n"/>
      <c r="AP58" s="494" t="n"/>
      <c r="AQ58" s="494" t="n"/>
      <c r="AR58" s="494" t="n"/>
      <c r="AS58" s="494" t="n"/>
      <c r="AT58" s="494" t="n"/>
      <c r="AU58" s="494" t="n"/>
      <c r="AV58" s="289" t="n"/>
      <c r="AW58" s="494" t="n"/>
      <c r="AX58" s="494" t="n"/>
      <c r="AY58" s="494" t="n"/>
    </row>
    <row r="59" ht="15.5" customHeight="1" s="476">
      <c r="A59" s="494" t="inlineStr">
        <is>
          <t>청수동</t>
        </is>
      </c>
      <c r="B59" s="88" t="n"/>
      <c r="C59" s="89" t="n"/>
      <c r="D59" s="494" t="n">
        <v>133523</v>
      </c>
      <c r="E59" s="133" t="inlineStr">
        <is>
          <t>청수행정타운금호어울림</t>
        </is>
      </c>
      <c r="F59" s="494" t="n">
        <v>2023.01</v>
      </c>
      <c r="G59" s="494" t="n">
        <v>584</v>
      </c>
      <c r="H59" s="494">
        <f>2026-F59+1</f>
        <v/>
      </c>
      <c r="I59" s="494" t="inlineStr">
        <is>
          <t>80</t>
        </is>
      </c>
      <c r="J59" s="494" t="n">
        <v>80</v>
      </c>
      <c r="K59" s="494" t="n">
        <v>59</v>
      </c>
      <c r="L59" s="494" t="n">
        <v>24</v>
      </c>
      <c r="M59" s="494" t="inlineStr">
        <is>
          <t>계단식</t>
        </is>
      </c>
      <c r="N59" s="494" t="n">
        <v>3</v>
      </c>
      <c r="O59" s="494" t="n">
        <v>2</v>
      </c>
      <c r="P59" s="494" t="n">
        <v>258</v>
      </c>
      <c r="Q59" s="96" t="n">
        <v>26000</v>
      </c>
      <c r="R59" s="96" t="n">
        <v>22000</v>
      </c>
      <c r="S59" s="581">
        <f>Q59-R59</f>
        <v/>
      </c>
      <c r="T59" s="71">
        <f>R59/Q59</f>
        <v/>
      </c>
      <c r="U59" s="96" t="n"/>
      <c r="V59" s="96" t="n">
        <v>20500</v>
      </c>
      <c r="W59" s="458" t="inlineStr">
        <is>
          <t>계단식</t>
        </is>
      </c>
      <c r="X59" s="458" t="n">
        <v>3</v>
      </c>
      <c r="Y59" s="458" t="n">
        <v>2</v>
      </c>
      <c r="Z59" s="458" t="n">
        <v>258</v>
      </c>
      <c r="AA59" s="289" t="n"/>
      <c r="AB59" s="289" t="n"/>
      <c r="AC59" s="99">
        <f>L59</f>
        <v/>
      </c>
      <c r="AD59" s="99" t="n"/>
      <c r="AE59" s="99" t="n"/>
      <c r="AF59" s="99">
        <f>AE59/AD59</f>
        <v/>
      </c>
      <c r="AG59" s="100">
        <f>AD59-AE59</f>
        <v/>
      </c>
      <c r="AH59" s="458" t="n">
        <v>2026.04</v>
      </c>
      <c r="AI59" s="458" t="n">
        <v>26000</v>
      </c>
      <c r="AJ59" s="458">
        <f>AI59-AD59</f>
        <v/>
      </c>
      <c r="AK59" s="129">
        <f>(AI59-AD59)/AD59</f>
        <v/>
      </c>
      <c r="AL59" s="101">
        <f>AJ59/AG59</f>
        <v/>
      </c>
      <c r="AM59" s="289" t="n"/>
      <c r="AN59" s="289" t="n"/>
      <c r="AV59" s="289" t="n"/>
    </row>
    <row r="60" ht="15.5" customHeight="1" s="476">
      <c r="A60" s="494" t="inlineStr">
        <is>
          <t>신부동</t>
        </is>
      </c>
      <c r="B60" s="289" t="n"/>
      <c r="C60" s="289" t="n"/>
      <c r="D60" s="494" t="n">
        <v>26534</v>
      </c>
      <c r="E60" s="133" t="inlineStr">
        <is>
          <t>휴먼시아</t>
        </is>
      </c>
      <c r="F60" s="494" t="n">
        <v>2009.09</v>
      </c>
      <c r="G60" s="494" t="n">
        <v>497</v>
      </c>
      <c r="H60" s="494">
        <f>2026-F60+1</f>
        <v/>
      </c>
      <c r="I60" s="494" t="inlineStr">
        <is>
          <t>79A, 79B</t>
        </is>
      </c>
      <c r="J60" s="494" t="n">
        <v>79</v>
      </c>
      <c r="K60" s="494" t="n">
        <v>59</v>
      </c>
      <c r="L60" s="494" t="n">
        <v>24</v>
      </c>
      <c r="M60" s="494" t="inlineStr">
        <is>
          <t>계단식</t>
        </is>
      </c>
      <c r="N60" s="494" t="n">
        <v>3</v>
      </c>
      <c r="O60" s="494" t="n">
        <v>2</v>
      </c>
      <c r="P60" s="494" t="n">
        <v>82</v>
      </c>
      <c r="Q60" s="584" t="n">
        <v>25700</v>
      </c>
      <c r="R60" s="585" t="n">
        <v>22000</v>
      </c>
      <c r="S60" s="581">
        <f>Q60-R60</f>
        <v/>
      </c>
      <c r="T60" s="71">
        <f>R60/Q60</f>
        <v/>
      </c>
      <c r="U60" s="585" t="n">
        <v>27000</v>
      </c>
      <c r="V60" s="585" t="n">
        <v>23800</v>
      </c>
      <c r="W60" s="458" t="inlineStr">
        <is>
          <t>계단식</t>
        </is>
      </c>
      <c r="X60" s="458" t="n">
        <v>3</v>
      </c>
      <c r="Y60" s="458" t="n">
        <v>2</v>
      </c>
      <c r="Z60" s="458" t="n">
        <v>82</v>
      </c>
      <c r="AA60" s="289" t="n">
        <v>2019.05</v>
      </c>
      <c r="AB60" s="289" t="n">
        <v>0.01</v>
      </c>
      <c r="AC60" s="77">
        <f>L60</f>
        <v/>
      </c>
      <c r="AD60" s="586" t="n">
        <v>21625</v>
      </c>
      <c r="AE60" s="586" t="n">
        <v>17583</v>
      </c>
      <c r="AF60" s="78">
        <f>AE60/AD60</f>
        <v/>
      </c>
      <c r="AG60" s="79">
        <f>AD60-AE60</f>
        <v/>
      </c>
      <c r="AH60" s="458" t="n">
        <v>2026.04</v>
      </c>
      <c r="AI60" s="458" t="n">
        <v>25700</v>
      </c>
      <c r="AJ60" s="458">
        <f>AI60-AD60</f>
        <v/>
      </c>
      <c r="AK60" s="129">
        <f>(AI60-AD60)/AD60</f>
        <v/>
      </c>
      <c r="AL60" s="80">
        <f>AJ60/AG60</f>
        <v/>
      </c>
      <c r="AM60" s="503" t="n"/>
      <c r="AN60" s="289" t="n"/>
      <c r="AV60" s="494">
        <f t="array" ref="AV60">- 호갱노노 그래프</f>
        <v/>
      </c>
    </row>
    <row r="61" ht="15.5" customHeight="1" s="476">
      <c r="A61" s="458" t="inlineStr">
        <is>
          <t>다가동</t>
        </is>
      </c>
      <c r="B61" s="159" t="n"/>
      <c r="C61" s="159" t="n"/>
      <c r="D61" s="458" t="n">
        <v>145699</v>
      </c>
      <c r="E61" s="146" t="inlineStr">
        <is>
          <t>천안극동스타클래스더퍼스트</t>
        </is>
      </c>
      <c r="F61" s="458" t="n">
        <v>2025.01</v>
      </c>
      <c r="G61" s="458" t="n">
        <v>1225</v>
      </c>
      <c r="H61" s="458">
        <f>2026-F61+1</f>
        <v/>
      </c>
      <c r="I61" s="458" t="inlineStr">
        <is>
          <t>80A, 81B</t>
        </is>
      </c>
      <c r="J61" s="458" t="n">
        <v>80</v>
      </c>
      <c r="K61" s="458" t="n">
        <v>59</v>
      </c>
      <c r="L61" s="458" t="n">
        <v>24</v>
      </c>
      <c r="M61" s="458" t="inlineStr">
        <is>
          <t>계단식</t>
        </is>
      </c>
      <c r="N61" s="458" t="n">
        <v>3</v>
      </c>
      <c r="O61" s="458" t="n">
        <v>2</v>
      </c>
      <c r="P61" s="458" t="n">
        <v>664</v>
      </c>
      <c r="Q61" s="587" t="n">
        <v>25500</v>
      </c>
      <c r="R61" s="588" t="n">
        <v>22000</v>
      </c>
      <c r="S61" s="581">
        <f>Q61-R61</f>
        <v/>
      </c>
      <c r="T61" s="71">
        <f>R61/Q61</f>
        <v/>
      </c>
      <c r="U61" s="588" t="n"/>
      <c r="V61" s="588" t="n"/>
      <c r="W61" s="458" t="inlineStr">
        <is>
          <t>계단식</t>
        </is>
      </c>
      <c r="X61" s="458" t="n">
        <v>3</v>
      </c>
      <c r="Y61" s="458" t="n">
        <v>2</v>
      </c>
      <c r="Z61" s="458" t="n">
        <v>664</v>
      </c>
      <c r="AA61" s="225" t="n"/>
      <c r="AC61" s="37">
        <f>L61</f>
        <v/>
      </c>
      <c r="AD61" s="583" t="n"/>
      <c r="AE61" s="583" t="n"/>
      <c r="AF61" s="38">
        <f>AE61/AD61</f>
        <v/>
      </c>
      <c r="AG61" s="39">
        <f>AD61-AE61</f>
        <v/>
      </c>
      <c r="AH61" s="458" t="n">
        <v>2026.04</v>
      </c>
      <c r="AI61" s="509" t="n">
        <v>25500</v>
      </c>
      <c r="AJ61" s="509">
        <f>AI61-AD61</f>
        <v/>
      </c>
      <c r="AK61" s="129">
        <f>(AI61-AD61)/AD61</f>
        <v/>
      </c>
      <c r="AL61" s="29">
        <f>AJ61/AG61</f>
        <v/>
      </c>
      <c r="AM61" s="236" t="n"/>
    </row>
    <row r="62" ht="15.5" customHeight="1" s="476">
      <c r="A62" s="494" t="inlineStr">
        <is>
          <t>신방동</t>
        </is>
      </c>
      <c r="B62" s="289" t="n"/>
      <c r="C62" s="289" t="n"/>
      <c r="D62" s="494" t="n">
        <v>100359</v>
      </c>
      <c r="E62" s="133" t="inlineStr">
        <is>
          <t>신방한성필하우스</t>
        </is>
      </c>
      <c r="F62" s="494" t="n">
        <v>2010.06</v>
      </c>
      <c r="G62" s="494" t="n">
        <v>1049</v>
      </c>
      <c r="H62" s="494">
        <f>2026-F62+1</f>
        <v/>
      </c>
      <c r="I62" s="494" t="inlineStr">
        <is>
          <t>111C, 111A, 111B</t>
        </is>
      </c>
      <c r="J62" s="494" t="n">
        <v>111</v>
      </c>
      <c r="K62" s="494" t="n">
        <v>84</v>
      </c>
      <c r="L62" s="494" t="n">
        <v>34</v>
      </c>
      <c r="M62" s="494" t="inlineStr">
        <is>
          <t>계단식</t>
        </is>
      </c>
      <c r="N62" s="494" t="n">
        <v>3</v>
      </c>
      <c r="O62" s="494" t="n">
        <v>2</v>
      </c>
      <c r="P62" s="494" t="n">
        <v>515</v>
      </c>
      <c r="Q62" s="584" t="n">
        <v>25500</v>
      </c>
      <c r="R62" s="585" t="n">
        <v>23000</v>
      </c>
      <c r="S62" s="581">
        <f>Q62-R62</f>
        <v/>
      </c>
      <c r="T62" s="71">
        <f>R62/Q62</f>
        <v/>
      </c>
      <c r="U62" s="585" t="n">
        <v>39900</v>
      </c>
      <c r="V62" s="585" t="n">
        <v>27000</v>
      </c>
      <c r="W62" s="458" t="inlineStr">
        <is>
          <t>계단식</t>
        </is>
      </c>
      <c r="X62" s="458" t="n">
        <v>3</v>
      </c>
      <c r="Y62" s="458" t="n">
        <v>2</v>
      </c>
      <c r="Z62" s="458" t="n">
        <v>515</v>
      </c>
      <c r="AA62" s="141" t="n">
        <v>2026.04</v>
      </c>
      <c r="AB62" s="289" t="n">
        <v>0.03</v>
      </c>
      <c r="AC62" s="77">
        <f>L62</f>
        <v/>
      </c>
      <c r="AD62" s="586" t="n">
        <v>25529</v>
      </c>
      <c r="AE62" s="586" t="n">
        <v>22000</v>
      </c>
      <c r="AF62" s="78">
        <f>AE62/AD62</f>
        <v/>
      </c>
      <c r="AG62" s="79">
        <f>AD62-AE62</f>
        <v/>
      </c>
      <c r="AH62" s="458" t="n">
        <v>2026.04</v>
      </c>
      <c r="AI62" s="509" t="n">
        <v>25500</v>
      </c>
      <c r="AJ62" s="509">
        <f>AI62-AD62</f>
        <v/>
      </c>
      <c r="AK62" s="129">
        <f>(AI62-AD62)/AD62</f>
        <v/>
      </c>
      <c r="AL62" s="80">
        <f>AJ62/AG62</f>
        <v/>
      </c>
      <c r="AM62" s="503" t="n"/>
      <c r="AN62" s="83" t="n"/>
      <c r="AO62" s="458" t="n"/>
      <c r="AP62" s="458" t="n"/>
      <c r="AQ62" s="458" t="n"/>
      <c r="AR62" s="458" t="n"/>
      <c r="AS62" s="458" t="n"/>
      <c r="AT62" s="458" t="n"/>
      <c r="AU62" s="458" t="n"/>
      <c r="AV62" s="289" t="n"/>
      <c r="AW62" s="458" t="n"/>
      <c r="AX62" s="458" t="n"/>
      <c r="AY62" s="458" t="n"/>
    </row>
    <row r="63" ht="15.5" customHeight="1" s="476">
      <c r="A63" s="458" t="inlineStr">
        <is>
          <t>용곡동</t>
        </is>
      </c>
      <c r="B63" s="159" t="n"/>
      <c r="C63" s="159" t="n"/>
      <c r="D63" s="458" t="n">
        <v>26813</v>
      </c>
      <c r="E63" s="146" t="inlineStr">
        <is>
          <t>용곡우림필유</t>
        </is>
      </c>
      <c r="F63" s="458" t="n">
        <v>2009.1</v>
      </c>
      <c r="G63" s="458" t="n">
        <v>499</v>
      </c>
      <c r="H63" s="458">
        <f>2026-F63+1</f>
        <v/>
      </c>
      <c r="I63" s="458" t="inlineStr">
        <is>
          <t>117B, 118A</t>
        </is>
      </c>
      <c r="J63" s="458" t="n">
        <v>117</v>
      </c>
      <c r="K63" s="458" t="n">
        <v>84</v>
      </c>
      <c r="L63" s="458" t="n">
        <v>35</v>
      </c>
      <c r="M63" s="458" t="inlineStr">
        <is>
          <t>계단식</t>
        </is>
      </c>
      <c r="N63" s="458" t="n">
        <v>3</v>
      </c>
      <c r="O63" s="458" t="n">
        <v>2</v>
      </c>
      <c r="P63" s="458" t="n">
        <v>323</v>
      </c>
      <c r="Q63" s="530" t="n">
        <v>25500</v>
      </c>
      <c r="R63" s="531" t="n">
        <v>22000</v>
      </c>
      <c r="S63" s="581">
        <f>Q63-R63</f>
        <v/>
      </c>
      <c r="T63" s="71">
        <f>R63/Q63</f>
        <v/>
      </c>
      <c r="U63" s="531" t="n">
        <v>33000</v>
      </c>
      <c r="V63" s="531" t="n">
        <v>24000</v>
      </c>
      <c r="W63" s="458" t="inlineStr">
        <is>
          <t>계단식</t>
        </is>
      </c>
      <c r="X63" s="458" t="n">
        <v>3</v>
      </c>
      <c r="Y63" s="458" t="n">
        <v>2</v>
      </c>
      <c r="Z63" s="458" t="n">
        <v>323</v>
      </c>
      <c r="AA63" s="458" t="n">
        <v>2020.03</v>
      </c>
      <c r="AB63" s="458" t="n">
        <v>0.01</v>
      </c>
      <c r="AC63" s="37">
        <f>L63</f>
        <v/>
      </c>
      <c r="AD63" s="583" t="n">
        <v>23000</v>
      </c>
      <c r="AE63" s="583" t="n">
        <v>19833</v>
      </c>
      <c r="AF63" s="38">
        <f>AE63/AD63</f>
        <v/>
      </c>
      <c r="AG63" s="39">
        <f>AD63-AE63</f>
        <v/>
      </c>
      <c r="AH63" s="458" t="n">
        <v>2026.04</v>
      </c>
      <c r="AI63" s="458" t="n">
        <v>25500</v>
      </c>
      <c r="AJ63" s="458">
        <f>AI63-AD63</f>
        <v/>
      </c>
      <c r="AK63" s="129">
        <f>(AI63-AD63)/AD63</f>
        <v/>
      </c>
      <c r="AL63" s="29">
        <f>AJ63/AG63</f>
        <v/>
      </c>
      <c r="AM63" s="236" t="n"/>
      <c r="AO63" s="458" t="n"/>
      <c r="AP63" s="458" t="n"/>
      <c r="AQ63" s="458" t="n"/>
      <c r="AR63" s="458" t="n"/>
      <c r="AS63" s="458" t="n"/>
      <c r="AT63" s="458" t="n"/>
      <c r="AU63" s="458" t="n"/>
      <c r="AW63" s="458" t="n"/>
      <c r="AX63" s="458" t="n"/>
      <c r="AY63" s="458" t="n"/>
    </row>
    <row r="64" ht="15.5" customHeight="1" s="476">
      <c r="A64" s="458" t="inlineStr">
        <is>
          <t>청당동</t>
        </is>
      </c>
      <c r="B64" s="159" t="n"/>
      <c r="C64" s="159" t="n"/>
      <c r="D64" s="458" t="n">
        <v>116435</v>
      </c>
      <c r="E64" s="146" t="inlineStr">
        <is>
          <t>청당코오롱하늘채</t>
        </is>
      </c>
      <c r="F64" s="458" t="n">
        <v>2019.12</v>
      </c>
      <c r="G64" s="458" t="n">
        <v>1534</v>
      </c>
      <c r="H64" s="458">
        <f>2026-F64+1</f>
        <v/>
      </c>
      <c r="I64" s="458" t="inlineStr">
        <is>
          <t>79A, 80C, 80B</t>
        </is>
      </c>
      <c r="J64" s="458" t="n">
        <v>79</v>
      </c>
      <c r="K64" s="458" t="n">
        <v>59</v>
      </c>
      <c r="L64" s="458" t="n">
        <v>24</v>
      </c>
      <c r="M64" s="458" t="inlineStr">
        <is>
          <t>계단식</t>
        </is>
      </c>
      <c r="N64" s="458" t="n">
        <v>3</v>
      </c>
      <c r="O64" s="458" t="n">
        <v>2</v>
      </c>
      <c r="P64" s="458" t="n">
        <v>592</v>
      </c>
      <c r="Q64" s="104" t="n">
        <v>25000</v>
      </c>
      <c r="R64" s="104" t="n">
        <v>23000</v>
      </c>
      <c r="S64" s="581">
        <f>Q64-R64</f>
        <v/>
      </c>
      <c r="T64" s="71">
        <f>R64/Q64</f>
        <v/>
      </c>
      <c r="U64" s="104" t="n">
        <v>33000</v>
      </c>
      <c r="V64" s="104" t="n">
        <v>22000</v>
      </c>
      <c r="W64" s="458" t="inlineStr">
        <is>
          <t>계단식</t>
        </is>
      </c>
      <c r="X64" s="458" t="n">
        <v>3</v>
      </c>
      <c r="Y64" s="458" t="n">
        <v>2</v>
      </c>
      <c r="Z64" s="458" t="n">
        <v>592</v>
      </c>
      <c r="AC64" s="37">
        <f>L64</f>
        <v/>
      </c>
      <c r="AD64" s="108" t="n"/>
      <c r="AE64" s="108" t="n"/>
      <c r="AF64" s="108">
        <f>AE64/AD64</f>
        <v/>
      </c>
      <c r="AG64" s="109">
        <f>AD64-AE64</f>
        <v/>
      </c>
      <c r="AH64" s="458" t="n">
        <v>2026.04</v>
      </c>
      <c r="AI64" s="458" t="n">
        <v>25000</v>
      </c>
      <c r="AJ64" s="458">
        <f>AI64-AD64</f>
        <v/>
      </c>
      <c r="AK64" s="129">
        <f>(AI64-AD64)/AD64</f>
        <v/>
      </c>
      <c r="AL64" s="29">
        <f>AJ64/AG64</f>
        <v/>
      </c>
      <c r="AM64" s="236" t="n"/>
    </row>
    <row r="65" ht="15.5" customHeight="1" s="476">
      <c r="A65" s="458" t="inlineStr">
        <is>
          <t>청당동</t>
        </is>
      </c>
      <c r="D65" s="458" t="n">
        <v>110018</v>
      </c>
      <c r="E65" s="146" t="inlineStr">
        <is>
          <t>중흥에스클래스산운마을</t>
        </is>
      </c>
      <c r="F65" s="458" t="n">
        <v>2009.12</v>
      </c>
      <c r="G65" s="458" t="n">
        <v>504</v>
      </c>
      <c r="H65" s="458">
        <f>2026-F65+1</f>
        <v/>
      </c>
      <c r="I65" s="458" t="inlineStr">
        <is>
          <t>109B, 110A</t>
        </is>
      </c>
      <c r="J65" s="458" t="n">
        <v>109</v>
      </c>
      <c r="K65" s="458" t="n">
        <v>84</v>
      </c>
      <c r="L65" s="458" t="n">
        <v>33</v>
      </c>
      <c r="M65" s="458" t="inlineStr">
        <is>
          <t>계단식</t>
        </is>
      </c>
      <c r="N65" s="458" t="n">
        <v>3</v>
      </c>
      <c r="O65" s="458" t="n">
        <v>2</v>
      </c>
      <c r="P65" s="458" t="n">
        <v>499</v>
      </c>
      <c r="Q65" s="104" t="n">
        <v>25000</v>
      </c>
      <c r="R65" s="104" t="n">
        <v>23000</v>
      </c>
      <c r="S65" s="581">
        <f>Q65-R65</f>
        <v/>
      </c>
      <c r="T65" s="71">
        <f>R65/Q65</f>
        <v/>
      </c>
      <c r="U65" s="104" t="n">
        <v>33900</v>
      </c>
      <c r="V65" s="104" t="n">
        <v>19000</v>
      </c>
      <c r="W65" s="458" t="inlineStr">
        <is>
          <t>계단식</t>
        </is>
      </c>
      <c r="X65" s="458" t="n">
        <v>3</v>
      </c>
      <c r="Y65" s="458" t="n">
        <v>2</v>
      </c>
      <c r="Z65" s="458" t="n">
        <v>499</v>
      </c>
      <c r="AA65" s="458" t="n">
        <v>2024.12</v>
      </c>
      <c r="AB65" s="458" t="n">
        <v>0.01</v>
      </c>
      <c r="AC65" s="37">
        <f>L65</f>
        <v/>
      </c>
      <c r="AD65" s="93" t="n">
        <v>26962</v>
      </c>
      <c r="AE65" s="93" t="n">
        <v>22000</v>
      </c>
      <c r="AF65" s="93">
        <f>AE65/AD65</f>
        <v/>
      </c>
      <c r="AG65" s="128">
        <f>AD65-AE65</f>
        <v/>
      </c>
      <c r="AH65" s="458" t="n">
        <v>2026.04</v>
      </c>
      <c r="AI65" s="458" t="n">
        <v>25000</v>
      </c>
      <c r="AJ65" s="458">
        <f>AI65-AD65</f>
        <v/>
      </c>
      <c r="AK65" s="129">
        <f>(AI65-AD65)/AD65</f>
        <v/>
      </c>
      <c r="AL65" s="29">
        <f>AJ65/AG65</f>
        <v/>
      </c>
      <c r="AM65" s="236" t="n"/>
    </row>
    <row r="66" ht="15.5" customHeight="1" s="476">
      <c r="A66" s="494" t="inlineStr">
        <is>
          <t>구성동</t>
        </is>
      </c>
      <c r="B66" s="74" t="n"/>
      <c r="C66" s="75" t="n"/>
      <c r="D66" s="494" t="n">
        <v>26577</v>
      </c>
      <c r="E66" s="133" t="inlineStr">
        <is>
          <t>휴먼시아</t>
        </is>
      </c>
      <c r="F66" s="494" t="n">
        <v>2010.07</v>
      </c>
      <c r="G66" s="494" t="n">
        <v>473</v>
      </c>
      <c r="H66" s="494">
        <f>2026-F66+1</f>
        <v/>
      </c>
      <c r="I66" s="494" t="inlineStr">
        <is>
          <t>113A</t>
        </is>
      </c>
      <c r="J66" s="494" t="n">
        <v>113</v>
      </c>
      <c r="K66" s="494" t="n">
        <v>84</v>
      </c>
      <c r="L66" s="494" t="n">
        <v>34</v>
      </c>
      <c r="M66" s="494" t="inlineStr">
        <is>
          <t>복합식</t>
        </is>
      </c>
      <c r="N66" s="494" t="n">
        <v>3</v>
      </c>
      <c r="O66" s="494" t="n">
        <v>2</v>
      </c>
      <c r="P66" s="494" t="n">
        <v>214</v>
      </c>
      <c r="Q66" s="584" t="n">
        <v>24000</v>
      </c>
      <c r="R66" s="585" t="n">
        <v>19000</v>
      </c>
      <c r="S66" s="581">
        <f>Q66-R66</f>
        <v/>
      </c>
      <c r="T66" s="71">
        <f>R66/Q66</f>
        <v/>
      </c>
      <c r="U66" s="585" t="n">
        <v>30000</v>
      </c>
      <c r="V66" s="585" t="n">
        <v>22900</v>
      </c>
      <c r="W66" s="458" t="inlineStr">
        <is>
          <t>복합식</t>
        </is>
      </c>
      <c r="X66" s="458" t="n">
        <v>3</v>
      </c>
      <c r="Y66" s="458" t="n">
        <v>2</v>
      </c>
      <c r="Z66" s="458" t="n">
        <v>214</v>
      </c>
      <c r="AA66" s="141" t="n">
        <v>2026.02</v>
      </c>
      <c r="AB66" s="132" t="n">
        <v>0.05</v>
      </c>
      <c r="AC66" s="77">
        <f>L66</f>
        <v/>
      </c>
      <c r="AD66" s="586" t="n">
        <v>20575</v>
      </c>
      <c r="AE66" s="586" t="n">
        <v>18333</v>
      </c>
      <c r="AF66" s="78">
        <f>AE66/AD66</f>
        <v/>
      </c>
      <c r="AG66" s="79">
        <f>AD66-AE66</f>
        <v/>
      </c>
      <c r="AH66" s="110" t="n">
        <v>2026.04</v>
      </c>
      <c r="AI66" s="591" t="n">
        <v>24000</v>
      </c>
      <c r="AJ66" s="591">
        <f>AI66-AD66</f>
        <v/>
      </c>
      <c r="AK66" s="129">
        <f>(AI66-AD66)/AD66</f>
        <v/>
      </c>
      <c r="AL66" s="80">
        <f>AJ66/AG66</f>
        <v/>
      </c>
      <c r="AM66" s="503" t="n"/>
      <c r="AN66" s="83" t="n"/>
      <c r="AO66" s="494" t="n"/>
      <c r="AP66" s="494" t="n"/>
      <c r="AQ66" s="494" t="n"/>
      <c r="AR66" s="494" t="n"/>
      <c r="AS66" s="494" t="n"/>
      <c r="AT66" s="494" t="n"/>
      <c r="AU66" s="494" t="n"/>
      <c r="AV66" s="494" t="inlineStr">
        <is>
          <t>1. 생활권 별 / 선호도 별 단지 추출 (상중하)</t>
        </is>
      </c>
      <c r="AW66" s="494" t="n"/>
      <c r="AX66" s="494" t="n"/>
      <c r="AY66" s="494" t="n"/>
    </row>
    <row r="67" ht="15.5" customHeight="1" s="476">
      <c r="A67" s="494" t="inlineStr">
        <is>
          <t>풍세면</t>
        </is>
      </c>
      <c r="B67" s="88" t="n"/>
      <c r="C67" s="89" t="n"/>
      <c r="D67" s="494" t="n">
        <v>140850</v>
      </c>
      <c r="E67" s="133" t="inlineStr">
        <is>
          <t>천안한양수자인에코시티</t>
        </is>
      </c>
      <c r="F67" s="494" t="n">
        <v>2023.12</v>
      </c>
      <c r="G67" s="494" t="n">
        <v>3200</v>
      </c>
      <c r="H67" s="494">
        <f>2026-F67+1</f>
        <v/>
      </c>
      <c r="I67" s="494" t="inlineStr">
        <is>
          <t>96</t>
        </is>
      </c>
      <c r="J67" s="494" t="n">
        <v>96</v>
      </c>
      <c r="K67" s="494" t="n">
        <v>75</v>
      </c>
      <c r="L67" s="494" t="n">
        <v>29</v>
      </c>
      <c r="M67" s="494" t="inlineStr">
        <is>
          <t>계단식</t>
        </is>
      </c>
      <c r="N67" s="494" t="n">
        <v>3</v>
      </c>
      <c r="O67" s="494" t="n">
        <v>2</v>
      </c>
      <c r="P67" s="494" t="n">
        <v>524</v>
      </c>
      <c r="Q67" s="96" t="n">
        <v>24000</v>
      </c>
      <c r="R67" s="96" t="n">
        <v>17000</v>
      </c>
      <c r="S67" s="581">
        <f>Q67-R67</f>
        <v/>
      </c>
      <c r="T67" s="71">
        <f>R67/Q67</f>
        <v/>
      </c>
      <c r="U67" s="96" t="n"/>
      <c r="V67" s="96" t="n"/>
      <c r="W67" s="458" t="inlineStr">
        <is>
          <t>계단식</t>
        </is>
      </c>
      <c r="X67" s="458" t="n">
        <v>3</v>
      </c>
      <c r="Y67" s="458" t="n">
        <v>2</v>
      </c>
      <c r="Z67" s="458" t="n">
        <v>524</v>
      </c>
      <c r="AA67" s="289" t="n"/>
      <c r="AB67" s="289" t="n"/>
      <c r="AC67" s="99">
        <f>L67</f>
        <v/>
      </c>
      <c r="AD67" s="99" t="n"/>
      <c r="AE67" s="99" t="n"/>
      <c r="AF67" s="99">
        <f>AE67/AD67</f>
        <v/>
      </c>
      <c r="AG67" s="100">
        <f>AD67-AE67</f>
        <v/>
      </c>
      <c r="AH67" s="458" t="n">
        <v>2026.04</v>
      </c>
      <c r="AI67" s="458" t="n">
        <v>24000</v>
      </c>
      <c r="AJ67" s="458">
        <f>AI67-AD67</f>
        <v/>
      </c>
      <c r="AK67" s="129">
        <f>(AI67-AD67)/AD67</f>
        <v/>
      </c>
      <c r="AL67" s="101">
        <f>AJ67/AG67</f>
        <v/>
      </c>
      <c r="AM67" s="289" t="n"/>
      <c r="AN67" s="289" t="n"/>
      <c r="AO67" s="458" t="n"/>
      <c r="AP67" s="458" t="n"/>
      <c r="AQ67" s="458" t="n"/>
      <c r="AR67" s="458" t="n"/>
      <c r="AS67" s="458" t="n"/>
      <c r="AT67" s="458" t="n"/>
      <c r="AU67" s="458" t="n"/>
      <c r="AV67" s="289" t="n"/>
      <c r="AW67" s="458" t="n"/>
      <c r="AX67" s="458" t="n"/>
      <c r="AY67" s="458" t="n"/>
    </row>
    <row r="68" ht="15.5" customHeight="1" s="476">
      <c r="A68" s="87" t="n"/>
      <c r="B68" s="159" t="inlineStr">
        <is>
          <t>하</t>
        </is>
      </c>
      <c r="C68" s="159" t="inlineStr">
        <is>
          <t>상</t>
        </is>
      </c>
      <c r="E68" s="91" t="n"/>
      <c r="F68" s="87" t="n">
        <v>2020.11</v>
      </c>
      <c r="G68" s="87" t="n">
        <v>2267</v>
      </c>
      <c r="H68" s="94">
        <f>2026-F68+1</f>
        <v/>
      </c>
      <c r="I68" s="87" t="n">
        <v>64</v>
      </c>
      <c r="J68" s="87" t="n">
        <v>64</v>
      </c>
      <c r="K68" s="87" t="n">
        <v>43</v>
      </c>
      <c r="L68" s="87" t="n">
        <v>19</v>
      </c>
      <c r="M68" s="87" t="n"/>
      <c r="N68" s="87" t="n"/>
      <c r="O68" s="87" t="n"/>
      <c r="P68" s="87" t="n"/>
      <c r="Q68" s="530" t="n">
        <v>23500</v>
      </c>
      <c r="R68" s="531" t="n">
        <v>20000</v>
      </c>
      <c r="S68" s="581">
        <f>Q68-R68</f>
        <v/>
      </c>
      <c r="T68" s="71">
        <f>R68/Q68</f>
        <v/>
      </c>
      <c r="U68" s="531" t="n">
        <v>30000</v>
      </c>
      <c r="V68" s="531" t="n">
        <v>23000</v>
      </c>
      <c r="W68" s="97" t="inlineStr">
        <is>
          <t>계단식</t>
        </is>
      </c>
      <c r="X68" s="87" t="n">
        <v>2</v>
      </c>
      <c r="Y68" s="87" t="n">
        <v>1</v>
      </c>
      <c r="Z68" s="87" t="n">
        <v>100</v>
      </c>
      <c r="AC68" s="37">
        <f>L68</f>
        <v/>
      </c>
      <c r="AD68" s="583" t="n"/>
      <c r="AE68" s="583" t="n"/>
      <c r="AF68" s="38">
        <f>AE68/AD68</f>
        <v/>
      </c>
      <c r="AG68" s="39">
        <f>AD68-AE68</f>
        <v/>
      </c>
      <c r="AI68" s="458" t="n"/>
      <c r="AJ68" s="458" t="n"/>
      <c r="AK68" s="27" t="n"/>
      <c r="AL68" s="29" t="n"/>
      <c r="AM68" s="236" t="n"/>
      <c r="AO68" s="458" t="n"/>
      <c r="AP68" s="458" t="n"/>
      <c r="AQ68" s="458" t="n"/>
      <c r="AR68" s="458" t="n"/>
      <c r="AS68" s="458" t="n"/>
      <c r="AT68" s="458" t="n"/>
      <c r="AU68" s="458" t="n"/>
      <c r="AW68" s="458" t="n"/>
      <c r="AX68" s="458" t="n"/>
      <c r="AY68" s="458" t="n"/>
    </row>
    <row r="69" ht="15.5" customHeight="1" s="476">
      <c r="A69" s="494" t="inlineStr">
        <is>
          <t>신방동</t>
        </is>
      </c>
      <c r="B69" s="289" t="n"/>
      <c r="C69" s="289" t="n"/>
      <c r="D69" s="494" t="n">
        <v>26517</v>
      </c>
      <c r="E69" s="133" t="inlineStr">
        <is>
          <t>천안신방푸르지오</t>
        </is>
      </c>
      <c r="F69" s="494" t="n">
        <v>2009.01</v>
      </c>
      <c r="G69" s="494" t="n">
        <v>417</v>
      </c>
      <c r="H69" s="494">
        <f>2026-F69+1</f>
        <v/>
      </c>
      <c r="I69" s="494" t="inlineStr">
        <is>
          <t>105C, 106A, 106B</t>
        </is>
      </c>
      <c r="J69" s="494" t="n">
        <v>105</v>
      </c>
      <c r="K69" s="494" t="n">
        <v>84</v>
      </c>
      <c r="L69" s="494" t="n">
        <v>32</v>
      </c>
      <c r="M69" s="494" t="inlineStr">
        <is>
          <t>계단식</t>
        </is>
      </c>
      <c r="N69" s="494" t="n">
        <v>3</v>
      </c>
      <c r="O69" s="494" t="n">
        <v>2</v>
      </c>
      <c r="P69" s="494" t="n">
        <v>417</v>
      </c>
      <c r="Q69" s="584" t="n">
        <v>22500</v>
      </c>
      <c r="R69" s="585" t="n">
        <v>23000</v>
      </c>
      <c r="S69" s="581">
        <f>Q69-R69</f>
        <v/>
      </c>
      <c r="T69" s="71">
        <f>R69/Q69</f>
        <v/>
      </c>
      <c r="U69" s="585" t="n">
        <v>30500</v>
      </c>
      <c r="V69" s="585" t="n">
        <v>18000</v>
      </c>
      <c r="W69" s="458" t="inlineStr">
        <is>
          <t>계단식</t>
        </is>
      </c>
      <c r="X69" s="458" t="n">
        <v>3</v>
      </c>
      <c r="Y69" s="458" t="n">
        <v>2</v>
      </c>
      <c r="Z69" s="458" t="n">
        <v>417</v>
      </c>
      <c r="AA69" s="289" t="n">
        <v>2020.02</v>
      </c>
      <c r="AB69" s="289" t="n">
        <v>0.02</v>
      </c>
      <c r="AC69" s="77">
        <f>L69</f>
        <v/>
      </c>
      <c r="AD69" s="586" t="n">
        <v>19196</v>
      </c>
      <c r="AE69" s="586" t="n">
        <v>15972</v>
      </c>
      <c r="AF69" s="78">
        <f>AE69/AD69</f>
        <v/>
      </c>
      <c r="AG69" s="79">
        <f>AD69-AE69</f>
        <v/>
      </c>
      <c r="AH69" s="458" t="n">
        <v>2026.04</v>
      </c>
      <c r="AI69" s="458" t="n">
        <v>22500</v>
      </c>
      <c r="AJ69" s="458">
        <f>AI69-AD69</f>
        <v/>
      </c>
      <c r="AK69" s="129">
        <f>(AI69-AD69)/AD69</f>
        <v/>
      </c>
      <c r="AL69" s="80">
        <f>AJ69/AG69</f>
        <v/>
      </c>
      <c r="AM69" s="503" t="n"/>
      <c r="AN69" s="289" t="n"/>
      <c r="AO69" s="458" t="n"/>
      <c r="AP69" s="458" t="n"/>
      <c r="AQ69" s="458" t="n"/>
      <c r="AR69" s="458" t="n"/>
      <c r="AS69" s="458" t="n"/>
      <c r="AT69" s="458" t="n"/>
      <c r="AU69" s="458" t="n"/>
      <c r="AV69" s="289" t="n"/>
      <c r="AW69" s="458" t="n"/>
      <c r="AX69" s="458" t="n"/>
      <c r="AY69" s="458" t="n"/>
    </row>
    <row r="70" ht="15.5" customHeight="1" s="476">
      <c r="A70" s="494" t="inlineStr">
        <is>
          <t>청당동</t>
        </is>
      </c>
      <c r="B70" s="289" t="n"/>
      <c r="C70" s="289" t="n"/>
      <c r="D70" s="494" t="n">
        <v>114402</v>
      </c>
      <c r="E70" s="133" t="inlineStr">
        <is>
          <t>청당포레스트더힐</t>
        </is>
      </c>
      <c r="F70" s="494" t="n">
        <v>2011.09</v>
      </c>
      <c r="G70" s="494" t="n">
        <v>449</v>
      </c>
      <c r="H70" s="494">
        <f>2026-F70+1</f>
        <v/>
      </c>
      <c r="I70" s="494" t="inlineStr">
        <is>
          <t>112</t>
        </is>
      </c>
      <c r="J70" s="494" t="n">
        <v>112</v>
      </c>
      <c r="K70" s="494" t="n">
        <v>84</v>
      </c>
      <c r="L70" s="494" t="n">
        <v>34</v>
      </c>
      <c r="M70" s="494" t="inlineStr">
        <is>
          <t>계단식</t>
        </is>
      </c>
      <c r="N70" s="494" t="n">
        <v>3</v>
      </c>
      <c r="O70" s="494" t="n">
        <v>2</v>
      </c>
      <c r="P70" s="494" t="n">
        <v>449</v>
      </c>
      <c r="Q70" s="96" t="n">
        <v>22500</v>
      </c>
      <c r="R70" s="96" t="n">
        <v>20000</v>
      </c>
      <c r="S70" s="581">
        <f>Q70-R70</f>
        <v/>
      </c>
      <c r="T70" s="71">
        <f>R70/Q70</f>
        <v/>
      </c>
      <c r="U70" s="96" t="n">
        <v>50000</v>
      </c>
      <c r="V70" s="96" t="n">
        <v>20000</v>
      </c>
      <c r="W70" s="458" t="inlineStr">
        <is>
          <t>계단식</t>
        </is>
      </c>
      <c r="X70" s="458" t="n">
        <v>3</v>
      </c>
      <c r="Y70" s="458" t="n">
        <v>2</v>
      </c>
      <c r="Z70" s="458" t="n">
        <v>449</v>
      </c>
      <c r="AA70" s="289" t="n"/>
      <c r="AB70" s="289" t="n"/>
      <c r="AC70" s="99">
        <f>L70</f>
        <v/>
      </c>
      <c r="AD70" s="99" t="n"/>
      <c r="AE70" s="99" t="n"/>
      <c r="AF70" s="99">
        <f>AE70/AD70</f>
        <v/>
      </c>
      <c r="AG70" s="100">
        <f>AD70-AE70</f>
        <v/>
      </c>
      <c r="AH70" s="458" t="n">
        <v>2026.04</v>
      </c>
      <c r="AI70" s="458" t="n">
        <v>22500</v>
      </c>
      <c r="AJ70" s="458">
        <f>AI70-AD70</f>
        <v/>
      </c>
      <c r="AK70" s="129">
        <f>(AI70-AD70)/AD70</f>
        <v/>
      </c>
      <c r="AL70" s="101">
        <f>AJ70/AG70</f>
        <v/>
      </c>
      <c r="AM70" s="289" t="n"/>
      <c r="AN70" s="289" t="n"/>
      <c r="AO70" s="458" t="n"/>
      <c r="AP70" s="458" t="n"/>
      <c r="AQ70" s="458" t="n"/>
      <c r="AR70" s="458" t="n"/>
      <c r="AS70" s="458" t="n"/>
      <c r="AT70" s="458" t="n"/>
      <c r="AU70" s="458" t="n"/>
      <c r="AV70" s="289" t="n"/>
      <c r="AW70" s="458" t="n"/>
      <c r="AX70" s="458" t="n"/>
      <c r="AY70" s="458" t="n"/>
    </row>
    <row r="71" ht="15.5" customHeight="1" s="476">
      <c r="A71" s="494" t="inlineStr">
        <is>
          <t>청당동</t>
        </is>
      </c>
      <c r="B71" s="289" t="n"/>
      <c r="C71" s="289" t="n"/>
      <c r="D71" s="494" t="n">
        <v>24363</v>
      </c>
      <c r="E71" s="133" t="inlineStr">
        <is>
          <t>청당마을벽산블루밍</t>
        </is>
      </c>
      <c r="F71" s="494" t="n">
        <v>2007.09</v>
      </c>
      <c r="G71" s="494" t="n">
        <v>1647</v>
      </c>
      <c r="H71" s="494">
        <f>2026-F71+1</f>
        <v/>
      </c>
      <c r="I71" s="494" t="inlineStr">
        <is>
          <t>106A, 107C, 107B</t>
        </is>
      </c>
      <c r="J71" s="494" t="n">
        <v>106</v>
      </c>
      <c r="K71" s="494" t="n">
        <v>84</v>
      </c>
      <c r="L71" s="494" t="n">
        <v>32</v>
      </c>
      <c r="M71" s="494" t="inlineStr">
        <is>
          <t>계단식</t>
        </is>
      </c>
      <c r="N71" s="494" t="n">
        <v>3</v>
      </c>
      <c r="O71" s="494" t="n">
        <v>2</v>
      </c>
      <c r="P71" s="494" t="n">
        <v>907</v>
      </c>
      <c r="Q71" s="96" t="n">
        <v>22300</v>
      </c>
      <c r="R71" s="96" t="n">
        <v>20000</v>
      </c>
      <c r="S71" s="581">
        <f>Q71-R71</f>
        <v/>
      </c>
      <c r="T71" s="71">
        <f>R71/Q71</f>
        <v/>
      </c>
      <c r="U71" s="96" t="n">
        <v>33000</v>
      </c>
      <c r="V71" s="96" t="n">
        <v>22600</v>
      </c>
      <c r="W71" s="458" t="inlineStr">
        <is>
          <t>계단식</t>
        </is>
      </c>
      <c r="X71" s="458" t="n">
        <v>3</v>
      </c>
      <c r="Y71" s="458" t="n">
        <v>2</v>
      </c>
      <c r="Z71" s="458" t="n">
        <v>907</v>
      </c>
      <c r="AA71" s="289" t="n">
        <v>2022.06</v>
      </c>
      <c r="AB71" s="289" t="n">
        <v>0.02</v>
      </c>
      <c r="AC71" s="99">
        <f>L71</f>
        <v/>
      </c>
      <c r="AD71" s="99" t="n">
        <v>29136</v>
      </c>
      <c r="AE71" s="99" t="n">
        <v>24987</v>
      </c>
      <c r="AF71" s="99">
        <f>AE71/AD71</f>
        <v/>
      </c>
      <c r="AG71" s="100">
        <f>AD71-AE71</f>
        <v/>
      </c>
      <c r="AH71" s="458" t="n">
        <v>2026.04</v>
      </c>
      <c r="AI71" s="458" t="n">
        <v>22300</v>
      </c>
      <c r="AJ71" s="458">
        <f>AI71-AD71</f>
        <v/>
      </c>
      <c r="AK71" s="129">
        <f>(AI71-AD71)/AD71</f>
        <v/>
      </c>
      <c r="AL71" s="101">
        <f>AJ71/AG71</f>
        <v/>
      </c>
      <c r="AM71" s="289" t="n"/>
      <c r="AN71" s="289" t="n"/>
      <c r="AO71" s="458" t="n"/>
      <c r="AP71" s="458" t="n"/>
      <c r="AQ71" s="458" t="n"/>
      <c r="AR71" s="458" t="n"/>
      <c r="AS71" s="458" t="n"/>
      <c r="AT71" s="458" t="n"/>
      <c r="AU71" s="458" t="n"/>
      <c r="AV71" s="289" t="n"/>
      <c r="AW71" s="458" t="n"/>
      <c r="AX71" s="458" t="n"/>
      <c r="AY71" s="458" t="n"/>
    </row>
    <row r="72" ht="15.5" customHeight="1" s="476">
      <c r="A72" s="458" t="inlineStr">
        <is>
          <t>신방동</t>
        </is>
      </c>
      <c r="D72" s="458" t="n">
        <v>135648</v>
      </c>
      <c r="E72" s="146" t="inlineStr">
        <is>
          <t>천안신방삼부르네상스</t>
        </is>
      </c>
      <c r="F72" s="458" t="n">
        <v>2023.05</v>
      </c>
      <c r="G72" s="458" t="n">
        <v>830</v>
      </c>
      <c r="H72" s="458">
        <f>2026-F72+1</f>
        <v/>
      </c>
      <c r="I72" s="458" t="inlineStr">
        <is>
          <t>81A, 82B</t>
        </is>
      </c>
      <c r="J72" s="458" t="n">
        <v>81</v>
      </c>
      <c r="K72" s="458" t="n">
        <v>59</v>
      </c>
      <c r="L72" s="458" t="n">
        <v>25</v>
      </c>
      <c r="M72" s="458" t="inlineStr">
        <is>
          <t>계단식</t>
        </is>
      </c>
      <c r="N72" s="458" t="n">
        <v>3</v>
      </c>
      <c r="O72" s="458" t="n">
        <v>2</v>
      </c>
      <c r="P72" s="458" t="n">
        <v>516</v>
      </c>
      <c r="Q72" s="587" t="n">
        <v>22000</v>
      </c>
      <c r="R72" s="588" t="n">
        <v>20000</v>
      </c>
      <c r="S72" s="581">
        <f>Q72-R72</f>
        <v/>
      </c>
      <c r="T72" s="71">
        <f>R72/Q72</f>
        <v/>
      </c>
      <c r="U72" s="588" t="n"/>
      <c r="V72" s="588" t="n">
        <v>22330</v>
      </c>
      <c r="W72" s="458" t="inlineStr">
        <is>
          <t>계단식</t>
        </is>
      </c>
      <c r="X72" s="458" t="n">
        <v>3</v>
      </c>
      <c r="Y72" s="458" t="n">
        <v>2</v>
      </c>
      <c r="Z72" s="458" t="n">
        <v>516</v>
      </c>
      <c r="AC72" s="37">
        <f>L72</f>
        <v/>
      </c>
      <c r="AD72" s="583" t="n"/>
      <c r="AE72" s="583" t="n"/>
      <c r="AF72" s="38">
        <f>AE72/AD72</f>
        <v/>
      </c>
      <c r="AG72" s="39">
        <f>AD72-AE72</f>
        <v/>
      </c>
      <c r="AH72" s="458" t="n">
        <v>2026.04</v>
      </c>
      <c r="AI72" s="458" t="n">
        <v>22000</v>
      </c>
      <c r="AJ72" s="458">
        <f>AI72-AD72</f>
        <v/>
      </c>
      <c r="AK72" s="129">
        <f>(AI72-AD72)/AD72</f>
        <v/>
      </c>
      <c r="AL72" s="29">
        <f>AJ72/AG72</f>
        <v/>
      </c>
      <c r="AM72" s="236" t="n"/>
    </row>
    <row r="73" ht="15.5" customHeight="1" s="476">
      <c r="A73" s="458" t="inlineStr">
        <is>
          <t>신부동</t>
        </is>
      </c>
      <c r="D73" s="458" t="n">
        <v>7421</v>
      </c>
      <c r="E73" s="146" t="inlineStr">
        <is>
          <t>경남아너스빌</t>
        </is>
      </c>
      <c r="F73" s="458" t="n">
        <v>2000.03</v>
      </c>
      <c r="G73" s="458" t="n">
        <v>619</v>
      </c>
      <c r="H73" s="458">
        <f>2026-F73+1</f>
        <v/>
      </c>
      <c r="I73" s="458" t="inlineStr">
        <is>
          <t>107</t>
        </is>
      </c>
      <c r="J73" s="458" t="n">
        <v>107</v>
      </c>
      <c r="K73" s="458" t="n">
        <v>84</v>
      </c>
      <c r="L73" s="458" t="n">
        <v>32</v>
      </c>
      <c r="M73" s="458" t="inlineStr">
        <is>
          <t>계단식</t>
        </is>
      </c>
      <c r="N73" s="458" t="n">
        <v>3</v>
      </c>
      <c r="O73" s="458" t="n">
        <v>2</v>
      </c>
      <c r="P73" s="458" t="n">
        <v>376</v>
      </c>
      <c r="Q73" s="587" t="n">
        <v>22000</v>
      </c>
      <c r="R73" s="588" t="n">
        <v>17000</v>
      </c>
      <c r="S73" s="581">
        <f>Q73-R73</f>
        <v/>
      </c>
      <c r="T73" s="71">
        <f>R73/Q73</f>
        <v/>
      </c>
      <c r="U73" s="588" t="n">
        <v>23000</v>
      </c>
      <c r="V73" s="588" t="n">
        <v>17000</v>
      </c>
      <c r="W73" s="458" t="inlineStr">
        <is>
          <t>계단식</t>
        </is>
      </c>
      <c r="X73" s="458" t="n">
        <v>3</v>
      </c>
      <c r="Y73" s="458" t="n">
        <v>2</v>
      </c>
      <c r="Z73" s="458" t="n">
        <v>376</v>
      </c>
      <c r="AA73" s="225" t="n">
        <v>2023.02</v>
      </c>
      <c r="AB73" s="458" t="n">
        <v>0.01</v>
      </c>
      <c r="AC73" s="37">
        <f>L73</f>
        <v/>
      </c>
      <c r="AD73" s="583" t="n">
        <v>20360</v>
      </c>
      <c r="AE73" s="583" t="n">
        <v>16500</v>
      </c>
      <c r="AF73" s="38">
        <f>AE73/AD73</f>
        <v/>
      </c>
      <c r="AG73" s="39">
        <f>AD73-AE73</f>
        <v/>
      </c>
      <c r="AH73" s="458" t="n">
        <v>2026.04</v>
      </c>
      <c r="AI73" s="509" t="n">
        <v>22000</v>
      </c>
      <c r="AJ73" s="509">
        <f>AI73-AD73</f>
        <v/>
      </c>
      <c r="AK73" s="129">
        <f>(AI73-AD73)/AD73</f>
        <v/>
      </c>
      <c r="AL73" s="29">
        <f>AJ73/AG73</f>
        <v/>
      </c>
      <c r="AM73" s="236" t="n"/>
    </row>
    <row r="74" ht="15.5" customHeight="1" s="476">
      <c r="A74" s="494" t="inlineStr">
        <is>
          <t>신부동</t>
        </is>
      </c>
      <c r="B74" s="88" t="n"/>
      <c r="C74" s="89" t="n"/>
      <c r="D74" s="494" t="n">
        <v>7416</v>
      </c>
      <c r="E74" s="133" t="inlineStr">
        <is>
          <t>대림한숲</t>
        </is>
      </c>
      <c r="F74" s="494" t="n">
        <v>1995.1</v>
      </c>
      <c r="G74" s="494" t="n">
        <v>451</v>
      </c>
      <c r="H74" s="494">
        <f>2026-F74+1</f>
        <v/>
      </c>
      <c r="I74" s="494" t="inlineStr">
        <is>
          <t>106</t>
        </is>
      </c>
      <c r="J74" s="494" t="n">
        <v>106</v>
      </c>
      <c r="K74" s="494" t="n">
        <v>84</v>
      </c>
      <c r="L74" s="494" t="n">
        <v>32</v>
      </c>
      <c r="M74" s="494" t="inlineStr">
        <is>
          <t>계단식</t>
        </is>
      </c>
      <c r="N74" s="494" t="n">
        <v>3</v>
      </c>
      <c r="O74" s="494" t="n">
        <v>2</v>
      </c>
      <c r="P74" s="494" t="n">
        <v>347</v>
      </c>
      <c r="Q74" s="584" t="n">
        <v>22000</v>
      </c>
      <c r="R74" s="585" t="n">
        <v>18000</v>
      </c>
      <c r="S74" s="581">
        <f>Q74-R74</f>
        <v/>
      </c>
      <c r="T74" s="71">
        <f>R74/Q74</f>
        <v/>
      </c>
      <c r="U74" s="585" t="n">
        <v>23500</v>
      </c>
      <c r="V74" s="585" t="n">
        <v>18700</v>
      </c>
      <c r="W74" s="458" t="inlineStr">
        <is>
          <t>계단식</t>
        </is>
      </c>
      <c r="X74" s="458" t="n">
        <v>3</v>
      </c>
      <c r="Y74" s="458" t="n">
        <v>2</v>
      </c>
      <c r="Z74" s="458" t="n">
        <v>347</v>
      </c>
      <c r="AA74" s="289" t="n">
        <v>2021.08</v>
      </c>
      <c r="AB74" s="289" t="n">
        <v>0.01</v>
      </c>
      <c r="AC74" s="77">
        <f>L74</f>
        <v/>
      </c>
      <c r="AD74" s="586" t="n">
        <v>20988</v>
      </c>
      <c r="AE74" s="586" t="n">
        <v>17050</v>
      </c>
      <c r="AF74" s="78">
        <f>AE74/AD74</f>
        <v/>
      </c>
      <c r="AG74" s="79">
        <f>AD74-AE74</f>
        <v/>
      </c>
      <c r="AH74" s="458" t="n">
        <v>2026.04</v>
      </c>
      <c r="AI74" s="458" t="n">
        <v>22000</v>
      </c>
      <c r="AJ74" s="458">
        <f>AI74-AD74</f>
        <v/>
      </c>
      <c r="AK74" s="129">
        <f>(AI74-AD74)/AD74</f>
        <v/>
      </c>
      <c r="AL74" s="80">
        <f>AJ74/AG74</f>
        <v/>
      </c>
      <c r="AM74" s="503" t="n"/>
      <c r="AN74" s="289" t="n"/>
      <c r="AV74" s="289" t="n"/>
    </row>
    <row r="75" ht="15.5" customHeight="1" s="476">
      <c r="A75" s="494" t="inlineStr">
        <is>
          <t>청당동</t>
        </is>
      </c>
      <c r="B75" s="289" t="n"/>
      <c r="C75" s="289" t="n"/>
      <c r="D75" s="494" t="n">
        <v>24363</v>
      </c>
      <c r="E75" s="133" t="inlineStr">
        <is>
          <t>청당마을벽산블루밍</t>
        </is>
      </c>
      <c r="F75" s="494" t="n">
        <v>2007.09</v>
      </c>
      <c r="G75" s="494" t="n">
        <v>1647</v>
      </c>
      <c r="H75" s="494">
        <f>2026-F75+1</f>
        <v/>
      </c>
      <c r="I75" s="494" t="inlineStr">
        <is>
          <t>95</t>
        </is>
      </c>
      <c r="J75" s="494" t="n">
        <v>95</v>
      </c>
      <c r="K75" s="494" t="n">
        <v>72</v>
      </c>
      <c r="L75" s="494" t="n">
        <v>29</v>
      </c>
      <c r="M75" s="494" t="inlineStr">
        <is>
          <t>계단식</t>
        </is>
      </c>
      <c r="N75" s="494" t="n">
        <v>3</v>
      </c>
      <c r="O75" s="494" t="n">
        <v>2</v>
      </c>
      <c r="P75" s="494" t="n">
        <v>82</v>
      </c>
      <c r="Q75" s="96" t="n">
        <v>22000</v>
      </c>
      <c r="R75" s="96" t="n">
        <v>16000</v>
      </c>
      <c r="S75" s="581">
        <f>Q75-R75</f>
        <v/>
      </c>
      <c r="T75" s="71">
        <f>R75/Q75</f>
        <v/>
      </c>
      <c r="U75" s="96" t="n">
        <v>26500</v>
      </c>
      <c r="V75" s="96" t="n">
        <v>22500</v>
      </c>
      <c r="W75" s="458" t="inlineStr">
        <is>
          <t>계단식</t>
        </is>
      </c>
      <c r="X75" s="458" t="n">
        <v>3</v>
      </c>
      <c r="Y75" s="458" t="n">
        <v>2</v>
      </c>
      <c r="Z75" s="458" t="n">
        <v>82</v>
      </c>
      <c r="AA75" s="289" t="n">
        <v>2019.04</v>
      </c>
      <c r="AB75" s="289" t="n">
        <v>0.03</v>
      </c>
      <c r="AC75" s="99">
        <f>L75</f>
        <v/>
      </c>
      <c r="AD75" s="99" t="n">
        <v>17325</v>
      </c>
      <c r="AE75" s="99" t="n">
        <v>15500</v>
      </c>
      <c r="AF75" s="99">
        <f>AE75/AD75</f>
        <v/>
      </c>
      <c r="AG75" s="100">
        <f>AD75-AE75</f>
        <v/>
      </c>
      <c r="AH75" s="458" t="n">
        <v>2026.04</v>
      </c>
      <c r="AI75" s="458" t="n">
        <v>22000</v>
      </c>
      <c r="AJ75" s="458">
        <f>AI75-AD75</f>
        <v/>
      </c>
      <c r="AK75" s="129">
        <f>(AI75-AD75)/AD75</f>
        <v/>
      </c>
      <c r="AL75" s="101">
        <f>AJ75/AG75</f>
        <v/>
      </c>
      <c r="AM75" s="289" t="n"/>
      <c r="AN75" s="289" t="n"/>
      <c r="AO75" s="458" t="n"/>
      <c r="AP75" s="458" t="n"/>
      <c r="AQ75" s="458" t="n"/>
      <c r="AR75" s="458" t="n"/>
      <c r="AS75" s="458" t="n"/>
      <c r="AT75" s="458" t="n"/>
      <c r="AU75" s="458" t="n"/>
      <c r="AV75" s="289" t="n"/>
      <c r="AW75" s="458" t="n"/>
      <c r="AX75" s="458" t="n"/>
      <c r="AY75" s="458" t="n"/>
    </row>
    <row r="76" ht="15.5" customHeight="1" s="476">
      <c r="A76" s="458" t="inlineStr">
        <is>
          <t>청수동</t>
        </is>
      </c>
      <c r="B76" s="159" t="n"/>
      <c r="C76" s="159" t="n"/>
      <c r="D76" s="458" t="n">
        <v>7572</v>
      </c>
      <c r="E76" s="146" t="inlineStr">
        <is>
          <t>청솔LG,SK</t>
        </is>
      </c>
      <c r="F76" s="458" t="n">
        <v>1999.02</v>
      </c>
      <c r="G76" s="458" t="n">
        <v>898</v>
      </c>
      <c r="H76" s="458">
        <f>2026-F76+1</f>
        <v/>
      </c>
      <c r="I76" s="458" t="inlineStr">
        <is>
          <t>107</t>
        </is>
      </c>
      <c r="J76" s="458" t="n">
        <v>107</v>
      </c>
      <c r="K76" s="458" t="n">
        <v>84</v>
      </c>
      <c r="L76" s="458" t="n">
        <v>32</v>
      </c>
      <c r="M76" s="458" t="inlineStr">
        <is>
          <t>계단식</t>
        </is>
      </c>
      <c r="N76" s="458" t="n">
        <v>3</v>
      </c>
      <c r="O76" s="458" t="n">
        <v>2</v>
      </c>
      <c r="P76" s="458" t="n">
        <v>238</v>
      </c>
      <c r="Q76" s="104" t="n">
        <v>22000</v>
      </c>
      <c r="R76" s="104" t="n">
        <v>20000</v>
      </c>
      <c r="S76" s="581">
        <f>Q76-R76</f>
        <v/>
      </c>
      <c r="T76" s="71">
        <f>R76/Q76</f>
        <v/>
      </c>
      <c r="U76" s="104" t="n">
        <v>24000</v>
      </c>
      <c r="V76" s="104" t="n">
        <v>20800</v>
      </c>
      <c r="W76" s="458" t="inlineStr">
        <is>
          <t>계단식</t>
        </is>
      </c>
      <c r="X76" s="458" t="n">
        <v>3</v>
      </c>
      <c r="Y76" s="458" t="n">
        <v>2</v>
      </c>
      <c r="Z76" s="458" t="n">
        <v>238</v>
      </c>
      <c r="AA76" s="458" t="n">
        <v>2019.08</v>
      </c>
      <c r="AB76" s="458" t="n">
        <v>0.02</v>
      </c>
      <c r="AC76" s="37">
        <f>L76</f>
        <v/>
      </c>
      <c r="AD76" s="108" t="n">
        <v>17100</v>
      </c>
      <c r="AE76" s="108" t="n">
        <v>14500</v>
      </c>
      <c r="AF76" s="108">
        <f>AE76/AD76</f>
        <v/>
      </c>
      <c r="AG76" s="109">
        <f>AD76-AE76</f>
        <v/>
      </c>
      <c r="AH76" s="458" t="n">
        <v>2026.04</v>
      </c>
      <c r="AI76" s="458" t="n">
        <v>22000</v>
      </c>
      <c r="AJ76" s="458">
        <f>AI76-AD76</f>
        <v/>
      </c>
      <c r="AK76" s="129">
        <f>(AI76-AD76)/AD76</f>
        <v/>
      </c>
      <c r="AL76" s="29">
        <f>AJ76/AG76</f>
        <v/>
      </c>
      <c r="AM76" s="236" t="n"/>
    </row>
    <row r="77" ht="15.5" customHeight="1" s="476">
      <c r="A77" s="458" t="inlineStr">
        <is>
          <t>용곡동</t>
        </is>
      </c>
      <c r="B77" s="159" t="n"/>
      <c r="C77" s="159" t="n"/>
      <c r="D77" s="458" t="n">
        <v>15430</v>
      </c>
      <c r="E77" s="146" t="inlineStr">
        <is>
          <t>용곡마을동일하이빌1단지</t>
        </is>
      </c>
      <c r="F77" s="458" t="n">
        <v>2005.12</v>
      </c>
      <c r="G77" s="458" t="n">
        <v>706</v>
      </c>
      <c r="H77" s="458">
        <f>2026-F77+1</f>
        <v/>
      </c>
      <c r="I77" s="458" t="inlineStr">
        <is>
          <t>111</t>
        </is>
      </c>
      <c r="J77" s="458" t="n">
        <v>111</v>
      </c>
      <c r="K77" s="458" t="n">
        <v>84</v>
      </c>
      <c r="L77" s="458" t="n">
        <v>34</v>
      </c>
      <c r="M77" s="458" t="inlineStr">
        <is>
          <t>계단식</t>
        </is>
      </c>
      <c r="N77" s="458" t="n">
        <v>3</v>
      </c>
      <c r="O77" s="458" t="n">
        <v>2</v>
      </c>
      <c r="P77" s="458" t="n">
        <v>323</v>
      </c>
      <c r="Q77" s="530" t="n">
        <v>21800</v>
      </c>
      <c r="R77" s="531" t="n">
        <v>21000</v>
      </c>
      <c r="S77" s="581">
        <f>Q77-R77</f>
        <v/>
      </c>
      <c r="T77" s="71">
        <f>R77/Q77</f>
        <v/>
      </c>
      <c r="U77" s="531" t="n">
        <v>29600</v>
      </c>
      <c r="V77" s="531" t="n">
        <v>21700</v>
      </c>
      <c r="W77" s="458" t="inlineStr">
        <is>
          <t>계단식</t>
        </is>
      </c>
      <c r="X77" s="458" t="n">
        <v>3</v>
      </c>
      <c r="Y77" s="458" t="n">
        <v>2</v>
      </c>
      <c r="Z77" s="458" t="n">
        <v>323</v>
      </c>
      <c r="AA77" s="458" t="n">
        <v>2019.09</v>
      </c>
      <c r="AB77" s="458" t="n">
        <v>0.02</v>
      </c>
      <c r="AC77" s="37">
        <f>L77</f>
        <v/>
      </c>
      <c r="AD77" s="583" t="n">
        <v>20450</v>
      </c>
      <c r="AE77" s="583" t="n">
        <v>17000</v>
      </c>
      <c r="AF77" s="38">
        <f>AE77/AD77</f>
        <v/>
      </c>
      <c r="AG77" s="39">
        <f>AD77-AE77</f>
        <v/>
      </c>
      <c r="AH77" s="458" t="n">
        <v>2026.04</v>
      </c>
      <c r="AI77" s="458" t="n">
        <v>21800</v>
      </c>
      <c r="AJ77" s="458">
        <f>AI77-AD77</f>
        <v/>
      </c>
      <c r="AK77" s="129">
        <f>(AI77-AD77)/AD77</f>
        <v/>
      </c>
      <c r="AL77" s="29">
        <f>AJ77/AG77</f>
        <v/>
      </c>
      <c r="AM77" s="236" t="n"/>
      <c r="AO77" s="458" t="n"/>
      <c r="AP77" s="458" t="n"/>
      <c r="AQ77" s="458" t="n"/>
      <c r="AR77" s="458" t="n"/>
      <c r="AS77" s="458" t="n"/>
      <c r="AT77" s="458" t="n"/>
      <c r="AU77" s="458" t="n"/>
      <c r="AW77" s="458" t="n"/>
      <c r="AX77" s="458" t="n"/>
      <c r="AY77" s="458" t="n"/>
    </row>
    <row r="78" ht="15.5" customHeight="1" s="476">
      <c r="A78" s="458" t="inlineStr">
        <is>
          <t>신방동</t>
        </is>
      </c>
      <c r="D78" s="458" t="n">
        <v>27682</v>
      </c>
      <c r="E78" s="146" t="inlineStr">
        <is>
          <t>신방한라비발디</t>
        </is>
      </c>
      <c r="F78" s="458" t="n">
        <v>2009.09</v>
      </c>
      <c r="G78" s="458" t="n">
        <v>764</v>
      </c>
      <c r="H78" s="458">
        <f>2026-F78+1</f>
        <v/>
      </c>
      <c r="I78" s="458" t="inlineStr">
        <is>
          <t>107, 110B, 112A</t>
        </is>
      </c>
      <c r="J78" s="458" t="n">
        <v>107</v>
      </c>
      <c r="K78" s="458" t="n">
        <v>84</v>
      </c>
      <c r="L78" s="458" t="n">
        <v>32</v>
      </c>
      <c r="M78" s="458" t="inlineStr">
        <is>
          <t>계단식</t>
        </is>
      </c>
      <c r="N78" s="458" t="n">
        <v>3</v>
      </c>
      <c r="O78" s="458" t="n">
        <v>2</v>
      </c>
      <c r="P78" s="458" t="n">
        <v>664</v>
      </c>
      <c r="Q78" s="587" t="n">
        <v>21500</v>
      </c>
      <c r="R78" s="588" t="n">
        <v>23000</v>
      </c>
      <c r="S78" s="581">
        <f>Q78-R78</f>
        <v/>
      </c>
      <c r="T78" s="71">
        <f>R78/Q78</f>
        <v/>
      </c>
      <c r="U78" s="588" t="n">
        <v>36000</v>
      </c>
      <c r="V78" s="588" t="n">
        <v>21500</v>
      </c>
      <c r="W78" s="458" t="inlineStr">
        <is>
          <t>계단식</t>
        </is>
      </c>
      <c r="X78" s="458" t="n">
        <v>3</v>
      </c>
      <c r="Y78" s="458" t="n">
        <v>2</v>
      </c>
      <c r="Z78" s="458" t="n">
        <v>664</v>
      </c>
      <c r="AA78" s="458" t="n">
        <v>2018.01</v>
      </c>
      <c r="AB78" s="458" t="n">
        <v>0.03</v>
      </c>
      <c r="AC78" s="37">
        <f>L78</f>
        <v/>
      </c>
      <c r="AD78" s="583" t="n">
        <v>20500</v>
      </c>
      <c r="AE78" s="583" t="n">
        <v>17050</v>
      </c>
      <c r="AF78" s="38">
        <f>AE78/AD78</f>
        <v/>
      </c>
      <c r="AG78" s="39">
        <f>AD78-AE78</f>
        <v/>
      </c>
      <c r="AH78" s="458" t="n">
        <v>2026.04</v>
      </c>
      <c r="AI78" s="458" t="n">
        <v>21500</v>
      </c>
      <c r="AJ78" s="458">
        <f>AI78-AD78</f>
        <v/>
      </c>
      <c r="AK78" s="129">
        <f>(AI78-AD78)/AD78</f>
        <v/>
      </c>
      <c r="AL78" s="29">
        <f>AJ78/AG78</f>
        <v/>
      </c>
      <c r="AM78" s="236" t="n"/>
    </row>
    <row r="79" ht="15.5" customHeight="1" s="476">
      <c r="A79" s="458" t="inlineStr">
        <is>
          <t>안서동</t>
        </is>
      </c>
      <c r="D79" s="458" t="n">
        <v>27431</v>
      </c>
      <c r="E79" s="146" t="inlineStr">
        <is>
          <t>안서금호어울림</t>
        </is>
      </c>
      <c r="F79" s="458" t="n">
        <v>2009.08</v>
      </c>
      <c r="G79" s="458" t="n">
        <v>498</v>
      </c>
      <c r="H79" s="458">
        <f>2026-F79+1</f>
        <v/>
      </c>
      <c r="I79" s="458" t="inlineStr">
        <is>
          <t>114A, 114B, 114B-1</t>
        </is>
      </c>
      <c r="J79" s="458" t="n">
        <v>114</v>
      </c>
      <c r="K79" s="458" t="n">
        <v>84</v>
      </c>
      <c r="L79" s="458" t="n">
        <v>34</v>
      </c>
      <c r="M79" s="458" t="inlineStr">
        <is>
          <t>계단식</t>
        </is>
      </c>
      <c r="N79" s="458" t="n">
        <v>3</v>
      </c>
      <c r="O79" s="458" t="n">
        <v>2</v>
      </c>
      <c r="P79" s="458" t="n">
        <v>342</v>
      </c>
      <c r="Q79" s="530" t="n">
        <v>21500</v>
      </c>
      <c r="R79" s="531" t="n">
        <v>21500</v>
      </c>
      <c r="S79" s="581">
        <f>Q79-R79</f>
        <v/>
      </c>
      <c r="T79" s="71">
        <f>R79/Q79</f>
        <v/>
      </c>
      <c r="U79" s="531" t="n">
        <v>26900</v>
      </c>
      <c r="V79" s="531" t="n">
        <v>21900</v>
      </c>
      <c r="W79" s="458" t="inlineStr">
        <is>
          <t>계단식</t>
        </is>
      </c>
      <c r="X79" s="458" t="n">
        <v>3</v>
      </c>
      <c r="Y79" s="458" t="n">
        <v>2</v>
      </c>
      <c r="Z79" s="458" t="n">
        <v>342</v>
      </c>
      <c r="AA79" s="458" t="n">
        <v>2019.09</v>
      </c>
      <c r="AB79" s="458" t="n">
        <v>0.03</v>
      </c>
      <c r="AC79" s="37">
        <f>L79</f>
        <v/>
      </c>
      <c r="AD79" s="583" t="n">
        <v>17920</v>
      </c>
      <c r="AE79" s="583" t="n">
        <v>15542</v>
      </c>
      <c r="AF79" s="38">
        <f>AE79/AD79</f>
        <v/>
      </c>
      <c r="AG79" s="39">
        <f>AD79-AE79</f>
        <v/>
      </c>
      <c r="AH79" s="458" t="n">
        <v>2026.04</v>
      </c>
      <c r="AI79" s="458" t="n">
        <v>21500</v>
      </c>
      <c r="AJ79" s="458">
        <f>AI79-AD79</f>
        <v/>
      </c>
      <c r="AK79" s="129">
        <f>(AI79-AD79)/AD79</f>
        <v/>
      </c>
      <c r="AL79" s="29">
        <f>AJ79/AG79</f>
        <v/>
      </c>
      <c r="AM79" s="236" t="n"/>
    </row>
    <row r="80" ht="15.5" customHeight="1" s="476">
      <c r="A80" s="494" t="inlineStr">
        <is>
          <t>신부동</t>
        </is>
      </c>
      <c r="B80" s="88" t="n"/>
      <c r="C80" s="89" t="n"/>
      <c r="D80" s="494" t="n">
        <v>7416</v>
      </c>
      <c r="E80" s="133" t="inlineStr">
        <is>
          <t>대림한숲</t>
        </is>
      </c>
      <c r="F80" s="494" t="n">
        <v>1995.1</v>
      </c>
      <c r="G80" s="494" t="n">
        <v>451</v>
      </c>
      <c r="H80" s="494">
        <f>2026-F80+1</f>
        <v/>
      </c>
      <c r="I80" s="494" t="inlineStr">
        <is>
          <t>90</t>
        </is>
      </c>
      <c r="J80" s="494" t="n">
        <v>90</v>
      </c>
      <c r="K80" s="494" t="n">
        <v>70</v>
      </c>
      <c r="L80" s="494" t="n">
        <v>27</v>
      </c>
      <c r="M80" s="494" t="inlineStr">
        <is>
          <t>계단식</t>
        </is>
      </c>
      <c r="N80" s="494" t="n">
        <v>3</v>
      </c>
      <c r="O80" s="494" t="n">
        <v>1</v>
      </c>
      <c r="P80" s="494" t="n">
        <v>104</v>
      </c>
      <c r="Q80" s="584" t="n">
        <v>21000</v>
      </c>
      <c r="R80" s="585" t="n">
        <v>17000</v>
      </c>
      <c r="S80" s="581">
        <f>Q80-R80</f>
        <v/>
      </c>
      <c r="T80" s="71">
        <f>R80/Q80</f>
        <v/>
      </c>
      <c r="U80" s="585" t="n">
        <v>21000</v>
      </c>
      <c r="V80" s="585" t="n">
        <v>18200</v>
      </c>
      <c r="W80" s="458" t="inlineStr">
        <is>
          <t>계단식</t>
        </is>
      </c>
      <c r="X80" s="458" t="n">
        <v>3</v>
      </c>
      <c r="Y80" s="458" t="n">
        <v>1</v>
      </c>
      <c r="Z80" s="458" t="n">
        <v>104</v>
      </c>
      <c r="AA80" s="289" t="n">
        <v>2019.01</v>
      </c>
      <c r="AB80" s="289" t="n">
        <v>1.04</v>
      </c>
      <c r="AC80" s="77">
        <f>L80</f>
        <v/>
      </c>
      <c r="AD80" s="586" t="n">
        <v>15200</v>
      </c>
      <c r="AE80" s="586" t="n">
        <v>13000</v>
      </c>
      <c r="AF80" s="78">
        <f>AE80/AD80</f>
        <v/>
      </c>
      <c r="AG80" s="79">
        <f>AD80-AE80</f>
        <v/>
      </c>
      <c r="AH80" s="458" t="n">
        <v>2026.04</v>
      </c>
      <c r="AI80" s="458" t="n">
        <v>21000</v>
      </c>
      <c r="AJ80" s="458">
        <f>AI80-AD80</f>
        <v/>
      </c>
      <c r="AK80" s="129">
        <f>(AI80-AD80)/AD80</f>
        <v/>
      </c>
      <c r="AL80" s="80">
        <f>AJ80/AG80</f>
        <v/>
      </c>
      <c r="AM80" s="503" t="n"/>
      <c r="AN80" s="289" t="n"/>
      <c r="AO80" s="458" t="n"/>
      <c r="AP80" s="458" t="n"/>
      <c r="AQ80" s="458" t="n"/>
      <c r="AR80" s="458" t="n"/>
      <c r="AS80" s="458" t="n"/>
      <c r="AT80" s="458" t="n"/>
      <c r="AU80" s="458" t="n"/>
      <c r="AV80" s="289" t="n"/>
      <c r="AW80" s="458" t="n"/>
      <c r="AX80" s="458" t="n"/>
      <c r="AY80" s="458" t="n"/>
    </row>
    <row r="81" ht="15.5" customHeight="1" s="476">
      <c r="A81" s="494" t="inlineStr">
        <is>
          <t>용곡동</t>
        </is>
      </c>
      <c r="B81" s="88" t="n"/>
      <c r="C81" s="89" t="n"/>
      <c r="D81" s="494" t="n">
        <v>26157</v>
      </c>
      <c r="E81" s="133" t="inlineStr">
        <is>
          <t>용곡마을세광엔리치타워2차</t>
        </is>
      </c>
      <c r="F81" s="494" t="n">
        <v>2007.1</v>
      </c>
      <c r="G81" s="494" t="n">
        <v>897</v>
      </c>
      <c r="H81" s="494">
        <f>2026-F81+1</f>
        <v/>
      </c>
      <c r="I81" s="494" t="inlineStr">
        <is>
          <t>115</t>
        </is>
      </c>
      <c r="J81" s="494" t="n">
        <v>115</v>
      </c>
      <c r="K81" s="494" t="n">
        <v>84</v>
      </c>
      <c r="L81" s="494" t="n">
        <v>35</v>
      </c>
      <c r="M81" s="494" t="inlineStr">
        <is>
          <t>계단식</t>
        </is>
      </c>
      <c r="N81" s="494" t="n">
        <v>3</v>
      </c>
      <c r="O81" s="494" t="n">
        <v>2</v>
      </c>
      <c r="P81" s="494" t="n">
        <v>427</v>
      </c>
      <c r="Q81" s="584" t="n">
        <v>21000</v>
      </c>
      <c r="R81" s="585" t="n">
        <v>16000</v>
      </c>
      <c r="S81" s="581">
        <f>Q81-R81</f>
        <v/>
      </c>
      <c r="T81" s="71">
        <f>R81/Q81</f>
        <v/>
      </c>
      <c r="U81" s="585" t="n">
        <v>28500</v>
      </c>
      <c r="V81" s="585" t="n">
        <v>20000</v>
      </c>
      <c r="W81" s="458" t="inlineStr">
        <is>
          <t>계단식</t>
        </is>
      </c>
      <c r="X81" s="458" t="n">
        <v>3</v>
      </c>
      <c r="Y81" s="458" t="n">
        <v>2</v>
      </c>
      <c r="Z81" s="458" t="n">
        <v>427</v>
      </c>
      <c r="AA81" s="289" t="n"/>
      <c r="AB81" s="289" t="n"/>
      <c r="AC81" s="77">
        <f>L81</f>
        <v/>
      </c>
      <c r="AD81" s="586" t="n"/>
      <c r="AE81" s="586" t="n"/>
      <c r="AF81" s="78">
        <f>AE81/AD81</f>
        <v/>
      </c>
      <c r="AG81" s="79">
        <f>AD81-AE81</f>
        <v/>
      </c>
      <c r="AH81" s="458" t="n">
        <v>2026.04</v>
      </c>
      <c r="AI81" s="458" t="n">
        <v>21000</v>
      </c>
      <c r="AJ81" s="458">
        <f>AI81-AD81</f>
        <v/>
      </c>
      <c r="AK81" s="129">
        <f>(AI81-AD81)/AD81</f>
        <v/>
      </c>
      <c r="AL81" s="80">
        <f>AJ81/AG81</f>
        <v/>
      </c>
      <c r="AM81" s="503" t="n"/>
      <c r="AN81" s="289" t="n"/>
      <c r="AV81" s="289" t="n"/>
    </row>
    <row r="82" ht="15.5" customHeight="1" s="476">
      <c r="A82" s="458" t="inlineStr">
        <is>
          <t>용곡동</t>
        </is>
      </c>
      <c r="B82" s="159" t="n"/>
      <c r="C82" s="159" t="n"/>
      <c r="D82" s="458" t="n">
        <v>19242</v>
      </c>
      <c r="E82" s="146" t="inlineStr">
        <is>
          <t>용곡마을아이파크</t>
        </is>
      </c>
      <c r="F82" s="458" t="n">
        <v>2006.09</v>
      </c>
      <c r="G82" s="458" t="n">
        <v>403</v>
      </c>
      <c r="H82" s="458">
        <f>2026-F82+1</f>
        <v/>
      </c>
      <c r="I82" s="458" t="inlineStr">
        <is>
          <t>114</t>
        </is>
      </c>
      <c r="J82" s="458" t="n">
        <v>114</v>
      </c>
      <c r="K82" s="458" t="n">
        <v>84</v>
      </c>
      <c r="L82" s="458" t="n">
        <v>34</v>
      </c>
      <c r="M82" s="458" t="inlineStr">
        <is>
          <t>계단식</t>
        </is>
      </c>
      <c r="N82" s="458" t="n">
        <v>3</v>
      </c>
      <c r="O82" s="458" t="n">
        <v>2</v>
      </c>
      <c r="P82" s="458" t="n">
        <v>232</v>
      </c>
      <c r="Q82" s="530" t="n">
        <v>21000</v>
      </c>
      <c r="R82" s="531" t="n">
        <v>15000</v>
      </c>
      <c r="S82" s="581">
        <f>Q82-R82</f>
        <v/>
      </c>
      <c r="T82" s="71">
        <f>R82/Q82</f>
        <v/>
      </c>
      <c r="U82" s="531" t="n">
        <v>30500</v>
      </c>
      <c r="V82" s="531" t="n">
        <v>20500</v>
      </c>
      <c r="W82" s="458" t="inlineStr">
        <is>
          <t>계단식</t>
        </is>
      </c>
      <c r="X82" s="458" t="n">
        <v>3</v>
      </c>
      <c r="Y82" s="458" t="n">
        <v>2</v>
      </c>
      <c r="Z82" s="458" t="n">
        <v>232</v>
      </c>
      <c r="AA82" s="458" t="n">
        <v>2021.08</v>
      </c>
      <c r="AB82" s="458" t="n">
        <v>0.03</v>
      </c>
      <c r="AC82" s="37">
        <f>L82</f>
        <v/>
      </c>
      <c r="AD82" s="583" t="n">
        <v>22844</v>
      </c>
      <c r="AE82" s="583" t="n">
        <v>21000</v>
      </c>
      <c r="AF82" s="38">
        <f>AE82/AD82</f>
        <v/>
      </c>
      <c r="AG82" s="39">
        <f>AD82-AE82</f>
        <v/>
      </c>
      <c r="AH82" s="458" t="n">
        <v>2026.04</v>
      </c>
      <c r="AI82" s="458" t="n">
        <v>21000</v>
      </c>
      <c r="AJ82" s="458">
        <f>AI82-AD82</f>
        <v/>
      </c>
      <c r="AK82" s="129">
        <f>(AI82-AD82)/AD82</f>
        <v/>
      </c>
      <c r="AL82" s="29">
        <f>AJ82/AG82</f>
        <v/>
      </c>
      <c r="AM82" s="236" t="n"/>
    </row>
    <row r="83" ht="15.5" customHeight="1" s="476">
      <c r="A83" s="458" t="inlineStr">
        <is>
          <t>다가동</t>
        </is>
      </c>
      <c r="B83" s="159" t="n"/>
      <c r="C83" s="159" t="n"/>
      <c r="D83" s="458" t="n">
        <v>145699</v>
      </c>
      <c r="E83" s="146" t="inlineStr">
        <is>
          <t>천안극동스타클래스더퍼스트</t>
        </is>
      </c>
      <c r="F83" s="458" t="n">
        <v>2025.01</v>
      </c>
      <c r="G83" s="458" t="n">
        <v>1225</v>
      </c>
      <c r="H83" s="458">
        <f>2026-F83+1</f>
        <v/>
      </c>
      <c r="I83" s="458" t="inlineStr">
        <is>
          <t>100B, 100A</t>
        </is>
      </c>
      <c r="J83" s="458" t="n">
        <v>100</v>
      </c>
      <c r="K83" s="458" t="n">
        <v>74</v>
      </c>
      <c r="L83" s="458" t="n">
        <v>30</v>
      </c>
      <c r="M83" s="458" t="inlineStr">
        <is>
          <t>계단식</t>
        </is>
      </c>
      <c r="N83" s="458" t="n">
        <v>3</v>
      </c>
      <c r="O83" s="458" t="n">
        <v>2</v>
      </c>
      <c r="P83" s="458" t="n">
        <v>438</v>
      </c>
      <c r="Q83" s="587" t="n">
        <v>20500</v>
      </c>
      <c r="R83" s="588" t="n">
        <v>21000</v>
      </c>
      <c r="S83" s="581">
        <f>Q83-R83</f>
        <v/>
      </c>
      <c r="T83" s="71">
        <f>R83/Q83</f>
        <v/>
      </c>
      <c r="U83" s="588" t="n"/>
      <c r="V83" s="588" t="n"/>
      <c r="W83" s="458" t="inlineStr">
        <is>
          <t>계단식</t>
        </is>
      </c>
      <c r="X83" s="458" t="n">
        <v>3</v>
      </c>
      <c r="Y83" s="458" t="n">
        <v>2</v>
      </c>
      <c r="Z83" s="458" t="n">
        <v>438</v>
      </c>
      <c r="AA83" s="225" t="n"/>
      <c r="AC83" s="37">
        <f>L83</f>
        <v/>
      </c>
      <c r="AD83" s="583" t="n"/>
      <c r="AE83" s="583" t="n"/>
      <c r="AF83" s="38">
        <f>AE83/AD83</f>
        <v/>
      </c>
      <c r="AG83" s="39">
        <f>AD83-AE83</f>
        <v/>
      </c>
      <c r="AH83" s="458" t="n">
        <v>2026.04</v>
      </c>
      <c r="AI83" s="509" t="n">
        <v>20500</v>
      </c>
      <c r="AJ83" s="509">
        <f>AI83-AD83</f>
        <v/>
      </c>
      <c r="AK83" s="129">
        <f>(AI83-AD83)/AD83</f>
        <v/>
      </c>
      <c r="AL83" s="29">
        <f>AJ83/AG83</f>
        <v/>
      </c>
      <c r="AM83" s="236" t="n"/>
      <c r="AO83" s="458" t="n"/>
      <c r="AP83" s="458" t="n"/>
      <c r="AQ83" s="458" t="n"/>
      <c r="AR83" s="458" t="n"/>
      <c r="AS83" s="458" t="n"/>
      <c r="AT83" s="458" t="n"/>
      <c r="AU83" s="458" t="n"/>
      <c r="AW83" s="458" t="n"/>
      <c r="AX83" s="458" t="n"/>
      <c r="AY83" s="458" t="n"/>
    </row>
    <row r="84" ht="15.5" customHeight="1" s="476">
      <c r="A84" s="458" t="inlineStr">
        <is>
          <t>신방동</t>
        </is>
      </c>
      <c r="B84" s="159" t="n"/>
      <c r="C84" s="159" t="n"/>
      <c r="D84" s="458" t="n">
        <v>135648</v>
      </c>
      <c r="E84" s="146" t="inlineStr">
        <is>
          <t>천안신방삼부르네상스</t>
        </is>
      </c>
      <c r="F84" s="458" t="n">
        <v>2023.05</v>
      </c>
      <c r="G84" s="458" t="n">
        <v>830</v>
      </c>
      <c r="H84" s="458">
        <f>2026-F84+1</f>
        <v/>
      </c>
      <c r="I84" s="458" t="inlineStr">
        <is>
          <t>98A</t>
        </is>
      </c>
      <c r="J84" s="458" t="n">
        <v>98</v>
      </c>
      <c r="K84" s="458" t="n">
        <v>75</v>
      </c>
      <c r="L84" s="458" t="n">
        <v>30</v>
      </c>
      <c r="M84" s="458" t="inlineStr">
        <is>
          <t>계단식</t>
        </is>
      </c>
      <c r="N84" s="458" t="n">
        <v>3</v>
      </c>
      <c r="O84" s="458" t="n">
        <v>2</v>
      </c>
      <c r="P84" s="458" t="n">
        <v>220</v>
      </c>
      <c r="Q84" s="587" t="n">
        <v>20500</v>
      </c>
      <c r="R84" s="588" t="n">
        <v>24000</v>
      </c>
      <c r="S84" s="581">
        <f>Q84-R84</f>
        <v/>
      </c>
      <c r="T84" s="71">
        <f>R84/Q84</f>
        <v/>
      </c>
      <c r="U84" s="588" t="n"/>
      <c r="V84" s="588" t="n">
        <v>30700</v>
      </c>
      <c r="W84" s="458" t="inlineStr">
        <is>
          <t>계단식</t>
        </is>
      </c>
      <c r="X84" s="458" t="n">
        <v>3</v>
      </c>
      <c r="Y84" s="458" t="n">
        <v>2</v>
      </c>
      <c r="Z84" s="458" t="n">
        <v>220</v>
      </c>
      <c r="AC84" s="37">
        <f>L84</f>
        <v/>
      </c>
      <c r="AD84" s="583" t="n"/>
      <c r="AE84" s="583" t="n"/>
      <c r="AF84" s="38">
        <f>AE84/AD84</f>
        <v/>
      </c>
      <c r="AG84" s="39">
        <f>AD84-AE84</f>
        <v/>
      </c>
      <c r="AH84" s="458" t="n">
        <v>2026.04</v>
      </c>
      <c r="AI84" s="458" t="n">
        <v>20500</v>
      </c>
      <c r="AJ84" s="458">
        <f>AI84-AD84</f>
        <v/>
      </c>
      <c r="AK84" s="129">
        <f>(AI84-AD84)/AD84</f>
        <v/>
      </c>
      <c r="AL84" s="29">
        <f>AJ84/AG84</f>
        <v/>
      </c>
      <c r="AM84" s="236" t="n"/>
    </row>
    <row r="85" ht="15.5" customHeight="1" s="476">
      <c r="A85" s="494" t="inlineStr">
        <is>
          <t>구성동</t>
        </is>
      </c>
      <c r="B85" s="74" t="n"/>
      <c r="C85" s="75" t="n"/>
      <c r="D85" s="494" t="n">
        <v>26577</v>
      </c>
      <c r="E85" s="133" t="inlineStr">
        <is>
          <t>휴먼시아1</t>
        </is>
      </c>
      <c r="F85" s="494" t="n">
        <v>2010.07</v>
      </c>
      <c r="G85" s="494" t="n">
        <v>473</v>
      </c>
      <c r="H85" s="494">
        <f>2026-F85+1</f>
        <v/>
      </c>
      <c r="I85" s="494" t="inlineStr">
        <is>
          <t>83</t>
        </is>
      </c>
      <c r="J85" s="494" t="n">
        <v>83</v>
      </c>
      <c r="K85" s="494" t="n">
        <v>59</v>
      </c>
      <c r="L85" s="494" t="n">
        <v>25</v>
      </c>
      <c r="M85" s="494" t="inlineStr">
        <is>
          <t>계단식</t>
        </is>
      </c>
      <c r="N85" s="494" t="n">
        <v>3</v>
      </c>
      <c r="O85" s="494" t="n">
        <v>1</v>
      </c>
      <c r="P85" s="494" t="n">
        <v>103</v>
      </c>
      <c r="Q85" s="584" t="n">
        <v>20000</v>
      </c>
      <c r="R85" s="585" t="n">
        <v>14000</v>
      </c>
      <c r="S85" s="581">
        <f>Q85-R85</f>
        <v/>
      </c>
      <c r="T85" s="71">
        <f>R85/Q85</f>
        <v/>
      </c>
      <c r="U85" s="585" t="n">
        <v>20000</v>
      </c>
      <c r="V85" s="585" t="n">
        <v>17200</v>
      </c>
      <c r="W85" s="458" t="inlineStr">
        <is>
          <t>계단식</t>
        </is>
      </c>
      <c r="X85" s="458" t="n">
        <v>3</v>
      </c>
      <c r="Y85" s="458" t="n">
        <v>1</v>
      </c>
      <c r="Z85" s="458" t="n">
        <v>103</v>
      </c>
      <c r="AA85" s="141" t="n">
        <v>2019.11</v>
      </c>
      <c r="AB85" s="132" t="n">
        <v>0.06</v>
      </c>
      <c r="AC85" s="77">
        <f>L85</f>
        <v/>
      </c>
      <c r="AD85" s="586" t="n">
        <v>16508</v>
      </c>
      <c r="AE85" s="586" t="n">
        <v>14500</v>
      </c>
      <c r="AF85" s="78">
        <f>AE85/AD85</f>
        <v/>
      </c>
      <c r="AG85" s="79">
        <f>AD85-AE85</f>
        <v/>
      </c>
      <c r="AH85" s="110" t="n">
        <v>2026.04</v>
      </c>
      <c r="AI85" s="591" t="n">
        <v>20000</v>
      </c>
      <c r="AJ85" s="591">
        <f>AI85-AD85</f>
        <v/>
      </c>
      <c r="AK85" s="129">
        <f>(AI85-AD85)/AD85</f>
        <v/>
      </c>
      <c r="AL85" s="80">
        <f>AJ85/AG85</f>
        <v/>
      </c>
      <c r="AM85" s="503" t="n"/>
      <c r="AN85" s="82" t="inlineStr">
        <is>
          <t>나만의 인싸이트</t>
        </is>
      </c>
      <c r="AO85" s="494" t="n"/>
      <c r="AP85" s="494" t="n"/>
      <c r="AQ85" s="494" t="n"/>
      <c r="AR85" s="494" t="n"/>
      <c r="AS85" s="494" t="n"/>
      <c r="AT85" s="494" t="n"/>
      <c r="AU85" s="494" t="n"/>
      <c r="AV85" s="494" t="inlineStr">
        <is>
          <t xml:space="preserve">감사합니다 튜터님 ㅎㅎㅎ 정리하자면 </t>
        </is>
      </c>
      <c r="AW85" s="494" t="n"/>
      <c r="AX85" s="494" t="n"/>
      <c r="AY85" s="494" t="n"/>
    </row>
    <row r="86" ht="15.5" customHeight="1" s="476">
      <c r="A86" s="458" t="inlineStr">
        <is>
          <t>원성동</t>
        </is>
      </c>
      <c r="D86" s="458" t="n">
        <v>7558</v>
      </c>
      <c r="E86" s="146" t="inlineStr">
        <is>
          <t>극동</t>
        </is>
      </c>
      <c r="F86" s="458" t="n">
        <v>1995.1</v>
      </c>
      <c r="G86" s="458" t="n">
        <v>341</v>
      </c>
      <c r="H86" s="458">
        <f>2026-F86+1</f>
        <v/>
      </c>
      <c r="I86" s="458" t="inlineStr">
        <is>
          <t>106</t>
        </is>
      </c>
      <c r="J86" s="458" t="n">
        <v>106</v>
      </c>
      <c r="K86" s="458" t="n">
        <v>84</v>
      </c>
      <c r="L86" s="458" t="n">
        <v>32</v>
      </c>
      <c r="M86" s="458" t="inlineStr">
        <is>
          <t>복도식</t>
        </is>
      </c>
      <c r="N86" s="458" t="n">
        <v>3</v>
      </c>
      <c r="O86" s="458" t="n">
        <v>2</v>
      </c>
      <c r="P86" s="458" t="n">
        <v>74</v>
      </c>
      <c r="Q86" s="104" t="n">
        <v>20000</v>
      </c>
      <c r="R86" s="104" t="n">
        <v>14000</v>
      </c>
      <c r="S86" s="581">
        <f>Q86-R86</f>
        <v/>
      </c>
      <c r="T86" s="71">
        <f>R86/Q86</f>
        <v/>
      </c>
      <c r="U86" s="104" t="n">
        <v>17250</v>
      </c>
      <c r="V86" s="104" t="n">
        <v>14400</v>
      </c>
      <c r="W86" s="458" t="inlineStr">
        <is>
          <t>복도식</t>
        </is>
      </c>
      <c r="X86" s="458" t="n">
        <v>3</v>
      </c>
      <c r="Y86" s="458" t="n">
        <v>2</v>
      </c>
      <c r="Z86" s="458" t="n">
        <v>74</v>
      </c>
      <c r="AA86" s="458" t="n">
        <v>2022.05</v>
      </c>
      <c r="AB86" s="458" t="n">
        <v>0.06</v>
      </c>
      <c r="AC86" s="37">
        <f>L86</f>
        <v/>
      </c>
      <c r="AD86" s="108" t="n">
        <v>14400</v>
      </c>
      <c r="AE86" s="108" t="n">
        <v>14500</v>
      </c>
      <c r="AF86" s="108">
        <f>AE86/AD86</f>
        <v/>
      </c>
      <c r="AG86" s="109">
        <f>AD86-AE86</f>
        <v/>
      </c>
      <c r="AH86" s="458" t="n">
        <v>2026.04</v>
      </c>
      <c r="AI86" s="458" t="n">
        <v>20000</v>
      </c>
      <c r="AJ86" s="458">
        <f>AI86-AD86</f>
        <v/>
      </c>
      <c r="AK86" s="129">
        <f>(AI86-AD86)/AD86</f>
        <v/>
      </c>
      <c r="AL86" s="29">
        <f>AJ86/AG86</f>
        <v/>
      </c>
      <c r="AM86" s="236" t="n"/>
      <c r="AO86" s="458" t="n"/>
      <c r="AP86" s="458" t="n"/>
      <c r="AQ86" s="458" t="n"/>
      <c r="AR86" s="458" t="n"/>
      <c r="AS86" s="458" t="n"/>
      <c r="AT86" s="458" t="n"/>
      <c r="AU86" s="458" t="n"/>
      <c r="AW86" s="458" t="n"/>
      <c r="AX86" s="458" t="n"/>
      <c r="AY86" s="458" t="n"/>
    </row>
    <row r="87" ht="15.5" customHeight="1" s="476">
      <c r="A87" s="494" t="inlineStr">
        <is>
          <t>풍세면</t>
        </is>
      </c>
      <c r="B87" s="88" t="n"/>
      <c r="C87" s="89" t="n"/>
      <c r="D87" s="494" t="n">
        <v>140850</v>
      </c>
      <c r="E87" s="133" t="inlineStr">
        <is>
          <t>천안한양수자인에코시티</t>
        </is>
      </c>
      <c r="F87" s="494" t="n">
        <v>2023.12</v>
      </c>
      <c r="G87" s="494" t="n">
        <v>3200</v>
      </c>
      <c r="H87" s="494">
        <f>2026-F87+1</f>
        <v/>
      </c>
      <c r="I87" s="494" t="inlineStr">
        <is>
          <t>77</t>
        </is>
      </c>
      <c r="J87" s="494" t="n">
        <v>77</v>
      </c>
      <c r="K87" s="494" t="n">
        <v>59</v>
      </c>
      <c r="L87" s="494" t="n">
        <v>23</v>
      </c>
      <c r="M87" s="494" t="inlineStr">
        <is>
          <t>계단식</t>
        </is>
      </c>
      <c r="N87" s="494" t="n">
        <v>3</v>
      </c>
      <c r="O87" s="494" t="n">
        <v>2</v>
      </c>
      <c r="P87" s="494" t="n">
        <v>554</v>
      </c>
      <c r="Q87" s="96" t="n">
        <v>19500</v>
      </c>
      <c r="R87" s="96" t="n">
        <v>16000</v>
      </c>
      <c r="S87" s="581">
        <f>Q87-R87</f>
        <v/>
      </c>
      <c r="T87" s="71">
        <f>R87/Q87</f>
        <v/>
      </c>
      <c r="U87" s="96" t="n"/>
      <c r="V87" s="96" t="n"/>
      <c r="W87" s="458" t="inlineStr">
        <is>
          <t>계단식</t>
        </is>
      </c>
      <c r="X87" s="458" t="n">
        <v>3</v>
      </c>
      <c r="Y87" s="458" t="n">
        <v>2</v>
      </c>
      <c r="Z87" s="458" t="n">
        <v>554</v>
      </c>
      <c r="AA87" s="289" t="n"/>
      <c r="AB87" s="289" t="n"/>
      <c r="AC87" s="99">
        <f>L87</f>
        <v/>
      </c>
      <c r="AD87" s="99" t="n"/>
      <c r="AE87" s="99" t="n"/>
      <c r="AF87" s="99">
        <f>AE87/AD87</f>
        <v/>
      </c>
      <c r="AG87" s="100">
        <f>AD87-AE87</f>
        <v/>
      </c>
      <c r="AH87" s="458" t="n">
        <v>2026.04</v>
      </c>
      <c r="AI87" s="458" t="n">
        <v>19500</v>
      </c>
      <c r="AJ87" s="458">
        <f>AI87-AD87</f>
        <v/>
      </c>
      <c r="AK87" s="129">
        <f>(AI87-AD87)/AD87</f>
        <v/>
      </c>
      <c r="AL87" s="101">
        <f>AJ87/AG87</f>
        <v/>
      </c>
      <c r="AM87" s="289" t="n"/>
      <c r="AN87" s="289" t="n"/>
      <c r="AV87" s="289" t="n"/>
    </row>
    <row r="88" ht="15.5" customHeight="1" s="476">
      <c r="A88" s="458" t="inlineStr">
        <is>
          <t>청수동</t>
        </is>
      </c>
      <c r="B88" s="159" t="n"/>
      <c r="C88" s="159" t="n"/>
      <c r="D88" s="458" t="n">
        <v>7572</v>
      </c>
      <c r="E88" s="146" t="inlineStr">
        <is>
          <t>청솔LG,SK</t>
        </is>
      </c>
      <c r="F88" s="458" t="n">
        <v>1999.02</v>
      </c>
      <c r="G88" s="458" t="n">
        <v>898</v>
      </c>
      <c r="H88" s="458">
        <f>2026-F88+1</f>
        <v/>
      </c>
      <c r="I88" s="458" t="inlineStr">
        <is>
          <t>92</t>
        </is>
      </c>
      <c r="J88" s="458" t="n">
        <v>92</v>
      </c>
      <c r="K88" s="458" t="n">
        <v>73</v>
      </c>
      <c r="L88" s="458" t="n">
        <v>28</v>
      </c>
      <c r="M88" s="458" t="inlineStr">
        <is>
          <t>계단식</t>
        </is>
      </c>
      <c r="N88" s="458" t="n">
        <v>3</v>
      </c>
      <c r="O88" s="458" t="n">
        <v>2</v>
      </c>
      <c r="P88" s="458" t="n">
        <v>120</v>
      </c>
      <c r="Q88" s="104" t="n">
        <v>19000</v>
      </c>
      <c r="R88" s="104" t="n">
        <v>16800</v>
      </c>
      <c r="S88" s="581">
        <f>Q88-R88</f>
        <v/>
      </c>
      <c r="T88" s="71">
        <f>R88/Q88</f>
        <v/>
      </c>
      <c r="U88" s="104" t="n">
        <v>20500</v>
      </c>
      <c r="V88" s="104" t="n">
        <v>15200</v>
      </c>
      <c r="W88" s="458" t="inlineStr">
        <is>
          <t>계단식</t>
        </is>
      </c>
      <c r="X88" s="458" t="n">
        <v>3</v>
      </c>
      <c r="Y88" s="458" t="n">
        <v>2</v>
      </c>
      <c r="Z88" s="458" t="n">
        <v>120</v>
      </c>
      <c r="AA88" s="458" t="n">
        <v>2019.01</v>
      </c>
      <c r="AB88" s="458" t="n">
        <v>0.06</v>
      </c>
      <c r="AC88" s="37">
        <f>L88</f>
        <v/>
      </c>
      <c r="AD88" s="108" t="n">
        <v>14500</v>
      </c>
      <c r="AE88" s="108" t="n">
        <v>13375</v>
      </c>
      <c r="AF88" s="108">
        <f>AE88/AD88</f>
        <v/>
      </c>
      <c r="AG88" s="109">
        <f>AD88-AE88</f>
        <v/>
      </c>
      <c r="AH88" s="458" t="n">
        <v>2026.04</v>
      </c>
      <c r="AI88" s="458" t="n">
        <v>19000</v>
      </c>
      <c r="AJ88" s="458">
        <f>AI88-AD88</f>
        <v/>
      </c>
      <c r="AK88" s="129">
        <f>(AI88-AD88)/AD88</f>
        <v/>
      </c>
      <c r="AL88" s="29">
        <f>AJ88/AG88</f>
        <v/>
      </c>
      <c r="AM88" s="236" t="n"/>
    </row>
    <row r="89" ht="15.5" customHeight="1" s="476">
      <c r="A89" s="458" t="inlineStr">
        <is>
          <t>신방동</t>
        </is>
      </c>
      <c r="B89" s="159" t="n"/>
      <c r="C89" s="159" t="n"/>
      <c r="D89" s="458" t="n">
        <v>7395</v>
      </c>
      <c r="E89" s="146" t="inlineStr">
        <is>
          <t>한라동백2차</t>
        </is>
      </c>
      <c r="F89" s="458" t="n">
        <v>1998.09</v>
      </c>
      <c r="G89" s="458" t="n">
        <v>1139</v>
      </c>
      <c r="H89" s="458">
        <f>2026-F89+1</f>
        <v/>
      </c>
      <c r="I89" s="458" t="inlineStr">
        <is>
          <t>108</t>
        </is>
      </c>
      <c r="J89" s="458" t="n">
        <v>108</v>
      </c>
      <c r="K89" s="458" t="n">
        <v>84</v>
      </c>
      <c r="L89" s="458" t="n">
        <v>33</v>
      </c>
      <c r="M89" s="458" t="inlineStr">
        <is>
          <t>계단식</t>
        </is>
      </c>
      <c r="N89" s="458" t="n">
        <v>3</v>
      </c>
      <c r="O89" s="458" t="n">
        <v>2</v>
      </c>
      <c r="P89" s="458" t="n">
        <v>403</v>
      </c>
      <c r="Q89" s="587" t="n">
        <v>18000</v>
      </c>
      <c r="R89" s="588" t="n">
        <v>17000</v>
      </c>
      <c r="S89" s="581">
        <f>Q89-R89</f>
        <v/>
      </c>
      <c r="T89" s="71">
        <f>R89/Q89</f>
        <v/>
      </c>
      <c r="U89" s="588" t="n">
        <v>23000</v>
      </c>
      <c r="V89" s="588" t="n">
        <v>16500</v>
      </c>
      <c r="W89" s="458" t="inlineStr">
        <is>
          <t>계단식</t>
        </is>
      </c>
      <c r="X89" s="458" t="n">
        <v>3</v>
      </c>
      <c r="Y89" s="458" t="n">
        <v>2</v>
      </c>
      <c r="Z89" s="458" t="n">
        <v>403</v>
      </c>
      <c r="AA89" s="225" t="n">
        <v>2019.07</v>
      </c>
      <c r="AB89" s="458" t="n">
        <v>0.01</v>
      </c>
      <c r="AC89" s="37">
        <f>L89</f>
        <v/>
      </c>
      <c r="AD89" s="583" t="n">
        <v>15838</v>
      </c>
      <c r="AE89" s="583" t="n">
        <v>14143</v>
      </c>
      <c r="AF89" s="38">
        <f>AE89/AD89</f>
        <v/>
      </c>
      <c r="AG89" s="39">
        <f>AD89-AE89</f>
        <v/>
      </c>
      <c r="AH89" s="458" t="n">
        <v>2026.04</v>
      </c>
      <c r="AI89" s="509" t="n">
        <v>18000</v>
      </c>
      <c r="AJ89" s="509">
        <f>AI89-AD89</f>
        <v/>
      </c>
      <c r="AK89" s="129">
        <f>(AI89-AD89)/AD89</f>
        <v/>
      </c>
      <c r="AL89" s="29">
        <f>AJ89/AG89</f>
        <v/>
      </c>
      <c r="AM89" s="236" t="n"/>
    </row>
    <row r="90" ht="15.5" customHeight="1" s="476">
      <c r="A90" s="494" t="inlineStr">
        <is>
          <t>신방동</t>
        </is>
      </c>
      <c r="B90" s="289" t="n"/>
      <c r="C90" s="289" t="n"/>
      <c r="D90" s="494" t="n">
        <v>7400</v>
      </c>
      <c r="E90" s="133" t="inlineStr">
        <is>
          <t>향촌현대</t>
        </is>
      </c>
      <c r="F90" s="494" t="n">
        <v>1997.12</v>
      </c>
      <c r="G90" s="494" t="n">
        <v>998</v>
      </c>
      <c r="H90" s="494">
        <f>2026-F90+1</f>
        <v/>
      </c>
      <c r="I90" s="494" t="inlineStr">
        <is>
          <t>107</t>
        </is>
      </c>
      <c r="J90" s="494" t="n">
        <v>107</v>
      </c>
      <c r="K90" s="494" t="n">
        <v>84</v>
      </c>
      <c r="L90" s="494" t="n">
        <v>32</v>
      </c>
      <c r="M90" s="494" t="inlineStr">
        <is>
          <t>계단식</t>
        </is>
      </c>
      <c r="N90" s="494" t="n">
        <v>3</v>
      </c>
      <c r="O90" s="494" t="n">
        <v>2</v>
      </c>
      <c r="P90" s="494" t="n">
        <v>484</v>
      </c>
      <c r="Q90" s="584" t="n">
        <v>18000</v>
      </c>
      <c r="R90" s="585" t="n">
        <v>16000</v>
      </c>
      <c r="S90" s="581">
        <f>Q90-R90</f>
        <v/>
      </c>
      <c r="T90" s="71">
        <f>R90/Q90</f>
        <v/>
      </c>
      <c r="U90" s="585" t="n">
        <v>23000</v>
      </c>
      <c r="V90" s="585" t="n">
        <v>18000</v>
      </c>
      <c r="W90" s="458" t="inlineStr">
        <is>
          <t>계단식</t>
        </is>
      </c>
      <c r="X90" s="458" t="n">
        <v>3</v>
      </c>
      <c r="Y90" s="458" t="n">
        <v>2</v>
      </c>
      <c r="Z90" s="458" t="n">
        <v>484</v>
      </c>
      <c r="AA90" s="289" t="n">
        <v>2019.06</v>
      </c>
      <c r="AB90" s="289" t="n">
        <v>0.09</v>
      </c>
      <c r="AC90" s="77">
        <f>L90</f>
        <v/>
      </c>
      <c r="AD90" s="586" t="n">
        <v>16223</v>
      </c>
      <c r="AE90" s="586" t="n">
        <v>14300</v>
      </c>
      <c r="AF90" s="78">
        <f>AE90/AD90</f>
        <v/>
      </c>
      <c r="AG90" s="79">
        <f>AD90-AE90</f>
        <v/>
      </c>
      <c r="AH90" s="458" t="n">
        <v>2026.04</v>
      </c>
      <c r="AI90" s="458" t="n">
        <v>18000</v>
      </c>
      <c r="AJ90" s="458">
        <f>AI90-AD90</f>
        <v/>
      </c>
      <c r="AK90" s="129">
        <f>(AI90-AD90)/AD90</f>
        <v/>
      </c>
      <c r="AL90" s="80">
        <f>AJ90/AG90</f>
        <v/>
      </c>
      <c r="AM90" s="503" t="n"/>
      <c r="AN90" s="289" t="n"/>
      <c r="AO90" s="458" t="n"/>
      <c r="AP90" s="458" t="n"/>
      <c r="AQ90" s="458" t="n"/>
      <c r="AR90" s="458" t="n"/>
      <c r="AS90" s="458" t="n"/>
      <c r="AT90" s="458" t="n"/>
      <c r="AU90" s="458" t="n"/>
      <c r="AV90" s="289" t="n"/>
      <c r="AW90" s="458" t="n"/>
      <c r="AX90" s="458" t="n"/>
      <c r="AY90" s="458" t="n"/>
    </row>
    <row r="91" ht="15.5" customHeight="1" s="476">
      <c r="A91" s="494" t="inlineStr">
        <is>
          <t>용곡동</t>
        </is>
      </c>
      <c r="B91" s="88" t="n"/>
      <c r="C91" s="89" t="n"/>
      <c r="D91" s="494" t="n">
        <v>15420</v>
      </c>
      <c r="E91" s="133" t="inlineStr">
        <is>
          <t>용곡세광엔리치타워1차</t>
        </is>
      </c>
      <c r="F91" s="494" t="n">
        <v>2005.08</v>
      </c>
      <c r="G91" s="494" t="n">
        <v>575</v>
      </c>
      <c r="H91" s="494">
        <f>2026-F91+1</f>
        <v/>
      </c>
      <c r="I91" s="494" t="inlineStr">
        <is>
          <t>104</t>
        </is>
      </c>
      <c r="J91" s="494" t="n">
        <v>104</v>
      </c>
      <c r="K91" s="494" t="n">
        <v>84</v>
      </c>
      <c r="L91" s="494" t="n">
        <v>31</v>
      </c>
      <c r="M91" s="494" t="inlineStr">
        <is>
          <t>계단식</t>
        </is>
      </c>
      <c r="N91" s="494" t="n">
        <v>3</v>
      </c>
      <c r="O91" s="494" t="n">
        <v>2</v>
      </c>
      <c r="P91" s="494" t="n">
        <v>240</v>
      </c>
      <c r="Q91" s="584" t="n">
        <v>18000</v>
      </c>
      <c r="R91" s="585" t="n">
        <v>16500</v>
      </c>
      <c r="S91" s="581">
        <f>Q91-R91</f>
        <v/>
      </c>
      <c r="T91" s="71">
        <f>R91/Q91</f>
        <v/>
      </c>
      <c r="U91" s="585" t="n">
        <v>29600</v>
      </c>
      <c r="V91" s="585" t="n">
        <v>21700</v>
      </c>
      <c r="W91" s="458" t="inlineStr">
        <is>
          <t>계단식</t>
        </is>
      </c>
      <c r="X91" s="458" t="n">
        <v>3</v>
      </c>
      <c r="Y91" s="458" t="n">
        <v>2</v>
      </c>
      <c r="Z91" s="458" t="n">
        <v>240</v>
      </c>
      <c r="AA91" s="289" t="n">
        <v>2022.06</v>
      </c>
      <c r="AB91" s="289" t="n">
        <v>0.02</v>
      </c>
      <c r="AC91" s="77">
        <f>L91</f>
        <v/>
      </c>
      <c r="AD91" s="586" t="n">
        <v>24950</v>
      </c>
      <c r="AE91" s="586" t="n">
        <v>22000</v>
      </c>
      <c r="AF91" s="78">
        <f>AE91/AD91</f>
        <v/>
      </c>
      <c r="AG91" s="79">
        <f>AD91-AE91</f>
        <v/>
      </c>
      <c r="AH91" s="458" t="n">
        <v>2026.04</v>
      </c>
      <c r="AI91" s="458" t="n">
        <v>18000</v>
      </c>
      <c r="AJ91" s="458">
        <f>AI91-AD91</f>
        <v/>
      </c>
      <c r="AK91" s="129">
        <f>(AI91-AD91)/AD91</f>
        <v/>
      </c>
      <c r="AL91" s="80">
        <f>AJ91/AG91</f>
        <v/>
      </c>
      <c r="AM91" s="503" t="n"/>
      <c r="AN91" s="289" t="n"/>
      <c r="AV91" s="289" t="n"/>
    </row>
    <row r="92" ht="15.5" customHeight="1" s="476">
      <c r="A92" s="458" t="inlineStr">
        <is>
          <t>청수동</t>
        </is>
      </c>
      <c r="D92" s="458" t="n">
        <v>7572</v>
      </c>
      <c r="E92" s="146" t="inlineStr">
        <is>
          <t>청솔LG,SK</t>
        </is>
      </c>
      <c r="F92" s="458" t="n">
        <v>1999.02</v>
      </c>
      <c r="G92" s="458" t="n">
        <v>898</v>
      </c>
      <c r="H92" s="458">
        <f>2026-F92+1</f>
        <v/>
      </c>
      <c r="I92" s="458" t="inlineStr">
        <is>
          <t>79</t>
        </is>
      </c>
      <c r="J92" s="458" t="n">
        <v>79</v>
      </c>
      <c r="K92" s="458" t="n">
        <v>59</v>
      </c>
      <c r="L92" s="458" t="n">
        <v>24</v>
      </c>
      <c r="M92" s="458" t="inlineStr">
        <is>
          <t>계단식</t>
        </is>
      </c>
      <c r="N92" s="458" t="n">
        <v>3</v>
      </c>
      <c r="O92" s="458" t="n">
        <v>1</v>
      </c>
      <c r="P92" s="458" t="n">
        <v>120</v>
      </c>
      <c r="Q92" s="104" t="n">
        <v>18000</v>
      </c>
      <c r="R92" s="106" t="inlineStr">
        <is>
          <t>-</t>
        </is>
      </c>
      <c r="S92" s="581">
        <f>Q92-R92</f>
        <v/>
      </c>
      <c r="T92" s="71">
        <f>R92/Q92</f>
        <v/>
      </c>
      <c r="U92" s="104" t="n">
        <v>17300</v>
      </c>
      <c r="V92" s="104" t="n">
        <v>13700</v>
      </c>
      <c r="W92" s="458" t="inlineStr">
        <is>
          <t>계단식</t>
        </is>
      </c>
      <c r="X92" s="458" t="n">
        <v>3</v>
      </c>
      <c r="Y92" s="458" t="n">
        <v>1</v>
      </c>
      <c r="Z92" s="458" t="n">
        <v>120</v>
      </c>
      <c r="AA92" s="458" t="n">
        <v>2019.05</v>
      </c>
      <c r="AB92" s="458" t="n">
        <v>0.04</v>
      </c>
      <c r="AC92" s="37">
        <f>L92</f>
        <v/>
      </c>
      <c r="AD92" s="108" t="n">
        <v>13500</v>
      </c>
      <c r="AE92" s="108" t="n">
        <v>11000</v>
      </c>
      <c r="AF92" s="108">
        <f>AE92/AD92</f>
        <v/>
      </c>
      <c r="AG92" s="109">
        <f>AD92-AE92</f>
        <v/>
      </c>
      <c r="AH92" s="458" t="n">
        <v>2026.04</v>
      </c>
      <c r="AI92" s="458" t="n">
        <v>18000</v>
      </c>
      <c r="AJ92" s="458">
        <f>AI92-AD92</f>
        <v/>
      </c>
      <c r="AK92" s="129">
        <f>(AI92-AD92)/AD92</f>
        <v/>
      </c>
      <c r="AL92" s="29">
        <f>AJ92/AG92</f>
        <v/>
      </c>
      <c r="AM92" s="236" t="n"/>
    </row>
    <row r="93" ht="15.5" customHeight="1" s="476">
      <c r="A93" s="458" t="inlineStr">
        <is>
          <t>청수동</t>
        </is>
      </c>
      <c r="B93" s="159" t="n"/>
      <c r="C93" s="159" t="n"/>
      <c r="D93" s="458" t="n">
        <v>7569</v>
      </c>
      <c r="E93" s="146" t="inlineStr">
        <is>
          <t>현대</t>
        </is>
      </c>
      <c r="F93" s="458" t="n">
        <v>1996.1</v>
      </c>
      <c r="G93" s="458" t="n">
        <v>520</v>
      </c>
      <c r="H93" s="458">
        <f>2026-F93+1</f>
        <v/>
      </c>
      <c r="I93" s="458" t="inlineStr">
        <is>
          <t>105</t>
        </is>
      </c>
      <c r="J93" s="458" t="n">
        <v>105</v>
      </c>
      <c r="K93" s="458" t="n">
        <v>84</v>
      </c>
      <c r="L93" s="458" t="n">
        <v>32</v>
      </c>
      <c r="M93" s="458" t="inlineStr">
        <is>
          <t>계단식</t>
        </is>
      </c>
      <c r="N93" s="458" t="n">
        <v>3</v>
      </c>
      <c r="O93" s="458" t="n">
        <v>2</v>
      </c>
      <c r="P93" s="458" t="n">
        <v>242</v>
      </c>
      <c r="Q93" s="104" t="n">
        <v>18000</v>
      </c>
      <c r="R93" s="106" t="inlineStr">
        <is>
          <t>-</t>
        </is>
      </c>
      <c r="S93" s="581">
        <f>Q93-R93</f>
        <v/>
      </c>
      <c r="T93" s="71">
        <f>R93/Q93</f>
        <v/>
      </c>
      <c r="U93" s="104" t="n">
        <v>20900</v>
      </c>
      <c r="V93" s="104" t="n">
        <v>15500</v>
      </c>
      <c r="W93" s="458" t="inlineStr">
        <is>
          <t>계단식</t>
        </is>
      </c>
      <c r="X93" s="458" t="n">
        <v>3</v>
      </c>
      <c r="Y93" s="458" t="n">
        <v>2</v>
      </c>
      <c r="Z93" s="458" t="n">
        <v>242</v>
      </c>
      <c r="AA93" s="458" t="n">
        <v>2019.08</v>
      </c>
      <c r="AB93" s="458" t="n">
        <v>1.04</v>
      </c>
      <c r="AC93" s="37">
        <f>L93</f>
        <v/>
      </c>
      <c r="AD93" s="108" t="n">
        <v>14050</v>
      </c>
      <c r="AE93" s="108" t="n">
        <v>13000</v>
      </c>
      <c r="AF93" s="108">
        <f>AE93/AD93</f>
        <v/>
      </c>
      <c r="AG93" s="109">
        <f>AD93-AE93</f>
        <v/>
      </c>
      <c r="AH93" s="458" t="n">
        <v>2026.04</v>
      </c>
      <c r="AI93" s="458" t="n">
        <v>18000</v>
      </c>
      <c r="AJ93" s="458">
        <f>AI93-AD93</f>
        <v/>
      </c>
      <c r="AK93" s="129">
        <f>(AI93-AD93)/AD93</f>
        <v/>
      </c>
      <c r="AL93" s="29">
        <f>AJ93/AG93</f>
        <v/>
      </c>
      <c r="AM93" s="236" t="n"/>
    </row>
    <row r="94" ht="15.5" customHeight="1" s="476">
      <c r="A94" s="458" t="inlineStr">
        <is>
          <t>신부동</t>
        </is>
      </c>
      <c r="B94" s="159" t="n"/>
      <c r="C94" s="159" t="n"/>
      <c r="D94" s="458" t="n">
        <v>7421</v>
      </c>
      <c r="E94" s="146" t="inlineStr">
        <is>
          <t>경남아너스빌</t>
        </is>
      </c>
      <c r="F94" s="458" t="n">
        <v>2000.03</v>
      </c>
      <c r="G94" s="458" t="n">
        <v>619</v>
      </c>
      <c r="H94" s="458">
        <f>2026-F94+1</f>
        <v/>
      </c>
      <c r="I94" s="458" t="inlineStr">
        <is>
          <t>77</t>
        </is>
      </c>
      <c r="J94" s="458" t="n">
        <v>77</v>
      </c>
      <c r="K94" s="458" t="n">
        <v>59</v>
      </c>
      <c r="L94" s="458" t="n">
        <v>23</v>
      </c>
      <c r="M94" s="458" t="inlineStr">
        <is>
          <t>계단식</t>
        </is>
      </c>
      <c r="N94" s="458" t="n">
        <v>2</v>
      </c>
      <c r="O94" s="458" t="n">
        <v>1</v>
      </c>
      <c r="P94" s="458" t="n">
        <v>17</v>
      </c>
      <c r="Q94" s="587" t="n">
        <v>17700</v>
      </c>
      <c r="R94" s="588" t="n">
        <v>18000</v>
      </c>
      <c r="S94" s="581">
        <f>Q94-R94</f>
        <v/>
      </c>
      <c r="T94" s="71">
        <f>R94/Q94</f>
        <v/>
      </c>
      <c r="U94" s="588" t="n">
        <v>19300</v>
      </c>
      <c r="V94" s="588" t="n">
        <v>15000</v>
      </c>
      <c r="W94" s="458" t="inlineStr">
        <is>
          <t>계단식</t>
        </is>
      </c>
      <c r="X94" s="458" t="n">
        <v>2</v>
      </c>
      <c r="Y94" s="458" t="n">
        <v>1</v>
      </c>
      <c r="Z94" s="458" t="n">
        <v>17</v>
      </c>
      <c r="AA94" s="225" t="n">
        <v>2023.12</v>
      </c>
      <c r="AB94" s="458" t="n">
        <v>0.04</v>
      </c>
      <c r="AC94" s="37">
        <f>L94</f>
        <v/>
      </c>
      <c r="AD94" s="583" t="n">
        <v>15000</v>
      </c>
      <c r="AE94" s="583" t="n">
        <v>14000</v>
      </c>
      <c r="AF94" s="38">
        <f>AE94/AD94</f>
        <v/>
      </c>
      <c r="AG94" s="39">
        <f>AD94-AE94</f>
        <v/>
      </c>
      <c r="AH94" s="458" t="n">
        <v>2026.04</v>
      </c>
      <c r="AI94" s="509" t="n">
        <v>17700</v>
      </c>
      <c r="AJ94" s="509">
        <f>AI94-AD94</f>
        <v/>
      </c>
      <c r="AK94" s="129">
        <f>(AI94-AD94)/AD94</f>
        <v/>
      </c>
      <c r="AL94" s="29">
        <f>AJ94/AG94</f>
        <v/>
      </c>
      <c r="AM94" s="236" t="n"/>
      <c r="AO94" s="458" t="n"/>
      <c r="AP94" s="458" t="n"/>
      <c r="AQ94" s="458" t="n"/>
      <c r="AR94" s="458" t="n"/>
      <c r="AS94" s="458" t="n"/>
      <c r="AT94" s="458" t="n"/>
      <c r="AU94" s="458" t="n"/>
      <c r="AW94" s="458" t="n"/>
      <c r="AX94" s="458" t="n"/>
      <c r="AY94" s="458" t="n"/>
    </row>
    <row r="95" ht="15.5" customHeight="1" s="476">
      <c r="A95" s="458" t="inlineStr">
        <is>
          <t>신부동</t>
        </is>
      </c>
      <c r="B95" s="159" t="n"/>
      <c r="C95" s="159" t="n"/>
      <c r="D95" s="458" t="n">
        <v>7421</v>
      </c>
      <c r="E95" s="146" t="inlineStr">
        <is>
          <t>경남아너스빌</t>
        </is>
      </c>
      <c r="F95" s="458" t="n">
        <v>2000.03</v>
      </c>
      <c r="G95" s="458" t="n">
        <v>619</v>
      </c>
      <c r="H95" s="458">
        <f>2026-F95+1</f>
        <v/>
      </c>
      <c r="I95" s="458" t="inlineStr">
        <is>
          <t>79</t>
        </is>
      </c>
      <c r="J95" s="458" t="n">
        <v>79</v>
      </c>
      <c r="K95" s="458" t="n">
        <v>59</v>
      </c>
      <c r="L95" s="458" t="n">
        <v>24</v>
      </c>
      <c r="M95" s="458" t="inlineStr">
        <is>
          <t>계단식</t>
        </is>
      </c>
      <c r="N95" s="458" t="n">
        <v>3</v>
      </c>
      <c r="O95" s="458" t="n">
        <v>1</v>
      </c>
      <c r="P95" s="458" t="n">
        <v>128</v>
      </c>
      <c r="Q95" s="587" t="n">
        <v>17700</v>
      </c>
      <c r="R95" s="588" t="n">
        <v>18000</v>
      </c>
      <c r="S95" s="581">
        <f>Q95-R95</f>
        <v/>
      </c>
      <c r="T95" s="71">
        <f>R95/Q95</f>
        <v/>
      </c>
      <c r="U95" s="588" t="n">
        <v>19300</v>
      </c>
      <c r="V95" s="588" t="n">
        <v>15000</v>
      </c>
      <c r="W95" s="458" t="inlineStr">
        <is>
          <t>계단식</t>
        </is>
      </c>
      <c r="X95" s="458" t="n">
        <v>3</v>
      </c>
      <c r="Y95" s="458" t="n">
        <v>1</v>
      </c>
      <c r="Z95" s="458" t="n">
        <v>128</v>
      </c>
      <c r="AA95" s="225" t="n">
        <v>2023.12</v>
      </c>
      <c r="AB95" s="458" t="n">
        <v>0.04</v>
      </c>
      <c r="AC95" s="37">
        <f>L95</f>
        <v/>
      </c>
      <c r="AD95" s="583" t="n">
        <v>15000</v>
      </c>
      <c r="AE95" s="583" t="n">
        <v>14000</v>
      </c>
      <c r="AF95" s="38">
        <f>AE95/AD95</f>
        <v/>
      </c>
      <c r="AG95" s="39">
        <f>AD95-AE95</f>
        <v/>
      </c>
      <c r="AH95" s="458" t="n">
        <v>2026.04</v>
      </c>
      <c r="AI95" s="509" t="n">
        <v>17700</v>
      </c>
      <c r="AJ95" s="509">
        <f>AI95-AD95</f>
        <v/>
      </c>
      <c r="AK95" s="129">
        <f>(AI95-AD95)/AD95</f>
        <v/>
      </c>
      <c r="AL95" s="29">
        <f>AJ95/AG95</f>
        <v/>
      </c>
      <c r="AM95" s="236" t="n"/>
      <c r="AO95" s="458" t="n"/>
      <c r="AP95" s="458" t="n"/>
      <c r="AQ95" s="458" t="n"/>
      <c r="AR95" s="458" t="n"/>
      <c r="AS95" s="458" t="n"/>
      <c r="AT95" s="458" t="n"/>
      <c r="AU95" s="458" t="n"/>
      <c r="AW95" s="458" t="n"/>
      <c r="AX95" s="458" t="n"/>
      <c r="AY95" s="458" t="n"/>
    </row>
    <row r="96" ht="15.5" customHeight="1" s="476">
      <c r="A96" s="458" t="inlineStr">
        <is>
          <t>신방동</t>
        </is>
      </c>
      <c r="B96" s="159" t="n"/>
      <c r="C96" s="159" t="n"/>
      <c r="D96" s="458" t="n">
        <v>7387</v>
      </c>
      <c r="E96" s="146" t="inlineStr">
        <is>
          <t>두레현대1차</t>
        </is>
      </c>
      <c r="F96" s="458" t="n">
        <v>1997.06</v>
      </c>
      <c r="G96" s="458" t="n">
        <v>676</v>
      </c>
      <c r="H96" s="458">
        <f>2026-F96+1</f>
        <v/>
      </c>
      <c r="I96" s="458" t="inlineStr">
        <is>
          <t>105</t>
        </is>
      </c>
      <c r="J96" s="458" t="n">
        <v>105</v>
      </c>
      <c r="K96" s="458" t="n">
        <v>84</v>
      </c>
      <c r="L96" s="458" t="n">
        <v>32</v>
      </c>
      <c r="M96" s="458" t="inlineStr">
        <is>
          <t>계단식</t>
        </is>
      </c>
      <c r="N96" s="458" t="n">
        <v>3</v>
      </c>
      <c r="O96" s="458" t="n">
        <v>2</v>
      </c>
      <c r="P96" s="458" t="n">
        <v>154</v>
      </c>
      <c r="Q96" s="587" t="n">
        <v>17500</v>
      </c>
      <c r="R96" s="588" t="n">
        <v>15000</v>
      </c>
      <c r="S96" s="581">
        <f>Q96-R96</f>
        <v/>
      </c>
      <c r="T96" s="71">
        <f>R96/Q96</f>
        <v/>
      </c>
      <c r="U96" s="588" t="n">
        <v>22250</v>
      </c>
      <c r="V96" s="588" t="n">
        <v>20000</v>
      </c>
      <c r="W96" s="458" t="inlineStr">
        <is>
          <t>계단식</t>
        </is>
      </c>
      <c r="X96" s="458" t="n">
        <v>3</v>
      </c>
      <c r="Y96" s="458" t="n">
        <v>2</v>
      </c>
      <c r="Z96" s="458" t="n">
        <v>154</v>
      </c>
      <c r="AA96" s="458" t="n">
        <v>2018.11</v>
      </c>
      <c r="AB96" s="458" t="n">
        <v>0.07000000000000001</v>
      </c>
      <c r="AC96" s="37">
        <f>L96</f>
        <v/>
      </c>
      <c r="AD96" s="583" t="n">
        <v>14500</v>
      </c>
      <c r="AE96" s="583" t="n">
        <v>14500</v>
      </c>
      <c r="AF96" s="38">
        <f>AE96/AD96</f>
        <v/>
      </c>
      <c r="AG96" s="39">
        <f>AD96-AE96</f>
        <v/>
      </c>
      <c r="AH96" s="458" t="n">
        <v>2026.04</v>
      </c>
      <c r="AI96" s="458" t="n">
        <v>17500</v>
      </c>
      <c r="AJ96" s="458">
        <f>AI96-AD96</f>
        <v/>
      </c>
      <c r="AK96" s="129">
        <f>(AI96-AD96)/AD96</f>
        <v/>
      </c>
      <c r="AL96" s="29">
        <f>AJ96/AG96</f>
        <v/>
      </c>
      <c r="AM96" s="236" t="n"/>
    </row>
    <row r="97" ht="15.5" customHeight="1" s="476">
      <c r="A97" s="494" t="inlineStr">
        <is>
          <t>신부동</t>
        </is>
      </c>
      <c r="B97" s="88" t="n"/>
      <c r="C97" s="89" t="n"/>
      <c r="D97" s="494" t="n">
        <v>7414</v>
      </c>
      <c r="E97" s="133" t="inlineStr">
        <is>
          <t>대림한내</t>
        </is>
      </c>
      <c r="F97" s="494" t="n">
        <v>1995.1</v>
      </c>
      <c r="G97" s="494" t="n">
        <v>556</v>
      </c>
      <c r="H97" s="494">
        <f>2026-F97+1</f>
        <v/>
      </c>
      <c r="I97" s="494" t="inlineStr">
        <is>
          <t>76</t>
        </is>
      </c>
      <c r="J97" s="494" t="n">
        <v>76</v>
      </c>
      <c r="K97" s="494" t="n">
        <v>59</v>
      </c>
      <c r="L97" s="494" t="n">
        <v>23</v>
      </c>
      <c r="M97" s="494" t="inlineStr">
        <is>
          <t>계단식</t>
        </is>
      </c>
      <c r="N97" s="494" t="n">
        <v>3</v>
      </c>
      <c r="O97" s="494" t="n">
        <v>1</v>
      </c>
      <c r="P97" s="494" t="n">
        <v>556</v>
      </c>
      <c r="Q97" s="584" t="n">
        <v>17500</v>
      </c>
      <c r="R97" s="585" t="n">
        <v>15000</v>
      </c>
      <c r="S97" s="581">
        <f>Q97-R97</f>
        <v/>
      </c>
      <c r="T97" s="71">
        <f>R97/Q97</f>
        <v/>
      </c>
      <c r="U97" s="585" t="n">
        <v>19200</v>
      </c>
      <c r="V97" s="585" t="n">
        <v>13900</v>
      </c>
      <c r="W97" s="458" t="inlineStr">
        <is>
          <t>계단식</t>
        </is>
      </c>
      <c r="X97" s="458" t="n">
        <v>3</v>
      </c>
      <c r="Y97" s="458" t="n">
        <v>1</v>
      </c>
      <c r="Z97" s="458" t="n">
        <v>556</v>
      </c>
      <c r="AA97" s="289" t="n">
        <v>2020.01</v>
      </c>
      <c r="AB97" s="289" t="n">
        <v>0.01</v>
      </c>
      <c r="AC97" s="77">
        <f>L97</f>
        <v/>
      </c>
      <c r="AD97" s="586" t="n">
        <v>14367</v>
      </c>
      <c r="AE97" s="586" t="n">
        <v>14000</v>
      </c>
      <c r="AF97" s="78">
        <f>AE97/AD97</f>
        <v/>
      </c>
      <c r="AG97" s="79">
        <f>AD97-AE97</f>
        <v/>
      </c>
      <c r="AH97" s="458" t="n">
        <v>2026.04</v>
      </c>
      <c r="AI97" s="458" t="n">
        <v>17500</v>
      </c>
      <c r="AJ97" s="458">
        <f>AI97-AD97</f>
        <v/>
      </c>
      <c r="AK97" s="129">
        <f>(AI97-AD97)/AD97</f>
        <v/>
      </c>
      <c r="AL97" s="80">
        <f>AJ97/AG97</f>
        <v/>
      </c>
      <c r="AM97" s="503" t="n"/>
      <c r="AN97" s="289" t="n"/>
      <c r="AV97" s="289" t="n"/>
    </row>
    <row r="98" ht="15.5" customHeight="1" s="476">
      <c r="A98" s="458" t="inlineStr">
        <is>
          <t>신방동</t>
        </is>
      </c>
      <c r="D98" s="458" t="n">
        <v>7392</v>
      </c>
      <c r="E98" s="146" t="inlineStr">
        <is>
          <t>성지새말2단지</t>
        </is>
      </c>
      <c r="F98" s="458" t="n">
        <v>1997.03</v>
      </c>
      <c r="G98" s="458" t="n">
        <v>840</v>
      </c>
      <c r="H98" s="458">
        <f>2026-F98+1</f>
        <v/>
      </c>
      <c r="I98" s="458" t="inlineStr">
        <is>
          <t>107</t>
        </is>
      </c>
      <c r="J98" s="458" t="n">
        <v>107</v>
      </c>
      <c r="K98" s="458" t="n">
        <v>84</v>
      </c>
      <c r="L98" s="458" t="n">
        <v>32</v>
      </c>
      <c r="M98" s="458" t="inlineStr">
        <is>
          <t>계단식</t>
        </is>
      </c>
      <c r="N98" s="458" t="n">
        <v>3</v>
      </c>
      <c r="O98" s="458" t="n">
        <v>2</v>
      </c>
      <c r="P98" s="458" t="n">
        <v>164</v>
      </c>
      <c r="Q98" s="587" t="n">
        <v>17000</v>
      </c>
      <c r="R98" s="588" t="n">
        <v>16000</v>
      </c>
      <c r="S98" s="581">
        <f>Q98-R98</f>
        <v/>
      </c>
      <c r="T98" s="71">
        <f>R98/Q98</f>
        <v/>
      </c>
      <c r="U98" s="588" t="n">
        <v>20880</v>
      </c>
      <c r="V98" s="588" t="n">
        <v>18100</v>
      </c>
      <c r="W98" s="458" t="inlineStr">
        <is>
          <t>계단식</t>
        </is>
      </c>
      <c r="X98" s="458" t="n">
        <v>3</v>
      </c>
      <c r="Y98" s="458" t="n">
        <v>2</v>
      </c>
      <c r="Z98" s="458" t="n">
        <v>164</v>
      </c>
      <c r="AA98" s="458" t="n">
        <v>2019.11</v>
      </c>
      <c r="AB98" s="458" t="n">
        <v>0.04</v>
      </c>
      <c r="AC98" s="37">
        <f>L98</f>
        <v/>
      </c>
      <c r="AD98" s="583" t="n">
        <v>14625</v>
      </c>
      <c r="AE98" s="583" t="n">
        <v>13667</v>
      </c>
      <c r="AF98" s="38">
        <f>AE98/AD98</f>
        <v/>
      </c>
      <c r="AG98" s="39">
        <f>AD98-AE98</f>
        <v/>
      </c>
      <c r="AH98" s="458" t="n">
        <v>2026.04</v>
      </c>
      <c r="AI98" s="458" t="n">
        <v>17000</v>
      </c>
      <c r="AJ98" s="458">
        <f>AI98-AD98</f>
        <v/>
      </c>
      <c r="AK98" s="129">
        <f>(AI98-AD98)/AD98</f>
        <v/>
      </c>
      <c r="AL98" s="29">
        <f>AJ98/AG98</f>
        <v/>
      </c>
      <c r="AM98" s="236" t="n"/>
    </row>
    <row r="99" ht="15.5" customHeight="1" s="476">
      <c r="A99" s="494" t="inlineStr">
        <is>
          <t>신방동</t>
        </is>
      </c>
      <c r="B99" s="88" t="n"/>
      <c r="C99" s="89" t="n"/>
      <c r="D99" s="494" t="n">
        <v>7400</v>
      </c>
      <c r="E99" s="133" t="inlineStr">
        <is>
          <t>향촌현대</t>
        </is>
      </c>
      <c r="F99" s="494" t="n">
        <v>1997.12</v>
      </c>
      <c r="G99" s="494" t="n">
        <v>998</v>
      </c>
      <c r="H99" s="494">
        <f>2026-F99+1</f>
        <v/>
      </c>
      <c r="I99" s="494" t="inlineStr">
        <is>
          <t>95</t>
        </is>
      </c>
      <c r="J99" s="494" t="n">
        <v>95</v>
      </c>
      <c r="K99" s="494" t="n">
        <v>74</v>
      </c>
      <c r="L99" s="494" t="n">
        <v>29</v>
      </c>
      <c r="M99" s="494" t="inlineStr">
        <is>
          <t>계단식</t>
        </is>
      </c>
      <c r="N99" s="494" t="n">
        <v>3</v>
      </c>
      <c r="O99" s="494" t="n">
        <v>1</v>
      </c>
      <c r="P99" s="494" t="n">
        <v>274</v>
      </c>
      <c r="Q99" s="584" t="n">
        <v>17000</v>
      </c>
      <c r="R99" s="585" t="n">
        <v>16000</v>
      </c>
      <c r="S99" s="581">
        <f>Q99-R99</f>
        <v/>
      </c>
      <c r="T99" s="71">
        <f>R99/Q99</f>
        <v/>
      </c>
      <c r="U99" s="585" t="n">
        <v>20500</v>
      </c>
      <c r="V99" s="585" t="n">
        <v>16000</v>
      </c>
      <c r="W99" s="458" t="inlineStr">
        <is>
          <t>계단식</t>
        </is>
      </c>
      <c r="X99" s="458" t="n">
        <v>3</v>
      </c>
      <c r="Y99" s="458" t="n">
        <v>1</v>
      </c>
      <c r="Z99" s="458" t="n">
        <v>274</v>
      </c>
      <c r="AA99" s="289" t="n">
        <v>2019.02</v>
      </c>
      <c r="AB99" s="289" t="n">
        <v>0.02</v>
      </c>
      <c r="AC99" s="77">
        <f>L99</f>
        <v/>
      </c>
      <c r="AD99" s="586" t="n">
        <v>15488</v>
      </c>
      <c r="AE99" s="586" t="n">
        <v>12786</v>
      </c>
      <c r="AF99" s="78">
        <f>AE99/AD99</f>
        <v/>
      </c>
      <c r="AG99" s="79">
        <f>AD99-AE99</f>
        <v/>
      </c>
      <c r="AH99" s="458" t="n">
        <v>2026.04</v>
      </c>
      <c r="AI99" s="458" t="n">
        <v>17000</v>
      </c>
      <c r="AJ99" s="458">
        <f>AI99-AD99</f>
        <v/>
      </c>
      <c r="AK99" s="129">
        <f>(AI99-AD99)/AD99</f>
        <v/>
      </c>
      <c r="AL99" s="80">
        <f>AJ99/AG99</f>
        <v/>
      </c>
      <c r="AM99" s="503" t="n"/>
      <c r="AN99" s="289" t="n"/>
      <c r="AO99" s="458" t="n"/>
      <c r="AP99" s="458" t="n"/>
      <c r="AQ99" s="458" t="n"/>
      <c r="AR99" s="458" t="n"/>
      <c r="AS99" s="458" t="n"/>
      <c r="AT99" s="458" t="n"/>
      <c r="AU99" s="458" t="n"/>
      <c r="AV99" s="289" t="n"/>
      <c r="AW99" s="458" t="n"/>
      <c r="AX99" s="458" t="n"/>
      <c r="AY99" s="458" t="n"/>
    </row>
    <row r="100" ht="15.5" customHeight="1" s="476">
      <c r="A100" s="494" t="inlineStr">
        <is>
          <t>신방동</t>
        </is>
      </c>
      <c r="B100" s="289" t="n"/>
      <c r="C100" s="289" t="n"/>
      <c r="D100" s="494" t="n">
        <v>17300</v>
      </c>
      <c r="E100" s="133" t="inlineStr">
        <is>
          <t>두레현대2차</t>
        </is>
      </c>
      <c r="F100" s="494" t="n">
        <v>1997.06</v>
      </c>
      <c r="G100" s="494" t="n">
        <v>740</v>
      </c>
      <c r="H100" s="494">
        <f>2026-F100+1</f>
        <v/>
      </c>
      <c r="I100" s="494" t="inlineStr">
        <is>
          <t>104</t>
        </is>
      </c>
      <c r="J100" s="494" t="n">
        <v>104</v>
      </c>
      <c r="K100" s="494" t="n">
        <v>84</v>
      </c>
      <c r="L100" s="494" t="n">
        <v>31</v>
      </c>
      <c r="M100" s="494" t="inlineStr">
        <is>
          <t>복도식</t>
        </is>
      </c>
      <c r="N100" s="494" t="n">
        <v>3</v>
      </c>
      <c r="O100" s="494" t="n">
        <v>2</v>
      </c>
      <c r="P100" s="494" t="n">
        <v>260</v>
      </c>
      <c r="Q100" s="584" t="n">
        <v>17000</v>
      </c>
      <c r="R100" s="585" t="inlineStr">
        <is>
          <t>-</t>
        </is>
      </c>
      <c r="S100" s="581">
        <f>Q100-R100</f>
        <v/>
      </c>
      <c r="T100" s="71">
        <f>R100/Q100</f>
        <v/>
      </c>
      <c r="U100" s="585" t="n">
        <v>24900</v>
      </c>
      <c r="V100" s="585" t="n">
        <v>14500</v>
      </c>
      <c r="W100" s="458" t="inlineStr">
        <is>
          <t>복도식</t>
        </is>
      </c>
      <c r="X100" s="458" t="n">
        <v>3</v>
      </c>
      <c r="Y100" s="458" t="n">
        <v>2</v>
      </c>
      <c r="Z100" s="458" t="n">
        <v>260</v>
      </c>
      <c r="AA100" s="289" t="n">
        <v>2018.01</v>
      </c>
      <c r="AB100" s="289" t="n">
        <v>0.02</v>
      </c>
      <c r="AC100" s="77">
        <f>L100</f>
        <v/>
      </c>
      <c r="AD100" s="586" t="n">
        <v>15500</v>
      </c>
      <c r="AE100" s="586" t="n">
        <v>15000</v>
      </c>
      <c r="AF100" s="78">
        <f>AE100/AD100</f>
        <v/>
      </c>
      <c r="AG100" s="79">
        <f>AD100-AE100</f>
        <v/>
      </c>
      <c r="AH100" s="458" t="n">
        <v>2026.04</v>
      </c>
      <c r="AI100" s="458" t="n">
        <v>17000</v>
      </c>
      <c r="AJ100" s="458">
        <f>AI100-AD100</f>
        <v/>
      </c>
      <c r="AK100" s="129">
        <f>(AI100-AD100)/AD100</f>
        <v/>
      </c>
      <c r="AL100" s="80">
        <f>AJ100/AG100</f>
        <v/>
      </c>
      <c r="AM100" s="503" t="n"/>
      <c r="AN100" s="289" t="n"/>
      <c r="AV100" s="289" t="n"/>
    </row>
    <row r="101" ht="15.5" customHeight="1" s="476">
      <c r="A101" s="458" t="inlineStr">
        <is>
          <t>청당동</t>
        </is>
      </c>
      <c r="D101" s="458" t="n">
        <v>19124</v>
      </c>
      <c r="E101" s="146" t="inlineStr">
        <is>
          <t>청당마을신도브래뉴</t>
        </is>
      </c>
      <c r="F101" s="458" t="n">
        <v>2006.08</v>
      </c>
      <c r="G101" s="458" t="n">
        <v>915</v>
      </c>
      <c r="H101" s="458">
        <f>2026-F101+1</f>
        <v/>
      </c>
      <c r="I101" s="458" t="inlineStr">
        <is>
          <t>105B, 106A, 106C, 106D</t>
        </is>
      </c>
      <c r="J101" s="458" t="n">
        <v>105</v>
      </c>
      <c r="K101" s="458" t="n">
        <v>84</v>
      </c>
      <c r="L101" s="458" t="n">
        <v>32</v>
      </c>
      <c r="M101" s="458" t="inlineStr">
        <is>
          <t>계단식</t>
        </is>
      </c>
      <c r="N101" s="458" t="n">
        <v>3</v>
      </c>
      <c r="O101" s="458" t="n">
        <v>2</v>
      </c>
      <c r="P101" s="458" t="n">
        <v>857</v>
      </c>
      <c r="Q101" s="104" t="n">
        <v>17000</v>
      </c>
      <c r="R101" s="104" t="n">
        <v>16000</v>
      </c>
      <c r="S101" s="581">
        <f>Q101-R101</f>
        <v/>
      </c>
      <c r="T101" s="71">
        <f>R101/Q101</f>
        <v/>
      </c>
      <c r="U101" s="104" t="n">
        <v>26000</v>
      </c>
      <c r="V101" s="104" t="n">
        <v>18000</v>
      </c>
      <c r="W101" s="458" t="inlineStr">
        <is>
          <t>계단식</t>
        </is>
      </c>
      <c r="X101" s="458" t="n">
        <v>3</v>
      </c>
      <c r="Y101" s="458" t="n">
        <v>2</v>
      </c>
      <c r="Z101" s="458" t="n">
        <v>857</v>
      </c>
      <c r="AC101" s="37">
        <f>L101</f>
        <v/>
      </c>
      <c r="AD101" s="108" t="n"/>
      <c r="AE101" s="108" t="n"/>
      <c r="AF101" s="108">
        <f>AE101/AD101</f>
        <v/>
      </c>
      <c r="AG101" s="109">
        <f>AD101-AE101</f>
        <v/>
      </c>
      <c r="AH101" s="458" t="n">
        <v>2026.04</v>
      </c>
      <c r="AI101" s="458" t="n">
        <v>17000</v>
      </c>
      <c r="AJ101" s="458">
        <f>AI101-AD101</f>
        <v/>
      </c>
      <c r="AK101" s="129">
        <f>(AI101-AD101)/AD101</f>
        <v/>
      </c>
      <c r="AL101" s="29">
        <f>AJ101/AG101</f>
        <v/>
      </c>
      <c r="AM101" s="236" t="n"/>
    </row>
    <row r="102" ht="15.5" customHeight="1" s="476">
      <c r="A102" s="494" t="inlineStr">
        <is>
          <t>신부동</t>
        </is>
      </c>
      <c r="B102" s="289" t="n"/>
      <c r="C102" s="289" t="n"/>
      <c r="D102" s="494" t="n">
        <v>7426</v>
      </c>
      <c r="E102" s="133" t="inlineStr">
        <is>
          <t>우방</t>
        </is>
      </c>
      <c r="F102" s="494" t="n">
        <v>1995.11</v>
      </c>
      <c r="G102" s="494" t="n">
        <v>436</v>
      </c>
      <c r="H102" s="494">
        <f>2026-F102+1</f>
        <v/>
      </c>
      <c r="I102" s="494" t="inlineStr">
        <is>
          <t>106</t>
        </is>
      </c>
      <c r="J102" s="494" t="n">
        <v>106</v>
      </c>
      <c r="K102" s="494" t="n">
        <v>84</v>
      </c>
      <c r="L102" s="494" t="n">
        <v>32</v>
      </c>
      <c r="M102" s="494" t="inlineStr">
        <is>
          <t>계단식</t>
        </is>
      </c>
      <c r="N102" s="494" t="n">
        <v>3</v>
      </c>
      <c r="O102" s="494" t="n">
        <v>2</v>
      </c>
      <c r="P102" s="494" t="n">
        <v>246</v>
      </c>
      <c r="Q102" s="584" t="n">
        <v>16800</v>
      </c>
      <c r="R102" s="585" t="n">
        <v>16000</v>
      </c>
      <c r="S102" s="581">
        <f>Q102-R102</f>
        <v/>
      </c>
      <c r="T102" s="71">
        <f>R102/Q102</f>
        <v/>
      </c>
      <c r="U102" s="585" t="n">
        <v>20700</v>
      </c>
      <c r="V102" s="585" t="n">
        <v>16500</v>
      </c>
      <c r="W102" s="458" t="inlineStr">
        <is>
          <t>계단식</t>
        </is>
      </c>
      <c r="X102" s="458" t="n">
        <v>3</v>
      </c>
      <c r="Y102" s="458" t="n">
        <v>2</v>
      </c>
      <c r="Z102" s="458" t="n">
        <v>246</v>
      </c>
      <c r="AA102" s="289" t="n">
        <v>2019.08</v>
      </c>
      <c r="AB102" s="289" t="n">
        <v>0.07000000000000001</v>
      </c>
      <c r="AC102" s="77">
        <f>L102</f>
        <v/>
      </c>
      <c r="AD102" s="586" t="n">
        <v>13662</v>
      </c>
      <c r="AE102" s="586" t="n">
        <v>12475</v>
      </c>
      <c r="AF102" s="78">
        <f>AE102/AD102</f>
        <v/>
      </c>
      <c r="AG102" s="79">
        <f>AD102-AE102</f>
        <v/>
      </c>
      <c r="AH102" s="458" t="n">
        <v>2026.04</v>
      </c>
      <c r="AI102" s="458" t="n">
        <v>16800</v>
      </c>
      <c r="AJ102" s="458">
        <f>AI102-AD102</f>
        <v/>
      </c>
      <c r="AK102" s="129">
        <f>(AI102-AD102)/AD102</f>
        <v/>
      </c>
      <c r="AL102" s="80">
        <f>AJ102/AG102</f>
        <v/>
      </c>
      <c r="AM102" s="503" t="n"/>
      <c r="AN102" s="289" t="n"/>
      <c r="AO102" s="458" t="n"/>
      <c r="AP102" s="458" t="n"/>
      <c r="AQ102" s="458" t="n"/>
      <c r="AR102" s="458" t="n"/>
      <c r="AS102" s="458" t="n"/>
      <c r="AT102" s="458" t="n"/>
      <c r="AU102" s="458" t="n"/>
      <c r="AV102" s="289" t="n"/>
      <c r="AW102" s="458" t="n"/>
      <c r="AX102" s="458" t="n"/>
      <c r="AY102" s="458" t="n"/>
    </row>
    <row r="103" ht="15.5" customHeight="1" s="476">
      <c r="A103" s="458" t="inlineStr">
        <is>
          <t>신방동</t>
        </is>
      </c>
      <c r="D103" s="458" t="n">
        <v>7395</v>
      </c>
      <c r="E103" s="146" t="inlineStr">
        <is>
          <t>한라동백2차</t>
        </is>
      </c>
      <c r="F103" s="458" t="n">
        <v>1998.09</v>
      </c>
      <c r="G103" s="458" t="n">
        <v>1139</v>
      </c>
      <c r="H103" s="458">
        <f>2026-F103+1</f>
        <v/>
      </c>
      <c r="I103" s="458" t="inlineStr">
        <is>
          <t>95</t>
        </is>
      </c>
      <c r="J103" s="458" t="n">
        <v>95</v>
      </c>
      <c r="K103" s="458" t="n">
        <v>74</v>
      </c>
      <c r="L103" s="458" t="n">
        <v>29</v>
      </c>
      <c r="M103" s="458" t="inlineStr">
        <is>
          <t>계단식</t>
        </is>
      </c>
      <c r="N103" s="458" t="n">
        <v>3</v>
      </c>
      <c r="O103" s="458" t="n">
        <v>2</v>
      </c>
      <c r="P103" s="458" t="n">
        <v>362</v>
      </c>
      <c r="Q103" s="587" t="n">
        <v>16500</v>
      </c>
      <c r="R103" s="588" t="n">
        <v>15500</v>
      </c>
      <c r="S103" s="581">
        <f>Q103-R103</f>
        <v/>
      </c>
      <c r="T103" s="71">
        <f>R103/Q103</f>
        <v/>
      </c>
      <c r="U103" s="588" t="n">
        <v>20000</v>
      </c>
      <c r="V103" s="588" t="n">
        <v>15800</v>
      </c>
      <c r="W103" s="458" t="inlineStr">
        <is>
          <t>계단식</t>
        </is>
      </c>
      <c r="X103" s="458" t="n">
        <v>3</v>
      </c>
      <c r="Y103" s="458" t="n">
        <v>2</v>
      </c>
      <c r="Z103" s="458" t="n">
        <v>362</v>
      </c>
      <c r="AA103" s="225" t="n">
        <v>2019.06</v>
      </c>
      <c r="AB103" s="458" t="n">
        <v>0.05</v>
      </c>
      <c r="AC103" s="37">
        <f>L103</f>
        <v/>
      </c>
      <c r="AD103" s="583" t="n">
        <v>14519</v>
      </c>
      <c r="AE103" s="583" t="n">
        <v>13786</v>
      </c>
      <c r="AF103" s="38">
        <f>AE103/AD103</f>
        <v/>
      </c>
      <c r="AG103" s="39">
        <f>AD103-AE103</f>
        <v/>
      </c>
      <c r="AH103" s="458" t="n">
        <v>2026.04</v>
      </c>
      <c r="AI103" s="509" t="n">
        <v>16500</v>
      </c>
      <c r="AJ103" s="509">
        <f>AI103-AD103</f>
        <v/>
      </c>
      <c r="AK103" s="129">
        <f>(AI103-AD103)/AD103</f>
        <v/>
      </c>
      <c r="AL103" s="29">
        <f>AJ103/AG103</f>
        <v/>
      </c>
      <c r="AM103" s="236" t="n"/>
    </row>
    <row r="104" ht="15.5" customHeight="1" s="476">
      <c r="A104" s="494" t="inlineStr">
        <is>
          <t>신방동</t>
        </is>
      </c>
      <c r="B104" s="88" t="n"/>
      <c r="C104" s="89" t="n"/>
      <c r="D104" s="494" t="n">
        <v>7389</v>
      </c>
      <c r="E104" s="133" t="inlineStr">
        <is>
          <t>성지새말1단지</t>
        </is>
      </c>
      <c r="F104" s="494" t="n">
        <v>1997.03</v>
      </c>
      <c r="G104" s="494" t="n">
        <v>612</v>
      </c>
      <c r="H104" s="494">
        <f>2026-F104+1</f>
        <v/>
      </c>
      <c r="I104" s="494" t="inlineStr">
        <is>
          <t>104</t>
        </is>
      </c>
      <c r="J104" s="494" t="n">
        <v>104</v>
      </c>
      <c r="K104" s="494" t="n">
        <v>84</v>
      </c>
      <c r="L104" s="494" t="n">
        <v>31</v>
      </c>
      <c r="M104" s="494" t="inlineStr">
        <is>
          <t>계단식</t>
        </is>
      </c>
      <c r="N104" s="494" t="n">
        <v>3</v>
      </c>
      <c r="O104" s="494" t="n">
        <v>2</v>
      </c>
      <c r="P104" s="494" t="n">
        <v>172</v>
      </c>
      <c r="Q104" s="584" t="n">
        <v>16500</v>
      </c>
      <c r="R104" s="585" t="n">
        <v>16000</v>
      </c>
      <c r="S104" s="581">
        <f>Q104-R104</f>
        <v/>
      </c>
      <c r="T104" s="71">
        <f>R104/Q104</f>
        <v/>
      </c>
      <c r="U104" s="585" t="n">
        <v>21900</v>
      </c>
      <c r="V104" s="585" t="n">
        <v>17000</v>
      </c>
      <c r="W104" s="458" t="inlineStr">
        <is>
          <t>계단식</t>
        </is>
      </c>
      <c r="X104" s="458" t="n">
        <v>3</v>
      </c>
      <c r="Y104" s="458" t="n">
        <v>2</v>
      </c>
      <c r="Z104" s="458" t="n">
        <v>172</v>
      </c>
      <c r="AA104" s="289" t="n">
        <v>2020.06</v>
      </c>
      <c r="AB104" s="289" t="n">
        <v>1</v>
      </c>
      <c r="AC104" s="77">
        <f>L104</f>
        <v/>
      </c>
      <c r="AD104" s="586" t="n">
        <v>14675</v>
      </c>
      <c r="AE104" s="586" t="n">
        <v>14000</v>
      </c>
      <c r="AF104" s="78">
        <f>AE104/AD104</f>
        <v/>
      </c>
      <c r="AG104" s="79">
        <f>AD104-AE104</f>
        <v/>
      </c>
      <c r="AH104" s="458" t="n">
        <v>2026.04</v>
      </c>
      <c r="AI104" s="458" t="n">
        <v>16500</v>
      </c>
      <c r="AJ104" s="458">
        <f>AI104-AD104</f>
        <v/>
      </c>
      <c r="AK104" s="129">
        <f>(AI104-AD104)/AD104</f>
        <v/>
      </c>
      <c r="AL104" s="80">
        <f>AJ104/AG104</f>
        <v/>
      </c>
      <c r="AM104" s="503" t="n"/>
      <c r="AN104" s="289" t="n"/>
      <c r="AV104" s="289" t="n"/>
    </row>
    <row r="105" ht="15.5" customHeight="1" s="476">
      <c r="A105" s="494" t="inlineStr">
        <is>
          <t>신방동</t>
        </is>
      </c>
      <c r="B105" s="88" t="n"/>
      <c r="C105" s="89" t="n"/>
      <c r="D105" s="494" t="n">
        <v>7393</v>
      </c>
      <c r="E105" s="133" t="inlineStr">
        <is>
          <t>신동아목련</t>
        </is>
      </c>
      <c r="F105" s="494" t="n">
        <v>1996.04</v>
      </c>
      <c r="G105" s="494" t="n">
        <v>498</v>
      </c>
      <c r="H105" s="494">
        <f>2026-F105+1</f>
        <v/>
      </c>
      <c r="I105" s="494" t="inlineStr">
        <is>
          <t>106</t>
        </is>
      </c>
      <c r="J105" s="494" t="n">
        <v>106</v>
      </c>
      <c r="K105" s="494" t="n">
        <v>84</v>
      </c>
      <c r="L105" s="494" t="n">
        <v>32</v>
      </c>
      <c r="M105" s="494" t="inlineStr">
        <is>
          <t>계단식</t>
        </is>
      </c>
      <c r="N105" s="494" t="n">
        <v>3</v>
      </c>
      <c r="O105" s="494" t="n">
        <v>2</v>
      </c>
      <c r="P105" s="494" t="n">
        <v>190</v>
      </c>
      <c r="Q105" s="584" t="n">
        <v>16000</v>
      </c>
      <c r="R105" s="585" t="n">
        <v>15000</v>
      </c>
      <c r="S105" s="581">
        <f>Q105-R105</f>
        <v/>
      </c>
      <c r="T105" s="71">
        <f>R105/Q105</f>
        <v/>
      </c>
      <c r="U105" s="585" t="n">
        <v>21500</v>
      </c>
      <c r="V105" s="585" t="n">
        <v>16500</v>
      </c>
      <c r="W105" s="458" t="inlineStr">
        <is>
          <t>계단식</t>
        </is>
      </c>
      <c r="X105" s="458" t="n">
        <v>3</v>
      </c>
      <c r="Y105" s="458" t="n">
        <v>2</v>
      </c>
      <c r="Z105" s="458" t="n">
        <v>190</v>
      </c>
      <c r="AA105" s="289" t="n">
        <v>2021.05</v>
      </c>
      <c r="AB105" s="289" t="n">
        <v>0.1</v>
      </c>
      <c r="AC105" s="77">
        <f>L105</f>
        <v/>
      </c>
      <c r="AD105" s="586" t="n">
        <v>13200</v>
      </c>
      <c r="AE105" s="586" t="n">
        <v>14100</v>
      </c>
      <c r="AF105" s="78">
        <f>AE105/AD105</f>
        <v/>
      </c>
      <c r="AG105" s="79">
        <f>AD105-AE105</f>
        <v/>
      </c>
      <c r="AH105" s="458" t="n">
        <v>2026.04</v>
      </c>
      <c r="AI105" s="458" t="n">
        <v>16000</v>
      </c>
      <c r="AJ105" s="458">
        <f>AI105-AD105</f>
        <v/>
      </c>
      <c r="AK105" s="129">
        <f>(AI105-AD105)/AD105</f>
        <v/>
      </c>
      <c r="AL105" s="80">
        <f>AJ105/AG105</f>
        <v/>
      </c>
      <c r="AM105" s="503" t="n"/>
      <c r="AN105" s="289" t="n"/>
      <c r="AO105" s="458" t="n"/>
      <c r="AP105" s="458" t="n"/>
      <c r="AQ105" s="458" t="n"/>
      <c r="AR105" s="458" t="n"/>
      <c r="AS105" s="458" t="n"/>
      <c r="AT105" s="458" t="n"/>
      <c r="AU105" s="458" t="n"/>
      <c r="AV105" s="289" t="n"/>
      <c r="AW105" s="458" t="n"/>
      <c r="AX105" s="458" t="n"/>
      <c r="AY105" s="458" t="n"/>
    </row>
    <row r="106" ht="15.5" customHeight="1" s="476">
      <c r="A106" s="494" t="inlineStr">
        <is>
          <t>신방동</t>
        </is>
      </c>
      <c r="B106" s="88" t="n"/>
      <c r="C106" s="89" t="n"/>
      <c r="D106" s="494" t="n">
        <v>17300</v>
      </c>
      <c r="E106" s="133" t="inlineStr">
        <is>
          <t>두레현대2차</t>
        </is>
      </c>
      <c r="F106" s="494" t="n">
        <v>1997.06</v>
      </c>
      <c r="G106" s="494" t="n">
        <v>740</v>
      </c>
      <c r="H106" s="494">
        <f>2026-F106+1</f>
        <v/>
      </c>
      <c r="I106" s="494" t="inlineStr">
        <is>
          <t>89</t>
        </is>
      </c>
      <c r="J106" s="494" t="n">
        <v>89</v>
      </c>
      <c r="K106" s="494" t="n">
        <v>71</v>
      </c>
      <c r="L106" s="494" t="n">
        <v>27</v>
      </c>
      <c r="M106" s="494" t="inlineStr">
        <is>
          <t>계단식</t>
        </is>
      </c>
      <c r="N106" s="494" t="n">
        <v>3</v>
      </c>
      <c r="O106" s="494" t="n">
        <v>1</v>
      </c>
      <c r="P106" s="494" t="n">
        <v>128</v>
      </c>
      <c r="Q106" s="584" t="n">
        <v>16000</v>
      </c>
      <c r="R106" s="585" t="n">
        <v>15000</v>
      </c>
      <c r="S106" s="581">
        <f>Q106-R106</f>
        <v/>
      </c>
      <c r="T106" s="71">
        <f>R106/Q106</f>
        <v/>
      </c>
      <c r="U106" s="585" t="n">
        <v>19700</v>
      </c>
      <c r="V106" s="585" t="n">
        <v>15200</v>
      </c>
      <c r="W106" s="458" t="inlineStr">
        <is>
          <t>계단식</t>
        </is>
      </c>
      <c r="X106" s="458" t="n">
        <v>3</v>
      </c>
      <c r="Y106" s="458" t="n">
        <v>1</v>
      </c>
      <c r="Z106" s="458" t="n">
        <v>128</v>
      </c>
      <c r="AA106" s="289" t="n">
        <v>2019.05</v>
      </c>
      <c r="AB106" s="289" t="n">
        <v>0.06</v>
      </c>
      <c r="AC106" s="77">
        <f>L106</f>
        <v/>
      </c>
      <c r="AD106" s="586" t="n">
        <v>13533</v>
      </c>
      <c r="AE106" s="586" t="n">
        <v>12750</v>
      </c>
      <c r="AF106" s="78">
        <f>AE106/AD106</f>
        <v/>
      </c>
      <c r="AG106" s="79">
        <f>AD106-AE106</f>
        <v/>
      </c>
      <c r="AH106" s="458" t="n">
        <v>2026.04</v>
      </c>
      <c r="AI106" s="458" t="n">
        <v>16000</v>
      </c>
      <c r="AJ106" s="458">
        <f>AI106-AD106</f>
        <v/>
      </c>
      <c r="AK106" s="129">
        <f>(AI106-AD106)/AD106</f>
        <v/>
      </c>
      <c r="AL106" s="80">
        <f>AJ106/AG106</f>
        <v/>
      </c>
      <c r="AM106" s="503" t="n"/>
      <c r="AN106" s="289" t="n"/>
      <c r="AO106" s="458" t="n"/>
      <c r="AP106" s="458" t="n"/>
      <c r="AQ106" s="458" t="n"/>
      <c r="AR106" s="458" t="n"/>
      <c r="AS106" s="458" t="n"/>
      <c r="AT106" s="458" t="n"/>
      <c r="AU106" s="458" t="n"/>
      <c r="AV106" s="289" t="n"/>
      <c r="AW106" s="458" t="n"/>
      <c r="AX106" s="458" t="n"/>
      <c r="AY106" s="458" t="n"/>
    </row>
    <row r="107" ht="15.5" customHeight="1" s="476">
      <c r="A107" s="458" t="inlineStr">
        <is>
          <t>신방동</t>
        </is>
      </c>
      <c r="D107" s="458" t="n">
        <v>7392</v>
      </c>
      <c r="E107" s="146" t="inlineStr">
        <is>
          <t>성지새말2단지</t>
        </is>
      </c>
      <c r="F107" s="458" t="n">
        <v>1997.03</v>
      </c>
      <c r="G107" s="458" t="n">
        <v>840</v>
      </c>
      <c r="H107" s="458">
        <f>2026-F107+1</f>
        <v/>
      </c>
      <c r="I107" s="458" t="inlineStr">
        <is>
          <t>91</t>
        </is>
      </c>
      <c r="J107" s="458" t="n">
        <v>91</v>
      </c>
      <c r="K107" s="458" t="n">
        <v>70</v>
      </c>
      <c r="L107" s="458" t="n">
        <v>28</v>
      </c>
      <c r="M107" s="458" t="inlineStr">
        <is>
          <t>계단식</t>
        </is>
      </c>
      <c r="N107" s="458" t="n">
        <v>3</v>
      </c>
      <c r="O107" s="458" t="n">
        <v>1</v>
      </c>
      <c r="P107" s="458" t="n">
        <v>120</v>
      </c>
      <c r="Q107" s="587" t="n">
        <v>16000</v>
      </c>
      <c r="R107" s="588" t="n">
        <v>14500</v>
      </c>
      <c r="S107" s="581">
        <f>Q107-R107</f>
        <v/>
      </c>
      <c r="T107" s="71">
        <f>R107/Q107</f>
        <v/>
      </c>
      <c r="U107" s="588" t="n">
        <v>19500</v>
      </c>
      <c r="V107" s="588" t="n">
        <v>17100</v>
      </c>
      <c r="W107" s="458" t="inlineStr">
        <is>
          <t>계단식</t>
        </is>
      </c>
      <c r="X107" s="458" t="n">
        <v>3</v>
      </c>
      <c r="Y107" s="458" t="n">
        <v>1</v>
      </c>
      <c r="Z107" s="458" t="n">
        <v>120</v>
      </c>
      <c r="AA107" s="458" t="n">
        <v>2019.01</v>
      </c>
      <c r="AB107" s="458" t="n">
        <v>0.06</v>
      </c>
      <c r="AC107" s="37">
        <f>L107</f>
        <v/>
      </c>
      <c r="AD107" s="583" t="n">
        <v>13567</v>
      </c>
      <c r="AE107" s="583" t="n">
        <v>12167</v>
      </c>
      <c r="AF107" s="38">
        <f>AE107/AD107</f>
        <v/>
      </c>
      <c r="AG107" s="39">
        <f>AD107-AE107</f>
        <v/>
      </c>
      <c r="AH107" s="458" t="n">
        <v>2026.04</v>
      </c>
      <c r="AI107" s="458" t="n">
        <v>16000</v>
      </c>
      <c r="AJ107" s="458">
        <f>AI107-AD107</f>
        <v/>
      </c>
      <c r="AK107" s="129">
        <f>(AI107-AD107)/AD107</f>
        <v/>
      </c>
      <c r="AL107" s="29">
        <f>AJ107/AG107</f>
        <v/>
      </c>
      <c r="AM107" s="236" t="n"/>
      <c r="AO107" s="458" t="n"/>
      <c r="AP107" s="458" t="n"/>
      <c r="AQ107" s="458" t="n"/>
      <c r="AR107" s="458" t="n"/>
      <c r="AS107" s="458" t="n"/>
      <c r="AT107" s="458" t="n"/>
      <c r="AU107" s="458" t="n"/>
      <c r="AW107" s="458" t="n"/>
      <c r="AX107" s="458" t="n"/>
      <c r="AY107" s="458" t="n"/>
    </row>
    <row r="108" ht="15.5" customHeight="1" s="476">
      <c r="A108" s="494" t="inlineStr">
        <is>
          <t>신방동</t>
        </is>
      </c>
      <c r="B108" s="289" t="n"/>
      <c r="C108" s="289" t="n"/>
      <c r="D108" s="494" t="n">
        <v>7400</v>
      </c>
      <c r="E108" s="133" t="inlineStr">
        <is>
          <t>향촌현대</t>
        </is>
      </c>
      <c r="F108" s="494" t="n">
        <v>1997.12</v>
      </c>
      <c r="G108" s="494" t="n">
        <v>998</v>
      </c>
      <c r="H108" s="494">
        <f>2026-F108+1</f>
        <v/>
      </c>
      <c r="I108" s="494" t="inlineStr">
        <is>
          <t>76</t>
        </is>
      </c>
      <c r="J108" s="494" t="n">
        <v>76</v>
      </c>
      <c r="K108" s="494" t="n">
        <v>59</v>
      </c>
      <c r="L108" s="494" t="n">
        <v>23</v>
      </c>
      <c r="M108" s="494" t="inlineStr">
        <is>
          <t>계단식</t>
        </is>
      </c>
      <c r="N108" s="494" t="n">
        <v>3</v>
      </c>
      <c r="O108" s="494" t="n">
        <v>1</v>
      </c>
      <c r="P108" s="494" t="n">
        <v>200</v>
      </c>
      <c r="Q108" s="584" t="n">
        <v>16000</v>
      </c>
      <c r="R108" s="585" t="n">
        <v>13500</v>
      </c>
      <c r="S108" s="581">
        <f>Q108-R108</f>
        <v/>
      </c>
      <c r="T108" s="71">
        <f>R108/Q108</f>
        <v/>
      </c>
      <c r="U108" s="585" t="n">
        <v>18900</v>
      </c>
      <c r="V108" s="585" t="n">
        <v>14500</v>
      </c>
      <c r="W108" s="458" t="inlineStr">
        <is>
          <t>계단식</t>
        </is>
      </c>
      <c r="X108" s="458" t="n">
        <v>3</v>
      </c>
      <c r="Y108" s="458" t="n">
        <v>1</v>
      </c>
      <c r="Z108" s="458" t="n">
        <v>200</v>
      </c>
      <c r="AA108" s="289" t="n">
        <v>2026.01</v>
      </c>
      <c r="AB108" s="289" t="n">
        <v>0.02</v>
      </c>
      <c r="AC108" s="77">
        <f>L108</f>
        <v/>
      </c>
      <c r="AD108" s="586" t="n">
        <v>15067</v>
      </c>
      <c r="AE108" s="586" t="n">
        <v>13500</v>
      </c>
      <c r="AF108" s="78">
        <f>AE108/AD108</f>
        <v/>
      </c>
      <c r="AG108" s="79">
        <f>AD108-AE108</f>
        <v/>
      </c>
      <c r="AH108" s="458" t="n">
        <v>2026.04</v>
      </c>
      <c r="AI108" s="458" t="n">
        <v>16000</v>
      </c>
      <c r="AJ108" s="458">
        <f>AI108-AD108</f>
        <v/>
      </c>
      <c r="AK108" s="129">
        <f>(AI108-AD108)/AD108</f>
        <v/>
      </c>
      <c r="AL108" s="80">
        <f>AJ108/AG108</f>
        <v/>
      </c>
      <c r="AM108" s="503" t="n"/>
      <c r="AN108" s="289" t="n"/>
      <c r="AV108" s="289" t="n"/>
    </row>
    <row r="109" ht="15.5" customHeight="1" s="476">
      <c r="A109" s="458" t="inlineStr">
        <is>
          <t>안서동</t>
        </is>
      </c>
      <c r="B109" s="159" t="n"/>
      <c r="C109" s="159" t="n"/>
      <c r="D109" s="458" t="n">
        <v>10920</v>
      </c>
      <c r="E109" s="146" t="inlineStr">
        <is>
          <t>부경파크빌2차</t>
        </is>
      </c>
      <c r="F109" s="458" t="n">
        <v>2004.07</v>
      </c>
      <c r="G109" s="458" t="n">
        <v>487</v>
      </c>
      <c r="H109" s="458">
        <f>2026-F109+1</f>
        <v/>
      </c>
      <c r="I109" s="458" t="inlineStr">
        <is>
          <t>116</t>
        </is>
      </c>
      <c r="J109" s="458" t="n">
        <v>116</v>
      </c>
      <c r="K109" s="458" t="n">
        <v>84</v>
      </c>
      <c r="L109" s="458" t="n">
        <v>35</v>
      </c>
      <c r="M109" s="458" t="inlineStr">
        <is>
          <t>계단식</t>
        </is>
      </c>
      <c r="N109" s="458" t="n">
        <v>3</v>
      </c>
      <c r="O109" s="458" t="n">
        <v>2</v>
      </c>
      <c r="P109" s="458" t="n">
        <v>296</v>
      </c>
      <c r="Q109" s="530" t="n">
        <v>16000</v>
      </c>
      <c r="R109" s="531" t="n">
        <v>15000</v>
      </c>
      <c r="S109" s="581">
        <f>Q109-R109</f>
        <v/>
      </c>
      <c r="T109" s="71">
        <f>R109/Q109</f>
        <v/>
      </c>
      <c r="U109" s="531" t="n">
        <v>23000</v>
      </c>
      <c r="V109" s="531" t="n">
        <v>19500</v>
      </c>
      <c r="W109" s="458" t="inlineStr">
        <is>
          <t>계단식</t>
        </is>
      </c>
      <c r="X109" s="458" t="n">
        <v>3</v>
      </c>
      <c r="Y109" s="458" t="n">
        <v>2</v>
      </c>
      <c r="Z109" s="458" t="n">
        <v>296</v>
      </c>
      <c r="AA109" s="225" t="n">
        <v>2019.12</v>
      </c>
      <c r="AB109" s="458" t="n">
        <v>0.02</v>
      </c>
      <c r="AC109" s="37">
        <f>L109</f>
        <v/>
      </c>
      <c r="AD109" s="583" t="n">
        <v>15043</v>
      </c>
      <c r="AE109" s="583" t="n">
        <v>12900</v>
      </c>
      <c r="AF109" s="38">
        <f>AE109/AD109</f>
        <v/>
      </c>
      <c r="AG109" s="39">
        <f>AD109-AE109</f>
        <v/>
      </c>
      <c r="AH109" s="458" t="n">
        <v>2026.04</v>
      </c>
      <c r="AI109" s="509" t="n">
        <v>16000</v>
      </c>
      <c r="AJ109" s="509">
        <f>AI109-AD109</f>
        <v/>
      </c>
      <c r="AK109" s="129">
        <f>(AI109-AD109)/AD109</f>
        <v/>
      </c>
      <c r="AL109" s="29">
        <f>AJ109/AG109</f>
        <v/>
      </c>
      <c r="AM109" s="236" t="n"/>
    </row>
    <row r="110" ht="15.5" customHeight="1" s="476">
      <c r="A110" s="494" t="inlineStr">
        <is>
          <t>풍세면</t>
        </is>
      </c>
      <c r="B110" s="289" t="n"/>
      <c r="C110" s="289" t="n"/>
      <c r="D110" s="494" t="n">
        <v>140850</v>
      </c>
      <c r="E110" s="133" t="inlineStr">
        <is>
          <t>천안한양수자인에코시티</t>
        </is>
      </c>
      <c r="F110" s="494" t="n">
        <v>2023.12</v>
      </c>
      <c r="G110" s="494" t="n">
        <v>3200</v>
      </c>
      <c r="H110" s="494">
        <f>2026-F110+1</f>
        <v/>
      </c>
      <c r="I110" s="494" t="inlineStr">
        <is>
          <t>107C, 108D</t>
        </is>
      </c>
      <c r="J110" s="494" t="n">
        <v>107</v>
      </c>
      <c r="K110" s="494" t="n">
        <v>84</v>
      </c>
      <c r="L110" s="494" t="n">
        <v>32</v>
      </c>
      <c r="M110" s="494" t="inlineStr">
        <is>
          <t>계단식</t>
        </is>
      </c>
      <c r="N110" s="494" t="n">
        <v>3</v>
      </c>
      <c r="O110" s="494" t="n">
        <v>2</v>
      </c>
      <c r="P110" s="494" t="n">
        <v>1160</v>
      </c>
      <c r="Q110" s="96" t="n">
        <v>16000</v>
      </c>
      <c r="R110" s="96" t="n">
        <v>25000</v>
      </c>
      <c r="S110" s="581">
        <f>Q110-R110</f>
        <v/>
      </c>
      <c r="T110" s="71">
        <f>R110/Q110</f>
        <v/>
      </c>
      <c r="U110" s="96" t="n"/>
      <c r="V110" s="96" t="n">
        <v>29290</v>
      </c>
      <c r="W110" s="458" t="inlineStr">
        <is>
          <t>계단식</t>
        </is>
      </c>
      <c r="X110" s="458" t="n">
        <v>3</v>
      </c>
      <c r="Y110" s="458" t="n">
        <v>2</v>
      </c>
      <c r="Z110" s="458" t="n">
        <v>1160</v>
      </c>
      <c r="AA110" s="289" t="n"/>
      <c r="AB110" s="289" t="n"/>
      <c r="AC110" s="99">
        <f>L110</f>
        <v/>
      </c>
      <c r="AD110" s="99" t="n"/>
      <c r="AE110" s="99" t="n"/>
      <c r="AF110" s="99">
        <f>AE110/AD110</f>
        <v/>
      </c>
      <c r="AG110" s="100">
        <f>AD110-AE110</f>
        <v/>
      </c>
      <c r="AH110" s="458" t="n">
        <v>2026.04</v>
      </c>
      <c r="AI110" s="458" t="n">
        <v>16000</v>
      </c>
      <c r="AJ110" s="458">
        <f>AI110-AD110</f>
        <v/>
      </c>
      <c r="AK110" s="129">
        <f>(AI110-AD110)/AD110</f>
        <v/>
      </c>
      <c r="AL110" s="101">
        <f>AJ110/AG110</f>
        <v/>
      </c>
      <c r="AM110" s="289" t="n"/>
      <c r="AN110" s="289" t="n"/>
      <c r="AV110" s="289" t="n"/>
    </row>
    <row r="111" ht="15.5" customHeight="1" s="476">
      <c r="A111" s="494" t="inlineStr">
        <is>
          <t>목천읍</t>
        </is>
      </c>
      <c r="B111" s="132" t="n"/>
      <c r="C111" s="132" t="n"/>
      <c r="D111" s="494" t="n">
        <v>12895</v>
      </c>
      <c r="E111" s="133" t="inlineStr">
        <is>
          <t>목천신도브래뉴1차</t>
        </is>
      </c>
      <c r="F111" s="494" t="n">
        <v>2004.12</v>
      </c>
      <c r="G111" s="494" t="n">
        <v>540</v>
      </c>
      <c r="H111" s="494">
        <f>2026-F111+1</f>
        <v/>
      </c>
      <c r="I111" s="494" t="inlineStr">
        <is>
          <t>111</t>
        </is>
      </c>
      <c r="J111" s="494" t="n">
        <v>111</v>
      </c>
      <c r="K111" s="494" t="n">
        <v>84</v>
      </c>
      <c r="L111" s="494" t="n">
        <v>34</v>
      </c>
      <c r="M111" s="494" t="inlineStr">
        <is>
          <t>계단식</t>
        </is>
      </c>
      <c r="N111" s="494" t="n">
        <v>3</v>
      </c>
      <c r="O111" s="494" t="n">
        <v>2</v>
      </c>
      <c r="P111" s="494" t="n">
        <v>380</v>
      </c>
      <c r="Q111" s="584" t="n">
        <v>15500</v>
      </c>
      <c r="R111" s="585" t="n">
        <v>14000</v>
      </c>
      <c r="S111" s="581">
        <f>Q111-R111</f>
        <v/>
      </c>
      <c r="T111" s="71">
        <f>R111/Q111</f>
        <v/>
      </c>
      <c r="U111" s="585" t="n">
        <v>17700</v>
      </c>
      <c r="V111" s="585" t="n">
        <v>14500</v>
      </c>
      <c r="W111" s="458" t="inlineStr">
        <is>
          <t>계단식</t>
        </is>
      </c>
      <c r="X111" s="458" t="n">
        <v>3</v>
      </c>
      <c r="Y111" s="458" t="n">
        <v>2</v>
      </c>
      <c r="Z111" s="458" t="n">
        <v>380</v>
      </c>
      <c r="AA111" s="141" t="n">
        <v>2019.07</v>
      </c>
      <c r="AB111" s="132" t="n">
        <v>0.02</v>
      </c>
      <c r="AC111" s="77">
        <f>L111</f>
        <v/>
      </c>
      <c r="AD111" s="586" t="n">
        <v>12714</v>
      </c>
      <c r="AE111" s="586" t="n">
        <v>10400</v>
      </c>
      <c r="AF111" s="78">
        <f>AE111/AD111</f>
        <v/>
      </c>
      <c r="AG111" s="79">
        <f>AD111-AE111</f>
        <v/>
      </c>
      <c r="AH111" s="110" t="n">
        <v>2026.04</v>
      </c>
      <c r="AI111" s="591" t="n">
        <v>15500</v>
      </c>
      <c r="AJ111" s="591">
        <f>AI111-AD111</f>
        <v/>
      </c>
      <c r="AK111" s="129">
        <f>(AI111-AD111)/AD111</f>
        <v/>
      </c>
      <c r="AL111" s="80">
        <f>AJ111/AG111</f>
        <v/>
      </c>
      <c r="AM111" s="503" t="n"/>
      <c r="AN111" s="83" t="n"/>
      <c r="AO111" s="494" t="n"/>
      <c r="AP111" s="494" t="n"/>
      <c r="AQ111" s="494" t="n"/>
      <c r="AR111" s="494" t="n"/>
      <c r="AS111" s="494" t="n"/>
      <c r="AT111" s="494" t="n"/>
      <c r="AU111" s="494" t="n"/>
      <c r="AV111" s="84" t="inlineStr">
        <is>
          <t>선명한 앞마당을 만들어 줄 '찐' 수익률분석 [나알이]</t>
        </is>
      </c>
      <c r="AW111" s="85" t="n"/>
      <c r="AX111" s="85" t="n"/>
      <c r="AY111" s="85" t="n"/>
    </row>
    <row r="112" ht="15.5" customHeight="1" s="476">
      <c r="A112" s="494" t="inlineStr">
        <is>
          <t>목천읍</t>
        </is>
      </c>
      <c r="B112" s="74" t="n"/>
      <c r="C112" s="75" t="n"/>
      <c r="D112" s="494" t="n">
        <v>13468</v>
      </c>
      <c r="E112" s="133" t="inlineStr">
        <is>
          <t>목천신도브래뉴2차</t>
        </is>
      </c>
      <c r="F112" s="494" t="n">
        <v>2005.06</v>
      </c>
      <c r="G112" s="494" t="n">
        <v>957</v>
      </c>
      <c r="H112" s="494">
        <f>2026-F112+1</f>
        <v/>
      </c>
      <c r="I112" s="494" t="inlineStr">
        <is>
          <t>109</t>
        </is>
      </c>
      <c r="J112" s="494" t="n">
        <v>109</v>
      </c>
      <c r="K112" s="494" t="n">
        <v>84</v>
      </c>
      <c r="L112" s="494" t="n">
        <v>33</v>
      </c>
      <c r="M112" s="494" t="inlineStr">
        <is>
          <t>계단식</t>
        </is>
      </c>
      <c r="N112" s="494" t="n">
        <v>3</v>
      </c>
      <c r="O112" s="494" t="n">
        <v>2</v>
      </c>
      <c r="P112" s="494" t="n">
        <v>568</v>
      </c>
      <c r="Q112" s="584" t="n">
        <v>15500</v>
      </c>
      <c r="R112" s="585" t="n">
        <v>14000</v>
      </c>
      <c r="S112" s="581">
        <f>Q112-R112</f>
        <v/>
      </c>
      <c r="T112" s="71">
        <f>R112/Q112</f>
        <v/>
      </c>
      <c r="U112" s="585" t="n">
        <v>22000</v>
      </c>
      <c r="V112" s="585" t="n">
        <v>17800</v>
      </c>
      <c r="W112" s="458" t="inlineStr">
        <is>
          <t>계단식</t>
        </is>
      </c>
      <c r="X112" s="458" t="n">
        <v>3</v>
      </c>
      <c r="Y112" s="458" t="n">
        <v>2</v>
      </c>
      <c r="Z112" s="458" t="n">
        <v>568</v>
      </c>
      <c r="AA112" s="132" t="n">
        <v>2019.02</v>
      </c>
      <c r="AB112" s="132" t="n">
        <v>0.01</v>
      </c>
      <c r="AC112" s="77">
        <f>L112</f>
        <v/>
      </c>
      <c r="AD112" s="586" t="n">
        <v>15710</v>
      </c>
      <c r="AE112" s="586" t="n">
        <v>12818</v>
      </c>
      <c r="AF112" s="78">
        <f>AE112/AD112</f>
        <v/>
      </c>
      <c r="AG112" s="79">
        <f>AD112-AE112</f>
        <v/>
      </c>
      <c r="AH112" s="110" t="n">
        <v>2026.04</v>
      </c>
      <c r="AI112" s="494" t="n">
        <v>15500</v>
      </c>
      <c r="AJ112" s="494">
        <f>AI112-AD112</f>
        <v/>
      </c>
      <c r="AK112" s="129">
        <f>(AI112-AD112)/AD112</f>
        <v/>
      </c>
      <c r="AL112" s="80">
        <f>AJ112/AG112</f>
        <v/>
      </c>
      <c r="AM112" s="503" t="n"/>
      <c r="AN112" s="81" t="n"/>
      <c r="AO112" s="494" t="n"/>
      <c r="AP112" s="494" t="n"/>
      <c r="AQ112" s="494" t="n"/>
      <c r="AR112" s="494" t="n"/>
      <c r="AS112" s="494" t="n"/>
      <c r="AT112" s="494" t="n"/>
      <c r="AU112" s="494" t="n"/>
      <c r="AV112" s="289" t="n"/>
      <c r="AW112" s="494" t="n"/>
      <c r="AX112" s="494" t="n"/>
      <c r="AY112" s="494" t="n"/>
    </row>
    <row r="113" ht="15.5" customHeight="1" s="476">
      <c r="A113" s="494" t="inlineStr">
        <is>
          <t>신방동</t>
        </is>
      </c>
      <c r="B113" s="88" t="n"/>
      <c r="C113" s="89" t="n"/>
      <c r="D113" s="494" t="n">
        <v>7389</v>
      </c>
      <c r="E113" s="133" t="inlineStr">
        <is>
          <t>성지새말1단지</t>
        </is>
      </c>
      <c r="F113" s="494" t="n">
        <v>1997.03</v>
      </c>
      <c r="G113" s="494" t="n">
        <v>612</v>
      </c>
      <c r="H113" s="494">
        <f>2026-F113+1</f>
        <v/>
      </c>
      <c r="I113" s="494" t="inlineStr">
        <is>
          <t>89</t>
        </is>
      </c>
      <c r="J113" s="494" t="n">
        <v>89</v>
      </c>
      <c r="K113" s="494" t="n">
        <v>70</v>
      </c>
      <c r="L113" s="494" t="n">
        <v>27</v>
      </c>
      <c r="M113" s="494" t="inlineStr">
        <is>
          <t>계단식</t>
        </is>
      </c>
      <c r="N113" s="494" t="n">
        <v>3</v>
      </c>
      <c r="O113" s="494" t="n">
        <v>1</v>
      </c>
      <c r="P113" s="494" t="n">
        <v>124</v>
      </c>
      <c r="Q113" s="584" t="n">
        <v>15500</v>
      </c>
      <c r="R113" s="585" t="n">
        <v>14000</v>
      </c>
      <c r="S113" s="581">
        <f>Q113-R113</f>
        <v/>
      </c>
      <c r="T113" s="71">
        <f>R113/Q113</f>
        <v/>
      </c>
      <c r="U113" s="585" t="n">
        <v>19600</v>
      </c>
      <c r="V113" s="585" t="n">
        <v>15290</v>
      </c>
      <c r="W113" s="458" t="inlineStr">
        <is>
          <t>계단식</t>
        </is>
      </c>
      <c r="X113" s="458" t="n">
        <v>3</v>
      </c>
      <c r="Y113" s="458" t="n">
        <v>1</v>
      </c>
      <c r="Z113" s="458" t="n">
        <v>124</v>
      </c>
      <c r="AA113" s="289" t="n">
        <v>2019.04</v>
      </c>
      <c r="AB113" s="289" t="n">
        <v>0.07000000000000001</v>
      </c>
      <c r="AC113" s="77">
        <f>L113</f>
        <v/>
      </c>
      <c r="AD113" s="586" t="n">
        <v>13900</v>
      </c>
      <c r="AE113" s="586" t="n">
        <v>11167</v>
      </c>
      <c r="AF113" s="78">
        <f>AE113/AD113</f>
        <v/>
      </c>
      <c r="AG113" s="79">
        <f>AD113-AE113</f>
        <v/>
      </c>
      <c r="AH113" s="458" t="n">
        <v>2026.04</v>
      </c>
      <c r="AI113" s="458" t="n">
        <v>15500</v>
      </c>
      <c r="AJ113" s="458">
        <f>AI113-AD113</f>
        <v/>
      </c>
      <c r="AK113" s="129">
        <f>(AI113-AD113)/AD113</f>
        <v/>
      </c>
      <c r="AL113" s="80">
        <f>AJ113/AG113</f>
        <v/>
      </c>
      <c r="AM113" s="503" t="n"/>
      <c r="AN113" s="289" t="n"/>
      <c r="AV113" s="289" t="n"/>
    </row>
    <row r="114" ht="15.5" customHeight="1" s="476">
      <c r="A114" s="494" t="inlineStr">
        <is>
          <t>신부동</t>
        </is>
      </c>
      <c r="B114" s="88" t="n"/>
      <c r="C114" s="89" t="n"/>
      <c r="D114" s="494" t="n">
        <v>7424</v>
      </c>
      <c r="E114" s="133" t="inlineStr">
        <is>
          <t>동아태조</t>
        </is>
      </c>
      <c r="F114" s="494" t="n">
        <v>1995.1</v>
      </c>
      <c r="G114" s="494" t="n">
        <v>800</v>
      </c>
      <c r="H114" s="494">
        <f>2026-F114+1</f>
        <v/>
      </c>
      <c r="I114" s="494" t="inlineStr">
        <is>
          <t>79</t>
        </is>
      </c>
      <c r="J114" s="494" t="n">
        <v>79</v>
      </c>
      <c r="K114" s="494" t="n">
        <v>59</v>
      </c>
      <c r="L114" s="494" t="n">
        <v>24</v>
      </c>
      <c r="M114" s="494" t="inlineStr">
        <is>
          <t>계단식</t>
        </is>
      </c>
      <c r="N114" s="494" t="n">
        <v>3</v>
      </c>
      <c r="O114" s="494" t="n">
        <v>1</v>
      </c>
      <c r="P114" s="494" t="n">
        <v>800</v>
      </c>
      <c r="Q114" s="584" t="n">
        <v>15000</v>
      </c>
      <c r="R114" s="585" t="inlineStr">
        <is>
          <t>-</t>
        </is>
      </c>
      <c r="S114" s="581">
        <f>Q114-R114</f>
        <v/>
      </c>
      <c r="T114" s="71">
        <f>R114/Q114</f>
        <v/>
      </c>
      <c r="U114" s="585" t="n">
        <v>19000</v>
      </c>
      <c r="V114" s="585" t="n">
        <v>12000</v>
      </c>
      <c r="W114" s="458" t="inlineStr">
        <is>
          <t>계단식</t>
        </is>
      </c>
      <c r="X114" s="458" t="n">
        <v>3</v>
      </c>
      <c r="Y114" s="458" t="n">
        <v>1</v>
      </c>
      <c r="Z114" s="458" t="n">
        <v>800</v>
      </c>
      <c r="AA114" s="289" t="n"/>
      <c r="AB114" s="289" t="n"/>
      <c r="AC114" s="77">
        <f>L114</f>
        <v/>
      </c>
      <c r="AD114" s="586" t="n"/>
      <c r="AE114" s="586" t="n"/>
      <c r="AF114" s="78">
        <f>AE114/AD114</f>
        <v/>
      </c>
      <c r="AG114" s="79">
        <f>AD114-AE114</f>
        <v/>
      </c>
      <c r="AH114" s="458" t="n">
        <v>2026.04</v>
      </c>
      <c r="AI114" s="458" t="n">
        <v>15000</v>
      </c>
      <c r="AJ114" s="458">
        <f>AI114-AD114</f>
        <v/>
      </c>
      <c r="AK114" s="129">
        <f>(AI114-AD114)/AD114</f>
        <v/>
      </c>
      <c r="AL114" s="80">
        <f>AJ114/AG114</f>
        <v/>
      </c>
      <c r="AM114" s="503" t="n"/>
      <c r="AN114" s="289" t="n"/>
      <c r="AV114" s="289" t="n"/>
    </row>
    <row r="115" ht="15.5" customHeight="1" s="476">
      <c r="A115" s="458" t="inlineStr">
        <is>
          <t>청수동</t>
        </is>
      </c>
      <c r="D115" s="458" t="n">
        <v>7569</v>
      </c>
      <c r="E115" s="146" t="inlineStr">
        <is>
          <t>현대</t>
        </is>
      </c>
      <c r="F115" s="458" t="n">
        <v>1996.1</v>
      </c>
      <c r="G115" s="458" t="n">
        <v>520</v>
      </c>
      <c r="H115" s="458">
        <f>2026-F115+1</f>
        <v/>
      </c>
      <c r="I115" s="458" t="inlineStr">
        <is>
          <t>79</t>
        </is>
      </c>
      <c r="J115" s="458" t="n">
        <v>79</v>
      </c>
      <c r="K115" s="458" t="n">
        <v>59</v>
      </c>
      <c r="L115" s="458" t="n">
        <v>24</v>
      </c>
      <c r="M115" s="458" t="inlineStr">
        <is>
          <t>계단식</t>
        </is>
      </c>
      <c r="N115" s="458" t="n">
        <v>3</v>
      </c>
      <c r="O115" s="458" t="n">
        <v>1</v>
      </c>
      <c r="P115" s="458" t="n">
        <v>244</v>
      </c>
      <c r="Q115" s="104" t="n">
        <v>15000</v>
      </c>
      <c r="R115" s="106" t="inlineStr">
        <is>
          <t>-</t>
        </is>
      </c>
      <c r="S115" s="581">
        <f>Q115-R115</f>
        <v/>
      </c>
      <c r="T115" s="71">
        <f>R115/Q115</f>
        <v/>
      </c>
      <c r="U115" s="104" t="n">
        <v>17000</v>
      </c>
      <c r="V115" s="104" t="n">
        <v>9000</v>
      </c>
      <c r="W115" s="458" t="inlineStr">
        <is>
          <t>계단식</t>
        </is>
      </c>
      <c r="X115" s="458" t="n">
        <v>3</v>
      </c>
      <c r="Y115" s="458" t="n">
        <v>1</v>
      </c>
      <c r="Z115" s="458" t="n">
        <v>244</v>
      </c>
      <c r="AA115" s="458" t="n">
        <v>2023.05</v>
      </c>
      <c r="AB115" s="458" t="n">
        <v>0.02</v>
      </c>
      <c r="AC115" s="37">
        <f>L115</f>
        <v/>
      </c>
      <c r="AD115" s="108" t="n">
        <v>11200</v>
      </c>
      <c r="AE115" s="108" t="n">
        <v>9800</v>
      </c>
      <c r="AF115" s="108">
        <f>AE115/AD115</f>
        <v/>
      </c>
      <c r="AG115" s="109">
        <f>AD115-AE115</f>
        <v/>
      </c>
      <c r="AH115" s="458" t="n">
        <v>2026.04</v>
      </c>
      <c r="AI115" s="458" t="n">
        <v>15000</v>
      </c>
      <c r="AJ115" s="458">
        <f>AI115-AD115</f>
        <v/>
      </c>
      <c r="AK115" s="129">
        <f>(AI115-AD115)/AD115</f>
        <v/>
      </c>
      <c r="AL115" s="29">
        <f>AJ115/AG115</f>
        <v/>
      </c>
      <c r="AM115" s="236" t="n"/>
    </row>
    <row r="116" ht="15.5" customHeight="1" s="476">
      <c r="A116" s="458" t="inlineStr">
        <is>
          <t>신방동</t>
        </is>
      </c>
      <c r="B116" s="159" t="n"/>
      <c r="C116" s="159" t="n"/>
      <c r="D116" s="458" t="n">
        <v>7387</v>
      </c>
      <c r="E116" s="146" t="inlineStr">
        <is>
          <t>두레현대1차</t>
        </is>
      </c>
      <c r="F116" s="458" t="n">
        <v>1997.06</v>
      </c>
      <c r="G116" s="458" t="n">
        <v>676</v>
      </c>
      <c r="H116" s="458">
        <f>2026-F116+1</f>
        <v/>
      </c>
      <c r="I116" s="458" t="inlineStr">
        <is>
          <t>89</t>
        </is>
      </c>
      <c r="J116" s="458" t="n">
        <v>89</v>
      </c>
      <c r="K116" s="458" t="n">
        <v>71</v>
      </c>
      <c r="L116" s="458" t="n">
        <v>27</v>
      </c>
      <c r="M116" s="458" t="inlineStr">
        <is>
          <t>계단식</t>
        </is>
      </c>
      <c r="N116" s="458" t="n">
        <v>3</v>
      </c>
      <c r="O116" s="458" t="n">
        <v>1</v>
      </c>
      <c r="P116" s="458" t="n">
        <v>126</v>
      </c>
      <c r="Q116" s="587" t="n">
        <v>14500</v>
      </c>
      <c r="R116" s="588" t="n">
        <v>15000</v>
      </c>
      <c r="S116" s="581">
        <f>Q116-R116</f>
        <v/>
      </c>
      <c r="T116" s="71">
        <f>R116/Q116</f>
        <v/>
      </c>
      <c r="U116" s="588" t="n">
        <v>20000</v>
      </c>
      <c r="V116" s="588" t="n">
        <v>15200</v>
      </c>
      <c r="W116" s="458" t="inlineStr">
        <is>
          <t>계단식</t>
        </is>
      </c>
      <c r="X116" s="458" t="n">
        <v>3</v>
      </c>
      <c r="Y116" s="458" t="n">
        <v>1</v>
      </c>
      <c r="Z116" s="458" t="n">
        <v>126</v>
      </c>
      <c r="AA116" s="225" t="n">
        <v>2019.1</v>
      </c>
      <c r="AB116" s="458" t="n">
        <v>0.01</v>
      </c>
      <c r="AC116" s="37">
        <f>L116</f>
        <v/>
      </c>
      <c r="AD116" s="583" t="n">
        <v>13300</v>
      </c>
      <c r="AE116" s="583" t="n">
        <v>13000</v>
      </c>
      <c r="AF116" s="38">
        <f>AE116/AD116</f>
        <v/>
      </c>
      <c r="AG116" s="39">
        <f>AD116-AE116</f>
        <v/>
      </c>
      <c r="AH116" s="458" t="n">
        <v>2026.04</v>
      </c>
      <c r="AI116" s="509" t="n">
        <v>14500</v>
      </c>
      <c r="AJ116" s="509">
        <f>AI116-AD116</f>
        <v/>
      </c>
      <c r="AK116" s="129">
        <f>(AI116-AD116)/AD116</f>
        <v/>
      </c>
      <c r="AL116" s="29">
        <f>AJ116/AG116</f>
        <v/>
      </c>
      <c r="AM116" s="236" t="n"/>
      <c r="AN116" s="16" t="n"/>
    </row>
    <row r="117" ht="15.5" customHeight="1" s="476">
      <c r="A117" s="458" t="inlineStr">
        <is>
          <t>청수동</t>
        </is>
      </c>
      <c r="D117" s="458" t="n">
        <v>7567</v>
      </c>
      <c r="E117" s="146" t="inlineStr">
        <is>
          <t>극동1차</t>
        </is>
      </c>
      <c r="F117" s="458" t="n">
        <v>1992.01</v>
      </c>
      <c r="G117" s="458" t="n">
        <v>450</v>
      </c>
      <c r="H117" s="458">
        <f>2026-F117+1</f>
        <v/>
      </c>
      <c r="I117" s="458" t="inlineStr">
        <is>
          <t>101A, 102B</t>
        </is>
      </c>
      <c r="J117" s="458" t="n">
        <v>101</v>
      </c>
      <c r="K117" s="458" t="n">
        <v>84</v>
      </c>
      <c r="L117" s="458" t="n">
        <v>31</v>
      </c>
      <c r="M117" s="458" t="inlineStr">
        <is>
          <t>계단식</t>
        </is>
      </c>
      <c r="N117" s="458" t="n">
        <v>3</v>
      </c>
      <c r="O117" s="458" t="n">
        <v>2</v>
      </c>
      <c r="P117" s="458" t="n">
        <v>270</v>
      </c>
      <c r="Q117" s="104" t="n">
        <v>14500</v>
      </c>
      <c r="R117" s="104" t="n">
        <v>13000</v>
      </c>
      <c r="S117" s="581">
        <f>Q117-R117</f>
        <v/>
      </c>
      <c r="T117" s="71">
        <f>R117/Q117</f>
        <v/>
      </c>
      <c r="U117" s="104" t="n">
        <v>19000</v>
      </c>
      <c r="V117" s="104" t="n">
        <v>13100</v>
      </c>
      <c r="W117" s="458" t="inlineStr">
        <is>
          <t>계단식</t>
        </is>
      </c>
      <c r="X117" s="458" t="n">
        <v>3</v>
      </c>
      <c r="Y117" s="458" t="n">
        <v>2</v>
      </c>
      <c r="Z117" s="458" t="n">
        <v>270</v>
      </c>
      <c r="AA117" s="458" t="n">
        <v>2019.11</v>
      </c>
      <c r="AB117" s="458" t="n">
        <v>0.01</v>
      </c>
      <c r="AC117" s="37">
        <f>L117</f>
        <v/>
      </c>
      <c r="AD117" s="108" t="n">
        <v>12033</v>
      </c>
      <c r="AE117" s="108" t="n">
        <v>11250</v>
      </c>
      <c r="AF117" s="108">
        <f>AE117/AD117</f>
        <v/>
      </c>
      <c r="AG117" s="109">
        <f>AD117-AE117</f>
        <v/>
      </c>
      <c r="AH117" s="458" t="n">
        <v>2026.04</v>
      </c>
      <c r="AI117" s="458" t="n">
        <v>14500</v>
      </c>
      <c r="AJ117" s="458">
        <f>AI117-AD117</f>
        <v/>
      </c>
      <c r="AK117" s="129">
        <f>(AI117-AD117)/AD117</f>
        <v/>
      </c>
      <c r="AL117" s="29">
        <f>AJ117/AG117</f>
        <v/>
      </c>
      <c r="AM117" s="236" t="n"/>
    </row>
    <row r="118" ht="15.5" customHeight="1" s="476">
      <c r="A118" s="458" t="inlineStr">
        <is>
          <t>신방동</t>
        </is>
      </c>
      <c r="D118" s="458" t="n">
        <v>7395</v>
      </c>
      <c r="E118" s="146" t="inlineStr">
        <is>
          <t>한라동백2차</t>
        </is>
      </c>
      <c r="F118" s="458" t="n">
        <v>1998.09</v>
      </c>
      <c r="G118" s="458" t="n">
        <v>1139</v>
      </c>
      <c r="H118" s="458">
        <f>2026-F118+1</f>
        <v/>
      </c>
      <c r="I118" s="458" t="inlineStr">
        <is>
          <t>80A</t>
        </is>
      </c>
      <c r="J118" s="458" t="n">
        <v>80</v>
      </c>
      <c r="K118" s="458" t="n">
        <v>59</v>
      </c>
      <c r="L118" s="458" t="n">
        <v>24</v>
      </c>
      <c r="M118" s="458" t="inlineStr">
        <is>
          <t>계단식</t>
        </is>
      </c>
      <c r="N118" s="458" t="n">
        <v>3</v>
      </c>
      <c r="O118" s="458" t="n">
        <v>1</v>
      </c>
      <c r="P118" s="458" t="n">
        <v>236</v>
      </c>
      <c r="Q118" s="587" t="n">
        <v>14000</v>
      </c>
      <c r="R118" s="588" t="n">
        <v>14000</v>
      </c>
      <c r="S118" s="581">
        <f>Q118-R118</f>
        <v/>
      </c>
      <c r="T118" s="71">
        <f>R118/Q118</f>
        <v/>
      </c>
      <c r="U118" s="588" t="n">
        <v>18500</v>
      </c>
      <c r="V118" s="588" t="n">
        <v>13000</v>
      </c>
      <c r="W118" s="458" t="inlineStr">
        <is>
          <t>계단식</t>
        </is>
      </c>
      <c r="X118" s="458" t="n">
        <v>3</v>
      </c>
      <c r="Y118" s="458" t="n">
        <v>1</v>
      </c>
      <c r="Z118" s="458" t="n">
        <v>236</v>
      </c>
      <c r="AA118" s="458" t="n">
        <v>2021.07</v>
      </c>
      <c r="AB118" s="458" t="n">
        <v>0.08</v>
      </c>
      <c r="AC118" s="37">
        <f>L118</f>
        <v/>
      </c>
      <c r="AD118" s="583" t="n">
        <v>14856</v>
      </c>
      <c r="AE118" s="583" t="n">
        <v>11991</v>
      </c>
      <c r="AF118" s="38">
        <f>AE118/AD118</f>
        <v/>
      </c>
      <c r="AG118" s="39">
        <f>AD118-AE118</f>
        <v/>
      </c>
      <c r="AH118" s="458" t="n">
        <v>2026.04</v>
      </c>
      <c r="AI118" s="458" t="n">
        <v>14000</v>
      </c>
      <c r="AJ118" s="458">
        <f>AI118-AD118</f>
        <v/>
      </c>
      <c r="AK118" s="129">
        <f>(AI118-AD118)/AD118</f>
        <v/>
      </c>
      <c r="AL118" s="29">
        <f>AJ118/AG118</f>
        <v/>
      </c>
      <c r="AM118" s="236" t="n"/>
    </row>
    <row r="119" ht="15.5" customHeight="1" s="476">
      <c r="A119" s="494" t="inlineStr">
        <is>
          <t>신부동</t>
        </is>
      </c>
      <c r="B119" s="289" t="n"/>
      <c r="C119" s="289" t="n"/>
      <c r="D119" s="494" t="n">
        <v>7426</v>
      </c>
      <c r="E119" s="133" t="inlineStr">
        <is>
          <t>우방</t>
        </is>
      </c>
      <c r="F119" s="494" t="n">
        <v>1995.11</v>
      </c>
      <c r="G119" s="494" t="n">
        <v>436</v>
      </c>
      <c r="H119" s="494">
        <f>2026-F119+1</f>
        <v/>
      </c>
      <c r="I119" s="494" t="inlineStr">
        <is>
          <t>79</t>
        </is>
      </c>
      <c r="J119" s="494" t="n">
        <v>79</v>
      </c>
      <c r="K119" s="494" t="n">
        <v>59</v>
      </c>
      <c r="L119" s="494" t="n">
        <v>24</v>
      </c>
      <c r="M119" s="494" t="inlineStr">
        <is>
          <t>계단식</t>
        </is>
      </c>
      <c r="N119" s="494" t="n">
        <v>3</v>
      </c>
      <c r="O119" s="494" t="n">
        <v>1</v>
      </c>
      <c r="P119" s="494" t="n">
        <v>190</v>
      </c>
      <c r="Q119" s="584" t="n">
        <v>14000</v>
      </c>
      <c r="R119" s="585" t="n">
        <v>13000</v>
      </c>
      <c r="S119" s="581">
        <f>Q119-R119</f>
        <v/>
      </c>
      <c r="T119" s="71">
        <f>R119/Q119</f>
        <v/>
      </c>
      <c r="U119" s="585" t="n">
        <v>17900</v>
      </c>
      <c r="V119" s="585" t="n">
        <v>12000</v>
      </c>
      <c r="W119" s="458" t="inlineStr">
        <is>
          <t>계단식</t>
        </is>
      </c>
      <c r="X119" s="458" t="n">
        <v>3</v>
      </c>
      <c r="Y119" s="458" t="n">
        <v>1</v>
      </c>
      <c r="Z119" s="458" t="n">
        <v>190</v>
      </c>
      <c r="AA119" s="289" t="n">
        <v>2019.12</v>
      </c>
      <c r="AB119" s="289" t="n">
        <v>0.1</v>
      </c>
      <c r="AC119" s="77">
        <f>L119</f>
        <v/>
      </c>
      <c r="AD119" s="586" t="n">
        <v>11162</v>
      </c>
      <c r="AE119" s="586" t="n">
        <v>10000</v>
      </c>
      <c r="AF119" s="78">
        <f>AE119/AD119</f>
        <v/>
      </c>
      <c r="AG119" s="79">
        <f>AD119-AE119</f>
        <v/>
      </c>
      <c r="AH119" s="458" t="n">
        <v>2026.04</v>
      </c>
      <c r="AI119" s="458" t="n">
        <v>14000</v>
      </c>
      <c r="AJ119" s="458">
        <f>AI119-AD119</f>
        <v/>
      </c>
      <c r="AK119" s="129">
        <f>(AI119-AD119)/AD119</f>
        <v/>
      </c>
      <c r="AL119" s="80">
        <f>AJ119/AG119</f>
        <v/>
      </c>
      <c r="AM119" s="503" t="n"/>
      <c r="AN119" s="289" t="n"/>
      <c r="AV119" s="289" t="n"/>
    </row>
    <row r="120" ht="15.5" customHeight="1" s="476">
      <c r="A120" s="494" t="inlineStr">
        <is>
          <t>청수동</t>
        </is>
      </c>
      <c r="B120" s="289" t="n"/>
      <c r="C120" s="289" t="n"/>
      <c r="D120" s="494" t="n">
        <v>102387</v>
      </c>
      <c r="E120" s="133" t="inlineStr">
        <is>
          <t>극동2차</t>
        </is>
      </c>
      <c r="F120" s="494" t="n">
        <v>1992.04</v>
      </c>
      <c r="G120" s="494" t="n">
        <v>510</v>
      </c>
      <c r="H120" s="494">
        <f>2026-F120+1</f>
        <v/>
      </c>
      <c r="I120" s="494" t="inlineStr">
        <is>
          <t>88</t>
        </is>
      </c>
      <c r="J120" s="494" t="n">
        <v>88</v>
      </c>
      <c r="K120" s="494" t="n">
        <v>72</v>
      </c>
      <c r="L120" s="494" t="n">
        <v>27</v>
      </c>
      <c r="M120" s="494" t="inlineStr">
        <is>
          <t>계단식</t>
        </is>
      </c>
      <c r="N120" s="494" t="n">
        <v>3</v>
      </c>
      <c r="O120" s="494" t="n">
        <v>1</v>
      </c>
      <c r="P120" s="494" t="n">
        <v>90</v>
      </c>
      <c r="Q120" s="96" t="n">
        <v>14000</v>
      </c>
      <c r="R120" s="102" t="inlineStr">
        <is>
          <t>-</t>
        </is>
      </c>
      <c r="S120" s="581">
        <f>Q120-R120</f>
        <v/>
      </c>
      <c r="T120" s="71">
        <f>R120/Q120</f>
        <v/>
      </c>
      <c r="U120" s="96" t="n">
        <v>16500</v>
      </c>
      <c r="V120" s="96" t="n">
        <v>14600</v>
      </c>
      <c r="W120" s="458" t="inlineStr">
        <is>
          <t>계단식</t>
        </is>
      </c>
      <c r="X120" s="458" t="n">
        <v>3</v>
      </c>
      <c r="Y120" s="458" t="n">
        <v>1</v>
      </c>
      <c r="Z120" s="458" t="n">
        <v>90</v>
      </c>
      <c r="AA120" s="289" t="n">
        <v>2020.03</v>
      </c>
      <c r="AB120" s="289" t="n">
        <v>0.01</v>
      </c>
      <c r="AC120" s="99">
        <f>L120</f>
        <v/>
      </c>
      <c r="AD120" s="99" t="n">
        <v>11238</v>
      </c>
      <c r="AE120" s="99" t="n">
        <v>9667</v>
      </c>
      <c r="AF120" s="99">
        <f>AE120/AD120</f>
        <v/>
      </c>
      <c r="AG120" s="100">
        <f>AD120-AE120</f>
        <v/>
      </c>
      <c r="AH120" s="458" t="n">
        <v>2026.04</v>
      </c>
      <c r="AI120" s="458" t="n">
        <v>14000</v>
      </c>
      <c r="AJ120" s="458">
        <f>AI120-AD120</f>
        <v/>
      </c>
      <c r="AK120" s="129">
        <f>(AI120-AD120)/AD120</f>
        <v/>
      </c>
      <c r="AL120" s="101">
        <f>AJ120/AG120</f>
        <v/>
      </c>
      <c r="AM120" s="289" t="n"/>
      <c r="AN120" s="289" t="n"/>
      <c r="AV120" s="289" t="n"/>
    </row>
    <row r="121" ht="15.5" customHeight="1" s="476">
      <c r="A121" s="458" t="inlineStr">
        <is>
          <t>신방동</t>
        </is>
      </c>
      <c r="D121" s="458" t="n">
        <v>7392</v>
      </c>
      <c r="E121" s="146" t="inlineStr">
        <is>
          <t>성지새말2단지</t>
        </is>
      </c>
      <c r="F121" s="458" t="n">
        <v>1997.03</v>
      </c>
      <c r="G121" s="458" t="n">
        <v>840</v>
      </c>
      <c r="H121" s="458">
        <f>2026-F121+1</f>
        <v/>
      </c>
      <c r="I121" s="458" t="inlineStr">
        <is>
          <t>79</t>
        </is>
      </c>
      <c r="J121" s="458" t="n">
        <v>79</v>
      </c>
      <c r="K121" s="458" t="n">
        <v>59</v>
      </c>
      <c r="L121" s="458" t="n">
        <v>24</v>
      </c>
      <c r="M121" s="458" t="inlineStr">
        <is>
          <t>계단식</t>
        </is>
      </c>
      <c r="N121" s="458" t="n">
        <v>3</v>
      </c>
      <c r="O121" s="458" t="n">
        <v>1</v>
      </c>
      <c r="P121" s="458" t="n">
        <v>556</v>
      </c>
      <c r="Q121" s="587" t="n">
        <v>13500</v>
      </c>
      <c r="R121" s="588" t="n">
        <v>12600</v>
      </c>
      <c r="S121" s="581">
        <f>Q121-R121</f>
        <v/>
      </c>
      <c r="T121" s="71">
        <f>R121/Q121</f>
        <v/>
      </c>
      <c r="U121" s="588" t="n">
        <v>19000</v>
      </c>
      <c r="V121" s="588" t="n">
        <v>10000</v>
      </c>
      <c r="W121" s="458" t="inlineStr">
        <is>
          <t>계단식</t>
        </is>
      </c>
      <c r="X121" s="458" t="n">
        <v>3</v>
      </c>
      <c r="Y121" s="458" t="n">
        <v>1</v>
      </c>
      <c r="Z121" s="458" t="n">
        <v>556</v>
      </c>
      <c r="AA121" s="458" t="n">
        <v>2019.12</v>
      </c>
      <c r="AB121" s="458" t="n">
        <v>0.03</v>
      </c>
      <c r="AC121" s="37">
        <f>L121</f>
        <v/>
      </c>
      <c r="AD121" s="583" t="n">
        <v>11599</v>
      </c>
      <c r="AE121" s="583" t="n">
        <v>9536</v>
      </c>
      <c r="AF121" s="38">
        <f>AE121/AD121</f>
        <v/>
      </c>
      <c r="AG121" s="39">
        <f>AD121-AE121</f>
        <v/>
      </c>
      <c r="AH121" s="458" t="n">
        <v>2026.04</v>
      </c>
      <c r="AI121" s="458" t="n">
        <v>13500</v>
      </c>
      <c r="AJ121" s="458">
        <f>AI121-AD121</f>
        <v/>
      </c>
      <c r="AK121" s="129">
        <f>(AI121-AD121)/AD121</f>
        <v/>
      </c>
      <c r="AL121" s="29">
        <f>AJ121/AG121</f>
        <v/>
      </c>
      <c r="AM121" s="236" t="n"/>
      <c r="AO121" s="458" t="n"/>
      <c r="AP121" s="458" t="n"/>
      <c r="AQ121" s="458" t="n"/>
      <c r="AR121" s="458" t="n"/>
      <c r="AS121" s="458" t="n"/>
      <c r="AT121" s="458" t="n"/>
      <c r="AU121" s="458" t="n"/>
      <c r="AW121" s="458" t="n"/>
      <c r="AX121" s="458" t="n"/>
      <c r="AY121" s="458" t="n"/>
    </row>
    <row r="122" ht="15.5" customHeight="1" s="476">
      <c r="A122" s="494" t="inlineStr">
        <is>
          <t>청수동</t>
        </is>
      </c>
      <c r="B122" s="88" t="n"/>
      <c r="C122" s="89" t="n"/>
      <c r="D122" s="494" t="n">
        <v>102387</v>
      </c>
      <c r="E122" s="133" t="inlineStr">
        <is>
          <t>극동2차</t>
        </is>
      </c>
      <c r="F122" s="494" t="n">
        <v>1992.04</v>
      </c>
      <c r="G122" s="494" t="n">
        <v>510</v>
      </c>
      <c r="H122" s="494">
        <f>2026-F122+1</f>
        <v/>
      </c>
      <c r="I122" s="494" t="inlineStr">
        <is>
          <t>102</t>
        </is>
      </c>
      <c r="J122" s="494" t="n">
        <v>102</v>
      </c>
      <c r="K122" s="494" t="n">
        <v>84</v>
      </c>
      <c r="L122" s="494" t="n">
        <v>31</v>
      </c>
      <c r="M122" s="494" t="inlineStr">
        <is>
          <t>계단식</t>
        </is>
      </c>
      <c r="N122" s="494" t="n">
        <v>3</v>
      </c>
      <c r="O122" s="494" t="n">
        <v>2</v>
      </c>
      <c r="P122" s="494" t="n">
        <v>300</v>
      </c>
      <c r="Q122" s="96" t="n">
        <v>13500</v>
      </c>
      <c r="R122" s="96" t="n">
        <v>13500</v>
      </c>
      <c r="S122" s="581">
        <f>Q122-R122</f>
        <v/>
      </c>
      <c r="T122" s="71">
        <f>R122/Q122</f>
        <v/>
      </c>
      <c r="U122" s="96" t="n">
        <v>18800</v>
      </c>
      <c r="V122" s="96" t="n">
        <v>13000</v>
      </c>
      <c r="W122" s="458" t="inlineStr">
        <is>
          <t>계단식</t>
        </is>
      </c>
      <c r="X122" s="458" t="n">
        <v>3</v>
      </c>
      <c r="Y122" s="458" t="n">
        <v>2</v>
      </c>
      <c r="Z122" s="458" t="n">
        <v>300</v>
      </c>
      <c r="AA122" s="289" t="n">
        <v>2019.02</v>
      </c>
      <c r="AB122" s="289" t="n">
        <v>0.02</v>
      </c>
      <c r="AC122" s="99">
        <f>L122</f>
        <v/>
      </c>
      <c r="AD122" s="99" t="n">
        <v>13175</v>
      </c>
      <c r="AE122" s="99" t="n">
        <v>11500</v>
      </c>
      <c r="AF122" s="99">
        <f>AE122/AD122</f>
        <v/>
      </c>
      <c r="AG122" s="100">
        <f>AD122-AE122</f>
        <v/>
      </c>
      <c r="AH122" s="458" t="n">
        <v>2026.04</v>
      </c>
      <c r="AI122" s="458" t="n">
        <v>13500</v>
      </c>
      <c r="AJ122" s="458">
        <f>AI122-AD122</f>
        <v/>
      </c>
      <c r="AK122" s="129">
        <f>(AI122-AD122)/AD122</f>
        <v/>
      </c>
      <c r="AL122" s="101">
        <f>AJ122/AG122</f>
        <v/>
      </c>
      <c r="AM122" s="289" t="n"/>
      <c r="AN122" s="289" t="n"/>
      <c r="AV122" s="289" t="n"/>
    </row>
    <row r="123" ht="15.5" customHeight="1" s="476">
      <c r="A123" s="458" t="inlineStr">
        <is>
          <t>다가동</t>
        </is>
      </c>
      <c r="D123" s="458" t="n">
        <v>7271</v>
      </c>
      <c r="E123" s="146" t="inlineStr">
        <is>
          <t>신성</t>
        </is>
      </c>
      <c r="F123" s="458" t="n">
        <v>1990.12</v>
      </c>
      <c r="G123" s="458" t="n">
        <v>364</v>
      </c>
      <c r="H123" s="458">
        <f>2026-F123+1</f>
        <v/>
      </c>
      <c r="I123" s="458" t="inlineStr">
        <is>
          <t>106</t>
        </is>
      </c>
      <c r="J123" s="458" t="n">
        <v>106</v>
      </c>
      <c r="K123" s="458" t="n">
        <v>84</v>
      </c>
      <c r="L123" s="458" t="n">
        <v>32</v>
      </c>
      <c r="M123" s="458" t="inlineStr">
        <is>
          <t>계단식</t>
        </is>
      </c>
      <c r="N123" s="458" t="n">
        <v>3</v>
      </c>
      <c r="O123" s="458" t="n">
        <v>2</v>
      </c>
      <c r="P123" s="458" t="n">
        <v>196</v>
      </c>
      <c r="Q123" s="587" t="n">
        <v>13000</v>
      </c>
      <c r="R123" s="588" t="n">
        <v>12000</v>
      </c>
      <c r="S123" s="581">
        <f>Q123-R123</f>
        <v/>
      </c>
      <c r="T123" s="71">
        <f>R123/Q123</f>
        <v/>
      </c>
      <c r="U123" s="588" t="n">
        <v>16800</v>
      </c>
      <c r="V123" s="588" t="n">
        <v>11000</v>
      </c>
      <c r="W123" s="458" t="inlineStr">
        <is>
          <t>계단식</t>
        </is>
      </c>
      <c r="X123" s="458" t="n">
        <v>3</v>
      </c>
      <c r="Y123" s="458" t="n">
        <v>2</v>
      </c>
      <c r="Z123" s="458" t="n">
        <v>196</v>
      </c>
      <c r="AA123" s="225" t="n">
        <v>2019.06</v>
      </c>
      <c r="AB123" s="458" t="n">
        <v>0.1</v>
      </c>
      <c r="AC123" s="37">
        <f>L123</f>
        <v/>
      </c>
      <c r="AD123" s="583" t="n">
        <v>11325</v>
      </c>
      <c r="AE123" s="583" t="n">
        <v>11000</v>
      </c>
      <c r="AF123" s="38">
        <f>AE123/AD123</f>
        <v/>
      </c>
      <c r="AG123" s="39">
        <f>AD123-AE123</f>
        <v/>
      </c>
      <c r="AH123" s="458" t="n">
        <v>2026.04</v>
      </c>
      <c r="AI123" s="509" t="n">
        <v>13000</v>
      </c>
      <c r="AJ123" s="509">
        <f>AI123-AD123</f>
        <v/>
      </c>
      <c r="AK123" s="129">
        <f>(AI123-AD123)/AD123</f>
        <v/>
      </c>
      <c r="AL123" s="29">
        <f>AJ123/AG123</f>
        <v/>
      </c>
      <c r="AM123" s="236" t="n"/>
      <c r="AN123" s="16" t="n"/>
      <c r="AV123" s="458" t="inlineStr">
        <is>
          <t>4. [2번 시기]에 투자했을 때 [3번 시기] 기준 수익률 분석</t>
        </is>
      </c>
    </row>
    <row r="124" ht="15.5" customHeight="1" s="476">
      <c r="A124" s="494" t="inlineStr">
        <is>
          <t>목천읍</t>
        </is>
      </c>
      <c r="B124" s="74" t="n"/>
      <c r="C124" s="75" t="n"/>
      <c r="D124" s="494" t="n">
        <v>12895</v>
      </c>
      <c r="E124" s="133" t="inlineStr">
        <is>
          <t>목천신도브래뉴1차</t>
        </is>
      </c>
      <c r="F124" s="494" t="n">
        <v>2004.12</v>
      </c>
      <c r="G124" s="494" t="n">
        <v>540</v>
      </c>
      <c r="H124" s="494">
        <f>2026-F124+1</f>
        <v/>
      </c>
      <c r="I124" s="494" t="inlineStr">
        <is>
          <t>86</t>
        </is>
      </c>
      <c r="J124" s="494" t="n">
        <v>86</v>
      </c>
      <c r="K124" s="494" t="n">
        <v>59</v>
      </c>
      <c r="L124" s="494" t="n">
        <v>26</v>
      </c>
      <c r="M124" s="494" t="inlineStr">
        <is>
          <t>계단식</t>
        </is>
      </c>
      <c r="N124" s="494" t="n">
        <v>3</v>
      </c>
      <c r="O124" s="494" t="n">
        <v>2</v>
      </c>
      <c r="P124" s="494" t="n">
        <v>160</v>
      </c>
      <c r="Q124" s="584" t="n">
        <v>13000</v>
      </c>
      <c r="R124" s="592" t="inlineStr">
        <is>
          <t>-</t>
        </is>
      </c>
      <c r="S124" s="581">
        <f>Q124-R124</f>
        <v/>
      </c>
      <c r="T124" s="71">
        <f>R124/Q124</f>
        <v/>
      </c>
      <c r="U124" s="585" t="n">
        <v>15500</v>
      </c>
      <c r="V124" s="585" t="n">
        <v>12100</v>
      </c>
      <c r="W124" s="458" t="inlineStr">
        <is>
          <t>계단식</t>
        </is>
      </c>
      <c r="X124" s="458" t="n">
        <v>3</v>
      </c>
      <c r="Y124" s="458" t="n">
        <v>2</v>
      </c>
      <c r="Z124" s="458" t="n">
        <v>160</v>
      </c>
      <c r="AA124" s="141" t="n">
        <v>2020.09</v>
      </c>
      <c r="AB124" s="132" t="n">
        <v>0.01</v>
      </c>
      <c r="AC124" s="77">
        <f>L124</f>
        <v/>
      </c>
      <c r="AD124" s="586" t="n">
        <v>10640</v>
      </c>
      <c r="AE124" s="586" t="n">
        <v>10000</v>
      </c>
      <c r="AF124" s="78">
        <f>AE124/AD124</f>
        <v/>
      </c>
      <c r="AG124" s="79">
        <f>AD124-AE124</f>
        <v/>
      </c>
      <c r="AH124" s="110" t="n">
        <v>2026.04</v>
      </c>
      <c r="AI124" s="591" t="n">
        <v>13000</v>
      </c>
      <c r="AJ124" s="591">
        <f>AI124-AD124</f>
        <v/>
      </c>
      <c r="AK124" s="129">
        <f>(AI124-AD124)/AD124</f>
        <v/>
      </c>
      <c r="AL124" s="80">
        <f>AJ124/AG124</f>
        <v/>
      </c>
      <c r="AM124" s="503" t="n"/>
      <c r="AN124" s="83" t="n"/>
      <c r="AO124" s="494" t="n"/>
      <c r="AP124" s="494" t="n"/>
      <c r="AQ124" s="494" t="n"/>
      <c r="AR124" s="494" t="n"/>
      <c r="AS124" s="494" t="n"/>
      <c r="AT124" s="494" t="n"/>
      <c r="AU124" s="494" t="n"/>
      <c r="AV124" s="289" t="n"/>
      <c r="AW124" s="494" t="n"/>
      <c r="AX124" s="494" t="n"/>
      <c r="AY124" s="494" t="n"/>
    </row>
    <row r="125" ht="15.5" customHeight="1" s="476">
      <c r="A125" s="494" t="inlineStr">
        <is>
          <t>목천읍</t>
        </is>
      </c>
      <c r="B125" s="132" t="n"/>
      <c r="C125" s="132" t="n"/>
      <c r="D125" s="494" t="n">
        <v>13468</v>
      </c>
      <c r="E125" s="133" t="inlineStr">
        <is>
          <t>목천신도브래뉴2차</t>
        </is>
      </c>
      <c r="F125" s="494" t="n">
        <v>2005.06</v>
      </c>
      <c r="G125" s="494" t="n">
        <v>957</v>
      </c>
      <c r="H125" s="494">
        <f>2026-F125+1</f>
        <v/>
      </c>
      <c r="I125" s="494" t="inlineStr">
        <is>
          <t>80</t>
        </is>
      </c>
      <c r="J125" s="494" t="n">
        <v>80</v>
      </c>
      <c r="K125" s="494" t="n">
        <v>59</v>
      </c>
      <c r="L125" s="494" t="n">
        <v>24</v>
      </c>
      <c r="M125" s="494" t="inlineStr">
        <is>
          <t>계단식</t>
        </is>
      </c>
      <c r="N125" s="494" t="n">
        <v>3</v>
      </c>
      <c r="O125" s="494" t="n">
        <v>2</v>
      </c>
      <c r="P125" s="494" t="n">
        <v>299</v>
      </c>
      <c r="Q125" s="584" t="n">
        <v>13000</v>
      </c>
      <c r="R125" s="585" t="n">
        <v>10000</v>
      </c>
      <c r="S125" s="581">
        <f>Q125-R125</f>
        <v/>
      </c>
      <c r="T125" s="71">
        <f>R125/Q125</f>
        <v/>
      </c>
      <c r="U125" s="585" t="n">
        <v>17800</v>
      </c>
      <c r="V125" s="585" t="n">
        <v>14000</v>
      </c>
      <c r="W125" s="458" t="inlineStr">
        <is>
          <t>계단식</t>
        </is>
      </c>
      <c r="X125" s="458" t="n">
        <v>3</v>
      </c>
      <c r="Y125" s="458" t="n">
        <v>2</v>
      </c>
      <c r="Z125" s="458" t="n">
        <v>299</v>
      </c>
      <c r="AA125" s="141" t="n">
        <v>2020.01</v>
      </c>
      <c r="AB125" s="132" t="n">
        <v>0.01</v>
      </c>
      <c r="AC125" s="77">
        <f>L125</f>
        <v/>
      </c>
      <c r="AD125" s="586" t="n">
        <v>12000</v>
      </c>
      <c r="AE125" s="586" t="n">
        <v>10000</v>
      </c>
      <c r="AF125" s="78">
        <f>AE125/AD125</f>
        <v/>
      </c>
      <c r="AG125" s="79">
        <f>AD125-AE125</f>
        <v/>
      </c>
      <c r="AH125" s="110" t="n">
        <v>2026.04</v>
      </c>
      <c r="AI125" s="591" t="n">
        <v>13000</v>
      </c>
      <c r="AJ125" s="591">
        <f>AI125-AD125</f>
        <v/>
      </c>
      <c r="AK125" s="129">
        <f>(AI125-AD125)/AD125</f>
        <v/>
      </c>
      <c r="AL125" s="80">
        <f>AJ125/AG125</f>
        <v/>
      </c>
      <c r="AM125" s="503" t="n"/>
      <c r="AN125" s="82" t="inlineStr">
        <is>
          <t>결론</t>
        </is>
      </c>
      <c r="AO125" s="494" t="n"/>
      <c r="AP125" s="494" t="n"/>
      <c r="AQ125" s="494" t="n"/>
      <c r="AR125" s="494" t="n"/>
      <c r="AS125" s="494" t="n"/>
      <c r="AT125" s="494" t="n"/>
      <c r="AU125" s="494" t="n"/>
      <c r="AV125" s="494" t="inlineStr">
        <is>
          <t>https://weolbu.com/s/MhxRTz9ZpG</t>
        </is>
      </c>
      <c r="AW125" s="494" t="n"/>
      <c r="AX125" s="494" t="n"/>
      <c r="AY125" s="494" t="n"/>
    </row>
    <row r="126" ht="15.5" customHeight="1" s="476">
      <c r="A126" s="494" t="inlineStr">
        <is>
          <t>신방동</t>
        </is>
      </c>
      <c r="B126" s="88" t="n"/>
      <c r="C126" s="89" t="n"/>
      <c r="D126" s="494" t="n">
        <v>7393</v>
      </c>
      <c r="E126" s="133" t="inlineStr">
        <is>
          <t>신동아목련</t>
        </is>
      </c>
      <c r="F126" s="494" t="n">
        <v>1996.04</v>
      </c>
      <c r="G126" s="494" t="n">
        <v>498</v>
      </c>
      <c r="H126" s="494">
        <f>2026-F126+1</f>
        <v/>
      </c>
      <c r="I126" s="494" t="inlineStr">
        <is>
          <t>77</t>
        </is>
      </c>
      <c r="J126" s="494" t="n">
        <v>77</v>
      </c>
      <c r="K126" s="494" t="n">
        <v>59</v>
      </c>
      <c r="L126" s="494" t="n">
        <v>23</v>
      </c>
      <c r="M126" s="494" t="inlineStr">
        <is>
          <t>계단식</t>
        </is>
      </c>
      <c r="N126" s="494" t="n">
        <v>3</v>
      </c>
      <c r="O126" s="494" t="n">
        <v>1</v>
      </c>
      <c r="P126" s="494" t="n">
        <v>206</v>
      </c>
      <c r="Q126" s="584" t="n">
        <v>13000</v>
      </c>
      <c r="R126" s="585" t="n">
        <v>12500</v>
      </c>
      <c r="S126" s="581">
        <f>Q126-R126</f>
        <v/>
      </c>
      <c r="T126" s="71">
        <f>R126/Q126</f>
        <v/>
      </c>
      <c r="U126" s="585" t="n">
        <v>18100</v>
      </c>
      <c r="V126" s="585" t="n">
        <v>13000</v>
      </c>
      <c r="W126" s="458" t="inlineStr">
        <is>
          <t>계단식</t>
        </is>
      </c>
      <c r="X126" s="458" t="n">
        <v>3</v>
      </c>
      <c r="Y126" s="458" t="n">
        <v>1</v>
      </c>
      <c r="Z126" s="458" t="n">
        <v>206</v>
      </c>
      <c r="AA126" s="141" t="n">
        <v>2020.02</v>
      </c>
      <c r="AB126" s="289" t="n">
        <v>0.01</v>
      </c>
      <c r="AC126" s="77">
        <f>L126</f>
        <v/>
      </c>
      <c r="AD126" s="586" t="n">
        <v>11600</v>
      </c>
      <c r="AE126" s="586" t="n">
        <v>10050</v>
      </c>
      <c r="AF126" s="78">
        <f>AE126/AD126</f>
        <v/>
      </c>
      <c r="AG126" s="79">
        <f>AD126-AE126</f>
        <v/>
      </c>
      <c r="AH126" s="458" t="n">
        <v>2026.04</v>
      </c>
      <c r="AI126" s="509" t="n">
        <v>13000</v>
      </c>
      <c r="AJ126" s="509">
        <f>AI126-AD126</f>
        <v/>
      </c>
      <c r="AK126" s="129">
        <f>(AI126-AD126)/AD126</f>
        <v/>
      </c>
      <c r="AL126" s="80">
        <f>AJ126/AG126</f>
        <v/>
      </c>
      <c r="AM126" s="503" t="n"/>
      <c r="AN126" s="83" t="n"/>
      <c r="AO126" s="458" t="n"/>
      <c r="AP126" s="458" t="n"/>
      <c r="AQ126" s="458" t="n"/>
      <c r="AR126" s="458" t="n"/>
      <c r="AS126" s="458" t="n"/>
      <c r="AT126" s="458" t="n"/>
      <c r="AU126" s="458" t="n"/>
      <c r="AV126" s="289" t="n"/>
      <c r="AW126" s="458" t="n"/>
      <c r="AX126" s="458" t="n"/>
      <c r="AY126" s="458" t="n"/>
    </row>
    <row r="127" ht="15.5" customHeight="1" s="476">
      <c r="A127" s="494" t="inlineStr">
        <is>
          <t>신방동</t>
        </is>
      </c>
      <c r="B127" s="88" t="n"/>
      <c r="C127" s="89" t="n"/>
      <c r="D127" s="494" t="n">
        <v>17300</v>
      </c>
      <c r="E127" s="133" t="inlineStr">
        <is>
          <t>두레현대2차</t>
        </is>
      </c>
      <c r="F127" s="494" t="n">
        <v>1997.06</v>
      </c>
      <c r="G127" s="494" t="n">
        <v>740</v>
      </c>
      <c r="H127" s="494">
        <f>2026-F127+1</f>
        <v/>
      </c>
      <c r="I127" s="494" t="inlineStr">
        <is>
          <t>77</t>
        </is>
      </c>
      <c r="J127" s="494" t="n">
        <v>77</v>
      </c>
      <c r="K127" s="494" t="n">
        <v>59</v>
      </c>
      <c r="L127" s="494" t="n">
        <v>23</v>
      </c>
      <c r="M127" s="494" t="inlineStr">
        <is>
          <t>계단식</t>
        </is>
      </c>
      <c r="N127" s="494" t="n">
        <v>3</v>
      </c>
      <c r="O127" s="494" t="n">
        <v>1</v>
      </c>
      <c r="P127" s="494" t="n">
        <v>352</v>
      </c>
      <c r="Q127" s="584" t="n">
        <v>13000</v>
      </c>
      <c r="R127" s="585" t="n">
        <v>13000</v>
      </c>
      <c r="S127" s="581">
        <f>Q127-R127</f>
        <v/>
      </c>
      <c r="T127" s="71">
        <f>R127/Q127</f>
        <v/>
      </c>
      <c r="U127" s="585" t="n">
        <v>19800</v>
      </c>
      <c r="V127" s="585" t="n">
        <v>12800</v>
      </c>
      <c r="W127" s="458" t="inlineStr">
        <is>
          <t>계단식</t>
        </is>
      </c>
      <c r="X127" s="458" t="n">
        <v>3</v>
      </c>
      <c r="Y127" s="458" t="n">
        <v>1</v>
      </c>
      <c r="Z127" s="458" t="n">
        <v>352</v>
      </c>
      <c r="AA127" s="289" t="n">
        <v>2019.07</v>
      </c>
      <c r="AB127" s="289" t="n">
        <v>0.01</v>
      </c>
      <c r="AC127" s="77">
        <f>L127</f>
        <v/>
      </c>
      <c r="AD127" s="586" t="n">
        <v>11667</v>
      </c>
      <c r="AE127" s="586" t="n">
        <v>9560</v>
      </c>
      <c r="AF127" s="78">
        <f>AE127/AD127</f>
        <v/>
      </c>
      <c r="AG127" s="79">
        <f>AD127-AE127</f>
        <v/>
      </c>
      <c r="AH127" s="458" t="n">
        <v>2026.04</v>
      </c>
      <c r="AI127" s="458" t="n">
        <v>13000</v>
      </c>
      <c r="AJ127" s="458">
        <f>AI127-AD127</f>
        <v/>
      </c>
      <c r="AK127" s="129">
        <f>(AI127-AD127)/AD127</f>
        <v/>
      </c>
      <c r="AL127" s="80">
        <f>AJ127/AG127</f>
        <v/>
      </c>
      <c r="AM127" s="503" t="n"/>
      <c r="AN127" s="289" t="n"/>
      <c r="AO127" s="458" t="n"/>
      <c r="AP127" s="458" t="n"/>
      <c r="AQ127" s="458" t="n"/>
      <c r="AR127" s="458" t="n"/>
      <c r="AS127" s="458" t="n"/>
      <c r="AT127" s="458" t="n"/>
      <c r="AU127" s="458" t="n"/>
      <c r="AV127" s="289" t="n"/>
      <c r="AW127" s="458" t="n"/>
      <c r="AX127" s="458" t="n"/>
      <c r="AY127" s="458" t="n"/>
    </row>
    <row r="128" ht="15.5" customHeight="1" s="476">
      <c r="A128" s="458" t="inlineStr">
        <is>
          <t>청수동</t>
        </is>
      </c>
      <c r="D128" s="458" t="n">
        <v>7567</v>
      </c>
      <c r="E128" s="146" t="inlineStr">
        <is>
          <t>극동1차</t>
        </is>
      </c>
      <c r="F128" s="458" t="n">
        <v>1992.01</v>
      </c>
      <c r="G128" s="458" t="n">
        <v>450</v>
      </c>
      <c r="H128" s="458">
        <f>2026-F128+1</f>
        <v/>
      </c>
      <c r="I128" s="458" t="inlineStr">
        <is>
          <t>88</t>
        </is>
      </c>
      <c r="J128" s="458" t="n">
        <v>88</v>
      </c>
      <c r="K128" s="458" t="n">
        <v>72</v>
      </c>
      <c r="L128" s="458" t="n">
        <v>27</v>
      </c>
      <c r="M128" s="458" t="inlineStr">
        <is>
          <t>계단식</t>
        </is>
      </c>
      <c r="N128" s="458" t="n">
        <v>3</v>
      </c>
      <c r="O128" s="458" t="n">
        <v>1</v>
      </c>
      <c r="P128" s="458" t="n">
        <v>120</v>
      </c>
      <c r="Q128" s="104" t="n">
        <v>13000</v>
      </c>
      <c r="R128" s="107" t="inlineStr">
        <is>
          <t>-</t>
        </is>
      </c>
      <c r="S128" s="581">
        <f>Q128-R128</f>
        <v/>
      </c>
      <c r="T128" s="71">
        <f>R128/Q128</f>
        <v/>
      </c>
      <c r="U128" s="104" t="n">
        <v>16700</v>
      </c>
      <c r="V128" s="104" t="n">
        <v>11000</v>
      </c>
      <c r="W128" s="458" t="inlineStr">
        <is>
          <t>계단식</t>
        </is>
      </c>
      <c r="X128" s="458" t="n">
        <v>3</v>
      </c>
      <c r="Y128" s="458" t="n">
        <v>1</v>
      </c>
      <c r="Z128" s="458" t="n">
        <v>120</v>
      </c>
      <c r="AA128" s="458" t="n">
        <v>2019.09</v>
      </c>
      <c r="AB128" s="458" t="n">
        <v>0.06</v>
      </c>
      <c r="AC128" s="37">
        <f>L128</f>
        <v/>
      </c>
      <c r="AD128" s="108" t="n">
        <v>10617</v>
      </c>
      <c r="AE128" s="108" t="n">
        <v>10000</v>
      </c>
      <c r="AF128" s="108">
        <f>AE128/AD128</f>
        <v/>
      </c>
      <c r="AG128" s="109">
        <f>AD128-AE128</f>
        <v/>
      </c>
      <c r="AH128" s="458" t="n">
        <v>2026.04</v>
      </c>
      <c r="AI128" s="458" t="n">
        <v>13000</v>
      </c>
      <c r="AJ128" s="458">
        <f>AI128-AD128</f>
        <v/>
      </c>
      <c r="AK128" s="129">
        <f>(AI128-AD128)/AD128</f>
        <v/>
      </c>
      <c r="AL128" s="29">
        <f>AJ128/AG128</f>
        <v/>
      </c>
      <c r="AM128" s="236" t="n"/>
      <c r="AO128" s="458" t="n"/>
      <c r="AP128" s="458" t="n"/>
      <c r="AQ128" s="458" t="n"/>
      <c r="AR128" s="458" t="n"/>
      <c r="AS128" s="458" t="n"/>
      <c r="AT128" s="458" t="n"/>
      <c r="AU128" s="458" t="n"/>
      <c r="AW128" s="458" t="n"/>
      <c r="AX128" s="458" t="n"/>
      <c r="AY128" s="458" t="n"/>
    </row>
    <row r="129" ht="15.5" customHeight="1" s="476">
      <c r="A129" s="494" t="inlineStr">
        <is>
          <t>목천읍</t>
        </is>
      </c>
      <c r="B129" s="88" t="n"/>
      <c r="C129" s="89" t="n"/>
      <c r="D129" s="494" t="n">
        <v>14265</v>
      </c>
      <c r="E129" s="133" t="inlineStr">
        <is>
          <t>천안목천동우1차</t>
        </is>
      </c>
      <c r="F129" s="494" t="n">
        <v>1997.08</v>
      </c>
      <c r="G129" s="494" t="n">
        <v>1922</v>
      </c>
      <c r="H129" s="494">
        <f>2026-F129+1</f>
        <v/>
      </c>
      <c r="I129" s="494" t="inlineStr">
        <is>
          <t>97</t>
        </is>
      </c>
      <c r="J129" s="494" t="n">
        <v>97</v>
      </c>
      <c r="K129" s="494" t="n">
        <v>84</v>
      </c>
      <c r="L129" s="494" t="n">
        <v>29</v>
      </c>
      <c r="M129" s="494" t="inlineStr">
        <is>
          <t>계단식</t>
        </is>
      </c>
      <c r="N129" s="494" t="n">
        <v>3</v>
      </c>
      <c r="O129" s="494" t="n">
        <v>2</v>
      </c>
      <c r="P129" s="494" t="n">
        <v>196</v>
      </c>
      <c r="Q129" s="584" t="n">
        <v>12000</v>
      </c>
      <c r="R129" s="585" t="n">
        <v>7000</v>
      </c>
      <c r="S129" s="581">
        <f>Q129-R129</f>
        <v/>
      </c>
      <c r="T129" s="71">
        <f>R129/Q129</f>
        <v/>
      </c>
      <c r="U129" s="585" t="n">
        <v>13500</v>
      </c>
      <c r="V129" s="585" t="n">
        <v>10000</v>
      </c>
      <c r="W129" s="458" t="inlineStr">
        <is>
          <t>계단식</t>
        </is>
      </c>
      <c r="X129" s="458" t="n">
        <v>3</v>
      </c>
      <c r="Y129" s="458" t="n">
        <v>2</v>
      </c>
      <c r="Z129" s="458" t="n">
        <v>196</v>
      </c>
      <c r="AA129" s="132" t="n">
        <v>2021.02</v>
      </c>
      <c r="AB129" s="132" t="n">
        <v>0.03</v>
      </c>
      <c r="AC129" s="77">
        <f>L129</f>
        <v/>
      </c>
      <c r="AD129" s="586" t="n">
        <v>9025</v>
      </c>
      <c r="AE129" s="586" t="n">
        <v>7500</v>
      </c>
      <c r="AF129" s="78">
        <f>AE129/AD129</f>
        <v/>
      </c>
      <c r="AG129" s="79">
        <f>AD129-AE129</f>
        <v/>
      </c>
      <c r="AH129" s="458" t="n">
        <v>2026.04</v>
      </c>
      <c r="AI129" s="458" t="n">
        <v>12000</v>
      </c>
      <c r="AJ129" s="458">
        <f>AI129-AD129</f>
        <v/>
      </c>
      <c r="AK129" s="129">
        <f>(AI129-AD129)/AD129</f>
        <v/>
      </c>
      <c r="AL129" s="80">
        <f>AJ129/AG129</f>
        <v/>
      </c>
      <c r="AM129" s="503" t="n"/>
      <c r="AN129" s="81" t="n"/>
      <c r="AO129" s="458" t="n"/>
      <c r="AP129" s="458" t="n"/>
      <c r="AQ129" s="458" t="n"/>
      <c r="AR129" s="458" t="n"/>
      <c r="AS129" s="458" t="n"/>
      <c r="AT129" s="458" t="n"/>
      <c r="AU129" s="458" t="n"/>
      <c r="AV129" s="494" t="n"/>
      <c r="AW129" s="458" t="n"/>
      <c r="AX129" s="458" t="n"/>
      <c r="AY129" s="458" t="n"/>
    </row>
    <row r="130" ht="15.5" customHeight="1" s="476">
      <c r="A130" s="458" t="inlineStr">
        <is>
          <t>신방동</t>
        </is>
      </c>
      <c r="B130" s="159" t="n"/>
      <c r="C130" s="159" t="n"/>
      <c r="D130" s="458" t="n">
        <v>7387</v>
      </c>
      <c r="E130" s="146" t="inlineStr">
        <is>
          <t>두레현대1차</t>
        </is>
      </c>
      <c r="F130" s="458" t="n">
        <v>1997.06</v>
      </c>
      <c r="G130" s="458" t="n">
        <v>676</v>
      </c>
      <c r="H130" s="458">
        <f>2026-F130+1</f>
        <v/>
      </c>
      <c r="I130" s="458" t="inlineStr">
        <is>
          <t>77</t>
        </is>
      </c>
      <c r="J130" s="458" t="n">
        <v>77</v>
      </c>
      <c r="K130" s="458" t="n">
        <v>59</v>
      </c>
      <c r="L130" s="458" t="n">
        <v>23</v>
      </c>
      <c r="M130" s="458" t="inlineStr">
        <is>
          <t>계단식</t>
        </is>
      </c>
      <c r="N130" s="458" t="n">
        <v>3</v>
      </c>
      <c r="O130" s="458" t="n">
        <v>1</v>
      </c>
      <c r="P130" s="458" t="n">
        <v>396</v>
      </c>
      <c r="Q130" s="587" t="n">
        <v>12000</v>
      </c>
      <c r="R130" s="588" t="n">
        <v>12800</v>
      </c>
      <c r="S130" s="581">
        <f>Q130-R130</f>
        <v/>
      </c>
      <c r="T130" s="71">
        <f>R130/Q130</f>
        <v/>
      </c>
      <c r="U130" s="588" t="n">
        <v>19100</v>
      </c>
      <c r="V130" s="588" t="n">
        <v>12800</v>
      </c>
      <c r="W130" s="458" t="inlineStr">
        <is>
          <t>계단식</t>
        </is>
      </c>
      <c r="X130" s="458" t="n">
        <v>3</v>
      </c>
      <c r="Y130" s="458" t="n">
        <v>1</v>
      </c>
      <c r="Z130" s="458" t="n">
        <v>396</v>
      </c>
      <c r="AA130" s="225" t="n">
        <v>2020.05</v>
      </c>
      <c r="AB130" s="458" t="n">
        <v>0.01</v>
      </c>
      <c r="AC130" s="37">
        <f>L130</f>
        <v/>
      </c>
      <c r="AD130" s="583" t="n">
        <v>12527</v>
      </c>
      <c r="AE130" s="583" t="n">
        <v>10108</v>
      </c>
      <c r="AF130" s="38">
        <f>AE130/AD130</f>
        <v/>
      </c>
      <c r="AG130" s="39">
        <f>AD130-AE130</f>
        <v/>
      </c>
      <c r="AH130" s="458" t="n">
        <v>2026.04</v>
      </c>
      <c r="AI130" s="509" t="n">
        <v>12000</v>
      </c>
      <c r="AJ130" s="509">
        <f>AI130-AD130</f>
        <v/>
      </c>
      <c r="AK130" s="129">
        <f>(AI130-AD130)/AD130</f>
        <v/>
      </c>
      <c r="AL130" s="29">
        <f>AJ130/AG130</f>
        <v/>
      </c>
      <c r="AM130" s="236" t="n"/>
      <c r="AN130" s="16" t="n"/>
      <c r="AO130" s="458" t="n"/>
      <c r="AP130" s="458" t="n"/>
      <c r="AQ130" s="458" t="n"/>
      <c r="AR130" s="458" t="n"/>
      <c r="AS130" s="458" t="n"/>
      <c r="AT130" s="458" t="n"/>
      <c r="AU130" s="458" t="n"/>
      <c r="AW130" s="458" t="n"/>
      <c r="AX130" s="458" t="n"/>
      <c r="AY130" s="458" t="n"/>
    </row>
    <row r="131" ht="15.5" customHeight="1" s="476">
      <c r="A131" s="458" t="inlineStr">
        <is>
          <t>봉명동</t>
        </is>
      </c>
      <c r="B131" s="159" t="n"/>
      <c r="C131" s="159" t="n"/>
      <c r="D131" s="458" t="n">
        <v>13053</v>
      </c>
      <c r="E131" s="146" t="inlineStr">
        <is>
          <t>봉명청솔</t>
        </is>
      </c>
      <c r="F131" s="458" t="n">
        <v>2001.1</v>
      </c>
      <c r="G131" s="458" t="n">
        <v>1380</v>
      </c>
      <c r="H131" s="458">
        <f>2026-F131+1</f>
        <v/>
      </c>
      <c r="I131" s="458" t="inlineStr">
        <is>
          <t>77</t>
        </is>
      </c>
      <c r="J131" s="458" t="n">
        <v>77</v>
      </c>
      <c r="K131" s="458" t="n">
        <v>56</v>
      </c>
      <c r="L131" s="458" t="n">
        <v>23</v>
      </c>
      <c r="M131" s="458" t="inlineStr">
        <is>
          <t>복도식</t>
        </is>
      </c>
      <c r="N131" s="458" t="n">
        <v>3</v>
      </c>
      <c r="O131" s="458" t="n">
        <v>1</v>
      </c>
      <c r="P131" s="458" t="n">
        <v>1380</v>
      </c>
      <c r="Q131" s="587" t="n">
        <v>11900</v>
      </c>
      <c r="R131" s="588" t="n">
        <v>11000</v>
      </c>
      <c r="S131" s="581">
        <f>Q131-R131</f>
        <v/>
      </c>
      <c r="T131" s="71">
        <f>R131/Q131</f>
        <v/>
      </c>
      <c r="U131" s="588" t="n">
        <v>15500</v>
      </c>
      <c r="V131" s="588" t="n">
        <v>10000</v>
      </c>
      <c r="W131" s="458" t="inlineStr">
        <is>
          <t>복도식</t>
        </is>
      </c>
      <c r="X131" s="458" t="n">
        <v>3</v>
      </c>
      <c r="Y131" s="458" t="n">
        <v>1</v>
      </c>
      <c r="Z131" s="458" t="n">
        <v>1380</v>
      </c>
      <c r="AC131" s="37">
        <f>L131</f>
        <v/>
      </c>
      <c r="AD131" s="583" t="n"/>
      <c r="AE131" s="583" t="n"/>
      <c r="AF131" s="38">
        <f>AE131/AD131</f>
        <v/>
      </c>
      <c r="AG131" s="39">
        <f>AD131-AE131</f>
        <v/>
      </c>
      <c r="AH131" s="458" t="n">
        <v>2026.04</v>
      </c>
      <c r="AI131" s="458" t="n">
        <v>11900</v>
      </c>
      <c r="AJ131" s="458">
        <f>AI131-AD131</f>
        <v/>
      </c>
      <c r="AK131" s="129">
        <f>(AI131-AD131)/AD131</f>
        <v/>
      </c>
      <c r="AL131" s="29">
        <f>AJ131/AG131</f>
        <v/>
      </c>
      <c r="AM131" s="236" t="n"/>
      <c r="AO131" s="458" t="n"/>
      <c r="AP131" s="458" t="n"/>
      <c r="AQ131" s="458" t="n"/>
      <c r="AR131" s="458" t="n"/>
      <c r="AS131" s="458" t="n"/>
      <c r="AT131" s="458" t="n"/>
      <c r="AU131" s="458" t="n"/>
      <c r="AW131" s="458" t="n"/>
      <c r="AX131" s="458" t="n"/>
      <c r="AY131" s="458" t="n"/>
    </row>
    <row r="132" ht="15.5" customHeight="1" s="476">
      <c r="A132" s="494" t="inlineStr">
        <is>
          <t>신방동</t>
        </is>
      </c>
      <c r="B132" s="88" t="n"/>
      <c r="C132" s="89" t="n"/>
      <c r="D132" s="494" t="n">
        <v>7389</v>
      </c>
      <c r="E132" s="133" t="inlineStr">
        <is>
          <t>성지새말1단지</t>
        </is>
      </c>
      <c r="F132" s="494" t="n">
        <v>1997.03</v>
      </c>
      <c r="G132" s="494" t="n">
        <v>612</v>
      </c>
      <c r="H132" s="494">
        <f>2026-F132+1</f>
        <v/>
      </c>
      <c r="I132" s="494" t="inlineStr">
        <is>
          <t>77</t>
        </is>
      </c>
      <c r="J132" s="494" t="n">
        <v>77</v>
      </c>
      <c r="K132" s="494" t="n">
        <v>59</v>
      </c>
      <c r="L132" s="494" t="n">
        <v>23</v>
      </c>
      <c r="M132" s="494" t="inlineStr">
        <is>
          <t>계단식</t>
        </is>
      </c>
      <c r="N132" s="494" t="n">
        <v>3</v>
      </c>
      <c r="O132" s="494" t="n">
        <v>1</v>
      </c>
      <c r="P132" s="494" t="n">
        <v>316</v>
      </c>
      <c r="Q132" s="584" t="n">
        <v>11500</v>
      </c>
      <c r="R132" s="585" t="n">
        <v>12000</v>
      </c>
      <c r="S132" s="581">
        <f>Q132-R132</f>
        <v/>
      </c>
      <c r="T132" s="71">
        <f>R132/Q132</f>
        <v/>
      </c>
      <c r="U132" s="585" t="n">
        <v>19000</v>
      </c>
      <c r="V132" s="585" t="n">
        <v>13300</v>
      </c>
      <c r="W132" s="458" t="inlineStr">
        <is>
          <t>계단식</t>
        </is>
      </c>
      <c r="X132" s="458" t="n">
        <v>3</v>
      </c>
      <c r="Y132" s="458" t="n">
        <v>1</v>
      </c>
      <c r="Z132" s="458" t="n">
        <v>316</v>
      </c>
      <c r="AA132" s="289" t="n">
        <v>2020.03</v>
      </c>
      <c r="AB132" s="289" t="n">
        <v>0.01</v>
      </c>
      <c r="AC132" s="77">
        <f>L132</f>
        <v/>
      </c>
      <c r="AD132" s="586" t="n">
        <v>11930</v>
      </c>
      <c r="AE132" s="586" t="n">
        <v>9545</v>
      </c>
      <c r="AF132" s="78">
        <f>AE132/AD132</f>
        <v/>
      </c>
      <c r="AG132" s="79">
        <f>AD132-AE132</f>
        <v/>
      </c>
      <c r="AH132" s="458" t="n">
        <v>2026.04</v>
      </c>
      <c r="AI132" s="458" t="n">
        <v>11500</v>
      </c>
      <c r="AJ132" s="458">
        <f>AI132-AD132</f>
        <v/>
      </c>
      <c r="AK132" s="129">
        <f>(AI132-AD132)/AD132</f>
        <v/>
      </c>
      <c r="AL132" s="80">
        <f>AJ132/AG132</f>
        <v/>
      </c>
      <c r="AM132" s="503" t="n"/>
      <c r="AN132" s="289" t="n"/>
      <c r="AO132" s="458" t="n"/>
      <c r="AP132" s="458" t="n"/>
      <c r="AQ132" s="458" t="n"/>
      <c r="AR132" s="458" t="n"/>
      <c r="AS132" s="458" t="n"/>
      <c r="AT132" s="458" t="n"/>
      <c r="AU132" s="458" t="n"/>
      <c r="AV132" s="289" t="n"/>
      <c r="AW132" s="458" t="n"/>
      <c r="AX132" s="458" t="n"/>
      <c r="AY132" s="458" t="n"/>
    </row>
    <row r="133" ht="15.5" customHeight="1" s="476">
      <c r="A133" s="494" t="inlineStr">
        <is>
          <t>병천면</t>
        </is>
      </c>
      <c r="B133" s="88" t="n"/>
      <c r="C133" s="89" t="n"/>
      <c r="D133" s="494" t="n">
        <v>104607</v>
      </c>
      <c r="E133" s="133" t="inlineStr">
        <is>
          <t>레이크팰리스</t>
        </is>
      </c>
      <c r="F133" s="494" t="n">
        <v>2010.05</v>
      </c>
      <c r="G133" s="494" t="n">
        <v>346</v>
      </c>
      <c r="H133" s="494">
        <f>2026-F133+1</f>
        <v/>
      </c>
      <c r="I133" s="494" t="inlineStr">
        <is>
          <t>98</t>
        </is>
      </c>
      <c r="J133" s="494" t="n">
        <v>98</v>
      </c>
      <c r="K133" s="494" t="n">
        <v>59</v>
      </c>
      <c r="L133" s="494" t="n">
        <v>30</v>
      </c>
      <c r="M133" s="494" t="inlineStr">
        <is>
          <t>계단식</t>
        </is>
      </c>
      <c r="N133" s="494" t="n">
        <v>3</v>
      </c>
      <c r="O133" s="494" t="n">
        <v>1</v>
      </c>
      <c r="P133" s="494" t="n">
        <v>48</v>
      </c>
      <c r="Q133" s="584" t="n">
        <v>9800</v>
      </c>
      <c r="R133" s="592" t="inlineStr">
        <is>
          <t>-</t>
        </is>
      </c>
      <c r="S133" s="581">
        <f>Q133-R133</f>
        <v/>
      </c>
      <c r="T133" s="71">
        <f>R133/Q133</f>
        <v/>
      </c>
      <c r="U133" s="585" t="n">
        <v>9600</v>
      </c>
      <c r="V133" s="585" t="n">
        <v>8500</v>
      </c>
      <c r="W133" s="458" t="inlineStr">
        <is>
          <t>계단식</t>
        </is>
      </c>
      <c r="X133" s="458" t="n">
        <v>3</v>
      </c>
      <c r="Y133" s="458" t="n">
        <v>1</v>
      </c>
      <c r="Z133" s="458" t="n">
        <v>48</v>
      </c>
      <c r="AA133" s="132" t="n"/>
      <c r="AB133" s="132" t="n"/>
      <c r="AC133" s="77">
        <f>L133</f>
        <v/>
      </c>
      <c r="AD133" s="586" t="n"/>
      <c r="AE133" s="586" t="n"/>
      <c r="AF133" s="78">
        <f>AE133/AD133</f>
        <v/>
      </c>
      <c r="AG133" s="79">
        <f>AD133-AE133</f>
        <v/>
      </c>
      <c r="AH133" s="458" t="n">
        <v>2026.04</v>
      </c>
      <c r="AI133" s="458" t="n">
        <v>9800</v>
      </c>
      <c r="AJ133" s="458">
        <f>AI133-AD133</f>
        <v/>
      </c>
      <c r="AK133" s="129">
        <f>(AI133-AD133)/AD133</f>
        <v/>
      </c>
      <c r="AL133" s="80">
        <f>AJ133/AG133</f>
        <v/>
      </c>
      <c r="AM133" s="503" t="n"/>
      <c r="AN133" s="289" t="n"/>
      <c r="AO133" s="458" t="n"/>
      <c r="AP133" s="458" t="n"/>
      <c r="AQ133" s="458" t="n"/>
      <c r="AR133" s="458" t="n"/>
      <c r="AS133" s="458" t="n"/>
      <c r="AT133" s="458" t="n"/>
      <c r="AU133" s="458" t="n"/>
      <c r="AV133" s="289" t="n"/>
      <c r="AW133" s="458" t="n"/>
      <c r="AX133" s="458" t="n"/>
      <c r="AY133" s="458" t="n"/>
    </row>
    <row r="134" ht="15.5" customHeight="1" s="476">
      <c r="A134" s="458" t="inlineStr">
        <is>
          <t>다가동</t>
        </is>
      </c>
      <c r="D134" s="458" t="n">
        <v>7271</v>
      </c>
      <c r="E134" s="146" t="inlineStr">
        <is>
          <t>신성</t>
        </is>
      </c>
      <c r="F134" s="458" t="n">
        <v>1990.12</v>
      </c>
      <c r="G134" s="458" t="n">
        <v>364</v>
      </c>
      <c r="H134" s="458">
        <f>2026-F134+1</f>
        <v/>
      </c>
      <c r="I134" s="458" t="inlineStr">
        <is>
          <t>94</t>
        </is>
      </c>
      <c r="J134" s="458" t="n">
        <v>94</v>
      </c>
      <c r="K134" s="458" t="n">
        <v>75</v>
      </c>
      <c r="L134" s="458" t="n">
        <v>28</v>
      </c>
      <c r="M134" s="458" t="inlineStr">
        <is>
          <t>계단식</t>
        </is>
      </c>
      <c r="N134" s="458" t="n">
        <v>3</v>
      </c>
      <c r="O134" s="458" t="n">
        <v>1</v>
      </c>
      <c r="P134" s="458" t="n">
        <v>168</v>
      </c>
      <c r="Q134" s="587" t="n">
        <v>9500</v>
      </c>
      <c r="R134" s="588" t="n">
        <v>9000</v>
      </c>
      <c r="S134" s="581">
        <f>Q134-R134</f>
        <v/>
      </c>
      <c r="T134" s="71">
        <f>R134/Q134</f>
        <v/>
      </c>
      <c r="U134" s="588" t="n">
        <v>14300</v>
      </c>
      <c r="V134" s="588" t="n">
        <v>10000</v>
      </c>
      <c r="W134" s="458" t="inlineStr">
        <is>
          <t>계단식</t>
        </is>
      </c>
      <c r="X134" s="458" t="n">
        <v>3</v>
      </c>
      <c r="Y134" s="458" t="n">
        <v>1</v>
      </c>
      <c r="Z134" s="458" t="n">
        <v>168</v>
      </c>
      <c r="AA134" s="225" t="n">
        <v>2021.01</v>
      </c>
      <c r="AB134" s="458" t="n">
        <v>0.06</v>
      </c>
      <c r="AC134" s="37">
        <f>L134</f>
        <v/>
      </c>
      <c r="AD134" s="583" t="n">
        <v>9167</v>
      </c>
      <c r="AE134" s="583" t="n">
        <v>9000</v>
      </c>
      <c r="AF134" s="38">
        <f>AE134/AD134</f>
        <v/>
      </c>
      <c r="AG134" s="39">
        <f>AD134-AE134</f>
        <v/>
      </c>
      <c r="AH134" s="458" t="n">
        <v>2026.04</v>
      </c>
      <c r="AI134" s="509" t="n">
        <v>9500</v>
      </c>
      <c r="AJ134" s="509">
        <f>AI134-AD134</f>
        <v/>
      </c>
      <c r="AK134" s="129">
        <f>(AI134-AD134)/AD134</f>
        <v/>
      </c>
      <c r="AL134" s="29">
        <f>AJ134/AG134</f>
        <v/>
      </c>
      <c r="AM134" s="236" t="n"/>
      <c r="AN134" s="16" t="n"/>
      <c r="AV134" s="458" t="inlineStr">
        <is>
          <t>3. 그 단지들 전고점 시기 기록</t>
        </is>
      </c>
    </row>
    <row r="135" ht="15.5" customHeight="1" s="476">
      <c r="A135" s="458" t="inlineStr">
        <is>
          <t>목천읍</t>
        </is>
      </c>
      <c r="D135" s="458" t="n">
        <v>109731</v>
      </c>
      <c r="E135" s="146" t="inlineStr">
        <is>
          <t>원앙마을부영2단지</t>
        </is>
      </c>
      <c r="F135" s="458" t="n">
        <v>1999.12</v>
      </c>
      <c r="G135" s="458" t="n">
        <v>847</v>
      </c>
      <c r="H135" s="458">
        <f>2026-F135+1</f>
        <v/>
      </c>
      <c r="I135" s="458" t="inlineStr">
        <is>
          <t>81</t>
        </is>
      </c>
      <c r="J135" s="458" t="n">
        <v>81</v>
      </c>
      <c r="K135" s="458" t="n">
        <v>59</v>
      </c>
      <c r="L135" s="458" t="n">
        <v>25</v>
      </c>
      <c r="M135" s="458" t="inlineStr">
        <is>
          <t>계단식</t>
        </is>
      </c>
      <c r="N135" s="458" t="n">
        <v>3</v>
      </c>
      <c r="O135" s="458" t="n">
        <v>1</v>
      </c>
      <c r="P135" s="458" t="n">
        <v>327</v>
      </c>
      <c r="Q135" s="587" t="n">
        <v>9500</v>
      </c>
      <c r="R135" s="588" t="n">
        <v>8000</v>
      </c>
      <c r="S135" s="581">
        <f>Q135-R135</f>
        <v/>
      </c>
      <c r="T135" s="71">
        <f>R135/Q135</f>
        <v/>
      </c>
      <c r="U135" s="588" t="n">
        <v>11100</v>
      </c>
      <c r="V135" s="588" t="n">
        <v>6900</v>
      </c>
      <c r="W135" s="458" t="inlineStr">
        <is>
          <t>계단식</t>
        </is>
      </c>
      <c r="X135" s="458" t="n">
        <v>3</v>
      </c>
      <c r="Y135" s="458" t="n">
        <v>1</v>
      </c>
      <c r="Z135" s="458" t="n">
        <v>327</v>
      </c>
      <c r="AC135" s="37">
        <f>L135</f>
        <v/>
      </c>
      <c r="AD135" s="583" t="n"/>
      <c r="AE135" s="583" t="n"/>
      <c r="AF135" s="38">
        <f>AE135/AD135</f>
        <v/>
      </c>
      <c r="AG135" s="39">
        <f>AD135-AE135</f>
        <v/>
      </c>
      <c r="AH135" s="458" t="n">
        <v>2026.04</v>
      </c>
      <c r="AI135" s="458" t="n">
        <v>9500</v>
      </c>
      <c r="AJ135" s="458">
        <f>AI135-AD135</f>
        <v/>
      </c>
      <c r="AK135" s="129">
        <f>(AI135-AD135)/AD135</f>
        <v/>
      </c>
      <c r="AL135" s="29">
        <f>AJ135/AG135</f>
        <v/>
      </c>
      <c r="AM135" s="236" t="n"/>
      <c r="AV135" s="236" t="n"/>
    </row>
    <row r="136" ht="15.5" customHeight="1" s="476">
      <c r="A136" s="458" t="inlineStr">
        <is>
          <t>목천읍</t>
        </is>
      </c>
      <c r="D136" s="458" t="n">
        <v>22847</v>
      </c>
      <c r="E136" s="146" t="inlineStr">
        <is>
          <t>목천프라임</t>
        </is>
      </c>
      <c r="F136" s="458" t="n">
        <v>2000.01</v>
      </c>
      <c r="G136" s="458" t="n">
        <v>899</v>
      </c>
      <c r="H136" s="458">
        <f>2026-F136+1</f>
        <v/>
      </c>
      <c r="I136" s="458" t="inlineStr">
        <is>
          <t>71</t>
        </is>
      </c>
      <c r="J136" s="458" t="n">
        <v>71</v>
      </c>
      <c r="K136" s="458" t="n">
        <v>55</v>
      </c>
      <c r="L136" s="458" t="n">
        <v>21</v>
      </c>
      <c r="M136" s="458" t="inlineStr">
        <is>
          <t>복도식</t>
        </is>
      </c>
      <c r="N136" s="458" t="n">
        <v>2</v>
      </c>
      <c r="O136" s="458" t="n">
        <v>1</v>
      </c>
      <c r="P136" s="458" t="n">
        <v>324</v>
      </c>
      <c r="Q136" s="587" t="n">
        <v>9000</v>
      </c>
      <c r="R136" s="593" t="inlineStr">
        <is>
          <t>-</t>
        </is>
      </c>
      <c r="S136" s="581">
        <f>Q136-R136</f>
        <v/>
      </c>
      <c r="T136" s="71">
        <f>R136/Q136</f>
        <v/>
      </c>
      <c r="U136" s="588" t="n">
        <v>10800</v>
      </c>
      <c r="V136" s="588" t="n">
        <v>8300</v>
      </c>
      <c r="W136" s="458" t="inlineStr">
        <is>
          <t>복도식</t>
        </is>
      </c>
      <c r="X136" s="458" t="n">
        <v>2</v>
      </c>
      <c r="Y136" s="458" t="n">
        <v>1</v>
      </c>
      <c r="Z136" s="458" t="n">
        <v>324</v>
      </c>
      <c r="AA136" s="458" t="n">
        <v>2018.01</v>
      </c>
      <c r="AB136" s="458" t="n">
        <v>0.01</v>
      </c>
      <c r="AC136" s="37">
        <f>L136</f>
        <v/>
      </c>
      <c r="AD136" s="583" t="n">
        <v>10000</v>
      </c>
      <c r="AE136" s="583" t="n">
        <v>8000</v>
      </c>
      <c r="AF136" s="38">
        <f>AE136/AD136</f>
        <v/>
      </c>
      <c r="AG136" s="39">
        <f>AD136-AE136</f>
        <v/>
      </c>
      <c r="AH136" s="458" t="n">
        <v>2026.04</v>
      </c>
      <c r="AI136" s="458" t="n">
        <v>9000</v>
      </c>
      <c r="AJ136" s="458">
        <f>AI136-AD136</f>
        <v/>
      </c>
      <c r="AK136" s="129">
        <f>(AI136-AD136)/AD136</f>
        <v/>
      </c>
      <c r="AL136" s="29">
        <f>AJ136/AG136</f>
        <v/>
      </c>
      <c r="AM136" s="236" t="n"/>
    </row>
    <row r="137" ht="15.5" customHeight="1" s="476">
      <c r="A137" s="494" t="inlineStr">
        <is>
          <t>목천읍</t>
        </is>
      </c>
      <c r="B137" s="289" t="n"/>
      <c r="C137" s="289" t="n"/>
      <c r="D137" s="494" t="n">
        <v>14265</v>
      </c>
      <c r="E137" s="133" t="inlineStr">
        <is>
          <t>천안목천동우1차</t>
        </is>
      </c>
      <c r="F137" s="494" t="n">
        <v>1997.08</v>
      </c>
      <c r="G137" s="494" t="n">
        <v>1922</v>
      </c>
      <c r="H137" s="494">
        <f>2026-F137+1</f>
        <v/>
      </c>
      <c r="I137" s="494" t="inlineStr">
        <is>
          <t>71</t>
        </is>
      </c>
      <c r="J137" s="494" t="n">
        <v>71</v>
      </c>
      <c r="K137" s="494" t="n">
        <v>59</v>
      </c>
      <c r="L137" s="494" t="n">
        <v>21</v>
      </c>
      <c r="M137" s="494" t="inlineStr">
        <is>
          <t>계단식</t>
        </is>
      </c>
      <c r="N137" s="494" t="n">
        <v>3</v>
      </c>
      <c r="O137" s="494" t="n">
        <v>1</v>
      </c>
      <c r="P137" s="494" t="n">
        <v>178</v>
      </c>
      <c r="Q137" s="584" t="n">
        <v>8300</v>
      </c>
      <c r="R137" s="592" t="inlineStr">
        <is>
          <t>-</t>
        </is>
      </c>
      <c r="S137" s="581">
        <f>Q137-R137</f>
        <v/>
      </c>
      <c r="T137" s="71">
        <f>R137/Q137</f>
        <v/>
      </c>
      <c r="U137" s="585" t="n">
        <v>9900</v>
      </c>
      <c r="V137" s="585" t="n">
        <v>7500</v>
      </c>
      <c r="W137" s="458" t="inlineStr">
        <is>
          <t>계단식</t>
        </is>
      </c>
      <c r="X137" s="458" t="n">
        <v>3</v>
      </c>
      <c r="Y137" s="458" t="n">
        <v>1</v>
      </c>
      <c r="Z137" s="458" t="n">
        <v>178</v>
      </c>
      <c r="AA137" s="132" t="n">
        <v>2019.03</v>
      </c>
      <c r="AB137" s="132" t="n">
        <v>0.02</v>
      </c>
      <c r="AC137" s="77">
        <f>L137</f>
        <v/>
      </c>
      <c r="AD137" s="586" t="n">
        <v>7388</v>
      </c>
      <c r="AE137" s="586" t="n">
        <v>6000</v>
      </c>
      <c r="AF137" s="78">
        <f>AE137/AD137</f>
        <v/>
      </c>
      <c r="AG137" s="79">
        <f>AD137-AE137</f>
        <v/>
      </c>
      <c r="AH137" s="458" t="n">
        <v>2026.04</v>
      </c>
      <c r="AI137" s="458" t="n">
        <v>8300</v>
      </c>
      <c r="AJ137" s="458">
        <f>AI137-AD137</f>
        <v/>
      </c>
      <c r="AK137" s="129">
        <f>(AI137-AD137)/AD137</f>
        <v/>
      </c>
      <c r="AL137" s="80">
        <f>AJ137/AG137</f>
        <v/>
      </c>
      <c r="AM137" s="503" t="n"/>
      <c r="AN137" s="81" t="n"/>
      <c r="AO137" s="458" t="n"/>
      <c r="AP137" s="458" t="n"/>
      <c r="AQ137" s="458" t="n"/>
      <c r="AR137" s="458" t="n"/>
      <c r="AS137" s="458" t="n"/>
      <c r="AT137" s="458" t="n"/>
      <c r="AU137" s="458" t="n"/>
      <c r="AV137" s="494" t="n"/>
      <c r="AW137" s="458" t="n"/>
      <c r="AX137" s="458" t="n"/>
      <c r="AY137" s="458" t="n"/>
    </row>
    <row r="138" ht="15.5" customHeight="1" s="476">
      <c r="A138" s="494" t="inlineStr">
        <is>
          <t>목천읍</t>
        </is>
      </c>
      <c r="B138" s="289" t="n"/>
      <c r="C138" s="289" t="n"/>
      <c r="D138" s="494" t="n">
        <v>109730</v>
      </c>
      <c r="E138" s="133" t="inlineStr">
        <is>
          <t>원앙마을부영1단지</t>
        </is>
      </c>
      <c r="F138" s="494" t="n">
        <v>1999.12</v>
      </c>
      <c r="G138" s="494" t="n">
        <v>1833</v>
      </c>
      <c r="H138" s="494">
        <f>2026-F138+1</f>
        <v/>
      </c>
      <c r="I138" s="494" t="inlineStr">
        <is>
          <t>82</t>
        </is>
      </c>
      <c r="J138" s="494" t="n">
        <v>82</v>
      </c>
      <c r="K138" s="494" t="n">
        <v>59</v>
      </c>
      <c r="L138" s="494" t="n">
        <v>25</v>
      </c>
      <c r="M138" s="494" t="inlineStr">
        <is>
          <t>계단식</t>
        </is>
      </c>
      <c r="N138" s="494" t="n">
        <v>3</v>
      </c>
      <c r="O138" s="494" t="n">
        <v>1</v>
      </c>
      <c r="P138" s="494" t="n">
        <v>814</v>
      </c>
      <c r="Q138" s="584" t="n">
        <v>8000</v>
      </c>
      <c r="R138" s="585" t="n">
        <v>9000</v>
      </c>
      <c r="S138" s="581">
        <f>Q138-R138</f>
        <v/>
      </c>
      <c r="T138" s="71">
        <f>R138/Q138</f>
        <v/>
      </c>
      <c r="U138" s="585" t="n">
        <v>11100</v>
      </c>
      <c r="V138" s="585" t="n">
        <v>6900</v>
      </c>
      <c r="W138" s="458" t="inlineStr">
        <is>
          <t>계단식</t>
        </is>
      </c>
      <c r="X138" s="458" t="n">
        <v>3</v>
      </c>
      <c r="Y138" s="458" t="n">
        <v>1</v>
      </c>
      <c r="Z138" s="458" t="n">
        <v>814</v>
      </c>
      <c r="AA138" s="132" t="n"/>
      <c r="AB138" s="132" t="n"/>
      <c r="AC138" s="77">
        <f>L138</f>
        <v/>
      </c>
      <c r="AD138" s="586" t="n"/>
      <c r="AE138" s="586" t="n"/>
      <c r="AF138" s="78">
        <f>AE138/AD138</f>
        <v/>
      </c>
      <c r="AG138" s="79">
        <f>AD138-AE138</f>
        <v/>
      </c>
      <c r="AH138" s="458" t="n">
        <v>2026.04</v>
      </c>
      <c r="AI138" s="458" t="n">
        <v>8000</v>
      </c>
      <c r="AJ138" s="458">
        <f>AI138-AD138</f>
        <v/>
      </c>
      <c r="AK138" s="129">
        <f>(AI138-AD138)/AD138</f>
        <v/>
      </c>
      <c r="AL138" s="80">
        <f>AJ138/AG138</f>
        <v/>
      </c>
      <c r="AM138" s="503" t="n"/>
      <c r="AN138" s="289" t="n"/>
      <c r="AV138" s="289" t="n"/>
    </row>
    <row r="139" ht="15.5" customHeight="1" s="476">
      <c r="A139" s="458" t="inlineStr">
        <is>
          <t>목천읍</t>
        </is>
      </c>
      <c r="B139" s="159" t="n"/>
      <c r="C139" s="159" t="n"/>
      <c r="D139" s="458" t="n">
        <v>109731</v>
      </c>
      <c r="E139" s="146" t="inlineStr">
        <is>
          <t>원앙마을부영2단지</t>
        </is>
      </c>
      <c r="F139" s="458" t="n">
        <v>1999.12</v>
      </c>
      <c r="G139" s="458" t="n">
        <v>847</v>
      </c>
      <c r="H139" s="458">
        <f>2026-F139+1</f>
        <v/>
      </c>
      <c r="I139" s="458" t="inlineStr">
        <is>
          <t>69</t>
        </is>
      </c>
      <c r="J139" s="458" t="n">
        <v>69</v>
      </c>
      <c r="K139" s="458" t="n">
        <v>49</v>
      </c>
      <c r="L139" s="458" t="n">
        <v>21</v>
      </c>
      <c r="M139" s="458" t="inlineStr">
        <is>
          <t>계단식</t>
        </is>
      </c>
      <c r="N139" s="458" t="n">
        <v>2</v>
      </c>
      <c r="O139" s="458" t="n">
        <v>1</v>
      </c>
      <c r="P139" s="458" t="n">
        <v>520</v>
      </c>
      <c r="Q139" s="587" t="n">
        <v>7800</v>
      </c>
      <c r="R139" s="593" t="inlineStr">
        <is>
          <t>-</t>
        </is>
      </c>
      <c r="S139" s="581">
        <f>Q139-R139</f>
        <v/>
      </c>
      <c r="T139" s="71">
        <f>R139/Q139</f>
        <v/>
      </c>
      <c r="U139" s="588" t="n">
        <v>9600</v>
      </c>
      <c r="V139" s="588" t="n">
        <v>6200</v>
      </c>
      <c r="W139" s="458" t="inlineStr">
        <is>
          <t>계단식</t>
        </is>
      </c>
      <c r="X139" s="458" t="n">
        <v>2</v>
      </c>
      <c r="Y139" s="458" t="n">
        <v>1</v>
      </c>
      <c r="Z139" s="458" t="n">
        <v>520</v>
      </c>
      <c r="AC139" s="37">
        <f>L139</f>
        <v/>
      </c>
      <c r="AD139" s="583" t="n"/>
      <c r="AE139" s="583" t="n"/>
      <c r="AF139" s="38">
        <f>AE139/AD139</f>
        <v/>
      </c>
      <c r="AG139" s="39">
        <f>AD139-AE139</f>
        <v/>
      </c>
      <c r="AH139" s="458" t="n">
        <v>2026.04</v>
      </c>
      <c r="AI139" s="458" t="n">
        <v>7800</v>
      </c>
      <c r="AJ139" s="458">
        <f>AI139-AD139</f>
        <v/>
      </c>
      <c r="AK139" s="129">
        <f>(AI139-AD139)/AD139</f>
        <v/>
      </c>
      <c r="AL139" s="29">
        <f>AJ139/AG139</f>
        <v/>
      </c>
      <c r="AM139" s="236" t="n"/>
      <c r="AV139" s="236" t="n"/>
    </row>
    <row r="140" ht="15.5" customHeight="1" s="476">
      <c r="A140" s="494" t="inlineStr">
        <is>
          <t>목천읍</t>
        </is>
      </c>
      <c r="B140" s="88" t="n"/>
      <c r="C140" s="89" t="n"/>
      <c r="D140" s="494" t="n">
        <v>109730</v>
      </c>
      <c r="E140" s="133" t="inlineStr">
        <is>
          <t>원앙마을부영1단지</t>
        </is>
      </c>
      <c r="F140" s="494" t="n">
        <v>1999.12</v>
      </c>
      <c r="G140" s="494" t="n">
        <v>1833</v>
      </c>
      <c r="H140" s="494">
        <f>2026-F140+1</f>
        <v/>
      </c>
      <c r="I140" s="494" t="inlineStr">
        <is>
          <t>70</t>
        </is>
      </c>
      <c r="J140" s="494" t="n">
        <v>70</v>
      </c>
      <c r="K140" s="494" t="n">
        <v>49</v>
      </c>
      <c r="L140" s="494" t="n">
        <v>21</v>
      </c>
      <c r="M140" s="494" t="inlineStr">
        <is>
          <t>계단식</t>
        </is>
      </c>
      <c r="N140" s="494" t="n">
        <v>2</v>
      </c>
      <c r="O140" s="494" t="n">
        <v>1</v>
      </c>
      <c r="P140" s="494" t="n">
        <v>1019</v>
      </c>
      <c r="Q140" s="584" t="n">
        <v>7200</v>
      </c>
      <c r="R140" s="592" t="inlineStr">
        <is>
          <t>-</t>
        </is>
      </c>
      <c r="S140" s="581">
        <f>Q140-R140</f>
        <v/>
      </c>
      <c r="T140" s="71">
        <f>R140/Q140</f>
        <v/>
      </c>
      <c r="U140" s="585" t="n">
        <v>9600</v>
      </c>
      <c r="V140" s="585" t="n">
        <v>6200</v>
      </c>
      <c r="W140" s="458" t="inlineStr">
        <is>
          <t>계단식</t>
        </is>
      </c>
      <c r="X140" s="458" t="n">
        <v>2</v>
      </c>
      <c r="Y140" s="458" t="n">
        <v>1</v>
      </c>
      <c r="Z140" s="458" t="n">
        <v>1019</v>
      </c>
      <c r="AA140" s="132" t="n"/>
      <c r="AB140" s="132" t="n"/>
      <c r="AC140" s="77">
        <f>L140</f>
        <v/>
      </c>
      <c r="AD140" s="586" t="n"/>
      <c r="AE140" s="586" t="n"/>
      <c r="AF140" s="78">
        <f>AE140/AD140</f>
        <v/>
      </c>
      <c r="AG140" s="79">
        <f>AD140-AE140</f>
        <v/>
      </c>
      <c r="AH140" s="458" t="n">
        <v>2026.04</v>
      </c>
      <c r="AI140" s="458" t="n">
        <v>7200</v>
      </c>
      <c r="AJ140" s="458">
        <f>AI140-AD140</f>
        <v/>
      </c>
      <c r="AK140" s="129">
        <f>(AI140-AD140)/AD140</f>
        <v/>
      </c>
      <c r="AL140" s="80">
        <f>AJ140/AG140</f>
        <v/>
      </c>
      <c r="AM140" s="503" t="n"/>
      <c r="AN140" s="289" t="n"/>
      <c r="AV140" s="289" t="n"/>
    </row>
    <row r="141" ht="15.5" customHeight="1" s="476">
      <c r="A141" s="458" t="inlineStr">
        <is>
          <t>목천읍</t>
        </is>
      </c>
      <c r="D141" s="458" t="n">
        <v>22847</v>
      </c>
      <c r="E141" s="146" t="inlineStr">
        <is>
          <t>목천프라임</t>
        </is>
      </c>
      <c r="F141" s="458" t="n">
        <v>2000.01</v>
      </c>
      <c r="G141" s="458" t="n">
        <v>899</v>
      </c>
      <c r="H141" s="458">
        <f>2026-F141+1</f>
        <v/>
      </c>
      <c r="I141" s="458" t="inlineStr">
        <is>
          <t>53</t>
        </is>
      </c>
      <c r="J141" s="458" t="n">
        <v>53</v>
      </c>
      <c r="K141" s="458" t="n">
        <v>39</v>
      </c>
      <c r="L141" s="458" t="n">
        <v>16</v>
      </c>
      <c r="M141" s="458" t="inlineStr">
        <is>
          <t>복도식</t>
        </is>
      </c>
      <c r="N141" s="458" t="n">
        <v>2</v>
      </c>
      <c r="O141" s="458" t="n">
        <v>1</v>
      </c>
      <c r="P141" s="458" t="n">
        <v>575</v>
      </c>
      <c r="Q141" s="587" t="n">
        <v>5900</v>
      </c>
      <c r="R141" s="593" t="inlineStr">
        <is>
          <t>-</t>
        </is>
      </c>
      <c r="S141" s="581">
        <f>Q141-R141</f>
        <v/>
      </c>
      <c r="T141" s="71">
        <f>R141/Q141</f>
        <v/>
      </c>
      <c r="U141" s="588" t="n">
        <v>6500</v>
      </c>
      <c r="V141" s="588" t="n">
        <v>4300</v>
      </c>
      <c r="W141" s="458" t="inlineStr">
        <is>
          <t>복도식</t>
        </is>
      </c>
      <c r="X141" s="458" t="n">
        <v>2</v>
      </c>
      <c r="Y141" s="458" t="n">
        <v>1</v>
      </c>
      <c r="Z141" s="458" t="n">
        <v>575</v>
      </c>
      <c r="AC141" s="37">
        <f>L141</f>
        <v/>
      </c>
      <c r="AD141" s="583" t="n"/>
      <c r="AE141" s="583" t="n"/>
      <c r="AF141" s="38">
        <f>AE141/AD141</f>
        <v/>
      </c>
      <c r="AG141" s="39">
        <f>AD141-AE141</f>
        <v/>
      </c>
      <c r="AH141" s="458" t="n">
        <v>2026.04</v>
      </c>
      <c r="AI141" s="458" t="n">
        <v>5900</v>
      </c>
      <c r="AJ141" s="458">
        <f>AI141-AD141</f>
        <v/>
      </c>
      <c r="AK141" s="129">
        <f>(AI141-AD141)/AD141</f>
        <v/>
      </c>
      <c r="AL141" s="29">
        <f>AJ141/AG141</f>
        <v/>
      </c>
      <c r="AM141" s="236" t="n"/>
    </row>
    <row r="142" ht="15.5" customHeight="1" s="476">
      <c r="A142" s="458" t="inlineStr">
        <is>
          <t>목천읍</t>
        </is>
      </c>
      <c r="B142" s="2" t="n"/>
      <c r="C142" s="90" t="n"/>
      <c r="D142" s="458" t="n">
        <v>106860</v>
      </c>
      <c r="E142" s="146" t="inlineStr">
        <is>
          <t>천안목천협성엠파이어</t>
        </is>
      </c>
      <c r="F142" s="458" t="n">
        <v>2013.1</v>
      </c>
      <c r="G142" s="458" t="n">
        <v>552</v>
      </c>
      <c r="H142" s="458">
        <f>2026-F142+1</f>
        <v/>
      </c>
      <c r="I142" s="458" t="inlineStr">
        <is>
          <t>57</t>
        </is>
      </c>
      <c r="J142" s="458" t="n">
        <v>57</v>
      </c>
      <c r="K142" s="458" t="n">
        <v>39</v>
      </c>
      <c r="L142" s="458" t="n">
        <v>17</v>
      </c>
      <c r="M142" s="458" t="inlineStr">
        <is>
          <t>복도식</t>
        </is>
      </c>
      <c r="N142" s="458" t="n">
        <v>2</v>
      </c>
      <c r="O142" s="458" t="n">
        <v>1</v>
      </c>
      <c r="P142" s="458" t="n">
        <v>552</v>
      </c>
      <c r="Q142" s="587" t="n">
        <v>5700</v>
      </c>
      <c r="R142" s="588" t="n">
        <v>5700</v>
      </c>
      <c r="S142" s="581">
        <f>Q142-R142</f>
        <v/>
      </c>
      <c r="T142" s="71">
        <f>R142/Q142</f>
        <v/>
      </c>
      <c r="U142" s="588" t="n">
        <v>7800</v>
      </c>
      <c r="V142" s="588" t="n">
        <v>5500</v>
      </c>
      <c r="W142" s="458" t="inlineStr">
        <is>
          <t>복도식</t>
        </is>
      </c>
      <c r="X142" s="458" t="n">
        <v>2</v>
      </c>
      <c r="Y142" s="458" t="n">
        <v>1</v>
      </c>
      <c r="Z142" s="458" t="n">
        <v>552</v>
      </c>
      <c r="AA142" s="458" t="n">
        <v>2018.01</v>
      </c>
      <c r="AB142" s="458" t="n">
        <v>0.01</v>
      </c>
      <c r="AC142" s="37">
        <f>L142</f>
        <v/>
      </c>
      <c r="AD142" s="583" t="n">
        <v>7100</v>
      </c>
      <c r="AE142" s="583" t="n">
        <v>6000</v>
      </c>
      <c r="AF142" s="38">
        <f>AE142/AD142</f>
        <v/>
      </c>
      <c r="AG142" s="39">
        <f>AD142-AE142</f>
        <v/>
      </c>
      <c r="AH142" s="458" t="n">
        <v>2026.04</v>
      </c>
      <c r="AI142" s="458" t="n">
        <v>5700</v>
      </c>
      <c r="AJ142" s="458">
        <f>AI142-AD142</f>
        <v/>
      </c>
      <c r="AK142" s="129">
        <f>(AI142-AD142)/AD142</f>
        <v/>
      </c>
      <c r="AL142" s="29">
        <f>AJ142/AG142</f>
        <v/>
      </c>
      <c r="AM142" s="236" t="n"/>
      <c r="AV142" s="458" t="n"/>
    </row>
    <row r="143" ht="15.5" customHeight="1" s="476">
      <c r="A143" s="494" t="inlineStr">
        <is>
          <t>병천면</t>
        </is>
      </c>
      <c r="B143" s="289" t="n"/>
      <c r="C143" s="289" t="n"/>
      <c r="D143" s="494" t="n">
        <v>104607</v>
      </c>
      <c r="E143" s="133" t="inlineStr">
        <is>
          <t>레이크팰리스</t>
        </is>
      </c>
      <c r="F143" s="494" t="n">
        <v>2010.05</v>
      </c>
      <c r="G143" s="494" t="n">
        <v>346</v>
      </c>
      <c r="H143" s="494">
        <f>2026-F143+1</f>
        <v/>
      </c>
      <c r="I143" s="494" t="inlineStr">
        <is>
          <t>86</t>
        </is>
      </c>
      <c r="J143" s="494" t="n">
        <v>86</v>
      </c>
      <c r="K143" s="494" t="n">
        <v>49</v>
      </c>
      <c r="L143" s="494" t="n">
        <v>26</v>
      </c>
      <c r="M143" s="494" t="inlineStr">
        <is>
          <t>계단식</t>
        </is>
      </c>
      <c r="N143" s="494" t="n">
        <v>3</v>
      </c>
      <c r="O143" s="494" t="n">
        <v>1</v>
      </c>
      <c r="P143" s="494" t="n">
        <v>106</v>
      </c>
      <c r="Q143" s="584" t="n">
        <v>5700</v>
      </c>
      <c r="R143" s="592" t="inlineStr">
        <is>
          <t>-</t>
        </is>
      </c>
      <c r="S143" s="581">
        <f>Q143-R143</f>
        <v/>
      </c>
      <c r="T143" s="71">
        <f>R143/Q143</f>
        <v/>
      </c>
      <c r="U143" s="585" t="n"/>
      <c r="V143" s="585" t="n"/>
      <c r="W143" s="458" t="inlineStr">
        <is>
          <t>계단식</t>
        </is>
      </c>
      <c r="X143" s="458" t="n">
        <v>3</v>
      </c>
      <c r="Y143" s="458" t="n">
        <v>1</v>
      </c>
      <c r="Z143" s="458" t="n">
        <v>106</v>
      </c>
      <c r="AA143" s="132" t="n"/>
      <c r="AB143" s="132" t="n"/>
      <c r="AC143" s="77">
        <f>L143</f>
        <v/>
      </c>
      <c r="AD143" s="586" t="n"/>
      <c r="AE143" s="586" t="n"/>
      <c r="AF143" s="78">
        <f>AE143/AD143</f>
        <v/>
      </c>
      <c r="AG143" s="79">
        <f>AD143-AE143</f>
        <v/>
      </c>
      <c r="AH143" s="458" t="n">
        <v>2026.04</v>
      </c>
      <c r="AI143" s="458" t="n">
        <v>5700</v>
      </c>
      <c r="AJ143" s="458">
        <f>AI143-AD143</f>
        <v/>
      </c>
      <c r="AK143" s="129">
        <f>(AI143-AD143)/AD143</f>
        <v/>
      </c>
      <c r="AL143" s="80">
        <f>AJ143/AG143</f>
        <v/>
      </c>
      <c r="AM143" s="503" t="n"/>
      <c r="AN143" s="81" t="n"/>
      <c r="AV143" s="494" t="n"/>
    </row>
    <row r="144" ht="15.5" customHeight="1" s="476">
      <c r="A144" s="494" t="inlineStr">
        <is>
          <t>병천면</t>
        </is>
      </c>
      <c r="B144" s="289" t="n"/>
      <c r="C144" s="289" t="n"/>
      <c r="D144" s="494" t="n">
        <v>104607</v>
      </c>
      <c r="E144" s="133" t="inlineStr">
        <is>
          <t>레이크팰리스</t>
        </is>
      </c>
      <c r="F144" s="494" t="n">
        <v>2010.05</v>
      </c>
      <c r="G144" s="494" t="n">
        <v>346</v>
      </c>
      <c r="H144" s="494">
        <f>2026-F144+1</f>
        <v/>
      </c>
      <c r="I144" s="494" t="inlineStr">
        <is>
          <t>70B, 70A</t>
        </is>
      </c>
      <c r="J144" s="494" t="n">
        <v>70</v>
      </c>
      <c r="K144" s="494" t="n">
        <v>39</v>
      </c>
      <c r="L144" s="494" t="n">
        <v>21</v>
      </c>
      <c r="M144" s="494" t="inlineStr">
        <is>
          <t>계단식</t>
        </is>
      </c>
      <c r="N144" s="494" t="n">
        <v>2</v>
      </c>
      <c r="O144" s="494" t="n">
        <v>1</v>
      </c>
      <c r="P144" s="494" t="n">
        <v>120</v>
      </c>
      <c r="Q144" s="584" t="n">
        <v>5500</v>
      </c>
      <c r="R144" s="592" t="inlineStr">
        <is>
          <t>-</t>
        </is>
      </c>
      <c r="S144" s="581">
        <f>Q144-R144</f>
        <v/>
      </c>
      <c r="T144" s="71">
        <f>R144/Q144</f>
        <v/>
      </c>
      <c r="U144" s="585" t="n">
        <v>5000</v>
      </c>
      <c r="V144" s="585" t="n">
        <v>4500</v>
      </c>
      <c r="W144" s="458" t="inlineStr">
        <is>
          <t>계단식</t>
        </is>
      </c>
      <c r="X144" s="458" t="n">
        <v>2</v>
      </c>
      <c r="Y144" s="458" t="n">
        <v>1</v>
      </c>
      <c r="Z144" s="458" t="n">
        <v>120</v>
      </c>
      <c r="AA144" s="132" t="n">
        <v>2020.09</v>
      </c>
      <c r="AB144" s="132" t="n">
        <v>0.04</v>
      </c>
      <c r="AC144" s="77">
        <f>L144</f>
        <v/>
      </c>
      <c r="AD144" s="586" t="n">
        <v>4550</v>
      </c>
      <c r="AE144" s="586" t="n">
        <v>4000</v>
      </c>
      <c r="AF144" s="78">
        <f>AE144/AD144</f>
        <v/>
      </c>
      <c r="AG144" s="79">
        <f>AD144-AE144</f>
        <v/>
      </c>
      <c r="AH144" s="458" t="n">
        <v>2026.04</v>
      </c>
      <c r="AI144" s="458" t="n">
        <v>5500</v>
      </c>
      <c r="AJ144" s="458">
        <f>AI144-AD144</f>
        <v/>
      </c>
      <c r="AK144" s="129">
        <f>(AI144-AD144)/AD144</f>
        <v/>
      </c>
      <c r="AL144" s="80">
        <f>AJ144/AG144</f>
        <v/>
      </c>
      <c r="AM144" s="503" t="n"/>
      <c r="AN144" s="81" t="n"/>
      <c r="AV144" s="494" t="n"/>
    </row>
    <row r="145" ht="15.5" customHeight="1" s="476">
      <c r="A145" s="494" t="inlineStr">
        <is>
          <t>병천면</t>
        </is>
      </c>
      <c r="B145" s="289" t="n"/>
      <c r="C145" s="289" t="n"/>
      <c r="D145" s="494" t="n">
        <v>104607</v>
      </c>
      <c r="E145" s="133" t="inlineStr">
        <is>
          <t>레이크팰리스</t>
        </is>
      </c>
      <c r="F145" s="494" t="n">
        <v>2010.05</v>
      </c>
      <c r="G145" s="494" t="n">
        <v>346</v>
      </c>
      <c r="H145" s="494">
        <f>2026-F145+1</f>
        <v/>
      </c>
      <c r="I145" s="494" t="inlineStr">
        <is>
          <t>50</t>
        </is>
      </c>
      <c r="J145" s="494" t="n">
        <v>50</v>
      </c>
      <c r="K145" s="494" t="n">
        <v>28</v>
      </c>
      <c r="L145" s="494" t="n">
        <v>15</v>
      </c>
      <c r="M145" s="494" t="inlineStr">
        <is>
          <t>계단식</t>
        </is>
      </c>
      <c r="N145" s="494" t="n">
        <v>1</v>
      </c>
      <c r="O145" s="494" t="n">
        <v>1</v>
      </c>
      <c r="P145" s="494" t="n">
        <v>72</v>
      </c>
      <c r="Q145" s="594" t="n">
        <v>3800</v>
      </c>
      <c r="R145" s="595" t="inlineStr">
        <is>
          <t>-</t>
        </is>
      </c>
      <c r="S145" s="581">
        <f>Q145-R145</f>
        <v/>
      </c>
      <c r="T145" s="71">
        <f>R145/Q145</f>
        <v/>
      </c>
      <c r="U145" s="596" t="n">
        <v>3500</v>
      </c>
      <c r="V145" s="597" t="n">
        <v>3000</v>
      </c>
      <c r="W145" s="458" t="inlineStr">
        <is>
          <t>계단식</t>
        </is>
      </c>
      <c r="X145" s="458" t="n">
        <v>1</v>
      </c>
      <c r="Y145" s="458" t="n">
        <v>1</v>
      </c>
      <c r="Z145" s="458" t="n">
        <v>72</v>
      </c>
      <c r="AA145" s="132" t="n"/>
      <c r="AB145" s="132" t="n"/>
      <c r="AC145" s="77">
        <f>L145</f>
        <v/>
      </c>
      <c r="AD145" s="586" t="n"/>
      <c r="AE145" s="586" t="n"/>
      <c r="AF145" s="78">
        <f>AE145/AD145</f>
        <v/>
      </c>
      <c r="AG145" s="79">
        <f>AD145-AE145</f>
        <v/>
      </c>
      <c r="AH145" s="458" t="n">
        <v>2026.04</v>
      </c>
      <c r="AI145" s="458" t="n">
        <v>3800</v>
      </c>
      <c r="AJ145" s="458">
        <f>AI145-AD145</f>
        <v/>
      </c>
      <c r="AK145" s="129">
        <f>(AI145-AD145)/AD145</f>
        <v/>
      </c>
      <c r="AL145" s="80">
        <f>AJ145/AG145</f>
        <v/>
      </c>
      <c r="AM145" s="503" t="n"/>
      <c r="AN145" s="81" t="n"/>
      <c r="AV145" s="494" t="n"/>
    </row>
    <row r="146" ht="15.5" customHeight="1" s="476">
      <c r="A146" s="494" t="inlineStr">
        <is>
          <t>목천읍</t>
        </is>
      </c>
      <c r="B146" s="289" t="n"/>
      <c r="C146" s="289" t="n"/>
      <c r="D146" s="494" t="n">
        <v>14265</v>
      </c>
      <c r="E146" s="133" t="inlineStr">
        <is>
          <t>천안목천동우1차</t>
        </is>
      </c>
      <c r="F146" s="494" t="n">
        <v>1997.08</v>
      </c>
      <c r="G146" s="494" t="n">
        <v>1922</v>
      </c>
      <c r="H146" s="494">
        <f>2026-F146+1</f>
        <v/>
      </c>
      <c r="I146" s="494" t="inlineStr">
        <is>
          <t>53</t>
        </is>
      </c>
      <c r="J146" s="494" t="n">
        <v>53</v>
      </c>
      <c r="K146" s="494" t="n">
        <v>39</v>
      </c>
      <c r="L146" s="494" t="n">
        <v>16</v>
      </c>
      <c r="M146" s="494" t="inlineStr">
        <is>
          <t>복도식</t>
        </is>
      </c>
      <c r="N146" s="494" t="n">
        <v>2</v>
      </c>
      <c r="O146" s="494" t="n">
        <v>1</v>
      </c>
      <c r="P146" s="494" t="n">
        <v>1548</v>
      </c>
      <c r="Q146" s="584" t="n">
        <v>3250</v>
      </c>
      <c r="R146" s="592" t="inlineStr">
        <is>
          <t>-</t>
        </is>
      </c>
      <c r="S146" s="581">
        <f>Q146-R146</f>
        <v/>
      </c>
      <c r="T146" s="71">
        <f>R146/Q146</f>
        <v/>
      </c>
      <c r="U146" s="585" t="n">
        <v>5500</v>
      </c>
      <c r="V146" s="598" t="n">
        <v>2500</v>
      </c>
      <c r="W146" s="458" t="inlineStr">
        <is>
          <t>복도식</t>
        </is>
      </c>
      <c r="X146" s="458" t="n">
        <v>2</v>
      </c>
      <c r="Y146" s="458" t="n">
        <v>1</v>
      </c>
      <c r="Z146" s="458" t="n">
        <v>1548</v>
      </c>
      <c r="AA146" s="132" t="n"/>
      <c r="AB146" s="132" t="n"/>
      <c r="AC146" s="77">
        <f>L146</f>
        <v/>
      </c>
      <c r="AD146" s="586" t="n"/>
      <c r="AE146" s="586" t="n"/>
      <c r="AF146" s="78">
        <f>AE146/AD146</f>
        <v/>
      </c>
      <c r="AG146" s="79">
        <f>AD146-AE146</f>
        <v/>
      </c>
      <c r="AH146" s="458" t="n">
        <v>2026.04</v>
      </c>
      <c r="AI146" s="458" t="n">
        <v>3250</v>
      </c>
      <c r="AJ146" s="458">
        <f>AI146-AD146</f>
        <v/>
      </c>
      <c r="AK146" s="129">
        <f>(AI146-AD146)/AD146</f>
        <v/>
      </c>
      <c r="AL146" s="80">
        <f>AJ146/AG146</f>
        <v/>
      </c>
      <c r="AM146" s="503" t="n"/>
      <c r="AN146" s="289" t="n"/>
      <c r="AV146" s="289" t="n"/>
    </row>
    <row r="147" ht="16" customHeight="1" s="476" thickBot="1">
      <c r="A147" s="458" t="inlineStr">
        <is>
          <t>구성동</t>
        </is>
      </c>
      <c r="D147" s="458" t="n">
        <v>17369</v>
      </c>
      <c r="E147" s="103" t="inlineStr">
        <is>
          <t>신성천안미소지움</t>
        </is>
      </c>
      <c r="F147" s="458" t="n">
        <v>2006.05</v>
      </c>
      <c r="G147" s="458" t="n">
        <v>1029</v>
      </c>
      <c r="H147" s="458">
        <f>2026-F147+1</f>
        <v/>
      </c>
      <c r="I147" s="458" t="inlineStr">
        <is>
          <t>107B, 107A</t>
        </is>
      </c>
      <c r="J147" s="458" t="n">
        <v>107</v>
      </c>
      <c r="K147" s="458" t="n">
        <v>84</v>
      </c>
      <c r="L147" s="458" t="n">
        <v>32</v>
      </c>
      <c r="M147" s="458" t="inlineStr">
        <is>
          <t>계단식</t>
        </is>
      </c>
      <c r="N147" s="458" t="n">
        <v>3</v>
      </c>
      <c r="O147" s="458" t="n">
        <v>2</v>
      </c>
      <c r="P147" s="458" t="n">
        <v>614</v>
      </c>
      <c r="Q147" s="599" t="n">
        <v>2000</v>
      </c>
      <c r="R147" s="600" t="n">
        <v>16000</v>
      </c>
      <c r="S147" s="581">
        <f>Q147-R147</f>
        <v/>
      </c>
      <c r="T147" s="71">
        <f>R147/Q147</f>
        <v/>
      </c>
      <c r="U147" s="600" t="n">
        <v>28000</v>
      </c>
      <c r="V147" s="601" t="n">
        <v>20250</v>
      </c>
      <c r="W147" s="458" t="inlineStr">
        <is>
          <t>계단식</t>
        </is>
      </c>
      <c r="X147" s="458" t="n">
        <v>3</v>
      </c>
      <c r="Y147" s="458" t="n">
        <v>2</v>
      </c>
      <c r="Z147" s="458" t="n">
        <v>614</v>
      </c>
      <c r="AA147" s="458" t="n">
        <v>2019.09</v>
      </c>
      <c r="AB147" s="458" t="n">
        <v>0.01</v>
      </c>
      <c r="AC147" s="37">
        <f>L147</f>
        <v/>
      </c>
      <c r="AD147" s="583" t="n">
        <v>17186</v>
      </c>
      <c r="AE147" s="583" t="n">
        <v>13800</v>
      </c>
      <c r="AF147" s="38">
        <f>AE147/AD147</f>
        <v/>
      </c>
      <c r="AG147" s="39">
        <f>AD147-AE147</f>
        <v/>
      </c>
      <c r="AH147" s="458" t="n">
        <v>2026.04</v>
      </c>
      <c r="AI147" s="458" t="n">
        <v>2000</v>
      </c>
      <c r="AJ147" s="458">
        <f>AI147-AD147</f>
        <v/>
      </c>
      <c r="AK147" s="129">
        <f>(AI147-AD147)/AD147</f>
        <v/>
      </c>
      <c r="AL147" s="29">
        <f>AJ147/AG147</f>
        <v/>
      </c>
      <c r="AM147" s="236" t="n"/>
    </row>
    <row r="148" ht="15.5" customHeight="1" s="476">
      <c r="A148" s="458" t="inlineStr">
        <is>
          <t>구성동</t>
        </is>
      </c>
      <c r="D148" s="458" t="n">
        <v>17369</v>
      </c>
      <c r="E148" s="103" t="inlineStr">
        <is>
          <t>신성천안미소지움</t>
        </is>
      </c>
      <c r="F148" s="458" t="n">
        <v>2006.05</v>
      </c>
      <c r="G148" s="458" t="n">
        <v>1029</v>
      </c>
      <c r="H148" s="458">
        <f>2026-F148+1</f>
        <v/>
      </c>
      <c r="I148" s="458" t="inlineStr">
        <is>
          <t>81A, 81B</t>
        </is>
      </c>
      <c r="J148" s="458" t="n">
        <v>81</v>
      </c>
      <c r="K148" s="458" t="n">
        <v>59</v>
      </c>
      <c r="L148" s="458" t="n">
        <v>25</v>
      </c>
      <c r="M148" s="458" t="inlineStr">
        <is>
          <t>계단식</t>
        </is>
      </c>
      <c r="N148" s="458" t="n">
        <v>3</v>
      </c>
      <c r="O148" s="458" t="n">
        <v>2</v>
      </c>
      <c r="P148" s="458" t="n">
        <v>355</v>
      </c>
      <c r="Q148" s="602" t="n">
        <v>1700</v>
      </c>
      <c r="R148" s="603" t="n">
        <v>15000</v>
      </c>
      <c r="S148" s="581">
        <f>Q148-R148</f>
        <v/>
      </c>
      <c r="T148" s="71">
        <f>R148/Q148</f>
        <v/>
      </c>
      <c r="U148" s="603" t="n">
        <v>18500</v>
      </c>
      <c r="V148" s="604" t="n">
        <v>12000</v>
      </c>
      <c r="W148" s="458" t="inlineStr">
        <is>
          <t>계단식</t>
        </is>
      </c>
      <c r="X148" s="458" t="n">
        <v>3</v>
      </c>
      <c r="Y148" s="458" t="n">
        <v>2</v>
      </c>
      <c r="Z148" s="458" t="n">
        <v>355</v>
      </c>
      <c r="AA148" s="458" t="n">
        <v>2018.01</v>
      </c>
      <c r="AB148" s="458" t="n">
        <v>0.01</v>
      </c>
      <c r="AC148" s="37">
        <f>L148</f>
        <v/>
      </c>
      <c r="AD148" s="583" t="n">
        <v>16600</v>
      </c>
      <c r="AE148" s="583" t="n">
        <v>14500</v>
      </c>
      <c r="AF148" s="38">
        <f>AE148/AD148</f>
        <v/>
      </c>
      <c r="AG148" s="39">
        <f>AD148-AE148</f>
        <v/>
      </c>
      <c r="AH148" s="458" t="n">
        <v>2026.04</v>
      </c>
      <c r="AI148" s="458" t="n">
        <v>1700</v>
      </c>
      <c r="AJ148" s="458">
        <f>AI148-AD148</f>
        <v/>
      </c>
      <c r="AK148" s="129">
        <f>(AI148-AD148)/AD148</f>
        <v/>
      </c>
      <c r="AL148" s="29">
        <f>AJ148/AG148</f>
        <v/>
      </c>
      <c r="AM148" s="236" t="n"/>
    </row>
    <row r="149" ht="15.5" customHeight="1" s="476">
      <c r="A149" s="494" t="inlineStr">
        <is>
          <t>구성동</t>
        </is>
      </c>
      <c r="B149" s="74" t="n"/>
      <c r="C149" s="75" t="n"/>
      <c r="D149" s="494" t="n">
        <v>26577</v>
      </c>
      <c r="E149" s="133" t="inlineStr">
        <is>
          <t>휴먼시아</t>
        </is>
      </c>
      <c r="F149" s="494" t="n">
        <v>2010.07</v>
      </c>
      <c r="G149" s="494" t="n">
        <v>473</v>
      </c>
      <c r="H149" s="494">
        <f>2026-F149+1</f>
        <v/>
      </c>
      <c r="I149" s="494" t="inlineStr">
        <is>
          <t>71</t>
        </is>
      </c>
      <c r="J149" s="494" t="n">
        <v>71</v>
      </c>
      <c r="K149" s="494" t="n">
        <v>51</v>
      </c>
      <c r="L149" s="494" t="n">
        <v>21</v>
      </c>
      <c r="M149" s="494" t="inlineStr">
        <is>
          <t>계단식</t>
        </is>
      </c>
      <c r="N149" s="494" t="n">
        <v>2</v>
      </c>
      <c r="O149" s="494" t="n">
        <v>1</v>
      </c>
      <c r="P149" s="494" t="n">
        <v>34</v>
      </c>
      <c r="Q149" s="584" t="n"/>
      <c r="R149" s="592" t="inlineStr">
        <is>
          <t>-</t>
        </is>
      </c>
      <c r="S149" s="581">
        <f>Q149-R149</f>
        <v/>
      </c>
      <c r="T149" s="71">
        <f>R149/Q149</f>
        <v/>
      </c>
      <c r="U149" s="585" t="n">
        <v>17200</v>
      </c>
      <c r="V149" s="598" t="n">
        <v>15000</v>
      </c>
      <c r="W149" s="458" t="inlineStr">
        <is>
          <t>계단식</t>
        </is>
      </c>
      <c r="X149" s="458" t="n">
        <v>2</v>
      </c>
      <c r="Y149" s="458" t="n">
        <v>1</v>
      </c>
      <c r="Z149" s="458" t="n">
        <v>34</v>
      </c>
      <c r="AA149" s="132" t="n">
        <v>2018.05</v>
      </c>
      <c r="AB149" s="132" t="n">
        <v>0.01</v>
      </c>
      <c r="AC149" s="77">
        <f>L149</f>
        <v/>
      </c>
      <c r="AD149" s="586" t="n">
        <v>15000</v>
      </c>
      <c r="AE149" s="586" t="n">
        <v>12000</v>
      </c>
      <c r="AF149" s="78">
        <f>AE149/AD149</f>
        <v/>
      </c>
      <c r="AG149" s="79">
        <f>AD149-AE149</f>
        <v/>
      </c>
      <c r="AH149" s="494" t="n">
        <v>2026.04</v>
      </c>
      <c r="AI149" s="494" t="n"/>
      <c r="AJ149" s="494">
        <f>AI149-AD149</f>
        <v/>
      </c>
      <c r="AK149" s="129">
        <f>(AI149-AD149)/AD149</f>
        <v/>
      </c>
      <c r="AL149" s="80">
        <f>AJ149/AG149</f>
        <v/>
      </c>
      <c r="AM149" s="503" t="n"/>
      <c r="AN149" s="81" t="n"/>
      <c r="AO149" s="494" t="n"/>
      <c r="AP149" s="494" t="n"/>
      <c r="AQ149" s="494" t="n"/>
      <c r="AR149" s="494" t="n"/>
      <c r="AS149" s="494" t="n"/>
      <c r="AT149" s="494" t="n"/>
      <c r="AU149" s="494" t="n"/>
      <c r="AV149" s="289" t="n"/>
      <c r="AW149" s="494" t="n"/>
      <c r="AX149" s="494" t="n"/>
      <c r="AY149" s="494" t="n"/>
    </row>
    <row r="150" ht="15.5" customHeight="1" s="476">
      <c r="A150" s="494" t="inlineStr">
        <is>
          <t>구성동</t>
        </is>
      </c>
      <c r="B150" s="74" t="n"/>
      <c r="C150" s="75" t="n"/>
      <c r="D150" s="494" t="n">
        <v>26577</v>
      </c>
      <c r="E150" s="133" t="inlineStr">
        <is>
          <t>휴먼시아</t>
        </is>
      </c>
      <c r="F150" s="494" t="n">
        <v>2010.07</v>
      </c>
      <c r="G150" s="494" t="n">
        <v>473</v>
      </c>
      <c r="H150" s="494">
        <f>2026-F150+1</f>
        <v/>
      </c>
      <c r="I150" s="494" t="inlineStr">
        <is>
          <t>113B</t>
        </is>
      </c>
      <c r="J150" s="494" t="n">
        <v>113</v>
      </c>
      <c r="K150" s="494" t="n">
        <v>84</v>
      </c>
      <c r="L150" s="494" t="n">
        <v>34</v>
      </c>
      <c r="M150" s="494" t="inlineStr">
        <is>
          <t>계단식</t>
        </is>
      </c>
      <c r="N150" s="494" t="n">
        <v>3</v>
      </c>
      <c r="O150" s="494" t="n">
        <v>2</v>
      </c>
      <c r="P150" s="494" t="n">
        <v>122</v>
      </c>
      <c r="Q150" s="584" t="n"/>
      <c r="R150" s="592" t="inlineStr">
        <is>
          <t>-</t>
        </is>
      </c>
      <c r="S150" s="581">
        <f>Q150-R150</f>
        <v/>
      </c>
      <c r="T150" s="71">
        <f>R150/Q150</f>
        <v/>
      </c>
      <c r="U150" s="585" t="n">
        <v>30000</v>
      </c>
      <c r="V150" s="598" t="n">
        <v>22900</v>
      </c>
      <c r="W150" s="458" t="inlineStr">
        <is>
          <t>계단식</t>
        </is>
      </c>
      <c r="X150" s="458" t="n">
        <v>3</v>
      </c>
      <c r="Y150" s="458" t="n">
        <v>2</v>
      </c>
      <c r="Z150" s="458" t="n">
        <v>122</v>
      </c>
      <c r="AA150" s="141" t="n">
        <v>2026.02</v>
      </c>
      <c r="AB150" s="132" t="n">
        <v>0.05</v>
      </c>
      <c r="AC150" s="77">
        <f>L150</f>
        <v/>
      </c>
      <c r="AD150" s="586" t="n">
        <v>20575</v>
      </c>
      <c r="AE150" s="586" t="n">
        <v>18333</v>
      </c>
      <c r="AF150" s="78">
        <f>AE150/AD150</f>
        <v/>
      </c>
      <c r="AG150" s="79">
        <f>AD150-AE150</f>
        <v/>
      </c>
      <c r="AH150" s="110" t="n">
        <v>2026.04</v>
      </c>
      <c r="AI150" s="591" t="n"/>
      <c r="AJ150" s="591">
        <f>AI150-AD150</f>
        <v/>
      </c>
      <c r="AK150" s="129">
        <f>(AI150-AD150)/AD150</f>
        <v/>
      </c>
      <c r="AL150" s="80">
        <f>AJ150/AG150</f>
        <v/>
      </c>
      <c r="AM150" s="503" t="n"/>
      <c r="AN150" s="83" t="n"/>
      <c r="AO150" s="494" t="n"/>
      <c r="AP150" s="494" t="n"/>
      <c r="AQ150" s="494" t="n"/>
      <c r="AR150" s="494" t="n"/>
      <c r="AS150" s="494" t="n"/>
      <c r="AT150" s="494" t="n"/>
      <c r="AU150" s="494" t="n"/>
      <c r="AV150" s="494" t="inlineStr">
        <is>
          <t>2. 각 단지들 투자하기 좋았던 시기 기록 (전세가율 80% 이상인 시기, 투자기회를 얼마나 주었는가?)</t>
        </is>
      </c>
      <c r="AW150" s="494" t="n"/>
      <c r="AX150" s="494" t="n"/>
      <c r="AY150" s="494" t="n"/>
    </row>
    <row r="151" ht="16" customHeight="1" s="476" thickBot="1">
      <c r="A151" s="458" t="inlineStr">
        <is>
          <t>구성동</t>
        </is>
      </c>
      <c r="B151" s="159" t="n"/>
      <c r="C151" s="159" t="n"/>
      <c r="D151" s="458" t="n">
        <v>17369</v>
      </c>
      <c r="E151" s="103" t="inlineStr">
        <is>
          <t>신성천안미소지움</t>
        </is>
      </c>
      <c r="F151" s="458" t="n">
        <v>2006.05</v>
      </c>
      <c r="G151" s="458" t="n">
        <v>1029</v>
      </c>
      <c r="H151" s="458">
        <f>2026-F151+1</f>
        <v/>
      </c>
      <c r="I151" s="458" t="inlineStr">
        <is>
          <t>143</t>
        </is>
      </c>
      <c r="J151" s="458" t="n">
        <v>143</v>
      </c>
      <c r="K151" s="458" t="n">
        <v>115</v>
      </c>
      <c r="L151" s="458" t="n">
        <v>43</v>
      </c>
      <c r="M151" s="458" t="inlineStr">
        <is>
          <t>계단식</t>
        </is>
      </c>
      <c r="N151" s="458" t="n">
        <v>4</v>
      </c>
      <c r="O151" s="458" t="n">
        <v>2</v>
      </c>
      <c r="P151" s="458" t="n">
        <v>60</v>
      </c>
      <c r="Q151" s="599" t="n"/>
      <c r="R151" s="605" t="inlineStr">
        <is>
          <t>-</t>
        </is>
      </c>
      <c r="S151" s="581">
        <f>Q151-R151</f>
        <v/>
      </c>
      <c r="T151" s="71">
        <f>R151/Q151</f>
        <v/>
      </c>
      <c r="U151" s="600" t="n">
        <v>24500</v>
      </c>
      <c r="V151" s="601" t="n"/>
      <c r="W151" s="458" t="inlineStr">
        <is>
          <t>계단식</t>
        </is>
      </c>
      <c r="X151" s="458" t="n">
        <v>4</v>
      </c>
      <c r="Y151" s="458" t="n">
        <v>2</v>
      </c>
      <c r="Z151" s="458" t="n">
        <v>60</v>
      </c>
      <c r="AA151" s="458" t="n">
        <v>2019.06</v>
      </c>
      <c r="AB151" s="458" t="n">
        <v>0.01</v>
      </c>
      <c r="AC151" s="37">
        <f>L151</f>
        <v/>
      </c>
      <c r="AD151" s="583" t="n">
        <v>22500</v>
      </c>
      <c r="AE151" s="583" t="n">
        <v>18000</v>
      </c>
      <c r="AF151" s="38">
        <f>AE151/AD151</f>
        <v/>
      </c>
      <c r="AG151" s="39">
        <f>AD151-AE151</f>
        <v/>
      </c>
      <c r="AH151" s="11" t="n">
        <v>2026.04</v>
      </c>
      <c r="AI151" s="458" t="n"/>
      <c r="AJ151" s="458">
        <f>AI151-AD151</f>
        <v/>
      </c>
      <c r="AK151" s="129">
        <f>(AI151-AD151)/AD151</f>
        <v/>
      </c>
      <c r="AL151" s="29">
        <f>AJ151/AG151</f>
        <v/>
      </c>
      <c r="AM151" s="236" t="n"/>
      <c r="AO151" s="458" t="n"/>
      <c r="AP151" s="458" t="n"/>
      <c r="AQ151" s="458" t="n"/>
      <c r="AR151" s="458" t="n"/>
      <c r="AS151" s="458" t="n"/>
      <c r="AT151" s="458" t="n"/>
      <c r="AU151" s="458" t="n"/>
      <c r="AW151" s="458" t="n"/>
      <c r="AX151" s="458" t="n"/>
      <c r="AY151" s="458" t="n"/>
    </row>
    <row r="152" ht="15.5" customHeight="1" s="476">
      <c r="A152" s="494" t="inlineStr">
        <is>
          <t>목천읍</t>
        </is>
      </c>
      <c r="B152" s="132" t="n"/>
      <c r="C152" s="132" t="n"/>
      <c r="D152" s="494" t="n">
        <v>13468</v>
      </c>
      <c r="E152" s="133" t="inlineStr">
        <is>
          <t>목천신도브래뉴2차</t>
        </is>
      </c>
      <c r="F152" s="494" t="n">
        <v>2005.06</v>
      </c>
      <c r="G152" s="494" t="n">
        <v>957</v>
      </c>
      <c r="H152" s="494">
        <f>2026-F152+1</f>
        <v/>
      </c>
      <c r="I152" s="494" t="inlineStr">
        <is>
          <t>95</t>
        </is>
      </c>
      <c r="J152" s="494" t="n">
        <v>95</v>
      </c>
      <c r="K152" s="494" t="n">
        <v>74</v>
      </c>
      <c r="L152" s="494" t="n">
        <v>29</v>
      </c>
      <c r="M152" s="494" t="inlineStr">
        <is>
          <t>계단식</t>
        </is>
      </c>
      <c r="N152" s="494" t="n">
        <v>3</v>
      </c>
      <c r="O152" s="494" t="n">
        <v>2</v>
      </c>
      <c r="P152" s="494" t="n">
        <v>90</v>
      </c>
      <c r="Q152" s="105" t="n"/>
      <c r="R152" s="157" t="inlineStr">
        <is>
          <t>-</t>
        </is>
      </c>
      <c r="S152" s="581">
        <f>Q152-R152</f>
        <v/>
      </c>
      <c r="T152" s="71">
        <f>R152/Q152</f>
        <v/>
      </c>
      <c r="U152" s="606" t="n">
        <v>19800</v>
      </c>
      <c r="V152" s="607" t="n">
        <v>15600</v>
      </c>
      <c r="W152" s="458" t="inlineStr">
        <is>
          <t>계단식</t>
        </is>
      </c>
      <c r="X152" s="458" t="n">
        <v>3</v>
      </c>
      <c r="Y152" s="458" t="n">
        <v>2</v>
      </c>
      <c r="Z152" s="458" t="n">
        <v>90</v>
      </c>
      <c r="AA152" s="132" t="n"/>
      <c r="AB152" s="132" t="n"/>
      <c r="AC152" s="77">
        <f>L152</f>
        <v/>
      </c>
      <c r="AD152" s="586" t="n"/>
      <c r="AE152" s="586" t="n"/>
      <c r="AF152" s="78">
        <f>AE152/AD152</f>
        <v/>
      </c>
      <c r="AG152" s="79">
        <f>AD152-AE152</f>
        <v/>
      </c>
      <c r="AH152" s="110" t="n">
        <v>2026.04</v>
      </c>
      <c r="AI152" s="494" t="n"/>
      <c r="AJ152" s="494">
        <f>AI152-AD152</f>
        <v/>
      </c>
      <c r="AK152" s="129">
        <f>(AI152-AD152)/AD152</f>
        <v/>
      </c>
      <c r="AL152" s="80">
        <f>AJ152/AG152</f>
        <v/>
      </c>
      <c r="AM152" s="503" t="n"/>
      <c r="AN152" s="81" t="n"/>
      <c r="AO152" s="494" t="n"/>
      <c r="AP152" s="494" t="n"/>
      <c r="AQ152" s="494" t="n"/>
      <c r="AR152" s="494" t="n"/>
      <c r="AS152" s="494" t="n"/>
      <c r="AT152" s="494" t="n"/>
      <c r="AU152" s="494" t="n"/>
      <c r="AV152" s="289" t="n"/>
      <c r="AW152" s="494" t="n"/>
      <c r="AX152" s="494" t="n"/>
      <c r="AY152" s="494" t="n"/>
    </row>
    <row r="153" ht="15.5" customHeight="1" s="476">
      <c r="A153" s="494" t="inlineStr">
        <is>
          <t>문화동</t>
        </is>
      </c>
      <c r="B153" s="289" t="n"/>
      <c r="C153" s="289" t="n"/>
      <c r="D153" s="494" t="n">
        <v>126749</v>
      </c>
      <c r="E153" s="133" t="inlineStr">
        <is>
          <t>천안역필하우스에듀시티1단지</t>
        </is>
      </c>
      <c r="F153" s="494" t="n">
        <v>2022.04</v>
      </c>
      <c r="G153" s="494" t="n">
        <v>1532</v>
      </c>
      <c r="H153" s="494">
        <f>2026-F153+1</f>
        <v/>
      </c>
      <c r="I153" s="494" t="inlineStr">
        <is>
          <t>140</t>
        </is>
      </c>
      <c r="J153" s="494" t="n">
        <v>140</v>
      </c>
      <c r="K153" s="494" t="n">
        <v>114</v>
      </c>
      <c r="L153" s="494" t="n">
        <v>42</v>
      </c>
      <c r="M153" s="494" t="inlineStr">
        <is>
          <t>계단식</t>
        </is>
      </c>
      <c r="N153" s="494" t="n">
        <v>4</v>
      </c>
      <c r="O153" s="494" t="n">
        <v>2</v>
      </c>
      <c r="P153" s="494" t="n">
        <v>74</v>
      </c>
      <c r="Q153" s="584" t="n"/>
      <c r="R153" s="592" t="inlineStr">
        <is>
          <t>-</t>
        </is>
      </c>
      <c r="S153" s="581">
        <f>Q153-R153</f>
        <v/>
      </c>
      <c r="T153" s="71">
        <f>R153/Q153</f>
        <v/>
      </c>
      <c r="U153" s="585" t="n"/>
      <c r="V153" s="598" t="n">
        <v>55000</v>
      </c>
      <c r="W153" s="458" t="inlineStr">
        <is>
          <t>계단식</t>
        </is>
      </c>
      <c r="X153" s="458" t="n">
        <v>4</v>
      </c>
      <c r="Y153" s="458" t="n">
        <v>2</v>
      </c>
      <c r="Z153" s="458" t="n">
        <v>74</v>
      </c>
      <c r="AA153" s="132" t="n"/>
      <c r="AB153" s="132" t="n"/>
      <c r="AC153" s="77">
        <f>L153</f>
        <v/>
      </c>
      <c r="AD153" s="586" t="n"/>
      <c r="AE153" s="586" t="n"/>
      <c r="AF153" s="78">
        <f>AE153/AD153</f>
        <v/>
      </c>
      <c r="AG153" s="79">
        <f>AD153-AE153</f>
        <v/>
      </c>
      <c r="AH153" s="458" t="n">
        <v>2026.04</v>
      </c>
      <c r="AI153" s="458" t="n"/>
      <c r="AJ153" s="458">
        <f>AI153-AD153</f>
        <v/>
      </c>
      <c r="AK153" s="129">
        <f>(AI153-AD153)/AD153</f>
        <v/>
      </c>
      <c r="AL153" s="80">
        <f>AJ153/AG153</f>
        <v/>
      </c>
      <c r="AM153" s="503" t="n"/>
      <c r="AN153" s="81" t="n"/>
      <c r="AO153" s="458" t="n"/>
      <c r="AP153" s="458" t="n"/>
      <c r="AQ153" s="458" t="n"/>
      <c r="AR153" s="458" t="n"/>
      <c r="AS153" s="458" t="n"/>
      <c r="AT153" s="458" t="n"/>
      <c r="AU153" s="458" t="n"/>
      <c r="AV153" s="494" t="n"/>
      <c r="AW153" s="458" t="n"/>
      <c r="AX153" s="458" t="n"/>
      <c r="AY153" s="458" t="n"/>
    </row>
    <row r="154" ht="15.5" customHeight="1" s="476">
      <c r="A154" s="494" t="inlineStr">
        <is>
          <t>병천면</t>
        </is>
      </c>
      <c r="B154" s="88" t="n"/>
      <c r="C154" s="89" t="n"/>
      <c r="D154" s="494" t="n">
        <v>26333</v>
      </c>
      <c r="E154" s="133" t="inlineStr">
        <is>
          <t>신한</t>
        </is>
      </c>
      <c r="F154" s="494" t="n">
        <v>1997.02</v>
      </c>
      <c r="G154" s="494" t="n">
        <v>474</v>
      </c>
      <c r="H154" s="494">
        <f>2026-F154+1</f>
        <v/>
      </c>
      <c r="I154" s="494" t="inlineStr">
        <is>
          <t>55</t>
        </is>
      </c>
      <c r="J154" s="494" t="n">
        <v>55</v>
      </c>
      <c r="K154" s="494" t="n">
        <v>38</v>
      </c>
      <c r="L154" s="494" t="n">
        <v>17</v>
      </c>
      <c r="M154" s="494" t="inlineStr">
        <is>
          <t>복도식</t>
        </is>
      </c>
      <c r="N154" s="494" t="n">
        <v>2</v>
      </c>
      <c r="O154" s="494" t="n">
        <v>1</v>
      </c>
      <c r="P154" s="494" t="n">
        <v>234</v>
      </c>
      <c r="Q154" s="584" t="n"/>
      <c r="R154" s="592" t="inlineStr">
        <is>
          <t>-</t>
        </is>
      </c>
      <c r="S154" s="581">
        <f>Q154-R154</f>
        <v/>
      </c>
      <c r="T154" s="71">
        <f>R154/Q154</f>
        <v/>
      </c>
      <c r="U154" s="585" t="n">
        <v>4900</v>
      </c>
      <c r="V154" s="598" t="n">
        <v>4900</v>
      </c>
      <c r="W154" s="458" t="inlineStr">
        <is>
          <t>복도식</t>
        </is>
      </c>
      <c r="X154" s="458" t="n">
        <v>2</v>
      </c>
      <c r="Y154" s="458" t="n">
        <v>1</v>
      </c>
      <c r="Z154" s="458" t="n">
        <v>234</v>
      </c>
      <c r="AA154" s="141" t="n"/>
      <c r="AB154" s="132" t="n"/>
      <c r="AC154" s="77">
        <f>L154</f>
        <v/>
      </c>
      <c r="AD154" s="586" t="n"/>
      <c r="AE154" s="586" t="n"/>
      <c r="AF154" s="78">
        <f>AE154/AD154</f>
        <v/>
      </c>
      <c r="AG154" s="79">
        <f>AD154-AE154</f>
        <v/>
      </c>
      <c r="AH154" s="458" t="n">
        <v>2026.04</v>
      </c>
      <c r="AI154" s="509" t="n"/>
      <c r="AJ154" s="509">
        <f>AI154-AD154</f>
        <v/>
      </c>
      <c r="AK154" s="129">
        <f>(AI154-AD154)/AD154</f>
        <v/>
      </c>
      <c r="AL154" s="80">
        <f>AJ154/AG154</f>
        <v/>
      </c>
      <c r="AM154" s="503" t="n"/>
      <c r="AN154" s="289" t="n"/>
      <c r="AO154" s="458" t="n"/>
      <c r="AP154" s="458" t="n"/>
      <c r="AQ154" s="458" t="n"/>
      <c r="AR154" s="458" t="n"/>
      <c r="AS154" s="458" t="n"/>
      <c r="AT154" s="458" t="n"/>
      <c r="AU154" s="458" t="n"/>
      <c r="AV154" s="289" t="n"/>
      <c r="AW154" s="458" t="n"/>
      <c r="AX154" s="458" t="n"/>
      <c r="AY154" s="458" t="n"/>
    </row>
    <row r="155" ht="16" customHeight="1" s="476" thickBot="1">
      <c r="A155" s="494" t="inlineStr">
        <is>
          <t>병천면</t>
        </is>
      </c>
      <c r="B155" s="88" t="n"/>
      <c r="C155" s="89" t="n"/>
      <c r="D155" s="494" t="n">
        <v>26333</v>
      </c>
      <c r="E155" s="133" t="inlineStr">
        <is>
          <t>신한</t>
        </is>
      </c>
      <c r="F155" s="494" t="n">
        <v>1997.02</v>
      </c>
      <c r="G155" s="494" t="n">
        <v>474</v>
      </c>
      <c r="H155" s="494">
        <f>2026-F155+1</f>
        <v/>
      </c>
      <c r="I155" s="494" t="inlineStr">
        <is>
          <t>60</t>
        </is>
      </c>
      <c r="J155" s="494" t="n">
        <v>60</v>
      </c>
      <c r="K155" s="494" t="n">
        <v>42</v>
      </c>
      <c r="L155" s="494" t="n">
        <v>18</v>
      </c>
      <c r="M155" s="494" t="inlineStr">
        <is>
          <t>복도식</t>
        </is>
      </c>
      <c r="N155" s="494" t="n">
        <v>2</v>
      </c>
      <c r="O155" s="494" t="n">
        <v>1</v>
      </c>
      <c r="P155" s="494" t="n">
        <v>180</v>
      </c>
      <c r="Q155" s="608" t="n"/>
      <c r="R155" s="609" t="inlineStr">
        <is>
          <t>-</t>
        </is>
      </c>
      <c r="S155" s="581">
        <f>Q155-R155</f>
        <v/>
      </c>
      <c r="T155" s="71">
        <f>R155/Q155</f>
        <v/>
      </c>
      <c r="U155" s="610" t="n">
        <v>5300</v>
      </c>
      <c r="V155" s="611" t="n">
        <v>4900</v>
      </c>
      <c r="W155" s="458" t="inlineStr">
        <is>
          <t>복도식</t>
        </is>
      </c>
      <c r="X155" s="458" t="n">
        <v>2</v>
      </c>
      <c r="Y155" s="458" t="n">
        <v>1</v>
      </c>
      <c r="Z155" s="458" t="n">
        <v>180</v>
      </c>
      <c r="AA155" s="141" t="n"/>
      <c r="AB155" s="132" t="n"/>
      <c r="AC155" s="77">
        <f>L155</f>
        <v/>
      </c>
      <c r="AD155" s="586" t="n"/>
      <c r="AE155" s="586" t="n"/>
      <c r="AF155" s="78">
        <f>AE155/AD155</f>
        <v/>
      </c>
      <c r="AG155" s="79">
        <f>AD155-AE155</f>
        <v/>
      </c>
      <c r="AH155" s="458" t="n">
        <v>2026.04</v>
      </c>
      <c r="AI155" s="509" t="n"/>
      <c r="AJ155" s="509">
        <f>AI155-AD155</f>
        <v/>
      </c>
      <c r="AK155" s="129">
        <f>(AI155-AD155)/AD155</f>
        <v/>
      </c>
      <c r="AL155" s="80">
        <f>AJ155/AG155</f>
        <v/>
      </c>
      <c r="AM155" s="503" t="n"/>
      <c r="AN155" s="289" t="n"/>
      <c r="AV155" s="289" t="n"/>
    </row>
    <row r="156" ht="15.5" customHeight="1" s="476">
      <c r="A156" s="494" t="inlineStr">
        <is>
          <t>병천면</t>
        </is>
      </c>
      <c r="B156" s="88" t="n"/>
      <c r="C156" s="89" t="n"/>
      <c r="D156" s="494" t="n">
        <v>26333</v>
      </c>
      <c r="E156" s="133" t="inlineStr">
        <is>
          <t>신한</t>
        </is>
      </c>
      <c r="F156" s="494" t="n">
        <v>1997.02</v>
      </c>
      <c r="G156" s="494" t="n">
        <v>474</v>
      </c>
      <c r="H156" s="494">
        <f>2026-F156+1</f>
        <v/>
      </c>
      <c r="I156" s="494" t="inlineStr">
        <is>
          <t>72</t>
        </is>
      </c>
      <c r="J156" s="494" t="n">
        <v>72</v>
      </c>
      <c r="K156" s="494" t="n">
        <v>49</v>
      </c>
      <c r="L156" s="494" t="n">
        <v>22</v>
      </c>
      <c r="M156" s="494" t="inlineStr">
        <is>
          <t>계단식</t>
        </is>
      </c>
      <c r="N156" s="494" t="n">
        <v>3</v>
      </c>
      <c r="O156" s="494" t="n">
        <v>1</v>
      </c>
      <c r="P156" s="494" t="n">
        <v>60</v>
      </c>
      <c r="Q156" s="612" t="n"/>
      <c r="R156" s="613" t="inlineStr">
        <is>
          <t>-</t>
        </is>
      </c>
      <c r="S156" s="581">
        <f>Q156-R156</f>
        <v/>
      </c>
      <c r="T156" s="71">
        <f>R156/Q156</f>
        <v/>
      </c>
      <c r="U156" s="606" t="n">
        <v>7000</v>
      </c>
      <c r="V156" s="607" t="n">
        <v>6400</v>
      </c>
      <c r="W156" s="458" t="inlineStr">
        <is>
          <t>계단식</t>
        </is>
      </c>
      <c r="X156" s="458" t="n">
        <v>3</v>
      </c>
      <c r="Y156" s="458" t="n">
        <v>1</v>
      </c>
      <c r="Z156" s="458" t="n">
        <v>60</v>
      </c>
      <c r="AA156" s="132" t="n"/>
      <c r="AB156" s="132" t="n"/>
      <c r="AC156" s="77">
        <f>L156</f>
        <v/>
      </c>
      <c r="AD156" s="586" t="n"/>
      <c r="AE156" s="586" t="n"/>
      <c r="AF156" s="78">
        <f>AE156/AD156</f>
        <v/>
      </c>
      <c r="AG156" s="79">
        <f>AD156-AE156</f>
        <v/>
      </c>
      <c r="AH156" s="458" t="n">
        <v>2026.04</v>
      </c>
      <c r="AI156" s="458" t="n"/>
      <c r="AJ156" s="458">
        <f>AI156-AD156</f>
        <v/>
      </c>
      <c r="AK156" s="129">
        <f>(AI156-AD156)/AD156</f>
        <v/>
      </c>
      <c r="AL156" s="80">
        <f>AJ156/AG156</f>
        <v/>
      </c>
      <c r="AM156" s="503" t="n"/>
      <c r="AN156" s="289" t="n"/>
      <c r="AV156" s="494">
        <f t="array" ref="AV156">- 그래프 캡쳐 대신 엑셀도 활용 가능</f>
        <v/>
      </c>
    </row>
    <row r="157" ht="15.5" customHeight="1" s="476">
      <c r="A157" s="458" t="inlineStr">
        <is>
          <t>병천면</t>
        </is>
      </c>
      <c r="B157" s="159" t="n"/>
      <c r="C157" s="159" t="n"/>
      <c r="D157" s="458" t="n">
        <v>130948</v>
      </c>
      <c r="E157" s="146" t="inlineStr">
        <is>
          <t>부경2단지</t>
        </is>
      </c>
      <c r="F157" s="458" t="n">
        <v>2018.07</v>
      </c>
      <c r="G157" s="458" t="n">
        <v>496</v>
      </c>
      <c r="H157" s="458">
        <f>2026-F157+1</f>
        <v/>
      </c>
      <c r="I157" s="458" t="inlineStr">
        <is>
          <t>52</t>
        </is>
      </c>
      <c r="J157" s="458" t="n">
        <v>52</v>
      </c>
      <c r="K157" s="458" t="n">
        <v>39</v>
      </c>
      <c r="L157" s="458" t="n">
        <v>16</v>
      </c>
      <c r="M157" s="458" t="inlineStr">
        <is>
          <t>계단식</t>
        </is>
      </c>
      <c r="N157" s="458" t="n">
        <v>2</v>
      </c>
      <c r="O157" s="458" t="n">
        <v>1</v>
      </c>
      <c r="P157" s="458" t="n">
        <v>432</v>
      </c>
      <c r="Q157" s="587" t="n"/>
      <c r="R157" s="593" t="inlineStr">
        <is>
          <t>-</t>
        </is>
      </c>
      <c r="S157" s="581">
        <f>Q157-R157</f>
        <v/>
      </c>
      <c r="T157" s="71">
        <f>R157/Q157</f>
        <v/>
      </c>
      <c r="U157" s="588" t="n"/>
      <c r="V157" s="614" t="n"/>
      <c r="W157" s="458" t="inlineStr">
        <is>
          <t>계단식</t>
        </is>
      </c>
      <c r="X157" s="458" t="n">
        <v>2</v>
      </c>
      <c r="Y157" s="458" t="n">
        <v>1</v>
      </c>
      <c r="Z157" s="458" t="n">
        <v>432</v>
      </c>
      <c r="AC157" s="37">
        <f>L157</f>
        <v/>
      </c>
      <c r="AD157" s="583" t="n"/>
      <c r="AE157" s="583" t="n"/>
      <c r="AF157" s="38">
        <f>AE157/AD157</f>
        <v/>
      </c>
      <c r="AG157" s="39">
        <f>AD157-AE157</f>
        <v/>
      </c>
      <c r="AH157" s="458" t="n">
        <v>2026.04</v>
      </c>
      <c r="AI157" s="458" t="n"/>
      <c r="AJ157" s="458">
        <f>AI157-AD157</f>
        <v/>
      </c>
      <c r="AK157" s="129">
        <f>(AI157-AD157)/AD157</f>
        <v/>
      </c>
      <c r="AL157" s="29">
        <f>AJ157/AG157</f>
        <v/>
      </c>
      <c r="AM157" s="236" t="n"/>
      <c r="AO157" s="458" t="n"/>
      <c r="AP157" s="458" t="n"/>
      <c r="AQ157" s="458" t="n"/>
      <c r="AR157" s="458" t="n"/>
      <c r="AS157" s="458" t="n"/>
      <c r="AT157" s="458" t="n"/>
      <c r="AU157" s="458" t="n"/>
      <c r="AW157" s="458" t="n"/>
      <c r="AX157" s="458" t="n"/>
      <c r="AY157" s="458" t="n"/>
    </row>
    <row r="158" ht="15.5" customHeight="1" s="476">
      <c r="A158" s="458" t="inlineStr">
        <is>
          <t>병천면</t>
        </is>
      </c>
      <c r="B158" s="159" t="n"/>
      <c r="C158" s="159" t="n"/>
      <c r="D158" s="458" t="n">
        <v>130948</v>
      </c>
      <c r="E158" s="146" t="inlineStr">
        <is>
          <t>부경2단지</t>
        </is>
      </c>
      <c r="F158" s="458" t="n">
        <v>2018.07</v>
      </c>
      <c r="G158" s="458" t="n">
        <v>496</v>
      </c>
      <c r="H158" s="458">
        <f>2026-F158+1</f>
        <v/>
      </c>
      <c r="I158" s="458" t="inlineStr">
        <is>
          <t>73</t>
        </is>
      </c>
      <c r="J158" s="458" t="n">
        <v>73</v>
      </c>
      <c r="K158" s="458" t="n">
        <v>55</v>
      </c>
      <c r="L158" s="458" t="n">
        <v>22</v>
      </c>
      <c r="M158" s="458" t="inlineStr">
        <is>
          <t>계단식</t>
        </is>
      </c>
      <c r="N158" s="458" t="n">
        <v>2</v>
      </c>
      <c r="O158" s="458" t="n">
        <v>2</v>
      </c>
      <c r="P158" s="458" t="n">
        <v>64</v>
      </c>
      <c r="Q158" s="587" t="n"/>
      <c r="R158" s="593" t="inlineStr">
        <is>
          <t>-</t>
        </is>
      </c>
      <c r="S158" s="581">
        <f>Q158-R158</f>
        <v/>
      </c>
      <c r="T158" s="71">
        <f>R158/Q158</f>
        <v/>
      </c>
      <c r="U158" s="588" t="n"/>
      <c r="V158" s="614" t="n"/>
      <c r="W158" s="458" t="inlineStr">
        <is>
          <t>계단식</t>
        </is>
      </c>
      <c r="X158" s="458" t="n">
        <v>2</v>
      </c>
      <c r="Y158" s="458" t="n">
        <v>2</v>
      </c>
      <c r="Z158" s="458" t="n">
        <v>64</v>
      </c>
      <c r="AA158" s="225" t="n"/>
      <c r="AC158" s="37">
        <f>L158</f>
        <v/>
      </c>
      <c r="AD158" s="583" t="n"/>
      <c r="AE158" s="583" t="n"/>
      <c r="AF158" s="38">
        <f>AE158/AD158</f>
        <v/>
      </c>
      <c r="AG158" s="39">
        <f>AD158-AE158</f>
        <v/>
      </c>
      <c r="AH158" s="458" t="n">
        <v>2026.04</v>
      </c>
      <c r="AI158" s="509" t="n"/>
      <c r="AJ158" s="509">
        <f>AI158-AD158</f>
        <v/>
      </c>
      <c r="AK158" s="129">
        <f>(AI158-AD158)/AD158</f>
        <v/>
      </c>
      <c r="AL158" s="29">
        <f>AJ158/AG158</f>
        <v/>
      </c>
      <c r="AM158" s="236" t="n"/>
    </row>
    <row r="159" ht="16" customHeight="1" s="476" thickBot="1">
      <c r="A159" s="494" t="inlineStr">
        <is>
          <t>봉명동</t>
        </is>
      </c>
      <c r="B159" s="88" t="n"/>
      <c r="C159" s="89" t="n"/>
      <c r="D159" s="494" t="n">
        <v>113728</v>
      </c>
      <c r="E159" s="133" t="inlineStr">
        <is>
          <t>봉서산아이파크</t>
        </is>
      </c>
      <c r="F159" s="494" t="n">
        <v>2018.1</v>
      </c>
      <c r="G159" s="494" t="n">
        <v>665</v>
      </c>
      <c r="H159" s="494">
        <f>2026-F159+1</f>
        <v/>
      </c>
      <c r="I159" s="494" t="inlineStr">
        <is>
          <t>72</t>
        </is>
      </c>
      <c r="J159" s="494" t="n">
        <v>72</v>
      </c>
      <c r="K159" s="494" t="n">
        <v>49</v>
      </c>
      <c r="L159" s="494" t="n">
        <v>22</v>
      </c>
      <c r="M159" s="494" t="inlineStr">
        <is>
          <t>계단식</t>
        </is>
      </c>
      <c r="N159" s="494" t="n">
        <v>2</v>
      </c>
      <c r="O159" s="494" t="n">
        <v>1</v>
      </c>
      <c r="P159" s="494" t="n">
        <v>27</v>
      </c>
      <c r="Q159" s="615" t="n"/>
      <c r="R159" s="616" t="inlineStr">
        <is>
          <t>-</t>
        </is>
      </c>
      <c r="S159" s="581">
        <f>Q159-R159</f>
        <v/>
      </c>
      <c r="T159" s="71">
        <f>R159/Q159</f>
        <v/>
      </c>
      <c r="U159" s="617" t="n">
        <v>26200</v>
      </c>
      <c r="V159" s="618" t="n">
        <v>22900</v>
      </c>
      <c r="W159" s="458" t="inlineStr">
        <is>
          <t>계단식</t>
        </is>
      </c>
      <c r="X159" s="458" t="n">
        <v>2</v>
      </c>
      <c r="Y159" s="458" t="n">
        <v>1</v>
      </c>
      <c r="Z159" s="458" t="n">
        <v>27</v>
      </c>
      <c r="AA159" s="289" t="n"/>
      <c r="AB159" s="289" t="n"/>
      <c r="AC159" s="77">
        <f>L159</f>
        <v/>
      </c>
      <c r="AD159" s="586" t="n"/>
      <c r="AE159" s="586" t="n"/>
      <c r="AF159" s="78">
        <f>AE159/AD159</f>
        <v/>
      </c>
      <c r="AG159" s="79">
        <f>AD159-AE159</f>
        <v/>
      </c>
      <c r="AH159" s="458" t="n">
        <v>2026.04</v>
      </c>
      <c r="AI159" s="458" t="n"/>
      <c r="AJ159" s="458">
        <f>AI159-AD159</f>
        <v/>
      </c>
      <c r="AK159" s="129">
        <f>(AI159-AD159)/AD159</f>
        <v/>
      </c>
      <c r="AL159" s="80">
        <f>AJ159/AG159</f>
        <v/>
      </c>
      <c r="AM159" s="503" t="n"/>
      <c r="AN159" s="289" t="n"/>
      <c r="AV159" s="289" t="n"/>
    </row>
    <row r="160" ht="15.5" customHeight="1" s="476">
      <c r="A160" s="494" t="inlineStr">
        <is>
          <t>봉명동</t>
        </is>
      </c>
      <c r="B160" s="88" t="n"/>
      <c r="C160" s="89" t="n"/>
      <c r="D160" s="494" t="n">
        <v>113728</v>
      </c>
      <c r="E160" s="133" t="inlineStr">
        <is>
          <t>봉서산아이파크</t>
        </is>
      </c>
      <c r="F160" s="494" t="n">
        <v>2018.1</v>
      </c>
      <c r="G160" s="494" t="n">
        <v>665</v>
      </c>
      <c r="H160" s="494">
        <f>2026-F160+1</f>
        <v/>
      </c>
      <c r="I160" s="494" t="inlineStr">
        <is>
          <t>143</t>
        </is>
      </c>
      <c r="J160" s="494" t="n">
        <v>143</v>
      </c>
      <c r="K160" s="494" t="n">
        <v>109</v>
      </c>
      <c r="L160" s="494" t="n">
        <v>43</v>
      </c>
      <c r="M160" s="494" t="inlineStr">
        <is>
          <t>계단식</t>
        </is>
      </c>
      <c r="N160" s="494" t="n">
        <v>4</v>
      </c>
      <c r="O160" s="494" t="n">
        <v>2</v>
      </c>
      <c r="P160" s="494" t="n">
        <v>67</v>
      </c>
      <c r="Q160" s="612" t="n"/>
      <c r="R160" s="613" t="inlineStr">
        <is>
          <t>-</t>
        </is>
      </c>
      <c r="S160" s="581">
        <f>Q160-R160</f>
        <v/>
      </c>
      <c r="T160" s="71">
        <f>R160/Q160</f>
        <v/>
      </c>
      <c r="U160" s="606" t="n">
        <v>65000</v>
      </c>
      <c r="V160" s="607" t="n"/>
      <c r="W160" s="458" t="inlineStr">
        <is>
          <t>계단식</t>
        </is>
      </c>
      <c r="X160" s="458" t="n">
        <v>4</v>
      </c>
      <c r="Y160" s="458" t="n">
        <v>2</v>
      </c>
      <c r="Z160" s="458" t="n">
        <v>67</v>
      </c>
      <c r="AA160" s="289" t="n"/>
      <c r="AB160" s="289" t="n"/>
      <c r="AC160" s="77">
        <f>L160</f>
        <v/>
      </c>
      <c r="AD160" s="586" t="n"/>
      <c r="AE160" s="586" t="n"/>
      <c r="AF160" s="78">
        <f>AE160/AD160</f>
        <v/>
      </c>
      <c r="AG160" s="79">
        <f>AD160-AE160</f>
        <v/>
      </c>
      <c r="AH160" s="458" t="n">
        <v>2026.04</v>
      </c>
      <c r="AI160" s="458" t="n"/>
      <c r="AJ160" s="458">
        <f>AI160-AD160</f>
        <v/>
      </c>
      <c r="AK160" s="129">
        <f>(AI160-AD160)/AD160</f>
        <v/>
      </c>
      <c r="AL160" s="80">
        <f>AJ160/AG160</f>
        <v/>
      </c>
      <c r="AM160" s="503" t="n"/>
      <c r="AN160" s="289" t="n"/>
      <c r="AO160" s="458" t="n"/>
      <c r="AP160" s="458" t="n"/>
      <c r="AQ160" s="458" t="n"/>
      <c r="AR160" s="458" t="n"/>
      <c r="AS160" s="458" t="n"/>
      <c r="AT160" s="458" t="n"/>
      <c r="AU160" s="458" t="n"/>
      <c r="AV160" s="289" t="n"/>
      <c r="AW160" s="458" t="n"/>
      <c r="AX160" s="458" t="n"/>
      <c r="AY160" s="458" t="n"/>
    </row>
    <row r="161" ht="15.5" customHeight="1" s="476">
      <c r="A161" s="494" t="inlineStr">
        <is>
          <t>봉명동</t>
        </is>
      </c>
      <c r="B161" s="88" t="n"/>
      <c r="C161" s="89" t="n"/>
      <c r="D161" s="494" t="n">
        <v>137226</v>
      </c>
      <c r="E161" s="133" t="inlineStr">
        <is>
          <t>봉명역센트럴시티</t>
        </is>
      </c>
      <c r="F161" s="494" t="n">
        <v>2025.01</v>
      </c>
      <c r="G161" s="494" t="n">
        <v>816</v>
      </c>
      <c r="H161" s="494">
        <f>2026-F161+1</f>
        <v/>
      </c>
      <c r="I161" s="494" t="inlineStr">
        <is>
          <t>151</t>
        </is>
      </c>
      <c r="J161" s="494" t="n">
        <v>151</v>
      </c>
      <c r="K161" s="494" t="n">
        <v>109</v>
      </c>
      <c r="L161" s="494" t="n">
        <v>46</v>
      </c>
      <c r="M161" s="494" t="inlineStr">
        <is>
          <t>계단식</t>
        </is>
      </c>
      <c r="N161" s="494" t="n">
        <v>4</v>
      </c>
      <c r="O161" s="494" t="n">
        <v>2</v>
      </c>
      <c r="P161" s="494" t="n">
        <v>5</v>
      </c>
      <c r="Q161" s="584" t="n"/>
      <c r="R161" s="592" t="inlineStr">
        <is>
          <t>-</t>
        </is>
      </c>
      <c r="S161" s="581">
        <f>Q161-R161</f>
        <v/>
      </c>
      <c r="T161" s="71">
        <f>R161/Q161</f>
        <v/>
      </c>
      <c r="U161" s="585" t="n"/>
      <c r="V161" s="598" t="n"/>
      <c r="W161" s="458" t="inlineStr">
        <is>
          <t>계단식</t>
        </is>
      </c>
      <c r="X161" s="458" t="n">
        <v>4</v>
      </c>
      <c r="Y161" s="458" t="n">
        <v>2</v>
      </c>
      <c r="Z161" s="458" t="n">
        <v>5</v>
      </c>
      <c r="AA161" s="289" t="n"/>
      <c r="AB161" s="289" t="n"/>
      <c r="AC161" s="77">
        <f>L161</f>
        <v/>
      </c>
      <c r="AD161" s="586" t="n"/>
      <c r="AE161" s="586" t="n"/>
      <c r="AF161" s="78">
        <f>AE161/AD161</f>
        <v/>
      </c>
      <c r="AG161" s="79">
        <f>AD161-AE161</f>
        <v/>
      </c>
      <c r="AH161" s="458" t="n">
        <v>2026.04</v>
      </c>
      <c r="AI161" s="458" t="n"/>
      <c r="AJ161" s="458">
        <f>AI161-AD161</f>
        <v/>
      </c>
      <c r="AK161" s="129">
        <f>(AI161-AD161)/AD161</f>
        <v/>
      </c>
      <c r="AL161" s="80">
        <f>AJ161/AG161</f>
        <v/>
      </c>
      <c r="AM161" s="503" t="n"/>
      <c r="AN161" s="289" t="n"/>
      <c r="AV161" s="289" t="n"/>
    </row>
    <row r="162" ht="15.5" customHeight="1" s="476">
      <c r="A162" s="494" t="inlineStr">
        <is>
          <t>봉명동</t>
        </is>
      </c>
      <c r="B162" s="289" t="n"/>
      <c r="C162" s="289" t="n"/>
      <c r="D162" s="494" t="n">
        <v>137226</v>
      </c>
      <c r="E162" s="133" t="inlineStr">
        <is>
          <t>봉명역센트럴시티</t>
        </is>
      </c>
      <c r="F162" s="494" t="n">
        <v>2025.01</v>
      </c>
      <c r="G162" s="494" t="n">
        <v>816</v>
      </c>
      <c r="H162" s="494">
        <f>2026-F162+1</f>
        <v/>
      </c>
      <c r="I162" s="494" t="inlineStr">
        <is>
          <t>172</t>
        </is>
      </c>
      <c r="J162" s="494" t="n">
        <v>172</v>
      </c>
      <c r="K162" s="494" t="n">
        <v>126</v>
      </c>
      <c r="L162" s="494" t="n">
        <v>52</v>
      </c>
      <c r="M162" s="494" t="inlineStr">
        <is>
          <t>계단식</t>
        </is>
      </c>
      <c r="N162" s="494" t="n">
        <v>5</v>
      </c>
      <c r="O162" s="494" t="n">
        <v>3</v>
      </c>
      <c r="P162" s="494" t="n">
        <v>4</v>
      </c>
      <c r="Q162" s="584" t="n"/>
      <c r="R162" s="592" t="inlineStr">
        <is>
          <t>-</t>
        </is>
      </c>
      <c r="S162" s="581">
        <f>Q162-R162</f>
        <v/>
      </c>
      <c r="T162" s="71">
        <f>R162/Q162</f>
        <v/>
      </c>
      <c r="U162" s="585" t="n"/>
      <c r="V162" s="598" t="n"/>
      <c r="W162" s="458" t="inlineStr">
        <is>
          <t>계단식</t>
        </is>
      </c>
      <c r="X162" s="458" t="n">
        <v>5</v>
      </c>
      <c r="Y162" s="458" t="n">
        <v>3</v>
      </c>
      <c r="Z162" s="458" t="n">
        <v>4</v>
      </c>
      <c r="AA162" s="289" t="n"/>
      <c r="AB162" s="289" t="n"/>
      <c r="AC162" s="77">
        <f>L162</f>
        <v/>
      </c>
      <c r="AD162" s="586" t="n"/>
      <c r="AE162" s="586" t="n"/>
      <c r="AF162" s="78">
        <f>AE162/AD162</f>
        <v/>
      </c>
      <c r="AG162" s="79">
        <f>AD162-AE162</f>
        <v/>
      </c>
      <c r="AH162" s="458" t="n">
        <v>2026.04</v>
      </c>
      <c r="AI162" s="458" t="n"/>
      <c r="AJ162" s="458">
        <f>AI162-AD162</f>
        <v/>
      </c>
      <c r="AK162" s="129">
        <f>(AI162-AD162)/AD162</f>
        <v/>
      </c>
      <c r="AL162" s="80">
        <f>AJ162/AG162</f>
        <v/>
      </c>
      <c r="AM162" s="503" t="n"/>
      <c r="AN162" s="289" t="n"/>
      <c r="AV162" s="289" t="n"/>
    </row>
    <row r="163" ht="15.5" customHeight="1" s="476">
      <c r="A163" s="494" t="inlineStr">
        <is>
          <t>봉명동</t>
        </is>
      </c>
      <c r="B163" s="289" t="n"/>
      <c r="C163" s="289" t="n"/>
      <c r="D163" s="494" t="n">
        <v>113728</v>
      </c>
      <c r="E163" s="133" t="inlineStr">
        <is>
          <t>봉서산아이파크</t>
        </is>
      </c>
      <c r="F163" s="494" t="n">
        <v>2018.1</v>
      </c>
      <c r="G163" s="494" t="n">
        <v>665</v>
      </c>
      <c r="H163" s="494">
        <f>2026-F163+1</f>
        <v/>
      </c>
      <c r="I163" s="494" t="inlineStr">
        <is>
          <t>58</t>
        </is>
      </c>
      <c r="J163" s="494" t="n">
        <v>58</v>
      </c>
      <c r="K163" s="494" t="n">
        <v>39</v>
      </c>
      <c r="L163" s="494" t="n">
        <v>18</v>
      </c>
      <c r="M163" s="494" t="inlineStr">
        <is>
          <t>계단식</t>
        </is>
      </c>
      <c r="N163" s="494" t="n">
        <v>1</v>
      </c>
      <c r="O163" s="494" t="n">
        <v>1</v>
      </c>
      <c r="P163" s="494" t="n">
        <v>25</v>
      </c>
      <c r="Q163" s="584" t="n"/>
      <c r="R163" s="592" t="inlineStr">
        <is>
          <t>-</t>
        </is>
      </c>
      <c r="S163" s="581">
        <f>Q163-R163</f>
        <v/>
      </c>
      <c r="T163" s="71">
        <f>R163/Q163</f>
        <v/>
      </c>
      <c r="U163" s="585" t="n">
        <v>19500</v>
      </c>
      <c r="V163" s="598" t="n">
        <v>15500</v>
      </c>
      <c r="W163" s="458" t="inlineStr">
        <is>
          <t>계단식</t>
        </is>
      </c>
      <c r="X163" s="458" t="n">
        <v>1</v>
      </c>
      <c r="Y163" s="458" t="n">
        <v>1</v>
      </c>
      <c r="Z163" s="458" t="n">
        <v>25</v>
      </c>
      <c r="AA163" s="289" t="n">
        <v>2022.08</v>
      </c>
      <c r="AB163" s="289" t="n">
        <v>0.06</v>
      </c>
      <c r="AC163" s="77">
        <f>L163</f>
        <v/>
      </c>
      <c r="AD163" s="586" t="n">
        <v>19500</v>
      </c>
      <c r="AE163" s="586" t="n">
        <v>16000</v>
      </c>
      <c r="AF163" s="78">
        <f>AE163/AD163</f>
        <v/>
      </c>
      <c r="AG163" s="79">
        <f>AD163-AE163</f>
        <v/>
      </c>
      <c r="AH163" s="458" t="n">
        <v>2026.04</v>
      </c>
      <c r="AI163" s="458" t="n"/>
      <c r="AJ163" s="458">
        <f>AI163-AD163</f>
        <v/>
      </c>
      <c r="AK163" s="129">
        <f>(AI163-AD163)/AD163</f>
        <v/>
      </c>
      <c r="AL163" s="80">
        <f>AJ163/AG163</f>
        <v/>
      </c>
      <c r="AM163" s="503" t="n"/>
      <c r="AN163" s="289" t="n"/>
      <c r="AO163" s="458" t="n"/>
      <c r="AP163" s="458" t="n"/>
      <c r="AQ163" s="458" t="n"/>
      <c r="AR163" s="458" t="n"/>
      <c r="AS163" s="458" t="n"/>
      <c r="AT163" s="458" t="n"/>
      <c r="AU163" s="458" t="n"/>
      <c r="AV163" s="289" t="n"/>
      <c r="AW163" s="458" t="n"/>
      <c r="AX163" s="458" t="n"/>
      <c r="AY163" s="458" t="n"/>
    </row>
    <row r="164" ht="15.5" customHeight="1" s="476">
      <c r="A164" s="458" t="inlineStr">
        <is>
          <t>북면</t>
        </is>
      </c>
      <c r="B164" s="159" t="n"/>
      <c r="C164" s="159" t="n"/>
      <c r="D164" s="458" t="n">
        <v>25001</v>
      </c>
      <c r="E164" s="146" t="inlineStr">
        <is>
          <t>중앙</t>
        </is>
      </c>
      <c r="F164" s="458" t="n">
        <v>1998.02</v>
      </c>
      <c r="G164" s="458" t="n">
        <v>924</v>
      </c>
      <c r="H164" s="458">
        <f>2026-F164+1</f>
        <v/>
      </c>
      <c r="I164" s="458" t="inlineStr">
        <is>
          <t>80</t>
        </is>
      </c>
      <c r="J164" s="458" t="n">
        <v>80</v>
      </c>
      <c r="K164" s="458" t="n">
        <v>55</v>
      </c>
      <c r="L164" s="458" t="n">
        <v>24</v>
      </c>
      <c r="M164" s="458" t="inlineStr">
        <is>
          <t>계단식</t>
        </is>
      </c>
      <c r="N164" s="458" t="n">
        <v>3</v>
      </c>
      <c r="O164" s="458" t="n">
        <v>1</v>
      </c>
      <c r="P164" s="458" t="n">
        <v>294</v>
      </c>
      <c r="Q164" s="587" t="n"/>
      <c r="R164" s="593" t="inlineStr">
        <is>
          <t>-</t>
        </is>
      </c>
      <c r="S164" s="581">
        <f>Q164-R164</f>
        <v/>
      </c>
      <c r="T164" s="71">
        <f>R164/Q164</f>
        <v/>
      </c>
      <c r="U164" s="588" t="n">
        <v>8100</v>
      </c>
      <c r="V164" s="614" t="n">
        <v>5000</v>
      </c>
      <c r="W164" s="458" t="inlineStr">
        <is>
          <t>계단식</t>
        </is>
      </c>
      <c r="X164" s="458" t="n">
        <v>3</v>
      </c>
      <c r="Y164" s="458" t="n">
        <v>1</v>
      </c>
      <c r="Z164" s="458" t="n">
        <v>294</v>
      </c>
      <c r="AC164" s="37">
        <f>L164</f>
        <v/>
      </c>
      <c r="AD164" s="583" t="n"/>
      <c r="AE164" s="583" t="n"/>
      <c r="AF164" s="38">
        <f>AE164/AD164</f>
        <v/>
      </c>
      <c r="AG164" s="39">
        <f>AD164-AE164</f>
        <v/>
      </c>
      <c r="AH164" s="458" t="n">
        <v>2026.04</v>
      </c>
      <c r="AI164" s="458" t="n"/>
      <c r="AJ164" s="458">
        <f>AI164-AD164</f>
        <v/>
      </c>
      <c r="AK164" s="129">
        <f>(AI164-AD164)/AD164</f>
        <v/>
      </c>
      <c r="AL164" s="29">
        <f>AJ164/AG164</f>
        <v/>
      </c>
      <c r="AM164" s="236" t="n"/>
      <c r="AO164" s="458" t="n"/>
      <c r="AP164" s="458" t="n"/>
      <c r="AQ164" s="458" t="n"/>
      <c r="AR164" s="458" t="n"/>
      <c r="AS164" s="458" t="n"/>
      <c r="AT164" s="458" t="n"/>
      <c r="AU164" s="458" t="n"/>
      <c r="AW164" s="458" t="n"/>
      <c r="AX164" s="458" t="n"/>
      <c r="AY164" s="458" t="n"/>
    </row>
    <row r="165" ht="15.5" customHeight="1" s="476">
      <c r="A165" s="458" t="inlineStr">
        <is>
          <t>북면</t>
        </is>
      </c>
      <c r="B165" s="159" t="n"/>
      <c r="C165" s="159" t="n"/>
      <c r="D165" s="458" t="n">
        <v>25001</v>
      </c>
      <c r="E165" s="146" t="inlineStr">
        <is>
          <t>중앙</t>
        </is>
      </c>
      <c r="F165" s="458" t="n">
        <v>1998.02</v>
      </c>
      <c r="G165" s="458" t="n">
        <v>924</v>
      </c>
      <c r="H165" s="458">
        <f>2026-F165+1</f>
        <v/>
      </c>
      <c r="I165" s="458" t="inlineStr">
        <is>
          <t>56</t>
        </is>
      </c>
      <c r="J165" s="458" t="n">
        <v>56</v>
      </c>
      <c r="K165" s="458" t="n">
        <v>39</v>
      </c>
      <c r="L165" s="458" t="n">
        <v>17</v>
      </c>
      <c r="M165" s="458" t="inlineStr">
        <is>
          <t>계단식</t>
        </is>
      </c>
      <c r="N165" s="458" t="n">
        <v>2</v>
      </c>
      <c r="O165" s="458" t="n">
        <v>1</v>
      </c>
      <c r="P165" s="458" t="n">
        <v>280</v>
      </c>
      <c r="Q165" s="587" t="n"/>
      <c r="R165" s="593" t="inlineStr">
        <is>
          <t>-</t>
        </is>
      </c>
      <c r="S165" s="581">
        <f>Q165-R165</f>
        <v/>
      </c>
      <c r="T165" s="71">
        <f>R165/Q165</f>
        <v/>
      </c>
      <c r="U165" s="588" t="n">
        <v>4500</v>
      </c>
      <c r="V165" s="614" t="n">
        <v>2800</v>
      </c>
      <c r="W165" s="458" t="inlineStr">
        <is>
          <t>계단식</t>
        </is>
      </c>
      <c r="X165" s="458" t="n">
        <v>2</v>
      </c>
      <c r="Y165" s="458" t="n">
        <v>1</v>
      </c>
      <c r="Z165" s="458" t="n">
        <v>280</v>
      </c>
      <c r="AA165" s="458" t="n">
        <v>2021.02</v>
      </c>
      <c r="AB165" s="458" t="n">
        <v>0.04</v>
      </c>
      <c r="AC165" s="37">
        <f>L165</f>
        <v/>
      </c>
      <c r="AD165" s="583" t="n">
        <v>2345</v>
      </c>
      <c r="AE165" s="583" t="n">
        <v>1900</v>
      </c>
      <c r="AF165" s="38">
        <f>AE165/AD165</f>
        <v/>
      </c>
      <c r="AG165" s="39">
        <f>AD165-AE165</f>
        <v/>
      </c>
      <c r="AH165" s="458" t="n">
        <v>2026.04</v>
      </c>
      <c r="AI165" s="458" t="n"/>
      <c r="AJ165" s="458">
        <f>AI165-AD165</f>
        <v/>
      </c>
      <c r="AK165" s="129">
        <f>(AI165-AD165)/AD165</f>
        <v/>
      </c>
      <c r="AL165" s="29">
        <f>AJ165/AG165</f>
        <v/>
      </c>
      <c r="AM165" s="236" t="n"/>
    </row>
    <row r="166" ht="16" customHeight="1" s="476" thickBot="1">
      <c r="A166" s="458" t="inlineStr">
        <is>
          <t>북면</t>
        </is>
      </c>
      <c r="B166" s="159" t="n"/>
      <c r="C166" s="159" t="n"/>
      <c r="D166" s="458" t="n">
        <v>25001</v>
      </c>
      <c r="E166" s="146" t="inlineStr">
        <is>
          <t>중앙</t>
        </is>
      </c>
      <c r="F166" s="458" t="n">
        <v>1998.02</v>
      </c>
      <c r="G166" s="458" t="n">
        <v>924</v>
      </c>
      <c r="H166" s="458">
        <f>2026-F166+1</f>
        <v/>
      </c>
      <c r="I166" s="458" t="inlineStr">
        <is>
          <t>68</t>
        </is>
      </c>
      <c r="J166" s="458" t="n">
        <v>68</v>
      </c>
      <c r="K166" s="458" t="n">
        <v>47</v>
      </c>
      <c r="L166" s="458" t="n">
        <v>21</v>
      </c>
      <c r="M166" s="458" t="inlineStr">
        <is>
          <t>계단식</t>
        </is>
      </c>
      <c r="N166" s="458" t="n">
        <v>3</v>
      </c>
      <c r="O166" s="458" t="n">
        <v>1</v>
      </c>
      <c r="P166" s="458" t="n">
        <v>350</v>
      </c>
      <c r="Q166" s="599" t="n"/>
      <c r="R166" s="605" t="inlineStr">
        <is>
          <t>-</t>
        </is>
      </c>
      <c r="S166" s="581">
        <f>Q166-R166</f>
        <v/>
      </c>
      <c r="T166" s="71">
        <f>R166/Q166</f>
        <v/>
      </c>
      <c r="U166" s="600" t="n">
        <v>6000</v>
      </c>
      <c r="V166" s="601" t="n">
        <v>3000</v>
      </c>
      <c r="W166" s="458" t="inlineStr">
        <is>
          <t>계단식</t>
        </is>
      </c>
      <c r="X166" s="458" t="n">
        <v>3</v>
      </c>
      <c r="Y166" s="458" t="n">
        <v>1</v>
      </c>
      <c r="Z166" s="458" t="n">
        <v>350</v>
      </c>
      <c r="AA166" s="458" t="n">
        <v>2021.06</v>
      </c>
      <c r="AB166" s="458" t="n">
        <v>0.01</v>
      </c>
      <c r="AC166" s="37">
        <f>L166</f>
        <v/>
      </c>
      <c r="AD166" s="583" t="n">
        <v>3590</v>
      </c>
      <c r="AE166" s="583" t="n">
        <v>3167</v>
      </c>
      <c r="AF166" s="38">
        <f>AE166/AD166</f>
        <v/>
      </c>
      <c r="AG166" s="39">
        <f>AD166-AE166</f>
        <v/>
      </c>
      <c r="AH166" s="458" t="n">
        <v>2026.04</v>
      </c>
      <c r="AI166" s="458" t="n"/>
      <c r="AJ166" s="458">
        <f>AI166-AD166</f>
        <v/>
      </c>
      <c r="AK166" s="129">
        <f>(AI166-AD166)/AD166</f>
        <v/>
      </c>
      <c r="AL166" s="29">
        <f>AJ166/AG166</f>
        <v/>
      </c>
      <c r="AM166" s="236" t="n"/>
    </row>
    <row r="167" ht="15.5" customHeight="1" s="476">
      <c r="A167" s="494" t="inlineStr">
        <is>
          <t>삼룡동</t>
        </is>
      </c>
      <c r="B167" s="289" t="n"/>
      <c r="C167" s="289" t="n"/>
      <c r="D167" s="494" t="n">
        <v>146718</v>
      </c>
      <c r="E167" s="133" t="inlineStr">
        <is>
          <t>호반써밋포레센트</t>
        </is>
      </c>
      <c r="F167" s="494" t="n">
        <v>2023.12</v>
      </c>
      <c r="G167" s="494" t="n">
        <v>594</v>
      </c>
      <c r="H167" s="494">
        <f>2026-F167+1</f>
        <v/>
      </c>
      <c r="I167" s="494" t="inlineStr">
        <is>
          <t>171</t>
        </is>
      </c>
      <c r="J167" s="494" t="n">
        <v>171</v>
      </c>
      <c r="K167" s="494" t="n">
        <v>129</v>
      </c>
      <c r="L167" s="494" t="n">
        <v>52</v>
      </c>
      <c r="M167" s="494" t="inlineStr">
        <is>
          <t>계단식</t>
        </is>
      </c>
      <c r="N167" s="494" t="n">
        <v>3</v>
      </c>
      <c r="O167" s="494" t="n">
        <v>2</v>
      </c>
      <c r="P167" s="494" t="n">
        <v>2</v>
      </c>
      <c r="Q167" s="612" t="n"/>
      <c r="R167" s="613" t="inlineStr">
        <is>
          <t>-</t>
        </is>
      </c>
      <c r="S167" s="581">
        <f>Q167-R167</f>
        <v/>
      </c>
      <c r="T167" s="71">
        <f>R167/Q167</f>
        <v/>
      </c>
      <c r="U167" s="606" t="n"/>
      <c r="V167" s="607" t="n"/>
      <c r="W167" s="458" t="inlineStr">
        <is>
          <t>계단식</t>
        </is>
      </c>
      <c r="X167" s="458" t="n">
        <v>3</v>
      </c>
      <c r="Y167" s="458" t="n">
        <v>2</v>
      </c>
      <c r="Z167" s="458" t="n">
        <v>2</v>
      </c>
      <c r="AA167" s="289" t="n"/>
      <c r="AB167" s="289" t="n"/>
      <c r="AC167" s="77">
        <f>L167</f>
        <v/>
      </c>
      <c r="AD167" s="586" t="n"/>
      <c r="AE167" s="586" t="n"/>
      <c r="AF167" s="78">
        <f>AE167/AD167</f>
        <v/>
      </c>
      <c r="AG167" s="79">
        <f>AD167-AE167</f>
        <v/>
      </c>
      <c r="AH167" s="458" t="n">
        <v>2026.04</v>
      </c>
      <c r="AI167" s="458" t="n"/>
      <c r="AJ167" s="458">
        <f>AI167-AD167</f>
        <v/>
      </c>
      <c r="AK167" s="129">
        <f>(AI167-AD167)/AD167</f>
        <v/>
      </c>
      <c r="AL167" s="80">
        <f>AJ167/AG167</f>
        <v/>
      </c>
      <c r="AM167" s="503" t="n"/>
      <c r="AN167" s="289" t="n"/>
      <c r="AV167" s="289" t="n"/>
    </row>
    <row r="168" ht="16" customHeight="1" s="476" thickBot="1">
      <c r="A168" s="494" t="inlineStr">
        <is>
          <t>삼룡동</t>
        </is>
      </c>
      <c r="B168" s="289" t="n"/>
      <c r="C168" s="289" t="n"/>
      <c r="D168" s="494" t="n">
        <v>146718</v>
      </c>
      <c r="E168" s="133" t="inlineStr">
        <is>
          <t>호반써밋포레센트</t>
        </is>
      </c>
      <c r="F168" s="494" t="n">
        <v>2023.12</v>
      </c>
      <c r="G168" s="494" t="n">
        <v>594</v>
      </c>
      <c r="H168" s="494">
        <f>2026-F168+1</f>
        <v/>
      </c>
      <c r="I168" s="494" t="inlineStr">
        <is>
          <t>188</t>
        </is>
      </c>
      <c r="J168" s="494" t="n">
        <v>188</v>
      </c>
      <c r="K168" s="494" t="n">
        <v>144</v>
      </c>
      <c r="L168" s="494" t="n">
        <v>57</v>
      </c>
      <c r="M168" s="494" t="inlineStr">
        <is>
          <t>계단식</t>
        </is>
      </c>
      <c r="N168" s="494" t="n">
        <v>3</v>
      </c>
      <c r="O168" s="494" t="n">
        <v>2</v>
      </c>
      <c r="P168" s="494" t="n">
        <v>2</v>
      </c>
      <c r="Q168" s="615" t="n"/>
      <c r="R168" s="616" t="inlineStr">
        <is>
          <t>-</t>
        </is>
      </c>
      <c r="S168" s="581">
        <f>Q168-R168</f>
        <v/>
      </c>
      <c r="T168" s="71">
        <f>R168/Q168</f>
        <v/>
      </c>
      <c r="U168" s="617" t="n"/>
      <c r="V168" s="618" t="n"/>
      <c r="W168" s="458" t="inlineStr">
        <is>
          <t>계단식</t>
        </is>
      </c>
      <c r="X168" s="458" t="n">
        <v>3</v>
      </c>
      <c r="Y168" s="458" t="n">
        <v>2</v>
      </c>
      <c r="Z168" s="458" t="n">
        <v>2</v>
      </c>
      <c r="AA168" s="141" t="n"/>
      <c r="AB168" s="289" t="n"/>
      <c r="AC168" s="77">
        <f>L168</f>
        <v/>
      </c>
      <c r="AD168" s="586" t="n"/>
      <c r="AE168" s="586" t="n"/>
      <c r="AF168" s="78">
        <f>AE168/AD168</f>
        <v/>
      </c>
      <c r="AG168" s="79">
        <f>AD168-AE168</f>
        <v/>
      </c>
      <c r="AH168" s="458" t="n">
        <v>2026.04</v>
      </c>
      <c r="AI168" s="509" t="n"/>
      <c r="AJ168" s="509">
        <f>AI168-AD168</f>
        <v/>
      </c>
      <c r="AK168" s="129">
        <f>(AI168-AD168)/AD168</f>
        <v/>
      </c>
      <c r="AL168" s="80">
        <f>AJ168/AG168</f>
        <v/>
      </c>
      <c r="AM168" s="503" t="n"/>
      <c r="AN168" s="83" t="n"/>
      <c r="AV168" s="289" t="n"/>
    </row>
    <row r="169" ht="15.5" customHeight="1" s="476">
      <c r="A169" s="494" t="inlineStr">
        <is>
          <t>신방동</t>
        </is>
      </c>
      <c r="B169" s="88" t="n"/>
      <c r="C169" s="89" t="n"/>
      <c r="D169" s="494" t="n">
        <v>13543</v>
      </c>
      <c r="E169" s="133" t="inlineStr">
        <is>
          <t>초원그린타운</t>
        </is>
      </c>
      <c r="F169" s="494" t="n">
        <v>1998.12</v>
      </c>
      <c r="G169" s="494" t="n">
        <v>4168</v>
      </c>
      <c r="H169" s="494">
        <f>2026-F169+1</f>
        <v/>
      </c>
      <c r="I169" s="494" t="inlineStr">
        <is>
          <t>55</t>
        </is>
      </c>
      <c r="J169" s="494" t="n">
        <v>55</v>
      </c>
      <c r="K169" s="494" t="n">
        <v>39</v>
      </c>
      <c r="L169" s="494" t="n">
        <v>17</v>
      </c>
      <c r="M169" s="494" t="inlineStr">
        <is>
          <t>복도식</t>
        </is>
      </c>
      <c r="N169" s="494" t="n">
        <v>2</v>
      </c>
      <c r="O169" s="494" t="n">
        <v>1</v>
      </c>
      <c r="P169" s="494" t="n">
        <v>4168</v>
      </c>
      <c r="Q169" s="612" t="n"/>
      <c r="R169" s="613" t="inlineStr">
        <is>
          <t>-</t>
        </is>
      </c>
      <c r="S169" s="581">
        <f>Q169-R169</f>
        <v/>
      </c>
      <c r="T169" s="71">
        <f>R169/Q169</f>
        <v/>
      </c>
      <c r="U169" s="606" t="n">
        <v>10000</v>
      </c>
      <c r="V169" s="607" t="n">
        <v>5000</v>
      </c>
      <c r="W169" s="458" t="inlineStr">
        <is>
          <t>복도식</t>
        </is>
      </c>
      <c r="X169" s="458" t="n">
        <v>2</v>
      </c>
      <c r="Y169" s="458" t="n">
        <v>1</v>
      </c>
      <c r="Z169" s="458" t="n">
        <v>4168</v>
      </c>
      <c r="AA169" s="289" t="n"/>
      <c r="AB169" s="289" t="n"/>
      <c r="AC169" s="77">
        <f>L169</f>
        <v/>
      </c>
      <c r="AD169" s="586" t="n"/>
      <c r="AE169" s="586" t="n"/>
      <c r="AF169" s="78">
        <f>AE169/AD169</f>
        <v/>
      </c>
      <c r="AG169" s="79">
        <f>AD169-AE169</f>
        <v/>
      </c>
      <c r="AH169" s="458" t="n">
        <v>2026.04</v>
      </c>
      <c r="AI169" s="458" t="n"/>
      <c r="AJ169" s="458">
        <f>AI169-AD169</f>
        <v/>
      </c>
      <c r="AK169" s="129">
        <f>(AI169-AD169)/AD169</f>
        <v/>
      </c>
      <c r="AL169" s="80">
        <f>AJ169/AG169</f>
        <v/>
      </c>
      <c r="AM169" s="503" t="n"/>
      <c r="AN169" s="289" t="n"/>
      <c r="AV169" s="494" t="inlineStr">
        <is>
          <t>[공급 영향 심화 버전]</t>
        </is>
      </c>
    </row>
    <row r="170" ht="16" customHeight="1" s="476" thickBot="1">
      <c r="A170" s="494" t="inlineStr">
        <is>
          <t>신방동</t>
        </is>
      </c>
      <c r="B170" s="88" t="n"/>
      <c r="C170" s="89" t="n"/>
      <c r="D170" s="494" t="n">
        <v>100359</v>
      </c>
      <c r="E170" s="133" t="inlineStr">
        <is>
          <t>신방한성필하우스</t>
        </is>
      </c>
      <c r="F170" s="494" t="n">
        <v>2010.06</v>
      </c>
      <c r="G170" s="494" t="n">
        <v>1049</v>
      </c>
      <c r="H170" s="494">
        <f>2026-F170+1</f>
        <v/>
      </c>
      <c r="I170" s="494" t="inlineStr">
        <is>
          <t>177</t>
        </is>
      </c>
      <c r="J170" s="494" t="n">
        <v>177</v>
      </c>
      <c r="K170" s="494" t="n">
        <v>148</v>
      </c>
      <c r="L170" s="494" t="n">
        <v>54</v>
      </c>
      <c r="M170" s="494" t="inlineStr">
        <is>
          <t>계단식</t>
        </is>
      </c>
      <c r="N170" s="494" t="n">
        <v>4</v>
      </c>
      <c r="O170" s="494" t="n">
        <v>2</v>
      </c>
      <c r="P170" s="494" t="n">
        <v>68</v>
      </c>
      <c r="Q170" s="615" t="n"/>
      <c r="R170" s="616" t="inlineStr">
        <is>
          <t>-</t>
        </is>
      </c>
      <c r="S170" s="581">
        <f>Q170-R170</f>
        <v/>
      </c>
      <c r="T170" s="71">
        <f>R170/Q170</f>
        <v/>
      </c>
      <c r="U170" s="617" t="n">
        <v>50200</v>
      </c>
      <c r="V170" s="618" t="n">
        <v>37000</v>
      </c>
      <c r="W170" s="458" t="inlineStr">
        <is>
          <t>계단식</t>
        </is>
      </c>
      <c r="X170" s="458" t="n">
        <v>4</v>
      </c>
      <c r="Y170" s="458" t="n">
        <v>2</v>
      </c>
      <c r="Z170" s="458" t="n">
        <v>68</v>
      </c>
      <c r="AA170" s="141" t="n"/>
      <c r="AB170" s="289" t="n"/>
      <c r="AC170" s="77">
        <f>L170</f>
        <v/>
      </c>
      <c r="AD170" s="586" t="n"/>
      <c r="AE170" s="586" t="n"/>
      <c r="AF170" s="78">
        <f>AE170/AD170</f>
        <v/>
      </c>
      <c r="AG170" s="79">
        <f>AD170-AE170</f>
        <v/>
      </c>
      <c r="AH170" s="458" t="n">
        <v>2026.04</v>
      </c>
      <c r="AI170" s="509" t="n"/>
      <c r="AJ170" s="509">
        <f>AI170-AD170</f>
        <v/>
      </c>
      <c r="AK170" s="129">
        <f>(AI170-AD170)/AD170</f>
        <v/>
      </c>
      <c r="AL170" s="80">
        <f>AJ170/AG170</f>
        <v/>
      </c>
      <c r="AM170" s="503" t="n"/>
      <c r="AN170" s="289" t="n"/>
      <c r="AV170" s="289" t="n"/>
    </row>
    <row r="171" ht="16" customHeight="1" s="476" thickBot="1">
      <c r="A171" s="494" t="inlineStr">
        <is>
          <t>신방동</t>
        </is>
      </c>
      <c r="B171" s="88" t="n"/>
      <c r="C171" s="89" t="n"/>
      <c r="D171" s="494" t="n">
        <v>100359</v>
      </c>
      <c r="E171" s="133" t="inlineStr">
        <is>
          <t>신방한성필하우스</t>
        </is>
      </c>
      <c r="F171" s="494" t="n">
        <v>2010.06</v>
      </c>
      <c r="G171" s="494" t="n">
        <v>1049</v>
      </c>
      <c r="H171" s="494">
        <f>2026-F171+1</f>
        <v/>
      </c>
      <c r="I171" s="494" t="inlineStr">
        <is>
          <t>220</t>
        </is>
      </c>
      <c r="J171" s="494" t="n">
        <v>220</v>
      </c>
      <c r="K171" s="494" t="n">
        <v>168</v>
      </c>
      <c r="L171" s="494" t="n">
        <v>67</v>
      </c>
      <c r="M171" s="494" t="inlineStr">
        <is>
          <t>계단식</t>
        </is>
      </c>
      <c r="N171" s="494" t="n">
        <v>5</v>
      </c>
      <c r="O171" s="494" t="n">
        <v>3</v>
      </c>
      <c r="P171" s="494" t="n">
        <v>3</v>
      </c>
      <c r="Q171" s="612" t="n"/>
      <c r="R171" s="613" t="inlineStr">
        <is>
          <t>-</t>
        </is>
      </c>
      <c r="S171" s="581">
        <f>Q171-R171</f>
        <v/>
      </c>
      <c r="T171" s="71">
        <f>R171/Q171</f>
        <v/>
      </c>
      <c r="U171" s="606" t="n"/>
      <c r="V171" s="607" t="n">
        <v>66000</v>
      </c>
      <c r="W171" s="458" t="inlineStr">
        <is>
          <t>계단식</t>
        </is>
      </c>
      <c r="X171" s="458" t="n">
        <v>5</v>
      </c>
      <c r="Y171" s="458" t="n">
        <v>3</v>
      </c>
      <c r="Z171" s="458" t="n">
        <v>3</v>
      </c>
      <c r="AA171" s="141" t="n"/>
      <c r="AB171" s="289" t="n"/>
      <c r="AC171" s="77">
        <f>L171</f>
        <v/>
      </c>
      <c r="AD171" s="586" t="n"/>
      <c r="AE171" s="586" t="n"/>
      <c r="AF171" s="78">
        <f>AE171/AD171</f>
        <v/>
      </c>
      <c r="AG171" s="79">
        <f>AD171-AE171</f>
        <v/>
      </c>
      <c r="AH171" s="458" t="n">
        <v>2026.04</v>
      </c>
      <c r="AI171" s="509" t="n"/>
      <c r="AJ171" s="509">
        <f>AI171-AD171</f>
        <v/>
      </c>
      <c r="AK171" s="129">
        <f>(AI171-AD171)/AD171</f>
        <v/>
      </c>
      <c r="AL171" s="80">
        <f>AJ171/AG171</f>
        <v/>
      </c>
      <c r="AM171" s="503" t="n"/>
      <c r="AN171" s="289" t="n"/>
      <c r="AO171" s="458" t="n"/>
      <c r="AP171" s="458" t="n"/>
      <c r="AQ171" s="458" t="n"/>
      <c r="AR171" s="458" t="n"/>
      <c r="AS171" s="458" t="n"/>
      <c r="AT171" s="458" t="n"/>
      <c r="AU171" s="458" t="n"/>
      <c r="AV171" s="289" t="n"/>
      <c r="AW171" s="458" t="n"/>
      <c r="AX171" s="458" t="n"/>
      <c r="AY171" s="458" t="n"/>
    </row>
    <row r="172" ht="15.5" customHeight="1" s="476">
      <c r="A172" s="458" t="inlineStr">
        <is>
          <t>신방동</t>
        </is>
      </c>
      <c r="B172" s="159" t="n"/>
      <c r="C172" s="159" t="n"/>
      <c r="D172" s="458" t="n">
        <v>120918</v>
      </c>
      <c r="E172" s="146" t="inlineStr">
        <is>
          <t>천안하나리움아인스파크(민간임대)</t>
        </is>
      </c>
      <c r="F172" s="458" t="n">
        <v>2016.04</v>
      </c>
      <c r="G172" s="458" t="n">
        <v>305</v>
      </c>
      <c r="H172" s="458">
        <f>2026-F172+1</f>
        <v/>
      </c>
      <c r="I172" s="458" t="inlineStr">
        <is>
          <t>83, 85</t>
        </is>
      </c>
      <c r="J172" s="458" t="n">
        <v>83</v>
      </c>
      <c r="K172" s="458" t="n">
        <v>59</v>
      </c>
      <c r="L172" s="458" t="n">
        <v>25</v>
      </c>
      <c r="M172" s="458" t="inlineStr">
        <is>
          <t>계단식</t>
        </is>
      </c>
      <c r="N172" s="458" t="n">
        <v>3</v>
      </c>
      <c r="O172" s="458" t="n">
        <v>2</v>
      </c>
      <c r="P172" s="458" t="n">
        <v>305</v>
      </c>
      <c r="Q172" s="587" t="n"/>
      <c r="R172" s="619" t="inlineStr">
        <is>
          <t>-</t>
        </is>
      </c>
      <c r="S172" s="581">
        <f>Q172-R172</f>
        <v/>
      </c>
      <c r="T172" s="71">
        <f>R172/Q172</f>
        <v/>
      </c>
      <c r="U172" s="588" t="n"/>
      <c r="V172" s="614" t="n"/>
      <c r="W172" s="458" t="inlineStr">
        <is>
          <t>계단식</t>
        </is>
      </c>
      <c r="X172" s="458" t="n">
        <v>3</v>
      </c>
      <c r="Y172" s="458" t="n">
        <v>2</v>
      </c>
      <c r="Z172" s="458" t="n">
        <v>305</v>
      </c>
      <c r="AC172" s="37">
        <f>L172</f>
        <v/>
      </c>
      <c r="AD172" s="583" t="n"/>
      <c r="AE172" s="583" t="n"/>
      <c r="AF172" s="38">
        <f>AE172/AD172</f>
        <v/>
      </c>
      <c r="AG172" s="39">
        <f>AD172-AE172</f>
        <v/>
      </c>
      <c r="AH172" s="458" t="n">
        <v>2026.04</v>
      </c>
      <c r="AI172" s="458" t="n"/>
      <c r="AJ172" s="458">
        <f>AI172-AD172</f>
        <v/>
      </c>
      <c r="AK172" s="129">
        <f>(AI172-AD172)/AD172</f>
        <v/>
      </c>
      <c r="AL172" s="130">
        <f>AJ172/AG172</f>
        <v/>
      </c>
      <c r="AM172" s="236" t="n"/>
      <c r="AO172" s="458" t="n"/>
      <c r="AP172" s="458" t="n"/>
      <c r="AQ172" s="458" t="n"/>
      <c r="AR172" s="458" t="n"/>
      <c r="AS172" s="458" t="n"/>
      <c r="AT172" s="458" t="n"/>
      <c r="AU172" s="458" t="n"/>
      <c r="AW172" s="458" t="n"/>
      <c r="AX172" s="458" t="n"/>
      <c r="AY172" s="458" t="n"/>
    </row>
    <row r="173" ht="15.5" customHeight="1" s="476">
      <c r="A173" s="458" t="inlineStr">
        <is>
          <t>신방동</t>
        </is>
      </c>
      <c r="B173" s="159" t="n"/>
      <c r="C173" s="159" t="n"/>
      <c r="D173" s="458" t="n">
        <v>11266</v>
      </c>
      <c r="E173" s="146" t="inlineStr">
        <is>
          <t>삼일원앙</t>
        </is>
      </c>
      <c r="F173" s="458" t="n">
        <v>1997.08</v>
      </c>
      <c r="G173" s="458" t="n">
        <v>401</v>
      </c>
      <c r="H173" s="458">
        <f>2026-F173+1</f>
        <v/>
      </c>
      <c r="I173" s="458" t="inlineStr">
        <is>
          <t>45</t>
        </is>
      </c>
      <c r="J173" s="458" t="n">
        <v>45</v>
      </c>
      <c r="K173" s="458" t="n">
        <v>30</v>
      </c>
      <c r="L173" s="458" t="n">
        <v>14</v>
      </c>
      <c r="M173" s="458" t="inlineStr">
        <is>
          <t>복도식</t>
        </is>
      </c>
      <c r="N173" s="458" t="n">
        <v>1</v>
      </c>
      <c r="O173" s="458" t="n">
        <v>1</v>
      </c>
      <c r="P173" s="458" t="n">
        <v>59</v>
      </c>
      <c r="Q173" s="587" t="n"/>
      <c r="R173" s="593" t="inlineStr">
        <is>
          <t>-</t>
        </is>
      </c>
      <c r="S173" s="581">
        <f>Q173-R173</f>
        <v/>
      </c>
      <c r="T173" s="71">
        <f>R173/Q173</f>
        <v/>
      </c>
      <c r="U173" s="588" t="n">
        <v>5700</v>
      </c>
      <c r="V173" s="614" t="n">
        <v>5000</v>
      </c>
      <c r="W173" s="458" t="inlineStr">
        <is>
          <t>복도식</t>
        </is>
      </c>
      <c r="X173" s="458" t="n">
        <v>1</v>
      </c>
      <c r="Y173" s="458" t="n">
        <v>1</v>
      </c>
      <c r="Z173" s="458" t="n">
        <v>59</v>
      </c>
      <c r="AA173" s="225" t="n">
        <v>2020.07</v>
      </c>
      <c r="AB173" s="458" t="n">
        <v>1</v>
      </c>
      <c r="AC173" s="37">
        <f>L173</f>
        <v/>
      </c>
      <c r="AD173" s="583" t="n">
        <v>4300</v>
      </c>
      <c r="AE173" s="583" t="n">
        <v>4400</v>
      </c>
      <c r="AF173" s="38">
        <f>AE173/AD173</f>
        <v/>
      </c>
      <c r="AG173" s="39">
        <f>AD173-AE173</f>
        <v/>
      </c>
      <c r="AH173" s="458" t="n">
        <v>2026.04</v>
      </c>
      <c r="AI173" s="509" t="n"/>
      <c r="AJ173" s="509">
        <f>AI173-AD173</f>
        <v/>
      </c>
      <c r="AK173" s="129">
        <f>(AI173-AD173)/AD173</f>
        <v/>
      </c>
      <c r="AL173" s="29">
        <f>AJ173/AG173</f>
        <v/>
      </c>
      <c r="AM173" s="236" t="n"/>
    </row>
    <row r="174" ht="15.5" customHeight="1" s="476">
      <c r="A174" s="458" t="inlineStr">
        <is>
          <t>신방동</t>
        </is>
      </c>
      <c r="B174" s="159" t="n"/>
      <c r="C174" s="159" t="n"/>
      <c r="D174" s="458" t="n">
        <v>11266</v>
      </c>
      <c r="E174" s="146" t="inlineStr">
        <is>
          <t>삼일원앙</t>
        </is>
      </c>
      <c r="F174" s="458" t="n">
        <v>1997.08</v>
      </c>
      <c r="G174" s="458" t="n">
        <v>401</v>
      </c>
      <c r="H174" s="458">
        <f>2026-F174+1</f>
        <v/>
      </c>
      <c r="I174" s="458" t="inlineStr">
        <is>
          <t>41</t>
        </is>
      </c>
      <c r="J174" s="458" t="n">
        <v>41</v>
      </c>
      <c r="K174" s="458" t="n">
        <v>28</v>
      </c>
      <c r="L174" s="458" t="n">
        <v>12</v>
      </c>
      <c r="M174" s="458" t="inlineStr">
        <is>
          <t>복도식</t>
        </is>
      </c>
      <c r="N174" s="458" t="n">
        <v>1</v>
      </c>
      <c r="O174" s="458" t="n">
        <v>1</v>
      </c>
      <c r="P174" s="458" t="n">
        <v>284</v>
      </c>
      <c r="Q174" s="587" t="n"/>
      <c r="R174" s="593" t="inlineStr">
        <is>
          <t>-</t>
        </is>
      </c>
      <c r="S174" s="581">
        <f>Q174-R174</f>
        <v/>
      </c>
      <c r="T174" s="71">
        <f>R174/Q174</f>
        <v/>
      </c>
      <c r="U174" s="588" t="n">
        <v>5800</v>
      </c>
      <c r="V174" s="614" t="n">
        <v>4100</v>
      </c>
      <c r="W174" s="458" t="inlineStr">
        <is>
          <t>복도식</t>
        </is>
      </c>
      <c r="X174" s="458" t="n">
        <v>1</v>
      </c>
      <c r="Y174" s="458" t="n">
        <v>1</v>
      </c>
      <c r="Z174" s="458" t="n">
        <v>284</v>
      </c>
      <c r="AA174" s="225" t="n">
        <v>2018.01</v>
      </c>
      <c r="AB174" s="458" t="n">
        <v>0.02</v>
      </c>
      <c r="AC174" s="37">
        <f>L174</f>
        <v/>
      </c>
      <c r="AD174" s="583" t="n">
        <v>5400</v>
      </c>
      <c r="AE174" s="583" t="n">
        <v>4500</v>
      </c>
      <c r="AF174" s="38">
        <f>AE174/AD174</f>
        <v/>
      </c>
      <c r="AG174" s="39">
        <f>AD174-AE174</f>
        <v/>
      </c>
      <c r="AH174" s="458" t="n">
        <v>2026.04</v>
      </c>
      <c r="AI174" s="509" t="n"/>
      <c r="AJ174" s="509">
        <f>AI174-AD174</f>
        <v/>
      </c>
      <c r="AK174" s="129">
        <f>(AI174-AD174)/AD174</f>
        <v/>
      </c>
      <c r="AL174" s="29">
        <f>AJ174/AG174</f>
        <v/>
      </c>
      <c r="AM174" s="236" t="n"/>
      <c r="AO174" s="458" t="n"/>
      <c r="AP174" s="458" t="n"/>
      <c r="AQ174" s="458" t="n"/>
      <c r="AR174" s="458" t="n"/>
      <c r="AS174" s="458" t="n"/>
      <c r="AT174" s="458" t="n"/>
      <c r="AU174" s="458" t="n"/>
      <c r="AW174" s="458" t="n"/>
      <c r="AX174" s="458" t="n"/>
      <c r="AY174" s="458" t="n"/>
    </row>
    <row r="175" ht="15.5" customHeight="1" s="476">
      <c r="A175" s="458" t="inlineStr">
        <is>
          <t>신방동</t>
        </is>
      </c>
      <c r="B175" s="159" t="n"/>
      <c r="C175" s="159" t="n"/>
      <c r="D175" s="458" t="n">
        <v>11266</v>
      </c>
      <c r="E175" s="146" t="inlineStr">
        <is>
          <t>삼일원앙</t>
        </is>
      </c>
      <c r="F175" s="458" t="n">
        <v>1997.08</v>
      </c>
      <c r="G175" s="458" t="n">
        <v>401</v>
      </c>
      <c r="H175" s="458">
        <f>2026-F175+1</f>
        <v/>
      </c>
      <c r="I175" s="458" t="inlineStr">
        <is>
          <t>57</t>
        </is>
      </c>
      <c r="J175" s="458" t="n">
        <v>57</v>
      </c>
      <c r="K175" s="458" t="n">
        <v>38</v>
      </c>
      <c r="L175" s="458" t="n">
        <v>17</v>
      </c>
      <c r="M175" s="458" t="inlineStr">
        <is>
          <t>복도식</t>
        </is>
      </c>
      <c r="N175" s="458" t="n">
        <v>2</v>
      </c>
      <c r="O175" s="458" t="n">
        <v>1</v>
      </c>
      <c r="P175" s="458" t="n">
        <v>29</v>
      </c>
      <c r="Q175" s="587" t="n"/>
      <c r="R175" s="593" t="inlineStr">
        <is>
          <t>-</t>
        </is>
      </c>
      <c r="S175" s="581">
        <f>Q175-R175</f>
        <v/>
      </c>
      <c r="T175" s="71">
        <f>R175/Q175</f>
        <v/>
      </c>
      <c r="U175" s="588" t="n">
        <v>7500</v>
      </c>
      <c r="V175" s="614" t="n">
        <v>7000</v>
      </c>
      <c r="W175" s="458" t="inlineStr">
        <is>
          <t>복도식</t>
        </is>
      </c>
      <c r="X175" s="458" t="n">
        <v>2</v>
      </c>
      <c r="Y175" s="458" t="n">
        <v>1</v>
      </c>
      <c r="Z175" s="458" t="n">
        <v>29</v>
      </c>
      <c r="AA175" s="458" t="n">
        <v>2020.05</v>
      </c>
      <c r="AB175" s="458" t="n">
        <v>0.1</v>
      </c>
      <c r="AC175" s="37">
        <f>L175</f>
        <v/>
      </c>
      <c r="AD175" s="583" t="n">
        <v>6400</v>
      </c>
      <c r="AE175" s="583" t="n">
        <v>6500</v>
      </c>
      <c r="AF175" s="38">
        <f>AE175/AD175</f>
        <v/>
      </c>
      <c r="AG175" s="39">
        <f>AD175-AE175</f>
        <v/>
      </c>
      <c r="AH175" s="458" t="n">
        <v>2026.04</v>
      </c>
      <c r="AI175" s="458" t="n"/>
      <c r="AJ175" s="458">
        <f>AI175-AD175</f>
        <v/>
      </c>
      <c r="AK175" s="129">
        <f>(AI175-AD175)/AD175</f>
        <v/>
      </c>
      <c r="AL175" s="29">
        <f>AJ175/AG175</f>
        <v/>
      </c>
      <c r="AM175" s="236" t="n"/>
    </row>
    <row r="176" ht="15.5" customHeight="1" s="476">
      <c r="A176" s="458" t="inlineStr">
        <is>
          <t>신방동</t>
        </is>
      </c>
      <c r="B176" s="159" t="n"/>
      <c r="C176" s="159" t="n"/>
      <c r="D176" s="458" t="n">
        <v>11266</v>
      </c>
      <c r="E176" s="146" t="inlineStr">
        <is>
          <t>삼일원앙</t>
        </is>
      </c>
      <c r="F176" s="458" t="n">
        <v>1997.08</v>
      </c>
      <c r="G176" s="458" t="n">
        <v>401</v>
      </c>
      <c r="H176" s="458">
        <f>2026-F176+1</f>
        <v/>
      </c>
      <c r="I176" s="458" t="inlineStr">
        <is>
          <t>64</t>
        </is>
      </c>
      <c r="J176" s="458" t="n">
        <v>64</v>
      </c>
      <c r="K176" s="458" t="n">
        <v>43</v>
      </c>
      <c r="L176" s="458" t="n">
        <v>19</v>
      </c>
      <c r="M176" s="458" t="inlineStr">
        <is>
          <t>복도식</t>
        </is>
      </c>
      <c r="N176" s="458" t="n">
        <v>2</v>
      </c>
      <c r="O176" s="458" t="n">
        <v>1</v>
      </c>
      <c r="P176" s="458" t="n">
        <v>29</v>
      </c>
      <c r="Q176" s="587" t="n"/>
      <c r="R176" s="593" t="inlineStr">
        <is>
          <t>-</t>
        </is>
      </c>
      <c r="S176" s="581">
        <f>Q176-R176</f>
        <v/>
      </c>
      <c r="T176" s="71">
        <f>R176/Q176</f>
        <v/>
      </c>
      <c r="U176" s="588" t="n">
        <v>8300</v>
      </c>
      <c r="V176" s="614" t="n">
        <v>7950</v>
      </c>
      <c r="W176" s="458" t="inlineStr">
        <is>
          <t>복도식</t>
        </is>
      </c>
      <c r="X176" s="458" t="n">
        <v>2</v>
      </c>
      <c r="Y176" s="458" t="n">
        <v>1</v>
      </c>
      <c r="Z176" s="458" t="n">
        <v>29</v>
      </c>
      <c r="AA176" s="30" t="n">
        <v>2021.09</v>
      </c>
      <c r="AB176" s="30" t="n">
        <v>0.05</v>
      </c>
      <c r="AC176" s="37">
        <f>L176</f>
        <v/>
      </c>
      <c r="AD176" s="583" t="n">
        <v>7300</v>
      </c>
      <c r="AE176" s="583" t="n">
        <v>8000</v>
      </c>
      <c r="AF176" s="38">
        <f>AE176/AD176</f>
        <v/>
      </c>
      <c r="AG176" s="39">
        <f>AD176-AE176</f>
        <v/>
      </c>
      <c r="AH176" s="32" t="n">
        <v>2026.04</v>
      </c>
      <c r="AI176" s="31" t="n"/>
      <c r="AJ176" s="31">
        <f>AI176-AD176</f>
        <v/>
      </c>
      <c r="AK176" s="129">
        <f>(AI176-AD176)/AD176</f>
        <v/>
      </c>
      <c r="AL176" s="158">
        <f>AJ176/AG176</f>
        <v/>
      </c>
      <c r="AM176" s="236" t="n"/>
      <c r="AO176" s="458" t="n"/>
      <c r="AP176" s="458" t="n"/>
      <c r="AQ176" s="458" t="n"/>
      <c r="AR176" s="458" t="n"/>
      <c r="AS176" s="458" t="n"/>
      <c r="AT176" s="458" t="n"/>
      <c r="AU176" s="458" t="n"/>
      <c r="AW176" s="458" t="n"/>
      <c r="AX176" s="458" t="n"/>
      <c r="AY176" s="458" t="n"/>
    </row>
    <row r="177" ht="16" customHeight="1" s="476" thickBot="1">
      <c r="A177" s="458" t="inlineStr">
        <is>
          <t>신방동</t>
        </is>
      </c>
      <c r="B177" s="159" t="n"/>
      <c r="C177" s="159" t="n"/>
      <c r="D177" s="458" t="n">
        <v>7395</v>
      </c>
      <c r="E177" s="146" t="inlineStr">
        <is>
          <t>한라동백2차</t>
        </is>
      </c>
      <c r="F177" s="458" t="n">
        <v>1998.09</v>
      </c>
      <c r="G177" s="458" t="n">
        <v>1139</v>
      </c>
      <c r="H177" s="458">
        <f>2026-F177+1</f>
        <v/>
      </c>
      <c r="I177" s="458" t="inlineStr">
        <is>
          <t>80B</t>
        </is>
      </c>
      <c r="J177" s="458" t="n">
        <v>80</v>
      </c>
      <c r="K177" s="458" t="n">
        <v>59</v>
      </c>
      <c r="L177" s="458" t="n">
        <v>24</v>
      </c>
      <c r="M177" s="458" t="inlineStr">
        <is>
          <t>계단식</t>
        </is>
      </c>
      <c r="N177" s="458" t="n">
        <v>2</v>
      </c>
      <c r="O177" s="458" t="n">
        <v>1</v>
      </c>
      <c r="P177" s="458" t="n">
        <v>48</v>
      </c>
      <c r="Q177" s="599" t="n"/>
      <c r="R177" s="605" t="inlineStr">
        <is>
          <t>-</t>
        </is>
      </c>
      <c r="S177" s="581">
        <f>Q177-R177</f>
        <v/>
      </c>
      <c r="T177" s="71">
        <f>R177/Q177</f>
        <v/>
      </c>
      <c r="U177" s="600" t="n">
        <v>18500</v>
      </c>
      <c r="V177" s="601" t="n">
        <v>13000</v>
      </c>
      <c r="W177" s="458" t="inlineStr">
        <is>
          <t>계단식</t>
        </is>
      </c>
      <c r="X177" s="458" t="n">
        <v>2</v>
      </c>
      <c r="Y177" s="458" t="n">
        <v>1</v>
      </c>
      <c r="Z177" s="458" t="n">
        <v>48</v>
      </c>
      <c r="AA177" s="225" t="n">
        <v>2021.07</v>
      </c>
      <c r="AB177" s="458" t="n">
        <v>0.08</v>
      </c>
      <c r="AC177" s="37">
        <f>L177</f>
        <v/>
      </c>
      <c r="AD177" s="583" t="n">
        <v>14856</v>
      </c>
      <c r="AE177" s="583" t="n">
        <v>11991</v>
      </c>
      <c r="AF177" s="38">
        <f>AE177/AD177</f>
        <v/>
      </c>
      <c r="AG177" s="39">
        <f>AD177-AE177</f>
        <v/>
      </c>
      <c r="AH177" s="458" t="n">
        <v>2026.04</v>
      </c>
      <c r="AI177" s="509" t="n"/>
      <c r="AJ177" s="509">
        <f>AI177-AD177</f>
        <v/>
      </c>
      <c r="AK177" s="129">
        <f>(AI177-AD177)/AD177</f>
        <v/>
      </c>
      <c r="AL177" s="137">
        <f>AJ177/AG177</f>
        <v/>
      </c>
      <c r="AM177" s="236" t="n"/>
    </row>
    <row r="178" ht="15.5" customHeight="1" s="476">
      <c r="A178" s="494" t="inlineStr">
        <is>
          <t>신방동</t>
        </is>
      </c>
      <c r="B178" s="88" t="n"/>
      <c r="C178" s="89" t="n"/>
      <c r="D178" s="494" t="n">
        <v>7393</v>
      </c>
      <c r="E178" s="133" t="inlineStr">
        <is>
          <t>신동아목련</t>
        </is>
      </c>
      <c r="F178" s="494" t="n">
        <v>1996.04</v>
      </c>
      <c r="G178" s="494" t="n">
        <v>498</v>
      </c>
      <c r="H178" s="494">
        <f>2026-F178+1</f>
        <v/>
      </c>
      <c r="I178" s="494" t="inlineStr">
        <is>
          <t>132</t>
        </is>
      </c>
      <c r="J178" s="494" t="n">
        <v>132</v>
      </c>
      <c r="K178" s="494" t="n">
        <v>108</v>
      </c>
      <c r="L178" s="494" t="n">
        <v>40</v>
      </c>
      <c r="M178" s="494" t="inlineStr">
        <is>
          <t>계단식</t>
        </is>
      </c>
      <c r="N178" s="494" t="n">
        <v>4</v>
      </c>
      <c r="O178" s="494" t="n">
        <v>2</v>
      </c>
      <c r="P178" s="494" t="n">
        <v>102</v>
      </c>
      <c r="Q178" s="612" t="n"/>
      <c r="R178" s="613" t="inlineStr">
        <is>
          <t>-</t>
        </is>
      </c>
      <c r="S178" s="581">
        <f>Q178-R178</f>
        <v/>
      </c>
      <c r="T178" s="71">
        <f>R178/Q178</f>
        <v/>
      </c>
      <c r="U178" s="606" t="n">
        <v>22000</v>
      </c>
      <c r="V178" s="607" t="n">
        <v>18500</v>
      </c>
      <c r="W178" s="458" t="inlineStr">
        <is>
          <t>계단식</t>
        </is>
      </c>
      <c r="X178" s="458" t="n">
        <v>4</v>
      </c>
      <c r="Y178" s="458" t="n">
        <v>2</v>
      </c>
      <c r="Z178" s="458" t="n">
        <v>102</v>
      </c>
      <c r="AA178" s="289" t="n">
        <v>2019.12</v>
      </c>
      <c r="AB178" s="289" t="n">
        <v>0.06</v>
      </c>
      <c r="AC178" s="77">
        <f>L178</f>
        <v/>
      </c>
      <c r="AD178" s="586" t="n">
        <v>16600</v>
      </c>
      <c r="AE178" s="586" t="n">
        <v>16500</v>
      </c>
      <c r="AF178" s="78">
        <f>AE178/AD178</f>
        <v/>
      </c>
      <c r="AG178" s="79">
        <f>AD178-AE178</f>
        <v/>
      </c>
      <c r="AH178" s="458" t="n">
        <v>2026.04</v>
      </c>
      <c r="AI178" s="458" t="n"/>
      <c r="AJ178" s="458">
        <f>AI178-AD178</f>
        <v/>
      </c>
      <c r="AK178" s="129">
        <f>(AI178-AD178)/AD178</f>
        <v/>
      </c>
      <c r="AL178" s="142">
        <f>AJ178/AG178</f>
        <v/>
      </c>
      <c r="AM178" s="111" t="n"/>
      <c r="AN178" s="289" t="n"/>
      <c r="AV178" s="289" t="n"/>
    </row>
    <row r="179" ht="15.5" customHeight="1" s="476">
      <c r="A179" s="494" t="inlineStr">
        <is>
          <t>신방동</t>
        </is>
      </c>
      <c r="B179" s="88" t="n"/>
      <c r="C179" s="89" t="n"/>
      <c r="D179" s="494" t="n">
        <v>7400</v>
      </c>
      <c r="E179" s="133" t="inlineStr">
        <is>
          <t>향촌현대</t>
        </is>
      </c>
      <c r="F179" s="494" t="n">
        <v>1997.12</v>
      </c>
      <c r="G179" s="494" t="n">
        <v>998</v>
      </c>
      <c r="H179" s="494">
        <f>2026-F179+1</f>
        <v/>
      </c>
      <c r="I179" s="494" t="inlineStr">
        <is>
          <t>126</t>
        </is>
      </c>
      <c r="J179" s="494" t="n">
        <v>126</v>
      </c>
      <c r="K179" s="494" t="n">
        <v>99</v>
      </c>
      <c r="L179" s="494" t="n">
        <v>38</v>
      </c>
      <c r="M179" s="494" t="inlineStr">
        <is>
          <t>계단식</t>
        </is>
      </c>
      <c r="N179" s="494" t="n">
        <v>4</v>
      </c>
      <c r="O179" s="494" t="n">
        <v>2</v>
      </c>
      <c r="P179" s="494" t="n">
        <v>40</v>
      </c>
      <c r="Q179" s="584" t="n"/>
      <c r="R179" s="592" t="inlineStr">
        <is>
          <t>-</t>
        </is>
      </c>
      <c r="S179" s="581">
        <f>Q179-R179</f>
        <v/>
      </c>
      <c r="T179" s="71">
        <f>R179/Q179</f>
        <v/>
      </c>
      <c r="U179" s="585" t="n">
        <v>25000</v>
      </c>
      <c r="V179" s="598" t="n">
        <v>19000</v>
      </c>
      <c r="W179" s="458" t="inlineStr">
        <is>
          <t>계단식</t>
        </is>
      </c>
      <c r="X179" s="458" t="n">
        <v>4</v>
      </c>
      <c r="Y179" s="458" t="n">
        <v>2</v>
      </c>
      <c r="Z179" s="458" t="n">
        <v>40</v>
      </c>
      <c r="AA179" s="141" t="n">
        <v>2020.1</v>
      </c>
      <c r="AB179" s="289" t="n">
        <v>0.04</v>
      </c>
      <c r="AC179" s="77">
        <f>L179</f>
        <v/>
      </c>
      <c r="AD179" s="586" t="n">
        <v>17800</v>
      </c>
      <c r="AE179" s="586" t="n">
        <v>16000</v>
      </c>
      <c r="AF179" s="78">
        <f>AE179/AD179</f>
        <v/>
      </c>
      <c r="AG179" s="79">
        <f>AD179-AE179</f>
        <v/>
      </c>
      <c r="AH179" s="458" t="n">
        <v>2026.04</v>
      </c>
      <c r="AI179" s="509" t="n"/>
      <c r="AJ179" s="509">
        <f>AI179-AD179</f>
        <v/>
      </c>
      <c r="AK179" s="129">
        <f>(AI179-AD179)/AD179</f>
        <v/>
      </c>
      <c r="AL179" s="142">
        <f>AJ179/AG179</f>
        <v/>
      </c>
      <c r="AM179" s="111" t="n"/>
      <c r="AN179" s="289" t="n"/>
      <c r="AO179" s="458" t="n"/>
      <c r="AP179" s="458" t="n"/>
      <c r="AQ179" s="458" t="n"/>
      <c r="AR179" s="458" t="n"/>
      <c r="AS179" s="458" t="n"/>
      <c r="AT179" s="458" t="n"/>
      <c r="AU179" s="458" t="n"/>
      <c r="AV179" s="289" t="n"/>
      <c r="AW179" s="458" t="n"/>
      <c r="AX179" s="458" t="n"/>
      <c r="AY179" s="458" t="n"/>
    </row>
    <row r="180" ht="16" customHeight="1" s="476" thickBot="1">
      <c r="A180" s="458" t="inlineStr">
        <is>
          <t>신방동</t>
        </is>
      </c>
      <c r="D180" s="458" t="n">
        <v>7395</v>
      </c>
      <c r="E180" s="146" t="inlineStr">
        <is>
          <t>한라동백2차</t>
        </is>
      </c>
      <c r="F180" s="458" t="n">
        <v>1998.09</v>
      </c>
      <c r="G180" s="458" t="n">
        <v>1139</v>
      </c>
      <c r="H180" s="458">
        <f>2026-F180+1</f>
        <v/>
      </c>
      <c r="I180" s="458" t="inlineStr">
        <is>
          <t>165</t>
        </is>
      </c>
      <c r="J180" s="458" t="n">
        <v>165</v>
      </c>
      <c r="K180" s="458" t="n">
        <v>134</v>
      </c>
      <c r="L180" s="458" t="n">
        <v>50</v>
      </c>
      <c r="M180" s="458" t="inlineStr">
        <is>
          <t>계단식</t>
        </is>
      </c>
      <c r="N180" s="458" t="n">
        <v>4</v>
      </c>
      <c r="O180" s="458" t="n">
        <v>2</v>
      </c>
      <c r="P180" s="458" t="n">
        <v>90</v>
      </c>
      <c r="Q180" s="599" t="n"/>
      <c r="R180" s="605" t="inlineStr">
        <is>
          <t>-</t>
        </is>
      </c>
      <c r="S180" s="581">
        <f>Q180-R180</f>
        <v/>
      </c>
      <c r="T180" s="71">
        <f>R180/Q180</f>
        <v/>
      </c>
      <c r="U180" s="600" t="n">
        <v>31700</v>
      </c>
      <c r="V180" s="601" t="n">
        <v>28000</v>
      </c>
      <c r="W180" s="458" t="inlineStr">
        <is>
          <t>계단식</t>
        </is>
      </c>
      <c r="X180" s="458" t="n">
        <v>4</v>
      </c>
      <c r="Y180" s="458" t="n">
        <v>2</v>
      </c>
      <c r="Z180" s="458" t="n">
        <v>90</v>
      </c>
      <c r="AA180" s="458" t="n">
        <v>2019.02</v>
      </c>
      <c r="AB180" s="458" t="n">
        <v>0.02</v>
      </c>
      <c r="AC180" s="37">
        <f>L180</f>
        <v/>
      </c>
      <c r="AD180" s="583" t="n">
        <v>19450</v>
      </c>
      <c r="AE180" s="583" t="n">
        <v>16000</v>
      </c>
      <c r="AF180" s="38">
        <f>AE180/AD180</f>
        <v/>
      </c>
      <c r="AG180" s="39">
        <f>AD180-AE180</f>
        <v/>
      </c>
      <c r="AH180" s="458" t="n">
        <v>2026.04</v>
      </c>
      <c r="AI180" s="458" t="n"/>
      <c r="AJ180" s="458">
        <f>AI180-AD180</f>
        <v/>
      </c>
      <c r="AK180" s="129">
        <f>(AI180-AD180)/AD180</f>
        <v/>
      </c>
      <c r="AL180" s="137">
        <f>AJ180/AG180</f>
        <v/>
      </c>
    </row>
    <row r="181" ht="15.5" customHeight="1" s="476">
      <c r="A181" s="458" t="inlineStr">
        <is>
          <t>신방동</t>
        </is>
      </c>
      <c r="D181" s="458" t="n">
        <v>27682</v>
      </c>
      <c r="E181" s="146" t="inlineStr">
        <is>
          <t>신방한라비발디</t>
        </is>
      </c>
      <c r="F181" s="458" t="n">
        <v>2009.09</v>
      </c>
      <c r="G181" s="458" t="n">
        <v>764</v>
      </c>
      <c r="H181" s="458">
        <f>2026-F181+1</f>
        <v/>
      </c>
      <c r="I181" s="458" t="inlineStr">
        <is>
          <t>142</t>
        </is>
      </c>
      <c r="J181" s="458" t="n">
        <v>142</v>
      </c>
      <c r="K181" s="458" t="n">
        <v>117</v>
      </c>
      <c r="L181" s="458" t="n">
        <v>43</v>
      </c>
      <c r="M181" s="458" t="inlineStr">
        <is>
          <t>계단식</t>
        </is>
      </c>
      <c r="N181" s="458" t="n">
        <v>3</v>
      </c>
      <c r="O181" s="458" t="n">
        <v>2</v>
      </c>
      <c r="P181" s="458" t="n">
        <v>100</v>
      </c>
      <c r="Q181" s="602" t="n"/>
      <c r="R181" s="619" t="inlineStr">
        <is>
          <t>-</t>
        </is>
      </c>
      <c r="S181" s="581">
        <f>Q181-R181</f>
        <v/>
      </c>
      <c r="T181" s="71">
        <f>R181/Q181</f>
        <v/>
      </c>
      <c r="U181" s="603" t="n">
        <v>35000</v>
      </c>
      <c r="V181" s="604" t="n">
        <v>26000</v>
      </c>
      <c r="W181" s="458" t="inlineStr">
        <is>
          <t>계단식</t>
        </is>
      </c>
      <c r="X181" s="458" t="n">
        <v>3</v>
      </c>
      <c r="Y181" s="458" t="n">
        <v>2</v>
      </c>
      <c r="Z181" s="458" t="n">
        <v>100</v>
      </c>
      <c r="AA181" s="225" t="n">
        <v>2019.09</v>
      </c>
      <c r="AB181" s="458" t="n">
        <v>0.04</v>
      </c>
      <c r="AC181" s="37">
        <f>L181</f>
        <v/>
      </c>
      <c r="AD181" s="583" t="n">
        <v>21800</v>
      </c>
      <c r="AE181" s="583" t="n">
        <v>20000</v>
      </c>
      <c r="AF181" s="38">
        <f>AE181/AD181</f>
        <v/>
      </c>
      <c r="AG181" s="39">
        <f>AD181-AE181</f>
        <v/>
      </c>
      <c r="AH181" s="458" t="n">
        <v>2026.04</v>
      </c>
      <c r="AI181" s="509" t="n"/>
      <c r="AJ181" s="509">
        <f>AI181-AD181</f>
        <v/>
      </c>
      <c r="AK181" s="129">
        <f>(AI181-AD181)/AD181</f>
        <v/>
      </c>
      <c r="AL181" s="137">
        <f>AJ181/AG181</f>
        <v/>
      </c>
      <c r="AN181" s="16" t="n"/>
    </row>
    <row r="182" ht="15.5" customHeight="1" s="476">
      <c r="A182" s="494" t="inlineStr">
        <is>
          <t>신방동</t>
        </is>
      </c>
      <c r="B182" s="88" t="n"/>
      <c r="C182" s="89" t="n"/>
      <c r="D182" s="494" t="n">
        <v>100359</v>
      </c>
      <c r="E182" s="133" t="inlineStr">
        <is>
          <t>신방한성필하우스</t>
        </is>
      </c>
      <c r="F182" s="494" t="n">
        <v>2010.06</v>
      </c>
      <c r="G182" s="494" t="n">
        <v>1049</v>
      </c>
      <c r="H182" s="494">
        <f>2026-F182+1</f>
        <v/>
      </c>
      <c r="I182" s="494" t="inlineStr">
        <is>
          <t>133A, 133C, 133B</t>
        </is>
      </c>
      <c r="J182" s="494" t="n">
        <v>133</v>
      </c>
      <c r="K182" s="494" t="n">
        <v>108</v>
      </c>
      <c r="L182" s="494" t="n">
        <v>40</v>
      </c>
      <c r="M182" s="494" t="inlineStr">
        <is>
          <t>계단식</t>
        </is>
      </c>
      <c r="N182" s="494" t="n">
        <v>3</v>
      </c>
      <c r="O182" s="494" t="n">
        <v>2</v>
      </c>
      <c r="P182" s="494" t="n">
        <v>463</v>
      </c>
      <c r="Q182" s="584" t="n"/>
      <c r="R182" s="592" t="inlineStr">
        <is>
          <t>-</t>
        </is>
      </c>
      <c r="S182" s="581">
        <f>Q182-R182</f>
        <v/>
      </c>
      <c r="T182" s="71">
        <f>R182/Q182</f>
        <v/>
      </c>
      <c r="U182" s="585" t="n">
        <v>42000</v>
      </c>
      <c r="V182" s="598" t="n">
        <v>29500</v>
      </c>
      <c r="W182" s="458" t="inlineStr">
        <is>
          <t>계단식</t>
        </is>
      </c>
      <c r="X182" s="458" t="n">
        <v>3</v>
      </c>
      <c r="Y182" s="458" t="n">
        <v>2</v>
      </c>
      <c r="Z182" s="458" t="n">
        <v>463</v>
      </c>
      <c r="AA182" s="141" t="n">
        <v>2020.09</v>
      </c>
      <c r="AB182" s="289" t="n">
        <v>0.01</v>
      </c>
      <c r="AC182" s="77">
        <f>L182</f>
        <v/>
      </c>
      <c r="AD182" s="586" t="n">
        <v>28966</v>
      </c>
      <c r="AE182" s="586" t="n">
        <v>24400</v>
      </c>
      <c r="AF182" s="78">
        <f>AE182/AD182</f>
        <v/>
      </c>
      <c r="AG182" s="79">
        <f>AD182-AE182</f>
        <v/>
      </c>
      <c r="AH182" s="458" t="n">
        <v>2026.04</v>
      </c>
      <c r="AI182" s="509" t="n"/>
      <c r="AJ182" s="509">
        <f>AI182-AD182</f>
        <v/>
      </c>
      <c r="AK182" s="129">
        <f>(AI182-AD182)/AD182</f>
        <v/>
      </c>
      <c r="AL182" s="142">
        <f>AJ182/AG182</f>
        <v/>
      </c>
      <c r="AM182" s="111" t="n"/>
      <c r="AN182" s="83" t="n"/>
      <c r="AV182" s="289" t="n"/>
    </row>
    <row r="183" ht="15.5" customHeight="1" s="476">
      <c r="A183" s="458" t="inlineStr">
        <is>
          <t>신부동</t>
        </is>
      </c>
      <c r="B183" s="159" t="n"/>
      <c r="C183" s="159" t="n"/>
      <c r="D183" s="458" t="n">
        <v>143063</v>
      </c>
      <c r="E183" s="146" t="inlineStr">
        <is>
          <t>포레나천안신부</t>
        </is>
      </c>
      <c r="F183" s="458" t="n">
        <v>2023.12</v>
      </c>
      <c r="G183" s="458" t="n">
        <v>602</v>
      </c>
      <c r="H183" s="458">
        <f>2026-F183+1</f>
        <v/>
      </c>
      <c r="I183" s="458" t="inlineStr">
        <is>
          <t>131</t>
        </is>
      </c>
      <c r="J183" s="458" t="n">
        <v>131</v>
      </c>
      <c r="K183" s="458" t="n">
        <v>104</v>
      </c>
      <c r="L183" s="458" t="n">
        <v>40</v>
      </c>
      <c r="M183" s="458" t="inlineStr">
        <is>
          <t>계단식</t>
        </is>
      </c>
      <c r="N183" s="458" t="n">
        <v>3</v>
      </c>
      <c r="O183" s="458" t="n">
        <v>2</v>
      </c>
      <c r="P183" s="458" t="n">
        <v>98</v>
      </c>
      <c r="Q183" s="587" t="n"/>
      <c r="R183" s="593" t="inlineStr">
        <is>
          <t>-</t>
        </is>
      </c>
      <c r="S183" s="581">
        <f>Q183-R183</f>
        <v/>
      </c>
      <c r="T183" s="71">
        <f>R183/Q183</f>
        <v/>
      </c>
      <c r="U183" s="588" t="n"/>
      <c r="V183" s="614" t="n"/>
      <c r="W183" s="458" t="inlineStr">
        <is>
          <t>계단식</t>
        </is>
      </c>
      <c r="X183" s="458" t="n">
        <v>3</v>
      </c>
      <c r="Y183" s="458" t="n">
        <v>2</v>
      </c>
      <c r="Z183" s="458" t="n">
        <v>98</v>
      </c>
      <c r="AC183" s="37">
        <f>L183</f>
        <v/>
      </c>
      <c r="AD183" s="583" t="n"/>
      <c r="AE183" s="583" t="n"/>
      <c r="AF183" s="38">
        <f>AE183/AD183</f>
        <v/>
      </c>
      <c r="AG183" s="39">
        <f>AD183-AE183</f>
        <v/>
      </c>
      <c r="AH183" s="458" t="n">
        <v>2026.04</v>
      </c>
      <c r="AI183" s="458" t="n"/>
      <c r="AJ183" s="458">
        <f>AI183-AD183</f>
        <v/>
      </c>
      <c r="AK183" s="129">
        <f>(AI183-AD183)/AD183</f>
        <v/>
      </c>
      <c r="AL183" s="458">
        <f>AJ183/AG183</f>
        <v/>
      </c>
      <c r="AM183" s="236" t="n"/>
      <c r="AO183" s="458" t="n"/>
      <c r="AP183" s="458" t="n"/>
      <c r="AQ183" s="458" t="n"/>
      <c r="AR183" s="458" t="n"/>
      <c r="AS183" s="458" t="n"/>
      <c r="AT183" s="458" t="n"/>
      <c r="AU183" s="458" t="n"/>
      <c r="AW183" s="458" t="n"/>
      <c r="AX183" s="458" t="n"/>
      <c r="AY183" s="458" t="n"/>
    </row>
    <row r="184" ht="16" customHeight="1" s="476" thickBot="1">
      <c r="A184" s="458" t="inlineStr">
        <is>
          <t>신부동</t>
        </is>
      </c>
      <c r="B184" s="159" t="n"/>
      <c r="C184" s="159" t="n"/>
      <c r="D184" s="458" t="n">
        <v>143063</v>
      </c>
      <c r="E184" s="146" t="inlineStr">
        <is>
          <t>포레나천안신부</t>
        </is>
      </c>
      <c r="F184" s="458" t="n">
        <v>2023.12</v>
      </c>
      <c r="G184" s="458" t="n">
        <v>602</v>
      </c>
      <c r="H184" s="458">
        <f>2026-F184+1</f>
        <v/>
      </c>
      <c r="I184" s="458" t="inlineStr">
        <is>
          <t>141A, 141B</t>
        </is>
      </c>
      <c r="J184" s="458" t="n">
        <v>141</v>
      </c>
      <c r="K184" s="458" t="n">
        <v>113</v>
      </c>
      <c r="L184" s="458" t="n">
        <v>43</v>
      </c>
      <c r="M184" s="458" t="inlineStr">
        <is>
          <t>계단식</t>
        </is>
      </c>
      <c r="N184" s="458" t="n">
        <v>3</v>
      </c>
      <c r="O184" s="458" t="n">
        <v>2</v>
      </c>
      <c r="P184" s="458" t="n">
        <v>156</v>
      </c>
      <c r="Q184" s="599" t="n"/>
      <c r="R184" s="605" t="inlineStr">
        <is>
          <t>-</t>
        </is>
      </c>
      <c r="S184" s="581">
        <f>Q184-R184</f>
        <v/>
      </c>
      <c r="T184" s="71">
        <f>R184/Q184</f>
        <v/>
      </c>
      <c r="U184" s="600" t="n"/>
      <c r="V184" s="601" t="n"/>
      <c r="W184" s="458" t="inlineStr">
        <is>
          <t>계단식</t>
        </is>
      </c>
      <c r="X184" s="458" t="n">
        <v>3</v>
      </c>
      <c r="Y184" s="458" t="n">
        <v>2</v>
      </c>
      <c r="Z184" s="458" t="n">
        <v>156</v>
      </c>
      <c r="AC184" s="37">
        <f>L184</f>
        <v/>
      </c>
      <c r="AD184" s="583" t="n"/>
      <c r="AE184" s="583" t="n"/>
      <c r="AF184" s="38">
        <f>AE184/AD184</f>
        <v/>
      </c>
      <c r="AG184" s="39">
        <f>AD184-AE184</f>
        <v/>
      </c>
      <c r="AH184" s="458" t="n">
        <v>2026.04</v>
      </c>
      <c r="AI184" s="458" t="n"/>
      <c r="AJ184" s="458">
        <f>AI184-AD184</f>
        <v/>
      </c>
      <c r="AK184" s="129">
        <f>(AI184-AD184)/AD184</f>
        <v/>
      </c>
      <c r="AL184" s="458">
        <f>AJ184/AG184</f>
        <v/>
      </c>
      <c r="AM184" s="236" t="n"/>
      <c r="AO184" s="458" t="n"/>
      <c r="AP184" s="458" t="n"/>
      <c r="AQ184" s="458" t="n"/>
      <c r="AR184" s="458" t="n"/>
      <c r="AS184" s="458" t="n"/>
      <c r="AT184" s="458" t="n"/>
      <c r="AU184" s="458" t="n"/>
      <c r="AW184" s="458" t="n"/>
      <c r="AX184" s="458" t="n"/>
      <c r="AY184" s="458" t="n"/>
    </row>
    <row r="185" ht="15.5" customHeight="1" s="476">
      <c r="A185" s="458" t="inlineStr">
        <is>
          <t>신부동</t>
        </is>
      </c>
      <c r="B185" s="159" t="n"/>
      <c r="C185" s="159" t="n"/>
      <c r="D185" s="458" t="n">
        <v>143063</v>
      </c>
      <c r="E185" s="146" t="inlineStr">
        <is>
          <t>포레나천안신부</t>
        </is>
      </c>
      <c r="F185" s="458" t="n">
        <v>2023.12</v>
      </c>
      <c r="G185" s="458" t="n">
        <v>602</v>
      </c>
      <c r="H185" s="458">
        <f>2026-F185+1</f>
        <v/>
      </c>
      <c r="I185" s="458" t="inlineStr">
        <is>
          <t>199A, 199B</t>
        </is>
      </c>
      <c r="J185" s="458" t="n">
        <v>199</v>
      </c>
      <c r="K185" s="458" t="n">
        <v>159</v>
      </c>
      <c r="L185" s="458" t="n">
        <v>60</v>
      </c>
      <c r="M185" s="458" t="inlineStr">
        <is>
          <t>계단식</t>
        </is>
      </c>
      <c r="N185" s="458" t="n">
        <v>5</v>
      </c>
      <c r="O185" s="458" t="n">
        <v>3</v>
      </c>
      <c r="P185" s="458" t="n">
        <v>3</v>
      </c>
      <c r="Q185" s="602" t="n"/>
      <c r="R185" s="619" t="inlineStr">
        <is>
          <t>-</t>
        </is>
      </c>
      <c r="S185" s="581">
        <f>Q185-R185</f>
        <v/>
      </c>
      <c r="T185" s="71">
        <f>R185/Q185</f>
        <v/>
      </c>
      <c r="U185" s="603" t="n"/>
      <c r="V185" s="604" t="n"/>
      <c r="W185" s="458" t="inlineStr">
        <is>
          <t>계단식</t>
        </is>
      </c>
      <c r="X185" s="458" t="n">
        <v>5</v>
      </c>
      <c r="Y185" s="458" t="n">
        <v>3</v>
      </c>
      <c r="Z185" s="458" t="n">
        <v>3</v>
      </c>
      <c r="AC185" s="37">
        <f>L185</f>
        <v/>
      </c>
      <c r="AD185" s="583" t="n"/>
      <c r="AE185" s="583" t="n"/>
      <c r="AF185" s="38">
        <f>AE185/AD185</f>
        <v/>
      </c>
      <c r="AG185" s="39">
        <f>AD185-AE185</f>
        <v/>
      </c>
      <c r="AH185" s="458" t="n">
        <v>2026.04</v>
      </c>
      <c r="AI185" s="458" t="n"/>
      <c r="AJ185" s="458">
        <f>AI185-AD185</f>
        <v/>
      </c>
      <c r="AK185" s="129">
        <f>(AI185-AD185)/AD185</f>
        <v/>
      </c>
      <c r="AL185" s="458">
        <f>AJ185/AG185</f>
        <v/>
      </c>
      <c r="AM185" s="236" t="n"/>
    </row>
    <row r="186" ht="15.5" customHeight="1" s="476">
      <c r="A186" s="458" t="inlineStr">
        <is>
          <t>신부동</t>
        </is>
      </c>
      <c r="B186" s="159" t="n"/>
      <c r="C186" s="159" t="n"/>
      <c r="D186" s="458" t="n">
        <v>152942</v>
      </c>
      <c r="E186" s="146" t="inlineStr">
        <is>
          <t>더샵신부센트라</t>
        </is>
      </c>
      <c r="F186" s="458" t="n">
        <v>2025.06</v>
      </c>
      <c r="G186" s="458" t="n">
        <v>592</v>
      </c>
      <c r="H186" s="458">
        <f>2026-F186+1</f>
        <v/>
      </c>
      <c r="I186" s="458" t="inlineStr">
        <is>
          <t>128</t>
        </is>
      </c>
      <c r="J186" s="458" t="n">
        <v>128</v>
      </c>
      <c r="K186" s="458" t="n">
        <v>101</v>
      </c>
      <c r="L186" s="458" t="n">
        <v>39</v>
      </c>
      <c r="M186" s="458" t="inlineStr">
        <is>
          <t>계단식</t>
        </is>
      </c>
      <c r="N186" s="458" t="n">
        <v>4</v>
      </c>
      <c r="O186" s="458" t="n">
        <v>2</v>
      </c>
      <c r="P186" s="458" t="n">
        <v>40</v>
      </c>
      <c r="Q186" s="587" t="n"/>
      <c r="R186" s="593" t="inlineStr">
        <is>
          <t>-</t>
        </is>
      </c>
      <c r="S186" s="581">
        <f>Q186-R186</f>
        <v/>
      </c>
      <c r="T186" s="71">
        <f>R186/Q186</f>
        <v/>
      </c>
      <c r="U186" s="588" t="n"/>
      <c r="V186" s="614" t="n"/>
      <c r="W186" s="458" t="inlineStr">
        <is>
          <t>계단식</t>
        </is>
      </c>
      <c r="X186" s="458" t="n">
        <v>4</v>
      </c>
      <c r="Y186" s="458" t="n">
        <v>2</v>
      </c>
      <c r="Z186" s="458" t="n">
        <v>40</v>
      </c>
      <c r="AC186" s="37">
        <f>L186</f>
        <v/>
      </c>
      <c r="AD186" s="583" t="n"/>
      <c r="AE186" s="583" t="n"/>
      <c r="AF186" s="38">
        <f>AE186/AD186</f>
        <v/>
      </c>
      <c r="AG186" s="39">
        <f>AD186-AE186</f>
        <v/>
      </c>
      <c r="AH186" s="458" t="n">
        <v>2026.04</v>
      </c>
      <c r="AI186" s="458" t="n"/>
      <c r="AJ186" s="458">
        <f>AI186-AD186</f>
        <v/>
      </c>
      <c r="AK186" s="129">
        <f>(AI186-AD186)/AD186</f>
        <v/>
      </c>
      <c r="AL186" s="458">
        <f>AJ186/AG186</f>
        <v/>
      </c>
      <c r="AM186" s="236" t="n"/>
    </row>
    <row r="187" ht="15.5" customHeight="1" s="476">
      <c r="A187" s="458" t="inlineStr">
        <is>
          <t>신부동</t>
        </is>
      </c>
      <c r="D187" s="458" t="n">
        <v>152942</v>
      </c>
      <c r="E187" s="146" t="inlineStr">
        <is>
          <t>더샵신부센트라</t>
        </is>
      </c>
      <c r="F187" s="458" t="n">
        <v>2025.06</v>
      </c>
      <c r="G187" s="458" t="n">
        <v>592</v>
      </c>
      <c r="H187" s="458">
        <f>2026-F187+1</f>
        <v/>
      </c>
      <c r="I187" s="458" t="inlineStr">
        <is>
          <t>197</t>
        </is>
      </c>
      <c r="J187" s="458" t="n">
        <v>197</v>
      </c>
      <c r="K187" s="458" t="n">
        <v>150</v>
      </c>
      <c r="L187" s="458" t="n">
        <v>60</v>
      </c>
      <c r="M187" s="458" t="inlineStr">
        <is>
          <t>계단식</t>
        </is>
      </c>
      <c r="N187" s="458" t="n">
        <v>4</v>
      </c>
      <c r="O187" s="458" t="n">
        <v>2</v>
      </c>
      <c r="P187" s="458" t="n">
        <v>4</v>
      </c>
      <c r="Q187" s="587" t="n"/>
      <c r="R187" s="593" t="inlineStr">
        <is>
          <t>-</t>
        </is>
      </c>
      <c r="S187" s="581">
        <f>Q187-R187</f>
        <v/>
      </c>
      <c r="T187" s="71">
        <f>R187/Q187</f>
        <v/>
      </c>
      <c r="U187" s="588" t="n"/>
      <c r="V187" s="614" t="n"/>
      <c r="W187" s="458" t="inlineStr">
        <is>
          <t>계단식</t>
        </is>
      </c>
      <c r="X187" s="458" t="n">
        <v>4</v>
      </c>
      <c r="Y187" s="458" t="n">
        <v>2</v>
      </c>
      <c r="Z187" s="458" t="n">
        <v>4</v>
      </c>
      <c r="AC187" s="93">
        <f>L187</f>
        <v/>
      </c>
      <c r="AD187" s="583" t="n"/>
      <c r="AE187" s="583" t="n"/>
      <c r="AF187" s="38">
        <f>AE187/AD187</f>
        <v/>
      </c>
      <c r="AG187" s="39">
        <f>AD187-AE187</f>
        <v/>
      </c>
      <c r="AH187" s="458" t="n">
        <v>2026.04</v>
      </c>
      <c r="AI187" s="458" t="n"/>
      <c r="AJ187" s="458">
        <f>AI187-AD187</f>
        <v/>
      </c>
      <c r="AK187" s="129">
        <f>(AI187-AD187)/AD187</f>
        <v/>
      </c>
      <c r="AL187" s="458">
        <f>AJ187/AG187</f>
        <v/>
      </c>
    </row>
    <row r="188" ht="15.5" customHeight="1" s="476">
      <c r="A188" s="458" t="inlineStr">
        <is>
          <t>신부동</t>
        </is>
      </c>
      <c r="D188" s="458" t="n">
        <v>7421</v>
      </c>
      <c r="E188" s="146" t="inlineStr">
        <is>
          <t>경남아너스빌</t>
        </is>
      </c>
      <c r="F188" s="458" t="n">
        <v>2000.03</v>
      </c>
      <c r="G188" s="458" t="n">
        <v>619</v>
      </c>
      <c r="H188" s="458">
        <f>2026-F188+1</f>
        <v/>
      </c>
      <c r="I188" s="458" t="inlineStr">
        <is>
          <t>145</t>
        </is>
      </c>
      <c r="J188" s="458" t="n">
        <v>145</v>
      </c>
      <c r="K188" s="458" t="n">
        <v>115</v>
      </c>
      <c r="L188" s="458" t="n">
        <v>44</v>
      </c>
      <c r="M188" s="458" t="inlineStr">
        <is>
          <t>계단식</t>
        </is>
      </c>
      <c r="N188" s="458" t="n">
        <v>4</v>
      </c>
      <c r="O188" s="458" t="n">
        <v>2</v>
      </c>
      <c r="P188" s="458" t="n">
        <v>98</v>
      </c>
      <c r="Q188" s="587" t="n"/>
      <c r="R188" s="593" t="inlineStr">
        <is>
          <t>-</t>
        </is>
      </c>
      <c r="S188" s="581">
        <f>Q188-R188</f>
        <v/>
      </c>
      <c r="T188" s="71">
        <f>R188/Q188</f>
        <v/>
      </c>
      <c r="U188" s="588" t="n">
        <v>29500</v>
      </c>
      <c r="V188" s="614" t="n">
        <v>23000</v>
      </c>
      <c r="W188" s="458" t="inlineStr">
        <is>
          <t>계단식</t>
        </is>
      </c>
      <c r="X188" s="458" t="n">
        <v>4</v>
      </c>
      <c r="Y188" s="458" t="n">
        <v>2</v>
      </c>
      <c r="Z188" s="458" t="n">
        <v>98</v>
      </c>
      <c r="AA188" s="458" t="n">
        <v>2018.1</v>
      </c>
      <c r="AB188" s="458" t="n">
        <v>0.03</v>
      </c>
      <c r="AC188" s="37">
        <f>L188</f>
        <v/>
      </c>
      <c r="AD188" s="583" t="n">
        <v>18000</v>
      </c>
      <c r="AE188" s="583" t="n">
        <v>16000</v>
      </c>
      <c r="AF188" s="38">
        <f>AE188/AD188</f>
        <v/>
      </c>
      <c r="AG188" s="39">
        <f>AD188-AE188</f>
        <v/>
      </c>
      <c r="AH188" s="458" t="n">
        <v>2026.04</v>
      </c>
      <c r="AI188" s="458" t="n"/>
      <c r="AJ188" s="458">
        <f>AI188-AD188</f>
        <v/>
      </c>
      <c r="AK188" s="129">
        <f>(AI188-AD188)/AD188</f>
        <v/>
      </c>
      <c r="AL188" s="458">
        <f>AJ188/AG188</f>
        <v/>
      </c>
      <c r="AO188" s="458" t="n"/>
      <c r="AP188" s="458" t="n"/>
      <c r="AQ188" s="458" t="n"/>
      <c r="AR188" s="458" t="n"/>
      <c r="AS188" s="458" t="n"/>
      <c r="AT188" s="458" t="n"/>
      <c r="AU188" s="458" t="n"/>
      <c r="AW188" s="458" t="n"/>
      <c r="AX188" s="458" t="n"/>
      <c r="AY188" s="458" t="n"/>
    </row>
    <row r="189" ht="15.5" customHeight="1" s="476">
      <c r="A189" s="458" t="inlineStr">
        <is>
          <t>신부동</t>
        </is>
      </c>
      <c r="D189" s="458" t="n">
        <v>7420</v>
      </c>
      <c r="E189" s="146" t="inlineStr">
        <is>
          <t>대림한들</t>
        </is>
      </c>
      <c r="F189" s="458" t="n">
        <v>1995.1</v>
      </c>
      <c r="G189" s="458" t="n">
        <v>599</v>
      </c>
      <c r="H189" s="458">
        <f>2026-F189+1</f>
        <v/>
      </c>
      <c r="I189" s="458" t="inlineStr">
        <is>
          <t>121A, 121B</t>
        </is>
      </c>
      <c r="J189" s="458" t="n">
        <v>121</v>
      </c>
      <c r="K189" s="458" t="n">
        <v>101</v>
      </c>
      <c r="L189" s="458" t="n">
        <v>37</v>
      </c>
      <c r="M189" s="458" t="inlineStr">
        <is>
          <t>계단식</t>
        </is>
      </c>
      <c r="N189" s="458" t="n">
        <v>4</v>
      </c>
      <c r="O189" s="458" t="n">
        <v>2</v>
      </c>
      <c r="P189" s="458" t="n">
        <v>240</v>
      </c>
      <c r="Q189" s="587" t="n"/>
      <c r="R189" s="593" t="inlineStr">
        <is>
          <t>-</t>
        </is>
      </c>
      <c r="S189" s="581">
        <f>Q189-R189</f>
        <v/>
      </c>
      <c r="T189" s="71">
        <f>R189/Q189</f>
        <v/>
      </c>
      <c r="U189" s="588" t="n">
        <v>28000</v>
      </c>
      <c r="V189" s="614" t="n">
        <v>22900</v>
      </c>
      <c r="W189" s="458" t="inlineStr">
        <is>
          <t>계단식</t>
        </is>
      </c>
      <c r="X189" s="458" t="n">
        <v>4</v>
      </c>
      <c r="Y189" s="458" t="n">
        <v>2</v>
      </c>
      <c r="Z189" s="458" t="n">
        <v>240</v>
      </c>
      <c r="AA189" s="458" t="n">
        <v>2019.05</v>
      </c>
      <c r="AB189" s="458" t="n">
        <v>1.04</v>
      </c>
      <c r="AC189" s="37">
        <f>L189</f>
        <v/>
      </c>
      <c r="AD189" s="583" t="n">
        <v>18233</v>
      </c>
      <c r="AE189" s="583" t="n">
        <v>16083</v>
      </c>
      <c r="AF189" s="38">
        <f>AE189/AD189</f>
        <v/>
      </c>
      <c r="AG189" s="39">
        <f>AD189-AE189</f>
        <v/>
      </c>
      <c r="AH189" s="458" t="n">
        <v>2026.04</v>
      </c>
      <c r="AI189" s="458" t="n"/>
      <c r="AJ189" s="458">
        <f>AI189-AD189</f>
        <v/>
      </c>
      <c r="AK189" s="129">
        <f>(AI189-AD189)/AD189</f>
        <v/>
      </c>
      <c r="AL189" s="458">
        <f>AJ189/AG189</f>
        <v/>
      </c>
    </row>
    <row r="190" ht="16" customHeight="1" s="476" thickBot="1">
      <c r="A190" s="494" t="inlineStr">
        <is>
          <t>신부동</t>
        </is>
      </c>
      <c r="B190" s="88" t="n"/>
      <c r="C190" s="89" t="n"/>
      <c r="D190" s="494" t="n">
        <v>26534</v>
      </c>
      <c r="E190" s="133" t="inlineStr">
        <is>
          <t>휴먼시아</t>
        </is>
      </c>
      <c r="F190" s="494" t="n">
        <v>2009.09</v>
      </c>
      <c r="G190" s="494" t="n">
        <v>497</v>
      </c>
      <c r="H190" s="494">
        <f>2026-F190+1</f>
        <v/>
      </c>
      <c r="I190" s="494" t="inlineStr">
        <is>
          <t>68</t>
        </is>
      </c>
      <c r="J190" s="494" t="n">
        <v>68</v>
      </c>
      <c r="K190" s="494" t="n">
        <v>51</v>
      </c>
      <c r="L190" s="494" t="n">
        <v>21</v>
      </c>
      <c r="M190" s="494" t="inlineStr">
        <is>
          <t>계단식</t>
        </is>
      </c>
      <c r="N190" s="494" t="n">
        <v>2</v>
      </c>
      <c r="O190" s="494" t="n">
        <v>1</v>
      </c>
      <c r="P190" s="494" t="n">
        <v>64</v>
      </c>
      <c r="Q190" s="615" t="n"/>
      <c r="R190" s="616" t="inlineStr">
        <is>
          <t>-</t>
        </is>
      </c>
      <c r="S190" s="581">
        <f>Q190-R190</f>
        <v/>
      </c>
      <c r="T190" s="71">
        <f>R190/Q190</f>
        <v/>
      </c>
      <c r="U190" s="617" t="n">
        <v>24000</v>
      </c>
      <c r="V190" s="618" t="n">
        <v>22000</v>
      </c>
      <c r="W190" s="458" t="inlineStr">
        <is>
          <t>계단식</t>
        </is>
      </c>
      <c r="X190" s="458" t="n">
        <v>2</v>
      </c>
      <c r="Y190" s="458" t="n">
        <v>1</v>
      </c>
      <c r="Z190" s="458" t="n">
        <v>64</v>
      </c>
      <c r="AA190" s="289" t="n">
        <v>2020.03</v>
      </c>
      <c r="AB190" s="289" t="n">
        <v>0.1</v>
      </c>
      <c r="AC190" s="77">
        <f>L190</f>
        <v/>
      </c>
      <c r="AD190" s="586" t="n">
        <v>18733</v>
      </c>
      <c r="AE190" s="586" t="n">
        <v>18833</v>
      </c>
      <c r="AF190" s="78">
        <f>AE190/AD190</f>
        <v/>
      </c>
      <c r="AG190" s="79">
        <f>AD190-AE190</f>
        <v/>
      </c>
      <c r="AH190" s="458" t="n">
        <v>2026.04</v>
      </c>
      <c r="AI190" s="458" t="n"/>
      <c r="AJ190" s="458">
        <f>AI190-AD190</f>
        <v/>
      </c>
      <c r="AK190" s="129">
        <f>(AI190-AD190)/AD190</f>
        <v/>
      </c>
      <c r="AL190" s="142">
        <f>AJ190/AG190</f>
        <v/>
      </c>
      <c r="AM190" s="111" t="n"/>
      <c r="AN190" s="289" t="n"/>
      <c r="AV190" s="289" t="n"/>
    </row>
    <row r="191" ht="15.5" customHeight="1" s="476">
      <c r="A191" s="458" t="inlineStr">
        <is>
          <t>신부동</t>
        </is>
      </c>
      <c r="B191" s="159" t="n"/>
      <c r="C191" s="159" t="n"/>
      <c r="D191" s="458" t="n">
        <v>7420</v>
      </c>
      <c r="E191" s="146" t="inlineStr">
        <is>
          <t>대림한들</t>
        </is>
      </c>
      <c r="F191" s="458" t="n">
        <v>1995.1</v>
      </c>
      <c r="G191" s="458" t="n">
        <v>599</v>
      </c>
      <c r="H191" s="458">
        <f>2026-F191+1</f>
        <v/>
      </c>
      <c r="I191" s="458" t="inlineStr">
        <is>
          <t>117</t>
        </is>
      </c>
      <c r="J191" s="458" t="n">
        <v>117</v>
      </c>
      <c r="K191" s="458" t="n">
        <v>98</v>
      </c>
      <c r="L191" s="458" t="n">
        <v>35</v>
      </c>
      <c r="M191" s="458" t="inlineStr">
        <is>
          <t>계단식</t>
        </is>
      </c>
      <c r="N191" s="458" t="n">
        <v>3</v>
      </c>
      <c r="O191" s="458" t="n">
        <v>2</v>
      </c>
      <c r="P191" s="458" t="n">
        <v>359</v>
      </c>
      <c r="Q191" s="589" t="n"/>
      <c r="R191" s="620" t="inlineStr">
        <is>
          <t>-</t>
        </is>
      </c>
      <c r="S191" s="581">
        <f>Q191-R191</f>
        <v/>
      </c>
      <c r="T191" s="71">
        <f>R191/Q191</f>
        <v/>
      </c>
      <c r="U191" s="590" t="n">
        <v>31000</v>
      </c>
      <c r="V191" s="590" t="n">
        <v>20000</v>
      </c>
      <c r="W191" s="458" t="inlineStr">
        <is>
          <t>계단식</t>
        </is>
      </c>
      <c r="X191" s="458" t="n">
        <v>3</v>
      </c>
      <c r="Y191" s="458" t="n">
        <v>2</v>
      </c>
      <c r="Z191" s="458" t="n">
        <v>359</v>
      </c>
      <c r="AA191" s="458" t="n">
        <v>2019.08</v>
      </c>
      <c r="AB191" s="458" t="n">
        <v>0.05</v>
      </c>
      <c r="AC191" s="159">
        <f>L191</f>
        <v/>
      </c>
      <c r="AD191" s="509" t="n">
        <v>19918</v>
      </c>
      <c r="AE191" s="509" t="n">
        <v>16000</v>
      </c>
      <c r="AF191" s="137">
        <f>AE191/AD191</f>
        <v/>
      </c>
      <c r="AG191" s="144">
        <f>AD191-AE191</f>
        <v/>
      </c>
      <c r="AH191" s="458" t="n">
        <v>2026.04</v>
      </c>
      <c r="AI191" s="458" t="n"/>
      <c r="AJ191" s="458">
        <f>AI191-AD191</f>
        <v/>
      </c>
      <c r="AK191" s="129">
        <f>(AI191-AD191)/AD191</f>
        <v/>
      </c>
      <c r="AL191" s="458">
        <f>AJ191/AG191</f>
        <v/>
      </c>
      <c r="AM191" s="236" t="n"/>
      <c r="AO191" s="458" t="n"/>
      <c r="AP191" s="458" t="n"/>
      <c r="AQ191" s="458" t="n"/>
      <c r="AR191" s="458" t="n"/>
      <c r="AS191" s="458" t="n"/>
      <c r="AT191" s="458" t="n"/>
      <c r="AU191" s="458" t="n"/>
      <c r="AW191" s="458" t="n"/>
      <c r="AX191" s="458" t="n"/>
      <c r="AY191" s="458" t="n"/>
    </row>
    <row r="192" ht="15.5" customHeight="1" s="476">
      <c r="A192" s="458" t="inlineStr">
        <is>
          <t>안서동</t>
        </is>
      </c>
      <c r="B192" s="159" t="n"/>
      <c r="C192" s="159" t="n"/>
      <c r="D192" s="458" t="n">
        <v>10920</v>
      </c>
      <c r="E192" s="146" t="inlineStr">
        <is>
          <t>부경파크빌2차</t>
        </is>
      </c>
      <c r="F192" s="458" t="n">
        <v>2004.07</v>
      </c>
      <c r="G192" s="458" t="n">
        <v>487</v>
      </c>
      <c r="H192" s="458">
        <f>2026-F192+1</f>
        <v/>
      </c>
      <c r="I192" s="458" t="inlineStr">
        <is>
          <t>185</t>
        </is>
      </c>
      <c r="J192" s="458" t="n">
        <v>185</v>
      </c>
      <c r="K192" s="458" t="n">
        <v>141</v>
      </c>
      <c r="L192" s="458" t="n">
        <v>56</v>
      </c>
      <c r="M192" s="458" t="inlineStr">
        <is>
          <t>계단식</t>
        </is>
      </c>
      <c r="N192" s="458" t="n">
        <v>4</v>
      </c>
      <c r="O192" s="458" t="n">
        <v>2</v>
      </c>
      <c r="P192" s="458" t="n">
        <v>11</v>
      </c>
      <c r="Q192" s="536" t="n"/>
      <c r="R192" s="621" t="inlineStr">
        <is>
          <t>-</t>
        </is>
      </c>
      <c r="S192" s="581">
        <f>Q192-R192</f>
        <v/>
      </c>
      <c r="T192" s="71">
        <f>R192/Q192</f>
        <v/>
      </c>
      <c r="U192" s="622" t="n">
        <v>27500</v>
      </c>
      <c r="V192" s="622" t="n"/>
      <c r="W192" s="458" t="inlineStr">
        <is>
          <t>계단식</t>
        </is>
      </c>
      <c r="X192" s="458" t="n">
        <v>4</v>
      </c>
      <c r="Y192" s="458" t="n">
        <v>2</v>
      </c>
      <c r="Z192" s="458" t="n">
        <v>11</v>
      </c>
      <c r="AC192" s="458">
        <f>L192</f>
        <v/>
      </c>
      <c r="AD192" s="509" t="n"/>
      <c r="AE192" s="509" t="n"/>
      <c r="AF192" s="137">
        <f>AE192/AD192</f>
        <v/>
      </c>
      <c r="AG192" s="144">
        <f>AD192-AE192</f>
        <v/>
      </c>
      <c r="AH192" s="458" t="n">
        <v>2026.04</v>
      </c>
      <c r="AI192" s="458" t="n"/>
      <c r="AJ192" s="458">
        <f>AI192-AD192</f>
        <v/>
      </c>
      <c r="AK192" s="129">
        <f>(AI192-AD192)/AD192</f>
        <v/>
      </c>
      <c r="AL192" s="458">
        <f>AJ192/AG192</f>
        <v/>
      </c>
      <c r="AM192" s="236" t="n"/>
    </row>
    <row r="193" ht="17" customHeight="1" s="476">
      <c r="A193" s="458" t="inlineStr">
        <is>
          <t>안서동</t>
        </is>
      </c>
      <c r="B193" s="159" t="n"/>
      <c r="C193" s="159" t="n"/>
      <c r="D193" s="458" t="n">
        <v>10920</v>
      </c>
      <c r="E193" s="146" t="inlineStr">
        <is>
          <t>부경파크빌2차</t>
        </is>
      </c>
      <c r="F193" s="458" t="n">
        <v>2004.07</v>
      </c>
      <c r="G193" s="458" t="n">
        <v>487</v>
      </c>
      <c r="H193" s="458">
        <f>2026-F193+1</f>
        <v/>
      </c>
      <c r="I193" s="458" t="inlineStr">
        <is>
          <t>206</t>
        </is>
      </c>
      <c r="J193" s="458" t="n">
        <v>206</v>
      </c>
      <c r="K193" s="458" t="n">
        <v>160</v>
      </c>
      <c r="L193" s="458" t="n">
        <v>62</v>
      </c>
      <c r="M193" s="458" t="inlineStr">
        <is>
          <t>계단식</t>
        </is>
      </c>
      <c r="N193" s="458" t="n">
        <v>5</v>
      </c>
      <c r="O193" s="458" t="n">
        <v>2</v>
      </c>
      <c r="P193" s="458" t="n">
        <v>30</v>
      </c>
      <c r="Q193" s="536" t="n"/>
      <c r="R193" s="621" t="inlineStr">
        <is>
          <t>-</t>
        </is>
      </c>
      <c r="S193" s="581">
        <f>Q193-R193</f>
        <v/>
      </c>
      <c r="T193" s="71">
        <f>R193/Q193</f>
        <v/>
      </c>
      <c r="U193" s="622" t="n">
        <v>36000</v>
      </c>
      <c r="V193" s="622" t="n">
        <v>30000</v>
      </c>
      <c r="W193" s="458" t="inlineStr">
        <is>
          <t>계단식</t>
        </is>
      </c>
      <c r="X193" s="458" t="n">
        <v>5</v>
      </c>
      <c r="Y193" s="458" t="n">
        <v>2</v>
      </c>
      <c r="Z193" s="458" t="n">
        <v>30</v>
      </c>
      <c r="AC193" s="458">
        <f>L193</f>
        <v/>
      </c>
      <c r="AD193" s="509" t="n"/>
      <c r="AE193" s="509" t="n"/>
      <c r="AF193" s="137">
        <f>AE193/AD193</f>
        <v/>
      </c>
      <c r="AG193" s="144">
        <f>AD193-AE193</f>
        <v/>
      </c>
      <c r="AH193" s="458" t="n">
        <v>2026.04</v>
      </c>
      <c r="AI193" s="458" t="n"/>
      <c r="AJ193" s="458">
        <f>AI193-AD193</f>
        <v/>
      </c>
      <c r="AK193" s="129">
        <f>(AI193-AD193)/AD193</f>
        <v/>
      </c>
      <c r="AL193" s="458">
        <f>AJ193/AG193</f>
        <v/>
      </c>
      <c r="AM193" s="236" t="n"/>
    </row>
    <row r="194" ht="17" customHeight="1" s="476">
      <c r="A194" s="494" t="inlineStr">
        <is>
          <t>안서동</t>
        </is>
      </c>
      <c r="B194" s="88" t="n"/>
      <c r="C194" s="89" t="n"/>
      <c r="D194" s="494" t="n">
        <v>100381</v>
      </c>
      <c r="E194" s="133" t="inlineStr">
        <is>
          <t>동보</t>
        </is>
      </c>
      <c r="F194" s="494" t="n">
        <v>1996.05</v>
      </c>
      <c r="G194" s="494" t="n">
        <v>615</v>
      </c>
      <c r="H194" s="494">
        <f>2026-F194+1</f>
        <v/>
      </c>
      <c r="I194" s="494" t="inlineStr">
        <is>
          <t>39</t>
        </is>
      </c>
      <c r="J194" s="494" t="n">
        <v>39</v>
      </c>
      <c r="K194" s="494" t="n">
        <v>32</v>
      </c>
      <c r="L194" s="494" t="n">
        <v>12</v>
      </c>
      <c r="M194" s="494" t="inlineStr">
        <is>
          <t>복도식</t>
        </is>
      </c>
      <c r="N194" s="494" t="n">
        <v>2</v>
      </c>
      <c r="O194" s="494" t="n">
        <v>1</v>
      </c>
      <c r="P194" s="494" t="n">
        <v>1</v>
      </c>
      <c r="Q194" s="623" t="n"/>
      <c r="R194" s="624" t="inlineStr">
        <is>
          <t>-</t>
        </is>
      </c>
      <c r="S194" s="581">
        <f>Q194-R194</f>
        <v/>
      </c>
      <c r="T194" s="71">
        <f>R194/Q194</f>
        <v/>
      </c>
      <c r="U194" s="625" t="n"/>
      <c r="V194" s="625" t="n"/>
      <c r="W194" s="458" t="inlineStr">
        <is>
          <t>복도식</t>
        </is>
      </c>
      <c r="X194" s="458" t="n">
        <v>2</v>
      </c>
      <c r="Y194" s="458" t="n">
        <v>1</v>
      </c>
      <c r="Z194" s="458" t="n">
        <v>1</v>
      </c>
      <c r="AA194" s="289" t="n"/>
      <c r="AB194" s="289" t="n"/>
      <c r="AC194" s="132">
        <f>L194</f>
        <v/>
      </c>
      <c r="AD194" s="591" t="n"/>
      <c r="AE194" s="591" t="n"/>
      <c r="AF194" s="142">
        <f>AE194/AD194</f>
        <v/>
      </c>
      <c r="AG194" s="143">
        <f>AD194-AE194</f>
        <v/>
      </c>
      <c r="AH194" s="458" t="n">
        <v>2026.04</v>
      </c>
      <c r="AI194" s="458" t="n"/>
      <c r="AJ194" s="458">
        <f>AI194-AD194</f>
        <v/>
      </c>
      <c r="AK194" s="129">
        <f>(AI194-AD194)/AD194</f>
        <v/>
      </c>
      <c r="AL194" s="142">
        <f>AJ194/AG194</f>
        <v/>
      </c>
      <c r="AM194" s="111" t="n"/>
      <c r="AN194" s="289" t="n"/>
      <c r="AV194" s="289" t="n"/>
    </row>
    <row r="195" ht="17" customHeight="1" s="476">
      <c r="A195" s="494" t="inlineStr">
        <is>
          <t>안서동</t>
        </is>
      </c>
      <c r="B195" s="88" t="n"/>
      <c r="C195" s="89" t="n"/>
      <c r="D195" s="494" t="n">
        <v>100381</v>
      </c>
      <c r="E195" s="133" t="inlineStr">
        <is>
          <t>동보</t>
        </is>
      </c>
      <c r="F195" s="494" t="n">
        <v>1996.05</v>
      </c>
      <c r="G195" s="494" t="n">
        <v>615</v>
      </c>
      <c r="H195" s="494">
        <f>2026-F195+1</f>
        <v/>
      </c>
      <c r="I195" s="494" t="inlineStr">
        <is>
          <t>46</t>
        </is>
      </c>
      <c r="J195" s="494" t="n">
        <v>46</v>
      </c>
      <c r="K195" s="494" t="n">
        <v>37</v>
      </c>
      <c r="L195" s="494" t="n">
        <v>14</v>
      </c>
      <c r="M195" s="494" t="inlineStr">
        <is>
          <t>복도식</t>
        </is>
      </c>
      <c r="N195" s="494" t="n">
        <v>2</v>
      </c>
      <c r="O195" s="494" t="n">
        <v>1</v>
      </c>
      <c r="P195" s="494" t="n">
        <v>1</v>
      </c>
      <c r="Q195" s="623" t="n"/>
      <c r="R195" s="624" t="inlineStr">
        <is>
          <t>-</t>
        </is>
      </c>
      <c r="S195" s="581">
        <f>Q195-R195</f>
        <v/>
      </c>
      <c r="T195" s="71">
        <f>R195/Q195</f>
        <v/>
      </c>
      <c r="U195" s="625" t="n"/>
      <c r="V195" s="625" t="n"/>
      <c r="W195" s="458" t="inlineStr">
        <is>
          <t>복도식</t>
        </is>
      </c>
      <c r="X195" s="458" t="n">
        <v>2</v>
      </c>
      <c r="Y195" s="458" t="n">
        <v>1</v>
      </c>
      <c r="Z195" s="458" t="n">
        <v>1</v>
      </c>
      <c r="AA195" s="289" t="n"/>
      <c r="AB195" s="289" t="n"/>
      <c r="AC195" s="132">
        <f>L195</f>
        <v/>
      </c>
      <c r="AD195" s="591" t="n"/>
      <c r="AE195" s="591" t="n"/>
      <c r="AF195" s="142">
        <f>AE195/AD195</f>
        <v/>
      </c>
      <c r="AG195" s="143">
        <f>AD195-AE195</f>
        <v/>
      </c>
      <c r="AH195" s="458" t="n">
        <v>2026.04</v>
      </c>
      <c r="AI195" s="458" t="n"/>
      <c r="AJ195" s="458">
        <f>AI195-AD195</f>
        <v/>
      </c>
      <c r="AK195" s="129">
        <f>(AI195-AD195)/AD195</f>
        <v/>
      </c>
      <c r="AL195" s="142">
        <f>AJ195/AG195</f>
        <v/>
      </c>
      <c r="AM195" s="111" t="n"/>
      <c r="AN195" s="289" t="n"/>
      <c r="AV195" s="289" t="n"/>
    </row>
    <row r="196" ht="17" customHeight="1" s="476">
      <c r="A196" s="494" t="inlineStr">
        <is>
          <t>안서동</t>
        </is>
      </c>
      <c r="B196" s="88" t="n"/>
      <c r="C196" s="89" t="n"/>
      <c r="D196" s="494" t="n">
        <v>100381</v>
      </c>
      <c r="E196" s="133" t="inlineStr">
        <is>
          <t>동보</t>
        </is>
      </c>
      <c r="F196" s="494" t="n">
        <v>1996.05</v>
      </c>
      <c r="G196" s="494" t="n">
        <v>615</v>
      </c>
      <c r="H196" s="494">
        <f>2026-F196+1</f>
        <v/>
      </c>
      <c r="I196" s="494" t="inlineStr">
        <is>
          <t>99</t>
        </is>
      </c>
      <c r="J196" s="494" t="n">
        <v>99</v>
      </c>
      <c r="K196" s="494" t="n">
        <v>86</v>
      </c>
      <c r="L196" s="494" t="n">
        <v>30</v>
      </c>
      <c r="M196" s="494" t="inlineStr">
        <is>
          <t>복도식</t>
        </is>
      </c>
      <c r="N196" s="494" t="n">
        <v>3</v>
      </c>
      <c r="O196" s="494" t="n">
        <v>1</v>
      </c>
      <c r="P196" s="494" t="n">
        <v>1</v>
      </c>
      <c r="Q196" s="623" t="n"/>
      <c r="R196" s="624" t="inlineStr">
        <is>
          <t>-</t>
        </is>
      </c>
      <c r="S196" s="581">
        <f>Q196-R196</f>
        <v/>
      </c>
      <c r="T196" s="71">
        <f>R196/Q196</f>
        <v/>
      </c>
      <c r="U196" s="625" t="n"/>
      <c r="V196" s="625" t="n"/>
      <c r="W196" s="458" t="inlineStr">
        <is>
          <t>복도식</t>
        </is>
      </c>
      <c r="X196" s="458" t="n">
        <v>3</v>
      </c>
      <c r="Y196" s="458" t="n">
        <v>1</v>
      </c>
      <c r="Z196" s="458" t="n">
        <v>1</v>
      </c>
      <c r="AA196" s="289" t="n"/>
      <c r="AB196" s="289" t="n"/>
      <c r="AC196" s="132">
        <f>L196</f>
        <v/>
      </c>
      <c r="AD196" s="591" t="n"/>
      <c r="AE196" s="591" t="n"/>
      <c r="AF196" s="142">
        <f>AE196/AD196</f>
        <v/>
      </c>
      <c r="AG196" s="143">
        <f>AD196-AE196</f>
        <v/>
      </c>
      <c r="AH196" s="458" t="n">
        <v>2026.04</v>
      </c>
      <c r="AJ196" s="458">
        <f>AI196-AD196</f>
        <v/>
      </c>
      <c r="AK196" s="129">
        <f>(AI196-AD196)/AD196</f>
        <v/>
      </c>
      <c r="AL196" s="142">
        <f>AJ196/AG196</f>
        <v/>
      </c>
      <c r="AM196" s="111" t="n"/>
      <c r="AN196" s="289" t="n"/>
      <c r="AV196" s="289" t="n"/>
    </row>
    <row r="197" ht="17" customHeight="1" s="476">
      <c r="A197" s="494" t="inlineStr">
        <is>
          <t>안서동</t>
        </is>
      </c>
      <c r="B197" s="88" t="n"/>
      <c r="C197" s="89" t="n"/>
      <c r="D197" s="494" t="n">
        <v>100381</v>
      </c>
      <c r="E197" s="133" t="inlineStr">
        <is>
          <t>동보</t>
        </is>
      </c>
      <c r="F197" s="494" t="n">
        <v>1996.05</v>
      </c>
      <c r="G197" s="494" t="n">
        <v>615</v>
      </c>
      <c r="H197" s="494">
        <f>2026-F197+1</f>
        <v/>
      </c>
      <c r="I197" s="494" t="inlineStr">
        <is>
          <t>35</t>
        </is>
      </c>
      <c r="J197" s="494" t="n">
        <v>35</v>
      </c>
      <c r="K197" s="494" t="n">
        <v>24</v>
      </c>
      <c r="L197" s="494" t="n">
        <v>11</v>
      </c>
      <c r="M197" s="494" t="inlineStr">
        <is>
          <t>복도식</t>
        </is>
      </c>
      <c r="N197" s="494" t="n">
        <v>1</v>
      </c>
      <c r="O197" s="494" t="n">
        <v>1</v>
      </c>
      <c r="P197" s="494" t="n">
        <v>615</v>
      </c>
      <c r="Q197" s="623" t="n"/>
      <c r="R197" s="624" t="inlineStr">
        <is>
          <t>-</t>
        </is>
      </c>
      <c r="S197" s="581">
        <f>Q197-R197</f>
        <v/>
      </c>
      <c r="T197" s="71">
        <f>R197/Q197</f>
        <v/>
      </c>
      <c r="U197" s="625" t="n">
        <v>6400</v>
      </c>
      <c r="V197" s="625" t="n">
        <v>4100</v>
      </c>
      <c r="W197" s="458" t="inlineStr">
        <is>
          <t>복도식</t>
        </is>
      </c>
      <c r="X197" s="458" t="n">
        <v>1</v>
      </c>
      <c r="Y197" s="458" t="n">
        <v>1</v>
      </c>
      <c r="Z197" s="458" t="n">
        <v>615</v>
      </c>
      <c r="AA197" s="289" t="n">
        <v>2020.01</v>
      </c>
      <c r="AB197" s="289" t="n">
        <v>0.01</v>
      </c>
      <c r="AC197" s="132">
        <f>L197</f>
        <v/>
      </c>
      <c r="AD197" s="591" t="n">
        <v>5257</v>
      </c>
      <c r="AE197" s="591" t="n">
        <v>4333</v>
      </c>
      <c r="AF197" s="142">
        <f>AE197/AD197</f>
        <v/>
      </c>
      <c r="AG197" s="143">
        <f>AD197-AE197</f>
        <v/>
      </c>
      <c r="AH197" s="458" t="n">
        <v>2026.04</v>
      </c>
      <c r="AI197" s="458" t="n"/>
      <c r="AJ197" s="458">
        <f>AI197-AD197</f>
        <v/>
      </c>
      <c r="AK197" s="129">
        <f>(AI197-AD197)/AD197</f>
        <v/>
      </c>
      <c r="AL197" s="142">
        <f>AJ197/AG197</f>
        <v/>
      </c>
      <c r="AM197" s="111" t="n"/>
      <c r="AN197" s="289" t="n"/>
      <c r="AO197" s="458" t="n"/>
      <c r="AP197" s="458" t="n"/>
      <c r="AQ197" s="458" t="n"/>
      <c r="AR197" s="458" t="n"/>
      <c r="AS197" s="458" t="n"/>
      <c r="AT197" s="458" t="n"/>
      <c r="AU197" s="458" t="n"/>
      <c r="AV197" s="289" t="n"/>
      <c r="AW197" s="458" t="n"/>
      <c r="AX197" s="458" t="n"/>
      <c r="AY197" s="458" t="n"/>
    </row>
    <row r="198" ht="17" customHeight="1" s="476">
      <c r="A198" s="458" t="inlineStr">
        <is>
          <t>안서동</t>
        </is>
      </c>
      <c r="D198" s="458" t="n">
        <v>10920</v>
      </c>
      <c r="E198" s="146" t="inlineStr">
        <is>
          <t>부경파크빌2차</t>
        </is>
      </c>
      <c r="F198" s="458" t="n">
        <v>2004.07</v>
      </c>
      <c r="G198" s="458" t="n">
        <v>487</v>
      </c>
      <c r="H198" s="458">
        <f>2026-F198+1</f>
        <v/>
      </c>
      <c r="I198" s="458" t="inlineStr">
        <is>
          <t>174, 179</t>
        </is>
      </c>
      <c r="J198" s="458" t="n">
        <v>174</v>
      </c>
      <c r="K198" s="458" t="n">
        <v>135</v>
      </c>
      <c r="L198" s="458" t="n">
        <v>53</v>
      </c>
      <c r="M198" s="458" t="inlineStr">
        <is>
          <t>계단식</t>
        </is>
      </c>
      <c r="N198" s="458" t="n">
        <v>4</v>
      </c>
      <c r="O198" s="458" t="n">
        <v>2</v>
      </c>
      <c r="P198" s="458" t="n">
        <v>150</v>
      </c>
      <c r="Q198" s="536" t="n"/>
      <c r="R198" s="621" t="inlineStr">
        <is>
          <t>-</t>
        </is>
      </c>
      <c r="S198" s="581">
        <f>Q198-R198</f>
        <v/>
      </c>
      <c r="T198" s="71">
        <f>R198/Q198</f>
        <v/>
      </c>
      <c r="U198" s="622" t="n">
        <v>29000</v>
      </c>
      <c r="V198" s="622" t="n">
        <v>22500</v>
      </c>
      <c r="W198" s="458" t="inlineStr">
        <is>
          <t>계단식</t>
        </is>
      </c>
      <c r="X198" s="458" t="n">
        <v>4</v>
      </c>
      <c r="Y198" s="458" t="n">
        <v>2</v>
      </c>
      <c r="Z198" s="458" t="n">
        <v>150</v>
      </c>
      <c r="AA198" s="225" t="n">
        <v>2026.03</v>
      </c>
      <c r="AB198" s="458" t="n">
        <v>0.02</v>
      </c>
      <c r="AC198" s="458">
        <f>L198</f>
        <v/>
      </c>
      <c r="AD198" s="509" t="n">
        <v>19750</v>
      </c>
      <c r="AE198" s="509" t="n">
        <v>18000</v>
      </c>
      <c r="AF198" s="137">
        <f>AE198/AD198</f>
        <v/>
      </c>
      <c r="AG198" s="144">
        <f>AD198-AE198</f>
        <v/>
      </c>
      <c r="AH198" s="458" t="n">
        <v>2026.04</v>
      </c>
      <c r="AI198" s="509" t="n"/>
      <c r="AJ198" s="509">
        <f>AI198-AD198</f>
        <v/>
      </c>
      <c r="AK198" s="129">
        <f>(AI198-AD198)/AD198</f>
        <v/>
      </c>
      <c r="AL198" s="137">
        <f>AJ198/AG198</f>
        <v/>
      </c>
    </row>
    <row r="199" ht="17" customHeight="1" s="476">
      <c r="A199" s="458" t="inlineStr">
        <is>
          <t>안서동</t>
        </is>
      </c>
      <c r="B199" s="159" t="n"/>
      <c r="C199" s="159" t="n"/>
      <c r="D199" s="458" t="n">
        <v>27431</v>
      </c>
      <c r="E199" s="146" t="inlineStr">
        <is>
          <t>안서금호어울림</t>
        </is>
      </c>
      <c r="F199" s="458" t="n">
        <v>2009.08</v>
      </c>
      <c r="G199" s="458" t="n">
        <v>498</v>
      </c>
      <c r="H199" s="458">
        <f>2026-F199+1</f>
        <v/>
      </c>
      <c r="I199" s="458" t="inlineStr">
        <is>
          <t>131</t>
        </is>
      </c>
      <c r="J199" s="458" t="n">
        <v>131</v>
      </c>
      <c r="K199" s="458" t="n">
        <v>99</v>
      </c>
      <c r="L199" s="458" t="n">
        <v>40</v>
      </c>
      <c r="M199" s="458" t="inlineStr">
        <is>
          <t>계단식</t>
        </is>
      </c>
      <c r="N199" s="458" t="n">
        <v>4</v>
      </c>
      <c r="O199" s="458" t="n">
        <v>2</v>
      </c>
      <c r="P199" s="458" t="n">
        <v>74</v>
      </c>
      <c r="Q199" s="536" t="n"/>
      <c r="R199" s="621" t="inlineStr">
        <is>
          <t>-</t>
        </is>
      </c>
      <c r="S199" s="581">
        <f>Q199-R199</f>
        <v/>
      </c>
      <c r="T199" s="71">
        <f>R199/Q199</f>
        <v/>
      </c>
      <c r="U199" s="622" t="n">
        <v>27800</v>
      </c>
      <c r="V199" s="622" t="n">
        <v>25000</v>
      </c>
      <c r="W199" s="458" t="inlineStr">
        <is>
          <t>계단식</t>
        </is>
      </c>
      <c r="X199" s="458" t="n">
        <v>4</v>
      </c>
      <c r="Y199" s="458" t="n">
        <v>2</v>
      </c>
      <c r="Z199" s="458" t="n">
        <v>74</v>
      </c>
      <c r="AA199" s="458" t="n">
        <v>2020.1</v>
      </c>
      <c r="AB199" s="458" t="n">
        <v>1.04</v>
      </c>
      <c r="AC199" s="458">
        <f>L199</f>
        <v/>
      </c>
      <c r="AD199" s="509" t="n">
        <v>20650</v>
      </c>
      <c r="AE199" s="509" t="n">
        <v>19000</v>
      </c>
      <c r="AF199" s="137">
        <f>AE199/AD199</f>
        <v/>
      </c>
      <c r="AG199" s="144">
        <f>AD199-AE199</f>
        <v/>
      </c>
      <c r="AH199" s="458" t="n">
        <v>2026.04</v>
      </c>
      <c r="AI199" s="458" t="n"/>
      <c r="AJ199" s="458">
        <f>AI199-AD199</f>
        <v/>
      </c>
      <c r="AK199" s="129">
        <f>(AI199-AD199)/AD199</f>
        <v/>
      </c>
      <c r="AL199" s="458">
        <f>AJ199/AG199</f>
        <v/>
      </c>
      <c r="AM199" s="236" t="n"/>
    </row>
    <row r="200" ht="17" customHeight="1" s="476">
      <c r="A200" s="494" t="inlineStr">
        <is>
          <t>안서동</t>
        </is>
      </c>
      <c r="B200" s="289" t="n"/>
      <c r="C200" s="289" t="n"/>
      <c r="D200" s="494" t="n">
        <v>17432</v>
      </c>
      <c r="E200" s="133" t="inlineStr">
        <is>
          <t>안서e-편한세상1차</t>
        </is>
      </c>
      <c r="F200" s="494" t="n">
        <v>2005.08</v>
      </c>
      <c r="G200" s="494" t="n">
        <v>492</v>
      </c>
      <c r="H200" s="494">
        <f>2026-F200+1</f>
        <v/>
      </c>
      <c r="I200" s="494" t="inlineStr">
        <is>
          <t>126</t>
        </is>
      </c>
      <c r="J200" s="494" t="n">
        <v>126</v>
      </c>
      <c r="K200" s="494" t="n">
        <v>101</v>
      </c>
      <c r="L200" s="494" t="n">
        <v>38</v>
      </c>
      <c r="M200" s="494" t="inlineStr">
        <is>
          <t>계단식</t>
        </is>
      </c>
      <c r="N200" s="494" t="n">
        <v>3</v>
      </c>
      <c r="O200" s="494" t="n">
        <v>2</v>
      </c>
      <c r="P200" s="494" t="n">
        <v>177</v>
      </c>
      <c r="Q200" s="623" t="n"/>
      <c r="R200" s="624" t="inlineStr">
        <is>
          <t>-</t>
        </is>
      </c>
      <c r="S200" s="581">
        <f>Q200-R200</f>
        <v/>
      </c>
      <c r="T200" s="71">
        <f>R200/Q200</f>
        <v/>
      </c>
      <c r="U200" s="625" t="n">
        <v>28500</v>
      </c>
      <c r="V200" s="625" t="n">
        <v>18000</v>
      </c>
      <c r="W200" s="458" t="inlineStr">
        <is>
          <t>계단식</t>
        </is>
      </c>
      <c r="X200" s="458" t="n">
        <v>3</v>
      </c>
      <c r="Y200" s="458" t="n">
        <v>2</v>
      </c>
      <c r="Z200" s="458" t="n">
        <v>177</v>
      </c>
      <c r="AA200" s="289" t="n">
        <v>2020.1</v>
      </c>
      <c r="AB200" s="289" t="n">
        <v>0.01</v>
      </c>
      <c r="AC200" s="132">
        <f>L200</f>
        <v/>
      </c>
      <c r="AD200" s="591" t="n">
        <v>21270</v>
      </c>
      <c r="AE200" s="591" t="n">
        <v>18500</v>
      </c>
      <c r="AF200" s="142">
        <f>AE200/AD200</f>
        <v/>
      </c>
      <c r="AG200" s="143">
        <f>AD200-AE200</f>
        <v/>
      </c>
      <c r="AH200" s="458" t="n">
        <v>2026.04</v>
      </c>
      <c r="AI200" s="458" t="n"/>
      <c r="AJ200" s="458">
        <f>AI200-AD200</f>
        <v/>
      </c>
      <c r="AK200" s="129">
        <f>(AI200-AD200)/AD200</f>
        <v/>
      </c>
      <c r="AL200" s="142">
        <f>AJ200/AG200</f>
        <v/>
      </c>
      <c r="AM200" s="503" t="n"/>
      <c r="AN200" s="289" t="n"/>
      <c r="AV200" s="494">
        <f t="array" ref="AV200">- 단지 선택 : 생활권별 상중하 (or 모르겠으면 전부다)</f>
        <v/>
      </c>
    </row>
    <row r="201" ht="17" customHeight="1" s="476">
      <c r="A201" s="494" t="inlineStr">
        <is>
          <t>안서동</t>
        </is>
      </c>
      <c r="B201" s="289" t="n"/>
      <c r="C201" s="289" t="n"/>
      <c r="D201" s="494" t="n">
        <v>17432</v>
      </c>
      <c r="E201" s="133" t="inlineStr">
        <is>
          <t>안서e-편한세상1차</t>
        </is>
      </c>
      <c r="F201" s="494" t="n">
        <v>2005.08</v>
      </c>
      <c r="G201" s="494" t="n">
        <v>492</v>
      </c>
      <c r="H201" s="494">
        <f>2026-F201+1</f>
        <v/>
      </c>
      <c r="I201" s="494" t="inlineStr">
        <is>
          <t>149</t>
        </is>
      </c>
      <c r="J201" s="494" t="n">
        <v>149</v>
      </c>
      <c r="K201" s="494" t="n">
        <v>120</v>
      </c>
      <c r="L201" s="494" t="n">
        <v>45</v>
      </c>
      <c r="M201" s="494" t="inlineStr">
        <is>
          <t>계단식</t>
        </is>
      </c>
      <c r="N201" s="494" t="n">
        <v>4</v>
      </c>
      <c r="O201" s="494" t="n">
        <v>2</v>
      </c>
      <c r="P201" s="494" t="n">
        <v>199</v>
      </c>
      <c r="Q201" s="623" t="n"/>
      <c r="R201" s="624" t="inlineStr">
        <is>
          <t>-</t>
        </is>
      </c>
      <c r="S201" s="581">
        <f>Q201-R201</f>
        <v/>
      </c>
      <c r="T201" s="71">
        <f>R201/Q201</f>
        <v/>
      </c>
      <c r="U201" s="625" t="n">
        <v>37000</v>
      </c>
      <c r="V201" s="625" t="n">
        <v>25500</v>
      </c>
      <c r="W201" s="458" t="inlineStr">
        <is>
          <t>계단식</t>
        </is>
      </c>
      <c r="X201" s="458" t="n">
        <v>4</v>
      </c>
      <c r="Y201" s="458" t="n">
        <v>2</v>
      </c>
      <c r="Z201" s="458" t="n">
        <v>199</v>
      </c>
      <c r="AA201" s="289" t="n">
        <v>2026.01</v>
      </c>
      <c r="AB201" s="289" t="n">
        <v>0.01</v>
      </c>
      <c r="AC201" s="132">
        <f>L201</f>
        <v/>
      </c>
      <c r="AD201" s="591" t="n">
        <v>22825</v>
      </c>
      <c r="AE201" s="591" t="n">
        <v>22000</v>
      </c>
      <c r="AF201" s="142">
        <f>AE201/AD201</f>
        <v/>
      </c>
      <c r="AG201" s="143">
        <f>AD201-AE201</f>
        <v/>
      </c>
      <c r="AH201" s="458" t="n">
        <v>2026.04</v>
      </c>
      <c r="AI201" s="458" t="n"/>
      <c r="AJ201" s="458">
        <f>AI201-AD201</f>
        <v/>
      </c>
      <c r="AK201" s="129">
        <f>(AI201-AD201)/AD201</f>
        <v/>
      </c>
      <c r="AL201" s="142">
        <f>AJ201/AG201</f>
        <v/>
      </c>
      <c r="AM201" s="503" t="n"/>
      <c r="AN201" s="289" t="n"/>
      <c r="AV201" s="494" t="inlineStr">
        <is>
          <t>&gt;&gt;&gt; 외곽신축, 외곽 애매준신축, 외곽 비선호구축 등으로 단지 특징 기재</t>
        </is>
      </c>
    </row>
    <row r="202" ht="17" customHeight="1" s="476">
      <c r="A202" s="458" t="inlineStr">
        <is>
          <t>안서동</t>
        </is>
      </c>
      <c r="B202" s="159" t="n"/>
      <c r="C202" s="159" t="n"/>
      <c r="D202" s="458" t="n">
        <v>27431</v>
      </c>
      <c r="E202" s="146" t="inlineStr">
        <is>
          <t>안서금호어울림</t>
        </is>
      </c>
      <c r="F202" s="458" t="n">
        <v>2009.08</v>
      </c>
      <c r="G202" s="458" t="n">
        <v>498</v>
      </c>
      <c r="H202" s="458">
        <f>2026-F202+1</f>
        <v/>
      </c>
      <c r="I202" s="458" t="inlineStr">
        <is>
          <t>163</t>
        </is>
      </c>
      <c r="J202" s="458" t="n">
        <v>163</v>
      </c>
      <c r="K202" s="458" t="n">
        <v>129</v>
      </c>
      <c r="L202" s="458" t="n">
        <v>49</v>
      </c>
      <c r="M202" s="458" t="inlineStr">
        <is>
          <t>계단식</t>
        </is>
      </c>
      <c r="N202" s="458" t="n">
        <v>3</v>
      </c>
      <c r="O202" s="458" t="n">
        <v>2</v>
      </c>
      <c r="P202" s="458" t="n">
        <v>82</v>
      </c>
      <c r="Q202" s="536" t="n"/>
      <c r="R202" s="621" t="inlineStr">
        <is>
          <t>-</t>
        </is>
      </c>
      <c r="S202" s="581">
        <f>Q202-R202</f>
        <v/>
      </c>
      <c r="T202" s="71">
        <f>R202/Q202</f>
        <v/>
      </c>
      <c r="U202" s="622" t="n">
        <v>34000</v>
      </c>
      <c r="V202" s="622" t="n">
        <v>23760</v>
      </c>
      <c r="W202" s="458" t="inlineStr">
        <is>
          <t>계단식</t>
        </is>
      </c>
      <c r="X202" s="458" t="n">
        <v>3</v>
      </c>
      <c r="Y202" s="458" t="n">
        <v>2</v>
      </c>
      <c r="Z202" s="458" t="n">
        <v>82</v>
      </c>
      <c r="AA202" s="458" t="n">
        <v>2020.08</v>
      </c>
      <c r="AB202" s="458" t="n">
        <v>0.09</v>
      </c>
      <c r="AC202" s="458">
        <f>L202</f>
        <v/>
      </c>
      <c r="AD202" s="509" t="n">
        <v>23425</v>
      </c>
      <c r="AE202" s="509" t="n">
        <v>20000</v>
      </c>
      <c r="AF202" s="137">
        <f>AE202/AD202</f>
        <v/>
      </c>
      <c r="AG202" s="144">
        <f>AD202-AE202</f>
        <v/>
      </c>
      <c r="AH202" s="458" t="n">
        <v>2026.04</v>
      </c>
      <c r="AI202" s="458" t="n"/>
      <c r="AJ202" s="458">
        <f>AI202-AD202</f>
        <v/>
      </c>
      <c r="AK202" s="129">
        <f>(AI202-AD202)/AD202</f>
        <v/>
      </c>
      <c r="AL202" s="458">
        <f>AJ202/AG202</f>
        <v/>
      </c>
      <c r="AM202" s="236" t="n"/>
      <c r="AO202" s="458" t="n"/>
      <c r="AP202" s="458" t="n"/>
      <c r="AQ202" s="458" t="n"/>
      <c r="AR202" s="458" t="n"/>
      <c r="AS202" s="458" t="n"/>
      <c r="AT202" s="458" t="n"/>
      <c r="AU202" s="458" t="n"/>
      <c r="AW202" s="458" t="n"/>
      <c r="AX202" s="458" t="n"/>
      <c r="AY202" s="458" t="n"/>
    </row>
    <row r="203" ht="17" customHeight="1" s="476">
      <c r="A203" s="494" t="inlineStr">
        <is>
          <t>안서동</t>
        </is>
      </c>
      <c r="B203" s="289" t="n"/>
      <c r="C203" s="289" t="n"/>
      <c r="D203" s="494" t="n">
        <v>17432</v>
      </c>
      <c r="E203" s="133" t="inlineStr">
        <is>
          <t>안서e-편한세상1차</t>
        </is>
      </c>
      <c r="F203" s="494" t="n">
        <v>2005.08</v>
      </c>
      <c r="G203" s="494" t="n">
        <v>492</v>
      </c>
      <c r="H203" s="494">
        <f>2026-F203+1</f>
        <v/>
      </c>
      <c r="I203" s="494" t="inlineStr">
        <is>
          <t>175</t>
        </is>
      </c>
      <c r="J203" s="494" t="n">
        <v>175</v>
      </c>
      <c r="K203" s="494" t="n">
        <v>144</v>
      </c>
      <c r="L203" s="494" t="n">
        <v>53</v>
      </c>
      <c r="M203" s="494" t="inlineStr">
        <is>
          <t>계단식</t>
        </is>
      </c>
      <c r="N203" s="494" t="n">
        <v>4</v>
      </c>
      <c r="O203" s="494" t="n">
        <v>2</v>
      </c>
      <c r="P203" s="494" t="n">
        <v>116</v>
      </c>
      <c r="Q203" s="623" t="n"/>
      <c r="R203" s="624" t="inlineStr">
        <is>
          <t>-</t>
        </is>
      </c>
      <c r="S203" s="581">
        <f>Q203-R203</f>
        <v/>
      </c>
      <c r="T203" s="71">
        <f>R203/Q203</f>
        <v/>
      </c>
      <c r="U203" s="625" t="n">
        <v>35500</v>
      </c>
      <c r="V203" s="625" t="n">
        <v>27500</v>
      </c>
      <c r="W203" s="458" t="inlineStr">
        <is>
          <t>계단식</t>
        </is>
      </c>
      <c r="X203" s="458" t="n">
        <v>4</v>
      </c>
      <c r="Y203" s="458" t="n">
        <v>2</v>
      </c>
      <c r="Z203" s="458" t="n">
        <v>116</v>
      </c>
      <c r="AA203" s="289" t="n">
        <v>2021.02</v>
      </c>
      <c r="AB203" s="289" t="n">
        <v>0.11</v>
      </c>
      <c r="AC203" s="132">
        <f>L203</f>
        <v/>
      </c>
      <c r="AD203" s="591" t="n">
        <v>27970</v>
      </c>
      <c r="AE203" s="591" t="n">
        <v>25000</v>
      </c>
      <c r="AF203" s="142">
        <f>AE203/AD203</f>
        <v/>
      </c>
      <c r="AG203" s="143">
        <f>AD203-AE203</f>
        <v/>
      </c>
      <c r="AH203" s="458" t="n">
        <v>2026.04</v>
      </c>
      <c r="AI203" s="458" t="n"/>
      <c r="AJ203" s="458">
        <f>AI203-AD203</f>
        <v/>
      </c>
      <c r="AK203" s="129">
        <f>(AI203-AD203)/AD203</f>
        <v/>
      </c>
      <c r="AL203" s="142">
        <f>AJ203/AG203</f>
        <v/>
      </c>
      <c r="AM203" s="503" t="n"/>
      <c r="AN203" s="289" t="n"/>
      <c r="AV203" s="289" t="n"/>
    </row>
    <row r="204" ht="17" customHeight="1" s="476">
      <c r="A204" s="494" t="inlineStr">
        <is>
          <t>용곡동</t>
        </is>
      </c>
      <c r="B204" s="289" t="n"/>
      <c r="C204" s="289" t="n"/>
      <c r="D204" s="494" t="n">
        <v>15420</v>
      </c>
      <c r="E204" s="133" t="inlineStr">
        <is>
          <t>용곡세광엔리치타워1차</t>
        </is>
      </c>
      <c r="F204" s="494" t="n">
        <v>2005.08</v>
      </c>
      <c r="G204" s="494" t="n">
        <v>575</v>
      </c>
      <c r="H204" s="494">
        <f>2026-F204+1</f>
        <v/>
      </c>
      <c r="I204" s="494" t="inlineStr">
        <is>
          <t>125</t>
        </is>
      </c>
      <c r="J204" s="494" t="n">
        <v>125</v>
      </c>
      <c r="K204" s="494" t="n">
        <v>103</v>
      </c>
      <c r="L204" s="494" t="n">
        <v>38</v>
      </c>
      <c r="M204" s="494" t="inlineStr">
        <is>
          <t>계단식</t>
        </is>
      </c>
      <c r="N204" s="494" t="n">
        <v>3</v>
      </c>
      <c r="O204" s="494" t="n">
        <v>2</v>
      </c>
      <c r="P204" s="494" t="n">
        <v>56</v>
      </c>
      <c r="Q204" s="623" t="n"/>
      <c r="R204" s="624" t="inlineStr">
        <is>
          <t>-</t>
        </is>
      </c>
      <c r="S204" s="581">
        <f>Q204-R204</f>
        <v/>
      </c>
      <c r="T204" s="71">
        <f>R204/Q204</f>
        <v/>
      </c>
      <c r="U204" s="625" t="n">
        <v>33000</v>
      </c>
      <c r="V204" s="625" t="n">
        <v>26000</v>
      </c>
      <c r="W204" s="458" t="inlineStr">
        <is>
          <t>계단식</t>
        </is>
      </c>
      <c r="X204" s="458" t="n">
        <v>3</v>
      </c>
      <c r="Y204" s="458" t="n">
        <v>2</v>
      </c>
      <c r="Z204" s="458" t="n">
        <v>56</v>
      </c>
      <c r="AA204" s="289" t="n"/>
      <c r="AB204" s="289" t="n"/>
      <c r="AC204" s="132">
        <f>L204</f>
        <v/>
      </c>
      <c r="AD204" s="591" t="n"/>
      <c r="AE204" s="591" t="n"/>
      <c r="AF204" s="142">
        <f>AE204/AD204</f>
        <v/>
      </c>
      <c r="AG204" s="143">
        <f>AD204-AE204</f>
        <v/>
      </c>
      <c r="AH204" s="458" t="n">
        <v>2026.04</v>
      </c>
      <c r="AJ204" s="458">
        <f>AI204-AD204</f>
        <v/>
      </c>
      <c r="AK204" s="129">
        <f>(AI204-AD204)/AD204</f>
        <v/>
      </c>
      <c r="AL204" s="142">
        <f>AJ204/AG204</f>
        <v/>
      </c>
      <c r="AM204" s="503" t="n"/>
      <c r="AN204" s="289" t="n"/>
      <c r="AV204" s="289" t="n"/>
    </row>
    <row r="205" ht="17" customHeight="1" s="476">
      <c r="A205" s="494" t="inlineStr">
        <is>
          <t>용곡동</t>
        </is>
      </c>
      <c r="B205" s="289" t="n"/>
      <c r="C205" s="289" t="n"/>
      <c r="D205" s="494" t="n">
        <v>15420</v>
      </c>
      <c r="E205" s="133" t="inlineStr">
        <is>
          <t>용곡세광엔리치타워1차</t>
        </is>
      </c>
      <c r="F205" s="494" t="n">
        <v>2005.08</v>
      </c>
      <c r="G205" s="494" t="n">
        <v>575</v>
      </c>
      <c r="H205" s="494">
        <f>2026-F205+1</f>
        <v/>
      </c>
      <c r="I205" s="494" t="inlineStr">
        <is>
          <t>128</t>
        </is>
      </c>
      <c r="J205" s="494" t="n">
        <v>128</v>
      </c>
      <c r="K205" s="494" t="n">
        <v>103</v>
      </c>
      <c r="L205" s="494" t="n">
        <v>39</v>
      </c>
      <c r="M205" s="494" t="inlineStr">
        <is>
          <t>계단식</t>
        </is>
      </c>
      <c r="N205" s="494" t="n">
        <v>4</v>
      </c>
      <c r="O205" s="494" t="n">
        <v>2</v>
      </c>
      <c r="P205" s="494" t="n">
        <v>54</v>
      </c>
      <c r="Q205" s="623" t="n"/>
      <c r="R205" s="624" t="inlineStr">
        <is>
          <t>-</t>
        </is>
      </c>
      <c r="S205" s="581">
        <f>Q205-R205</f>
        <v/>
      </c>
      <c r="T205" s="71">
        <f>R205/Q205</f>
        <v/>
      </c>
      <c r="U205" s="625" t="n">
        <v>33000</v>
      </c>
      <c r="V205" s="625" t="n">
        <v>26000</v>
      </c>
      <c r="W205" s="458" t="inlineStr">
        <is>
          <t>계단식</t>
        </is>
      </c>
      <c r="X205" s="458" t="n">
        <v>4</v>
      </c>
      <c r="Y205" s="458" t="n">
        <v>2</v>
      </c>
      <c r="Z205" s="458" t="n">
        <v>54</v>
      </c>
      <c r="AA205" s="289" t="n"/>
      <c r="AB205" s="289" t="n"/>
      <c r="AC205" s="132">
        <f>L205</f>
        <v/>
      </c>
      <c r="AD205" s="591" t="n"/>
      <c r="AE205" s="591" t="n"/>
      <c r="AF205" s="142">
        <f>AE205/AD205</f>
        <v/>
      </c>
      <c r="AG205" s="143">
        <f>AD205-AE205</f>
        <v/>
      </c>
      <c r="AH205" s="458" t="n">
        <v>2026.04</v>
      </c>
      <c r="AJ205" s="458">
        <f>AI205-AD205</f>
        <v/>
      </c>
      <c r="AK205" s="129">
        <f>(AI205-AD205)/AD205</f>
        <v/>
      </c>
      <c r="AL205" s="142">
        <f>AJ205/AG205</f>
        <v/>
      </c>
      <c r="AM205" s="503" t="n"/>
      <c r="AN205" s="289" t="n"/>
      <c r="AV205" s="289" t="n"/>
    </row>
    <row r="206" ht="17" customHeight="1" s="476">
      <c r="A206" s="458" t="inlineStr">
        <is>
          <t>용곡동</t>
        </is>
      </c>
      <c r="D206" s="458" t="n">
        <v>15430</v>
      </c>
      <c r="E206" s="146" t="inlineStr">
        <is>
          <t>용곡마을동일하이빌1단지</t>
        </is>
      </c>
      <c r="F206" s="458" t="n">
        <v>2005.12</v>
      </c>
      <c r="G206" s="458" t="n">
        <v>706</v>
      </c>
      <c r="H206" s="458">
        <f>2026-F206+1</f>
        <v/>
      </c>
      <c r="I206" s="458" t="inlineStr">
        <is>
          <t>192</t>
        </is>
      </c>
      <c r="J206" s="458" t="n">
        <v>192</v>
      </c>
      <c r="K206" s="458" t="n">
        <v>153</v>
      </c>
      <c r="L206" s="458" t="n">
        <v>58</v>
      </c>
      <c r="M206" s="458" t="inlineStr">
        <is>
          <t>계단식</t>
        </is>
      </c>
      <c r="N206" s="458" t="n">
        <v>4</v>
      </c>
      <c r="O206" s="458" t="n">
        <v>2</v>
      </c>
      <c r="P206" s="458" t="n">
        <v>60</v>
      </c>
      <c r="Q206" s="536" t="n"/>
      <c r="R206" s="621" t="inlineStr">
        <is>
          <t>-</t>
        </is>
      </c>
      <c r="S206" s="581">
        <f>Q206-R206</f>
        <v/>
      </c>
      <c r="T206" s="71">
        <f>R206/Q206</f>
        <v/>
      </c>
      <c r="U206" s="622" t="n">
        <v>46500</v>
      </c>
      <c r="V206" s="622" t="n">
        <v>45500</v>
      </c>
      <c r="W206" s="458" t="inlineStr">
        <is>
          <t>계단식</t>
        </is>
      </c>
      <c r="X206" s="458" t="n">
        <v>4</v>
      </c>
      <c r="Y206" s="458" t="n">
        <v>2</v>
      </c>
      <c r="Z206" s="458" t="n">
        <v>60</v>
      </c>
      <c r="AC206" s="458">
        <f>L206</f>
        <v/>
      </c>
      <c r="AD206" s="509" t="n"/>
      <c r="AE206" s="509" t="n"/>
      <c r="AF206" s="137">
        <f>AE206/AD206</f>
        <v/>
      </c>
      <c r="AG206" s="144">
        <f>AD206-AE206</f>
        <v/>
      </c>
      <c r="AH206" s="458" t="n">
        <v>2026.04</v>
      </c>
      <c r="AI206" s="458" t="n"/>
      <c r="AJ206" s="458">
        <f>AI206-AD206</f>
        <v/>
      </c>
      <c r="AK206" s="129">
        <f>(AI206-AD206)/AD206</f>
        <v/>
      </c>
      <c r="AL206" s="458">
        <f>AJ206/AG206</f>
        <v/>
      </c>
      <c r="AO206" s="458" t="n"/>
      <c r="AP206" s="458" t="n"/>
      <c r="AQ206" s="458" t="n"/>
      <c r="AR206" s="458" t="n"/>
      <c r="AS206" s="458" t="n"/>
      <c r="AT206" s="458" t="n"/>
      <c r="AU206" s="458" t="n"/>
      <c r="AW206" s="458" t="n"/>
      <c r="AX206" s="458" t="n"/>
      <c r="AY206" s="458" t="n"/>
    </row>
    <row r="207" ht="17" customHeight="1" s="476">
      <c r="A207" s="458" t="inlineStr">
        <is>
          <t>용곡동</t>
        </is>
      </c>
      <c r="B207" s="159" t="n"/>
      <c r="C207" s="159" t="n"/>
      <c r="D207" s="458" t="n">
        <v>19242</v>
      </c>
      <c r="E207" s="146" t="inlineStr">
        <is>
          <t>용곡마을아이파크</t>
        </is>
      </c>
      <c r="F207" s="458" t="n">
        <v>2006.09</v>
      </c>
      <c r="G207" s="458" t="n">
        <v>403</v>
      </c>
      <c r="H207" s="458">
        <f>2026-F207+1</f>
        <v/>
      </c>
      <c r="I207" s="458" t="inlineStr">
        <is>
          <t>158</t>
        </is>
      </c>
      <c r="J207" s="458" t="n">
        <v>158</v>
      </c>
      <c r="K207" s="458" t="n">
        <v>128</v>
      </c>
      <c r="L207" s="458" t="n">
        <v>48</v>
      </c>
      <c r="M207" s="458" t="inlineStr">
        <is>
          <t>계단식</t>
        </is>
      </c>
      <c r="N207" s="458" t="n">
        <v>4</v>
      </c>
      <c r="O207" s="458" t="n">
        <v>2</v>
      </c>
      <c r="P207" s="458" t="n">
        <v>112</v>
      </c>
      <c r="Q207" s="536" t="n"/>
      <c r="R207" s="621" t="inlineStr">
        <is>
          <t>-</t>
        </is>
      </c>
      <c r="S207" s="581">
        <f>Q207-R207</f>
        <v/>
      </c>
      <c r="T207" s="71">
        <f>R207/Q207</f>
        <v/>
      </c>
      <c r="U207" s="622" t="n">
        <v>38900</v>
      </c>
      <c r="V207" s="622" t="n">
        <v>28000</v>
      </c>
      <c r="W207" s="458" t="inlineStr">
        <is>
          <t>계단식</t>
        </is>
      </c>
      <c r="X207" s="458" t="n">
        <v>4</v>
      </c>
      <c r="Y207" s="458" t="n">
        <v>2</v>
      </c>
      <c r="Z207" s="458" t="n">
        <v>112</v>
      </c>
      <c r="AC207" s="458">
        <f>L207</f>
        <v/>
      </c>
      <c r="AD207" s="509" t="n"/>
      <c r="AE207" s="509" t="n"/>
      <c r="AF207" s="137">
        <f>AE207/AD207</f>
        <v/>
      </c>
      <c r="AG207" s="144">
        <f>AD207-AE207</f>
        <v/>
      </c>
      <c r="AH207" s="458" t="n">
        <v>2026.04</v>
      </c>
      <c r="AJ207" s="458">
        <f>AI207-AD207</f>
        <v/>
      </c>
      <c r="AK207" s="129">
        <f>(AI207-AD207)/AD207</f>
        <v/>
      </c>
      <c r="AL207" s="458">
        <f>AJ207/AG207</f>
        <v/>
      </c>
      <c r="AM207" s="236" t="n"/>
    </row>
    <row r="208" ht="17" customHeight="1" s="476">
      <c r="A208" s="494" t="inlineStr">
        <is>
          <t>용곡동</t>
        </is>
      </c>
      <c r="B208" s="289" t="n"/>
      <c r="C208" s="289" t="n"/>
      <c r="D208" s="494" t="n">
        <v>26157</v>
      </c>
      <c r="E208" s="133" t="inlineStr">
        <is>
          <t>용곡마을세광엔리치타워2차</t>
        </is>
      </c>
      <c r="F208" s="494" t="n">
        <v>2007.1</v>
      </c>
      <c r="G208" s="494" t="n">
        <v>897</v>
      </c>
      <c r="H208" s="494">
        <f>2026-F208+1</f>
        <v/>
      </c>
      <c r="I208" s="494" t="inlineStr">
        <is>
          <t>135</t>
        </is>
      </c>
      <c r="J208" s="494" t="n">
        <v>135</v>
      </c>
      <c r="K208" s="494" t="n">
        <v>105</v>
      </c>
      <c r="L208" s="494" t="n">
        <v>41</v>
      </c>
      <c r="M208" s="494" t="inlineStr">
        <is>
          <t>계단식</t>
        </is>
      </c>
      <c r="N208" s="494" t="n">
        <v>3</v>
      </c>
      <c r="O208" s="494" t="n">
        <v>2</v>
      </c>
      <c r="P208" s="494" t="n">
        <v>116</v>
      </c>
      <c r="Q208" s="623" t="n"/>
      <c r="R208" s="624" t="inlineStr">
        <is>
          <t>-</t>
        </is>
      </c>
      <c r="S208" s="581">
        <f>Q208-R208</f>
        <v/>
      </c>
      <c r="T208" s="71">
        <f>R208/Q208</f>
        <v/>
      </c>
      <c r="U208" s="625" t="n"/>
      <c r="V208" s="625" t="n">
        <v>30000</v>
      </c>
      <c r="W208" s="458" t="inlineStr">
        <is>
          <t>계단식</t>
        </is>
      </c>
      <c r="X208" s="458" t="n">
        <v>3</v>
      </c>
      <c r="Y208" s="458" t="n">
        <v>2</v>
      </c>
      <c r="Z208" s="458" t="n">
        <v>116</v>
      </c>
      <c r="AA208" s="289" t="n"/>
      <c r="AB208" s="289" t="n"/>
      <c r="AC208" s="132">
        <f>L208</f>
        <v/>
      </c>
      <c r="AD208" s="591" t="n"/>
      <c r="AE208" s="591" t="n"/>
      <c r="AF208" s="142">
        <f>AE208/AD208</f>
        <v/>
      </c>
      <c r="AG208" s="143">
        <f>AD208-AE208</f>
        <v/>
      </c>
      <c r="AH208" s="458" t="n">
        <v>2026.04</v>
      </c>
      <c r="AI208" s="458" t="n"/>
      <c r="AJ208" s="458">
        <f>AI208-AD208</f>
        <v/>
      </c>
      <c r="AK208" s="129">
        <f>(AI208-AD208)/AD208</f>
        <v/>
      </c>
      <c r="AL208" s="142">
        <f>AJ208/AG208</f>
        <v/>
      </c>
      <c r="AM208" s="503" t="n"/>
      <c r="AN208" s="289" t="n"/>
      <c r="AV208" s="289" t="n"/>
    </row>
    <row r="209" ht="17" customHeight="1" s="476">
      <c r="A209" s="494" t="inlineStr">
        <is>
          <t>용곡동</t>
        </is>
      </c>
      <c r="B209" s="289" t="n"/>
      <c r="C209" s="289" t="n"/>
      <c r="D209" s="494" t="n">
        <v>26157</v>
      </c>
      <c r="E209" s="133" t="inlineStr">
        <is>
          <t>용곡마을세광엔리치타워2차</t>
        </is>
      </c>
      <c r="F209" s="494" t="n">
        <v>2007.1</v>
      </c>
      <c r="G209" s="494" t="n">
        <v>897</v>
      </c>
      <c r="H209" s="494">
        <f>2026-F209+1</f>
        <v/>
      </c>
      <c r="I209" s="494" t="inlineStr">
        <is>
          <t>173</t>
        </is>
      </c>
      <c r="J209" s="494" t="n">
        <v>173</v>
      </c>
      <c r="K209" s="494" t="n">
        <v>139</v>
      </c>
      <c r="L209" s="494" t="n">
        <v>52</v>
      </c>
      <c r="M209" s="494" t="inlineStr">
        <is>
          <t>계단식</t>
        </is>
      </c>
      <c r="N209" s="494" t="n">
        <v>3</v>
      </c>
      <c r="O209" s="494" t="n">
        <v>2</v>
      </c>
      <c r="P209" s="494" t="n">
        <v>86</v>
      </c>
      <c r="Q209" s="623" t="n"/>
      <c r="R209" s="624" t="inlineStr">
        <is>
          <t>-</t>
        </is>
      </c>
      <c r="S209" s="581">
        <f>Q209-R209</f>
        <v/>
      </c>
      <c r="T209" s="71">
        <f>R209/Q209</f>
        <v/>
      </c>
      <c r="U209" s="625" t="n">
        <v>39000</v>
      </c>
      <c r="V209" s="625" t="n">
        <v>35700</v>
      </c>
      <c r="W209" s="458" t="inlineStr">
        <is>
          <t>계단식</t>
        </is>
      </c>
      <c r="X209" s="458" t="n">
        <v>3</v>
      </c>
      <c r="Y209" s="458" t="n">
        <v>2</v>
      </c>
      <c r="Z209" s="458" t="n">
        <v>86</v>
      </c>
      <c r="AA209" s="289" t="n"/>
      <c r="AB209" s="289" t="n"/>
      <c r="AC209" s="132">
        <f>L209</f>
        <v/>
      </c>
      <c r="AD209" s="591" t="n"/>
      <c r="AE209" s="591" t="n"/>
      <c r="AF209" s="142">
        <f>AE209/AD209</f>
        <v/>
      </c>
      <c r="AG209" s="143">
        <f>AD209-AE209</f>
        <v/>
      </c>
      <c r="AH209" s="458" t="n">
        <v>2026.04</v>
      </c>
      <c r="AI209" s="458" t="n"/>
      <c r="AJ209" s="458">
        <f>AI209-AD209</f>
        <v/>
      </c>
      <c r="AK209" s="129">
        <f>(AI209-AD209)/AD209</f>
        <v/>
      </c>
      <c r="AL209" s="142">
        <f>AJ209/AG209</f>
        <v/>
      </c>
      <c r="AM209" s="503" t="n"/>
      <c r="AN209" s="289" t="n"/>
      <c r="AV209" s="289" t="n"/>
    </row>
    <row r="210" ht="17" customHeight="1" s="476">
      <c r="A210" s="494" t="inlineStr">
        <is>
          <t>용곡동</t>
        </is>
      </c>
      <c r="B210" s="88" t="n"/>
      <c r="C210" s="89" t="n"/>
      <c r="D210" s="494" t="n">
        <v>26157</v>
      </c>
      <c r="E210" s="133" t="inlineStr">
        <is>
          <t>용곡마을세광엔리치타워2차</t>
        </is>
      </c>
      <c r="F210" s="494" t="n">
        <v>2007.1</v>
      </c>
      <c r="G210" s="494" t="n">
        <v>897</v>
      </c>
      <c r="H210" s="494">
        <f>2026-F210+1</f>
        <v/>
      </c>
      <c r="I210" s="494" t="inlineStr">
        <is>
          <t>188</t>
        </is>
      </c>
      <c r="J210" s="494" t="n">
        <v>188</v>
      </c>
      <c r="K210" s="494" t="n">
        <v>152</v>
      </c>
      <c r="L210" s="494" t="n">
        <v>57</v>
      </c>
      <c r="M210" s="494" t="inlineStr">
        <is>
          <t>계단식</t>
        </is>
      </c>
      <c r="N210" s="494" t="n">
        <v>4</v>
      </c>
      <c r="O210" s="494" t="n">
        <v>2</v>
      </c>
      <c r="P210" s="494" t="n">
        <v>90</v>
      </c>
      <c r="Q210" s="623" t="n"/>
      <c r="R210" s="624" t="inlineStr">
        <is>
          <t>-</t>
        </is>
      </c>
      <c r="S210" s="581">
        <f>Q210-R210</f>
        <v/>
      </c>
      <c r="T210" s="71">
        <f>R210/Q210</f>
        <v/>
      </c>
      <c r="U210" s="625" t="n">
        <v>43400</v>
      </c>
      <c r="V210" s="625" t="n">
        <v>33000</v>
      </c>
      <c r="W210" s="458" t="inlineStr">
        <is>
          <t>계단식</t>
        </is>
      </c>
      <c r="X210" s="458" t="n">
        <v>4</v>
      </c>
      <c r="Y210" s="458" t="n">
        <v>2</v>
      </c>
      <c r="Z210" s="458" t="n">
        <v>90</v>
      </c>
      <c r="AA210" s="289" t="n"/>
      <c r="AB210" s="289" t="n"/>
      <c r="AC210" s="132">
        <f>L210</f>
        <v/>
      </c>
      <c r="AD210" s="591" t="n"/>
      <c r="AE210" s="591" t="n"/>
      <c r="AF210" s="142">
        <f>AE210/AD210</f>
        <v/>
      </c>
      <c r="AG210" s="143">
        <f>AD210-AE210</f>
        <v/>
      </c>
      <c r="AH210" s="458" t="n">
        <v>2026.04</v>
      </c>
      <c r="AJ210" s="458">
        <f>AI210-AD210</f>
        <v/>
      </c>
      <c r="AK210" s="129">
        <f>(AI210-AD210)/AD210</f>
        <v/>
      </c>
      <c r="AL210" s="142">
        <f>AJ210/AG210</f>
        <v/>
      </c>
      <c r="AM210" s="111" t="n"/>
      <c r="AN210" s="289" t="n"/>
      <c r="AV210" s="289" t="n"/>
    </row>
    <row r="211" ht="17" customHeight="1" s="476">
      <c r="A211" s="494" t="inlineStr">
        <is>
          <t>용곡동</t>
        </is>
      </c>
      <c r="B211" s="289" t="n"/>
      <c r="C211" s="289" t="n"/>
      <c r="D211" s="494" t="n">
        <v>26157</v>
      </c>
      <c r="E211" s="133" t="inlineStr">
        <is>
          <t>용곡마을세광엔리치타워2차</t>
        </is>
      </c>
      <c r="F211" s="494" t="n">
        <v>2007.1</v>
      </c>
      <c r="G211" s="494" t="n">
        <v>897</v>
      </c>
      <c r="H211" s="494">
        <f>2026-F211+1</f>
        <v/>
      </c>
      <c r="I211" s="494" t="inlineStr">
        <is>
          <t>247</t>
        </is>
      </c>
      <c r="J211" s="494" t="n">
        <v>247</v>
      </c>
      <c r="K211" s="494" t="n">
        <v>216</v>
      </c>
      <c r="L211" s="494" t="n">
        <v>75</v>
      </c>
      <c r="M211" s="494" t="inlineStr">
        <is>
          <t>계단식</t>
        </is>
      </c>
      <c r="N211" s="494" t="n">
        <v>4</v>
      </c>
      <c r="O211" s="494" t="n">
        <v>3</v>
      </c>
      <c r="P211" s="494" t="n">
        <v>28</v>
      </c>
      <c r="Q211" s="623" t="n"/>
      <c r="R211" s="624" t="inlineStr">
        <is>
          <t>-</t>
        </is>
      </c>
      <c r="S211" s="581">
        <f>Q211-R211</f>
        <v/>
      </c>
      <c r="T211" s="71">
        <f>R211/Q211</f>
        <v/>
      </c>
      <c r="U211" s="625" t="n">
        <v>47000</v>
      </c>
      <c r="V211" s="625" t="n">
        <v>44000</v>
      </c>
      <c r="W211" s="458" t="inlineStr">
        <is>
          <t>계단식</t>
        </is>
      </c>
      <c r="X211" s="458" t="n">
        <v>4</v>
      </c>
      <c r="Y211" s="458" t="n">
        <v>3</v>
      </c>
      <c r="Z211" s="458" t="n">
        <v>28</v>
      </c>
      <c r="AA211" s="289" t="n"/>
      <c r="AB211" s="289" t="n"/>
      <c r="AC211" s="132">
        <f>L211</f>
        <v/>
      </c>
      <c r="AD211" s="591" t="n"/>
      <c r="AE211" s="591" t="n"/>
      <c r="AF211" s="142">
        <f>AE211/AD211</f>
        <v/>
      </c>
      <c r="AG211" s="143">
        <f>AD211-AE211</f>
        <v/>
      </c>
      <c r="AH211" s="458" t="n">
        <v>2026.04</v>
      </c>
      <c r="AJ211" s="458">
        <f>AI211-AD211</f>
        <v/>
      </c>
      <c r="AK211" s="129">
        <f>(AI211-AD211)/AD211</f>
        <v/>
      </c>
      <c r="AL211" s="142">
        <f>AJ211/AG211</f>
        <v/>
      </c>
      <c r="AM211" s="503" t="n"/>
      <c r="AN211" s="289" t="n"/>
      <c r="AV211" s="289" t="n"/>
    </row>
    <row r="212" ht="17" customHeight="1" s="476">
      <c r="A212" s="494" t="inlineStr">
        <is>
          <t>용곡동</t>
        </is>
      </c>
      <c r="B212" s="289" t="n"/>
      <c r="C212" s="289" t="n"/>
      <c r="D212" s="494" t="n">
        <v>26258</v>
      </c>
      <c r="E212" s="133" t="inlineStr">
        <is>
          <t>용곡한라비발디</t>
        </is>
      </c>
      <c r="F212" s="494" t="n">
        <v>2010.06</v>
      </c>
      <c r="G212" s="494" t="n">
        <v>1163</v>
      </c>
      <c r="H212" s="494">
        <f>2026-F212+1</f>
        <v/>
      </c>
      <c r="I212" s="494" t="inlineStr">
        <is>
          <t>167</t>
        </is>
      </c>
      <c r="J212" s="494" t="n">
        <v>167</v>
      </c>
      <c r="K212" s="494" t="n">
        <v>133</v>
      </c>
      <c r="L212" s="494" t="n">
        <v>51</v>
      </c>
      <c r="M212" s="494" t="inlineStr">
        <is>
          <t>계단식</t>
        </is>
      </c>
      <c r="N212" s="494" t="n">
        <v>4</v>
      </c>
      <c r="O212" s="494" t="n">
        <v>2</v>
      </c>
      <c r="P212" s="494" t="n">
        <v>84</v>
      </c>
      <c r="Q212" s="623" t="n"/>
      <c r="R212" s="624" t="inlineStr">
        <is>
          <t>-</t>
        </is>
      </c>
      <c r="S212" s="581">
        <f>Q212-R212</f>
        <v/>
      </c>
      <c r="T212" s="71">
        <f>R212/Q212</f>
        <v/>
      </c>
      <c r="U212" s="625" t="n">
        <v>56500</v>
      </c>
      <c r="V212" s="625" t="n"/>
      <c r="W212" s="458" t="inlineStr">
        <is>
          <t>계단식</t>
        </is>
      </c>
      <c r="X212" s="458" t="n">
        <v>4</v>
      </c>
      <c r="Y212" s="458" t="n">
        <v>2</v>
      </c>
      <c r="Z212" s="458" t="n">
        <v>84</v>
      </c>
      <c r="AA212" s="289" t="n"/>
      <c r="AB212" s="289" t="n"/>
      <c r="AC212" s="132">
        <f>L212</f>
        <v/>
      </c>
      <c r="AD212" s="591" t="n"/>
      <c r="AE212" s="591" t="n"/>
      <c r="AF212" s="142">
        <f>AE212/AD212</f>
        <v/>
      </c>
      <c r="AG212" s="143">
        <f>AD212-AE212</f>
        <v/>
      </c>
      <c r="AH212" s="458" t="n">
        <v>2026.04</v>
      </c>
      <c r="AI212" s="458" t="n"/>
      <c r="AJ212" s="458">
        <f>AI212-AD212</f>
        <v/>
      </c>
      <c r="AK212" s="129">
        <f>(AI212-AD212)/AD212</f>
        <v/>
      </c>
      <c r="AL212" s="289">
        <f>AJ212/AG212</f>
        <v/>
      </c>
      <c r="AM212" s="289" t="n"/>
      <c r="AN212" s="289" t="n"/>
      <c r="AO212" s="458" t="n"/>
      <c r="AP212" s="458" t="n"/>
      <c r="AQ212" s="458" t="n"/>
      <c r="AR212" s="458" t="n"/>
      <c r="AS212" s="458" t="n"/>
      <c r="AT212" s="458" t="n"/>
      <c r="AU212" s="458" t="n"/>
      <c r="AV212" s="289" t="n"/>
      <c r="AW212" s="458" t="n"/>
      <c r="AX212" s="458" t="n"/>
      <c r="AY212" s="458" t="n"/>
    </row>
    <row r="213" ht="17" customHeight="1" s="476">
      <c r="A213" s="458" t="inlineStr">
        <is>
          <t>용곡동</t>
        </is>
      </c>
      <c r="B213" s="159" t="n"/>
      <c r="C213" s="159" t="n"/>
      <c r="D213" s="458" t="n">
        <v>26813</v>
      </c>
      <c r="E213" s="146" t="inlineStr">
        <is>
          <t>용곡우림필유</t>
        </is>
      </c>
      <c r="F213" s="458" t="n">
        <v>2009.1</v>
      </c>
      <c r="G213" s="458" t="n">
        <v>499</v>
      </c>
      <c r="H213" s="458">
        <f>2026-F213+1</f>
        <v/>
      </c>
      <c r="I213" s="458" t="inlineStr">
        <is>
          <t>193</t>
        </is>
      </c>
      <c r="J213" s="458" t="n">
        <v>193</v>
      </c>
      <c r="K213" s="458" t="n">
        <v>161</v>
      </c>
      <c r="L213" s="458" t="n">
        <v>58</v>
      </c>
      <c r="M213" s="458" t="inlineStr">
        <is>
          <t>계단식</t>
        </is>
      </c>
      <c r="N213" s="458" t="n">
        <v>5</v>
      </c>
      <c r="O213" s="458" t="n">
        <v>2</v>
      </c>
      <c r="P213" s="458" t="n">
        <v>22</v>
      </c>
      <c r="Q213" s="536" t="n"/>
      <c r="R213" s="621" t="inlineStr">
        <is>
          <t>-</t>
        </is>
      </c>
      <c r="S213" s="581">
        <f>Q213-R213</f>
        <v/>
      </c>
      <c r="T213" s="71">
        <f>R213/Q213</f>
        <v/>
      </c>
      <c r="U213" s="622" t="n"/>
      <c r="V213" s="622" t="n"/>
      <c r="W213" s="458" t="inlineStr">
        <is>
          <t>계단식</t>
        </is>
      </c>
      <c r="X213" s="458" t="n">
        <v>5</v>
      </c>
      <c r="Y213" s="458" t="n">
        <v>2</v>
      </c>
      <c r="Z213" s="458" t="n">
        <v>22</v>
      </c>
      <c r="AC213" s="458">
        <f>L213</f>
        <v/>
      </c>
      <c r="AD213" s="509" t="n"/>
      <c r="AE213" s="509" t="n"/>
      <c r="AF213" s="137">
        <f>AE213/AD213</f>
        <v/>
      </c>
      <c r="AG213" s="144">
        <f>AD213-AE213</f>
        <v/>
      </c>
      <c r="AH213" s="458" t="n">
        <v>2026.04</v>
      </c>
      <c r="AI213" s="458" t="n"/>
      <c r="AJ213" s="458">
        <f>AI213-AD213</f>
        <v/>
      </c>
      <c r="AK213" s="129">
        <f>(AI213-AD213)/AD213</f>
        <v/>
      </c>
      <c r="AL213" s="458">
        <f>AJ213/AG213</f>
        <v/>
      </c>
      <c r="AM213" s="236" t="n"/>
      <c r="AO213" s="458" t="n"/>
      <c r="AP213" s="458" t="n"/>
      <c r="AQ213" s="458" t="n"/>
      <c r="AR213" s="458" t="n"/>
      <c r="AS213" s="458" t="n"/>
      <c r="AT213" s="458" t="n"/>
      <c r="AU213" s="458" t="n"/>
      <c r="AW213" s="458" t="n"/>
      <c r="AX213" s="458" t="n"/>
      <c r="AY213" s="458" t="n"/>
    </row>
    <row r="214" ht="17" customHeight="1" s="476">
      <c r="A214" s="458" t="inlineStr">
        <is>
          <t>용곡동</t>
        </is>
      </c>
      <c r="B214" s="159" t="n"/>
      <c r="C214" s="159" t="n"/>
      <c r="D214" s="458" t="n">
        <v>26813</v>
      </c>
      <c r="E214" s="146" t="inlineStr">
        <is>
          <t>용곡우림필유</t>
        </is>
      </c>
      <c r="F214" s="458" t="n">
        <v>2009.1</v>
      </c>
      <c r="G214" s="458" t="n">
        <v>499</v>
      </c>
      <c r="H214" s="458">
        <f>2026-F214+1</f>
        <v/>
      </c>
      <c r="I214" s="458" t="inlineStr">
        <is>
          <t>220</t>
        </is>
      </c>
      <c r="J214" s="458" t="n">
        <v>220</v>
      </c>
      <c r="K214" s="458" t="n">
        <v>176</v>
      </c>
      <c r="L214" s="458" t="n">
        <v>67</v>
      </c>
      <c r="M214" s="458" t="inlineStr">
        <is>
          <t>계단식</t>
        </is>
      </c>
      <c r="N214" s="458" t="n">
        <v>5</v>
      </c>
      <c r="O214" s="458" t="n">
        <v>2</v>
      </c>
      <c r="P214" s="458" t="n">
        <v>12</v>
      </c>
      <c r="Q214" s="536" t="n"/>
      <c r="R214" s="621" t="inlineStr">
        <is>
          <t>-</t>
        </is>
      </c>
      <c r="S214" s="581">
        <f>Q214-R214</f>
        <v/>
      </c>
      <c r="T214" s="71">
        <f>R214/Q214</f>
        <v/>
      </c>
      <c r="U214" s="622" t="n">
        <v>44000</v>
      </c>
      <c r="V214" s="622" t="n"/>
      <c r="W214" s="458" t="inlineStr">
        <is>
          <t>계단식</t>
        </is>
      </c>
      <c r="X214" s="458" t="n">
        <v>5</v>
      </c>
      <c r="Y214" s="458" t="n">
        <v>2</v>
      </c>
      <c r="Z214" s="458" t="n">
        <v>12</v>
      </c>
      <c r="AC214" s="458">
        <f>L214</f>
        <v/>
      </c>
      <c r="AD214" s="509" t="n"/>
      <c r="AE214" s="509" t="n"/>
      <c r="AF214" s="137">
        <f>AE214/AD214</f>
        <v/>
      </c>
      <c r="AG214" s="144">
        <f>AD214-AE214</f>
        <v/>
      </c>
      <c r="AH214" s="458" t="n">
        <v>2026.04</v>
      </c>
      <c r="AI214" s="458" t="n"/>
      <c r="AJ214" s="458">
        <f>AI214-AD214</f>
        <v/>
      </c>
      <c r="AK214" s="129">
        <f>(AI214-AD214)/AD214</f>
        <v/>
      </c>
      <c r="AL214" s="458">
        <f>AJ214/AG214</f>
        <v/>
      </c>
      <c r="AM214" s="236" t="n"/>
      <c r="AO214" s="458" t="n"/>
      <c r="AP214" s="458" t="n"/>
      <c r="AQ214" s="458" t="n"/>
      <c r="AR214" s="458" t="n"/>
      <c r="AS214" s="458" t="n"/>
      <c r="AT214" s="458" t="n"/>
      <c r="AU214" s="458" t="n"/>
      <c r="AW214" s="458" t="n"/>
      <c r="AX214" s="458" t="n"/>
      <c r="AY214" s="458" t="n"/>
    </row>
    <row r="215" ht="17" customHeight="1" s="476">
      <c r="A215" s="458" t="inlineStr">
        <is>
          <t>용곡동</t>
        </is>
      </c>
      <c r="D215" s="458" t="n">
        <v>26813</v>
      </c>
      <c r="E215" s="146" t="inlineStr">
        <is>
          <t>용곡우림필유</t>
        </is>
      </c>
      <c r="F215" s="458" t="n">
        <v>2009.1</v>
      </c>
      <c r="G215" s="458" t="n">
        <v>499</v>
      </c>
      <c r="H215" s="458">
        <f>2026-F215+1</f>
        <v/>
      </c>
      <c r="I215" s="458" t="inlineStr">
        <is>
          <t>261</t>
        </is>
      </c>
      <c r="J215" s="458" t="n">
        <v>261</v>
      </c>
      <c r="K215" s="458" t="n">
        <v>209</v>
      </c>
      <c r="L215" s="458" t="n">
        <v>79</v>
      </c>
      <c r="M215" s="458" t="inlineStr">
        <is>
          <t>계단식</t>
        </is>
      </c>
      <c r="N215" s="458" t="n">
        <v>6</v>
      </c>
      <c r="O215" s="458" t="n">
        <v>2</v>
      </c>
      <c r="P215" s="458" t="n">
        <v>5</v>
      </c>
      <c r="Q215" s="536" t="n"/>
      <c r="R215" s="621" t="inlineStr">
        <is>
          <t>-</t>
        </is>
      </c>
      <c r="S215" s="581">
        <f>Q215-R215</f>
        <v/>
      </c>
      <c r="T215" s="71">
        <f>R215/Q215</f>
        <v/>
      </c>
      <c r="U215" s="622" t="n"/>
      <c r="V215" s="622" t="n"/>
      <c r="W215" s="458" t="inlineStr">
        <is>
          <t>계단식</t>
        </is>
      </c>
      <c r="X215" s="458" t="n">
        <v>6</v>
      </c>
      <c r="Y215" s="458" t="n">
        <v>2</v>
      </c>
      <c r="Z215" s="458" t="n">
        <v>5</v>
      </c>
      <c r="AC215" s="458">
        <f>L215</f>
        <v/>
      </c>
      <c r="AD215" s="509" t="n"/>
      <c r="AE215" s="509" t="n"/>
      <c r="AF215" s="137">
        <f>AE215/AD215</f>
        <v/>
      </c>
      <c r="AG215" s="144">
        <f>AD215-AE215</f>
        <v/>
      </c>
      <c r="AH215" s="458" t="n">
        <v>2026.04</v>
      </c>
      <c r="AI215" s="458" t="n"/>
      <c r="AJ215" s="458">
        <f>AI215-AD215</f>
        <v/>
      </c>
      <c r="AK215" s="129">
        <f>(AI215-AD215)/AD215</f>
        <v/>
      </c>
      <c r="AL215" s="458">
        <f>AJ215/AG215</f>
        <v/>
      </c>
    </row>
    <row r="216" ht="17" customHeight="1" s="476">
      <c r="A216" s="494" t="inlineStr">
        <is>
          <t>용곡동</t>
        </is>
      </c>
      <c r="B216" s="88" t="n"/>
      <c r="C216" s="89" t="n"/>
      <c r="D216" s="494" t="n">
        <v>153265</v>
      </c>
      <c r="E216" s="133" t="inlineStr">
        <is>
          <t>호반써밋센트럴파크Ⅰ</t>
        </is>
      </c>
      <c r="F216" s="494" t="n">
        <v>2025.12</v>
      </c>
      <c r="G216" s="494" t="n">
        <v>453</v>
      </c>
      <c r="H216" s="494">
        <f>2026-F216+1</f>
        <v/>
      </c>
      <c r="I216" s="494" t="inlineStr">
        <is>
          <t>109A</t>
        </is>
      </c>
      <c r="J216" s="494" t="n">
        <v>109</v>
      </c>
      <c r="K216" s="494" t="n">
        <v>84</v>
      </c>
      <c r="L216" s="494" t="n">
        <v>33</v>
      </c>
      <c r="M216" s="494" t="inlineStr">
        <is>
          <t>계단식</t>
        </is>
      </c>
      <c r="N216" s="494" t="n">
        <v>4</v>
      </c>
      <c r="O216" s="494" t="n">
        <v>2</v>
      </c>
      <c r="P216" s="494" t="n">
        <v>126</v>
      </c>
      <c r="Q216" s="289" t="n"/>
      <c r="R216" s="136" t="inlineStr">
        <is>
          <t>-</t>
        </is>
      </c>
      <c r="S216" s="581">
        <f>Q216-R216</f>
        <v/>
      </c>
      <c r="T216" s="71">
        <f>R216/Q216</f>
        <v/>
      </c>
      <c r="U216" s="289" t="n"/>
      <c r="V216" s="289" t="n"/>
      <c r="W216" s="458" t="inlineStr">
        <is>
          <t>계단식</t>
        </is>
      </c>
      <c r="X216" s="458" t="n">
        <v>4</v>
      </c>
      <c r="Y216" s="458" t="n">
        <v>2</v>
      </c>
      <c r="Z216" s="458" t="n">
        <v>126</v>
      </c>
      <c r="AA216" s="289" t="n"/>
      <c r="AB216" s="289" t="n"/>
      <c r="AC216" s="289">
        <f>L216</f>
        <v/>
      </c>
      <c r="AD216" s="289" t="n"/>
      <c r="AE216" s="289" t="n"/>
      <c r="AF216" s="289">
        <f>AE216/AD216</f>
        <v/>
      </c>
      <c r="AG216" s="289">
        <f>AD216-AE216</f>
        <v/>
      </c>
      <c r="AH216" s="458" t="n">
        <v>2026.04</v>
      </c>
      <c r="AJ216" s="458">
        <f>AI216-AD216</f>
        <v/>
      </c>
      <c r="AK216" s="129">
        <f>(AI216-AD216)/AD216</f>
        <v/>
      </c>
      <c r="AL216" s="289">
        <f>AJ216/AG216</f>
        <v/>
      </c>
      <c r="AM216" s="88" t="n"/>
      <c r="AN216" s="289" t="n"/>
      <c r="AV216" s="289" t="n"/>
    </row>
    <row r="217" ht="17" customHeight="1" s="476">
      <c r="A217" s="494" t="inlineStr">
        <is>
          <t>용곡동</t>
        </is>
      </c>
      <c r="B217" s="289" t="n"/>
      <c r="C217" s="289" t="n"/>
      <c r="D217" s="494" t="n">
        <v>153265</v>
      </c>
      <c r="E217" s="133" t="inlineStr">
        <is>
          <t>호반써밋센트럴파크Ⅰ</t>
        </is>
      </c>
      <c r="F217" s="494" t="n">
        <v>2025.12</v>
      </c>
      <c r="G217" s="494" t="n">
        <v>453</v>
      </c>
      <c r="H217" s="494">
        <f>2026-F217+1</f>
        <v/>
      </c>
      <c r="I217" s="494" t="inlineStr">
        <is>
          <t>126</t>
        </is>
      </c>
      <c r="J217" s="494" t="n">
        <v>126</v>
      </c>
      <c r="K217" s="494" t="n">
        <v>99</v>
      </c>
      <c r="L217" s="494" t="n">
        <v>38</v>
      </c>
      <c r="M217" s="494" t="inlineStr">
        <is>
          <t>계단식</t>
        </is>
      </c>
      <c r="N217" s="494" t="n">
        <v>3</v>
      </c>
      <c r="O217" s="494" t="n">
        <v>2</v>
      </c>
      <c r="P217" s="494" t="n">
        <v>242</v>
      </c>
      <c r="Q217" s="289" t="n"/>
      <c r="R217" s="136" t="inlineStr">
        <is>
          <t>-</t>
        </is>
      </c>
      <c r="S217" s="581">
        <f>Q217-R217</f>
        <v/>
      </c>
      <c r="T217" s="71">
        <f>R217/Q217</f>
        <v/>
      </c>
      <c r="U217" s="289" t="n"/>
      <c r="V217" s="289" t="n"/>
      <c r="W217" s="458" t="inlineStr">
        <is>
          <t>계단식</t>
        </is>
      </c>
      <c r="X217" s="458" t="n">
        <v>3</v>
      </c>
      <c r="Y217" s="458" t="n">
        <v>2</v>
      </c>
      <c r="Z217" s="458" t="n">
        <v>242</v>
      </c>
      <c r="AA217" s="289" t="n"/>
      <c r="AB217" s="289" t="n"/>
      <c r="AC217" s="289">
        <f>L217</f>
        <v/>
      </c>
      <c r="AD217" s="289" t="n"/>
      <c r="AE217" s="289" t="n"/>
      <c r="AF217" s="289">
        <f>AE217/AD217</f>
        <v/>
      </c>
      <c r="AG217" s="289">
        <f>AD217-AE217</f>
        <v/>
      </c>
      <c r="AH217" s="458" t="n">
        <v>2026.04</v>
      </c>
      <c r="AJ217" s="458">
        <f>AI217-AD217</f>
        <v/>
      </c>
      <c r="AK217" s="129">
        <f>(AI217-AD217)/AD217</f>
        <v/>
      </c>
      <c r="AL217" s="289">
        <f>AJ217/AG217</f>
        <v/>
      </c>
      <c r="AM217" s="289" t="n"/>
      <c r="AN217" s="289" t="n"/>
      <c r="AV217" s="289" t="n"/>
    </row>
    <row r="218" ht="17" customHeight="1" s="476">
      <c r="A218" s="458" t="inlineStr">
        <is>
          <t>용곡동</t>
        </is>
      </c>
      <c r="B218" s="159" t="n"/>
      <c r="C218" s="159" t="n"/>
      <c r="D218" s="458" t="n">
        <v>186759</v>
      </c>
      <c r="E218" s="146" t="inlineStr">
        <is>
          <t>천안용곡두산위브</t>
        </is>
      </c>
      <c r="F218" s="458" t="n">
        <v>2025.1</v>
      </c>
      <c r="G218" s="458" t="n">
        <v>409</v>
      </c>
      <c r="H218" s="458">
        <f>2026-F218+1</f>
        <v/>
      </c>
      <c r="I218" s="458" t="inlineStr">
        <is>
          <t>134</t>
        </is>
      </c>
      <c r="J218" s="458" t="n">
        <v>134</v>
      </c>
      <c r="K218" s="458" t="n">
        <v>105</v>
      </c>
      <c r="L218" s="458" t="n">
        <v>41</v>
      </c>
      <c r="M218" s="458" t="inlineStr">
        <is>
          <t>계단식</t>
        </is>
      </c>
      <c r="N218" s="458" t="n">
        <v>4</v>
      </c>
      <c r="O218" s="458" t="n">
        <v>2</v>
      </c>
      <c r="P218" s="458" t="n">
        <v>2</v>
      </c>
      <c r="Q218" s="536" t="n"/>
      <c r="R218" s="621" t="inlineStr">
        <is>
          <t>-</t>
        </is>
      </c>
      <c r="S218" s="581">
        <f>Q218-R218</f>
        <v/>
      </c>
      <c r="T218" s="71">
        <f>R218/Q218</f>
        <v/>
      </c>
      <c r="U218" s="622" t="n"/>
      <c r="V218" s="622" t="n"/>
      <c r="W218" s="458" t="inlineStr">
        <is>
          <t>계단식</t>
        </is>
      </c>
      <c r="X218" s="458" t="n">
        <v>4</v>
      </c>
      <c r="Y218" s="458" t="n">
        <v>2</v>
      </c>
      <c r="Z218" s="458" t="n">
        <v>2</v>
      </c>
      <c r="AA218" s="225" t="n"/>
      <c r="AC218" s="458">
        <f>L218</f>
        <v/>
      </c>
      <c r="AD218" s="509" t="n"/>
      <c r="AE218" s="509" t="n"/>
      <c r="AF218" s="137">
        <f>AE218/AD218</f>
        <v/>
      </c>
      <c r="AG218" s="144">
        <f>AD218-AE218</f>
        <v/>
      </c>
      <c r="AH218" s="458" t="n">
        <v>2026.04</v>
      </c>
      <c r="AI218" s="509" t="n"/>
      <c r="AJ218" s="509">
        <f>AI218-AD218</f>
        <v/>
      </c>
      <c r="AK218" s="129">
        <f>(AI218-AD218)/AD218</f>
        <v/>
      </c>
      <c r="AL218" s="137">
        <f>AJ218/AG218</f>
        <v/>
      </c>
      <c r="AM218" s="236" t="n"/>
      <c r="AN218" s="16" t="n"/>
    </row>
    <row r="219" ht="17" customHeight="1" s="476">
      <c r="A219" s="458" t="inlineStr">
        <is>
          <t>용곡동</t>
        </is>
      </c>
      <c r="B219" s="159" t="n"/>
      <c r="C219" s="159" t="n"/>
      <c r="D219" s="458" t="n">
        <v>186759</v>
      </c>
      <c r="E219" s="146" t="inlineStr">
        <is>
          <t>천안용곡두산위브</t>
        </is>
      </c>
      <c r="F219" s="458" t="n">
        <v>2025.1</v>
      </c>
      <c r="G219" s="458" t="n">
        <v>409</v>
      </c>
      <c r="H219" s="458">
        <f>2026-F219+1</f>
        <v/>
      </c>
      <c r="I219" s="458" t="inlineStr">
        <is>
          <t>147</t>
        </is>
      </c>
      <c r="J219" s="458" t="n">
        <v>147</v>
      </c>
      <c r="K219" s="458" t="n">
        <v>114</v>
      </c>
      <c r="L219" s="458" t="n">
        <v>44</v>
      </c>
      <c r="M219" s="458" t="inlineStr">
        <is>
          <t>계단식</t>
        </is>
      </c>
      <c r="N219" s="458" t="n">
        <v>4</v>
      </c>
      <c r="O219" s="458" t="n">
        <v>2</v>
      </c>
      <c r="P219" s="458" t="n">
        <v>9</v>
      </c>
      <c r="Q219" s="536" t="n"/>
      <c r="R219" s="621" t="inlineStr">
        <is>
          <t>-</t>
        </is>
      </c>
      <c r="S219" s="581">
        <f>Q219-R219</f>
        <v/>
      </c>
      <c r="T219" s="71">
        <f>R219/Q219</f>
        <v/>
      </c>
      <c r="U219" s="622" t="n"/>
      <c r="V219" s="622" t="n"/>
      <c r="W219" s="458" t="inlineStr">
        <is>
          <t>계단식</t>
        </is>
      </c>
      <c r="X219" s="458" t="n">
        <v>4</v>
      </c>
      <c r="Y219" s="458" t="n">
        <v>2</v>
      </c>
      <c r="Z219" s="458" t="n">
        <v>9</v>
      </c>
      <c r="AA219" s="225" t="n"/>
      <c r="AC219" s="458">
        <f>L219</f>
        <v/>
      </c>
      <c r="AD219" s="509" t="n"/>
      <c r="AE219" s="509" t="n"/>
      <c r="AF219" s="137">
        <f>AE219/AD219</f>
        <v/>
      </c>
      <c r="AG219" s="144">
        <f>AD219-AE219</f>
        <v/>
      </c>
      <c r="AH219" s="458" t="n">
        <v>2026.04</v>
      </c>
      <c r="AI219" s="509" t="n"/>
      <c r="AJ219" s="509">
        <f>AI219-AD219</f>
        <v/>
      </c>
      <c r="AK219" s="129">
        <f>(AI219-AD219)/AD219</f>
        <v/>
      </c>
      <c r="AL219" s="137">
        <f>AJ219/AG219</f>
        <v/>
      </c>
      <c r="AM219" s="236" t="n"/>
      <c r="AN219" s="15" t="inlineStr">
        <is>
          <t>투자적용 및 질문</t>
        </is>
      </c>
    </row>
    <row r="220" ht="17" customHeight="1" s="476">
      <c r="A220" s="494" t="inlineStr">
        <is>
          <t>용곡동</t>
        </is>
      </c>
      <c r="B220" s="88" t="n"/>
      <c r="C220" s="89" t="n"/>
      <c r="D220" s="494" t="n">
        <v>15420</v>
      </c>
      <c r="E220" s="133" t="inlineStr">
        <is>
          <t>용곡세광엔리치타워1차</t>
        </is>
      </c>
      <c r="F220" s="494" t="n">
        <v>2005.08</v>
      </c>
      <c r="G220" s="494" t="n">
        <v>575</v>
      </c>
      <c r="H220" s="494">
        <f>2026-F220+1</f>
        <v/>
      </c>
      <c r="I220" s="494" t="inlineStr">
        <is>
          <t>180</t>
        </is>
      </c>
      <c r="J220" s="494" t="n">
        <v>180</v>
      </c>
      <c r="K220" s="494" t="n">
        <v>153</v>
      </c>
      <c r="L220" s="494" t="n">
        <v>54</v>
      </c>
      <c r="M220" s="494" t="inlineStr">
        <is>
          <t>계단식</t>
        </is>
      </c>
      <c r="N220" s="494" t="n">
        <v>4</v>
      </c>
      <c r="O220" s="494" t="n">
        <v>2</v>
      </c>
      <c r="P220" s="494" t="n">
        <v>75</v>
      </c>
      <c r="Q220" s="623" t="n"/>
      <c r="R220" s="624" t="inlineStr">
        <is>
          <t>-</t>
        </is>
      </c>
      <c r="S220" s="581">
        <f>Q220-R220</f>
        <v/>
      </c>
      <c r="T220" s="71">
        <f>R220/Q220</f>
        <v/>
      </c>
      <c r="U220" s="625" t="n">
        <v>35800</v>
      </c>
      <c r="V220" s="625" t="n">
        <v>28000</v>
      </c>
      <c r="W220" s="458" t="inlineStr">
        <is>
          <t>계단식</t>
        </is>
      </c>
      <c r="X220" s="458" t="n">
        <v>4</v>
      </c>
      <c r="Y220" s="458" t="n">
        <v>2</v>
      </c>
      <c r="Z220" s="458" t="n">
        <v>75</v>
      </c>
      <c r="AA220" s="132" t="n">
        <v>2020.02</v>
      </c>
      <c r="AB220" s="132" t="n">
        <v>0.02</v>
      </c>
      <c r="AC220" s="132">
        <f>L220</f>
        <v/>
      </c>
      <c r="AD220" s="591" t="n">
        <v>20050</v>
      </c>
      <c r="AE220" s="591" t="n">
        <v>17000</v>
      </c>
      <c r="AF220" s="142">
        <f>AE220/AD220</f>
        <v/>
      </c>
      <c r="AG220" s="143">
        <f>AD220-AE220</f>
        <v/>
      </c>
      <c r="AH220" s="458" t="n">
        <v>2026.04</v>
      </c>
      <c r="AI220" s="458" t="n"/>
      <c r="AJ220" s="458">
        <f>AI220-AD220</f>
        <v/>
      </c>
      <c r="AK220" s="129">
        <f>(AI220-AD220)/AD220</f>
        <v/>
      </c>
      <c r="AL220" s="142">
        <f>AJ220/AG220</f>
        <v/>
      </c>
      <c r="AM220" s="111" t="n"/>
      <c r="AN220" s="289" t="n"/>
      <c r="AV220" s="289" t="n"/>
    </row>
    <row r="221" ht="17" customHeight="1" s="476">
      <c r="A221" s="494" t="inlineStr">
        <is>
          <t>용곡동</t>
        </is>
      </c>
      <c r="B221" s="88" t="n"/>
      <c r="C221" s="89" t="n"/>
      <c r="D221" s="494" t="n">
        <v>26157</v>
      </c>
      <c r="E221" s="133" t="inlineStr">
        <is>
          <t>용곡마을세광엔리치타워2차</t>
        </is>
      </c>
      <c r="F221" s="494" t="n">
        <v>2007.1</v>
      </c>
      <c r="G221" s="494" t="n">
        <v>897</v>
      </c>
      <c r="H221" s="494">
        <f>2026-F221+1</f>
        <v/>
      </c>
      <c r="I221" s="494" t="inlineStr">
        <is>
          <t>130</t>
        </is>
      </c>
      <c r="J221" s="494" t="n">
        <v>130</v>
      </c>
      <c r="K221" s="494" t="n">
        <v>101</v>
      </c>
      <c r="L221" s="494" t="n">
        <v>39</v>
      </c>
      <c r="M221" s="494" t="inlineStr">
        <is>
          <t>계단식</t>
        </is>
      </c>
      <c r="N221" s="494" t="n">
        <v>3</v>
      </c>
      <c r="O221" s="494" t="n">
        <v>2</v>
      </c>
      <c r="P221" s="494" t="n">
        <v>60</v>
      </c>
      <c r="Q221" s="623" t="n"/>
      <c r="R221" s="624" t="inlineStr">
        <is>
          <t>-</t>
        </is>
      </c>
      <c r="S221" s="581">
        <f>Q221-R221</f>
        <v/>
      </c>
      <c r="T221" s="71">
        <f>R221/Q221</f>
        <v/>
      </c>
      <c r="U221" s="625" t="n">
        <v>30500</v>
      </c>
      <c r="V221" s="625" t="n">
        <v>29800</v>
      </c>
      <c r="W221" s="458" t="inlineStr">
        <is>
          <t>계단식</t>
        </is>
      </c>
      <c r="X221" s="458" t="n">
        <v>3</v>
      </c>
      <c r="Y221" s="458" t="n">
        <v>2</v>
      </c>
      <c r="Z221" s="458" t="n">
        <v>60</v>
      </c>
      <c r="AA221" s="289" t="n">
        <v>2024.01</v>
      </c>
      <c r="AB221" s="289" t="n">
        <v>0.02</v>
      </c>
      <c r="AC221" s="132">
        <f>L221</f>
        <v/>
      </c>
      <c r="AD221" s="591" t="n">
        <v>22500</v>
      </c>
      <c r="AE221" s="591" t="n">
        <v>18000</v>
      </c>
      <c r="AF221" s="142">
        <f>AE221/AD221</f>
        <v/>
      </c>
      <c r="AG221" s="143">
        <f>AD221-AE221</f>
        <v/>
      </c>
      <c r="AH221" s="458" t="n">
        <v>2026.04</v>
      </c>
      <c r="AI221" s="458" t="n"/>
      <c r="AJ221" s="458">
        <f>AI221-AD221</f>
        <v/>
      </c>
      <c r="AK221" s="129">
        <f>(AI221-AD221)/AD221</f>
        <v/>
      </c>
      <c r="AL221" s="142">
        <f>AJ221/AG221</f>
        <v/>
      </c>
      <c r="AM221" s="111" t="n"/>
      <c r="AN221" s="289" t="n"/>
      <c r="AV221" s="289" t="n"/>
    </row>
    <row r="222" ht="17" customHeight="1" s="476">
      <c r="A222" s="494" t="inlineStr">
        <is>
          <t>용곡동</t>
        </is>
      </c>
      <c r="B222" s="88" t="n"/>
      <c r="C222" s="89" t="n"/>
      <c r="D222" s="494" t="n">
        <v>15420</v>
      </c>
      <c r="E222" s="133" t="inlineStr">
        <is>
          <t>용곡세광엔리치타워1차</t>
        </is>
      </c>
      <c r="F222" s="494" t="n">
        <v>2005.08</v>
      </c>
      <c r="G222" s="494" t="n">
        <v>575</v>
      </c>
      <c r="H222" s="494">
        <f>2026-F222+1</f>
        <v/>
      </c>
      <c r="I222" s="494" t="inlineStr">
        <is>
          <t>215</t>
        </is>
      </c>
      <c r="J222" s="494" t="n">
        <v>215</v>
      </c>
      <c r="K222" s="494" t="n">
        <v>183</v>
      </c>
      <c r="L222" s="494" t="n">
        <v>65</v>
      </c>
      <c r="M222" s="494" t="inlineStr">
        <is>
          <t>계단식</t>
        </is>
      </c>
      <c r="N222" s="494" t="n">
        <v>4</v>
      </c>
      <c r="O222" s="494" t="n">
        <v>2</v>
      </c>
      <c r="P222" s="494" t="n">
        <v>60</v>
      </c>
      <c r="Q222" s="623" t="n"/>
      <c r="R222" s="624" t="inlineStr">
        <is>
          <t>-</t>
        </is>
      </c>
      <c r="S222" s="581">
        <f>Q222-R222</f>
        <v/>
      </c>
      <c r="T222" s="71">
        <f>R222/Q222</f>
        <v/>
      </c>
      <c r="U222" s="625" t="n">
        <v>38500</v>
      </c>
      <c r="V222" s="625" t="n">
        <v>32000</v>
      </c>
      <c r="W222" s="458" t="inlineStr">
        <is>
          <t>계단식</t>
        </is>
      </c>
      <c r="X222" s="458" t="n">
        <v>4</v>
      </c>
      <c r="Y222" s="458" t="n">
        <v>2</v>
      </c>
      <c r="Z222" s="458" t="n">
        <v>60</v>
      </c>
      <c r="AA222" s="289" t="n">
        <v>2020.03</v>
      </c>
      <c r="AB222" s="289" t="n">
        <v>0.04</v>
      </c>
      <c r="AC222" s="132">
        <f>L222</f>
        <v/>
      </c>
      <c r="AD222" s="591" t="n">
        <v>23100</v>
      </c>
      <c r="AE222" s="591" t="n">
        <v>22000</v>
      </c>
      <c r="AF222" s="142">
        <f>AE222/AD222</f>
        <v/>
      </c>
      <c r="AG222" s="143">
        <f>AD222-AE222</f>
        <v/>
      </c>
      <c r="AH222" s="458" t="n">
        <v>2026.04</v>
      </c>
      <c r="AJ222" s="458">
        <f>AI222-AD222</f>
        <v/>
      </c>
      <c r="AK222" s="129">
        <f>(AI222-AD222)/AD222</f>
        <v/>
      </c>
      <c r="AL222" s="289">
        <f>AJ222/AG222</f>
        <v/>
      </c>
      <c r="AM222" s="88" t="n"/>
      <c r="AN222" s="289" t="n"/>
      <c r="AV222" s="289" t="n"/>
    </row>
    <row r="223" ht="17" customHeight="1" s="476">
      <c r="A223" s="458" t="inlineStr">
        <is>
          <t>용곡동</t>
        </is>
      </c>
      <c r="B223" s="159" t="n"/>
      <c r="C223" s="159" t="n"/>
      <c r="D223" s="458" t="n">
        <v>15430</v>
      </c>
      <c r="E223" s="146" t="inlineStr">
        <is>
          <t>용곡마을동일하이빌1단지</t>
        </is>
      </c>
      <c r="F223" s="458" t="n">
        <v>2005.12</v>
      </c>
      <c r="G223" s="458" t="n">
        <v>706</v>
      </c>
      <c r="H223" s="458">
        <f>2026-F223+1</f>
        <v/>
      </c>
      <c r="I223" s="458" t="inlineStr">
        <is>
          <t>145</t>
        </is>
      </c>
      <c r="J223" s="458" t="n">
        <v>145</v>
      </c>
      <c r="K223" s="458" t="n">
        <v>109</v>
      </c>
      <c r="L223" s="458" t="n">
        <v>44</v>
      </c>
      <c r="M223" s="458" t="inlineStr">
        <is>
          <t>계단식</t>
        </is>
      </c>
      <c r="N223" s="458" t="n">
        <v>3</v>
      </c>
      <c r="O223" s="458" t="n">
        <v>2</v>
      </c>
      <c r="P223" s="458" t="n">
        <v>323</v>
      </c>
      <c r="Q223" s="536" t="n"/>
      <c r="R223" s="621" t="inlineStr">
        <is>
          <t>-</t>
        </is>
      </c>
      <c r="S223" s="581">
        <f>Q223-R223</f>
        <v/>
      </c>
      <c r="T223" s="71">
        <f>R223/Q223</f>
        <v/>
      </c>
      <c r="U223" s="622" t="n">
        <v>35000</v>
      </c>
      <c r="V223" s="622" t="n">
        <v>24000</v>
      </c>
      <c r="W223" s="458" t="inlineStr">
        <is>
          <t>계단식</t>
        </is>
      </c>
      <c r="X223" s="458" t="n">
        <v>3</v>
      </c>
      <c r="Y223" s="458" t="n">
        <v>2</v>
      </c>
      <c r="Z223" s="458" t="n">
        <v>323</v>
      </c>
      <c r="AA223" s="458" t="n">
        <v>2020.06</v>
      </c>
      <c r="AB223" s="458" t="n">
        <v>0.01</v>
      </c>
      <c r="AC223" s="458">
        <f>L223</f>
        <v/>
      </c>
      <c r="AD223" s="509" t="n">
        <v>24933</v>
      </c>
      <c r="AE223" s="509" t="n">
        <v>20000</v>
      </c>
      <c r="AF223" s="137">
        <f>AE223/AD223</f>
        <v/>
      </c>
      <c r="AG223" s="144">
        <f>AD223-AE223</f>
        <v/>
      </c>
      <c r="AH223" s="458" t="n">
        <v>2026.04</v>
      </c>
      <c r="AI223" s="458" t="n"/>
      <c r="AJ223" s="458">
        <f>AI223-AD223</f>
        <v/>
      </c>
      <c r="AK223" s="129">
        <f>(AI223-AD223)/AD223</f>
        <v/>
      </c>
      <c r="AL223" s="458">
        <f>AJ223/AG223</f>
        <v/>
      </c>
      <c r="AM223" s="236" t="n"/>
    </row>
    <row r="224" ht="17" customHeight="1" s="476">
      <c r="A224" s="458" t="inlineStr">
        <is>
          <t>용곡동</t>
        </is>
      </c>
      <c r="D224" s="458" t="n">
        <v>26813</v>
      </c>
      <c r="E224" s="146" t="inlineStr">
        <is>
          <t>용곡우림필유</t>
        </is>
      </c>
      <c r="F224" s="458" t="n">
        <v>2009.1</v>
      </c>
      <c r="G224" s="458" t="n">
        <v>499</v>
      </c>
      <c r="H224" s="458">
        <f>2026-F224+1</f>
        <v/>
      </c>
      <c r="I224" s="458" t="inlineStr">
        <is>
          <t>154A, 154B</t>
        </is>
      </c>
      <c r="J224" s="458" t="n">
        <v>154</v>
      </c>
      <c r="K224" s="458" t="n">
        <v>120</v>
      </c>
      <c r="L224" s="458" t="n">
        <v>47</v>
      </c>
      <c r="M224" s="458" t="inlineStr">
        <is>
          <t>계단식</t>
        </is>
      </c>
      <c r="N224" s="458" t="n">
        <v>4</v>
      </c>
      <c r="O224" s="458" t="n">
        <v>2</v>
      </c>
      <c r="P224" s="458" t="n">
        <v>137</v>
      </c>
      <c r="Q224" s="536" t="n"/>
      <c r="R224" s="621" t="inlineStr">
        <is>
          <t>-</t>
        </is>
      </c>
      <c r="S224" s="581">
        <f>Q224-R224</f>
        <v/>
      </c>
      <c r="T224" s="71">
        <f>R224/Q224</f>
        <v/>
      </c>
      <c r="U224" s="622" t="n">
        <v>38000</v>
      </c>
      <c r="V224" s="622" t="n">
        <v>31000</v>
      </c>
      <c r="W224" s="458" t="inlineStr">
        <is>
          <t>계단식</t>
        </is>
      </c>
      <c r="X224" s="458" t="n">
        <v>4</v>
      </c>
      <c r="Y224" s="458" t="n">
        <v>2</v>
      </c>
      <c r="Z224" s="458" t="n">
        <v>137</v>
      </c>
      <c r="AA224" s="458" t="n">
        <v>2019.12</v>
      </c>
      <c r="AB224" s="458" t="n">
        <v>0.09</v>
      </c>
      <c r="AC224" s="458">
        <f>L224</f>
        <v/>
      </c>
      <c r="AD224" s="509" t="n">
        <v>25729</v>
      </c>
      <c r="AE224" s="509" t="n">
        <v>20750</v>
      </c>
      <c r="AF224" s="137">
        <f>AE224/AD224</f>
        <v/>
      </c>
      <c r="AG224" s="144">
        <f>AD224-AE224</f>
        <v/>
      </c>
      <c r="AH224" s="458" t="n">
        <v>2026.04</v>
      </c>
      <c r="AJ224" s="458">
        <f>AI224-AD224</f>
        <v/>
      </c>
      <c r="AK224" s="129">
        <f>(AI224-AD224)/AD224</f>
        <v/>
      </c>
      <c r="AL224" s="458">
        <f>AJ224/AG224</f>
        <v/>
      </c>
    </row>
    <row r="225" ht="17" customHeight="1" s="476">
      <c r="A225" s="494" t="inlineStr">
        <is>
          <t>용곡동</t>
        </is>
      </c>
      <c r="B225" s="88" t="n"/>
      <c r="C225" s="89" t="n"/>
      <c r="D225" s="494" t="n">
        <v>15420</v>
      </c>
      <c r="E225" s="133" t="inlineStr">
        <is>
          <t>용곡세광엔리치타워1차</t>
        </is>
      </c>
      <c r="F225" s="494" t="n">
        <v>2005.08</v>
      </c>
      <c r="G225" s="494" t="n">
        <v>575</v>
      </c>
      <c r="H225" s="494">
        <f>2026-F225+1</f>
        <v/>
      </c>
      <c r="I225" s="494" t="inlineStr">
        <is>
          <t>151</t>
        </is>
      </c>
      <c r="J225" s="494" t="n">
        <v>151</v>
      </c>
      <c r="K225" s="494" t="n">
        <v>128</v>
      </c>
      <c r="L225" s="494" t="n">
        <v>46</v>
      </c>
      <c r="M225" s="494" t="inlineStr">
        <is>
          <t>계단식</t>
        </is>
      </c>
      <c r="N225" s="494" t="n">
        <v>4</v>
      </c>
      <c r="O225" s="494" t="n">
        <v>2</v>
      </c>
      <c r="P225" s="494" t="n">
        <v>90</v>
      </c>
      <c r="Q225" s="623" t="n"/>
      <c r="R225" s="624" t="inlineStr">
        <is>
          <t>-</t>
        </is>
      </c>
      <c r="S225" s="581">
        <f>Q225-R225</f>
        <v/>
      </c>
      <c r="T225" s="71">
        <f>R225/Q225</f>
        <v/>
      </c>
      <c r="U225" s="625" t="n">
        <v>32000</v>
      </c>
      <c r="V225" s="625" t="n">
        <v>27500</v>
      </c>
      <c r="W225" s="458" t="inlineStr">
        <is>
          <t>계단식</t>
        </is>
      </c>
      <c r="X225" s="458" t="n">
        <v>4</v>
      </c>
      <c r="Y225" s="458" t="n">
        <v>2</v>
      </c>
      <c r="Z225" s="458" t="n">
        <v>90</v>
      </c>
      <c r="AA225" s="289" t="n">
        <v>2025.09</v>
      </c>
      <c r="AB225" s="289" t="n">
        <v>0.02</v>
      </c>
      <c r="AC225" s="132">
        <f>L225</f>
        <v/>
      </c>
      <c r="AD225" s="591" t="n">
        <v>26000</v>
      </c>
      <c r="AE225" s="591" t="n">
        <v>23000</v>
      </c>
      <c r="AF225" s="142">
        <f>AE225/AD225</f>
        <v/>
      </c>
      <c r="AG225" s="143">
        <f>AD225-AE225</f>
        <v/>
      </c>
      <c r="AH225" s="458" t="n">
        <v>2026.04</v>
      </c>
      <c r="AJ225" s="458">
        <f>AI225-AD225</f>
        <v/>
      </c>
      <c r="AK225" s="129">
        <f>(AI225-AD225)/AD225</f>
        <v/>
      </c>
      <c r="AL225" s="142">
        <f>AJ225/AG225</f>
        <v/>
      </c>
      <c r="AM225" s="111" t="n"/>
      <c r="AN225" s="289" t="n"/>
      <c r="AV225" s="289" t="n"/>
    </row>
    <row r="226" ht="17" customHeight="1" s="476">
      <c r="A226" s="494" t="inlineStr">
        <is>
          <t>용곡동</t>
        </is>
      </c>
      <c r="B226" s="289" t="n"/>
      <c r="C226" s="289" t="n"/>
      <c r="D226" s="494" t="n">
        <v>26157</v>
      </c>
      <c r="E226" s="133" t="inlineStr">
        <is>
          <t>용곡마을세광엔리치타워2차</t>
        </is>
      </c>
      <c r="F226" s="494" t="n">
        <v>2007.1</v>
      </c>
      <c r="G226" s="494" t="n">
        <v>897</v>
      </c>
      <c r="H226" s="494">
        <f>2026-F226+1</f>
        <v/>
      </c>
      <c r="I226" s="494" t="inlineStr">
        <is>
          <t>158</t>
        </is>
      </c>
      <c r="J226" s="494" t="n">
        <v>158</v>
      </c>
      <c r="K226" s="494" t="n">
        <v>126</v>
      </c>
      <c r="L226" s="494" t="n">
        <v>48</v>
      </c>
      <c r="M226" s="494" t="inlineStr">
        <is>
          <t>계단식</t>
        </is>
      </c>
      <c r="N226" s="494" t="n">
        <v>4</v>
      </c>
      <c r="O226" s="494" t="n">
        <v>2</v>
      </c>
      <c r="P226" s="494" t="n">
        <v>90</v>
      </c>
      <c r="Q226" s="623" t="n"/>
      <c r="R226" s="624" t="inlineStr">
        <is>
          <t>-</t>
        </is>
      </c>
      <c r="S226" s="581">
        <f>Q226-R226</f>
        <v/>
      </c>
      <c r="T226" s="71">
        <f>R226/Q226</f>
        <v/>
      </c>
      <c r="U226" s="625" t="n">
        <v>36000</v>
      </c>
      <c r="V226" s="625" t="n">
        <v>34500</v>
      </c>
      <c r="W226" s="458" t="inlineStr">
        <is>
          <t>계단식</t>
        </is>
      </c>
      <c r="X226" s="458" t="n">
        <v>4</v>
      </c>
      <c r="Y226" s="458" t="n">
        <v>2</v>
      </c>
      <c r="Z226" s="458" t="n">
        <v>90</v>
      </c>
      <c r="AA226" s="289" t="n">
        <v>2021.08</v>
      </c>
      <c r="AB226" s="289" t="n">
        <v>0.03</v>
      </c>
      <c r="AC226" s="132">
        <f>L226</f>
        <v/>
      </c>
      <c r="AD226" s="591" t="n">
        <v>31000</v>
      </c>
      <c r="AE226" s="591" t="n">
        <v>25000</v>
      </c>
      <c r="AF226" s="142">
        <f>AE226/AD226</f>
        <v/>
      </c>
      <c r="AG226" s="143">
        <f>AD226-AE226</f>
        <v/>
      </c>
      <c r="AH226" s="458" t="n">
        <v>2026.04</v>
      </c>
      <c r="AI226" s="458" t="n"/>
      <c r="AJ226" s="458">
        <f>AI226-AD226</f>
        <v/>
      </c>
      <c r="AK226" s="129">
        <f>(AI226-AD226)/AD226</f>
        <v/>
      </c>
      <c r="AL226" s="142">
        <f>AJ226/AG226</f>
        <v/>
      </c>
      <c r="AM226" s="503" t="n"/>
      <c r="AN226" s="289" t="n"/>
      <c r="AV226" s="289" t="n"/>
    </row>
    <row r="227" ht="17" customHeight="1" s="476">
      <c r="A227" s="494" t="inlineStr">
        <is>
          <t>용곡동</t>
        </is>
      </c>
      <c r="B227" s="289" t="n"/>
      <c r="C227" s="289" t="n"/>
      <c r="D227" s="494" t="n">
        <v>107116</v>
      </c>
      <c r="E227" s="133" t="inlineStr">
        <is>
          <t>용곡동일하이빌하이씨티4단지</t>
        </is>
      </c>
      <c r="F227" s="494" t="n">
        <v>2015.08</v>
      </c>
      <c r="G227" s="494" t="n">
        <v>379</v>
      </c>
      <c r="H227" s="494">
        <f>2026-F227+1</f>
        <v/>
      </c>
      <c r="I227" s="494" t="inlineStr">
        <is>
          <t>135</t>
        </is>
      </c>
      <c r="J227" s="494" t="n">
        <v>135</v>
      </c>
      <c r="K227" s="494" t="n">
        <v>103</v>
      </c>
      <c r="L227" s="494" t="n">
        <v>41</v>
      </c>
      <c r="M227" s="494" t="inlineStr">
        <is>
          <t>계단식</t>
        </is>
      </c>
      <c r="N227" s="494" t="n">
        <v>3</v>
      </c>
      <c r="O227" s="494" t="n">
        <v>2</v>
      </c>
      <c r="P227" s="494" t="n">
        <v>114</v>
      </c>
      <c r="Q227" s="623" t="n"/>
      <c r="R227" s="624" t="inlineStr">
        <is>
          <t>-</t>
        </is>
      </c>
      <c r="S227" s="581">
        <f>Q227-R227</f>
        <v/>
      </c>
      <c r="T227" s="71">
        <f>R227/Q227</f>
        <v/>
      </c>
      <c r="U227" s="625" t="n">
        <v>44500</v>
      </c>
      <c r="V227" s="625" t="n">
        <v>34900</v>
      </c>
      <c r="W227" s="458" t="inlineStr">
        <is>
          <t>계단식</t>
        </is>
      </c>
      <c r="X227" s="458" t="n">
        <v>3</v>
      </c>
      <c r="Y227" s="458" t="n">
        <v>2</v>
      </c>
      <c r="Z227" s="458" t="n">
        <v>114</v>
      </c>
      <c r="AA227" s="289" t="n">
        <v>2021.02</v>
      </c>
      <c r="AB227" s="289" t="n">
        <v>0.02</v>
      </c>
      <c r="AC227" s="132">
        <f>L227</f>
        <v/>
      </c>
      <c r="AD227" s="591" t="n">
        <v>32000</v>
      </c>
      <c r="AE227" s="591" t="n">
        <v>25750</v>
      </c>
      <c r="AF227" s="142">
        <f>AE227/AD227</f>
        <v/>
      </c>
      <c r="AG227" s="143">
        <f>AD227-AE227</f>
        <v/>
      </c>
      <c r="AH227" s="458" t="n">
        <v>2026.04</v>
      </c>
      <c r="AI227" s="458" t="n"/>
      <c r="AJ227" s="458">
        <f>AI227-AD227</f>
        <v/>
      </c>
      <c r="AK227" s="129">
        <f>(AI227-AD227)/AD227</f>
        <v/>
      </c>
      <c r="AL227" s="142">
        <f>AJ227/AG227</f>
        <v/>
      </c>
      <c r="AM227" s="503" t="n"/>
      <c r="AN227" s="289" t="n"/>
      <c r="AO227" s="458" t="n"/>
      <c r="AP227" s="458" t="n"/>
      <c r="AQ227" s="458" t="n"/>
      <c r="AR227" s="458" t="n"/>
      <c r="AS227" s="458" t="n"/>
      <c r="AT227" s="458" t="n"/>
      <c r="AU227" s="458" t="n"/>
      <c r="AV227" s="289" t="n"/>
      <c r="AW227" s="458" t="n"/>
      <c r="AX227" s="458" t="n"/>
      <c r="AY227" s="458" t="n"/>
    </row>
    <row r="228" ht="17" customHeight="1" s="476">
      <c r="A228" s="458" t="inlineStr">
        <is>
          <t>용곡동</t>
        </is>
      </c>
      <c r="B228" s="159" t="n"/>
      <c r="C228" s="159" t="n"/>
      <c r="D228" s="458" t="n">
        <v>19242</v>
      </c>
      <c r="E228" s="146" t="inlineStr">
        <is>
          <t>용곡마을아이파크</t>
        </is>
      </c>
      <c r="F228" s="458" t="n">
        <v>2006.09</v>
      </c>
      <c r="G228" s="458" t="n">
        <v>403</v>
      </c>
      <c r="H228" s="458">
        <f>2026-F228+1</f>
        <v/>
      </c>
      <c r="I228" s="458" t="inlineStr">
        <is>
          <t>189B, 189A</t>
        </is>
      </c>
      <c r="J228" s="458" t="n">
        <v>189</v>
      </c>
      <c r="K228" s="458" t="n">
        <v>156</v>
      </c>
      <c r="L228" s="458" t="n">
        <v>57</v>
      </c>
      <c r="M228" s="458" t="inlineStr">
        <is>
          <t>계단식</t>
        </is>
      </c>
      <c r="N228" s="458" t="n">
        <v>4</v>
      </c>
      <c r="O228" s="458" t="n">
        <v>2</v>
      </c>
      <c r="P228" s="458" t="n">
        <v>59</v>
      </c>
      <c r="Q228" s="536" t="n"/>
      <c r="R228" s="621" t="inlineStr">
        <is>
          <t>-</t>
        </is>
      </c>
      <c r="S228" s="581">
        <f>Q228-R228</f>
        <v/>
      </c>
      <c r="T228" s="71">
        <f>R228/Q228</f>
        <v/>
      </c>
      <c r="U228" s="622" t="n">
        <v>35000</v>
      </c>
      <c r="V228" s="622" t="n">
        <v>32000</v>
      </c>
      <c r="W228" s="458" t="inlineStr">
        <is>
          <t>계단식</t>
        </is>
      </c>
      <c r="X228" s="458" t="n">
        <v>4</v>
      </c>
      <c r="Y228" s="458" t="n">
        <v>2</v>
      </c>
      <c r="Z228" s="458" t="n">
        <v>59</v>
      </c>
      <c r="AA228" s="458" t="n">
        <v>2021.03</v>
      </c>
      <c r="AB228" s="458" t="n">
        <v>0.06</v>
      </c>
      <c r="AC228" s="458">
        <f>L228</f>
        <v/>
      </c>
      <c r="AD228" s="509" t="n">
        <v>32467</v>
      </c>
      <c r="AE228" s="509" t="n">
        <v>29000</v>
      </c>
      <c r="AF228" s="137">
        <f>AE228/AD228</f>
        <v/>
      </c>
      <c r="AG228" s="144">
        <f>AD228-AE228</f>
        <v/>
      </c>
      <c r="AH228" s="458" t="n">
        <v>2026.04</v>
      </c>
      <c r="AJ228" s="458">
        <f>AI228-AD228</f>
        <v/>
      </c>
      <c r="AK228" s="129">
        <f>(AI228-AD228)/AD228</f>
        <v/>
      </c>
      <c r="AL228" s="458">
        <f>AJ228/AG228</f>
        <v/>
      </c>
      <c r="AM228" s="236" t="n"/>
    </row>
    <row r="229" ht="17" customHeight="1" s="476">
      <c r="A229" s="494" t="inlineStr">
        <is>
          <t>용곡동</t>
        </is>
      </c>
      <c r="B229" s="88" t="n"/>
      <c r="C229" s="89" t="n"/>
      <c r="D229" s="494" t="n">
        <v>26258</v>
      </c>
      <c r="E229" s="133" t="inlineStr">
        <is>
          <t>용곡한라비발디</t>
        </is>
      </c>
      <c r="F229" s="494" t="n">
        <v>2010.06</v>
      </c>
      <c r="G229" s="494" t="n">
        <v>1163</v>
      </c>
      <c r="H229" s="494">
        <f>2026-F229+1</f>
        <v/>
      </c>
      <c r="I229" s="494" t="inlineStr">
        <is>
          <t>146</t>
        </is>
      </c>
      <c r="J229" s="494" t="n">
        <v>146</v>
      </c>
      <c r="K229" s="494" t="n">
        <v>116</v>
      </c>
      <c r="L229" s="494" t="n">
        <v>44</v>
      </c>
      <c r="M229" s="494" t="inlineStr">
        <is>
          <t>계단식</t>
        </is>
      </c>
      <c r="N229" s="494" t="n">
        <v>3</v>
      </c>
      <c r="O229" s="494" t="n">
        <v>2</v>
      </c>
      <c r="P229" s="494" t="n">
        <v>286</v>
      </c>
      <c r="Q229" s="623" t="n"/>
      <c r="R229" s="624" t="inlineStr">
        <is>
          <t>-</t>
        </is>
      </c>
      <c r="S229" s="581">
        <f>Q229-R229</f>
        <v/>
      </c>
      <c r="T229" s="71">
        <f>R229/Q229</f>
        <v/>
      </c>
      <c r="U229" s="625" t="n">
        <v>46850</v>
      </c>
      <c r="V229" s="625" t="n">
        <v>36500</v>
      </c>
      <c r="W229" s="458" t="inlineStr">
        <is>
          <t>계단식</t>
        </is>
      </c>
      <c r="X229" s="458" t="n">
        <v>3</v>
      </c>
      <c r="Y229" s="458" t="n">
        <v>2</v>
      </c>
      <c r="Z229" s="458" t="n">
        <v>286</v>
      </c>
      <c r="AA229" s="289" t="n">
        <v>2025.12</v>
      </c>
      <c r="AB229" s="289" t="n">
        <v>0.02</v>
      </c>
      <c r="AC229" s="132">
        <f>L229</f>
        <v/>
      </c>
      <c r="AD229" s="591" t="n">
        <v>35850</v>
      </c>
      <c r="AE229" s="591" t="n">
        <v>31300</v>
      </c>
      <c r="AF229" s="142">
        <f>AE229/AD229</f>
        <v/>
      </c>
      <c r="AG229" s="143">
        <f>AD229-AE229</f>
        <v/>
      </c>
      <c r="AH229" s="458" t="n">
        <v>2026.04</v>
      </c>
      <c r="AI229" s="458" t="n"/>
      <c r="AJ229" s="458">
        <f>AI229-AD229</f>
        <v/>
      </c>
      <c r="AK229" s="129">
        <f>(AI229-AD229)/AD229</f>
        <v/>
      </c>
      <c r="AL229" s="289">
        <f>AJ229/AG229</f>
        <v/>
      </c>
      <c r="AM229" s="88" t="n"/>
      <c r="AN229" s="289" t="n"/>
      <c r="AV229" s="289" t="n"/>
    </row>
    <row r="230" ht="17" customHeight="1" s="476">
      <c r="A230" s="494" t="inlineStr">
        <is>
          <t>용곡동</t>
        </is>
      </c>
      <c r="B230" s="88" t="n"/>
      <c r="C230" s="89" t="n"/>
      <c r="D230" s="494" t="n">
        <v>26258</v>
      </c>
      <c r="E230" s="133" t="inlineStr">
        <is>
          <t>용곡한라비발디</t>
        </is>
      </c>
      <c r="F230" s="494" t="n">
        <v>2010.06</v>
      </c>
      <c r="G230" s="494" t="n">
        <v>1163</v>
      </c>
      <c r="H230" s="494">
        <f>2026-F230+1</f>
        <v/>
      </c>
      <c r="I230" s="494" t="inlineStr">
        <is>
          <t>209</t>
        </is>
      </c>
      <c r="J230" s="494" t="n">
        <v>209</v>
      </c>
      <c r="K230" s="494" t="n">
        <v>161</v>
      </c>
      <c r="L230" s="494" t="n">
        <v>63</v>
      </c>
      <c r="M230" s="494" t="inlineStr">
        <is>
          <t>계단식</t>
        </is>
      </c>
      <c r="N230" s="494" t="n">
        <v>4</v>
      </c>
      <c r="O230" s="494" t="n">
        <v>2</v>
      </c>
      <c r="P230" s="494" t="n">
        <v>188</v>
      </c>
      <c r="Q230" s="623" t="n"/>
      <c r="R230" s="624" t="inlineStr">
        <is>
          <t>-</t>
        </is>
      </c>
      <c r="S230" s="581">
        <f>Q230-R230</f>
        <v/>
      </c>
      <c r="T230" s="71">
        <f>R230/Q230</f>
        <v/>
      </c>
      <c r="U230" s="625" t="n">
        <v>63000</v>
      </c>
      <c r="V230" s="625" t="n">
        <v>56000</v>
      </c>
      <c r="W230" s="458" t="inlineStr">
        <is>
          <t>계단식</t>
        </is>
      </c>
      <c r="X230" s="458" t="n">
        <v>4</v>
      </c>
      <c r="Y230" s="458" t="n">
        <v>2</v>
      </c>
      <c r="Z230" s="458" t="n">
        <v>188</v>
      </c>
      <c r="AA230" s="289" t="n">
        <v>2026.01</v>
      </c>
      <c r="AB230" s="289" t="n">
        <v>0.02</v>
      </c>
      <c r="AC230" s="132">
        <f>L230</f>
        <v/>
      </c>
      <c r="AD230" s="591" t="n">
        <v>54500</v>
      </c>
      <c r="AE230" s="591" t="n">
        <v>45000</v>
      </c>
      <c r="AF230" s="142">
        <f>AE230/AD230</f>
        <v/>
      </c>
      <c r="AG230" s="143">
        <f>AD230-AE230</f>
        <v/>
      </c>
      <c r="AH230" s="458" t="n">
        <v>2026.04</v>
      </c>
      <c r="AI230" s="458" t="n"/>
      <c r="AJ230" s="458">
        <f>AI230-AD230</f>
        <v/>
      </c>
      <c r="AK230" s="129">
        <f>(AI230-AD230)/AD230</f>
        <v/>
      </c>
      <c r="AL230" s="289">
        <f>AJ230/AG230</f>
        <v/>
      </c>
      <c r="AM230" s="88" t="n"/>
      <c r="AN230" s="289" t="n"/>
      <c r="AV230" s="289" t="n"/>
    </row>
    <row r="231" ht="17" customHeight="1" s="476">
      <c r="A231" s="458" t="inlineStr">
        <is>
          <t>원성동</t>
        </is>
      </c>
      <c r="B231" s="159" t="n"/>
      <c r="C231" s="159" t="n"/>
      <c r="D231" s="458" t="n">
        <v>7558</v>
      </c>
      <c r="E231" s="146" t="inlineStr">
        <is>
          <t>극동</t>
        </is>
      </c>
      <c r="F231" s="458" t="n">
        <v>1995.1</v>
      </c>
      <c r="G231" s="458" t="n">
        <v>341</v>
      </c>
      <c r="H231" s="458">
        <f>2026-F231+1</f>
        <v/>
      </c>
      <c r="I231" s="458" t="inlineStr">
        <is>
          <t>43A</t>
        </is>
      </c>
      <c r="J231" s="458" t="n">
        <v>43</v>
      </c>
      <c r="K231" s="458" t="n">
        <v>30</v>
      </c>
      <c r="L231" s="458" t="n">
        <v>13</v>
      </c>
      <c r="M231" s="458" t="inlineStr">
        <is>
          <t>복도식</t>
        </is>
      </c>
      <c r="N231" s="458" t="n">
        <v>2</v>
      </c>
      <c r="O231" s="458" t="n">
        <v>1</v>
      </c>
      <c r="P231" s="458" t="n">
        <v>26</v>
      </c>
      <c r="R231" s="135" t="inlineStr">
        <is>
          <t>-</t>
        </is>
      </c>
      <c r="S231" s="581">
        <f>Q231-R231</f>
        <v/>
      </c>
      <c r="T231" s="71">
        <f>R231/Q231</f>
        <v/>
      </c>
      <c r="U231" s="134" t="n">
        <v>7000</v>
      </c>
      <c r="V231" s="134" t="n">
        <v>6200</v>
      </c>
      <c r="W231" s="458" t="inlineStr">
        <is>
          <t>복도식</t>
        </is>
      </c>
      <c r="X231" s="458" t="n">
        <v>2</v>
      </c>
      <c r="Y231" s="458" t="n">
        <v>1</v>
      </c>
      <c r="Z231" s="458" t="n">
        <v>26</v>
      </c>
      <c r="AC231" s="458">
        <f>L231</f>
        <v/>
      </c>
      <c r="AF231" s="458">
        <f>AE231/AD231</f>
        <v/>
      </c>
      <c r="AG231" s="458">
        <f>AD231-AE231</f>
        <v/>
      </c>
      <c r="AH231" s="458" t="n">
        <v>2026.04</v>
      </c>
      <c r="AJ231" s="458">
        <f>AI231-AD231</f>
        <v/>
      </c>
      <c r="AK231" s="129">
        <f>(AI231-AD231)/AD231</f>
        <v/>
      </c>
      <c r="AL231" s="458">
        <f>AJ231/AG231</f>
        <v/>
      </c>
      <c r="AM231" s="236" t="n"/>
    </row>
    <row r="232" ht="17" customHeight="1" s="476">
      <c r="A232" s="458" t="inlineStr">
        <is>
          <t>원성동</t>
        </is>
      </c>
      <c r="B232" s="159" t="n"/>
      <c r="C232" s="159" t="n"/>
      <c r="D232" s="458" t="n">
        <v>7558</v>
      </c>
      <c r="E232" s="146" t="inlineStr">
        <is>
          <t>극동</t>
        </is>
      </c>
      <c r="F232" s="458" t="n">
        <v>1995.1</v>
      </c>
      <c r="G232" s="458" t="n">
        <v>341</v>
      </c>
      <c r="H232" s="458">
        <f>2026-F232+1</f>
        <v/>
      </c>
      <c r="I232" s="458" t="inlineStr">
        <is>
          <t>45B</t>
        </is>
      </c>
      <c r="J232" s="458" t="n">
        <v>45</v>
      </c>
      <c r="K232" s="458" t="n">
        <v>33</v>
      </c>
      <c r="L232" s="458" t="n">
        <v>14</v>
      </c>
      <c r="M232" s="458" t="inlineStr">
        <is>
          <t>복도식</t>
        </is>
      </c>
      <c r="N232" s="458" t="n">
        <v>2</v>
      </c>
      <c r="O232" s="458" t="n">
        <v>1</v>
      </c>
      <c r="P232" s="458" t="n">
        <v>75</v>
      </c>
      <c r="R232" s="135" t="inlineStr">
        <is>
          <t>-</t>
        </is>
      </c>
      <c r="S232" s="581">
        <f>Q232-R232</f>
        <v/>
      </c>
      <c r="T232" s="71">
        <f>R232/Q232</f>
        <v/>
      </c>
      <c r="U232" s="134" t="n">
        <v>7200</v>
      </c>
      <c r="V232" s="134" t="n">
        <v>7200</v>
      </c>
      <c r="W232" s="458" t="inlineStr">
        <is>
          <t>복도식</t>
        </is>
      </c>
      <c r="X232" s="458" t="n">
        <v>2</v>
      </c>
      <c r="Y232" s="458" t="n">
        <v>1</v>
      </c>
      <c r="Z232" s="458" t="n">
        <v>75</v>
      </c>
      <c r="AA232" s="458" t="n">
        <v>2020.09</v>
      </c>
      <c r="AB232" s="458" t="n">
        <v>0.03</v>
      </c>
      <c r="AC232" s="458">
        <f>L232</f>
        <v/>
      </c>
      <c r="AD232" s="458" t="n">
        <v>6967</v>
      </c>
      <c r="AE232" s="458" t="n">
        <v>7000</v>
      </c>
      <c r="AF232" s="458">
        <f>AE232/AD232</f>
        <v/>
      </c>
      <c r="AG232" s="458">
        <f>AD232-AE232</f>
        <v/>
      </c>
      <c r="AH232" s="458" t="n">
        <v>2026.04</v>
      </c>
      <c r="AJ232" s="458">
        <f>AI232-AD232</f>
        <v/>
      </c>
      <c r="AK232" s="129">
        <f>(AI232-AD232)/AD232</f>
        <v/>
      </c>
      <c r="AL232" s="458">
        <f>AJ232/AG232</f>
        <v/>
      </c>
      <c r="AM232" s="236" t="n"/>
    </row>
    <row r="233" ht="17" customHeight="1" s="476">
      <c r="A233" s="458" t="inlineStr">
        <is>
          <t>원성동</t>
        </is>
      </c>
      <c r="D233" s="458" t="n">
        <v>7558</v>
      </c>
      <c r="E233" s="146" t="inlineStr">
        <is>
          <t>극동</t>
        </is>
      </c>
      <c r="F233" s="458" t="n">
        <v>1995.1</v>
      </c>
      <c r="G233" s="458" t="n">
        <v>341</v>
      </c>
      <c r="H233" s="458">
        <f>2026-F233+1</f>
        <v/>
      </c>
      <c r="I233" s="458" t="inlineStr">
        <is>
          <t>65</t>
        </is>
      </c>
      <c r="J233" s="458" t="n">
        <v>65</v>
      </c>
      <c r="K233" s="458" t="n">
        <v>46</v>
      </c>
      <c r="L233" s="458" t="n">
        <v>20</v>
      </c>
      <c r="M233" s="458" t="inlineStr">
        <is>
          <t>복도식</t>
        </is>
      </c>
      <c r="N233" s="458" t="n">
        <v>2</v>
      </c>
      <c r="O233" s="458" t="n">
        <v>1</v>
      </c>
      <c r="P233" s="458" t="n">
        <v>26</v>
      </c>
      <c r="R233" s="135" t="inlineStr">
        <is>
          <t>-</t>
        </is>
      </c>
      <c r="S233" s="581">
        <f>Q233-R233</f>
        <v/>
      </c>
      <c r="T233" s="71">
        <f>R233/Q233</f>
        <v/>
      </c>
      <c r="U233" s="134" t="n">
        <v>10900</v>
      </c>
      <c r="V233" s="134" t="n">
        <v>9400</v>
      </c>
      <c r="W233" s="458" t="inlineStr">
        <is>
          <t>복도식</t>
        </is>
      </c>
      <c r="X233" s="458" t="n">
        <v>2</v>
      </c>
      <c r="Y233" s="458" t="n">
        <v>1</v>
      </c>
      <c r="Z233" s="458" t="n">
        <v>26</v>
      </c>
      <c r="AA233" s="458" t="n">
        <v>2020.12</v>
      </c>
      <c r="AB233" s="458" t="n">
        <v>0.01</v>
      </c>
      <c r="AC233" s="458">
        <f>L233</f>
        <v/>
      </c>
      <c r="AD233" s="458" t="n">
        <v>8100</v>
      </c>
      <c r="AE233" s="458" t="n">
        <v>7000</v>
      </c>
      <c r="AF233" s="458">
        <f>AE233/AD233</f>
        <v/>
      </c>
      <c r="AG233" s="458">
        <f>AD233-AE233</f>
        <v/>
      </c>
      <c r="AH233" s="458" t="n">
        <v>2026.04</v>
      </c>
      <c r="AJ233" s="458">
        <f>AI233-AD233</f>
        <v/>
      </c>
      <c r="AK233" s="129">
        <f>(AI233-AD233)/AD233</f>
        <v/>
      </c>
      <c r="AL233" s="458">
        <f>AJ233/AG233</f>
        <v/>
      </c>
    </row>
    <row r="234" ht="17" customHeight="1" s="476">
      <c r="A234" s="458" t="inlineStr">
        <is>
          <t>원성동</t>
        </is>
      </c>
      <c r="D234" s="458" t="n">
        <v>7558</v>
      </c>
      <c r="E234" s="146" t="inlineStr">
        <is>
          <t>극동</t>
        </is>
      </c>
      <c r="F234" s="458" t="n">
        <v>1995.1</v>
      </c>
      <c r="G234" s="458" t="n">
        <v>341</v>
      </c>
      <c r="H234" s="458">
        <f>2026-F234+1</f>
        <v/>
      </c>
      <c r="I234" s="458" t="inlineStr">
        <is>
          <t>80</t>
        </is>
      </c>
      <c r="J234" s="458" t="n">
        <v>80</v>
      </c>
      <c r="K234" s="458" t="n">
        <v>59</v>
      </c>
      <c r="L234" s="458" t="n">
        <v>24</v>
      </c>
      <c r="M234" s="458" t="inlineStr">
        <is>
          <t>복도식</t>
        </is>
      </c>
      <c r="N234" s="458" t="n">
        <v>3</v>
      </c>
      <c r="O234" s="458" t="n">
        <v>1</v>
      </c>
      <c r="P234" s="458" t="n">
        <v>140</v>
      </c>
      <c r="R234" s="135" t="inlineStr">
        <is>
          <t>-</t>
        </is>
      </c>
      <c r="S234" s="581">
        <f>Q234-R234</f>
        <v/>
      </c>
      <c r="T234" s="71">
        <f>R234/Q234</f>
        <v/>
      </c>
      <c r="U234" s="134" t="n">
        <v>14000</v>
      </c>
      <c r="V234" s="134" t="n">
        <v>10000</v>
      </c>
      <c r="W234" s="458" t="inlineStr">
        <is>
          <t>복도식</t>
        </is>
      </c>
      <c r="X234" s="458" t="n">
        <v>3</v>
      </c>
      <c r="Y234" s="458" t="n">
        <v>1</v>
      </c>
      <c r="Z234" s="458" t="n">
        <v>140</v>
      </c>
      <c r="AA234" s="458" t="n">
        <v>2018.09</v>
      </c>
      <c r="AB234" s="458" t="n">
        <v>0.07000000000000001</v>
      </c>
      <c r="AC234" s="458">
        <f>L234</f>
        <v/>
      </c>
      <c r="AD234" s="458" t="n">
        <v>9500</v>
      </c>
      <c r="AE234" s="458" t="n">
        <v>9000</v>
      </c>
      <c r="AF234" s="458">
        <f>AE234/AD234</f>
        <v/>
      </c>
      <c r="AG234" s="458">
        <f>AD234-AE234</f>
        <v/>
      </c>
      <c r="AH234" s="458" t="n">
        <v>2026.04</v>
      </c>
      <c r="AJ234" s="458">
        <f>AI234-AD234</f>
        <v/>
      </c>
      <c r="AK234" s="129">
        <f>(AI234-AD234)/AD234</f>
        <v/>
      </c>
      <c r="AL234" s="458">
        <f>AJ234/AG234</f>
        <v/>
      </c>
      <c r="AO234" s="458" t="n"/>
      <c r="AP234" s="458" t="n"/>
      <c r="AQ234" s="458" t="n"/>
      <c r="AR234" s="458" t="n"/>
      <c r="AS234" s="458" t="n"/>
      <c r="AT234" s="458" t="n"/>
      <c r="AU234" s="458" t="n"/>
      <c r="AW234" s="458" t="n"/>
      <c r="AX234" s="458" t="n"/>
      <c r="AY234" s="458" t="n"/>
    </row>
    <row r="235" ht="17" customHeight="1" s="476">
      <c r="A235" s="494" t="inlineStr">
        <is>
          <t>청당동</t>
        </is>
      </c>
      <c r="B235" s="88" t="n"/>
      <c r="C235" s="89" t="n"/>
      <c r="D235" s="494" t="n">
        <v>24363</v>
      </c>
      <c r="E235" s="133" t="inlineStr">
        <is>
          <t>청당마을벽산블루밍</t>
        </is>
      </c>
      <c r="F235" s="494" t="n">
        <v>2007.09</v>
      </c>
      <c r="G235" s="494" t="n">
        <v>1647</v>
      </c>
      <c r="H235" s="494">
        <f>2026-F235+1</f>
        <v/>
      </c>
      <c r="I235" s="494" t="inlineStr">
        <is>
          <t>144</t>
        </is>
      </c>
      <c r="J235" s="494" t="n">
        <v>144</v>
      </c>
      <c r="K235" s="494" t="n">
        <v>117</v>
      </c>
      <c r="L235" s="494" t="n">
        <v>44</v>
      </c>
      <c r="M235" s="494" t="inlineStr">
        <is>
          <t>계단식</t>
        </is>
      </c>
      <c r="N235" s="494" t="n">
        <v>4</v>
      </c>
      <c r="O235" s="494" t="n">
        <v>2</v>
      </c>
      <c r="P235" s="494" t="n">
        <v>568</v>
      </c>
      <c r="Q235" s="289" t="n"/>
      <c r="R235" s="136" t="inlineStr">
        <is>
          <t>-</t>
        </is>
      </c>
      <c r="S235" s="581">
        <f>Q235-R235</f>
        <v/>
      </c>
      <c r="T235" s="71">
        <f>R235/Q235</f>
        <v/>
      </c>
      <c r="U235" s="289" t="n">
        <v>44000</v>
      </c>
      <c r="V235" s="289" t="n">
        <v>31900</v>
      </c>
      <c r="W235" s="458" t="inlineStr">
        <is>
          <t>계단식</t>
        </is>
      </c>
      <c r="X235" s="458" t="n">
        <v>4</v>
      </c>
      <c r="Y235" s="458" t="n">
        <v>2</v>
      </c>
      <c r="Z235" s="458" t="n">
        <v>568</v>
      </c>
      <c r="AA235" s="289" t="n"/>
      <c r="AB235" s="289" t="n"/>
      <c r="AC235" s="289">
        <f>L235</f>
        <v/>
      </c>
      <c r="AD235" s="289" t="n"/>
      <c r="AE235" s="289" t="n"/>
      <c r="AF235" s="289">
        <f>AE235/AD235</f>
        <v/>
      </c>
      <c r="AG235" s="289">
        <f>AD235-AE235</f>
        <v/>
      </c>
      <c r="AH235" s="458" t="n">
        <v>2026.04</v>
      </c>
      <c r="AJ235" s="458">
        <f>AI235-AD235</f>
        <v/>
      </c>
      <c r="AK235" s="129">
        <f>(AI235-AD235)/AD235</f>
        <v/>
      </c>
      <c r="AL235" s="289">
        <f>AJ235/AG235</f>
        <v/>
      </c>
      <c r="AM235" s="88" t="n"/>
      <c r="AN235" s="289" t="n"/>
      <c r="AO235" s="458" t="n"/>
      <c r="AP235" s="458" t="n"/>
      <c r="AQ235" s="458" t="n"/>
      <c r="AR235" s="458" t="n"/>
      <c r="AS235" s="458" t="n"/>
      <c r="AT235" s="458" t="n"/>
      <c r="AU235" s="458" t="n"/>
      <c r="AV235" s="289" t="n"/>
      <c r="AW235" s="458" t="n"/>
      <c r="AX235" s="458" t="n"/>
      <c r="AY235" s="458" t="n"/>
    </row>
    <row r="236" ht="17" customHeight="1" s="476">
      <c r="A236" s="494" t="inlineStr">
        <is>
          <t>청당동</t>
        </is>
      </c>
      <c r="B236" s="289" t="n"/>
      <c r="C236" s="289" t="n"/>
      <c r="D236" s="494" t="n">
        <v>24363</v>
      </c>
      <c r="E236" s="133" t="inlineStr">
        <is>
          <t>청당마을벽산블루밍</t>
        </is>
      </c>
      <c r="F236" s="494" t="n">
        <v>2007.09</v>
      </c>
      <c r="G236" s="494" t="n">
        <v>1647</v>
      </c>
      <c r="H236" s="494">
        <f>2026-F236+1</f>
        <v/>
      </c>
      <c r="I236" s="494" t="inlineStr">
        <is>
          <t>172</t>
        </is>
      </c>
      <c r="J236" s="494" t="n">
        <v>172</v>
      </c>
      <c r="K236" s="494" t="n">
        <v>143</v>
      </c>
      <c r="L236" s="494" t="n">
        <v>52</v>
      </c>
      <c r="M236" s="494" t="inlineStr">
        <is>
          <t>계단식</t>
        </is>
      </c>
      <c r="N236" s="494" t="n">
        <v>4</v>
      </c>
      <c r="O236" s="494" t="n">
        <v>2</v>
      </c>
      <c r="P236" s="494" t="n">
        <v>90</v>
      </c>
      <c r="Q236" s="289" t="n"/>
      <c r="R236" s="136" t="inlineStr">
        <is>
          <t>-</t>
        </is>
      </c>
      <c r="S236" s="581">
        <f>Q236-R236</f>
        <v/>
      </c>
      <c r="T236" s="71">
        <f>R236/Q236</f>
        <v/>
      </c>
      <c r="U236" s="289" t="n">
        <v>49000</v>
      </c>
      <c r="V236" s="289" t="n">
        <v>40000</v>
      </c>
      <c r="W236" s="458" t="inlineStr">
        <is>
          <t>계단식</t>
        </is>
      </c>
      <c r="X236" s="458" t="n">
        <v>4</v>
      </c>
      <c r="Y236" s="458" t="n">
        <v>2</v>
      </c>
      <c r="Z236" s="458" t="n">
        <v>90</v>
      </c>
      <c r="AA236" s="289" t="n"/>
      <c r="AB236" s="289" t="n"/>
      <c r="AC236" s="289">
        <f>L236</f>
        <v/>
      </c>
      <c r="AD236" s="289" t="n"/>
      <c r="AE236" s="289" t="n"/>
      <c r="AF236" s="289">
        <f>AE236/AD236</f>
        <v/>
      </c>
      <c r="AG236" s="289">
        <f>AD236-AE236</f>
        <v/>
      </c>
      <c r="AH236" s="458" t="n">
        <v>2026.04</v>
      </c>
      <c r="AJ236" s="458">
        <f>AI236-AD236</f>
        <v/>
      </c>
      <c r="AK236" s="129">
        <f>(AI236-AD236)/AD236</f>
        <v/>
      </c>
      <c r="AL236" s="289">
        <f>AJ236/AG236</f>
        <v/>
      </c>
      <c r="AM236" s="289" t="n"/>
      <c r="AN236" s="289" t="n"/>
      <c r="AO236" s="458" t="n"/>
      <c r="AP236" s="458" t="n"/>
      <c r="AQ236" s="458" t="n"/>
      <c r="AR236" s="458" t="n"/>
      <c r="AS236" s="458" t="n"/>
      <c r="AT236" s="458" t="n"/>
      <c r="AU236" s="458" t="n"/>
      <c r="AV236" s="289" t="n"/>
      <c r="AW236" s="458" t="n"/>
      <c r="AX236" s="458" t="n"/>
      <c r="AY236" s="458" t="n"/>
    </row>
    <row r="237" ht="17" customHeight="1" s="476">
      <c r="A237" s="494" t="inlineStr">
        <is>
          <t>청당동</t>
        </is>
      </c>
      <c r="B237" s="289" t="n"/>
      <c r="C237" s="289" t="n"/>
      <c r="D237" s="494" t="n">
        <v>26943</v>
      </c>
      <c r="E237" s="133" t="inlineStr">
        <is>
          <t>버들마을우미린</t>
        </is>
      </c>
      <c r="F237" s="494" t="n">
        <v>2010.08</v>
      </c>
      <c r="G237" s="494" t="n">
        <v>724</v>
      </c>
      <c r="H237" s="494">
        <f>2026-F237+1</f>
        <v/>
      </c>
      <c r="I237" s="494" t="inlineStr">
        <is>
          <t>177, 180</t>
        </is>
      </c>
      <c r="J237" s="494" t="n">
        <v>177</v>
      </c>
      <c r="K237" s="494" t="n">
        <v>151</v>
      </c>
      <c r="L237" s="494" t="n">
        <v>54</v>
      </c>
      <c r="M237" s="494" t="inlineStr">
        <is>
          <t>계단식</t>
        </is>
      </c>
      <c r="N237" s="494" t="n">
        <v>4</v>
      </c>
      <c r="O237" s="494" t="n">
        <v>2</v>
      </c>
      <c r="P237" s="494" t="n">
        <v>124</v>
      </c>
      <c r="Q237" s="289" t="n"/>
      <c r="R237" s="136" t="inlineStr">
        <is>
          <t>-</t>
        </is>
      </c>
      <c r="S237" s="581">
        <f>Q237-R237</f>
        <v/>
      </c>
      <c r="T237" s="71">
        <f>R237/Q237</f>
        <v/>
      </c>
      <c r="U237" s="289" t="n">
        <v>68500</v>
      </c>
      <c r="V237" s="289" t="n">
        <v>43000</v>
      </c>
      <c r="W237" s="458" t="inlineStr">
        <is>
          <t>계단식</t>
        </is>
      </c>
      <c r="X237" s="458" t="n">
        <v>4</v>
      </c>
      <c r="Y237" s="458" t="n">
        <v>2</v>
      </c>
      <c r="Z237" s="458" t="n">
        <v>124</v>
      </c>
      <c r="AA237" s="289" t="n"/>
      <c r="AB237" s="289" t="n"/>
      <c r="AC237" s="289">
        <f>L237</f>
        <v/>
      </c>
      <c r="AD237" s="289" t="n"/>
      <c r="AE237" s="289" t="n"/>
      <c r="AF237" s="289">
        <f>AE237/AD237</f>
        <v/>
      </c>
      <c r="AG237" s="289">
        <f>AD237-AE237</f>
        <v/>
      </c>
      <c r="AH237" s="458" t="n">
        <v>2026.04</v>
      </c>
      <c r="AJ237" s="458">
        <f>AI237-AD237</f>
        <v/>
      </c>
      <c r="AK237" s="129">
        <f>(AI237-AD237)/AD237</f>
        <v/>
      </c>
      <c r="AL237" s="289">
        <f>AJ237/AG237</f>
        <v/>
      </c>
      <c r="AM237" s="289" t="n"/>
      <c r="AN237" s="289" t="n"/>
      <c r="AV237" s="289" t="n"/>
    </row>
    <row r="238" ht="17" customHeight="1" s="476">
      <c r="A238" s="494" t="inlineStr">
        <is>
          <t>청당동</t>
        </is>
      </c>
      <c r="B238" s="289" t="n"/>
      <c r="C238" s="289" t="n"/>
      <c r="D238" s="494" t="n">
        <v>26943</v>
      </c>
      <c r="E238" s="133" t="inlineStr">
        <is>
          <t>버들마을우미린</t>
        </is>
      </c>
      <c r="F238" s="494" t="n">
        <v>2010.08</v>
      </c>
      <c r="G238" s="494" t="n">
        <v>724</v>
      </c>
      <c r="H238" s="494">
        <f>2026-F238+1</f>
        <v/>
      </c>
      <c r="I238" s="494" t="inlineStr">
        <is>
          <t>196A</t>
        </is>
      </c>
      <c r="J238" s="494" t="n">
        <v>196</v>
      </c>
      <c r="K238" s="494" t="n">
        <v>163</v>
      </c>
      <c r="L238" s="494" t="n">
        <v>59</v>
      </c>
      <c r="M238" s="494" t="inlineStr">
        <is>
          <t>계단식</t>
        </is>
      </c>
      <c r="N238" s="494" t="n">
        <v>4</v>
      </c>
      <c r="O238" s="494" t="n">
        <v>3</v>
      </c>
      <c r="P238" s="494" t="n">
        <v>48</v>
      </c>
      <c r="Q238" s="289" t="n"/>
      <c r="R238" s="136" t="inlineStr">
        <is>
          <t>-</t>
        </is>
      </c>
      <c r="S238" s="581">
        <f>Q238-R238</f>
        <v/>
      </c>
      <c r="T238" s="71">
        <f>R238/Q238</f>
        <v/>
      </c>
      <c r="U238" s="289" t="n">
        <v>69000</v>
      </c>
      <c r="V238" s="289" t="n">
        <v>69000</v>
      </c>
      <c r="W238" s="458" t="inlineStr">
        <is>
          <t>계단식</t>
        </is>
      </c>
      <c r="X238" s="458" t="n">
        <v>4</v>
      </c>
      <c r="Y238" s="458" t="n">
        <v>3</v>
      </c>
      <c r="Z238" s="458" t="n">
        <v>48</v>
      </c>
      <c r="AA238" s="289" t="n"/>
      <c r="AB238" s="289" t="n"/>
      <c r="AC238" s="289">
        <f>L238</f>
        <v/>
      </c>
      <c r="AD238" s="289" t="n"/>
      <c r="AE238" s="289" t="n"/>
      <c r="AF238" s="289">
        <f>AE238/AD238</f>
        <v/>
      </c>
      <c r="AG238" s="289">
        <f>AD238-AE238</f>
        <v/>
      </c>
      <c r="AH238" s="458" t="n">
        <v>2026.04</v>
      </c>
      <c r="AJ238" s="458">
        <f>AI238-AD238</f>
        <v/>
      </c>
      <c r="AK238" s="129">
        <f>(AI238-AD238)/AD238</f>
        <v/>
      </c>
      <c r="AL238" s="289">
        <f>AJ238/AG238</f>
        <v/>
      </c>
      <c r="AM238" s="289" t="n"/>
      <c r="AN238" s="289" t="n"/>
      <c r="AO238" s="458" t="n"/>
      <c r="AP238" s="458" t="n"/>
      <c r="AQ238" s="458" t="n"/>
      <c r="AR238" s="458" t="n"/>
      <c r="AS238" s="458" t="n"/>
      <c r="AT238" s="458" t="n"/>
      <c r="AU238" s="458" t="n"/>
      <c r="AV238" s="289" t="n"/>
      <c r="AW238" s="458" t="n"/>
      <c r="AX238" s="458" t="n"/>
      <c r="AY238" s="458" t="n"/>
    </row>
    <row r="239" ht="17" customHeight="1" s="476">
      <c r="A239" s="494" t="inlineStr">
        <is>
          <t>청당동</t>
        </is>
      </c>
      <c r="B239" s="88" t="n"/>
      <c r="C239" s="89" t="n"/>
      <c r="D239" s="494" t="n">
        <v>26943</v>
      </c>
      <c r="E239" s="133" t="inlineStr">
        <is>
          <t>버들마을우미린</t>
        </is>
      </c>
      <c r="F239" s="494" t="n">
        <v>2010.08</v>
      </c>
      <c r="G239" s="494" t="n">
        <v>724</v>
      </c>
      <c r="H239" s="494">
        <f>2026-F239+1</f>
        <v/>
      </c>
      <c r="I239" s="494" t="inlineStr">
        <is>
          <t>197B</t>
        </is>
      </c>
      <c r="J239" s="494" t="n">
        <v>197</v>
      </c>
      <c r="K239" s="494" t="n">
        <v>164</v>
      </c>
      <c r="L239" s="494" t="n">
        <v>60</v>
      </c>
      <c r="M239" s="494" t="inlineStr">
        <is>
          <t>계단식</t>
        </is>
      </c>
      <c r="N239" s="494" t="n">
        <v>4</v>
      </c>
      <c r="O239" s="494" t="n">
        <v>3</v>
      </c>
      <c r="P239" s="494" t="n">
        <v>48</v>
      </c>
      <c r="Q239" s="289" t="n"/>
      <c r="R239" s="136" t="inlineStr">
        <is>
          <t>-</t>
        </is>
      </c>
      <c r="S239" s="581">
        <f>Q239-R239</f>
        <v/>
      </c>
      <c r="T239" s="71">
        <f>R239/Q239</f>
        <v/>
      </c>
      <c r="U239" s="289" t="n">
        <v>69000</v>
      </c>
      <c r="V239" s="289" t="n">
        <v>69000</v>
      </c>
      <c r="W239" s="458" t="inlineStr">
        <is>
          <t>계단식</t>
        </is>
      </c>
      <c r="X239" s="458" t="n">
        <v>4</v>
      </c>
      <c r="Y239" s="458" t="n">
        <v>3</v>
      </c>
      <c r="Z239" s="458" t="n">
        <v>48</v>
      </c>
      <c r="AA239" s="289" t="n"/>
      <c r="AB239" s="289" t="n"/>
      <c r="AC239" s="289">
        <f>L239</f>
        <v/>
      </c>
      <c r="AD239" s="289" t="n"/>
      <c r="AE239" s="289" t="n"/>
      <c r="AF239" s="289">
        <f>AE239/AD239</f>
        <v/>
      </c>
      <c r="AG239" s="289">
        <f>AD239-AE239</f>
        <v/>
      </c>
      <c r="AH239" s="458" t="n">
        <v>2026.04</v>
      </c>
      <c r="AJ239" s="458">
        <f>AI239-AD239</f>
        <v/>
      </c>
      <c r="AK239" s="129">
        <f>(AI239-AD239)/AD239</f>
        <v/>
      </c>
      <c r="AL239" s="289">
        <f>AJ239/AG239</f>
        <v/>
      </c>
      <c r="AM239" s="88" t="n"/>
      <c r="AN239" s="289" t="n"/>
      <c r="AO239" s="458" t="n"/>
      <c r="AP239" s="458" t="n"/>
      <c r="AQ239" s="458" t="n"/>
      <c r="AR239" s="458" t="n"/>
      <c r="AS239" s="458" t="n"/>
      <c r="AT239" s="458" t="n"/>
      <c r="AU239" s="458" t="n"/>
      <c r="AV239" s="289" t="n"/>
      <c r="AW239" s="458" t="n"/>
      <c r="AX239" s="458" t="n"/>
      <c r="AY239" s="458" t="n"/>
    </row>
    <row r="240" ht="17" customHeight="1" s="476">
      <c r="A240" s="494" t="inlineStr">
        <is>
          <t>청당동</t>
        </is>
      </c>
      <c r="B240" s="88" t="n"/>
      <c r="C240" s="89" t="n"/>
      <c r="D240" s="494" t="n">
        <v>151758</v>
      </c>
      <c r="E240" s="133" t="inlineStr">
        <is>
          <t>천안롯데캐슬더청당</t>
        </is>
      </c>
      <c r="F240" s="494" t="n">
        <v>2025.08</v>
      </c>
      <c r="G240" s="494" t="n">
        <v>1199</v>
      </c>
      <c r="H240" s="494">
        <f>2026-F240+1</f>
        <v/>
      </c>
      <c r="I240" s="494" t="inlineStr">
        <is>
          <t>132</t>
        </is>
      </c>
      <c r="J240" s="494" t="n">
        <v>132</v>
      </c>
      <c r="K240" s="494" t="n">
        <v>99</v>
      </c>
      <c r="L240" s="494" t="n">
        <v>40</v>
      </c>
      <c r="M240" s="494" t="inlineStr">
        <is>
          <t>계단식</t>
        </is>
      </c>
      <c r="N240" s="494" t="n">
        <v>3</v>
      </c>
      <c r="O240" s="494" t="n">
        <v>2</v>
      </c>
      <c r="P240" s="494" t="n">
        <v>112</v>
      </c>
      <c r="Q240" s="289" t="n"/>
      <c r="R240" s="136" t="inlineStr">
        <is>
          <t>-</t>
        </is>
      </c>
      <c r="S240" s="581">
        <f>Q240-R240</f>
        <v/>
      </c>
      <c r="T240" s="71">
        <f>R240/Q240</f>
        <v/>
      </c>
      <c r="U240" s="289" t="n"/>
      <c r="V240" s="289" t="n"/>
      <c r="W240" s="458" t="inlineStr">
        <is>
          <t>계단식</t>
        </is>
      </c>
      <c r="X240" s="458" t="n">
        <v>3</v>
      </c>
      <c r="Y240" s="458" t="n">
        <v>2</v>
      </c>
      <c r="Z240" s="458" t="n">
        <v>112</v>
      </c>
      <c r="AA240" s="289" t="n"/>
      <c r="AB240" s="289" t="n"/>
      <c r="AC240" s="289">
        <f>L240</f>
        <v/>
      </c>
      <c r="AD240" s="289" t="n"/>
      <c r="AE240" s="289" t="n"/>
      <c r="AF240" s="289">
        <f>AE240/AD240</f>
        <v/>
      </c>
      <c r="AG240" s="289">
        <f>AD240-AE240</f>
        <v/>
      </c>
      <c r="AH240" s="458" t="n">
        <v>2026.04</v>
      </c>
      <c r="AJ240" s="458">
        <f>AI240-AD240</f>
        <v/>
      </c>
      <c r="AK240" s="129">
        <f>(AI240-AD240)/AD240</f>
        <v/>
      </c>
      <c r="AL240" s="289">
        <f>AJ240/AG240</f>
        <v/>
      </c>
      <c r="AM240" s="88" t="n"/>
      <c r="AN240" s="289" t="n"/>
      <c r="AV240" s="289" t="n"/>
    </row>
    <row r="241" ht="17" customHeight="1" s="476">
      <c r="A241" s="458" t="inlineStr">
        <is>
          <t>청당동</t>
        </is>
      </c>
      <c r="D241" s="458" t="n">
        <v>19124</v>
      </c>
      <c r="E241" s="146" t="inlineStr">
        <is>
          <t>청당마을신도브래뉴</t>
        </is>
      </c>
      <c r="F241" s="458" t="n">
        <v>2006.08</v>
      </c>
      <c r="G241" s="458" t="n">
        <v>915</v>
      </c>
      <c r="H241" s="458">
        <f>2026-F241+1</f>
        <v/>
      </c>
      <c r="I241" s="458" t="inlineStr">
        <is>
          <t>138</t>
        </is>
      </c>
      <c r="J241" s="458" t="n">
        <v>138</v>
      </c>
      <c r="K241" s="458" t="n">
        <v>112</v>
      </c>
      <c r="L241" s="458" t="n">
        <v>42</v>
      </c>
      <c r="M241" s="458" t="inlineStr">
        <is>
          <t>계단식</t>
        </is>
      </c>
      <c r="N241" s="458" t="n">
        <v>4</v>
      </c>
      <c r="O241" s="458" t="n">
        <v>2</v>
      </c>
      <c r="P241" s="458" t="n">
        <v>58</v>
      </c>
      <c r="R241" s="135" t="inlineStr">
        <is>
          <t>-</t>
        </is>
      </c>
      <c r="S241" s="581">
        <f>Q241-R241</f>
        <v/>
      </c>
      <c r="T241" s="71">
        <f>R241/Q241</f>
        <v/>
      </c>
      <c r="U241" s="134" t="n">
        <v>30900</v>
      </c>
      <c r="V241" s="134" t="n">
        <v>24500</v>
      </c>
      <c r="W241" s="458" t="inlineStr">
        <is>
          <t>계단식</t>
        </is>
      </c>
      <c r="X241" s="458" t="n">
        <v>4</v>
      </c>
      <c r="Y241" s="458" t="n">
        <v>2</v>
      </c>
      <c r="Z241" s="458" t="n">
        <v>58</v>
      </c>
      <c r="AA241" s="458" t="n">
        <v>2023.1</v>
      </c>
      <c r="AB241" s="458" t="n">
        <v>0.02</v>
      </c>
      <c r="AC241" s="458">
        <f>L241</f>
        <v/>
      </c>
      <c r="AD241" s="458" t="n">
        <v>24500</v>
      </c>
      <c r="AE241" s="458" t="n">
        <v>20000</v>
      </c>
      <c r="AF241" s="458">
        <f>AE241/AD241</f>
        <v/>
      </c>
      <c r="AG241" s="458">
        <f>AD241-AE241</f>
        <v/>
      </c>
      <c r="AH241" s="458" t="n">
        <v>2026.04</v>
      </c>
      <c r="AJ241" s="458">
        <f>AI241-AD241</f>
        <v/>
      </c>
      <c r="AK241" s="129">
        <f>(AI241-AD241)/AD241</f>
        <v/>
      </c>
      <c r="AL241" s="458">
        <f>AJ241/AG241</f>
        <v/>
      </c>
    </row>
    <row r="242" ht="17" customHeight="1" s="476">
      <c r="A242" s="494" t="inlineStr">
        <is>
          <t>청당동</t>
        </is>
      </c>
      <c r="B242" s="88" t="n"/>
      <c r="C242" s="89" t="n"/>
      <c r="D242" s="494" t="n">
        <v>26943</v>
      </c>
      <c r="E242" s="133" t="inlineStr">
        <is>
          <t>버들마을우미린</t>
        </is>
      </c>
      <c r="F242" s="494" t="n">
        <v>2010.08</v>
      </c>
      <c r="G242" s="494" t="n">
        <v>724</v>
      </c>
      <c r="H242" s="494">
        <f>2026-F242+1</f>
        <v/>
      </c>
      <c r="I242" s="494" t="inlineStr">
        <is>
          <t>144, 145C</t>
        </is>
      </c>
      <c r="J242" s="494" t="n">
        <v>144</v>
      </c>
      <c r="K242" s="494" t="n">
        <v>121</v>
      </c>
      <c r="L242" s="494" t="n">
        <v>44</v>
      </c>
      <c r="M242" s="494" t="inlineStr">
        <is>
          <t>계단식</t>
        </is>
      </c>
      <c r="N242" s="494" t="n">
        <v>3</v>
      </c>
      <c r="O242" s="494" t="n">
        <v>2</v>
      </c>
      <c r="P242" s="494" t="n">
        <v>188</v>
      </c>
      <c r="Q242" s="289" t="n"/>
      <c r="R242" s="136" t="inlineStr">
        <is>
          <t>-</t>
        </is>
      </c>
      <c r="S242" s="581">
        <f>Q242-R242</f>
        <v/>
      </c>
      <c r="T242" s="71">
        <f>R242/Q242</f>
        <v/>
      </c>
      <c r="U242" s="289" t="n">
        <v>55800</v>
      </c>
      <c r="V242" s="289" t="n">
        <v>40000</v>
      </c>
      <c r="W242" s="458" t="inlineStr">
        <is>
          <t>계단식</t>
        </is>
      </c>
      <c r="X242" s="458" t="n">
        <v>3</v>
      </c>
      <c r="Y242" s="458" t="n">
        <v>2</v>
      </c>
      <c r="Z242" s="458" t="n">
        <v>188</v>
      </c>
      <c r="AA242" s="289" t="n">
        <v>2019.11</v>
      </c>
      <c r="AB242" s="289" t="n">
        <v>0.01</v>
      </c>
      <c r="AC242" s="289">
        <f>L242</f>
        <v/>
      </c>
      <c r="AD242" s="289" t="n">
        <v>32706</v>
      </c>
      <c r="AE242" s="289" t="n">
        <v>26333</v>
      </c>
      <c r="AF242" s="289">
        <f>AE242/AD242</f>
        <v/>
      </c>
      <c r="AG242" s="289">
        <f>AD242-AE242</f>
        <v/>
      </c>
      <c r="AH242" s="458" t="n">
        <v>2026.04</v>
      </c>
      <c r="AJ242" s="458">
        <f>AI242-AD242</f>
        <v/>
      </c>
      <c r="AK242" s="129">
        <f>(AI242-AD242)/AD242</f>
        <v/>
      </c>
      <c r="AL242" s="289">
        <f>AJ242/AG242</f>
        <v/>
      </c>
      <c r="AM242" s="88" t="n"/>
      <c r="AN242" s="289" t="n"/>
      <c r="AO242" s="458" t="n"/>
      <c r="AP242" s="458" t="n"/>
      <c r="AQ242" s="458" t="n"/>
      <c r="AR242" s="458" t="n"/>
      <c r="AS242" s="458" t="n"/>
      <c r="AT242" s="458" t="n"/>
      <c r="AU242" s="458" t="n"/>
      <c r="AV242" s="289" t="n"/>
      <c r="AW242" s="458" t="n"/>
      <c r="AX242" s="458" t="n"/>
      <c r="AY242" s="458" t="n"/>
    </row>
    <row r="243" ht="17" customHeight="1" s="476">
      <c r="A243" s="494" t="inlineStr">
        <is>
          <t>청당동</t>
        </is>
      </c>
      <c r="B243" s="88" t="n"/>
      <c r="C243" s="89" t="n"/>
      <c r="D243" s="494" t="n">
        <v>26943</v>
      </c>
      <c r="E243" s="133" t="inlineStr">
        <is>
          <t>버들마을우미린</t>
        </is>
      </c>
      <c r="F243" s="494" t="n">
        <v>2010.08</v>
      </c>
      <c r="G243" s="494" t="n">
        <v>724</v>
      </c>
      <c r="H243" s="494">
        <f>2026-F243+1</f>
        <v/>
      </c>
      <c r="I243" s="494" t="inlineStr">
        <is>
          <t>148</t>
        </is>
      </c>
      <c r="J243" s="494" t="n">
        <v>148</v>
      </c>
      <c r="K243" s="494" t="n">
        <v>122</v>
      </c>
      <c r="L243" s="494" t="n">
        <v>45</v>
      </c>
      <c r="M243" s="494" t="inlineStr">
        <is>
          <t>계단식</t>
        </is>
      </c>
      <c r="N243" s="494" t="n">
        <v>3</v>
      </c>
      <c r="O243" s="494" t="n">
        <v>2</v>
      </c>
      <c r="P243" s="494" t="n">
        <v>48</v>
      </c>
      <c r="Q243" s="289" t="n"/>
      <c r="R243" s="136" t="inlineStr">
        <is>
          <t>-</t>
        </is>
      </c>
      <c r="S243" s="581">
        <f>Q243-R243</f>
        <v/>
      </c>
      <c r="T243" s="71">
        <f>R243/Q243</f>
        <v/>
      </c>
      <c r="U243" s="289" t="n">
        <v>55800</v>
      </c>
      <c r="V243" s="289" t="n">
        <v>40000</v>
      </c>
      <c r="W243" s="458" t="inlineStr">
        <is>
          <t>계단식</t>
        </is>
      </c>
      <c r="X243" s="458" t="n">
        <v>3</v>
      </c>
      <c r="Y243" s="458" t="n">
        <v>2</v>
      </c>
      <c r="Z243" s="458" t="n">
        <v>48</v>
      </c>
      <c r="AA243" s="289" t="n">
        <v>2019.11</v>
      </c>
      <c r="AB243" s="289" t="n">
        <v>0.01</v>
      </c>
      <c r="AC243" s="289">
        <f>L243</f>
        <v/>
      </c>
      <c r="AD243" s="289" t="n">
        <v>32706</v>
      </c>
      <c r="AE243" s="289" t="n">
        <v>26333</v>
      </c>
      <c r="AF243" s="289">
        <f>AE243/AD243</f>
        <v/>
      </c>
      <c r="AG243" s="289">
        <f>AD243-AE243</f>
        <v/>
      </c>
      <c r="AH243" s="458" t="n">
        <v>2026.04</v>
      </c>
      <c r="AJ243" s="458">
        <f>AI243-AD243</f>
        <v/>
      </c>
      <c r="AK243" s="129">
        <f>(AI243-AD243)/AD243</f>
        <v/>
      </c>
      <c r="AL243" s="289">
        <f>AJ243/AG243</f>
        <v/>
      </c>
      <c r="AM243" s="88" t="n"/>
      <c r="AN243" s="289" t="n"/>
      <c r="AV243" s="289" t="n"/>
    </row>
    <row r="244" ht="17" customHeight="1" s="476">
      <c r="A244" s="494" t="inlineStr">
        <is>
          <t>청당동</t>
        </is>
      </c>
      <c r="B244" s="88" t="n"/>
      <c r="C244" s="89" t="n"/>
      <c r="D244" s="494" t="n">
        <v>26943</v>
      </c>
      <c r="E244" s="133" t="inlineStr">
        <is>
          <t>버들마을우미린</t>
        </is>
      </c>
      <c r="F244" s="494" t="n">
        <v>2010.08</v>
      </c>
      <c r="G244" s="494" t="n">
        <v>724</v>
      </c>
      <c r="H244" s="494">
        <f>2026-F244+1</f>
        <v/>
      </c>
      <c r="I244" s="494" t="inlineStr">
        <is>
          <t>145A, 145B</t>
        </is>
      </c>
      <c r="J244" s="494" t="n">
        <v>145</v>
      </c>
      <c r="K244" s="494" t="n">
        <v>120</v>
      </c>
      <c r="L244" s="494" t="n">
        <v>44</v>
      </c>
      <c r="M244" s="494" t="inlineStr">
        <is>
          <t>계단식</t>
        </is>
      </c>
      <c r="N244" s="494" t="n">
        <v>3</v>
      </c>
      <c r="O244" s="494" t="n">
        <v>2</v>
      </c>
      <c r="P244" s="494" t="n">
        <v>48</v>
      </c>
      <c r="Q244" s="289" t="n"/>
      <c r="R244" s="136" t="inlineStr">
        <is>
          <t>-</t>
        </is>
      </c>
      <c r="S244" s="581">
        <f>Q244-R244</f>
        <v/>
      </c>
      <c r="T244" s="71">
        <f>R244/Q244</f>
        <v/>
      </c>
      <c r="U244" s="289" t="n">
        <v>55800</v>
      </c>
      <c r="V244" s="289" t="n">
        <v>42500</v>
      </c>
      <c r="W244" s="458" t="inlineStr">
        <is>
          <t>계단식</t>
        </is>
      </c>
      <c r="X244" s="458" t="n">
        <v>3</v>
      </c>
      <c r="Y244" s="458" t="n">
        <v>2</v>
      </c>
      <c r="Z244" s="458" t="n">
        <v>48</v>
      </c>
      <c r="AA244" s="289" t="n">
        <v>2019.11</v>
      </c>
      <c r="AB244" s="289" t="n">
        <v>0.05</v>
      </c>
      <c r="AC244" s="289">
        <f>L244</f>
        <v/>
      </c>
      <c r="AD244" s="289" t="n">
        <v>33225</v>
      </c>
      <c r="AE244" s="289" t="n">
        <v>30000</v>
      </c>
      <c r="AF244" s="289">
        <f>AE244/AD244</f>
        <v/>
      </c>
      <c r="AG244" s="289">
        <f>AD244-AE244</f>
        <v/>
      </c>
      <c r="AH244" s="458" t="n">
        <v>2026.04</v>
      </c>
      <c r="AJ244" s="458">
        <f>AI244-AD244</f>
        <v/>
      </c>
      <c r="AK244" s="129">
        <f>(AI244-AD244)/AD244</f>
        <v/>
      </c>
      <c r="AL244" s="289">
        <f>AJ244/AG244</f>
        <v/>
      </c>
      <c r="AM244" s="88" t="n"/>
      <c r="AN244" s="289" t="n"/>
      <c r="AV244" s="289" t="n"/>
    </row>
    <row r="245" ht="17" customHeight="1" s="476">
      <c r="A245" s="494" t="inlineStr">
        <is>
          <t>청당동</t>
        </is>
      </c>
      <c r="B245" s="88" t="n"/>
      <c r="C245" s="89" t="n"/>
      <c r="D245" s="494" t="n">
        <v>107332</v>
      </c>
      <c r="E245" s="133" t="inlineStr">
        <is>
          <t>청수포레나</t>
        </is>
      </c>
      <c r="F245" s="494" t="n">
        <v>2015.07</v>
      </c>
      <c r="G245" s="494" t="n">
        <v>468</v>
      </c>
      <c r="H245" s="494">
        <f>2026-F245+1</f>
        <v/>
      </c>
      <c r="I245" s="494" t="inlineStr">
        <is>
          <t>115</t>
        </is>
      </c>
      <c r="J245" s="494" t="n">
        <v>115</v>
      </c>
      <c r="K245" s="494" t="n">
        <v>88</v>
      </c>
      <c r="L245" s="494" t="n">
        <v>35</v>
      </c>
      <c r="M245" s="494" t="inlineStr">
        <is>
          <t>계단식</t>
        </is>
      </c>
      <c r="N245" s="494" t="n">
        <v>3</v>
      </c>
      <c r="O245" s="494" t="n">
        <v>2</v>
      </c>
      <c r="P245" s="494" t="n">
        <v>24</v>
      </c>
      <c r="Q245" s="289" t="n"/>
      <c r="R245" s="136" t="inlineStr">
        <is>
          <t>-</t>
        </is>
      </c>
      <c r="S245" s="581">
        <f>Q245-R245</f>
        <v/>
      </c>
      <c r="T245" s="71">
        <f>R245/Q245</f>
        <v/>
      </c>
      <c r="U245" s="289" t="n">
        <v>52500</v>
      </c>
      <c r="V245" s="289" t="n">
        <v>33000</v>
      </c>
      <c r="W245" s="458" t="inlineStr">
        <is>
          <t>계단식</t>
        </is>
      </c>
      <c r="X245" s="458" t="n">
        <v>3</v>
      </c>
      <c r="Y245" s="458" t="n">
        <v>2</v>
      </c>
      <c r="Z245" s="458" t="n">
        <v>24</v>
      </c>
      <c r="AA245" s="289" t="n">
        <v>2025.01</v>
      </c>
      <c r="AB245" s="289" t="n">
        <v>0.01</v>
      </c>
      <c r="AC245" s="289">
        <f>L245</f>
        <v/>
      </c>
      <c r="AD245" s="289" t="n">
        <v>36275</v>
      </c>
      <c r="AE245" s="289" t="n">
        <v>29143</v>
      </c>
      <c r="AF245" s="289">
        <f>AE245/AD245</f>
        <v/>
      </c>
      <c r="AG245" s="289">
        <f>AD245-AE245</f>
        <v/>
      </c>
      <c r="AH245" s="458" t="n">
        <v>2026.04</v>
      </c>
      <c r="AJ245" s="458">
        <f>AI245-AD245</f>
        <v/>
      </c>
      <c r="AK245" s="129">
        <f>(AI245-AD245)/AD245</f>
        <v/>
      </c>
      <c r="AL245" s="289">
        <f>AJ245/AG245</f>
        <v/>
      </c>
      <c r="AM245" s="88" t="n"/>
      <c r="AN245" s="289" t="n"/>
      <c r="AV245" s="289" t="n"/>
    </row>
    <row r="246" ht="17" customHeight="1" s="476">
      <c r="A246" s="494" t="inlineStr">
        <is>
          <t>청당동</t>
        </is>
      </c>
      <c r="B246" s="289" t="n"/>
      <c r="C246" s="289" t="n"/>
      <c r="D246" s="494" t="n">
        <v>26943</v>
      </c>
      <c r="E246" s="133" t="inlineStr">
        <is>
          <t>버들마을우미린</t>
        </is>
      </c>
      <c r="F246" s="494" t="n">
        <v>2010.08</v>
      </c>
      <c r="G246" s="494" t="n">
        <v>724</v>
      </c>
      <c r="H246" s="494">
        <f>2026-F246+1</f>
        <v/>
      </c>
      <c r="I246" s="494" t="inlineStr">
        <is>
          <t>158</t>
        </is>
      </c>
      <c r="J246" s="494" t="n">
        <v>158</v>
      </c>
      <c r="K246" s="494" t="n">
        <v>134</v>
      </c>
      <c r="L246" s="494" t="n">
        <v>48</v>
      </c>
      <c r="M246" s="494" t="inlineStr">
        <is>
          <t>계단식</t>
        </is>
      </c>
      <c r="N246" s="494" t="n">
        <v>4</v>
      </c>
      <c r="O246" s="494" t="n">
        <v>2</v>
      </c>
      <c r="P246" s="494" t="n">
        <v>220</v>
      </c>
      <c r="Q246" s="289" t="n"/>
      <c r="R246" s="136" t="inlineStr">
        <is>
          <t>-</t>
        </is>
      </c>
      <c r="S246" s="581">
        <f>Q246-R246</f>
        <v/>
      </c>
      <c r="T246" s="71">
        <f>R246/Q246</f>
        <v/>
      </c>
      <c r="U246" s="289" t="n">
        <v>67000</v>
      </c>
      <c r="V246" s="289" t="n">
        <v>39500</v>
      </c>
      <c r="W246" s="458" t="inlineStr">
        <is>
          <t>계단식</t>
        </is>
      </c>
      <c r="X246" s="458" t="n">
        <v>4</v>
      </c>
      <c r="Y246" s="458" t="n">
        <v>2</v>
      </c>
      <c r="Z246" s="458" t="n">
        <v>220</v>
      </c>
      <c r="AA246" s="289" t="n">
        <v>2020.02</v>
      </c>
      <c r="AB246" s="289" t="n">
        <v>0.02</v>
      </c>
      <c r="AC246" s="289">
        <f>L246</f>
        <v/>
      </c>
      <c r="AD246" s="289" t="n">
        <v>39420</v>
      </c>
      <c r="AE246" s="289" t="n">
        <v>32000</v>
      </c>
      <c r="AF246" s="289">
        <f>AE246/AD246</f>
        <v/>
      </c>
      <c r="AG246" s="289">
        <f>AD246-AE246</f>
        <v/>
      </c>
      <c r="AH246" s="458" t="n">
        <v>2026.04</v>
      </c>
      <c r="AJ246" s="458">
        <f>AI246-AD246</f>
        <v/>
      </c>
      <c r="AK246" s="129">
        <f>(AI246-AD246)/AD246</f>
        <v/>
      </c>
      <c r="AL246" s="289">
        <f>AJ246/AG246</f>
        <v/>
      </c>
      <c r="AM246" s="289" t="n"/>
      <c r="AN246" s="289" t="n"/>
      <c r="AV246" s="289" t="n"/>
    </row>
    <row r="247" ht="17" customHeight="1" s="476">
      <c r="A247" s="494" t="inlineStr">
        <is>
          <t>청당동</t>
        </is>
      </c>
      <c r="B247" s="289" t="n"/>
      <c r="C247" s="289" t="n"/>
      <c r="D247" s="494" t="n">
        <v>107332</v>
      </c>
      <c r="E247" s="133" t="inlineStr">
        <is>
          <t>청수포레나</t>
        </is>
      </c>
      <c r="F247" s="494" t="n">
        <v>2015.07</v>
      </c>
      <c r="G247" s="494" t="n">
        <v>468</v>
      </c>
      <c r="H247" s="494">
        <f>2026-F247+1</f>
        <v/>
      </c>
      <c r="I247" s="494" t="inlineStr">
        <is>
          <t>118</t>
        </is>
      </c>
      <c r="J247" s="494" t="n">
        <v>118</v>
      </c>
      <c r="K247" s="494" t="n">
        <v>90</v>
      </c>
      <c r="L247" s="494" t="n">
        <v>36</v>
      </c>
      <c r="M247" s="494" t="inlineStr">
        <is>
          <t>계단식</t>
        </is>
      </c>
      <c r="N247" s="494" t="n">
        <v>3</v>
      </c>
      <c r="O247" s="494" t="n">
        <v>2</v>
      </c>
      <c r="P247" s="494" t="n">
        <v>28</v>
      </c>
      <c r="Q247" s="289" t="n"/>
      <c r="R247" s="136" t="inlineStr">
        <is>
          <t>-</t>
        </is>
      </c>
      <c r="S247" s="581">
        <f>Q247-R247</f>
        <v/>
      </c>
      <c r="T247" s="71">
        <f>R247/Q247</f>
        <v/>
      </c>
      <c r="U247" s="289" t="n">
        <v>46300</v>
      </c>
      <c r="V247" s="289" t="n">
        <v>34500</v>
      </c>
      <c r="W247" s="458" t="inlineStr">
        <is>
          <t>계단식</t>
        </is>
      </c>
      <c r="X247" s="458" t="n">
        <v>3</v>
      </c>
      <c r="Y247" s="458" t="n">
        <v>2</v>
      </c>
      <c r="Z247" s="458" t="n">
        <v>28</v>
      </c>
      <c r="AA247" s="289" t="n">
        <v>2020.12</v>
      </c>
      <c r="AB247" s="289" t="n">
        <v>0.06</v>
      </c>
      <c r="AC247" s="289">
        <f>L247</f>
        <v/>
      </c>
      <c r="AD247" s="289" t="n">
        <v>40333</v>
      </c>
      <c r="AE247" s="289" t="n">
        <v>34000</v>
      </c>
      <c r="AF247" s="289">
        <f>AE247/AD247</f>
        <v/>
      </c>
      <c r="AG247" s="289">
        <f>AD247-AE247</f>
        <v/>
      </c>
      <c r="AH247" s="458" t="n">
        <v>2026.04</v>
      </c>
      <c r="AJ247" s="458">
        <f>AI247-AD247</f>
        <v/>
      </c>
      <c r="AK247" s="129">
        <f>(AI247-AD247)/AD247</f>
        <v/>
      </c>
      <c r="AL247" s="289">
        <f>AJ247/AG247</f>
        <v/>
      </c>
      <c r="AM247" s="289" t="n"/>
      <c r="AN247" s="289" t="n"/>
      <c r="AO247" s="458" t="n"/>
      <c r="AP247" s="458" t="n"/>
      <c r="AQ247" s="458" t="n"/>
      <c r="AR247" s="458" t="n"/>
      <c r="AS247" s="458" t="n"/>
      <c r="AT247" s="458" t="n"/>
      <c r="AU247" s="458" t="n"/>
      <c r="AV247" s="289" t="n"/>
      <c r="AW247" s="458" t="n"/>
      <c r="AX247" s="458" t="n"/>
      <c r="AY247" s="458" t="n"/>
    </row>
    <row r="248" ht="17" customHeight="1" s="476">
      <c r="A248" s="458" t="inlineStr">
        <is>
          <t>청수동</t>
        </is>
      </c>
      <c r="B248" s="159" t="n"/>
      <c r="C248" s="159" t="n"/>
      <c r="D248" s="458" t="n">
        <v>7572</v>
      </c>
      <c r="E248" s="146" t="inlineStr">
        <is>
          <t>청솔LG,SK</t>
        </is>
      </c>
      <c r="F248" s="458" t="n">
        <v>1999.02</v>
      </c>
      <c r="G248" s="458" t="n">
        <v>898</v>
      </c>
      <c r="H248" s="458">
        <f>2026-F248+1</f>
        <v/>
      </c>
      <c r="I248" s="458" t="inlineStr">
        <is>
          <t>174</t>
        </is>
      </c>
      <c r="J248" s="458" t="n">
        <v>174</v>
      </c>
      <c r="K248" s="458" t="n">
        <v>148</v>
      </c>
      <c r="L248" s="458" t="n">
        <v>53</v>
      </c>
      <c r="M248" s="458" t="inlineStr">
        <is>
          <t>계단식</t>
        </is>
      </c>
      <c r="N248" s="458" t="n">
        <v>4</v>
      </c>
      <c r="O248" s="458" t="n">
        <v>2</v>
      </c>
      <c r="P248" s="458" t="n">
        <v>120</v>
      </c>
      <c r="R248" s="135" t="inlineStr">
        <is>
          <t>-</t>
        </is>
      </c>
      <c r="S248" s="581">
        <f>Q248-R248</f>
        <v/>
      </c>
      <c r="T248" s="71">
        <f>R248/Q248</f>
        <v/>
      </c>
      <c r="U248" s="134" t="n">
        <v>41200</v>
      </c>
      <c r="V248" s="134" t="n">
        <v>30500</v>
      </c>
      <c r="W248" s="458" t="inlineStr">
        <is>
          <t>계단식</t>
        </is>
      </c>
      <c r="X248" s="458" t="n">
        <v>4</v>
      </c>
      <c r="Y248" s="458" t="n">
        <v>2</v>
      </c>
      <c r="Z248" s="458" t="n">
        <v>120</v>
      </c>
      <c r="AC248" s="458">
        <f>L248</f>
        <v/>
      </c>
      <c r="AF248" s="458">
        <f>AE248/AD248</f>
        <v/>
      </c>
      <c r="AG248" s="458">
        <f>AD248-AE248</f>
        <v/>
      </c>
      <c r="AH248" s="458" t="n">
        <v>2026.04</v>
      </c>
      <c r="AJ248" s="458">
        <f>AI248-AD248</f>
        <v/>
      </c>
      <c r="AK248" s="129">
        <f>(AI248-AD248)/AD248</f>
        <v/>
      </c>
      <c r="AL248" s="458">
        <f>AJ248/AG248</f>
        <v/>
      </c>
      <c r="AM248" s="236" t="n"/>
      <c r="AO248" s="458" t="n"/>
      <c r="AP248" s="458" t="n"/>
      <c r="AQ248" s="458" t="n"/>
      <c r="AR248" s="458" t="n"/>
      <c r="AS248" s="458" t="n"/>
      <c r="AT248" s="458" t="n"/>
      <c r="AU248" s="458" t="n"/>
      <c r="AW248" s="458" t="n"/>
      <c r="AX248" s="458" t="n"/>
      <c r="AY248" s="458" t="n"/>
    </row>
    <row r="249" ht="17" customHeight="1" s="476">
      <c r="A249" s="458" t="inlineStr">
        <is>
          <t>청수동</t>
        </is>
      </c>
      <c r="D249" s="458" t="n">
        <v>7567</v>
      </c>
      <c r="E249" s="146" t="inlineStr">
        <is>
          <t>극동1차</t>
        </is>
      </c>
      <c r="F249" s="458" t="n">
        <v>1992.01</v>
      </c>
      <c r="G249" s="458" t="n">
        <v>450</v>
      </c>
      <c r="H249" s="458">
        <f>2026-F249+1</f>
        <v/>
      </c>
      <c r="I249" s="458" t="inlineStr">
        <is>
          <t>147</t>
        </is>
      </c>
      <c r="J249" s="458" t="n">
        <v>147</v>
      </c>
      <c r="K249" s="458" t="n">
        <v>127</v>
      </c>
      <c r="L249" s="458" t="n">
        <v>44</v>
      </c>
      <c r="M249" s="458" t="inlineStr">
        <is>
          <t>계단식</t>
        </is>
      </c>
      <c r="N249" s="458" t="n">
        <v>4</v>
      </c>
      <c r="O249" s="458" t="n">
        <v>2</v>
      </c>
      <c r="P249" s="458" t="n">
        <v>60</v>
      </c>
      <c r="R249" s="135" t="inlineStr">
        <is>
          <t>-</t>
        </is>
      </c>
      <c r="S249" s="581">
        <f>Q249-R249</f>
        <v/>
      </c>
      <c r="T249" s="71">
        <f>R249/Q249</f>
        <v/>
      </c>
      <c r="U249" s="134" t="n">
        <v>22500</v>
      </c>
      <c r="V249" s="134" t="n">
        <v>19000</v>
      </c>
      <c r="W249" s="458" t="inlineStr">
        <is>
          <t>계단식</t>
        </is>
      </c>
      <c r="X249" s="458" t="n">
        <v>4</v>
      </c>
      <c r="Y249" s="458" t="n">
        <v>2</v>
      </c>
      <c r="Z249" s="458" t="n">
        <v>60</v>
      </c>
      <c r="AA249" s="458" t="n">
        <v>2020.01</v>
      </c>
      <c r="AB249" s="458" t="n">
        <v>0.06</v>
      </c>
      <c r="AC249" s="458">
        <f>L249</f>
        <v/>
      </c>
      <c r="AD249" s="458" t="n">
        <v>14250</v>
      </c>
      <c r="AE249" s="458" t="n">
        <v>16000</v>
      </c>
      <c r="AF249" s="458">
        <f>AE249/AD249</f>
        <v/>
      </c>
      <c r="AG249" s="458">
        <f>AD249-AE249</f>
        <v/>
      </c>
      <c r="AH249" s="458" t="n">
        <v>2026.04</v>
      </c>
      <c r="AJ249" s="458">
        <f>AI249-AD249</f>
        <v/>
      </c>
      <c r="AK249" s="129">
        <f>(AI249-AD249)/AD249</f>
        <v/>
      </c>
      <c r="AL249" s="458">
        <f>AJ249/AG249</f>
        <v/>
      </c>
      <c r="AO249" s="458" t="n"/>
      <c r="AP249" s="458" t="n"/>
      <c r="AQ249" s="458" t="n"/>
      <c r="AR249" s="458" t="n"/>
      <c r="AS249" s="458" t="n"/>
      <c r="AT249" s="458" t="n"/>
      <c r="AU249" s="458" t="n"/>
      <c r="AW249" s="458" t="n"/>
      <c r="AX249" s="458" t="n"/>
      <c r="AY249" s="458" t="n"/>
    </row>
    <row r="250" ht="17" customHeight="1" s="476">
      <c r="A250" s="494" t="inlineStr">
        <is>
          <t>청수동</t>
        </is>
      </c>
      <c r="B250" s="88" t="n"/>
      <c r="C250" s="89" t="n"/>
      <c r="D250" s="494" t="n">
        <v>102387</v>
      </c>
      <c r="E250" s="133" t="inlineStr">
        <is>
          <t>극동2차</t>
        </is>
      </c>
      <c r="F250" s="494" t="n">
        <v>1992.04</v>
      </c>
      <c r="G250" s="494" t="n">
        <v>510</v>
      </c>
      <c r="H250" s="494">
        <f>2026-F250+1</f>
        <v/>
      </c>
      <c r="I250" s="494" t="inlineStr">
        <is>
          <t>147</t>
        </is>
      </c>
      <c r="J250" s="494" t="n">
        <v>147</v>
      </c>
      <c r="K250" s="494" t="n">
        <v>127</v>
      </c>
      <c r="L250" s="494" t="n">
        <v>44</v>
      </c>
      <c r="M250" s="494" t="inlineStr">
        <is>
          <t>계단식</t>
        </is>
      </c>
      <c r="N250" s="494" t="n">
        <v>4</v>
      </c>
      <c r="O250" s="494" t="n">
        <v>2</v>
      </c>
      <c r="P250" s="494" t="n">
        <v>120</v>
      </c>
      <c r="Q250" s="289" t="n"/>
      <c r="R250" s="136" t="inlineStr">
        <is>
          <t>-</t>
        </is>
      </c>
      <c r="S250" s="581">
        <f>Q250-R250</f>
        <v/>
      </c>
      <c r="T250" s="71">
        <f>R250/Q250</f>
        <v/>
      </c>
      <c r="U250" s="289" t="n">
        <v>22900</v>
      </c>
      <c r="V250" s="289" t="n">
        <v>21000</v>
      </c>
      <c r="W250" s="458" t="inlineStr">
        <is>
          <t>계단식</t>
        </is>
      </c>
      <c r="X250" s="458" t="n">
        <v>4</v>
      </c>
      <c r="Y250" s="458" t="n">
        <v>2</v>
      </c>
      <c r="Z250" s="458" t="n">
        <v>120</v>
      </c>
      <c r="AA250" s="289" t="n">
        <v>2024.04</v>
      </c>
      <c r="AB250" s="289" t="n">
        <v>0.06</v>
      </c>
      <c r="AC250" s="289">
        <f>L250</f>
        <v/>
      </c>
      <c r="AD250" s="289" t="n">
        <v>16000</v>
      </c>
      <c r="AE250" s="289" t="n">
        <v>13000</v>
      </c>
      <c r="AF250" s="289">
        <f>AE250/AD250</f>
        <v/>
      </c>
      <c r="AG250" s="289">
        <f>AD250-AE250</f>
        <v/>
      </c>
      <c r="AH250" s="458" t="n">
        <v>2026.04</v>
      </c>
      <c r="AJ250" s="458">
        <f>AI250-AD250</f>
        <v/>
      </c>
      <c r="AK250" s="129">
        <f>(AI250-AD250)/AD250</f>
        <v/>
      </c>
      <c r="AL250" s="289">
        <f>AJ250/AG250</f>
        <v/>
      </c>
      <c r="AM250" s="88" t="n"/>
      <c r="AN250" s="289" t="n"/>
      <c r="AV250" s="289" t="n"/>
    </row>
    <row r="251" ht="17" customHeight="1" s="476">
      <c r="A251" s="458" t="inlineStr">
        <is>
          <t>청수동</t>
        </is>
      </c>
      <c r="D251" s="458" t="n">
        <v>7569</v>
      </c>
      <c r="E251" s="146" t="inlineStr">
        <is>
          <t>현대</t>
        </is>
      </c>
      <c r="F251" s="458" t="n">
        <v>1996.1</v>
      </c>
      <c r="G251" s="458" t="n">
        <v>520</v>
      </c>
      <c r="H251" s="458">
        <f>2026-F251+1</f>
        <v/>
      </c>
      <c r="I251" s="458" t="inlineStr">
        <is>
          <t>145</t>
        </is>
      </c>
      <c r="J251" s="458" t="n">
        <v>145</v>
      </c>
      <c r="K251" s="458" t="n">
        <v>121</v>
      </c>
      <c r="L251" s="458" t="n">
        <v>44</v>
      </c>
      <c r="M251" s="458" t="inlineStr">
        <is>
          <t>계단식</t>
        </is>
      </c>
      <c r="N251" s="458" t="n">
        <v>4</v>
      </c>
      <c r="O251" s="458" t="n">
        <v>2</v>
      </c>
      <c r="P251" s="458" t="n">
        <v>34</v>
      </c>
      <c r="R251" s="135" t="inlineStr">
        <is>
          <t>-</t>
        </is>
      </c>
      <c r="S251" s="581">
        <f>Q251-R251</f>
        <v/>
      </c>
      <c r="T251" s="71">
        <f>R251/Q251</f>
        <v/>
      </c>
      <c r="U251" s="134" t="n">
        <v>20000</v>
      </c>
      <c r="V251" s="134" t="n">
        <v>19300</v>
      </c>
      <c r="W251" s="458" t="inlineStr">
        <is>
          <t>계단식</t>
        </is>
      </c>
      <c r="X251" s="458" t="n">
        <v>4</v>
      </c>
      <c r="Y251" s="458" t="n">
        <v>2</v>
      </c>
      <c r="Z251" s="458" t="n">
        <v>34</v>
      </c>
      <c r="AA251" s="458" t="n">
        <v>2019.06</v>
      </c>
      <c r="AB251" s="458" t="n">
        <v>0.05</v>
      </c>
      <c r="AC251" s="458">
        <f>L251</f>
        <v/>
      </c>
      <c r="AD251" s="458" t="n">
        <v>17500</v>
      </c>
      <c r="AE251" s="458" t="n">
        <v>14500</v>
      </c>
      <c r="AF251" s="458">
        <f>AE251/AD251</f>
        <v/>
      </c>
      <c r="AG251" s="458">
        <f>AD251-AE251</f>
        <v/>
      </c>
      <c r="AH251" s="458" t="n">
        <v>2026.04</v>
      </c>
      <c r="AJ251" s="458">
        <f>AI251-AD251</f>
        <v/>
      </c>
      <c r="AK251" s="129">
        <f>(AI251-AD251)/AD251</f>
        <v/>
      </c>
      <c r="AL251" s="458">
        <f>AJ251/AG251</f>
        <v/>
      </c>
      <c r="AO251" s="458" t="n"/>
      <c r="AP251" s="458" t="n"/>
      <c r="AQ251" s="458" t="n"/>
      <c r="AR251" s="458" t="n"/>
      <c r="AS251" s="458" t="n"/>
      <c r="AT251" s="458" t="n"/>
      <c r="AU251" s="458" t="n"/>
      <c r="AW251" s="458" t="n"/>
      <c r="AX251" s="458" t="n"/>
      <c r="AY251" s="458" t="n"/>
    </row>
    <row r="252" ht="17" customHeight="1" s="476">
      <c r="A252" s="458" t="inlineStr">
        <is>
          <t>청수동</t>
        </is>
      </c>
      <c r="B252" s="159" t="n"/>
      <c r="C252" s="159" t="n"/>
      <c r="D252" s="458" t="n">
        <v>7572</v>
      </c>
      <c r="E252" s="146" t="inlineStr">
        <is>
          <t>청솔LG,SK</t>
        </is>
      </c>
      <c r="F252" s="458" t="n">
        <v>1999.02</v>
      </c>
      <c r="G252" s="458" t="n">
        <v>898</v>
      </c>
      <c r="H252" s="458">
        <f>2026-F252+1</f>
        <v/>
      </c>
      <c r="I252" s="458" t="inlineStr">
        <is>
          <t>129</t>
        </is>
      </c>
      <c r="J252" s="458" t="n">
        <v>129</v>
      </c>
      <c r="K252" s="458" t="n">
        <v>107</v>
      </c>
      <c r="L252" s="458" t="n">
        <v>39</v>
      </c>
      <c r="M252" s="458" t="inlineStr">
        <is>
          <t>계단식</t>
        </is>
      </c>
      <c r="N252" s="458" t="n">
        <v>3</v>
      </c>
      <c r="O252" s="458" t="n">
        <v>2</v>
      </c>
      <c r="P252" s="458" t="n">
        <v>120</v>
      </c>
      <c r="R252" s="135" t="inlineStr">
        <is>
          <t>-</t>
        </is>
      </c>
      <c r="S252" s="581">
        <f>Q252-R252</f>
        <v/>
      </c>
      <c r="T252" s="71">
        <f>R252/Q252</f>
        <v/>
      </c>
      <c r="U252" s="134" t="n">
        <v>29000</v>
      </c>
      <c r="V252" s="134" t="n">
        <v>22800</v>
      </c>
      <c r="W252" s="458" t="inlineStr">
        <is>
          <t>계단식</t>
        </is>
      </c>
      <c r="X252" s="458" t="n">
        <v>3</v>
      </c>
      <c r="Y252" s="458" t="n">
        <v>2</v>
      </c>
      <c r="Z252" s="458" t="n">
        <v>120</v>
      </c>
      <c r="AA252" s="458" t="n">
        <v>2019.03</v>
      </c>
      <c r="AB252" s="458" t="n">
        <v>0.01</v>
      </c>
      <c r="AC252" s="458">
        <f>L252</f>
        <v/>
      </c>
      <c r="AD252" s="458" t="n">
        <v>20350</v>
      </c>
      <c r="AE252" s="458" t="n">
        <v>17000</v>
      </c>
      <c r="AF252" s="458">
        <f>AE252/AD252</f>
        <v/>
      </c>
      <c r="AG252" s="458">
        <f>AD252-AE252</f>
        <v/>
      </c>
      <c r="AH252" s="458" t="n">
        <v>2026.04</v>
      </c>
      <c r="AJ252" s="458">
        <f>AI252-AD252</f>
        <v/>
      </c>
      <c r="AK252" s="129">
        <f>(AI252-AD252)/AD252</f>
        <v/>
      </c>
      <c r="AL252" s="458">
        <f>AJ252/AG252</f>
        <v/>
      </c>
      <c r="AM252" s="236" t="n"/>
    </row>
    <row r="253" ht="17" customHeight="1" s="476">
      <c r="A253" s="458" t="inlineStr">
        <is>
          <t>청수동</t>
        </is>
      </c>
      <c r="B253" s="159" t="n"/>
      <c r="C253" s="159" t="n"/>
      <c r="D253" s="458" t="n">
        <v>7572</v>
      </c>
      <c r="E253" s="146" t="inlineStr">
        <is>
          <t>청솔LG,SK</t>
        </is>
      </c>
      <c r="F253" s="458" t="n">
        <v>1999.02</v>
      </c>
      <c r="G253" s="458" t="n">
        <v>898</v>
      </c>
      <c r="H253" s="458">
        <f>2026-F253+1</f>
        <v/>
      </c>
      <c r="I253" s="458" t="inlineStr">
        <is>
          <t>142</t>
        </is>
      </c>
      <c r="J253" s="458" t="n">
        <v>142</v>
      </c>
      <c r="K253" s="458" t="n">
        <v>118</v>
      </c>
      <c r="L253" s="458" t="n">
        <v>43</v>
      </c>
      <c r="M253" s="458" t="inlineStr">
        <is>
          <t>계단식</t>
        </is>
      </c>
      <c r="N253" s="458" t="n">
        <v>4</v>
      </c>
      <c r="O253" s="458" t="n">
        <v>2</v>
      </c>
      <c r="P253" s="458" t="n">
        <v>120</v>
      </c>
      <c r="R253" s="135" t="inlineStr">
        <is>
          <t>-</t>
        </is>
      </c>
      <c r="S253" s="581">
        <f>Q253-R253</f>
        <v/>
      </c>
      <c r="T253" s="71">
        <f>R253/Q253</f>
        <v/>
      </c>
      <c r="U253" s="134" t="n">
        <v>28700</v>
      </c>
      <c r="V253" s="134" t="n">
        <v>27500</v>
      </c>
      <c r="W253" s="458" t="inlineStr">
        <is>
          <t>계단식</t>
        </is>
      </c>
      <c r="X253" s="458" t="n">
        <v>4</v>
      </c>
      <c r="Y253" s="458" t="n">
        <v>2</v>
      </c>
      <c r="Z253" s="458" t="n">
        <v>120</v>
      </c>
      <c r="AA253" s="458" t="n">
        <v>2019.06</v>
      </c>
      <c r="AB253" s="458" t="n">
        <v>0.01</v>
      </c>
      <c r="AC253" s="458">
        <f>L253</f>
        <v/>
      </c>
      <c r="AD253" s="458" t="n">
        <v>21250</v>
      </c>
      <c r="AE253" s="458" t="n">
        <v>17000</v>
      </c>
      <c r="AF253" s="458">
        <f>AE253/AD253</f>
        <v/>
      </c>
      <c r="AG253" s="458">
        <f>AD253-AE253</f>
        <v/>
      </c>
      <c r="AH253" s="458" t="n">
        <v>2026.04</v>
      </c>
      <c r="AJ253" s="458">
        <f>AI253-AD253</f>
        <v/>
      </c>
      <c r="AK253" s="129">
        <f>(AI253-AD253)/AD253</f>
        <v/>
      </c>
      <c r="AL253" s="458">
        <f>AJ253/AG253</f>
        <v/>
      </c>
      <c r="AM253" s="236" t="n"/>
      <c r="AO253" s="458" t="n"/>
      <c r="AP253" s="458" t="n"/>
      <c r="AQ253" s="458" t="n"/>
      <c r="AR253" s="458" t="n"/>
      <c r="AS253" s="458" t="n"/>
      <c r="AT253" s="458" t="n"/>
      <c r="AU253" s="458" t="n"/>
      <c r="AW253" s="458" t="n"/>
      <c r="AX253" s="458" t="n"/>
      <c r="AY253" s="458" t="n"/>
    </row>
    <row r="254" ht="17" customHeight="1" s="476">
      <c r="A254" s="458" t="inlineStr">
        <is>
          <t>청수동</t>
        </is>
      </c>
      <c r="B254" s="159" t="n"/>
      <c r="C254" s="159" t="n"/>
      <c r="D254" s="458" t="n">
        <v>7572</v>
      </c>
      <c r="E254" s="146" t="inlineStr">
        <is>
          <t>청솔LG,SK</t>
        </is>
      </c>
      <c r="F254" s="458" t="n">
        <v>1999.02</v>
      </c>
      <c r="G254" s="458" t="n">
        <v>898</v>
      </c>
      <c r="H254" s="458">
        <f>2026-F254+1</f>
        <v/>
      </c>
      <c r="I254" s="458" t="inlineStr">
        <is>
          <t>209</t>
        </is>
      </c>
      <c r="J254" s="458" t="n">
        <v>209</v>
      </c>
      <c r="K254" s="458" t="n">
        <v>175</v>
      </c>
      <c r="L254" s="458" t="n">
        <v>63</v>
      </c>
      <c r="M254" s="458" t="inlineStr">
        <is>
          <t>계단식</t>
        </is>
      </c>
      <c r="N254" s="458" t="n">
        <v>5</v>
      </c>
      <c r="O254" s="458" t="n">
        <v>2</v>
      </c>
      <c r="P254" s="458" t="n">
        <v>60</v>
      </c>
      <c r="R254" s="135" t="inlineStr">
        <is>
          <t>-</t>
        </is>
      </c>
      <c r="S254" s="581">
        <f>Q254-R254</f>
        <v/>
      </c>
      <c r="T254" s="71">
        <f>R254/Q254</f>
        <v/>
      </c>
      <c r="U254" s="134" t="n">
        <v>43000</v>
      </c>
      <c r="V254" s="134" t="n">
        <v>39000</v>
      </c>
      <c r="W254" s="458" t="inlineStr">
        <is>
          <t>계단식</t>
        </is>
      </c>
      <c r="X254" s="458" t="n">
        <v>5</v>
      </c>
      <c r="Y254" s="458" t="n">
        <v>2</v>
      </c>
      <c r="Z254" s="458" t="n">
        <v>60</v>
      </c>
      <c r="AA254" s="458" t="n">
        <v>2021.03</v>
      </c>
      <c r="AB254" s="458" t="n">
        <v>0.03</v>
      </c>
      <c r="AC254" s="458">
        <f>L254</f>
        <v/>
      </c>
      <c r="AD254" s="458" t="n">
        <v>28000</v>
      </c>
      <c r="AE254" s="458" t="n">
        <v>23000</v>
      </c>
      <c r="AF254" s="458">
        <f>AE254/AD254</f>
        <v/>
      </c>
      <c r="AG254" s="458">
        <f>AD254-AE254</f>
        <v/>
      </c>
      <c r="AH254" s="458" t="n">
        <v>2026.04</v>
      </c>
      <c r="AJ254" s="458">
        <f>AI254-AD254</f>
        <v/>
      </c>
      <c r="AK254" s="129">
        <f>(AI254-AD254)/AD254</f>
        <v/>
      </c>
      <c r="AL254" s="458">
        <f>AJ254/AG254</f>
        <v/>
      </c>
      <c r="AM254" s="236" t="n"/>
    </row>
    <row r="255" ht="15.5" customHeight="1" s="476">
      <c r="A255" s="494" t="inlineStr">
        <is>
          <t>풍세면</t>
        </is>
      </c>
      <c r="B255" s="289" t="n"/>
      <c r="C255" s="289" t="n"/>
      <c r="D255" s="494" t="n">
        <v>140850</v>
      </c>
      <c r="E255" s="133" t="inlineStr">
        <is>
          <t>천안한양수자인에코시티</t>
        </is>
      </c>
      <c r="F255" s="494" t="n">
        <v>2023.12</v>
      </c>
      <c r="G255" s="494" t="n">
        <v>3200</v>
      </c>
      <c r="H255" s="494">
        <f>2026-F255+1</f>
        <v/>
      </c>
      <c r="I255" s="494" t="inlineStr">
        <is>
          <t>110B, 110A</t>
        </is>
      </c>
      <c r="J255" s="494" t="n">
        <v>110</v>
      </c>
      <c r="K255" s="494" t="n">
        <v>84</v>
      </c>
      <c r="L255" s="494" t="n">
        <v>33</v>
      </c>
      <c r="M255" s="494" t="inlineStr">
        <is>
          <t>계단식</t>
        </is>
      </c>
      <c r="N255" s="494" t="n">
        <v>4</v>
      </c>
      <c r="O255" s="494" t="n">
        <v>3</v>
      </c>
      <c r="P255" s="494" t="n">
        <v>962</v>
      </c>
      <c r="Q255" s="289" t="n"/>
      <c r="R255" s="136" t="inlineStr">
        <is>
          <t>-</t>
        </is>
      </c>
      <c r="S255" s="581">
        <f>Q255-R255</f>
        <v/>
      </c>
      <c r="T255" s="71">
        <f>R255/Q255</f>
        <v/>
      </c>
      <c r="U255" s="289" t="n"/>
      <c r="V255" s="289" t="n">
        <v>29290</v>
      </c>
      <c r="W255" s="458" t="inlineStr">
        <is>
          <t>계단식</t>
        </is>
      </c>
      <c r="X255" s="458" t="n">
        <v>4</v>
      </c>
      <c r="Y255" s="458" t="n">
        <v>3</v>
      </c>
      <c r="Z255" s="458" t="n">
        <v>962</v>
      </c>
      <c r="AA255" s="289" t="n"/>
      <c r="AB255" s="289" t="n"/>
      <c r="AC255" s="289">
        <f>L255</f>
        <v/>
      </c>
      <c r="AD255" s="289" t="n"/>
      <c r="AE255" s="289" t="n"/>
      <c r="AF255" s="289">
        <f>AE255/AD255</f>
        <v/>
      </c>
      <c r="AG255" s="289">
        <f>AD255-AE255</f>
        <v/>
      </c>
      <c r="AH255" s="458" t="n">
        <v>2026.04</v>
      </c>
      <c r="AJ255" s="458">
        <f>AI255-AD255</f>
        <v/>
      </c>
      <c r="AK255" s="289">
        <f>(AI255-AD255)/AD255</f>
        <v/>
      </c>
      <c r="AL255" s="289">
        <f>AJ255/AG255</f>
        <v/>
      </c>
      <c r="AM255" s="289" t="n"/>
      <c r="AN255" s="289" t="n"/>
      <c r="AV255" s="289" t="n"/>
    </row>
  </sheetData>
  <autoFilter ref="A4:AY4">
    <sortState ref="A5:AY255">
      <sortCondition descending="1" ref="Q4"/>
    </sortState>
  </autoFilter>
  <mergeCells count="2">
    <mergeCell ref="B3:C3"/>
    <mergeCell ref="AH3:AL3"/>
  </mergeCells>
  <conditionalFormatting sqref="B6:D9 B11:D12 B14:D15 B17:D19 B22:D23">
    <cfRule type="cellIs" priority="173" operator="equal" dxfId="1">
      <formula>"중"</formula>
    </cfRule>
    <cfRule type="cellIs" priority="174" operator="equal" dxfId="0">
      <formula>"상"</formula>
    </cfRule>
  </conditionalFormatting>
  <conditionalFormatting sqref="AL1:AL1048576">
    <cfRule type="dataBar" priority="175">
      <dataBar>
        <cfvo type="min"/>
        <cfvo type="max"/>
        <color rgb="FF63C384"/>
      </dataBar>
    </cfRule>
  </conditionalFormatting>
  <conditionalFormatting sqref="B1">
    <cfRule type="cellIs" priority="171" operator="equal" dxfId="1">
      <formula>"중"</formula>
    </cfRule>
    <cfRule type="cellIs" priority="172" operator="equal" dxfId="0">
      <formula>"상"</formula>
    </cfRule>
  </conditionalFormatting>
  <conditionalFormatting sqref="C1:D1">
    <cfRule type="cellIs" priority="169" operator="equal" dxfId="1">
      <formula>"중"</formula>
    </cfRule>
    <cfRule type="cellIs" priority="170" operator="equal" dxfId="0">
      <formula>"상"</formula>
    </cfRule>
  </conditionalFormatting>
  <conditionalFormatting sqref="B2">
    <cfRule type="cellIs" priority="167" operator="equal" dxfId="1">
      <formula>"중"</formula>
    </cfRule>
    <cfRule type="cellIs" priority="168" operator="equal" dxfId="0">
      <formula>"상"</formula>
    </cfRule>
  </conditionalFormatting>
  <conditionalFormatting sqref="B27:D29 B31:D33 B35:D35 B37:D38 B40:D41 B43:D43">
    <cfRule type="cellIs" priority="165" operator="equal" dxfId="1">
      <formula>"중"</formula>
    </cfRule>
    <cfRule type="cellIs" priority="166" operator="equal" dxfId="0">
      <formula>"상"</formula>
    </cfRule>
  </conditionalFormatting>
  <conditionalFormatting sqref="B5">
    <cfRule type="cellIs" priority="163" operator="equal" dxfId="1">
      <formula>"중"</formula>
    </cfRule>
    <cfRule type="cellIs" priority="164" operator="equal" dxfId="0">
      <formula>"상"</formula>
    </cfRule>
  </conditionalFormatting>
  <conditionalFormatting sqref="C5:D5">
    <cfRule type="cellIs" priority="161" operator="equal" dxfId="1">
      <formula>"중"</formula>
    </cfRule>
    <cfRule type="cellIs" priority="162" operator="equal" dxfId="0">
      <formula>"상"</formula>
    </cfRule>
  </conditionalFormatting>
  <conditionalFormatting sqref="B10">
    <cfRule type="cellIs" priority="159" operator="equal" dxfId="1">
      <formula>"중"</formula>
    </cfRule>
    <cfRule type="cellIs" priority="160" operator="equal" dxfId="0">
      <formula>"상"</formula>
    </cfRule>
  </conditionalFormatting>
  <conditionalFormatting sqref="C10:D10">
    <cfRule type="cellIs" priority="157" operator="equal" dxfId="1">
      <formula>"중"</formula>
    </cfRule>
    <cfRule type="cellIs" priority="158" operator="equal" dxfId="0">
      <formula>"상"</formula>
    </cfRule>
  </conditionalFormatting>
  <conditionalFormatting sqref="B13">
    <cfRule type="cellIs" priority="155" operator="equal" dxfId="1">
      <formula>"중"</formula>
    </cfRule>
    <cfRule type="cellIs" priority="156" operator="equal" dxfId="0">
      <formula>"상"</formula>
    </cfRule>
  </conditionalFormatting>
  <conditionalFormatting sqref="C13:D13">
    <cfRule type="cellIs" priority="153" operator="equal" dxfId="1">
      <formula>"중"</formula>
    </cfRule>
    <cfRule type="cellIs" priority="154" operator="equal" dxfId="0">
      <formula>"상"</formula>
    </cfRule>
  </conditionalFormatting>
  <conditionalFormatting sqref="B16">
    <cfRule type="cellIs" priority="151" operator="equal" dxfId="1">
      <formula>"중"</formula>
    </cfRule>
    <cfRule type="cellIs" priority="152" operator="equal" dxfId="0">
      <formula>"상"</formula>
    </cfRule>
  </conditionalFormatting>
  <conditionalFormatting sqref="C16:D16">
    <cfRule type="cellIs" priority="149" operator="equal" dxfId="1">
      <formula>"중"</formula>
    </cfRule>
    <cfRule type="cellIs" priority="150" operator="equal" dxfId="0">
      <formula>"상"</formula>
    </cfRule>
  </conditionalFormatting>
  <conditionalFormatting sqref="B36">
    <cfRule type="cellIs" priority="147" operator="equal" dxfId="1">
      <formula>"중"</formula>
    </cfRule>
    <cfRule type="cellIs" priority="148" operator="equal" dxfId="0">
      <formula>"상"</formula>
    </cfRule>
  </conditionalFormatting>
  <conditionalFormatting sqref="B39">
    <cfRule type="cellIs" priority="145" operator="equal" dxfId="1">
      <formula>"중"</formula>
    </cfRule>
    <cfRule type="cellIs" priority="146" operator="equal" dxfId="0">
      <formula>"상"</formula>
    </cfRule>
  </conditionalFormatting>
  <conditionalFormatting sqref="B42">
    <cfRule type="cellIs" priority="143" operator="equal" dxfId="1">
      <formula>"중"</formula>
    </cfRule>
    <cfRule type="cellIs" priority="144" operator="equal" dxfId="0">
      <formula>"상"</formula>
    </cfRule>
  </conditionalFormatting>
  <conditionalFormatting sqref="B75">
    <cfRule type="cellIs" priority="141" operator="equal" dxfId="1">
      <formula>"중"</formula>
    </cfRule>
    <cfRule type="cellIs" priority="142" operator="equal" dxfId="0">
      <formula>"상"</formula>
    </cfRule>
  </conditionalFormatting>
  <conditionalFormatting sqref="B83">
    <cfRule type="cellIs" priority="139" operator="equal" dxfId="1">
      <formula>"중"</formula>
    </cfRule>
    <cfRule type="cellIs" priority="140" operator="equal" dxfId="0">
      <formula>"상"</formula>
    </cfRule>
  </conditionalFormatting>
  <conditionalFormatting sqref="C36:D36">
    <cfRule type="cellIs" priority="137" operator="equal" dxfId="1">
      <formula>"중"</formula>
    </cfRule>
    <cfRule type="cellIs" priority="138" operator="equal" dxfId="0">
      <formula>"상"</formula>
    </cfRule>
  </conditionalFormatting>
  <conditionalFormatting sqref="C42:D42">
    <cfRule type="cellIs" priority="135" operator="equal" dxfId="1">
      <formula>"중"</formula>
    </cfRule>
    <cfRule type="cellIs" priority="136" operator="equal" dxfId="0">
      <formula>"상"</formula>
    </cfRule>
  </conditionalFormatting>
  <conditionalFormatting sqref="C39:D39">
    <cfRule type="cellIs" priority="133" operator="equal" dxfId="1">
      <formula>"중"</formula>
    </cfRule>
    <cfRule type="cellIs" priority="134" operator="equal" dxfId="0">
      <formula>"상"</formula>
    </cfRule>
  </conditionalFormatting>
  <conditionalFormatting sqref="C75:D75">
    <cfRule type="cellIs" priority="131" operator="equal" dxfId="1">
      <formula>"중"</formula>
    </cfRule>
    <cfRule type="cellIs" priority="132" operator="equal" dxfId="0">
      <formula>"상"</formula>
    </cfRule>
  </conditionalFormatting>
  <conditionalFormatting sqref="B20">
    <cfRule type="cellIs" priority="129" operator="equal" dxfId="1">
      <formula>"중"</formula>
    </cfRule>
    <cfRule type="cellIs" priority="130" operator="equal" dxfId="0">
      <formula>"상"</formula>
    </cfRule>
  </conditionalFormatting>
  <conditionalFormatting sqref="C20:D20">
    <cfRule type="cellIs" priority="127" operator="equal" dxfId="1">
      <formula>"중"</formula>
    </cfRule>
    <cfRule type="cellIs" priority="128" operator="equal" dxfId="0">
      <formula>"상"</formula>
    </cfRule>
  </conditionalFormatting>
  <conditionalFormatting sqref="B21">
    <cfRule type="cellIs" priority="125" operator="equal" dxfId="1">
      <formula>"중"</formula>
    </cfRule>
    <cfRule type="cellIs" priority="126" operator="equal" dxfId="0">
      <formula>"상"</formula>
    </cfRule>
  </conditionalFormatting>
  <conditionalFormatting sqref="C21:D21">
    <cfRule type="cellIs" priority="123" operator="equal" dxfId="1">
      <formula>"중"</formula>
    </cfRule>
    <cfRule type="cellIs" priority="124" operator="equal" dxfId="0">
      <formula>"상"</formula>
    </cfRule>
  </conditionalFormatting>
  <conditionalFormatting sqref="C24:D24">
    <cfRule type="cellIs" priority="121" operator="equal" dxfId="1">
      <formula>"중"</formula>
    </cfRule>
    <cfRule type="cellIs" priority="122" operator="equal" dxfId="0">
      <formula>"상"</formula>
    </cfRule>
  </conditionalFormatting>
  <conditionalFormatting sqref="C25:D25">
    <cfRule type="cellIs" priority="119" operator="equal" dxfId="1">
      <formula>"중"</formula>
    </cfRule>
    <cfRule type="cellIs" priority="120" operator="equal" dxfId="0">
      <formula>"상"</formula>
    </cfRule>
  </conditionalFormatting>
  <conditionalFormatting sqref="C26:D26">
    <cfRule type="cellIs" priority="117" operator="equal" dxfId="1">
      <formula>"중"</formula>
    </cfRule>
    <cfRule type="cellIs" priority="118" operator="equal" dxfId="0">
      <formula>"상"</formula>
    </cfRule>
  </conditionalFormatting>
  <conditionalFormatting sqref="B30">
    <cfRule type="cellIs" priority="115" operator="equal" dxfId="1">
      <formula>"중"</formula>
    </cfRule>
    <cfRule type="cellIs" priority="116" operator="equal" dxfId="0">
      <formula>"상"</formula>
    </cfRule>
  </conditionalFormatting>
  <conditionalFormatting sqref="B24">
    <cfRule type="cellIs" priority="113" operator="equal" dxfId="1">
      <formula>"중"</formula>
    </cfRule>
    <cfRule type="cellIs" priority="114" operator="equal" dxfId="0">
      <formula>"상"</formula>
    </cfRule>
  </conditionalFormatting>
  <conditionalFormatting sqref="B25">
    <cfRule type="cellIs" priority="111" operator="equal" dxfId="1">
      <formula>"중"</formula>
    </cfRule>
    <cfRule type="cellIs" priority="112" operator="equal" dxfId="0">
      <formula>"상"</formula>
    </cfRule>
  </conditionalFormatting>
  <conditionalFormatting sqref="B26">
    <cfRule type="cellIs" priority="109" operator="equal" dxfId="1">
      <formula>"중"</formula>
    </cfRule>
    <cfRule type="cellIs" priority="110" operator="equal" dxfId="0">
      <formula>"상"</formula>
    </cfRule>
  </conditionalFormatting>
  <conditionalFormatting sqref="C30:D30">
    <cfRule type="cellIs" priority="107" operator="equal" dxfId="1">
      <formula>"중"</formula>
    </cfRule>
    <cfRule type="cellIs" priority="108" operator="equal" dxfId="0">
      <formula>"상"</formula>
    </cfRule>
  </conditionalFormatting>
  <conditionalFormatting sqref="B34">
    <cfRule type="cellIs" priority="105" operator="equal" dxfId="1">
      <formula>"중"</formula>
    </cfRule>
    <cfRule type="cellIs" priority="106" operator="equal" dxfId="0">
      <formula>"상"</formula>
    </cfRule>
  </conditionalFormatting>
  <conditionalFormatting sqref="C34:D34">
    <cfRule type="cellIs" priority="103" operator="equal" dxfId="1">
      <formula>"중"</formula>
    </cfRule>
    <cfRule type="cellIs" priority="104" operator="equal" dxfId="0">
      <formula>"상"</formula>
    </cfRule>
  </conditionalFormatting>
  <conditionalFormatting sqref="C46:D46">
    <cfRule type="cellIs" priority="101" operator="equal" dxfId="1">
      <formula>"중"</formula>
    </cfRule>
    <cfRule type="cellIs" priority="102" operator="equal" dxfId="0">
      <formula>"상"</formula>
    </cfRule>
  </conditionalFormatting>
  <conditionalFormatting sqref="B46">
    <cfRule type="cellIs" priority="99" operator="equal" dxfId="1">
      <formula>"중"</formula>
    </cfRule>
    <cfRule type="cellIs" priority="100" operator="equal" dxfId="0">
      <formula>"상"</formula>
    </cfRule>
  </conditionalFormatting>
  <conditionalFormatting sqref="B48">
    <cfRule type="cellIs" priority="97" operator="equal" dxfId="1">
      <formula>"중"</formula>
    </cfRule>
    <cfRule type="cellIs" priority="98" operator="equal" dxfId="0">
      <formula>"상"</formula>
    </cfRule>
  </conditionalFormatting>
  <conditionalFormatting sqref="C48:D48">
    <cfRule type="cellIs" priority="95" operator="equal" dxfId="1">
      <formula>"중"</formula>
    </cfRule>
    <cfRule type="cellIs" priority="96" operator="equal" dxfId="0">
      <formula>"상"</formula>
    </cfRule>
  </conditionalFormatting>
  <conditionalFormatting sqref="C51:D51">
    <cfRule type="cellIs" priority="93" operator="equal" dxfId="1">
      <formula>"중"</formula>
    </cfRule>
    <cfRule type="cellIs" priority="94" operator="equal" dxfId="0">
      <formula>"상"</formula>
    </cfRule>
  </conditionalFormatting>
  <conditionalFormatting sqref="C55:D55">
    <cfRule type="cellIs" priority="91" operator="equal" dxfId="1">
      <formula>"중"</formula>
    </cfRule>
    <cfRule type="cellIs" priority="92" operator="equal" dxfId="0">
      <formula>"상"</formula>
    </cfRule>
  </conditionalFormatting>
  <conditionalFormatting sqref="B51">
    <cfRule type="cellIs" priority="89" operator="equal" dxfId="1">
      <formula>"중"</formula>
    </cfRule>
    <cfRule type="cellIs" priority="90" operator="equal" dxfId="0">
      <formula>"상"</formula>
    </cfRule>
  </conditionalFormatting>
  <conditionalFormatting sqref="B56">
    <cfRule type="cellIs" priority="87" operator="equal" dxfId="1">
      <formula>"중"</formula>
    </cfRule>
    <cfRule type="cellIs" priority="88" operator="equal" dxfId="0">
      <formula>"상"</formula>
    </cfRule>
  </conditionalFormatting>
  <conditionalFormatting sqref="B55">
    <cfRule type="cellIs" priority="85" operator="equal" dxfId="1">
      <formula>"중"</formula>
    </cfRule>
    <cfRule type="cellIs" priority="86" operator="equal" dxfId="0">
      <formula>"상"</formula>
    </cfRule>
  </conditionalFormatting>
  <conditionalFormatting sqref="B60">
    <cfRule type="cellIs" priority="83" operator="equal" dxfId="1">
      <formula>"중"</formula>
    </cfRule>
    <cfRule type="cellIs" priority="84" operator="equal" dxfId="0">
      <formula>"상"</formula>
    </cfRule>
  </conditionalFormatting>
  <conditionalFormatting sqref="C60:D60">
    <cfRule type="cellIs" priority="81" operator="equal" dxfId="1">
      <formula>"중"</formula>
    </cfRule>
    <cfRule type="cellIs" priority="82" operator="equal" dxfId="0">
      <formula>"상"</formula>
    </cfRule>
  </conditionalFormatting>
  <conditionalFormatting sqref="B58">
    <cfRule type="cellIs" priority="79" operator="equal" dxfId="1">
      <formula>"중"</formula>
    </cfRule>
    <cfRule type="cellIs" priority="80" operator="equal" dxfId="0">
      <formula>"상"</formula>
    </cfRule>
  </conditionalFormatting>
  <conditionalFormatting sqref="C58:D58">
    <cfRule type="cellIs" priority="77" operator="equal" dxfId="1">
      <formula>"중"</formula>
    </cfRule>
    <cfRule type="cellIs" priority="78" operator="equal" dxfId="0">
      <formula>"상"</formula>
    </cfRule>
  </conditionalFormatting>
  <conditionalFormatting sqref="C63:D63">
    <cfRule type="cellIs" priority="75" operator="equal" dxfId="1">
      <formula>"중"</formula>
    </cfRule>
    <cfRule type="cellIs" priority="76" operator="equal" dxfId="0">
      <formula>"상"</formula>
    </cfRule>
  </conditionalFormatting>
  <conditionalFormatting sqref="C68:D68">
    <cfRule type="cellIs" priority="73" operator="equal" dxfId="1">
      <formula>"중"</formula>
    </cfRule>
    <cfRule type="cellIs" priority="74" operator="equal" dxfId="0">
      <formula>"상"</formula>
    </cfRule>
  </conditionalFormatting>
  <conditionalFormatting sqref="C71:D71">
    <cfRule type="cellIs" priority="71" operator="equal" dxfId="1">
      <formula>"중"</formula>
    </cfRule>
    <cfRule type="cellIs" priority="72" operator="equal" dxfId="0">
      <formula>"상"</formula>
    </cfRule>
  </conditionalFormatting>
  <conditionalFormatting sqref="C80:D80">
    <cfRule type="cellIs" priority="69" operator="equal" dxfId="1">
      <formula>"중"</formula>
    </cfRule>
    <cfRule type="cellIs" priority="70" operator="equal" dxfId="0">
      <formula>"상"</formula>
    </cfRule>
  </conditionalFormatting>
  <conditionalFormatting sqref="B80">
    <cfRule type="cellIs" priority="67" operator="equal" dxfId="1">
      <formula>"중"</formula>
    </cfRule>
    <cfRule type="cellIs" priority="68" operator="equal" dxfId="0">
      <formula>"상"</formula>
    </cfRule>
  </conditionalFormatting>
  <conditionalFormatting sqref="C83:D83">
    <cfRule type="cellIs" priority="65" operator="equal" dxfId="1">
      <formula>"중"</formula>
    </cfRule>
    <cfRule type="cellIs" priority="66" operator="equal" dxfId="0">
      <formula>"상"</formula>
    </cfRule>
  </conditionalFormatting>
  <conditionalFormatting sqref="C133:D133">
    <cfRule type="cellIs" priority="27" operator="equal" dxfId="1">
      <formula>"중"</formula>
    </cfRule>
    <cfRule type="cellIs" priority="28" operator="equal" dxfId="0">
      <formula>"상"</formula>
    </cfRule>
  </conditionalFormatting>
  <conditionalFormatting sqref="C87:D87">
    <cfRule type="cellIs" priority="63" operator="equal" dxfId="1">
      <formula>"중"</formula>
    </cfRule>
    <cfRule type="cellIs" priority="64" operator="equal" dxfId="0">
      <formula>"상"</formula>
    </cfRule>
  </conditionalFormatting>
  <conditionalFormatting sqref="C143:D143">
    <cfRule type="cellIs" priority="21" operator="equal" dxfId="1">
      <formula>"중"</formula>
    </cfRule>
    <cfRule type="cellIs" priority="22" operator="equal" dxfId="0">
      <formula>"상"</formula>
    </cfRule>
  </conditionalFormatting>
  <conditionalFormatting sqref="C92:D92">
    <cfRule type="cellIs" priority="61" operator="equal" dxfId="1">
      <formula>"중"</formula>
    </cfRule>
    <cfRule type="cellIs" priority="62" operator="equal" dxfId="0">
      <formula>"상"</formula>
    </cfRule>
  </conditionalFormatting>
  <conditionalFormatting sqref="C95:D95">
    <cfRule type="cellIs" priority="59" operator="equal" dxfId="1">
      <formula>"중"</formula>
    </cfRule>
    <cfRule type="cellIs" priority="60" operator="equal" dxfId="0">
      <formula>"상"</formula>
    </cfRule>
  </conditionalFormatting>
  <conditionalFormatting sqref="B169">
    <cfRule type="cellIs" priority="13" operator="equal" dxfId="1">
      <formula>"중"</formula>
    </cfRule>
    <cfRule type="cellIs" priority="14" operator="equal" dxfId="0">
      <formula>"상"</formula>
    </cfRule>
  </conditionalFormatting>
  <conditionalFormatting sqref="C100:D100">
    <cfRule type="cellIs" priority="57" operator="equal" dxfId="1">
      <formula>"중"</formula>
    </cfRule>
    <cfRule type="cellIs" priority="58" operator="equal" dxfId="0">
      <formula>"상"</formula>
    </cfRule>
  </conditionalFormatting>
  <conditionalFormatting sqref="C106:D106">
    <cfRule type="cellIs" priority="55" operator="equal" dxfId="1">
      <formula>"중"</formula>
    </cfRule>
    <cfRule type="cellIs" priority="56" operator="equal" dxfId="0">
      <formula>"상"</formula>
    </cfRule>
  </conditionalFormatting>
  <conditionalFormatting sqref="C110:D110">
    <cfRule type="cellIs" priority="53" operator="equal" dxfId="1">
      <formula>"중"</formula>
    </cfRule>
    <cfRule type="cellIs" priority="54" operator="equal" dxfId="0">
      <formula>"상"</formula>
    </cfRule>
  </conditionalFormatting>
  <conditionalFormatting sqref="C114:D114">
    <cfRule type="cellIs" priority="51" operator="equal" dxfId="1">
      <formula>"중"</formula>
    </cfRule>
    <cfRule type="cellIs" priority="52" operator="equal" dxfId="0">
      <formula>"상"</formula>
    </cfRule>
  </conditionalFormatting>
  <conditionalFormatting sqref="C118:D118">
    <cfRule type="cellIs" priority="49" operator="equal" dxfId="1">
      <formula>"중"</formula>
    </cfRule>
    <cfRule type="cellIs" priority="50" operator="equal" dxfId="0">
      <formula>"상"</formula>
    </cfRule>
  </conditionalFormatting>
  <conditionalFormatting sqref="B118">
    <cfRule type="cellIs" priority="47" operator="equal" dxfId="1">
      <formula>"중"</formula>
    </cfRule>
    <cfRule type="cellIs" priority="48" operator="equal" dxfId="0">
      <formula>"상"</formula>
    </cfRule>
  </conditionalFormatting>
  <conditionalFormatting sqref="B95">
    <cfRule type="cellIs" priority="45" operator="equal" dxfId="1">
      <formula>"중"</formula>
    </cfRule>
    <cfRule type="cellIs" priority="46" operator="equal" dxfId="0">
      <formula>"상"</formula>
    </cfRule>
  </conditionalFormatting>
  <conditionalFormatting sqref="B92">
    <cfRule type="cellIs" priority="43" operator="equal" dxfId="1">
      <formula>"중"</formula>
    </cfRule>
    <cfRule type="cellIs" priority="44" operator="equal" dxfId="0">
      <formula>"상"</formula>
    </cfRule>
  </conditionalFormatting>
  <conditionalFormatting sqref="B87">
    <cfRule type="cellIs" priority="41" operator="equal" dxfId="1">
      <formula>"중"</formula>
    </cfRule>
    <cfRule type="cellIs" priority="42" operator="equal" dxfId="0">
      <formula>"상"</formula>
    </cfRule>
  </conditionalFormatting>
  <conditionalFormatting sqref="B122">
    <cfRule type="cellIs" priority="39" operator="equal" dxfId="1">
      <formula>"중"</formula>
    </cfRule>
    <cfRule type="cellIs" priority="40" operator="equal" dxfId="0">
      <formula>"상"</formula>
    </cfRule>
  </conditionalFormatting>
  <conditionalFormatting sqref="C122:D122">
    <cfRule type="cellIs" priority="37" operator="equal" dxfId="1">
      <formula>"중"</formula>
    </cfRule>
    <cfRule type="cellIs" priority="38" operator="equal" dxfId="0">
      <formula>"상"</formula>
    </cfRule>
  </conditionalFormatting>
  <conditionalFormatting sqref="C127:D127">
    <cfRule type="cellIs" priority="35" operator="equal" dxfId="1">
      <formula>"중"</formula>
    </cfRule>
    <cfRule type="cellIs" priority="36" operator="equal" dxfId="0">
      <formula>"상"</formula>
    </cfRule>
  </conditionalFormatting>
  <conditionalFormatting sqref="B127">
    <cfRule type="cellIs" priority="33" operator="equal" dxfId="1">
      <formula>"중"</formula>
    </cfRule>
    <cfRule type="cellIs" priority="34" operator="equal" dxfId="0">
      <formula>"상"</formula>
    </cfRule>
  </conditionalFormatting>
  <conditionalFormatting sqref="B129">
    <cfRule type="cellIs" priority="31" operator="equal" dxfId="1">
      <formula>"중"</formula>
    </cfRule>
    <cfRule type="cellIs" priority="32" operator="equal" dxfId="0">
      <formula>"상"</formula>
    </cfRule>
  </conditionalFormatting>
  <conditionalFormatting sqref="C129:D129">
    <cfRule type="cellIs" priority="29" operator="equal" dxfId="1">
      <formula>"중"</formula>
    </cfRule>
    <cfRule type="cellIs" priority="30" operator="equal" dxfId="0">
      <formula>"상"</formula>
    </cfRule>
  </conditionalFormatting>
  <conditionalFormatting sqref="C137:D137">
    <cfRule type="cellIs" priority="25" operator="equal" dxfId="1">
      <formula>"중"</formula>
    </cfRule>
    <cfRule type="cellIs" priority="26" operator="equal" dxfId="0">
      <formula>"상"</formula>
    </cfRule>
  </conditionalFormatting>
  <conditionalFormatting sqref="C140:D140">
    <cfRule type="cellIs" priority="23" operator="equal" dxfId="1">
      <formula>"중"</formula>
    </cfRule>
    <cfRule type="cellIs" priority="24" operator="equal" dxfId="0">
      <formula>"상"</formula>
    </cfRule>
  </conditionalFormatting>
  <conditionalFormatting sqref="B143">
    <cfRule type="cellIs" priority="19" operator="equal" dxfId="1">
      <formula>"중"</formula>
    </cfRule>
    <cfRule type="cellIs" priority="20" operator="equal" dxfId="0">
      <formula>"상"</formula>
    </cfRule>
  </conditionalFormatting>
  <conditionalFormatting sqref="C148:D148">
    <cfRule type="cellIs" priority="17" operator="equal" dxfId="1">
      <formula>"중"</formula>
    </cfRule>
    <cfRule type="cellIs" priority="18" operator="equal" dxfId="0">
      <formula>"상"</formula>
    </cfRule>
  </conditionalFormatting>
  <conditionalFormatting sqref="C152:D152">
    <cfRule type="cellIs" priority="15" operator="equal" dxfId="1">
      <formula>"중"</formula>
    </cfRule>
    <cfRule type="cellIs" priority="16" operator="equal" dxfId="0">
      <formula>"상"</formula>
    </cfRule>
  </conditionalFormatting>
  <conditionalFormatting sqref="C169:D169">
    <cfRule type="cellIs" priority="11" operator="equal" dxfId="1">
      <formula>"중"</formula>
    </cfRule>
    <cfRule type="cellIs" priority="12" operator="equal" dxfId="0">
      <formula>"상"</formula>
    </cfRule>
  </conditionalFormatting>
  <conditionalFormatting sqref="C171:D171">
    <cfRule type="cellIs" priority="9" operator="equal" dxfId="1">
      <formula>"중"</formula>
    </cfRule>
    <cfRule type="cellIs" priority="10" operator="equal" dxfId="0">
      <formula>"상"</formula>
    </cfRule>
  </conditionalFormatting>
  <conditionalFormatting sqref="C178:D178">
    <cfRule type="cellIs" priority="7" operator="equal" dxfId="1">
      <formula>"중"</formula>
    </cfRule>
    <cfRule type="cellIs" priority="8" operator="equal" dxfId="0">
      <formula>"상"</formula>
    </cfRule>
  </conditionalFormatting>
  <conditionalFormatting sqref="C181:D181">
    <cfRule type="cellIs" priority="5" operator="equal" dxfId="1">
      <formula>"중"</formula>
    </cfRule>
    <cfRule type="cellIs" priority="6" operator="equal" dxfId="0">
      <formula>"상"</formula>
    </cfRule>
  </conditionalFormatting>
  <conditionalFormatting sqref="C185:D185">
    <cfRule type="cellIs" priority="3" operator="equal" dxfId="1">
      <formula>"중"</formula>
    </cfRule>
    <cfRule type="cellIs" priority="4" operator="equal" dxfId="0">
      <formula>"상"</formula>
    </cfRule>
  </conditionalFormatting>
  <conditionalFormatting sqref="B185">
    <cfRule type="cellIs" priority="1" operator="equal" dxfId="1">
      <formula>"중"</formula>
    </cfRule>
    <cfRule type="cellIs" priority="2" operator="equal" dxfId="0">
      <formula>"상"</formula>
    </cfRule>
  </conditionalFormatting>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9" r:id="rId64"/>
    <hyperlink xmlns:r="http://schemas.openxmlformats.org/officeDocument/2006/relationships" ref="E70" r:id="rId65"/>
    <hyperlink xmlns:r="http://schemas.openxmlformats.org/officeDocument/2006/relationships" ref="E71" r:id="rId66"/>
    <hyperlink xmlns:r="http://schemas.openxmlformats.org/officeDocument/2006/relationships" ref="E72" r:id="rId67"/>
    <hyperlink xmlns:r="http://schemas.openxmlformats.org/officeDocument/2006/relationships" ref="E73" r:id="rId68"/>
    <hyperlink xmlns:r="http://schemas.openxmlformats.org/officeDocument/2006/relationships" ref="E74" r:id="rId69"/>
    <hyperlink xmlns:r="http://schemas.openxmlformats.org/officeDocument/2006/relationships" ref="E75" r:id="rId70"/>
    <hyperlink xmlns:r="http://schemas.openxmlformats.org/officeDocument/2006/relationships" ref="E76" r:id="rId71"/>
    <hyperlink xmlns:r="http://schemas.openxmlformats.org/officeDocument/2006/relationships" ref="E77" r:id="rId72"/>
    <hyperlink xmlns:r="http://schemas.openxmlformats.org/officeDocument/2006/relationships" ref="E78" r:id="rId73"/>
    <hyperlink xmlns:r="http://schemas.openxmlformats.org/officeDocument/2006/relationships" ref="E79" r:id="rId74"/>
    <hyperlink xmlns:r="http://schemas.openxmlformats.org/officeDocument/2006/relationships" ref="E80" r:id="rId75"/>
    <hyperlink xmlns:r="http://schemas.openxmlformats.org/officeDocument/2006/relationships" ref="E81" r:id="rId76"/>
    <hyperlink xmlns:r="http://schemas.openxmlformats.org/officeDocument/2006/relationships" ref="E82" r:id="rId77"/>
    <hyperlink xmlns:r="http://schemas.openxmlformats.org/officeDocument/2006/relationships" ref="E83" r:id="rId78"/>
    <hyperlink xmlns:r="http://schemas.openxmlformats.org/officeDocument/2006/relationships" ref="E84" r:id="rId79"/>
    <hyperlink xmlns:r="http://schemas.openxmlformats.org/officeDocument/2006/relationships" ref="E85" display="휴먼시아" r:id="rId80"/>
    <hyperlink xmlns:r="http://schemas.openxmlformats.org/officeDocument/2006/relationships" ref="E86" r:id="rId81"/>
    <hyperlink xmlns:r="http://schemas.openxmlformats.org/officeDocument/2006/relationships" ref="E87" r:id="rId82"/>
    <hyperlink xmlns:r="http://schemas.openxmlformats.org/officeDocument/2006/relationships" ref="E88" r:id="rId83"/>
    <hyperlink xmlns:r="http://schemas.openxmlformats.org/officeDocument/2006/relationships" ref="E89" r:id="rId84"/>
    <hyperlink xmlns:r="http://schemas.openxmlformats.org/officeDocument/2006/relationships" ref="E90" r:id="rId85"/>
    <hyperlink xmlns:r="http://schemas.openxmlformats.org/officeDocument/2006/relationships" ref="E91" r:id="rId86"/>
    <hyperlink xmlns:r="http://schemas.openxmlformats.org/officeDocument/2006/relationships" ref="E92" r:id="rId87"/>
    <hyperlink xmlns:r="http://schemas.openxmlformats.org/officeDocument/2006/relationships" ref="E93" r:id="rId88"/>
    <hyperlink xmlns:r="http://schemas.openxmlformats.org/officeDocument/2006/relationships" ref="E94" r:id="rId89"/>
    <hyperlink xmlns:r="http://schemas.openxmlformats.org/officeDocument/2006/relationships" ref="E95" r:id="rId90"/>
    <hyperlink xmlns:r="http://schemas.openxmlformats.org/officeDocument/2006/relationships" ref="E96" r:id="rId91"/>
    <hyperlink xmlns:r="http://schemas.openxmlformats.org/officeDocument/2006/relationships" ref="E97" r:id="rId92"/>
    <hyperlink xmlns:r="http://schemas.openxmlformats.org/officeDocument/2006/relationships" ref="E98" r:id="rId93"/>
    <hyperlink xmlns:r="http://schemas.openxmlformats.org/officeDocument/2006/relationships" ref="E99" r:id="rId94"/>
    <hyperlink xmlns:r="http://schemas.openxmlformats.org/officeDocument/2006/relationships" ref="E100" r:id="rId95"/>
    <hyperlink xmlns:r="http://schemas.openxmlformats.org/officeDocument/2006/relationships" ref="E101" r:id="rId96"/>
    <hyperlink xmlns:r="http://schemas.openxmlformats.org/officeDocument/2006/relationships" ref="E102" r:id="rId97"/>
    <hyperlink xmlns:r="http://schemas.openxmlformats.org/officeDocument/2006/relationships" ref="E103" r:id="rId98"/>
    <hyperlink xmlns:r="http://schemas.openxmlformats.org/officeDocument/2006/relationships" ref="E104" r:id="rId99"/>
    <hyperlink xmlns:r="http://schemas.openxmlformats.org/officeDocument/2006/relationships" ref="E105" r:id="rId100"/>
    <hyperlink xmlns:r="http://schemas.openxmlformats.org/officeDocument/2006/relationships" ref="E106" r:id="rId101"/>
    <hyperlink xmlns:r="http://schemas.openxmlformats.org/officeDocument/2006/relationships" ref="E107" r:id="rId102"/>
    <hyperlink xmlns:r="http://schemas.openxmlformats.org/officeDocument/2006/relationships" ref="E108" r:id="rId103"/>
    <hyperlink xmlns:r="http://schemas.openxmlformats.org/officeDocument/2006/relationships" ref="E109" r:id="rId104"/>
    <hyperlink xmlns:r="http://schemas.openxmlformats.org/officeDocument/2006/relationships" ref="E110" r:id="rId105"/>
    <hyperlink xmlns:r="http://schemas.openxmlformats.org/officeDocument/2006/relationships" ref="E111" r:id="rId106"/>
    <hyperlink xmlns:r="http://schemas.openxmlformats.org/officeDocument/2006/relationships" ref="E112" r:id="rId107"/>
    <hyperlink xmlns:r="http://schemas.openxmlformats.org/officeDocument/2006/relationships" ref="E113" r:id="rId108"/>
    <hyperlink xmlns:r="http://schemas.openxmlformats.org/officeDocument/2006/relationships" ref="E114" r:id="rId109"/>
    <hyperlink xmlns:r="http://schemas.openxmlformats.org/officeDocument/2006/relationships" ref="E115" r:id="rId110"/>
    <hyperlink xmlns:r="http://schemas.openxmlformats.org/officeDocument/2006/relationships" ref="E116" r:id="rId111"/>
    <hyperlink xmlns:r="http://schemas.openxmlformats.org/officeDocument/2006/relationships" ref="E117" r:id="rId112"/>
    <hyperlink xmlns:r="http://schemas.openxmlformats.org/officeDocument/2006/relationships" ref="E118" r:id="rId113"/>
    <hyperlink xmlns:r="http://schemas.openxmlformats.org/officeDocument/2006/relationships" ref="E119" r:id="rId114"/>
    <hyperlink xmlns:r="http://schemas.openxmlformats.org/officeDocument/2006/relationships" ref="E120" r:id="rId115"/>
    <hyperlink xmlns:r="http://schemas.openxmlformats.org/officeDocument/2006/relationships" ref="E121" r:id="rId116"/>
    <hyperlink xmlns:r="http://schemas.openxmlformats.org/officeDocument/2006/relationships" ref="E122" r:id="rId117"/>
    <hyperlink xmlns:r="http://schemas.openxmlformats.org/officeDocument/2006/relationships" ref="E123" r:id="rId118"/>
    <hyperlink xmlns:r="http://schemas.openxmlformats.org/officeDocument/2006/relationships" ref="E124" r:id="rId119"/>
    <hyperlink xmlns:r="http://schemas.openxmlformats.org/officeDocument/2006/relationships" ref="E125" r:id="rId120"/>
    <hyperlink xmlns:r="http://schemas.openxmlformats.org/officeDocument/2006/relationships" ref="E126" r:id="rId121"/>
    <hyperlink xmlns:r="http://schemas.openxmlformats.org/officeDocument/2006/relationships" ref="E127" r:id="rId122"/>
    <hyperlink xmlns:r="http://schemas.openxmlformats.org/officeDocument/2006/relationships" ref="E128" r:id="rId123"/>
    <hyperlink xmlns:r="http://schemas.openxmlformats.org/officeDocument/2006/relationships" ref="E129" r:id="rId124"/>
    <hyperlink xmlns:r="http://schemas.openxmlformats.org/officeDocument/2006/relationships" ref="E130" r:id="rId125"/>
    <hyperlink xmlns:r="http://schemas.openxmlformats.org/officeDocument/2006/relationships" ref="E131" r:id="rId126"/>
    <hyperlink xmlns:r="http://schemas.openxmlformats.org/officeDocument/2006/relationships" ref="E132" r:id="rId127"/>
    <hyperlink xmlns:r="http://schemas.openxmlformats.org/officeDocument/2006/relationships" ref="E133" r:id="rId128"/>
    <hyperlink xmlns:r="http://schemas.openxmlformats.org/officeDocument/2006/relationships" ref="E134" r:id="rId129"/>
    <hyperlink xmlns:r="http://schemas.openxmlformats.org/officeDocument/2006/relationships" ref="E135" r:id="rId130"/>
    <hyperlink xmlns:r="http://schemas.openxmlformats.org/officeDocument/2006/relationships" ref="E136" r:id="rId131"/>
    <hyperlink xmlns:r="http://schemas.openxmlformats.org/officeDocument/2006/relationships" ref="E137" r:id="rId132"/>
    <hyperlink xmlns:r="http://schemas.openxmlformats.org/officeDocument/2006/relationships" ref="E138" r:id="rId133"/>
    <hyperlink xmlns:r="http://schemas.openxmlformats.org/officeDocument/2006/relationships" ref="E139" r:id="rId134"/>
    <hyperlink xmlns:r="http://schemas.openxmlformats.org/officeDocument/2006/relationships" ref="E140" r:id="rId135"/>
    <hyperlink xmlns:r="http://schemas.openxmlformats.org/officeDocument/2006/relationships" ref="E141" r:id="rId136"/>
    <hyperlink xmlns:r="http://schemas.openxmlformats.org/officeDocument/2006/relationships" ref="E142" r:id="rId137"/>
    <hyperlink xmlns:r="http://schemas.openxmlformats.org/officeDocument/2006/relationships" ref="E143" r:id="rId138"/>
    <hyperlink xmlns:r="http://schemas.openxmlformats.org/officeDocument/2006/relationships" ref="E144" r:id="rId139"/>
    <hyperlink xmlns:r="http://schemas.openxmlformats.org/officeDocument/2006/relationships" ref="E145" r:id="rId140"/>
    <hyperlink xmlns:r="http://schemas.openxmlformats.org/officeDocument/2006/relationships" ref="E146" r:id="rId141"/>
    <hyperlink xmlns:r="http://schemas.openxmlformats.org/officeDocument/2006/relationships" ref="E147" r:id="rId142"/>
    <hyperlink xmlns:r="http://schemas.openxmlformats.org/officeDocument/2006/relationships" ref="E148" r:id="rId143"/>
    <hyperlink xmlns:r="http://schemas.openxmlformats.org/officeDocument/2006/relationships" ref="E149" r:id="rId144"/>
    <hyperlink xmlns:r="http://schemas.openxmlformats.org/officeDocument/2006/relationships" ref="E150" r:id="rId145"/>
    <hyperlink xmlns:r="http://schemas.openxmlformats.org/officeDocument/2006/relationships" ref="E151" r:id="rId146"/>
    <hyperlink xmlns:r="http://schemas.openxmlformats.org/officeDocument/2006/relationships" ref="E152" r:id="rId147"/>
    <hyperlink xmlns:r="http://schemas.openxmlformats.org/officeDocument/2006/relationships" ref="E153" r:id="rId148"/>
    <hyperlink xmlns:r="http://schemas.openxmlformats.org/officeDocument/2006/relationships" ref="E154" r:id="rId149"/>
    <hyperlink xmlns:r="http://schemas.openxmlformats.org/officeDocument/2006/relationships" ref="E155" r:id="rId150"/>
    <hyperlink xmlns:r="http://schemas.openxmlformats.org/officeDocument/2006/relationships" ref="E156" r:id="rId151"/>
    <hyperlink xmlns:r="http://schemas.openxmlformats.org/officeDocument/2006/relationships" ref="E157" r:id="rId152"/>
    <hyperlink xmlns:r="http://schemas.openxmlformats.org/officeDocument/2006/relationships" ref="E158" r:id="rId153"/>
    <hyperlink xmlns:r="http://schemas.openxmlformats.org/officeDocument/2006/relationships" ref="E159" r:id="rId154"/>
    <hyperlink xmlns:r="http://schemas.openxmlformats.org/officeDocument/2006/relationships" ref="E160" r:id="rId155"/>
    <hyperlink xmlns:r="http://schemas.openxmlformats.org/officeDocument/2006/relationships" ref="E161" r:id="rId156"/>
    <hyperlink xmlns:r="http://schemas.openxmlformats.org/officeDocument/2006/relationships" ref="E162" r:id="rId157"/>
    <hyperlink xmlns:r="http://schemas.openxmlformats.org/officeDocument/2006/relationships" ref="E163" r:id="rId158"/>
    <hyperlink xmlns:r="http://schemas.openxmlformats.org/officeDocument/2006/relationships" ref="E164" r:id="rId159"/>
    <hyperlink xmlns:r="http://schemas.openxmlformats.org/officeDocument/2006/relationships" ref="E165" r:id="rId160"/>
    <hyperlink xmlns:r="http://schemas.openxmlformats.org/officeDocument/2006/relationships" ref="E166" r:id="rId161"/>
    <hyperlink xmlns:r="http://schemas.openxmlformats.org/officeDocument/2006/relationships" ref="E167" r:id="rId162"/>
    <hyperlink xmlns:r="http://schemas.openxmlformats.org/officeDocument/2006/relationships" ref="E168" r:id="rId163"/>
    <hyperlink xmlns:r="http://schemas.openxmlformats.org/officeDocument/2006/relationships" ref="E169" r:id="rId164"/>
    <hyperlink xmlns:r="http://schemas.openxmlformats.org/officeDocument/2006/relationships" ref="E170" r:id="rId165"/>
    <hyperlink xmlns:r="http://schemas.openxmlformats.org/officeDocument/2006/relationships" ref="E171" r:id="rId166"/>
    <hyperlink xmlns:r="http://schemas.openxmlformats.org/officeDocument/2006/relationships" ref="E172" r:id="rId167"/>
    <hyperlink xmlns:r="http://schemas.openxmlformats.org/officeDocument/2006/relationships" ref="E173" r:id="rId168"/>
    <hyperlink xmlns:r="http://schemas.openxmlformats.org/officeDocument/2006/relationships" ref="E174" r:id="rId169"/>
    <hyperlink xmlns:r="http://schemas.openxmlformats.org/officeDocument/2006/relationships" ref="E175" r:id="rId170"/>
    <hyperlink xmlns:r="http://schemas.openxmlformats.org/officeDocument/2006/relationships" ref="E176" r:id="rId171"/>
    <hyperlink xmlns:r="http://schemas.openxmlformats.org/officeDocument/2006/relationships" ref="E177" r:id="rId172"/>
    <hyperlink xmlns:r="http://schemas.openxmlformats.org/officeDocument/2006/relationships" ref="E178" r:id="rId173"/>
    <hyperlink xmlns:r="http://schemas.openxmlformats.org/officeDocument/2006/relationships" ref="E179" r:id="rId174"/>
    <hyperlink xmlns:r="http://schemas.openxmlformats.org/officeDocument/2006/relationships" ref="E180" r:id="rId175"/>
    <hyperlink xmlns:r="http://schemas.openxmlformats.org/officeDocument/2006/relationships" ref="E181" r:id="rId176"/>
    <hyperlink xmlns:r="http://schemas.openxmlformats.org/officeDocument/2006/relationships" ref="E182" r:id="rId177"/>
    <hyperlink xmlns:r="http://schemas.openxmlformats.org/officeDocument/2006/relationships" ref="E183" r:id="rId178"/>
    <hyperlink xmlns:r="http://schemas.openxmlformats.org/officeDocument/2006/relationships" ref="E184" r:id="rId179"/>
    <hyperlink xmlns:r="http://schemas.openxmlformats.org/officeDocument/2006/relationships" ref="E185" r:id="rId180"/>
    <hyperlink xmlns:r="http://schemas.openxmlformats.org/officeDocument/2006/relationships" ref="E186" r:id="rId181"/>
    <hyperlink xmlns:r="http://schemas.openxmlformats.org/officeDocument/2006/relationships" ref="E187" r:id="rId182"/>
    <hyperlink xmlns:r="http://schemas.openxmlformats.org/officeDocument/2006/relationships" ref="E188" r:id="rId183"/>
    <hyperlink xmlns:r="http://schemas.openxmlformats.org/officeDocument/2006/relationships" ref="E189" r:id="rId184"/>
    <hyperlink xmlns:r="http://schemas.openxmlformats.org/officeDocument/2006/relationships" ref="E190" r:id="rId185"/>
    <hyperlink xmlns:r="http://schemas.openxmlformats.org/officeDocument/2006/relationships" ref="E191" r:id="rId186"/>
    <hyperlink xmlns:r="http://schemas.openxmlformats.org/officeDocument/2006/relationships" ref="E192" r:id="rId187"/>
    <hyperlink xmlns:r="http://schemas.openxmlformats.org/officeDocument/2006/relationships" ref="E193" r:id="rId188"/>
    <hyperlink xmlns:r="http://schemas.openxmlformats.org/officeDocument/2006/relationships" ref="E194" r:id="rId189"/>
    <hyperlink xmlns:r="http://schemas.openxmlformats.org/officeDocument/2006/relationships" ref="E195" r:id="rId190"/>
    <hyperlink xmlns:r="http://schemas.openxmlformats.org/officeDocument/2006/relationships" ref="E196" r:id="rId191"/>
    <hyperlink xmlns:r="http://schemas.openxmlformats.org/officeDocument/2006/relationships" ref="E197" r:id="rId192"/>
    <hyperlink xmlns:r="http://schemas.openxmlformats.org/officeDocument/2006/relationships" ref="E198" r:id="rId193"/>
    <hyperlink xmlns:r="http://schemas.openxmlformats.org/officeDocument/2006/relationships" ref="E199" r:id="rId194"/>
    <hyperlink xmlns:r="http://schemas.openxmlformats.org/officeDocument/2006/relationships" ref="E200" r:id="rId195"/>
    <hyperlink xmlns:r="http://schemas.openxmlformats.org/officeDocument/2006/relationships" ref="E201" r:id="rId196"/>
    <hyperlink xmlns:r="http://schemas.openxmlformats.org/officeDocument/2006/relationships" ref="E202" r:id="rId197"/>
    <hyperlink xmlns:r="http://schemas.openxmlformats.org/officeDocument/2006/relationships" ref="E203" r:id="rId198"/>
    <hyperlink xmlns:r="http://schemas.openxmlformats.org/officeDocument/2006/relationships" ref="E204" r:id="rId199"/>
    <hyperlink xmlns:r="http://schemas.openxmlformats.org/officeDocument/2006/relationships" ref="E205" r:id="rId200"/>
    <hyperlink xmlns:r="http://schemas.openxmlformats.org/officeDocument/2006/relationships" ref="E206" r:id="rId201"/>
    <hyperlink xmlns:r="http://schemas.openxmlformats.org/officeDocument/2006/relationships" ref="E207" r:id="rId202"/>
    <hyperlink xmlns:r="http://schemas.openxmlformats.org/officeDocument/2006/relationships" ref="E208" r:id="rId203"/>
    <hyperlink xmlns:r="http://schemas.openxmlformats.org/officeDocument/2006/relationships" ref="E209" r:id="rId204"/>
    <hyperlink xmlns:r="http://schemas.openxmlformats.org/officeDocument/2006/relationships" ref="E210" r:id="rId205"/>
    <hyperlink xmlns:r="http://schemas.openxmlformats.org/officeDocument/2006/relationships" ref="E211" r:id="rId206"/>
    <hyperlink xmlns:r="http://schemas.openxmlformats.org/officeDocument/2006/relationships" ref="E212" r:id="rId207"/>
    <hyperlink xmlns:r="http://schemas.openxmlformats.org/officeDocument/2006/relationships" ref="E213" r:id="rId208"/>
    <hyperlink xmlns:r="http://schemas.openxmlformats.org/officeDocument/2006/relationships" ref="E214" r:id="rId209"/>
    <hyperlink xmlns:r="http://schemas.openxmlformats.org/officeDocument/2006/relationships" ref="E215" r:id="rId210"/>
    <hyperlink xmlns:r="http://schemas.openxmlformats.org/officeDocument/2006/relationships" ref="E216" r:id="rId211"/>
    <hyperlink xmlns:r="http://schemas.openxmlformats.org/officeDocument/2006/relationships" ref="E217" r:id="rId212"/>
    <hyperlink xmlns:r="http://schemas.openxmlformats.org/officeDocument/2006/relationships" ref="E218" r:id="rId213"/>
    <hyperlink xmlns:r="http://schemas.openxmlformats.org/officeDocument/2006/relationships" ref="E219" r:id="rId214"/>
    <hyperlink xmlns:r="http://schemas.openxmlformats.org/officeDocument/2006/relationships" ref="E220" r:id="rId215"/>
    <hyperlink xmlns:r="http://schemas.openxmlformats.org/officeDocument/2006/relationships" ref="E221" r:id="rId216"/>
    <hyperlink xmlns:r="http://schemas.openxmlformats.org/officeDocument/2006/relationships" ref="E222" r:id="rId217"/>
    <hyperlink xmlns:r="http://schemas.openxmlformats.org/officeDocument/2006/relationships" ref="E223" r:id="rId218"/>
    <hyperlink xmlns:r="http://schemas.openxmlformats.org/officeDocument/2006/relationships" ref="E224" r:id="rId219"/>
    <hyperlink xmlns:r="http://schemas.openxmlformats.org/officeDocument/2006/relationships" ref="E225" r:id="rId220"/>
    <hyperlink xmlns:r="http://schemas.openxmlformats.org/officeDocument/2006/relationships" ref="E226" r:id="rId221"/>
    <hyperlink xmlns:r="http://schemas.openxmlformats.org/officeDocument/2006/relationships" ref="E227" r:id="rId222"/>
    <hyperlink xmlns:r="http://schemas.openxmlformats.org/officeDocument/2006/relationships" ref="E228" r:id="rId223"/>
    <hyperlink xmlns:r="http://schemas.openxmlformats.org/officeDocument/2006/relationships" ref="E229" r:id="rId224"/>
    <hyperlink xmlns:r="http://schemas.openxmlformats.org/officeDocument/2006/relationships" ref="E230" r:id="rId225"/>
    <hyperlink xmlns:r="http://schemas.openxmlformats.org/officeDocument/2006/relationships" ref="E231" r:id="rId226"/>
    <hyperlink xmlns:r="http://schemas.openxmlformats.org/officeDocument/2006/relationships" ref="E232" r:id="rId227"/>
    <hyperlink xmlns:r="http://schemas.openxmlformats.org/officeDocument/2006/relationships" ref="E233" r:id="rId228"/>
    <hyperlink xmlns:r="http://schemas.openxmlformats.org/officeDocument/2006/relationships" ref="E234" r:id="rId229"/>
    <hyperlink xmlns:r="http://schemas.openxmlformats.org/officeDocument/2006/relationships" ref="E235" r:id="rId230"/>
    <hyperlink xmlns:r="http://schemas.openxmlformats.org/officeDocument/2006/relationships" ref="E236" r:id="rId231"/>
    <hyperlink xmlns:r="http://schemas.openxmlformats.org/officeDocument/2006/relationships" ref="E237" r:id="rId232"/>
    <hyperlink xmlns:r="http://schemas.openxmlformats.org/officeDocument/2006/relationships" ref="E238" r:id="rId233"/>
    <hyperlink xmlns:r="http://schemas.openxmlformats.org/officeDocument/2006/relationships" ref="E239" r:id="rId234"/>
    <hyperlink xmlns:r="http://schemas.openxmlformats.org/officeDocument/2006/relationships" ref="E240" r:id="rId235"/>
    <hyperlink xmlns:r="http://schemas.openxmlformats.org/officeDocument/2006/relationships" ref="E241" r:id="rId236"/>
    <hyperlink xmlns:r="http://schemas.openxmlformats.org/officeDocument/2006/relationships" ref="E242" r:id="rId237"/>
    <hyperlink xmlns:r="http://schemas.openxmlformats.org/officeDocument/2006/relationships" ref="E243" r:id="rId238"/>
    <hyperlink xmlns:r="http://schemas.openxmlformats.org/officeDocument/2006/relationships" ref="E244" r:id="rId239"/>
    <hyperlink xmlns:r="http://schemas.openxmlformats.org/officeDocument/2006/relationships" ref="E245" r:id="rId240"/>
    <hyperlink xmlns:r="http://schemas.openxmlformats.org/officeDocument/2006/relationships" ref="E246" r:id="rId241"/>
    <hyperlink xmlns:r="http://schemas.openxmlformats.org/officeDocument/2006/relationships" ref="E247" r:id="rId242"/>
    <hyperlink xmlns:r="http://schemas.openxmlformats.org/officeDocument/2006/relationships" ref="E248" r:id="rId243"/>
    <hyperlink xmlns:r="http://schemas.openxmlformats.org/officeDocument/2006/relationships" ref="E249" r:id="rId244"/>
    <hyperlink xmlns:r="http://schemas.openxmlformats.org/officeDocument/2006/relationships" ref="E250" r:id="rId245"/>
    <hyperlink xmlns:r="http://schemas.openxmlformats.org/officeDocument/2006/relationships" ref="E251" r:id="rId246"/>
    <hyperlink xmlns:r="http://schemas.openxmlformats.org/officeDocument/2006/relationships" ref="E252" r:id="rId247"/>
    <hyperlink xmlns:r="http://schemas.openxmlformats.org/officeDocument/2006/relationships" ref="E253" r:id="rId248"/>
    <hyperlink xmlns:r="http://schemas.openxmlformats.org/officeDocument/2006/relationships" ref="E254" r:id="rId249"/>
    <hyperlink xmlns:r="http://schemas.openxmlformats.org/officeDocument/2006/relationships" ref="E255" r:id="rId250"/>
  </hyperlinks>
  <pageMargins left="0.25" right="0.25" top="0.75" bottom="0.75" header="0.3" footer="0.3"/>
  <pageSetup orientation="landscape" paperSize="9" scale="49"/>
</worksheet>
</file>

<file path=xl/worksheets/sheet4.xml><?xml version="1.0" encoding="utf-8"?>
<worksheet xmlns="http://schemas.openxmlformats.org/spreadsheetml/2006/main">
  <sheetPr>
    <outlinePr summaryBelow="1" summaryRight="1"/>
    <pageSetUpPr fitToPage="1"/>
  </sheetPr>
  <dimension ref="A1:AV359"/>
  <sheetViews>
    <sheetView zoomScale="70" zoomScaleNormal="70" workbookViewId="0">
      <pane ySplit="4" topLeftCell="A5" activePane="bottomLeft" state="frozen"/>
      <selection pane="bottomLeft" activeCell="R31" sqref="R31"/>
    </sheetView>
  </sheetViews>
  <sheetFormatPr baseColWidth="8" defaultRowHeight="14"/>
  <cols>
    <col width="8.7265625" customWidth="1" style="159" min="1" max="1"/>
    <col width="7.81640625" bestFit="1" customWidth="1" style="9" min="2" max="2"/>
    <col width="9.453125" customWidth="1" style="10" min="3" max="3"/>
    <col width="9.453125" customWidth="1" style="159" min="4" max="4"/>
    <col width="33.453125" bestFit="1" customWidth="1" style="17" min="5" max="5"/>
    <col width="9.54296875" customWidth="1" style="21" min="6" max="6"/>
    <col width="7.81640625" customWidth="1" style="21" min="7" max="7"/>
    <col width="5.90625" customWidth="1" style="21" min="8" max="8"/>
    <col width="6.7265625" customWidth="1" style="134" min="9" max="9"/>
    <col width="13" customWidth="1" style="476" min="10" max="10"/>
    <col width="5.453125" customWidth="1" style="134" min="11" max="11"/>
    <col hidden="1" width="6.6328125" customWidth="1" style="134" min="12" max="12"/>
    <col hidden="1" width="5.08984375" customWidth="1" style="134" min="13" max="13"/>
    <col hidden="1" width="7.08984375" customWidth="1" style="134" min="14" max="14"/>
    <col hidden="1" width="6.6328125" customWidth="1" style="134" min="15" max="15"/>
    <col hidden="1" width="5" customWidth="1" style="134" min="16" max="16"/>
    <col width="11" bestFit="1" customWidth="1" style="152" min="17" max="17"/>
    <col width="13" customWidth="1" style="476" min="18" max="18"/>
    <col width="9.81640625" customWidth="1" style="134" min="19" max="19"/>
    <col width="9.81640625" bestFit="1" customWidth="1" style="134" min="20" max="20"/>
    <col width="9.6328125" bestFit="1" customWidth="1" style="134" min="21" max="21"/>
    <col width="13" customWidth="1" style="476" min="22" max="22"/>
    <col width="6.90625" bestFit="1" customWidth="1" style="151" min="23" max="23"/>
    <col width="3.90625" bestFit="1" customWidth="1" style="134" min="24" max="24"/>
    <col width="13" customWidth="1" style="476" min="25" max="25"/>
    <col width="5.7265625" customWidth="1" style="134" min="26" max="26"/>
    <col width="9.81640625" bestFit="1" customWidth="1" style="159" min="27" max="27"/>
    <col width="10.26953125" customWidth="1" style="159" min="28" max="28"/>
    <col width="5.90625" bestFit="1" customWidth="1" style="159" min="29" max="29"/>
    <col width="9.81640625" bestFit="1" customWidth="1" style="476" min="30" max="30"/>
    <col width="13" customWidth="1" style="476" min="31" max="32"/>
    <col width="7.81640625" bestFit="1" customWidth="1" style="476" min="33" max="33"/>
    <col width="9.81640625" bestFit="1" customWidth="1" style="11" min="34" max="34"/>
    <col width="9.81640625" bestFit="1" customWidth="1" style="476" min="35" max="35"/>
    <col width="13" customWidth="1" style="476" min="36" max="36"/>
    <col width="7.81640625" bestFit="1" customWidth="1" style="137" min="37" max="37"/>
    <col width="13" customWidth="1" style="476" min="38" max="38"/>
    <col width="8.7265625" customWidth="1" style="2" min="39" max="39"/>
    <col width="11.1796875" customWidth="1" style="1" min="40" max="40"/>
    <col width="8.7265625" customWidth="1" style="458" min="41" max="41"/>
    <col width="13" customWidth="1" style="476" min="42" max="47"/>
    <col width="8.453125" bestFit="1" customWidth="1" style="476" min="48" max="48"/>
    <col width="8.7265625" customWidth="1" style="458" min="49" max="67"/>
    <col width="8.7265625" customWidth="1" style="458" min="68" max="16384"/>
  </cols>
  <sheetData>
    <row r="1">
      <c r="B1" s="12" t="inlineStr">
        <is>
          <t>상</t>
        </is>
      </c>
      <c r="C1" s="13" t="inlineStr">
        <is>
          <t>중</t>
        </is>
      </c>
      <c r="D1" s="160" t="n"/>
      <c r="AH1" s="458" t="n"/>
      <c r="AM1" s="236" t="n"/>
    </row>
    <row r="2">
      <c r="B2" s="12" t="inlineStr">
        <is>
          <t>하</t>
        </is>
      </c>
      <c r="C2" s="12" t="n"/>
      <c r="AH2" s="458" t="n"/>
      <c r="AM2" s="236" t="n"/>
    </row>
    <row r="3" ht="20" customHeight="1" s="476">
      <c r="A3" s="159" t="n">
        <v>84</v>
      </c>
      <c r="B3" s="444" t="inlineStr">
        <is>
          <t>선호도</t>
        </is>
      </c>
      <c r="C3" s="445" t="n"/>
      <c r="D3" s="72" t="n"/>
      <c r="E3" s="73" t="inlineStr">
        <is>
          <t>단지정보 (30평)</t>
        </is>
      </c>
      <c r="F3" s="443" t="n"/>
      <c r="G3" s="443" t="n"/>
      <c r="H3" s="443" t="n"/>
      <c r="I3" s="443" t="n"/>
      <c r="J3" s="443" t="n"/>
      <c r="K3" s="443" t="n"/>
      <c r="L3" s="443" t="n"/>
      <c r="M3" s="443" t="n"/>
      <c r="N3" s="443" t="n"/>
      <c r="O3" s="443" t="n"/>
      <c r="P3" s="443" t="n"/>
      <c r="Q3" s="153" t="n"/>
      <c r="R3" s="153" t="n"/>
      <c r="S3" s="443" t="n"/>
      <c r="T3" s="443" t="n"/>
      <c r="U3" s="443" t="n"/>
      <c r="V3" s="443" t="n"/>
      <c r="W3" s="443" t="n"/>
      <c r="X3" s="443" t="n"/>
      <c r="Y3" s="443" t="n"/>
      <c r="Z3" s="443" t="n"/>
      <c r="AA3" s="443" t="n"/>
      <c r="AB3" s="443" t="n"/>
      <c r="AC3" s="443" t="n"/>
      <c r="AD3" s="443" t="n"/>
      <c r="AE3" s="443" t="n"/>
      <c r="AF3" s="443" t="n"/>
      <c r="AG3" s="443" t="n"/>
      <c r="AH3" s="446" t="inlineStr">
        <is>
          <t>투자결과</t>
        </is>
      </c>
      <c r="AI3" s="443" t="n"/>
      <c r="AJ3" s="443" t="n"/>
      <c r="AK3" s="443" t="n"/>
      <c r="AL3" s="445" t="n"/>
    </row>
    <row r="4" ht="17.5" customHeight="1" s="476" thickBot="1">
      <c r="B4" s="9" t="inlineStr">
        <is>
          <t>생활권</t>
        </is>
      </c>
      <c r="C4" s="10" t="inlineStr">
        <is>
          <t>생활권 내</t>
        </is>
      </c>
      <c r="D4" s="458" t="inlineStr">
        <is>
          <t>단지코드</t>
        </is>
      </c>
      <c r="E4" s="458" t="inlineStr">
        <is>
          <t>단지명</t>
        </is>
      </c>
      <c r="F4" s="458" t="inlineStr">
        <is>
          <t>사용승인일</t>
        </is>
      </c>
      <c r="G4" s="458" t="inlineStr">
        <is>
          <t>총세대수</t>
        </is>
      </c>
      <c r="H4" s="22" t="inlineStr">
        <is>
          <t>나이</t>
        </is>
      </c>
      <c r="I4" s="68" t="inlineStr">
        <is>
          <t>타입</t>
        </is>
      </c>
      <c r="J4" s="68" t="inlineStr">
        <is>
          <t>공급면적</t>
        </is>
      </c>
      <c r="K4" s="116" t="inlineStr">
        <is>
          <t>전용면적</t>
        </is>
      </c>
      <c r="L4" s="116" t="inlineStr">
        <is>
          <t>평형</t>
        </is>
      </c>
      <c r="M4" s="458" t="inlineStr">
        <is>
          <t>구조</t>
        </is>
      </c>
      <c r="N4" s="458" t="inlineStr">
        <is>
          <t>방수</t>
        </is>
      </c>
      <c r="O4" s="458" t="inlineStr">
        <is>
          <t>욕실수</t>
        </is>
      </c>
      <c r="P4" s="458" t="inlineStr">
        <is>
          <t>평형별 세대수</t>
        </is>
      </c>
      <c r="Q4" s="154" t="inlineStr">
        <is>
          <t>매</t>
        </is>
      </c>
      <c r="R4" s="154" t="inlineStr">
        <is>
          <t>전</t>
        </is>
      </c>
      <c r="S4" s="116" t="inlineStr">
        <is>
          <t>차</t>
        </is>
      </c>
      <c r="T4" s="116" t="inlineStr">
        <is>
          <t>전세가율</t>
        </is>
      </c>
      <c r="U4" s="116" t="inlineStr">
        <is>
          <t>전고</t>
        </is>
      </c>
      <c r="V4" s="116" t="inlineStr">
        <is>
          <t>전저</t>
        </is>
      </c>
      <c r="W4" s="57" t="inlineStr">
        <is>
          <t>계/복</t>
        </is>
      </c>
      <c r="X4" s="116" t="inlineStr">
        <is>
          <t>방</t>
        </is>
      </c>
      <c r="Y4" s="116" t="inlineStr">
        <is>
          <t>화</t>
        </is>
      </c>
      <c r="Z4" s="116" t="inlineStr">
        <is>
          <t>면적세대수</t>
        </is>
      </c>
      <c r="AA4" s="159" t="inlineStr">
        <is>
          <t>시기(년)</t>
        </is>
      </c>
      <c r="AB4" s="236" t="inlineStr">
        <is>
          <t>(전세가율80%이상인)기간</t>
        </is>
      </c>
      <c r="AC4" s="159" t="inlineStr">
        <is>
          <t>평형</t>
        </is>
      </c>
      <c r="AD4" s="159" t="inlineStr">
        <is>
          <t>매매가</t>
        </is>
      </c>
      <c r="AE4" s="159" t="inlineStr">
        <is>
          <t>전세가</t>
        </is>
      </c>
      <c r="AF4" s="159" t="inlineStr">
        <is>
          <t>전세가율</t>
        </is>
      </c>
      <c r="AG4" s="24" t="inlineStr">
        <is>
          <t>투자금</t>
        </is>
      </c>
      <c r="AH4" s="9" t="inlineStr">
        <is>
          <t>시기(년)</t>
        </is>
      </c>
      <c r="AI4" s="9" t="inlineStr">
        <is>
          <t>매매가</t>
        </is>
      </c>
      <c r="AJ4" s="9" t="inlineStr">
        <is>
          <t>수익금</t>
        </is>
      </c>
      <c r="AK4" s="25" t="inlineStr">
        <is>
          <t>상승율</t>
        </is>
      </c>
      <c r="AL4" s="26" t="inlineStr">
        <is>
          <t>수익율</t>
        </is>
      </c>
      <c r="AN4" s="14" t="n"/>
    </row>
    <row r="5" ht="18" customHeight="1" s="476">
      <c r="A5" s="123" t="inlineStr">
        <is>
          <t>대연동</t>
        </is>
      </c>
      <c r="B5" s="96" t="n"/>
      <c r="C5" s="96" t="n"/>
      <c r="D5" s="494" t="n">
        <v>4526</v>
      </c>
      <c r="E5" s="124" t="inlineStr">
        <is>
          <t>대우그린1차</t>
        </is>
      </c>
      <c r="F5" s="125" t="n">
        <v>1997.09</v>
      </c>
      <c r="G5" s="125" t="n">
        <v>691</v>
      </c>
      <c r="H5" s="126">
        <f>2026-F5+1</f>
        <v/>
      </c>
      <c r="I5" s="127" t="n"/>
      <c r="J5" s="105" t="n">
        <v>83</v>
      </c>
      <c r="K5" s="105" t="n">
        <v>59</v>
      </c>
      <c r="L5" s="125" t="n">
        <v>25</v>
      </c>
      <c r="M5" s="125" t="inlineStr">
        <is>
          <t>복도식</t>
        </is>
      </c>
      <c r="N5" s="125" t="n">
        <v>3</v>
      </c>
      <c r="O5" s="125" t="n">
        <v>1</v>
      </c>
      <c r="P5" s="125" t="n">
        <v>263</v>
      </c>
      <c r="Q5" s="155" t="n">
        <v>145000</v>
      </c>
      <c r="R5" s="155" t="n"/>
      <c r="S5" s="581">
        <f>Q5-R5</f>
        <v/>
      </c>
      <c r="T5" s="71">
        <f>R5/Q5</f>
        <v/>
      </c>
      <c r="U5" s="139" t="n">
        <v>19250</v>
      </c>
      <c r="V5" s="140" t="n">
        <v>17300</v>
      </c>
      <c r="W5" s="147" t="n"/>
      <c r="X5" s="148" t="n"/>
      <c r="Y5" s="148" t="n"/>
      <c r="Z5" s="148" t="n"/>
      <c r="AA5" s="99" t="n"/>
      <c r="AB5" s="99" t="n"/>
      <c r="AC5" s="99" t="n"/>
      <c r="AD5" s="99" t="n"/>
      <c r="AE5" s="99" t="n"/>
      <c r="AF5" s="99" t="n"/>
      <c r="AG5" s="100" t="n"/>
      <c r="AH5" s="33" t="n"/>
      <c r="AI5" s="149" t="n"/>
      <c r="AJ5" s="149" t="n"/>
      <c r="AK5" s="129" t="n"/>
      <c r="AL5" s="131" t="n"/>
      <c r="AM5" s="289" t="n"/>
      <c r="AN5" s="289" t="n"/>
      <c r="AV5" s="289" t="n"/>
    </row>
    <row r="6">
      <c r="A6" s="458" t="inlineStr">
        <is>
          <t>대연동</t>
        </is>
      </c>
      <c r="D6" s="458" t="n">
        <v>161501</v>
      </c>
      <c r="E6" s="113" t="inlineStr">
        <is>
          <t>더비치푸르지오써밋</t>
        </is>
      </c>
      <c r="F6" s="458" t="n">
        <v>2025.05</v>
      </c>
      <c r="G6" s="458" t="n">
        <v>1384</v>
      </c>
      <c r="H6" s="458">
        <f>2026-F6+1</f>
        <v/>
      </c>
      <c r="K6" s="458" t="n">
        <v>84</v>
      </c>
      <c r="M6" s="458" t="inlineStr">
        <is>
          <t>계단식</t>
        </is>
      </c>
      <c r="N6" s="458" t="n">
        <v>3</v>
      </c>
      <c r="O6" s="458" t="n">
        <v>2</v>
      </c>
      <c r="P6" s="458" t="n">
        <v>438</v>
      </c>
      <c r="Q6" s="152" t="n">
        <v>145000</v>
      </c>
      <c r="R6" s="152" t="n">
        <v>79000</v>
      </c>
      <c r="S6" s="581">
        <f>Q6-R6</f>
        <v/>
      </c>
      <c r="T6" s="71">
        <f>R6/Q6</f>
        <v/>
      </c>
    </row>
    <row r="7">
      <c r="A7" s="458" t="inlineStr">
        <is>
          <t>대연동</t>
        </is>
      </c>
      <c r="D7" s="458" t="n">
        <v>161501</v>
      </c>
      <c r="E7" s="113" t="inlineStr">
        <is>
          <t>더비치푸르지오써밋</t>
        </is>
      </c>
      <c r="F7" s="458" t="n">
        <v>2025.05</v>
      </c>
      <c r="G7" s="458" t="n">
        <v>1384</v>
      </c>
      <c r="H7" s="458">
        <f>2026-F7+1</f>
        <v/>
      </c>
      <c r="J7" s="458" t="n">
        <v>101</v>
      </c>
      <c r="K7" s="458" t="n">
        <v>76</v>
      </c>
      <c r="L7" s="458" t="n">
        <v>31</v>
      </c>
      <c r="M7" s="458" t="inlineStr">
        <is>
          <t>계단식</t>
        </is>
      </c>
      <c r="N7" s="458" t="n">
        <v>3</v>
      </c>
      <c r="O7" s="458" t="n">
        <v>2</v>
      </c>
      <c r="P7" s="458" t="n">
        <v>156</v>
      </c>
      <c r="Q7" s="152" t="n">
        <v>130000</v>
      </c>
      <c r="R7" s="152" t="n">
        <v>65000</v>
      </c>
      <c r="S7" s="581">
        <f>Q7-R7</f>
        <v/>
      </c>
      <c r="T7" s="71">
        <f>R7/Q7</f>
        <v/>
      </c>
    </row>
    <row r="8">
      <c r="A8" s="458" t="inlineStr">
        <is>
          <t>대연동</t>
        </is>
      </c>
      <c r="D8" s="458" t="n">
        <v>161501</v>
      </c>
      <c r="E8" s="113" t="inlineStr">
        <is>
          <t>더비치푸르지오써밋</t>
        </is>
      </c>
      <c r="F8" s="458" t="n">
        <v>2025.05</v>
      </c>
      <c r="G8" s="458" t="n">
        <v>1384</v>
      </c>
      <c r="H8" s="458">
        <f>2026-F8+1</f>
        <v/>
      </c>
      <c r="K8" s="458" t="n">
        <v>59</v>
      </c>
      <c r="M8" s="458" t="inlineStr">
        <is>
          <t>계단식</t>
        </is>
      </c>
      <c r="N8" s="458" t="n">
        <v>3</v>
      </c>
      <c r="O8" s="458" t="n">
        <v>2</v>
      </c>
      <c r="P8" s="458" t="n">
        <v>556</v>
      </c>
      <c r="Q8" s="152" t="n">
        <v>105000</v>
      </c>
      <c r="R8" s="152" t="n">
        <v>50000</v>
      </c>
      <c r="S8" s="581">
        <f>Q8-R8</f>
        <v/>
      </c>
      <c r="T8" s="71">
        <f>R8/Q8</f>
        <v/>
      </c>
    </row>
    <row r="9">
      <c r="A9" s="458" t="inlineStr">
        <is>
          <t>대연동</t>
        </is>
      </c>
      <c r="D9" s="458" t="n">
        <v>105323</v>
      </c>
      <c r="E9" s="113" t="inlineStr">
        <is>
          <t>대연힐스테이트푸르지오</t>
        </is>
      </c>
      <c r="F9" s="458" t="n">
        <v>2013.05</v>
      </c>
      <c r="G9" s="458" t="n">
        <v>2100</v>
      </c>
      <c r="H9" s="458">
        <f>2026-F9+1</f>
        <v/>
      </c>
      <c r="K9" s="458" t="n">
        <v>84</v>
      </c>
      <c r="M9" s="458" t="inlineStr">
        <is>
          <t>계단식</t>
        </is>
      </c>
      <c r="N9" s="458" t="n">
        <v>3</v>
      </c>
      <c r="O9" s="458" t="n">
        <v>2</v>
      </c>
      <c r="P9" s="458" t="n">
        <v>1060</v>
      </c>
      <c r="Q9" s="152" t="n">
        <v>95000</v>
      </c>
      <c r="R9" s="152" t="n">
        <v>55000</v>
      </c>
      <c r="S9" s="581">
        <f>Q9-R9</f>
        <v/>
      </c>
      <c r="T9" s="71">
        <f>R9/Q9</f>
        <v/>
      </c>
      <c r="U9" s="458" t="n">
        <v>111000</v>
      </c>
      <c r="V9" s="458" t="n">
        <v>61500</v>
      </c>
    </row>
    <row r="10">
      <c r="A10" s="494" t="inlineStr">
        <is>
          <t>대연동</t>
        </is>
      </c>
      <c r="B10" s="289" t="n"/>
      <c r="C10" s="289" t="n"/>
      <c r="D10" s="494" t="n">
        <v>110738</v>
      </c>
      <c r="E10" s="150" t="inlineStr">
        <is>
          <t>대연SK뷰힐스</t>
        </is>
      </c>
      <c r="F10" s="494" t="n">
        <v>2018.07</v>
      </c>
      <c r="G10" s="494" t="n">
        <v>994</v>
      </c>
      <c r="H10" s="494">
        <f>2026-F10+1</f>
        <v/>
      </c>
      <c r="I10" s="289" t="n"/>
      <c r="J10" s="289" t="n"/>
      <c r="K10" s="494" t="n">
        <v>84</v>
      </c>
      <c r="L10" s="289" t="n"/>
      <c r="M10" s="494" t="inlineStr">
        <is>
          <t>계단식</t>
        </is>
      </c>
      <c r="N10" s="494" t="n">
        <v>3</v>
      </c>
      <c r="O10" s="494" t="n">
        <v>2</v>
      </c>
      <c r="P10" s="494" t="n">
        <v>614</v>
      </c>
      <c r="Q10" s="156" t="n">
        <v>92000</v>
      </c>
      <c r="R10" s="156" t="n">
        <v>50000</v>
      </c>
      <c r="S10" s="581">
        <f>Q10-R10</f>
        <v/>
      </c>
      <c r="T10" s="71">
        <f>R10/Q10</f>
        <v/>
      </c>
      <c r="U10" s="289" t="n">
        <v>96000</v>
      </c>
      <c r="V10" s="289" t="n">
        <v>43600</v>
      </c>
      <c r="AA10" s="289" t="n"/>
      <c r="AB10" s="289" t="n"/>
      <c r="AC10" s="289" t="n"/>
      <c r="AD10" s="289" t="n"/>
      <c r="AE10" s="289" t="n"/>
      <c r="AF10" s="289" t="n"/>
      <c r="AG10" s="289" t="n"/>
      <c r="AK10" s="289" t="n"/>
      <c r="AL10" s="289" t="n"/>
      <c r="AM10" s="289" t="n"/>
      <c r="AN10" s="289" t="n"/>
      <c r="AV10" s="289" t="n"/>
    </row>
    <row r="11">
      <c r="A11" s="458" t="inlineStr">
        <is>
          <t>대연동</t>
        </is>
      </c>
      <c r="B11" s="159" t="n"/>
      <c r="C11" s="159" t="n"/>
      <c r="D11" s="458" t="n">
        <v>113686</v>
      </c>
      <c r="E11" s="113" t="inlineStr">
        <is>
          <t>대연자이</t>
        </is>
      </c>
      <c r="F11" s="458" t="n">
        <v>2019.03</v>
      </c>
      <c r="G11" s="458" t="n">
        <v>965</v>
      </c>
      <c r="H11" s="458">
        <f>2026-F11+1</f>
        <v/>
      </c>
      <c r="K11" s="458" t="n">
        <v>84</v>
      </c>
      <c r="M11" s="458" t="inlineStr">
        <is>
          <t>계단식</t>
        </is>
      </c>
      <c r="N11" s="458" t="n">
        <v>4</v>
      </c>
      <c r="O11" s="458" t="n">
        <v>2</v>
      </c>
      <c r="P11" s="458" t="n">
        <v>160</v>
      </c>
      <c r="Q11" s="152" t="n">
        <v>90000</v>
      </c>
      <c r="R11" s="152" t="n">
        <v>43500</v>
      </c>
      <c r="S11" s="581">
        <f>Q11-R11</f>
        <v/>
      </c>
      <c r="T11" s="71">
        <f>R11/Q11</f>
        <v/>
      </c>
      <c r="U11" s="458" t="n">
        <v>107200</v>
      </c>
      <c r="V11" s="458" t="n">
        <v>73500</v>
      </c>
      <c r="AM11" s="236" t="n"/>
    </row>
    <row r="12">
      <c r="A12" s="494" t="inlineStr">
        <is>
          <t>용호동</t>
        </is>
      </c>
      <c r="B12" s="289" t="n"/>
      <c r="C12" s="289" t="n"/>
      <c r="D12" s="494" t="n">
        <v>22443</v>
      </c>
      <c r="E12" s="133" t="inlineStr">
        <is>
          <t>GS하이츠자이</t>
        </is>
      </c>
      <c r="F12" s="494" t="n">
        <v>2008.04</v>
      </c>
      <c r="G12" s="494" t="n">
        <v>1149</v>
      </c>
      <c r="H12" s="494">
        <f>2026-F12+1</f>
        <v/>
      </c>
      <c r="I12" s="289" t="n"/>
      <c r="J12" s="289" t="n"/>
      <c r="K12" s="494" t="n">
        <v>84</v>
      </c>
      <c r="L12" s="289" t="n"/>
      <c r="M12" s="494" t="inlineStr">
        <is>
          <t>계단식</t>
        </is>
      </c>
      <c r="N12" s="494" t="n">
        <v>3</v>
      </c>
      <c r="O12" s="494" t="n">
        <v>2</v>
      </c>
      <c r="P12" s="494" t="n">
        <v>290</v>
      </c>
      <c r="Q12" s="156" t="n">
        <v>87000</v>
      </c>
      <c r="R12" s="156" t="n">
        <v>50000</v>
      </c>
      <c r="S12" s="581">
        <f>Q12-R12</f>
        <v/>
      </c>
      <c r="T12" s="71">
        <f>R12/Q12</f>
        <v/>
      </c>
      <c r="U12" s="289" t="n">
        <v>99000</v>
      </c>
      <c r="V12" s="289" t="n">
        <v>70000</v>
      </c>
      <c r="AA12" s="289" t="n"/>
      <c r="AB12" s="289" t="n"/>
      <c r="AC12" s="289" t="n"/>
      <c r="AD12" s="289" t="n"/>
      <c r="AE12" s="289" t="n"/>
      <c r="AF12" s="289" t="n"/>
      <c r="AG12" s="289" t="n"/>
      <c r="AK12" s="289" t="n"/>
      <c r="AL12" s="289" t="n"/>
      <c r="AM12" s="289" t="n"/>
      <c r="AN12" s="289" t="n"/>
      <c r="AV12" s="289" t="n"/>
    </row>
    <row r="13">
      <c r="A13" s="494" t="inlineStr">
        <is>
          <t>대연동</t>
        </is>
      </c>
      <c r="B13" s="88" t="n"/>
      <c r="C13" s="89" t="n"/>
      <c r="D13" s="494" t="n">
        <v>110738</v>
      </c>
      <c r="E13" s="150" t="inlineStr">
        <is>
          <t>대연SK뷰힐스</t>
        </is>
      </c>
      <c r="F13" s="494" t="n">
        <v>2018.07</v>
      </c>
      <c r="G13" s="494" t="n">
        <v>994</v>
      </c>
      <c r="H13" s="494">
        <f>2026-F13+1</f>
        <v/>
      </c>
      <c r="I13" s="289" t="n"/>
      <c r="J13" s="494" t="n">
        <v>98</v>
      </c>
      <c r="K13" s="494" t="n">
        <v>74</v>
      </c>
      <c r="L13" s="494" t="n">
        <v>30</v>
      </c>
      <c r="M13" s="494" t="inlineStr">
        <is>
          <t>계단식</t>
        </is>
      </c>
      <c r="N13" s="494" t="n">
        <v>3</v>
      </c>
      <c r="O13" s="494" t="n">
        <v>2</v>
      </c>
      <c r="P13" s="494" t="n">
        <v>72</v>
      </c>
      <c r="Q13" s="156" t="n">
        <v>84000</v>
      </c>
      <c r="R13" s="156" t="n">
        <v>45000</v>
      </c>
      <c r="S13" s="581">
        <f>Q13-R13</f>
        <v/>
      </c>
      <c r="T13" s="71">
        <f>R13/Q13</f>
        <v/>
      </c>
      <c r="U13" s="289" t="n">
        <v>72700</v>
      </c>
      <c r="V13" s="289" t="n">
        <v>39000</v>
      </c>
      <c r="AA13" s="289" t="n"/>
      <c r="AB13" s="289" t="n"/>
      <c r="AC13" s="289" t="n"/>
      <c r="AD13" s="289" t="n"/>
      <c r="AE13" s="289" t="n"/>
      <c r="AF13" s="289" t="n"/>
      <c r="AG13" s="289" t="n"/>
      <c r="AK13" s="289" t="n"/>
      <c r="AL13" s="289" t="n"/>
      <c r="AM13" s="88" t="n"/>
      <c r="AN13" s="289" t="n"/>
      <c r="AV13" s="289" t="n"/>
    </row>
    <row r="14">
      <c r="A14" s="458" t="inlineStr">
        <is>
          <t>대연동</t>
        </is>
      </c>
      <c r="D14" s="458" t="n">
        <v>145347</v>
      </c>
      <c r="E14" s="113" t="inlineStr">
        <is>
          <t>힐스테이트대연센트럴</t>
        </is>
      </c>
      <c r="F14" s="458" t="n">
        <v>2024.05</v>
      </c>
      <c r="G14" s="458" t="n">
        <v>449</v>
      </c>
      <c r="H14" s="458">
        <f>2026-F14+1</f>
        <v/>
      </c>
      <c r="K14" s="458" t="n">
        <v>84</v>
      </c>
      <c r="M14" s="458" t="inlineStr">
        <is>
          <t>계단식</t>
        </is>
      </c>
      <c r="N14" s="458" t="n">
        <v>3</v>
      </c>
      <c r="O14" s="458" t="n">
        <v>2</v>
      </c>
      <c r="P14" s="458" t="n">
        <v>109</v>
      </c>
      <c r="Q14" s="152" t="n">
        <v>82500</v>
      </c>
      <c r="R14" s="152" t="n">
        <v>52500</v>
      </c>
      <c r="S14" s="581">
        <f>Q14-R14</f>
        <v/>
      </c>
      <c r="T14" s="71">
        <f>R14/Q14</f>
        <v/>
      </c>
    </row>
    <row r="15">
      <c r="A15" s="458" t="inlineStr">
        <is>
          <t>대연동</t>
        </is>
      </c>
      <c r="B15" s="159" t="n"/>
      <c r="C15" s="159" t="n"/>
      <c r="D15" s="458" t="n">
        <v>113686</v>
      </c>
      <c r="E15" s="113" t="inlineStr">
        <is>
          <t>대연자이</t>
        </is>
      </c>
      <c r="F15" s="458" t="n">
        <v>2019.03</v>
      </c>
      <c r="G15" s="458" t="n">
        <v>965</v>
      </c>
      <c r="H15" s="458">
        <f>2026-F15+1</f>
        <v/>
      </c>
      <c r="J15" s="458" t="n">
        <v>95</v>
      </c>
      <c r="K15" s="458" t="n">
        <v>72</v>
      </c>
      <c r="L15" s="458" t="n">
        <v>29</v>
      </c>
      <c r="M15" s="458" t="inlineStr">
        <is>
          <t>계단식</t>
        </is>
      </c>
      <c r="N15" s="458" t="n">
        <v>3</v>
      </c>
      <c r="O15" s="458" t="n">
        <v>2</v>
      </c>
      <c r="P15" s="458" t="n">
        <v>54</v>
      </c>
      <c r="Q15" s="152" t="n">
        <v>82000</v>
      </c>
      <c r="R15" s="152" t="n">
        <v>43000</v>
      </c>
      <c r="S15" s="581">
        <f>Q15-R15</f>
        <v/>
      </c>
      <c r="T15" s="71">
        <f>R15/Q15</f>
        <v/>
      </c>
      <c r="U15" s="458" t="n">
        <v>90500</v>
      </c>
      <c r="V15" s="458" t="n">
        <v>65000</v>
      </c>
      <c r="AM15" s="236" t="n"/>
    </row>
    <row r="16">
      <c r="A16" s="458" t="inlineStr">
        <is>
          <t>대연동</t>
        </is>
      </c>
      <c r="B16" s="159" t="n"/>
      <c r="C16" s="159" t="n"/>
      <c r="D16" s="458" t="n">
        <v>105323</v>
      </c>
      <c r="E16" s="146" t="inlineStr">
        <is>
          <t>대연힐스테이트푸르지오</t>
        </is>
      </c>
      <c r="F16" s="458" t="n">
        <v>2013.05</v>
      </c>
      <c r="G16" s="458" t="n">
        <v>2100</v>
      </c>
      <c r="H16" s="458">
        <f>2026-F16+1</f>
        <v/>
      </c>
      <c r="J16" s="458" t="n">
        <v>80</v>
      </c>
      <c r="K16" s="458" t="n">
        <v>59</v>
      </c>
      <c r="L16" s="458" t="n">
        <v>24</v>
      </c>
      <c r="M16" s="458" t="inlineStr">
        <is>
          <t>계단식</t>
        </is>
      </c>
      <c r="N16" s="458" t="n">
        <v>3</v>
      </c>
      <c r="O16" s="458" t="n">
        <v>2</v>
      </c>
      <c r="P16" s="458" t="n">
        <v>93</v>
      </c>
      <c r="Q16" s="152" t="n">
        <v>79000</v>
      </c>
      <c r="R16" s="152" t="n">
        <v>39000</v>
      </c>
      <c r="S16" s="581">
        <f>Q16-R16</f>
        <v/>
      </c>
      <c r="T16" s="71">
        <f>R16/Q16</f>
        <v/>
      </c>
      <c r="U16" s="458" t="n">
        <v>75100</v>
      </c>
      <c r="V16" s="458" t="n">
        <v>58000</v>
      </c>
      <c r="AM16" s="236" t="n"/>
    </row>
    <row r="17">
      <c r="A17" s="458" t="inlineStr">
        <is>
          <t>대연동</t>
        </is>
      </c>
      <c r="B17" s="159" t="n"/>
      <c r="C17" s="159" t="n"/>
      <c r="D17" s="458" t="n">
        <v>145347</v>
      </c>
      <c r="E17" s="113" t="inlineStr">
        <is>
          <t>힐스테이트대연센트럴</t>
        </is>
      </c>
      <c r="F17" s="458" t="n">
        <v>2024.05</v>
      </c>
      <c r="G17" s="458" t="n">
        <v>449</v>
      </c>
      <c r="H17" s="458">
        <f>2026-F17+1</f>
        <v/>
      </c>
      <c r="K17" s="458" t="n">
        <v>74</v>
      </c>
      <c r="M17" s="458" t="inlineStr">
        <is>
          <t>계단식</t>
        </is>
      </c>
      <c r="N17" s="458" t="n">
        <v>3</v>
      </c>
      <c r="O17" s="458" t="n">
        <v>2</v>
      </c>
      <c r="P17" s="458" t="n">
        <v>177</v>
      </c>
      <c r="Q17" s="152" t="n">
        <v>77000</v>
      </c>
      <c r="R17" s="152" t="n">
        <v>42000</v>
      </c>
      <c r="S17" s="581">
        <f>Q17-R17</f>
        <v/>
      </c>
      <c r="T17" s="71">
        <f>R17/Q17</f>
        <v/>
      </c>
      <c r="AM17" s="236" t="n"/>
    </row>
    <row r="18">
      <c r="A18" s="458" t="inlineStr">
        <is>
          <t>문현동</t>
        </is>
      </c>
      <c r="B18" s="159" t="n"/>
      <c r="C18" s="159" t="n"/>
      <c r="D18" s="458" t="n">
        <v>114815</v>
      </c>
      <c r="E18" s="113" t="inlineStr">
        <is>
          <t>문현경동리인1단지</t>
        </is>
      </c>
      <c r="F18" s="458" t="n">
        <v>2020.07</v>
      </c>
      <c r="G18" s="458" t="n">
        <v>469</v>
      </c>
      <c r="H18" s="458">
        <f>2026-F18+1</f>
        <v/>
      </c>
      <c r="K18" s="458" t="n">
        <v>84</v>
      </c>
      <c r="M18" s="458" t="inlineStr">
        <is>
          <t>계단식</t>
        </is>
      </c>
      <c r="N18" s="458" t="n">
        <v>3</v>
      </c>
      <c r="O18" s="458" t="n">
        <v>2</v>
      </c>
      <c r="P18" s="458" t="n">
        <v>182</v>
      </c>
      <c r="Q18" s="152" t="n">
        <v>75000</v>
      </c>
      <c r="R18" s="152" t="n">
        <v>34000</v>
      </c>
      <c r="S18" s="581">
        <f>Q18-R18</f>
        <v/>
      </c>
      <c r="T18" s="71">
        <f>R18/Q18</f>
        <v/>
      </c>
      <c r="U18" s="458" t="n">
        <v>69300</v>
      </c>
      <c r="V18" s="458" t="n">
        <v>42700</v>
      </c>
      <c r="AM18" s="236" t="n"/>
    </row>
    <row r="19">
      <c r="A19" s="494" t="inlineStr">
        <is>
          <t>대연동</t>
        </is>
      </c>
      <c r="B19" s="289" t="n"/>
      <c r="C19" s="289" t="n"/>
      <c r="D19" s="494" t="n">
        <v>110738</v>
      </c>
      <c r="E19" s="133" t="inlineStr">
        <is>
          <t>대연SK뷰힐스</t>
        </is>
      </c>
      <c r="F19" s="494" t="n">
        <v>2018.07</v>
      </c>
      <c r="G19" s="494" t="n">
        <v>994</v>
      </c>
      <c r="H19" s="494">
        <f>2026-F19+1</f>
        <v/>
      </c>
      <c r="I19" s="289" t="n"/>
      <c r="J19" s="289" t="n"/>
      <c r="K19" s="494" t="n">
        <v>59</v>
      </c>
      <c r="L19" s="289" t="n"/>
      <c r="M19" s="494" t="inlineStr">
        <is>
          <t>계단식</t>
        </is>
      </c>
      <c r="N19" s="494" t="n">
        <v>3</v>
      </c>
      <c r="O19" s="494" t="n">
        <v>2</v>
      </c>
      <c r="P19" s="494" t="n">
        <v>226</v>
      </c>
      <c r="Q19" s="156" t="n">
        <v>73000</v>
      </c>
      <c r="R19" s="156" t="n">
        <v>38000</v>
      </c>
      <c r="S19" s="581">
        <f>Q19-R19</f>
        <v/>
      </c>
      <c r="T19" s="71">
        <f>R19/Q19</f>
        <v/>
      </c>
      <c r="U19" s="289" t="n">
        <v>71900</v>
      </c>
      <c r="V19" s="289" t="n">
        <v>44000</v>
      </c>
      <c r="AA19" s="289" t="n"/>
      <c r="AB19" s="289" t="n"/>
      <c r="AC19" s="289" t="n"/>
      <c r="AD19" s="289" t="n"/>
      <c r="AE19" s="289" t="n"/>
      <c r="AF19" s="289" t="n"/>
      <c r="AG19" s="289" t="n"/>
      <c r="AK19" s="289" t="n"/>
      <c r="AL19" s="289" t="n"/>
      <c r="AM19" s="289" t="n"/>
      <c r="AN19" s="289" t="n"/>
      <c r="AV19" s="289" t="n"/>
    </row>
    <row r="20">
      <c r="A20" s="458" t="inlineStr">
        <is>
          <t>대연동</t>
        </is>
      </c>
      <c r="D20" s="458" t="n">
        <v>133976</v>
      </c>
      <c r="E20" s="113" t="inlineStr">
        <is>
          <t>대연푸르지오클라센트</t>
        </is>
      </c>
      <c r="F20" s="458" t="n">
        <v>2024.08</v>
      </c>
      <c r="G20" s="458" t="n">
        <v>1057</v>
      </c>
      <c r="H20" s="458">
        <f>2026-F20+1</f>
        <v/>
      </c>
      <c r="K20" s="458" t="n">
        <v>84</v>
      </c>
      <c r="M20" s="458" t="inlineStr">
        <is>
          <t>계단식</t>
        </is>
      </c>
      <c r="N20" s="458" t="n">
        <v>4</v>
      </c>
      <c r="O20" s="458" t="n">
        <v>2</v>
      </c>
      <c r="P20" s="458" t="n">
        <v>175</v>
      </c>
      <c r="Q20" s="152" t="n">
        <v>72000</v>
      </c>
      <c r="R20" s="152" t="n">
        <v>45000</v>
      </c>
      <c r="S20" s="581">
        <f>Q20-R20</f>
        <v/>
      </c>
      <c r="T20" s="71">
        <f>R20/Q20</f>
        <v/>
      </c>
    </row>
    <row r="21">
      <c r="A21" s="458" t="inlineStr">
        <is>
          <t>대연동</t>
        </is>
      </c>
      <c r="D21" s="458" t="n">
        <v>109359</v>
      </c>
      <c r="E21" s="113" t="inlineStr">
        <is>
          <t>대연롯데캐슬레전드</t>
        </is>
      </c>
      <c r="F21" s="458" t="n">
        <v>2018.02</v>
      </c>
      <c r="G21" s="458" t="n">
        <v>3149</v>
      </c>
      <c r="H21" s="458">
        <f>2026-F21+1</f>
        <v/>
      </c>
      <c r="K21" s="458" t="n">
        <v>84</v>
      </c>
      <c r="M21" s="458" t="inlineStr">
        <is>
          <t>계단식</t>
        </is>
      </c>
      <c r="N21" s="458" t="n">
        <v>3</v>
      </c>
      <c r="O21" s="458" t="n">
        <v>2</v>
      </c>
      <c r="P21" s="458" t="n">
        <v>1634</v>
      </c>
      <c r="Q21" s="152" t="n">
        <v>71000</v>
      </c>
      <c r="R21" s="152" t="n">
        <v>48000</v>
      </c>
      <c r="S21" s="581">
        <f>Q21-R21</f>
        <v/>
      </c>
      <c r="T21" s="71">
        <f>R21/Q21</f>
        <v/>
      </c>
      <c r="U21" s="458" t="n">
        <v>96000</v>
      </c>
      <c r="V21" s="458" t="n">
        <v>43600</v>
      </c>
    </row>
    <row r="22">
      <c r="A22" s="494" t="inlineStr">
        <is>
          <t>대연동</t>
        </is>
      </c>
      <c r="B22" s="88" t="n"/>
      <c r="C22" s="89" t="n"/>
      <c r="D22" s="494" t="n">
        <v>9861</v>
      </c>
      <c r="E22" s="150" t="inlineStr">
        <is>
          <t>대연푸르지오</t>
        </is>
      </c>
      <c r="F22" s="494" t="n">
        <v>2005.01</v>
      </c>
      <c r="G22" s="494" t="n">
        <v>678</v>
      </c>
      <c r="H22" s="494">
        <f>2026-F22+1</f>
        <v/>
      </c>
      <c r="I22" s="289" t="n"/>
      <c r="J22" s="494" t="n">
        <v>107</v>
      </c>
      <c r="K22" s="494" t="n">
        <v>84</v>
      </c>
      <c r="L22" s="494" t="n">
        <v>32</v>
      </c>
      <c r="M22" s="494" t="inlineStr">
        <is>
          <t>계단식</t>
        </is>
      </c>
      <c r="N22" s="494" t="n">
        <v>3</v>
      </c>
      <c r="O22" s="494" t="n">
        <v>2</v>
      </c>
      <c r="P22" s="494" t="n">
        <v>100</v>
      </c>
      <c r="Q22" s="156" t="n">
        <v>71000</v>
      </c>
      <c r="R22" s="156" t="n">
        <v>40000</v>
      </c>
      <c r="S22" s="581">
        <f>Q22-R22</f>
        <v/>
      </c>
      <c r="T22" s="71">
        <f>R22/Q22</f>
        <v/>
      </c>
      <c r="U22" s="289" t="n">
        <v>43500</v>
      </c>
      <c r="V22" s="289" t="n">
        <v>28000</v>
      </c>
      <c r="AA22" s="289" t="n"/>
      <c r="AB22" s="289" t="n"/>
      <c r="AC22" s="289" t="n"/>
      <c r="AD22" s="289" t="n"/>
      <c r="AE22" s="289" t="n"/>
      <c r="AF22" s="289" t="n"/>
      <c r="AG22" s="289" t="n"/>
      <c r="AK22" s="289" t="n"/>
      <c r="AL22" s="289" t="n"/>
      <c r="AM22" s="88" t="n"/>
      <c r="AN22" s="289" t="n"/>
      <c r="AV22" s="289" t="n"/>
    </row>
    <row r="23">
      <c r="A23" s="494" t="inlineStr">
        <is>
          <t>대연동</t>
        </is>
      </c>
      <c r="B23" s="88" t="n"/>
      <c r="C23" s="89" t="n"/>
      <c r="D23" s="494" t="n">
        <v>104716</v>
      </c>
      <c r="E23" s="150" t="inlineStr">
        <is>
          <t>대연롯데캐슬</t>
        </is>
      </c>
      <c r="F23" s="494" t="n">
        <v>2015.01</v>
      </c>
      <c r="G23" s="494" t="n">
        <v>564</v>
      </c>
      <c r="H23" s="494">
        <f>2026-F23+1</f>
        <v/>
      </c>
      <c r="I23" s="289" t="n"/>
      <c r="J23" s="289" t="n"/>
      <c r="K23" s="494" t="n">
        <v>84</v>
      </c>
      <c r="L23" s="289" t="n"/>
      <c r="M23" s="494" t="inlineStr">
        <is>
          <t>계단식</t>
        </is>
      </c>
      <c r="N23" s="494" t="n">
        <v>3</v>
      </c>
      <c r="O23" s="494" t="n">
        <v>2</v>
      </c>
      <c r="P23" s="494" t="n">
        <v>300</v>
      </c>
      <c r="Q23" s="156" t="n">
        <v>69000</v>
      </c>
      <c r="R23" s="156" t="n">
        <v>55000</v>
      </c>
      <c r="S23" s="581">
        <f>Q23-R23</f>
        <v/>
      </c>
      <c r="T23" s="71">
        <f>R23/Q23</f>
        <v/>
      </c>
      <c r="U23" s="289" t="n">
        <v>86000</v>
      </c>
      <c r="V23" s="289" t="n">
        <v>58000</v>
      </c>
      <c r="AA23" s="289" t="n"/>
      <c r="AB23" s="289" t="n"/>
      <c r="AC23" s="289" t="n"/>
      <c r="AD23" s="289" t="n"/>
      <c r="AE23" s="289" t="n"/>
      <c r="AF23" s="289" t="n"/>
      <c r="AG23" s="289" t="n"/>
      <c r="AK23" s="289" t="n"/>
      <c r="AL23" s="289" t="n"/>
      <c r="AM23" s="88" t="n"/>
      <c r="AN23" s="289" t="n"/>
      <c r="AV23" s="289" t="n"/>
    </row>
    <row r="24">
      <c r="A24" s="458" t="inlineStr">
        <is>
          <t>대연동</t>
        </is>
      </c>
      <c r="D24" s="458" t="n">
        <v>145347</v>
      </c>
      <c r="E24" s="113" t="inlineStr">
        <is>
          <t>힐스테이트대연센트럴</t>
        </is>
      </c>
      <c r="F24" s="458" t="n">
        <v>2024.05</v>
      </c>
      <c r="G24" s="458" t="n">
        <v>449</v>
      </c>
      <c r="H24" s="458">
        <f>2026-F24+1</f>
        <v/>
      </c>
      <c r="J24" s="458" t="n">
        <v>82</v>
      </c>
      <c r="K24" s="458" t="n">
        <v>59</v>
      </c>
      <c r="L24" s="458" t="n">
        <v>25</v>
      </c>
      <c r="M24" s="458" t="inlineStr">
        <is>
          <t>계단식</t>
        </is>
      </c>
      <c r="N24" s="458" t="n">
        <v>3</v>
      </c>
      <c r="O24" s="458" t="n">
        <v>2</v>
      </c>
      <c r="P24" s="458" t="n">
        <v>163</v>
      </c>
      <c r="Q24" s="152" t="n">
        <v>69000</v>
      </c>
      <c r="R24" s="152" t="n">
        <v>37000</v>
      </c>
      <c r="S24" s="581">
        <f>Q24-R24</f>
        <v/>
      </c>
      <c r="T24" s="71">
        <f>R24/Q24</f>
        <v/>
      </c>
      <c r="V24" s="458" t="n">
        <v>42945</v>
      </c>
    </row>
    <row r="25">
      <c r="A25" s="458" t="inlineStr">
        <is>
          <t>대연동</t>
        </is>
      </c>
      <c r="D25" s="458" t="n">
        <v>113686</v>
      </c>
      <c r="E25" s="113" t="inlineStr">
        <is>
          <t>대연자이</t>
        </is>
      </c>
      <c r="F25" s="458" t="n">
        <v>2019.03</v>
      </c>
      <c r="G25" s="458" t="n">
        <v>965</v>
      </c>
      <c r="H25" s="458">
        <f>2026-F25+1</f>
        <v/>
      </c>
      <c r="K25" s="458" t="n">
        <v>59</v>
      </c>
      <c r="M25" s="458" t="inlineStr">
        <is>
          <t>계단식</t>
        </is>
      </c>
      <c r="N25" s="458" t="n">
        <v>3</v>
      </c>
      <c r="O25" s="458" t="n">
        <v>2</v>
      </c>
      <c r="P25" s="458" t="n">
        <v>509</v>
      </c>
      <c r="Q25" s="152" t="n">
        <v>67000</v>
      </c>
      <c r="R25" s="152" t="n">
        <v>38000</v>
      </c>
      <c r="S25" s="581">
        <f>Q25-R25</f>
        <v/>
      </c>
      <c r="T25" s="71">
        <f>R25/Q25</f>
        <v/>
      </c>
      <c r="U25" s="458" t="n">
        <v>80000</v>
      </c>
      <c r="V25" s="458" t="n">
        <v>47500</v>
      </c>
    </row>
    <row r="26">
      <c r="A26" s="494" t="inlineStr">
        <is>
          <t>대연동</t>
        </is>
      </c>
      <c r="B26" s="88" t="n"/>
      <c r="C26" s="89" t="n"/>
      <c r="D26" s="494" t="n">
        <v>104716</v>
      </c>
      <c r="E26" s="133" t="inlineStr">
        <is>
          <t>대연롯데캐슬</t>
        </is>
      </c>
      <c r="F26" s="494" t="n">
        <v>2015.01</v>
      </c>
      <c r="G26" s="494" t="n">
        <v>564</v>
      </c>
      <c r="H26" s="494">
        <f>2026-F26+1</f>
        <v/>
      </c>
      <c r="I26" s="289" t="n"/>
      <c r="J26" s="494" t="n">
        <v>84</v>
      </c>
      <c r="K26" s="494" t="n">
        <v>59</v>
      </c>
      <c r="L26" s="494" t="n">
        <v>25</v>
      </c>
      <c r="M26" s="494" t="inlineStr">
        <is>
          <t>계단식</t>
        </is>
      </c>
      <c r="N26" s="494" t="n">
        <v>3</v>
      </c>
      <c r="O26" s="494" t="n">
        <v>2</v>
      </c>
      <c r="P26" s="494" t="n">
        <v>42</v>
      </c>
      <c r="Q26" s="156" t="n">
        <v>64800</v>
      </c>
      <c r="R26" s="156" t="n">
        <v>34000</v>
      </c>
      <c r="S26" s="581">
        <f>Q26-R26</f>
        <v/>
      </c>
      <c r="T26" s="71">
        <f>R26/Q26</f>
        <v/>
      </c>
      <c r="U26" s="289" t="n">
        <v>70000</v>
      </c>
      <c r="V26" s="289" t="n">
        <v>47800</v>
      </c>
      <c r="AA26" s="289" t="n"/>
      <c r="AB26" s="289" t="n"/>
      <c r="AC26" s="289" t="n"/>
      <c r="AD26" s="289" t="n"/>
      <c r="AE26" s="289" t="n"/>
      <c r="AF26" s="289" t="n"/>
      <c r="AG26" s="289" t="n"/>
      <c r="AK26" s="289" t="n"/>
      <c r="AL26" s="289" t="n"/>
      <c r="AM26" s="88" t="n"/>
      <c r="AN26" s="289" t="n"/>
      <c r="AV26" s="289" t="n"/>
    </row>
    <row r="27">
      <c r="A27" s="458" t="inlineStr">
        <is>
          <t>대연동</t>
        </is>
      </c>
      <c r="D27" s="458" t="n">
        <v>109359</v>
      </c>
      <c r="E27" s="113" t="inlineStr">
        <is>
          <t>대연롯데캐슬레전드</t>
        </is>
      </c>
      <c r="F27" s="458" t="n">
        <v>2018.02</v>
      </c>
      <c r="G27" s="458" t="n">
        <v>3149</v>
      </c>
      <c r="H27" s="458">
        <f>2026-F27+1</f>
        <v/>
      </c>
      <c r="K27" s="458" t="n">
        <v>59</v>
      </c>
      <c r="M27" s="458" t="inlineStr">
        <is>
          <t>계단식</t>
        </is>
      </c>
      <c r="N27" s="458" t="n">
        <v>3</v>
      </c>
      <c r="O27" s="458" t="n">
        <v>2</v>
      </c>
      <c r="P27" s="458" t="n">
        <v>516</v>
      </c>
      <c r="Q27" s="152" t="n">
        <v>64000</v>
      </c>
      <c r="R27" s="152" t="n">
        <v>40000</v>
      </c>
      <c r="S27" s="581">
        <f>Q27-R27</f>
        <v/>
      </c>
      <c r="T27" s="71">
        <f>R27/Q27</f>
        <v/>
      </c>
      <c r="U27" s="458" t="n">
        <v>71900</v>
      </c>
      <c r="V27" s="458" t="n">
        <v>44000</v>
      </c>
    </row>
    <row r="28">
      <c r="A28" s="458" t="inlineStr">
        <is>
          <t>대연동</t>
        </is>
      </c>
      <c r="D28" s="458" t="n">
        <v>133976</v>
      </c>
      <c r="E28" s="113" t="inlineStr">
        <is>
          <t>대연푸르지오클라센트</t>
        </is>
      </c>
      <c r="F28" s="458" t="n">
        <v>2024.08</v>
      </c>
      <c r="G28" s="458" t="n">
        <v>1057</v>
      </c>
      <c r="H28" s="458">
        <f>2026-F28+1</f>
        <v/>
      </c>
      <c r="K28" s="458" t="n">
        <v>74</v>
      </c>
      <c r="M28" s="458" t="inlineStr">
        <is>
          <t>계단식</t>
        </is>
      </c>
      <c r="N28" s="458" t="n">
        <v>3</v>
      </c>
      <c r="O28" s="458" t="n">
        <v>2</v>
      </c>
      <c r="P28" s="458" t="n">
        <v>379</v>
      </c>
      <c r="Q28" s="152" t="n">
        <v>62000</v>
      </c>
      <c r="R28" s="152" t="n">
        <v>38000</v>
      </c>
      <c r="S28" s="581">
        <f>Q28-R28</f>
        <v/>
      </c>
      <c r="T28" s="71">
        <f>R28/Q28</f>
        <v/>
      </c>
    </row>
    <row r="29">
      <c r="A29" s="494" t="inlineStr">
        <is>
          <t>대연동</t>
        </is>
      </c>
      <c r="B29" s="289" t="n"/>
      <c r="C29" s="289" t="n"/>
      <c r="D29" s="494" t="n">
        <v>10107</v>
      </c>
      <c r="E29" s="150" t="inlineStr">
        <is>
          <t>대연동원로얄듀크2차</t>
        </is>
      </c>
      <c r="F29" s="494" t="n">
        <v>2005.02</v>
      </c>
      <c r="G29" s="494" t="n">
        <v>417</v>
      </c>
      <c r="H29" s="494">
        <f>2026-F29+1</f>
        <v/>
      </c>
      <c r="I29" s="289" t="n"/>
      <c r="J29" s="494" t="n">
        <v>109</v>
      </c>
      <c r="K29" s="494" t="n">
        <v>84</v>
      </c>
      <c r="L29" s="494" t="n">
        <v>33</v>
      </c>
      <c r="M29" s="494" t="inlineStr">
        <is>
          <t>계단식</t>
        </is>
      </c>
      <c r="N29" s="494" t="n">
        <v>3</v>
      </c>
      <c r="O29" s="494" t="n">
        <v>2</v>
      </c>
      <c r="P29" s="494" t="n">
        <v>177</v>
      </c>
      <c r="Q29" s="156" t="n">
        <v>61000</v>
      </c>
      <c r="R29" s="156" t="n">
        <v>31000</v>
      </c>
      <c r="S29" s="581">
        <f>Q29-R29</f>
        <v/>
      </c>
      <c r="T29" s="71">
        <f>R29/Q29</f>
        <v/>
      </c>
      <c r="U29" s="289" t="n">
        <v>70500</v>
      </c>
      <c r="V29" s="289" t="n">
        <v>48500</v>
      </c>
      <c r="AA29" s="289" t="n"/>
      <c r="AB29" s="289" t="n"/>
      <c r="AC29" s="289" t="n"/>
      <c r="AD29" s="289" t="n"/>
      <c r="AE29" s="289" t="n"/>
      <c r="AF29" s="289" t="n"/>
      <c r="AG29" s="289" t="n"/>
      <c r="AK29" s="289" t="n"/>
      <c r="AL29" s="289" t="n"/>
      <c r="AM29" s="289" t="n"/>
      <c r="AN29" s="289" t="n"/>
      <c r="AV29" s="289" t="n"/>
    </row>
    <row r="30">
      <c r="A30" s="494" t="inlineStr">
        <is>
          <t>문현동</t>
        </is>
      </c>
      <c r="B30" s="289" t="n"/>
      <c r="C30" s="289" t="n"/>
      <c r="D30" s="494" t="n">
        <v>112774</v>
      </c>
      <c r="E30" s="150" t="inlineStr">
        <is>
          <t>국제금융시티문현베스티움</t>
        </is>
      </c>
      <c r="F30" s="494" t="n">
        <v>2019.04</v>
      </c>
      <c r="G30" s="494" t="n">
        <v>743</v>
      </c>
      <c r="H30" s="494">
        <f>2026-F30+1</f>
        <v/>
      </c>
      <c r="I30" s="289" t="n"/>
      <c r="J30" s="289" t="n"/>
      <c r="K30" s="494" t="n">
        <v>84</v>
      </c>
      <c r="L30" s="289" t="n"/>
      <c r="M30" s="494" t="inlineStr">
        <is>
          <t>계단식</t>
        </is>
      </c>
      <c r="N30" s="494" t="n">
        <v>3</v>
      </c>
      <c r="O30" s="494" t="n">
        <v>2</v>
      </c>
      <c r="P30" s="494" t="n">
        <v>252</v>
      </c>
      <c r="Q30" s="156" t="n">
        <v>60000</v>
      </c>
      <c r="R30" s="156" t="n">
        <v>39000</v>
      </c>
      <c r="S30" s="581">
        <f>Q30-R30</f>
        <v/>
      </c>
      <c r="T30" s="71">
        <f>R30/Q30</f>
        <v/>
      </c>
      <c r="U30" s="289" t="n">
        <v>80000</v>
      </c>
      <c r="V30" s="289" t="n">
        <v>48500</v>
      </c>
      <c r="AA30" s="289" t="n"/>
      <c r="AB30" s="289" t="n"/>
      <c r="AC30" s="289" t="n"/>
      <c r="AD30" s="289" t="n"/>
      <c r="AE30" s="289" t="n"/>
      <c r="AF30" s="289" t="n"/>
      <c r="AG30" s="289" t="n"/>
      <c r="AK30" s="289" t="n"/>
      <c r="AL30" s="289" t="n"/>
      <c r="AM30" s="289" t="n"/>
      <c r="AN30" s="289" t="n"/>
      <c r="AV30" s="289" t="n"/>
    </row>
    <row r="31">
      <c r="A31" s="494" t="inlineStr">
        <is>
          <t>문현동</t>
        </is>
      </c>
      <c r="B31" s="289" t="n"/>
      <c r="C31" s="289" t="n"/>
      <c r="D31" s="494" t="n">
        <v>125376</v>
      </c>
      <c r="E31" s="150" t="inlineStr">
        <is>
          <t>대연양우내안애퍼스트</t>
        </is>
      </c>
      <c r="F31" s="494" t="n">
        <v>2022.02</v>
      </c>
      <c r="G31" s="494" t="n">
        <v>560</v>
      </c>
      <c r="H31" s="494">
        <f>2026-F31+1</f>
        <v/>
      </c>
      <c r="I31" s="289" t="n"/>
      <c r="J31" s="289" t="n"/>
      <c r="K31" s="494" t="n">
        <v>84</v>
      </c>
      <c r="L31" s="289" t="n"/>
      <c r="M31" s="494" t="inlineStr">
        <is>
          <t>계단식</t>
        </is>
      </c>
      <c r="N31" s="494" t="n">
        <v>3</v>
      </c>
      <c r="O31" s="494" t="n">
        <v>2</v>
      </c>
      <c r="P31" s="494" t="n">
        <v>391</v>
      </c>
      <c r="Q31" s="156" t="n">
        <v>60000</v>
      </c>
      <c r="R31" s="156" t="n">
        <v>45000</v>
      </c>
      <c r="S31" s="581">
        <f>Q31-R31</f>
        <v/>
      </c>
      <c r="T31" s="71">
        <f>R31/Q31</f>
        <v/>
      </c>
      <c r="U31" s="289" t="n">
        <v>55908</v>
      </c>
      <c r="V31" s="289" t="n">
        <v>40000</v>
      </c>
      <c r="AA31" s="289" t="n"/>
      <c r="AB31" s="289" t="n"/>
      <c r="AC31" s="289" t="n"/>
      <c r="AD31" s="289" t="n"/>
      <c r="AE31" s="289" t="n"/>
      <c r="AF31" s="289" t="n"/>
      <c r="AG31" s="289" t="n"/>
      <c r="AK31" s="289" t="n"/>
      <c r="AL31" s="289" t="n"/>
      <c r="AM31" s="289" t="n"/>
      <c r="AN31" s="289" t="n"/>
      <c r="AV31" s="289" t="n"/>
    </row>
    <row r="32">
      <c r="A32" s="494" t="inlineStr">
        <is>
          <t>대연동</t>
        </is>
      </c>
      <c r="B32" s="289" t="n"/>
      <c r="C32" s="289" t="n"/>
      <c r="D32" s="494" t="n">
        <v>9861</v>
      </c>
      <c r="E32" s="150" t="inlineStr">
        <is>
          <t>대연푸르지오</t>
        </is>
      </c>
      <c r="F32" s="494" t="n">
        <v>2005.01</v>
      </c>
      <c r="G32" s="494" t="n">
        <v>678</v>
      </c>
      <c r="H32" s="494">
        <f>2026-F32+1</f>
        <v/>
      </c>
      <c r="I32" s="289" t="n"/>
      <c r="J32" s="494" t="n">
        <v>93</v>
      </c>
      <c r="K32" s="494" t="n">
        <v>73</v>
      </c>
      <c r="L32" s="494" t="n">
        <v>28</v>
      </c>
      <c r="M32" s="494" t="inlineStr">
        <is>
          <t>계단식</t>
        </is>
      </c>
      <c r="N32" s="494" t="n">
        <v>3</v>
      </c>
      <c r="O32" s="494" t="n">
        <v>2</v>
      </c>
      <c r="P32" s="494" t="n">
        <v>98</v>
      </c>
      <c r="Q32" s="156" t="n">
        <v>58000</v>
      </c>
      <c r="R32" s="156" t="n">
        <v>42000</v>
      </c>
      <c r="S32" s="581">
        <f>Q32-R32</f>
        <v/>
      </c>
      <c r="T32" s="71">
        <f>R32/Q32</f>
        <v/>
      </c>
      <c r="U32" s="289" t="n">
        <v>72500</v>
      </c>
      <c r="V32" s="289" t="n">
        <v>53000</v>
      </c>
      <c r="AA32" s="289" t="n"/>
      <c r="AB32" s="289" t="n"/>
      <c r="AC32" s="289" t="n"/>
      <c r="AD32" s="289" t="n"/>
      <c r="AE32" s="289" t="n"/>
      <c r="AF32" s="289" t="n"/>
      <c r="AG32" s="289" t="n"/>
      <c r="AK32" s="289" t="n"/>
      <c r="AL32" s="289" t="n"/>
      <c r="AM32" s="289" t="n"/>
      <c r="AN32" s="289" t="n"/>
      <c r="AV32" s="289" t="n"/>
    </row>
    <row r="33">
      <c r="A33" s="458" t="inlineStr">
        <is>
          <t>대연동</t>
        </is>
      </c>
      <c r="B33" s="159" t="n"/>
      <c r="C33" s="159" t="n"/>
      <c r="D33" s="458" t="n">
        <v>133976</v>
      </c>
      <c r="E33" s="113" t="inlineStr">
        <is>
          <t>대연푸르지오클라센트</t>
        </is>
      </c>
      <c r="F33" s="458" t="n">
        <v>2024.08</v>
      </c>
      <c r="G33" s="458" t="n">
        <v>1057</v>
      </c>
      <c r="H33" s="458">
        <f>2026-F33+1</f>
        <v/>
      </c>
      <c r="K33" s="458" t="n">
        <v>59</v>
      </c>
      <c r="M33" s="458" t="inlineStr">
        <is>
          <t>계단식</t>
        </is>
      </c>
      <c r="N33" s="458" t="n">
        <v>3</v>
      </c>
      <c r="O33" s="458" t="n">
        <v>2</v>
      </c>
      <c r="P33" s="458" t="n">
        <v>270</v>
      </c>
      <c r="Q33" s="152" t="n">
        <v>56000</v>
      </c>
      <c r="R33" s="152" t="n">
        <v>36000</v>
      </c>
      <c r="S33" s="581">
        <f>Q33-R33</f>
        <v/>
      </c>
      <c r="T33" s="71">
        <f>R33/Q33</f>
        <v/>
      </c>
      <c r="V33" s="458" t="n">
        <v>42945</v>
      </c>
      <c r="AM33" s="236" t="n"/>
    </row>
    <row r="34">
      <c r="A34" s="494" t="inlineStr">
        <is>
          <t>용호동</t>
        </is>
      </c>
      <c r="B34" s="88" t="n"/>
      <c r="C34" s="89" t="n"/>
      <c r="D34" s="494" t="n">
        <v>9709</v>
      </c>
      <c r="E34" s="150" t="inlineStr">
        <is>
          <t>LG메트로시티4-1차</t>
        </is>
      </c>
      <c r="F34" s="494" t="n">
        <v>2003.08</v>
      </c>
      <c r="G34" s="494" t="n">
        <v>1391</v>
      </c>
      <c r="H34" s="494">
        <f>2026-F34+1</f>
        <v/>
      </c>
      <c r="I34" s="289" t="n"/>
      <c r="J34" s="289" t="n"/>
      <c r="K34" s="494" t="n">
        <v>84</v>
      </c>
      <c r="L34" s="289" t="n"/>
      <c r="M34" s="494" t="inlineStr">
        <is>
          <t>계단식</t>
        </is>
      </c>
      <c r="N34" s="494" t="n">
        <v>3</v>
      </c>
      <c r="O34" s="494" t="n">
        <v>2</v>
      </c>
      <c r="P34" s="494" t="n">
        <v>134</v>
      </c>
      <c r="Q34" s="156" t="n">
        <v>56000</v>
      </c>
      <c r="R34" s="156" t="n">
        <v>35000</v>
      </c>
      <c r="S34" s="581">
        <f>Q34-R34</f>
        <v/>
      </c>
      <c r="T34" s="71">
        <f>R34/Q34</f>
        <v/>
      </c>
      <c r="U34" s="289" t="n">
        <v>77000</v>
      </c>
      <c r="V34" s="289" t="n">
        <v>35000</v>
      </c>
      <c r="AA34" s="289" t="n"/>
      <c r="AB34" s="289" t="n"/>
      <c r="AC34" s="289" t="n"/>
      <c r="AD34" s="289" t="n"/>
      <c r="AE34" s="289" t="n"/>
      <c r="AF34" s="289" t="n"/>
      <c r="AG34" s="289" t="n"/>
      <c r="AK34" s="289" t="n"/>
      <c r="AL34" s="289" t="n"/>
      <c r="AM34" s="88" t="n"/>
      <c r="AN34" s="289" t="n"/>
      <c r="AV34" s="289" t="n"/>
    </row>
    <row r="35">
      <c r="A35" s="494" t="inlineStr">
        <is>
          <t>문현동</t>
        </is>
      </c>
      <c r="B35" s="88" t="n"/>
      <c r="C35" s="89" t="n"/>
      <c r="D35" s="494" t="n">
        <v>125376</v>
      </c>
      <c r="E35" s="150" t="inlineStr">
        <is>
          <t>대연양우내안애퍼스트</t>
        </is>
      </c>
      <c r="F35" s="494" t="n">
        <v>2022.02</v>
      </c>
      <c r="G35" s="494" t="n">
        <v>560</v>
      </c>
      <c r="H35" s="494">
        <f>2026-F35+1</f>
        <v/>
      </c>
      <c r="I35" s="289" t="n"/>
      <c r="J35" s="289" t="n"/>
      <c r="K35" s="494" t="n">
        <v>59</v>
      </c>
      <c r="L35" s="289" t="n"/>
      <c r="M35" s="494" t="inlineStr">
        <is>
          <t>계단식</t>
        </is>
      </c>
      <c r="N35" s="494" t="n">
        <v>3</v>
      </c>
      <c r="O35" s="494" t="n">
        <v>2</v>
      </c>
      <c r="P35" s="494" t="n">
        <v>169</v>
      </c>
      <c r="Q35" s="156" t="n">
        <v>55000</v>
      </c>
      <c r="R35" s="156" t="n">
        <v>37000</v>
      </c>
      <c r="S35" s="581">
        <f>Q35-R35</f>
        <v/>
      </c>
      <c r="T35" s="71">
        <f>R35/Q35</f>
        <v/>
      </c>
      <c r="U35" s="289" t="n">
        <v>37000</v>
      </c>
      <c r="V35" s="289" t="n">
        <v>32000</v>
      </c>
      <c r="AA35" s="289" t="n"/>
      <c r="AB35" s="289" t="n"/>
      <c r="AC35" s="289" t="n"/>
      <c r="AD35" s="289" t="n"/>
      <c r="AE35" s="289" t="n"/>
      <c r="AF35" s="289" t="n"/>
      <c r="AG35" s="289" t="n"/>
      <c r="AK35" s="289" t="n"/>
      <c r="AL35" s="289" t="n"/>
      <c r="AM35" s="88" t="n"/>
      <c r="AN35" s="289" t="n"/>
      <c r="AV35" s="289" t="n"/>
    </row>
    <row r="36">
      <c r="A36" s="458" t="inlineStr">
        <is>
          <t>용호동</t>
        </is>
      </c>
      <c r="D36" s="458" t="n">
        <v>9708</v>
      </c>
      <c r="E36" s="113" t="inlineStr">
        <is>
          <t>LG메트로시티3차</t>
        </is>
      </c>
      <c r="F36" s="458" t="n">
        <v>2002.11</v>
      </c>
      <c r="G36" s="458" t="n">
        <v>922</v>
      </c>
      <c r="H36" s="458">
        <f>2026-F36+1</f>
        <v/>
      </c>
      <c r="J36" s="458" t="n">
        <v>108</v>
      </c>
      <c r="K36" s="458" t="n">
        <v>84</v>
      </c>
      <c r="L36" s="458" t="n">
        <v>33</v>
      </c>
      <c r="M36" s="458" t="inlineStr">
        <is>
          <t>계단식</t>
        </is>
      </c>
      <c r="N36" s="458" t="n">
        <v>3</v>
      </c>
      <c r="O36" s="458" t="n">
        <v>2</v>
      </c>
      <c r="P36" s="458" t="n">
        <v>150</v>
      </c>
      <c r="Q36" s="152" t="n">
        <v>55000</v>
      </c>
      <c r="R36" s="152" t="n">
        <v>35000</v>
      </c>
      <c r="S36" s="581">
        <f>Q36-R36</f>
        <v/>
      </c>
      <c r="T36" s="71">
        <f>R36/Q36</f>
        <v/>
      </c>
      <c r="U36" s="458" t="n">
        <v>77900</v>
      </c>
      <c r="V36" s="458" t="n">
        <v>47300</v>
      </c>
    </row>
    <row r="37">
      <c r="A37" s="458" t="inlineStr">
        <is>
          <t>용호동</t>
        </is>
      </c>
      <c r="B37" s="159" t="n"/>
      <c r="C37" s="159" t="n"/>
      <c r="D37" s="458" t="n">
        <v>9710</v>
      </c>
      <c r="E37" s="113" t="inlineStr">
        <is>
          <t>LG메트로시티4-2차</t>
        </is>
      </c>
      <c r="F37" s="458" t="n">
        <v>2003.08</v>
      </c>
      <c r="G37" s="458" t="n">
        <v>1258</v>
      </c>
      <c r="H37" s="458">
        <f>2026-F37+1</f>
        <v/>
      </c>
      <c r="K37" s="458" t="n">
        <v>84</v>
      </c>
      <c r="M37" s="458" t="inlineStr">
        <is>
          <t>계단식</t>
        </is>
      </c>
      <c r="N37" s="458" t="n">
        <v>3</v>
      </c>
      <c r="O37" s="458" t="n">
        <v>2</v>
      </c>
      <c r="P37" s="458" t="n">
        <v>198</v>
      </c>
      <c r="Q37" s="152" t="n">
        <v>55000</v>
      </c>
      <c r="R37" s="152" t="n">
        <v>35000</v>
      </c>
      <c r="S37" s="581">
        <f>Q37-R37</f>
        <v/>
      </c>
      <c r="T37" s="71">
        <f>R37/Q37</f>
        <v/>
      </c>
      <c r="U37" s="458" t="n">
        <v>77000</v>
      </c>
      <c r="V37" s="458" t="n">
        <v>35000</v>
      </c>
      <c r="AM37" s="236" t="n"/>
    </row>
    <row r="38">
      <c r="A38" s="494" t="inlineStr">
        <is>
          <t>용호동</t>
        </is>
      </c>
      <c r="B38" s="289" t="n"/>
      <c r="C38" s="289" t="n"/>
      <c r="D38" s="494" t="n">
        <v>127894</v>
      </c>
      <c r="E38" s="150" t="inlineStr">
        <is>
          <t>데시앙해링턴플레이스파크시티</t>
        </is>
      </c>
      <c r="F38" s="494" t="n">
        <v>2023.05</v>
      </c>
      <c r="G38" s="494" t="n">
        <v>1725</v>
      </c>
      <c r="H38" s="494">
        <f>2026-F38+1</f>
        <v/>
      </c>
      <c r="I38" s="289" t="n"/>
      <c r="J38" s="289" t="n"/>
      <c r="K38" s="494" t="n">
        <v>84</v>
      </c>
      <c r="L38" s="289" t="n"/>
      <c r="M38" s="494" t="inlineStr">
        <is>
          <t>계단식</t>
        </is>
      </c>
      <c r="N38" s="494" t="n">
        <v>3</v>
      </c>
      <c r="O38" s="494" t="n">
        <v>2</v>
      </c>
      <c r="P38" s="494" t="n">
        <v>309</v>
      </c>
      <c r="Q38" s="156" t="n">
        <v>55000</v>
      </c>
      <c r="R38" s="156" t="n">
        <v>39000</v>
      </c>
      <c r="S38" s="581">
        <f>Q38-R38</f>
        <v/>
      </c>
      <c r="T38" s="71">
        <f>R38/Q38</f>
        <v/>
      </c>
      <c r="U38" s="289" t="n"/>
      <c r="V38" s="289" t="n">
        <v>51000</v>
      </c>
      <c r="AA38" s="289" t="n"/>
      <c r="AB38" s="289" t="n"/>
      <c r="AC38" s="289" t="n"/>
      <c r="AD38" s="289" t="n"/>
      <c r="AE38" s="289" t="n"/>
      <c r="AF38" s="289" t="n"/>
      <c r="AG38" s="289" t="n"/>
      <c r="AK38" s="289" t="n"/>
      <c r="AL38" s="289" t="n"/>
      <c r="AM38" s="289" t="n"/>
      <c r="AN38" s="289" t="n"/>
      <c r="AV38" s="289" t="n"/>
    </row>
    <row r="39">
      <c r="A39" s="458" t="inlineStr">
        <is>
          <t>용호동</t>
        </is>
      </c>
      <c r="B39" s="159" t="n"/>
      <c r="C39" s="159" t="n"/>
      <c r="D39" s="458" t="n">
        <v>9710</v>
      </c>
      <c r="E39" s="113" t="inlineStr">
        <is>
          <t>LG메트로시티4-2차</t>
        </is>
      </c>
      <c r="F39" s="458" t="n">
        <v>2003.08</v>
      </c>
      <c r="G39" s="458" t="n">
        <v>1258</v>
      </c>
      <c r="H39" s="458">
        <f>2026-F39+1</f>
        <v/>
      </c>
      <c r="K39" s="458" t="n">
        <v>85</v>
      </c>
      <c r="M39" s="458" t="inlineStr">
        <is>
          <t>계단식</t>
        </is>
      </c>
      <c r="N39" s="458" t="n">
        <v>3</v>
      </c>
      <c r="O39" s="458" t="n">
        <v>2</v>
      </c>
      <c r="P39" s="458" t="n">
        <v>200</v>
      </c>
      <c r="Q39" s="152" t="n">
        <v>53000</v>
      </c>
      <c r="R39" s="152" t="n">
        <v>35000</v>
      </c>
      <c r="S39" s="581">
        <f>Q39-R39</f>
        <v/>
      </c>
      <c r="T39" s="71">
        <f>R39/Q39</f>
        <v/>
      </c>
      <c r="U39" s="458" t="n">
        <v>77000</v>
      </c>
      <c r="V39" s="458" t="n">
        <v>35000</v>
      </c>
      <c r="AM39" s="236" t="n"/>
    </row>
    <row r="40">
      <c r="A40" s="458" t="inlineStr">
        <is>
          <t>대연동</t>
        </is>
      </c>
      <c r="B40" s="159" t="n"/>
      <c r="C40" s="159" t="n"/>
      <c r="D40" s="458" t="n">
        <v>110440</v>
      </c>
      <c r="E40" s="113" t="inlineStr">
        <is>
          <t>대연파크푸르지오</t>
        </is>
      </c>
      <c r="F40" s="458" t="n">
        <v>2018.06</v>
      </c>
      <c r="G40" s="458" t="n">
        <v>1422</v>
      </c>
      <c r="H40" s="458">
        <f>2026-F40+1</f>
        <v/>
      </c>
      <c r="K40" s="458" t="n">
        <v>84</v>
      </c>
      <c r="M40" s="458" t="inlineStr">
        <is>
          <t>계단식</t>
        </is>
      </c>
      <c r="N40" s="458" t="n">
        <v>3</v>
      </c>
      <c r="O40" s="458" t="n">
        <v>2</v>
      </c>
      <c r="P40" s="458" t="n">
        <v>668</v>
      </c>
      <c r="Q40" s="152" t="n">
        <v>52000</v>
      </c>
      <c r="R40" s="152" t="n">
        <v>38000</v>
      </c>
      <c r="S40" s="581">
        <f>Q40-R40</f>
        <v/>
      </c>
      <c r="T40" s="71">
        <f>R40/Q40</f>
        <v/>
      </c>
      <c r="U40" s="458" t="n">
        <v>80000</v>
      </c>
      <c r="V40" s="458" t="n">
        <v>45200</v>
      </c>
      <c r="AM40" s="236" t="n"/>
    </row>
    <row r="41">
      <c r="A41" s="494" t="inlineStr">
        <is>
          <t>용호동</t>
        </is>
      </c>
      <c r="B41" s="88" t="n"/>
      <c r="C41" s="89" t="n"/>
      <c r="D41" s="494" t="n">
        <v>9706</v>
      </c>
      <c r="E41" s="133" t="inlineStr">
        <is>
          <t>LG메트로시티2차</t>
        </is>
      </c>
      <c r="F41" s="494" t="n">
        <v>2002.01</v>
      </c>
      <c r="G41" s="494" t="n">
        <v>362</v>
      </c>
      <c r="H41" s="494">
        <f>2026-F41+1</f>
        <v/>
      </c>
      <c r="I41" s="289" t="n"/>
      <c r="J41" s="289" t="n"/>
      <c r="K41" s="494" t="n">
        <v>84</v>
      </c>
      <c r="L41" s="289" t="n"/>
      <c r="M41" s="494" t="inlineStr">
        <is>
          <t>계단식</t>
        </is>
      </c>
      <c r="N41" s="494" t="n">
        <v>3</v>
      </c>
      <c r="O41" s="494" t="n">
        <v>2</v>
      </c>
      <c r="P41" s="494" t="n">
        <v>266</v>
      </c>
      <c r="Q41" s="156" t="n">
        <v>52000</v>
      </c>
      <c r="R41" s="156" t="n">
        <v>39000</v>
      </c>
      <c r="S41" s="581">
        <f>Q41-R41</f>
        <v/>
      </c>
      <c r="T41" s="71">
        <f>R41/Q41</f>
        <v/>
      </c>
      <c r="U41" s="289" t="n">
        <v>77900</v>
      </c>
      <c r="V41" s="289" t="n">
        <v>47300</v>
      </c>
      <c r="AA41" s="289" t="n"/>
      <c r="AB41" s="289" t="n"/>
      <c r="AC41" s="289" t="n"/>
      <c r="AD41" s="289" t="n"/>
      <c r="AE41" s="289" t="n"/>
      <c r="AF41" s="289" t="n"/>
      <c r="AG41" s="289" t="n"/>
      <c r="AK41" s="289" t="n"/>
      <c r="AL41" s="289" t="n"/>
      <c r="AM41" s="88" t="n"/>
      <c r="AN41" s="289" t="n"/>
      <c r="AV41" s="289" t="n"/>
    </row>
    <row r="42">
      <c r="A42" s="494" t="inlineStr">
        <is>
          <t>용호동</t>
        </is>
      </c>
      <c r="B42" s="88" t="n"/>
      <c r="C42" s="89" t="n"/>
      <c r="D42" s="494" t="n">
        <v>9709</v>
      </c>
      <c r="E42" s="133" t="inlineStr">
        <is>
          <t>LG메트로시티4-1차</t>
        </is>
      </c>
      <c r="F42" s="494" t="n">
        <v>2003.08</v>
      </c>
      <c r="G42" s="494" t="n">
        <v>1391</v>
      </c>
      <c r="H42" s="494">
        <f>2026-F42+1</f>
        <v/>
      </c>
      <c r="I42" s="289" t="n"/>
      <c r="J42" s="289" t="n"/>
      <c r="K42" s="494" t="n">
        <v>85</v>
      </c>
      <c r="L42" s="289" t="n"/>
      <c r="M42" s="494" t="inlineStr">
        <is>
          <t>계단식</t>
        </is>
      </c>
      <c r="N42" s="494" t="n">
        <v>3</v>
      </c>
      <c r="O42" s="494" t="n">
        <v>2</v>
      </c>
      <c r="P42" s="494" t="n">
        <v>138</v>
      </c>
      <c r="Q42" s="156" t="n">
        <v>51000</v>
      </c>
      <c r="R42" s="156" t="n">
        <v>32000</v>
      </c>
      <c r="S42" s="581">
        <f>Q42-R42</f>
        <v/>
      </c>
      <c r="T42" s="71">
        <f>R42/Q42</f>
        <v/>
      </c>
      <c r="U42" s="289" t="n">
        <v>77000</v>
      </c>
      <c r="V42" s="289" t="n">
        <v>35000</v>
      </c>
      <c r="AA42" s="289" t="n"/>
      <c r="AB42" s="289" t="n"/>
      <c r="AC42" s="289" t="n"/>
      <c r="AD42" s="289" t="n"/>
      <c r="AE42" s="289" t="n"/>
      <c r="AF42" s="289" t="n"/>
      <c r="AG42" s="289" t="n"/>
      <c r="AK42" s="289" t="n"/>
      <c r="AL42" s="289" t="n"/>
      <c r="AM42" s="88" t="n"/>
      <c r="AN42" s="289" t="n"/>
      <c r="AV42" s="289" t="n"/>
    </row>
    <row r="43">
      <c r="A43" s="494" t="inlineStr">
        <is>
          <t>우암동</t>
        </is>
      </c>
      <c r="B43" s="88" t="n"/>
      <c r="C43" s="89" t="n"/>
      <c r="D43" s="494" t="n">
        <v>161277</v>
      </c>
      <c r="E43" s="133" t="inlineStr">
        <is>
          <t>두산위브더제니스오션시티</t>
        </is>
      </c>
      <c r="F43" s="494" t="n">
        <v>2026.01</v>
      </c>
      <c r="G43" s="494" t="n">
        <v>3048</v>
      </c>
      <c r="H43" s="494">
        <f>2026-F43+1</f>
        <v/>
      </c>
      <c r="I43" s="289" t="n"/>
      <c r="J43" s="289" t="n"/>
      <c r="K43" s="494" t="n">
        <v>75</v>
      </c>
      <c r="L43" s="289" t="n"/>
      <c r="M43" s="494" t="inlineStr">
        <is>
          <t>계단식</t>
        </is>
      </c>
      <c r="N43" s="494" t="n">
        <v>3</v>
      </c>
      <c r="O43" s="494" t="n">
        <v>2</v>
      </c>
      <c r="P43" s="494" t="n">
        <v>1165</v>
      </c>
      <c r="Q43" s="156" t="n">
        <v>51000</v>
      </c>
      <c r="R43" s="156" t="n">
        <v>38000</v>
      </c>
      <c r="S43" s="581">
        <f>Q43-R43</f>
        <v/>
      </c>
      <c r="T43" s="71">
        <f>R43/Q43</f>
        <v/>
      </c>
      <c r="U43" s="289" t="n"/>
      <c r="V43" s="289" t="n"/>
      <c r="AA43" s="289" t="n"/>
      <c r="AB43" s="289" t="n"/>
      <c r="AC43" s="289" t="n"/>
      <c r="AD43" s="289" t="n"/>
      <c r="AE43" s="289" t="n"/>
      <c r="AF43" s="289" t="n"/>
      <c r="AG43" s="289" t="n"/>
      <c r="AK43" s="289" t="n"/>
      <c r="AL43" s="289" t="n"/>
      <c r="AM43" s="88" t="n"/>
      <c r="AN43" s="289" t="n"/>
      <c r="AV43" s="289" t="n"/>
    </row>
    <row r="44">
      <c r="A44" s="494" t="inlineStr">
        <is>
          <t>문현동</t>
        </is>
      </c>
      <c r="B44" s="88" t="n"/>
      <c r="C44" s="89" t="n"/>
      <c r="D44" s="494" t="n">
        <v>112774</v>
      </c>
      <c r="E44" s="150" t="inlineStr">
        <is>
          <t>국제금융시티문현베스티움</t>
        </is>
      </c>
      <c r="F44" s="494" t="n">
        <v>2019.04</v>
      </c>
      <c r="G44" s="494" t="n">
        <v>743</v>
      </c>
      <c r="H44" s="494">
        <f>2026-F44+1</f>
        <v/>
      </c>
      <c r="I44" s="289" t="n"/>
      <c r="J44" s="289" t="n"/>
      <c r="K44" s="494" t="n">
        <v>59</v>
      </c>
      <c r="L44" s="289" t="n"/>
      <c r="M44" s="494" t="inlineStr">
        <is>
          <t>계단식</t>
        </is>
      </c>
      <c r="N44" s="494" t="n">
        <v>3</v>
      </c>
      <c r="O44" s="494" t="n">
        <v>2</v>
      </c>
      <c r="P44" s="494" t="n">
        <v>415</v>
      </c>
      <c r="Q44" s="156" t="n">
        <v>50000</v>
      </c>
      <c r="R44" s="156" t="n">
        <v>33000</v>
      </c>
      <c r="S44" s="581">
        <f>Q44-R44</f>
        <v/>
      </c>
      <c r="T44" s="71">
        <f>R44/Q44</f>
        <v/>
      </c>
      <c r="U44" s="289" t="n">
        <v>61500</v>
      </c>
      <c r="V44" s="289" t="n">
        <v>40000</v>
      </c>
      <c r="AA44" s="289" t="n"/>
      <c r="AB44" s="289" t="n"/>
      <c r="AC44" s="289" t="n"/>
      <c r="AD44" s="289" t="n"/>
      <c r="AE44" s="289" t="n"/>
      <c r="AF44" s="289" t="n"/>
      <c r="AG44" s="289" t="n"/>
      <c r="AK44" s="289" t="n"/>
      <c r="AL44" s="289" t="n"/>
      <c r="AM44" s="88" t="n"/>
      <c r="AN44" s="289" t="n"/>
      <c r="AV44" s="289" t="n"/>
    </row>
    <row r="45">
      <c r="A45" s="458" t="inlineStr">
        <is>
          <t>용호동</t>
        </is>
      </c>
      <c r="B45" s="159" t="n"/>
      <c r="C45" s="159" t="n"/>
      <c r="D45" s="458" t="n">
        <v>8039</v>
      </c>
      <c r="E45" s="113" t="inlineStr">
        <is>
          <t>LG메트로시티1차</t>
        </is>
      </c>
      <c r="F45" s="458" t="n">
        <v>2001.06</v>
      </c>
      <c r="G45" s="458" t="n">
        <v>2637</v>
      </c>
      <c r="H45" s="458">
        <f>2026-F45+1</f>
        <v/>
      </c>
      <c r="K45" s="458" t="n">
        <v>84</v>
      </c>
      <c r="M45" s="458" t="inlineStr">
        <is>
          <t>계단식</t>
        </is>
      </c>
      <c r="N45" s="458" t="n">
        <v>3</v>
      </c>
      <c r="O45" s="458" t="n">
        <v>2</v>
      </c>
      <c r="P45" s="458" t="n">
        <v>662</v>
      </c>
      <c r="Q45" s="152" t="n">
        <v>50000</v>
      </c>
      <c r="R45" s="152" t="n">
        <v>36000</v>
      </c>
      <c r="S45" s="581">
        <f>Q45-R45</f>
        <v/>
      </c>
      <c r="T45" s="71">
        <f>R45/Q45</f>
        <v/>
      </c>
      <c r="U45" s="458" t="n">
        <v>83000</v>
      </c>
      <c r="V45" s="458" t="n">
        <v>43000</v>
      </c>
      <c r="AM45" s="236" t="n"/>
    </row>
    <row r="46">
      <c r="A46" s="494" t="inlineStr">
        <is>
          <t>용호동</t>
        </is>
      </c>
      <c r="B46" s="289" t="n"/>
      <c r="C46" s="289" t="n"/>
      <c r="D46" s="494" t="n">
        <v>9711</v>
      </c>
      <c r="E46" s="150" t="inlineStr">
        <is>
          <t>LG메트로시티5차</t>
        </is>
      </c>
      <c r="F46" s="494" t="n">
        <v>2004.1</v>
      </c>
      <c r="G46" s="494" t="n">
        <v>804</v>
      </c>
      <c r="H46" s="494">
        <f>2026-F46+1</f>
        <v/>
      </c>
      <c r="I46" s="289" t="n"/>
      <c r="J46" s="494" t="n">
        <v>108</v>
      </c>
      <c r="K46" s="494" t="n">
        <v>84</v>
      </c>
      <c r="L46" s="494" t="n">
        <v>33</v>
      </c>
      <c r="M46" s="494" t="inlineStr">
        <is>
          <t>계단식</t>
        </is>
      </c>
      <c r="N46" s="494" t="n">
        <v>3</v>
      </c>
      <c r="O46" s="494" t="n">
        <v>2</v>
      </c>
      <c r="P46" s="494" t="n">
        <v>380</v>
      </c>
      <c r="Q46" s="156" t="n">
        <v>50000</v>
      </c>
      <c r="R46" s="156" t="n">
        <v>35000</v>
      </c>
      <c r="S46" s="581">
        <f>Q46-R46</f>
        <v/>
      </c>
      <c r="T46" s="71">
        <f>R46/Q46</f>
        <v/>
      </c>
      <c r="U46" s="289" t="n">
        <v>79700</v>
      </c>
      <c r="V46" s="289" t="n">
        <v>35000</v>
      </c>
      <c r="AA46" s="289" t="n"/>
      <c r="AB46" s="289" t="n"/>
      <c r="AC46" s="289" t="n"/>
      <c r="AD46" s="289" t="n"/>
      <c r="AE46" s="289" t="n"/>
      <c r="AF46" s="289" t="n"/>
      <c r="AG46" s="289" t="n"/>
      <c r="AK46" s="289" t="n"/>
      <c r="AL46" s="289" t="n"/>
      <c r="AM46" s="289" t="n"/>
      <c r="AN46" s="289" t="n"/>
      <c r="AV46" s="289" t="n"/>
    </row>
    <row r="47">
      <c r="A47" s="494" t="inlineStr">
        <is>
          <t>용호동</t>
        </is>
      </c>
      <c r="B47" s="289" t="n"/>
      <c r="C47" s="289" t="n"/>
      <c r="D47" s="494" t="n">
        <v>127894</v>
      </c>
      <c r="E47" s="150" t="inlineStr">
        <is>
          <t>데시앙해링턴플레이스파크시티</t>
        </is>
      </c>
      <c r="F47" s="494" t="n">
        <v>2023.05</v>
      </c>
      <c r="G47" s="494" t="n">
        <v>1725</v>
      </c>
      <c r="H47" s="494">
        <f>2026-F47+1</f>
        <v/>
      </c>
      <c r="I47" s="289" t="n"/>
      <c r="J47" s="289" t="n"/>
      <c r="K47" s="494" t="n">
        <v>73</v>
      </c>
      <c r="L47" s="289" t="n"/>
      <c r="M47" s="494" t="inlineStr">
        <is>
          <t>계단식</t>
        </is>
      </c>
      <c r="N47" s="494" t="n">
        <v>3</v>
      </c>
      <c r="O47" s="494" t="n">
        <v>2</v>
      </c>
      <c r="P47" s="494" t="n">
        <v>336</v>
      </c>
      <c r="Q47" s="156" t="n">
        <v>50000</v>
      </c>
      <c r="R47" s="156" t="n">
        <v>32000</v>
      </c>
      <c r="S47" s="581">
        <f>Q47-R47</f>
        <v/>
      </c>
      <c r="T47" s="71">
        <f>R47/Q47</f>
        <v/>
      </c>
      <c r="U47" s="289" t="n"/>
      <c r="V47" s="289" t="n">
        <v>42700</v>
      </c>
      <c r="AA47" s="289" t="n"/>
      <c r="AB47" s="289" t="n"/>
      <c r="AC47" s="289" t="n"/>
      <c r="AD47" s="289" t="n"/>
      <c r="AE47" s="289" t="n"/>
      <c r="AF47" s="289" t="n"/>
      <c r="AG47" s="289" t="n"/>
      <c r="AK47" s="289" t="n"/>
      <c r="AL47" s="289" t="n"/>
      <c r="AM47" s="289" t="n"/>
      <c r="AN47" s="289" t="n"/>
      <c r="AV47" s="289" t="n"/>
    </row>
    <row r="48">
      <c r="A48" s="458" t="inlineStr">
        <is>
          <t>대연동</t>
        </is>
      </c>
      <c r="B48" s="159" t="n"/>
      <c r="C48" s="159" t="n"/>
      <c r="D48" s="458" t="n">
        <v>110440</v>
      </c>
      <c r="E48" s="113" t="inlineStr">
        <is>
          <t>대연파크푸르지오</t>
        </is>
      </c>
      <c r="F48" s="458" t="n">
        <v>2018.06</v>
      </c>
      <c r="G48" s="458" t="n">
        <v>1422</v>
      </c>
      <c r="H48" s="458">
        <f>2026-F48+1</f>
        <v/>
      </c>
      <c r="J48" s="458" t="n">
        <v>98</v>
      </c>
      <c r="K48" s="458" t="n">
        <v>74</v>
      </c>
      <c r="L48" s="458" t="n">
        <v>30</v>
      </c>
      <c r="M48" s="458" t="inlineStr">
        <is>
          <t>계단식</t>
        </is>
      </c>
      <c r="N48" s="458" t="n">
        <v>3</v>
      </c>
      <c r="O48" s="458" t="n">
        <v>2</v>
      </c>
      <c r="P48" s="458" t="n">
        <v>289</v>
      </c>
      <c r="Q48" s="152" t="n">
        <v>49000</v>
      </c>
      <c r="R48" s="152" t="n">
        <v>37000</v>
      </c>
      <c r="S48" s="581">
        <f>Q48-R48</f>
        <v/>
      </c>
      <c r="T48" s="71">
        <f>R48/Q48</f>
        <v/>
      </c>
      <c r="U48" s="458" t="n">
        <v>72700</v>
      </c>
      <c r="V48" s="458" t="n">
        <v>39000</v>
      </c>
      <c r="AM48" s="236" t="n"/>
    </row>
    <row r="49">
      <c r="A49" s="494" t="inlineStr">
        <is>
          <t>대연동</t>
        </is>
      </c>
      <c r="B49" s="88" t="n"/>
      <c r="C49" s="89" t="n"/>
      <c r="D49" s="494" t="n">
        <v>129153</v>
      </c>
      <c r="E49" s="150" t="inlineStr">
        <is>
          <t>대연삼정그린코아더베스트</t>
        </is>
      </c>
      <c r="F49" s="494" t="n">
        <v>2022.08</v>
      </c>
      <c r="G49" s="494" t="n">
        <v>337</v>
      </c>
      <c r="H49" s="494">
        <f>2026-F49+1</f>
        <v/>
      </c>
      <c r="I49" s="289" t="n"/>
      <c r="J49" s="494" t="n">
        <v>98</v>
      </c>
      <c r="K49" s="494" t="n">
        <v>71</v>
      </c>
      <c r="L49" s="494" t="n">
        <v>30</v>
      </c>
      <c r="M49" s="494" t="inlineStr">
        <is>
          <t>계단식</t>
        </is>
      </c>
      <c r="N49" s="494" t="n">
        <v>3</v>
      </c>
      <c r="O49" s="494" t="n">
        <v>2</v>
      </c>
      <c r="P49" s="494" t="n">
        <v>115</v>
      </c>
      <c r="Q49" s="156" t="n">
        <v>48700</v>
      </c>
      <c r="R49" s="156" t="n">
        <v>38000</v>
      </c>
      <c r="S49" s="581">
        <f>Q49-R49</f>
        <v/>
      </c>
      <c r="T49" s="71">
        <f>R49/Q49</f>
        <v/>
      </c>
      <c r="U49" s="289" t="n"/>
      <c r="V49" s="289" t="n"/>
      <c r="AA49" s="289" t="n"/>
      <c r="AB49" s="289" t="n"/>
      <c r="AC49" s="289" t="n"/>
      <c r="AD49" s="289" t="n"/>
      <c r="AE49" s="289" t="n"/>
      <c r="AF49" s="289" t="n"/>
      <c r="AG49" s="289" t="n"/>
      <c r="AK49" s="289" t="n"/>
      <c r="AL49" s="289" t="n"/>
      <c r="AM49" s="88" t="n"/>
      <c r="AN49" s="289" t="n"/>
      <c r="AV49" s="289" t="n"/>
    </row>
    <row r="50">
      <c r="A50" s="458" t="inlineStr">
        <is>
          <t>대연동</t>
        </is>
      </c>
      <c r="D50" s="458" t="n">
        <v>110440</v>
      </c>
      <c r="E50" s="113" t="inlineStr">
        <is>
          <t>대연파크푸르지오</t>
        </is>
      </c>
      <c r="F50" s="458" t="n">
        <v>2018.06</v>
      </c>
      <c r="G50" s="458" t="n">
        <v>1422</v>
      </c>
      <c r="H50" s="458">
        <f>2026-F50+1</f>
        <v/>
      </c>
      <c r="K50" s="458" t="n">
        <v>59</v>
      </c>
      <c r="M50" s="458" t="inlineStr">
        <is>
          <t>계단식</t>
        </is>
      </c>
      <c r="N50" s="458" t="n">
        <v>3</v>
      </c>
      <c r="O50" s="458" t="n">
        <v>2</v>
      </c>
      <c r="P50" s="458" t="n">
        <v>262</v>
      </c>
      <c r="Q50" s="152" t="n">
        <v>48000</v>
      </c>
      <c r="R50" s="152" t="n">
        <v>31000</v>
      </c>
      <c r="S50" s="581">
        <f>Q50-R50</f>
        <v/>
      </c>
      <c r="T50" s="71">
        <f>R50/Q50</f>
        <v/>
      </c>
      <c r="U50" s="458" t="n">
        <v>63000</v>
      </c>
      <c r="V50" s="458" t="n">
        <v>38000</v>
      </c>
    </row>
    <row r="51">
      <c r="A51" s="458" t="inlineStr">
        <is>
          <t>용호동</t>
        </is>
      </c>
      <c r="D51" s="458" t="n">
        <v>8039</v>
      </c>
      <c r="E51" s="113" t="inlineStr">
        <is>
          <t>LG메트로시티1차</t>
        </is>
      </c>
      <c r="F51" s="458" t="n">
        <v>2001.06</v>
      </c>
      <c r="G51" s="458" t="n">
        <v>2637</v>
      </c>
      <c r="H51" s="458">
        <f>2026-F51+1</f>
        <v/>
      </c>
      <c r="K51" s="458" t="n">
        <v>85</v>
      </c>
      <c r="M51" s="458" t="inlineStr">
        <is>
          <t>계단식</t>
        </is>
      </c>
      <c r="N51" s="458" t="n">
        <v>3</v>
      </c>
      <c r="O51" s="458" t="n">
        <v>2</v>
      </c>
      <c r="P51" s="458" t="n">
        <v>276</v>
      </c>
      <c r="Q51" s="152" t="n">
        <v>48000</v>
      </c>
      <c r="R51" s="152" t="n">
        <v>35000</v>
      </c>
      <c r="S51" s="581">
        <f>Q51-R51</f>
        <v/>
      </c>
      <c r="T51" s="71">
        <f>R51/Q51</f>
        <v/>
      </c>
      <c r="U51" s="458" t="n">
        <v>83000</v>
      </c>
      <c r="V51" s="458" t="n">
        <v>43000</v>
      </c>
    </row>
    <row r="52">
      <c r="A52" s="494" t="inlineStr">
        <is>
          <t>용호동</t>
        </is>
      </c>
      <c r="B52" s="88" t="n"/>
      <c r="C52" s="89" t="n"/>
      <c r="D52" s="494" t="n">
        <v>22444</v>
      </c>
      <c r="E52" s="150" t="inlineStr">
        <is>
          <t>오륙도SK뷰</t>
        </is>
      </c>
      <c r="F52" s="494" t="n">
        <v>2008.1</v>
      </c>
      <c r="G52" s="494" t="n">
        <v>3000</v>
      </c>
      <c r="H52" s="494">
        <f>2026-F52+1</f>
        <v/>
      </c>
      <c r="I52" s="289" t="n"/>
      <c r="J52" s="289" t="n"/>
      <c r="K52" s="494" t="n">
        <v>84</v>
      </c>
      <c r="L52" s="289" t="n"/>
      <c r="M52" s="494" t="inlineStr">
        <is>
          <t>계단식</t>
        </is>
      </c>
      <c r="N52" s="494" t="n">
        <v>3</v>
      </c>
      <c r="O52" s="494" t="n">
        <v>2</v>
      </c>
      <c r="P52" s="494" t="n">
        <v>914</v>
      </c>
      <c r="Q52" s="156" t="n">
        <v>46000</v>
      </c>
      <c r="R52" s="156" t="n">
        <v>29500</v>
      </c>
      <c r="S52" s="581">
        <f>Q52-R52</f>
        <v/>
      </c>
      <c r="T52" s="71">
        <f>R52/Q52</f>
        <v/>
      </c>
      <c r="U52" s="289" t="n">
        <v>73000</v>
      </c>
      <c r="V52" s="289" t="n">
        <v>36000</v>
      </c>
      <c r="AA52" s="289" t="n"/>
      <c r="AB52" s="289" t="n"/>
      <c r="AC52" s="289" t="n"/>
      <c r="AD52" s="289" t="n"/>
      <c r="AE52" s="289" t="n"/>
      <c r="AF52" s="289" t="n"/>
      <c r="AG52" s="289" t="n"/>
      <c r="AK52" s="289" t="n"/>
      <c r="AL52" s="289" t="n"/>
      <c r="AM52" s="88" t="n"/>
      <c r="AN52" s="289" t="n"/>
      <c r="AV52" s="289" t="n"/>
    </row>
    <row r="53">
      <c r="A53" s="494" t="inlineStr">
        <is>
          <t>용호동</t>
        </is>
      </c>
      <c r="B53" s="88" t="n"/>
      <c r="C53" s="89" t="n"/>
      <c r="D53" s="494" t="n">
        <v>4649</v>
      </c>
      <c r="E53" s="150" t="inlineStr">
        <is>
          <t>현대비치</t>
        </is>
      </c>
      <c r="F53" s="494" t="n">
        <v>1997.11</v>
      </c>
      <c r="G53" s="494" t="n">
        <v>648</v>
      </c>
      <c r="H53" s="494">
        <f>2026-F53+1</f>
        <v/>
      </c>
      <c r="I53" s="289" t="n"/>
      <c r="J53" s="494" t="n">
        <v>105</v>
      </c>
      <c r="K53" s="494" t="n">
        <v>84</v>
      </c>
      <c r="L53" s="494" t="n">
        <v>32</v>
      </c>
      <c r="M53" s="494" t="inlineStr">
        <is>
          <t>계단식</t>
        </is>
      </c>
      <c r="N53" s="494" t="n">
        <v>3</v>
      </c>
      <c r="O53" s="494" t="n">
        <v>2</v>
      </c>
      <c r="P53" s="494" t="n">
        <v>46</v>
      </c>
      <c r="Q53" s="156" t="n">
        <v>45000</v>
      </c>
      <c r="R53" s="156" t="n">
        <v>34000</v>
      </c>
      <c r="S53" s="581">
        <f>Q53-R53</f>
        <v/>
      </c>
      <c r="T53" s="71">
        <f>R53/Q53</f>
        <v/>
      </c>
      <c r="U53" s="289" t="n"/>
      <c r="V53" s="289" t="n"/>
      <c r="AA53" s="289" t="n"/>
      <c r="AB53" s="289" t="n"/>
      <c r="AC53" s="289" t="n"/>
      <c r="AD53" s="289" t="n"/>
      <c r="AE53" s="289" t="n"/>
      <c r="AF53" s="289" t="n"/>
      <c r="AG53" s="289" t="n"/>
      <c r="AK53" s="289" t="n"/>
      <c r="AL53" s="289" t="n"/>
      <c r="AM53" s="88" t="n"/>
      <c r="AN53" s="289" t="n"/>
      <c r="AV53" s="289" t="n"/>
    </row>
    <row r="54">
      <c r="A54" s="494" t="inlineStr">
        <is>
          <t>우암동</t>
        </is>
      </c>
      <c r="B54" s="88" t="n"/>
      <c r="C54" s="89" t="n"/>
      <c r="D54" s="494" t="n">
        <v>161277</v>
      </c>
      <c r="E54" s="150" t="inlineStr">
        <is>
          <t>두산위브더제니스오션시티</t>
        </is>
      </c>
      <c r="F54" s="494" t="n">
        <v>2026.01</v>
      </c>
      <c r="G54" s="494" t="n">
        <v>3048</v>
      </c>
      <c r="H54" s="494">
        <f>2026-F54+1</f>
        <v/>
      </c>
      <c r="I54" s="289" t="n"/>
      <c r="J54" s="289" t="n"/>
      <c r="K54" s="494" t="n">
        <v>59</v>
      </c>
      <c r="L54" s="289" t="n"/>
      <c r="M54" s="494" t="inlineStr">
        <is>
          <t>계단식</t>
        </is>
      </c>
      <c r="N54" s="494" t="n">
        <v>3</v>
      </c>
      <c r="O54" s="494" t="n">
        <v>2</v>
      </c>
      <c r="P54" s="494" t="n">
        <v>547</v>
      </c>
      <c r="Q54" s="156" t="n">
        <v>44000</v>
      </c>
      <c r="R54" s="156" t="n">
        <v>30000</v>
      </c>
      <c r="S54" s="581">
        <f>Q54-R54</f>
        <v/>
      </c>
      <c r="T54" s="71">
        <f>R54/Q54</f>
        <v/>
      </c>
      <c r="U54" s="289" t="n"/>
      <c r="V54" s="289" t="n"/>
      <c r="AA54" s="289" t="n"/>
      <c r="AB54" s="289" t="n"/>
      <c r="AC54" s="289" t="n"/>
      <c r="AD54" s="289" t="n"/>
      <c r="AE54" s="289" t="n"/>
      <c r="AF54" s="289" t="n"/>
      <c r="AG54" s="289" t="n"/>
      <c r="AK54" s="289" t="n"/>
      <c r="AL54" s="289" t="n"/>
      <c r="AM54" s="88" t="n"/>
      <c r="AN54" s="289" t="n"/>
      <c r="AV54" s="289" t="n"/>
    </row>
    <row r="55">
      <c r="A55" s="458" t="inlineStr">
        <is>
          <t>문현동</t>
        </is>
      </c>
      <c r="D55" s="458" t="n">
        <v>114815</v>
      </c>
      <c r="E55" s="113" t="inlineStr">
        <is>
          <t>문현경동리인1단지</t>
        </is>
      </c>
      <c r="F55" s="458" t="n">
        <v>2020.07</v>
      </c>
      <c r="G55" s="458" t="n">
        <v>469</v>
      </c>
      <c r="H55" s="458">
        <f>2026-F55+1</f>
        <v/>
      </c>
      <c r="K55" s="458" t="n">
        <v>79</v>
      </c>
      <c r="M55" s="458" t="inlineStr">
        <is>
          <t>계단식</t>
        </is>
      </c>
      <c r="N55" s="458" t="n">
        <v>3</v>
      </c>
      <c r="O55" s="458" t="n">
        <v>2</v>
      </c>
      <c r="P55" s="458" t="n">
        <v>208</v>
      </c>
      <c r="Q55" s="152" t="n">
        <v>42000</v>
      </c>
      <c r="R55" s="152" t="n">
        <v>32000</v>
      </c>
      <c r="S55" s="581">
        <f>Q55-R55</f>
        <v/>
      </c>
      <c r="T55" s="71">
        <f>R55/Q55</f>
        <v/>
      </c>
      <c r="U55" s="458" t="n">
        <v>59700</v>
      </c>
      <c r="V55" s="458" t="n">
        <v>39800</v>
      </c>
    </row>
    <row r="56">
      <c r="A56" s="458" t="inlineStr">
        <is>
          <t>문현동</t>
        </is>
      </c>
      <c r="D56" s="458" t="n">
        <v>125851</v>
      </c>
      <c r="E56" s="113" t="inlineStr">
        <is>
          <t>오션파라곤</t>
        </is>
      </c>
      <c r="F56" s="458" t="n">
        <v>2022.11</v>
      </c>
      <c r="G56" s="458" t="n">
        <v>662</v>
      </c>
      <c r="H56" s="458">
        <f>2026-F56+1</f>
        <v/>
      </c>
      <c r="K56" s="458" t="n">
        <v>74</v>
      </c>
      <c r="M56" s="458" t="inlineStr">
        <is>
          <t>계단식</t>
        </is>
      </c>
      <c r="N56" s="458" t="n">
        <v>3</v>
      </c>
      <c r="O56" s="458" t="n">
        <v>2</v>
      </c>
      <c r="P56" s="458" t="n">
        <v>282</v>
      </c>
      <c r="Q56" s="152" t="n">
        <v>42000</v>
      </c>
      <c r="R56" s="152" t="n">
        <v>32000</v>
      </c>
      <c r="S56" s="581">
        <f>Q56-R56</f>
        <v/>
      </c>
      <c r="T56" s="71">
        <f>R56/Q56</f>
        <v/>
      </c>
      <c r="V56" s="458" t="n">
        <v>35000</v>
      </c>
    </row>
    <row r="57">
      <c r="A57" s="458" t="inlineStr">
        <is>
          <t>용호동</t>
        </is>
      </c>
      <c r="B57" s="159" t="n"/>
      <c r="C57" s="159" t="n"/>
      <c r="D57" s="458" t="n">
        <v>9708</v>
      </c>
      <c r="E57" s="113" t="inlineStr">
        <is>
          <t>LG메트로시티3차</t>
        </is>
      </c>
      <c r="F57" s="458" t="n">
        <v>2002.11</v>
      </c>
      <c r="G57" s="458" t="n">
        <v>922</v>
      </c>
      <c r="H57" s="458">
        <f>2026-F57+1</f>
        <v/>
      </c>
      <c r="J57" s="458" t="n">
        <v>90</v>
      </c>
      <c r="K57" s="458" t="n">
        <v>69</v>
      </c>
      <c r="L57" s="458" t="n">
        <v>27</v>
      </c>
      <c r="M57" s="458" t="inlineStr">
        <is>
          <t>계단식</t>
        </is>
      </c>
      <c r="N57" s="458" t="n">
        <v>2</v>
      </c>
      <c r="O57" s="458" t="n">
        <v>1</v>
      </c>
      <c r="P57" s="458" t="n">
        <v>92</v>
      </c>
      <c r="Q57" s="152" t="n">
        <v>42000</v>
      </c>
      <c r="R57" s="152" t="n">
        <v>28000</v>
      </c>
      <c r="S57" s="581">
        <f>Q57-R57</f>
        <v/>
      </c>
      <c r="T57" s="71">
        <f>R57/Q57</f>
        <v/>
      </c>
      <c r="U57" s="458" t="n">
        <v>65000</v>
      </c>
      <c r="V57" s="458" t="n">
        <v>40800</v>
      </c>
      <c r="AM57" s="236" t="n"/>
    </row>
    <row r="58">
      <c r="A58" s="458" t="inlineStr">
        <is>
          <t>용호동</t>
        </is>
      </c>
      <c r="B58" s="159" t="n"/>
      <c r="C58" s="159" t="n"/>
      <c r="D58" s="458" t="n">
        <v>9710</v>
      </c>
      <c r="E58" s="113" t="inlineStr">
        <is>
          <t>LG메트로시티4-2차</t>
        </is>
      </c>
      <c r="F58" s="458" t="n">
        <v>2003.08</v>
      </c>
      <c r="G58" s="458" t="n">
        <v>1258</v>
      </c>
      <c r="H58" s="458">
        <f>2026-F58+1</f>
        <v/>
      </c>
      <c r="J58" s="458" t="n">
        <v>84</v>
      </c>
      <c r="K58" s="458" t="n">
        <v>63</v>
      </c>
      <c r="L58" s="458" t="n">
        <v>25</v>
      </c>
      <c r="M58" s="458" t="inlineStr">
        <is>
          <t>계단식</t>
        </is>
      </c>
      <c r="N58" s="458" t="n">
        <v>3</v>
      </c>
      <c r="O58" s="458" t="n">
        <v>1</v>
      </c>
      <c r="P58" s="458" t="n">
        <v>138</v>
      </c>
      <c r="Q58" s="152" t="n">
        <v>42000</v>
      </c>
      <c r="R58" s="152" t="n">
        <v>30000</v>
      </c>
      <c r="S58" s="581">
        <f>Q58-R58</f>
        <v/>
      </c>
      <c r="T58" s="71">
        <f>R58/Q58</f>
        <v/>
      </c>
      <c r="U58" s="458" t="n">
        <v>58800</v>
      </c>
      <c r="V58" s="458" t="n">
        <v>38500</v>
      </c>
      <c r="AM58" s="236" t="n"/>
    </row>
    <row r="59">
      <c r="A59" s="458" t="inlineStr">
        <is>
          <t>용호동</t>
        </is>
      </c>
      <c r="B59" s="159" t="n"/>
      <c r="C59" s="159" t="n"/>
      <c r="D59" s="458" t="n">
        <v>8039</v>
      </c>
      <c r="E59" s="113" t="inlineStr">
        <is>
          <t>LG메트로시티1차</t>
        </is>
      </c>
      <c r="F59" s="458" t="n">
        <v>2001.06</v>
      </c>
      <c r="G59" s="458" t="n">
        <v>2637</v>
      </c>
      <c r="H59" s="458">
        <f>2026-F59+1</f>
        <v/>
      </c>
      <c r="K59" s="458" t="n">
        <v>60</v>
      </c>
      <c r="M59" s="458" t="inlineStr">
        <is>
          <t>계단식</t>
        </is>
      </c>
      <c r="N59" s="458" t="n">
        <v>3</v>
      </c>
      <c r="O59" s="458" t="n">
        <v>1</v>
      </c>
      <c r="P59" s="458" t="n">
        <v>92</v>
      </c>
      <c r="Q59" s="152" t="n">
        <v>41000</v>
      </c>
      <c r="R59" s="152" t="n">
        <v>28000</v>
      </c>
      <c r="S59" s="581">
        <f>Q59-R59</f>
        <v/>
      </c>
      <c r="T59" s="71">
        <f>R59/Q59</f>
        <v/>
      </c>
      <c r="U59" s="458" t="n">
        <v>57800</v>
      </c>
      <c r="V59" s="458" t="n">
        <v>36500</v>
      </c>
      <c r="AM59" s="236" t="n"/>
    </row>
    <row r="60">
      <c r="A60" s="458" t="inlineStr">
        <is>
          <t>용호동</t>
        </is>
      </c>
      <c r="D60" s="458" t="n">
        <v>9710</v>
      </c>
      <c r="E60" s="113" t="inlineStr">
        <is>
          <t>LG메트로시티4-2차</t>
        </is>
      </c>
      <c r="F60" s="458" t="n">
        <v>2003.08</v>
      </c>
      <c r="G60" s="458" t="n">
        <v>1258</v>
      </c>
      <c r="H60" s="458">
        <f>2026-F60+1</f>
        <v/>
      </c>
      <c r="J60" s="458" t="n">
        <v>92</v>
      </c>
      <c r="K60" s="458" t="n">
        <v>70</v>
      </c>
      <c r="L60" s="458" t="n">
        <v>28</v>
      </c>
      <c r="M60" s="458" t="inlineStr">
        <is>
          <t>계단식</t>
        </is>
      </c>
      <c r="N60" s="458" t="n">
        <v>2</v>
      </c>
      <c r="O60" s="458" t="n">
        <v>1</v>
      </c>
      <c r="P60" s="458" t="n">
        <v>92</v>
      </c>
      <c r="Q60" s="152" t="n">
        <v>41000</v>
      </c>
      <c r="R60" s="152" t="n">
        <v>25000</v>
      </c>
      <c r="S60" s="581">
        <f>Q60-R60</f>
        <v/>
      </c>
      <c r="T60" s="71">
        <f>R60/Q60</f>
        <v/>
      </c>
      <c r="V60" s="458" t="n">
        <v>40500</v>
      </c>
    </row>
    <row r="61">
      <c r="A61" s="458" t="inlineStr">
        <is>
          <t>문현동</t>
        </is>
      </c>
      <c r="D61" s="458" t="n">
        <v>114815</v>
      </c>
      <c r="E61" s="113" t="inlineStr">
        <is>
          <t>문현경동리인1단지</t>
        </is>
      </c>
      <c r="F61" s="458" t="n">
        <v>2020.07</v>
      </c>
      <c r="G61" s="458" t="n">
        <v>469</v>
      </c>
      <c r="H61" s="458">
        <f>2026-F61+1</f>
        <v/>
      </c>
      <c r="J61" s="458" t="n">
        <v>94</v>
      </c>
      <c r="K61" s="458" t="n">
        <v>74</v>
      </c>
      <c r="L61" s="458" t="n">
        <v>28</v>
      </c>
      <c r="M61" s="458" t="inlineStr">
        <is>
          <t>계단식</t>
        </is>
      </c>
      <c r="N61" s="458" t="n">
        <v>3</v>
      </c>
      <c r="O61" s="458" t="n">
        <v>2</v>
      </c>
      <c r="P61" s="458" t="n">
        <v>37</v>
      </c>
      <c r="Q61" s="152" t="n">
        <v>40000</v>
      </c>
      <c r="R61" s="152" t="n">
        <v>33000</v>
      </c>
      <c r="S61" s="581">
        <f>Q61-R61</f>
        <v/>
      </c>
      <c r="T61" s="71">
        <f>R61/Q61</f>
        <v/>
      </c>
      <c r="U61" s="458" t="n">
        <v>55000</v>
      </c>
      <c r="V61" s="458" t="n">
        <v>37000</v>
      </c>
    </row>
    <row r="62">
      <c r="A62" s="494" t="inlineStr">
        <is>
          <t>용호동</t>
        </is>
      </c>
      <c r="B62" s="88" t="n"/>
      <c r="C62" s="89" t="n"/>
      <c r="D62" s="494" t="n">
        <v>9711</v>
      </c>
      <c r="E62" s="150" t="inlineStr">
        <is>
          <t>LG메트로시티5차</t>
        </is>
      </c>
      <c r="F62" s="494" t="n">
        <v>2004.1</v>
      </c>
      <c r="G62" s="494" t="n">
        <v>804</v>
      </c>
      <c r="H62" s="494">
        <f>2026-F62+1</f>
        <v/>
      </c>
      <c r="I62" s="289" t="n"/>
      <c r="J62" s="494" t="n">
        <v>81</v>
      </c>
      <c r="K62" s="494" t="n">
        <v>59</v>
      </c>
      <c r="L62" s="494" t="n">
        <v>25</v>
      </c>
      <c r="M62" s="494" t="inlineStr">
        <is>
          <t>계단식</t>
        </is>
      </c>
      <c r="N62" s="494" t="n">
        <v>3</v>
      </c>
      <c r="O62" s="494" t="n">
        <v>1</v>
      </c>
      <c r="P62" s="494" t="n">
        <v>276</v>
      </c>
      <c r="Q62" s="156" t="n">
        <v>40000</v>
      </c>
      <c r="R62" s="156" t="n">
        <v>25000</v>
      </c>
      <c r="S62" s="581">
        <f>Q62-R62</f>
        <v/>
      </c>
      <c r="T62" s="71">
        <f>R62/Q62</f>
        <v/>
      </c>
      <c r="U62" s="289" t="n">
        <v>55500</v>
      </c>
      <c r="V62" s="289" t="n">
        <v>38000</v>
      </c>
      <c r="AA62" s="289" t="n"/>
      <c r="AB62" s="289" t="n"/>
      <c r="AC62" s="289" t="n"/>
      <c r="AD62" s="289" t="n"/>
      <c r="AE62" s="289" t="n"/>
      <c r="AF62" s="289" t="n"/>
      <c r="AG62" s="289" t="n"/>
      <c r="AK62" s="289" t="n"/>
      <c r="AL62" s="289" t="n"/>
      <c r="AM62" s="88" t="n"/>
      <c r="AN62" s="289" t="n"/>
      <c r="AV62" s="289" t="n"/>
    </row>
    <row r="63">
      <c r="A63" s="458" t="inlineStr">
        <is>
          <t>문현동</t>
        </is>
      </c>
      <c r="D63" s="458" t="n">
        <v>114815</v>
      </c>
      <c r="E63" s="113" t="inlineStr">
        <is>
          <t>문현경동리인1단지</t>
        </is>
      </c>
      <c r="F63" s="458" t="n">
        <v>2020.07</v>
      </c>
      <c r="G63" s="458" t="n">
        <v>469</v>
      </c>
      <c r="H63" s="458">
        <f>2026-F63+1</f>
        <v/>
      </c>
      <c r="J63" s="458" t="n">
        <v>92</v>
      </c>
      <c r="K63" s="458" t="n">
        <v>72</v>
      </c>
      <c r="L63" s="458" t="n">
        <v>28</v>
      </c>
      <c r="M63" s="458" t="inlineStr">
        <is>
          <t>계단식</t>
        </is>
      </c>
      <c r="N63" s="458" t="n">
        <v>3</v>
      </c>
      <c r="O63" s="458" t="n">
        <v>2</v>
      </c>
      <c r="P63" s="458" t="n">
        <v>42</v>
      </c>
      <c r="Q63" s="152" t="n">
        <v>39500</v>
      </c>
      <c r="R63" s="152" t="n">
        <v>32000</v>
      </c>
      <c r="S63" s="581">
        <f>Q63-R63</f>
        <v/>
      </c>
      <c r="T63" s="71">
        <f>R63/Q63</f>
        <v/>
      </c>
      <c r="U63" s="458" t="n">
        <v>55000</v>
      </c>
      <c r="V63" s="458" t="n">
        <v>37000</v>
      </c>
    </row>
    <row r="64">
      <c r="A64" s="494" t="inlineStr">
        <is>
          <t>대연동</t>
        </is>
      </c>
      <c r="B64" s="88" t="n"/>
      <c r="C64" s="89" t="n"/>
      <c r="D64" s="494" t="n">
        <v>129153</v>
      </c>
      <c r="E64" s="133" t="inlineStr">
        <is>
          <t>대연삼정그린코아더베스트</t>
        </is>
      </c>
      <c r="F64" s="494" t="n">
        <v>2022.08</v>
      </c>
      <c r="G64" s="494" t="n">
        <v>337</v>
      </c>
      <c r="H64" s="494">
        <f>2026-F64+1</f>
        <v/>
      </c>
      <c r="I64" s="289" t="n"/>
      <c r="J64" s="494" t="n">
        <v>83</v>
      </c>
      <c r="K64" s="494" t="n">
        <v>59</v>
      </c>
      <c r="L64" s="494" t="n">
        <v>25</v>
      </c>
      <c r="M64" s="494" t="inlineStr">
        <is>
          <t>계단식</t>
        </is>
      </c>
      <c r="N64" s="494" t="n">
        <v>3</v>
      </c>
      <c r="O64" s="494" t="n">
        <v>2</v>
      </c>
      <c r="P64" s="494" t="n">
        <v>222</v>
      </c>
      <c r="Q64" s="156" t="n">
        <v>39000</v>
      </c>
      <c r="R64" s="156" t="n">
        <v>40000</v>
      </c>
      <c r="S64" s="581">
        <f>Q64-R64</f>
        <v/>
      </c>
      <c r="T64" s="71">
        <f>R64/Q64</f>
        <v/>
      </c>
      <c r="U64" s="289" t="n"/>
      <c r="V64" s="289" t="n"/>
      <c r="AA64" s="289" t="n"/>
      <c r="AB64" s="289" t="n"/>
      <c r="AC64" s="289" t="n"/>
      <c r="AD64" s="289" t="n"/>
      <c r="AE64" s="289" t="n"/>
      <c r="AF64" s="289" t="n"/>
      <c r="AG64" s="289" t="n"/>
      <c r="AK64" s="289" t="n"/>
      <c r="AL64" s="289" t="n"/>
      <c r="AM64" s="88" t="n"/>
      <c r="AN64" s="289" t="n"/>
      <c r="AV64" s="289" t="n"/>
    </row>
    <row r="65">
      <c r="A65" s="494" t="inlineStr">
        <is>
          <t>문현동</t>
        </is>
      </c>
      <c r="B65" s="88" t="n"/>
      <c r="C65" s="89" t="n"/>
      <c r="D65" s="494" t="n">
        <v>15166</v>
      </c>
      <c r="E65" s="150" t="inlineStr">
        <is>
          <t>문현태영데시앙</t>
        </is>
      </c>
      <c r="F65" s="494" t="n">
        <v>2006.07</v>
      </c>
      <c r="G65" s="494" t="n">
        <v>388</v>
      </c>
      <c r="H65" s="494">
        <f>2026-F65+1</f>
        <v/>
      </c>
      <c r="I65" s="289" t="n"/>
      <c r="J65" s="289" t="n"/>
      <c r="K65" s="494" t="n">
        <v>84</v>
      </c>
      <c r="L65" s="289" t="n"/>
      <c r="M65" s="494" t="inlineStr">
        <is>
          <t>계단식</t>
        </is>
      </c>
      <c r="N65" s="494" t="n">
        <v>3</v>
      </c>
      <c r="O65" s="494" t="n">
        <v>2</v>
      </c>
      <c r="P65" s="494" t="n">
        <v>202</v>
      </c>
      <c r="Q65" s="156" t="n">
        <v>39000</v>
      </c>
      <c r="R65" s="156" t="n">
        <v>27000</v>
      </c>
      <c r="S65" s="581">
        <f>Q65-R65</f>
        <v/>
      </c>
      <c r="T65" s="71">
        <f>R65/Q65</f>
        <v/>
      </c>
      <c r="U65" s="289" t="n">
        <v>54000</v>
      </c>
      <c r="V65" s="289" t="n">
        <v>45000</v>
      </c>
      <c r="AA65" s="289" t="n"/>
      <c r="AB65" s="289" t="n"/>
      <c r="AC65" s="289" t="n"/>
      <c r="AD65" s="289" t="n"/>
      <c r="AE65" s="289" t="n"/>
      <c r="AF65" s="289" t="n"/>
      <c r="AG65" s="289" t="n"/>
      <c r="AK65" s="289" t="n"/>
      <c r="AL65" s="289" t="n"/>
      <c r="AM65" s="88" t="n"/>
      <c r="AN65" s="289" t="n"/>
      <c r="AV65" s="289" t="n"/>
    </row>
    <row r="66">
      <c r="A66" s="458" t="inlineStr">
        <is>
          <t>문현동</t>
        </is>
      </c>
      <c r="D66" s="458" t="n">
        <v>125851</v>
      </c>
      <c r="E66" s="113" t="inlineStr">
        <is>
          <t>오션파라곤</t>
        </is>
      </c>
      <c r="F66" s="458" t="n">
        <v>2022.11</v>
      </c>
      <c r="G66" s="458" t="n">
        <v>662</v>
      </c>
      <c r="H66" s="458">
        <f>2026-F66+1</f>
        <v/>
      </c>
      <c r="K66" s="458" t="n">
        <v>72</v>
      </c>
      <c r="M66" s="458" t="inlineStr">
        <is>
          <t>계단식</t>
        </is>
      </c>
      <c r="N66" s="458" t="n">
        <v>3</v>
      </c>
      <c r="O66" s="458" t="n">
        <v>2</v>
      </c>
      <c r="P66" s="458" t="n">
        <v>116</v>
      </c>
      <c r="Q66" s="152" t="n">
        <v>39000</v>
      </c>
      <c r="S66" s="581">
        <f>Q66-R66</f>
        <v/>
      </c>
      <c r="T66" s="71">
        <f>R66/Q66</f>
        <v/>
      </c>
      <c r="V66" s="458" t="n">
        <v>35000</v>
      </c>
    </row>
    <row r="67">
      <c r="A67" s="458" t="inlineStr">
        <is>
          <t>용호동</t>
        </is>
      </c>
      <c r="B67" s="159" t="n"/>
      <c r="C67" s="159" t="n"/>
      <c r="D67" s="458" t="n">
        <v>8039</v>
      </c>
      <c r="E67" s="113" t="inlineStr">
        <is>
          <t>LG메트로시티1차</t>
        </is>
      </c>
      <c r="F67" s="458" t="n">
        <v>2001.06</v>
      </c>
      <c r="G67" s="458" t="n">
        <v>2637</v>
      </c>
      <c r="H67" s="458">
        <f>2026-F67+1</f>
        <v/>
      </c>
      <c r="K67" s="458" t="n">
        <v>59</v>
      </c>
      <c r="M67" s="458" t="inlineStr">
        <is>
          <t>계단식</t>
        </is>
      </c>
      <c r="N67" s="458" t="n">
        <v>3</v>
      </c>
      <c r="O67" s="458" t="n">
        <v>1</v>
      </c>
      <c r="P67" s="458" t="n">
        <v>92</v>
      </c>
      <c r="Q67" s="152" t="n">
        <v>38500</v>
      </c>
      <c r="R67" s="152" t="n">
        <v>28000</v>
      </c>
      <c r="S67" s="581">
        <f>Q67-R67</f>
        <v/>
      </c>
      <c r="T67" s="71">
        <f>R67/Q67</f>
        <v/>
      </c>
      <c r="U67" s="458" t="n">
        <v>57800</v>
      </c>
      <c r="V67" s="458" t="n">
        <v>36500</v>
      </c>
      <c r="AM67" s="236" t="n"/>
    </row>
    <row r="68">
      <c r="A68" s="494" t="inlineStr">
        <is>
          <t>대연동</t>
        </is>
      </c>
      <c r="B68" s="289" t="n"/>
      <c r="C68" s="289" t="n"/>
      <c r="D68" s="494" t="n">
        <v>4543</v>
      </c>
      <c r="E68" s="150" t="inlineStr">
        <is>
          <t>대연현대</t>
        </is>
      </c>
      <c r="F68" s="494" t="n">
        <v>1997.11</v>
      </c>
      <c r="G68" s="494" t="n">
        <v>366</v>
      </c>
      <c r="H68" s="494">
        <f>2026-F68+1</f>
        <v/>
      </c>
      <c r="I68" s="289" t="n"/>
      <c r="J68" s="494" t="n">
        <v>107</v>
      </c>
      <c r="K68" s="494" t="n">
        <v>84</v>
      </c>
      <c r="L68" s="494" t="n">
        <v>32</v>
      </c>
      <c r="M68" s="494" t="inlineStr">
        <is>
          <t>계단식</t>
        </is>
      </c>
      <c r="N68" s="494" t="n">
        <v>3</v>
      </c>
      <c r="O68" s="494" t="n">
        <v>2</v>
      </c>
      <c r="P68" s="494" t="n">
        <v>133</v>
      </c>
      <c r="Q68" s="156" t="n">
        <v>38000</v>
      </c>
      <c r="R68" s="156" t="n">
        <v>18000</v>
      </c>
      <c r="S68" s="581">
        <f>Q68-R68</f>
        <v/>
      </c>
      <c r="T68" s="71">
        <f>R68/Q68</f>
        <v/>
      </c>
      <c r="U68" s="289" t="n">
        <v>28500</v>
      </c>
      <c r="V68" s="289" t="n">
        <v>19700</v>
      </c>
      <c r="AA68" s="289" t="n"/>
      <c r="AB68" s="289" t="n"/>
      <c r="AC68" s="289" t="n"/>
      <c r="AD68" s="289" t="n"/>
      <c r="AE68" s="289" t="n"/>
      <c r="AF68" s="289" t="n"/>
      <c r="AG68" s="289" t="n"/>
      <c r="AK68" s="289" t="n"/>
      <c r="AL68" s="289" t="n"/>
      <c r="AM68" s="289" t="n"/>
      <c r="AN68" s="289" t="n"/>
      <c r="AV68" s="289" t="n"/>
    </row>
    <row r="69">
      <c r="A69" s="494" t="inlineStr">
        <is>
          <t>문현동</t>
        </is>
      </c>
      <c r="B69" s="88" t="n"/>
      <c r="C69" s="89" t="n"/>
      <c r="D69" s="494" t="n">
        <v>4577</v>
      </c>
      <c r="E69" s="150" t="inlineStr">
        <is>
          <t>문현삼성</t>
        </is>
      </c>
      <c r="F69" s="494" t="n">
        <v>2001.05</v>
      </c>
      <c r="G69" s="494" t="n">
        <v>916</v>
      </c>
      <c r="H69" s="494">
        <f>2026-F69+1</f>
        <v/>
      </c>
      <c r="I69" s="289" t="n"/>
      <c r="J69" s="494" t="n">
        <v>110</v>
      </c>
      <c r="K69" s="494" t="n">
        <v>84</v>
      </c>
      <c r="L69" s="494" t="n">
        <v>33</v>
      </c>
      <c r="M69" s="494" t="inlineStr">
        <is>
          <t>계단식</t>
        </is>
      </c>
      <c r="N69" s="494" t="n">
        <v>3</v>
      </c>
      <c r="O69" s="494" t="n">
        <v>2</v>
      </c>
      <c r="P69" s="494" t="n">
        <v>333</v>
      </c>
      <c r="Q69" s="156" t="n">
        <v>38000</v>
      </c>
      <c r="R69" s="156" t="n">
        <v>27000</v>
      </c>
      <c r="S69" s="581">
        <f>Q69-R69</f>
        <v/>
      </c>
      <c r="T69" s="71">
        <f>R69/Q69</f>
        <v/>
      </c>
      <c r="U69" s="289" t="n">
        <v>58000</v>
      </c>
      <c r="V69" s="289" t="n">
        <v>31000</v>
      </c>
      <c r="AA69" s="289" t="n"/>
      <c r="AB69" s="289" t="n"/>
      <c r="AC69" s="289" t="n"/>
      <c r="AD69" s="289" t="n"/>
      <c r="AE69" s="289" t="n"/>
      <c r="AF69" s="289" t="n"/>
      <c r="AG69" s="289" t="n"/>
      <c r="AK69" s="289" t="n"/>
      <c r="AL69" s="289" t="n"/>
      <c r="AM69" s="88" t="n"/>
      <c r="AN69" s="289" t="n"/>
      <c r="AV69" s="289" t="n"/>
    </row>
    <row r="70">
      <c r="A70" s="458" t="inlineStr">
        <is>
          <t>용호동</t>
        </is>
      </c>
      <c r="D70" s="458" t="n">
        <v>104246</v>
      </c>
      <c r="E70" s="113" t="inlineStr">
        <is>
          <t>쌍용예가</t>
        </is>
      </c>
      <c r="F70" s="458" t="n">
        <v>2013.06</v>
      </c>
      <c r="G70" s="458" t="n">
        <v>773</v>
      </c>
      <c r="H70" s="458">
        <f>2026-F70+1</f>
        <v/>
      </c>
      <c r="K70" s="458" t="n">
        <v>84</v>
      </c>
      <c r="M70" s="458" t="inlineStr">
        <is>
          <t>계단식</t>
        </is>
      </c>
      <c r="N70" s="458" t="n">
        <v>3</v>
      </c>
      <c r="O70" s="458" t="n">
        <v>2</v>
      </c>
      <c r="P70" s="458" t="n">
        <v>282</v>
      </c>
      <c r="Q70" s="152" t="n">
        <v>38000</v>
      </c>
      <c r="R70" s="152" t="n">
        <v>27000</v>
      </c>
      <c r="S70" s="581">
        <f>Q70-R70</f>
        <v/>
      </c>
      <c r="T70" s="71">
        <f>R70/Q70</f>
        <v/>
      </c>
      <c r="U70" s="458" t="n">
        <v>53500</v>
      </c>
      <c r="V70" s="458" t="n">
        <v>34000</v>
      </c>
    </row>
    <row r="71">
      <c r="A71" s="494" t="inlineStr">
        <is>
          <t>우암동</t>
        </is>
      </c>
      <c r="B71" s="88" t="n"/>
      <c r="C71" s="89" t="n"/>
      <c r="D71" s="494" t="n">
        <v>161277</v>
      </c>
      <c r="E71" s="150" t="inlineStr">
        <is>
          <t>두산위브더제니스오션시티</t>
        </is>
      </c>
      <c r="F71" s="494" t="n">
        <v>2026.01</v>
      </c>
      <c r="G71" s="494" t="n">
        <v>3048</v>
      </c>
      <c r="H71" s="494">
        <f>2026-F71+1</f>
        <v/>
      </c>
      <c r="I71" s="289" t="n"/>
      <c r="J71" s="289" t="n"/>
      <c r="K71" s="494" t="n">
        <v>84</v>
      </c>
      <c r="L71" s="289" t="n"/>
      <c r="M71" s="494" t="inlineStr">
        <is>
          <t>계단식</t>
        </is>
      </c>
      <c r="N71" s="494" t="n">
        <v>3</v>
      </c>
      <c r="O71" s="494" t="n">
        <v>2</v>
      </c>
      <c r="P71" s="494" t="n">
        <v>1122</v>
      </c>
      <c r="Q71" s="156" t="n">
        <v>37500</v>
      </c>
      <c r="R71" s="156" t="n">
        <v>45000</v>
      </c>
      <c r="S71" s="581">
        <f>Q71-R71</f>
        <v/>
      </c>
      <c r="T71" s="71">
        <f>R71/Q71</f>
        <v/>
      </c>
      <c r="U71" s="289" t="n"/>
      <c r="V71" s="289" t="n"/>
      <c r="AA71" s="289" t="n"/>
      <c r="AB71" s="289" t="n"/>
      <c r="AC71" s="289" t="n"/>
      <c r="AD71" s="289" t="n"/>
      <c r="AE71" s="289" t="n"/>
      <c r="AF71" s="289" t="n"/>
      <c r="AG71" s="289" t="n"/>
      <c r="AK71" s="289" t="n"/>
      <c r="AL71" s="289" t="n"/>
      <c r="AM71" s="88" t="n"/>
      <c r="AN71" s="289" t="n"/>
      <c r="AV71" s="289" t="n"/>
    </row>
    <row r="72">
      <c r="A72" s="494" t="inlineStr">
        <is>
          <t>문현동</t>
        </is>
      </c>
      <c r="B72" s="88" t="n"/>
      <c r="C72" s="89" t="n"/>
      <c r="D72" s="494" t="n">
        <v>15166</v>
      </c>
      <c r="E72" s="150" t="inlineStr">
        <is>
          <t>문현태영데시앙</t>
        </is>
      </c>
      <c r="F72" s="494" t="n">
        <v>2006.07</v>
      </c>
      <c r="G72" s="494" t="n">
        <v>388</v>
      </c>
      <c r="H72" s="494">
        <f>2026-F72+1</f>
        <v/>
      </c>
      <c r="I72" s="289" t="n"/>
      <c r="J72" s="494" t="n">
        <v>102</v>
      </c>
      <c r="K72" s="494" t="n">
        <v>77</v>
      </c>
      <c r="L72" s="494" t="n">
        <v>31</v>
      </c>
      <c r="M72" s="494" t="inlineStr">
        <is>
          <t>계단식</t>
        </is>
      </c>
      <c r="N72" s="494" t="n">
        <v>3</v>
      </c>
      <c r="O72" s="494" t="n">
        <v>2</v>
      </c>
      <c r="P72" s="494" t="n">
        <v>108</v>
      </c>
      <c r="Q72" s="156" t="n">
        <v>37000</v>
      </c>
      <c r="R72" s="156" t="n">
        <v>25000</v>
      </c>
      <c r="S72" s="581">
        <f>Q72-R72</f>
        <v/>
      </c>
      <c r="T72" s="71">
        <f>R72/Q72</f>
        <v/>
      </c>
      <c r="U72" s="289" t="n">
        <v>48000</v>
      </c>
      <c r="V72" s="289" t="n">
        <v>36000</v>
      </c>
      <c r="AA72" s="289" t="n"/>
      <c r="AB72" s="289" t="n"/>
      <c r="AC72" s="289" t="n"/>
      <c r="AD72" s="289" t="n"/>
      <c r="AE72" s="289" t="n"/>
      <c r="AF72" s="289" t="n"/>
      <c r="AG72" s="289" t="n"/>
      <c r="AK72" s="289" t="n"/>
      <c r="AL72" s="289" t="n"/>
      <c r="AM72" s="88" t="n"/>
      <c r="AN72" s="289" t="n"/>
      <c r="AV72" s="289" t="n"/>
    </row>
    <row r="73">
      <c r="A73" s="494" t="inlineStr">
        <is>
          <t>용호동</t>
        </is>
      </c>
      <c r="B73" s="88" t="n"/>
      <c r="C73" s="89" t="n"/>
      <c r="D73" s="494" t="n">
        <v>127894</v>
      </c>
      <c r="E73" s="150" t="inlineStr">
        <is>
          <t>데시앙해링턴플레이스파크시티</t>
        </is>
      </c>
      <c r="F73" s="494" t="n">
        <v>2023.05</v>
      </c>
      <c r="G73" s="494" t="n">
        <v>1725</v>
      </c>
      <c r="H73" s="494">
        <f>2026-F73+1</f>
        <v/>
      </c>
      <c r="I73" s="289" t="n"/>
      <c r="J73" s="289" t="n"/>
      <c r="K73" s="494" t="n">
        <v>59</v>
      </c>
      <c r="L73" s="289" t="n"/>
      <c r="M73" s="494" t="inlineStr">
        <is>
          <t>계단식</t>
        </is>
      </c>
      <c r="N73" s="494" t="n">
        <v>3</v>
      </c>
      <c r="O73" s="494" t="n">
        <v>2</v>
      </c>
      <c r="P73" s="494" t="n">
        <v>993</v>
      </c>
      <c r="Q73" s="156" t="n">
        <v>36800</v>
      </c>
      <c r="R73" s="156" t="n">
        <v>30000</v>
      </c>
      <c r="S73" s="581">
        <f>Q73-R73</f>
        <v/>
      </c>
      <c r="T73" s="71">
        <f>R73/Q73</f>
        <v/>
      </c>
      <c r="U73" s="289" t="n"/>
      <c r="V73" s="289" t="n">
        <v>30000</v>
      </c>
      <c r="AA73" s="289" t="n"/>
      <c r="AB73" s="289" t="n"/>
      <c r="AC73" s="289" t="n"/>
      <c r="AD73" s="289" t="n"/>
      <c r="AE73" s="289" t="n"/>
      <c r="AF73" s="289" t="n"/>
      <c r="AG73" s="289" t="n"/>
      <c r="AK73" s="289" t="n"/>
      <c r="AL73" s="289" t="n"/>
      <c r="AM73" s="88" t="n"/>
      <c r="AN73" s="289" t="n"/>
      <c r="AV73" s="289" t="n"/>
    </row>
    <row r="74">
      <c r="A74" s="458" t="inlineStr">
        <is>
          <t>용호동</t>
        </is>
      </c>
      <c r="D74" s="458" t="n">
        <v>13513</v>
      </c>
      <c r="E74" s="146" t="inlineStr">
        <is>
          <t>일신님</t>
        </is>
      </c>
      <c r="F74" s="458" t="n">
        <v>2006.01</v>
      </c>
      <c r="G74" s="458" t="n">
        <v>710</v>
      </c>
      <c r="H74" s="458">
        <f>2026-F74+1</f>
        <v/>
      </c>
      <c r="K74" s="458" t="n">
        <v>84</v>
      </c>
      <c r="M74" s="458" t="inlineStr">
        <is>
          <t>계단식</t>
        </is>
      </c>
      <c r="N74" s="458" t="n">
        <v>3</v>
      </c>
      <c r="O74" s="458" t="n">
        <v>2</v>
      </c>
      <c r="P74" s="458" t="n">
        <v>552</v>
      </c>
      <c r="Q74" s="152" t="n">
        <v>36000</v>
      </c>
      <c r="R74" s="152" t="n">
        <v>30000</v>
      </c>
      <c r="S74" s="581">
        <f>Q74-R74</f>
        <v/>
      </c>
      <c r="T74" s="71">
        <f>R74/Q74</f>
        <v/>
      </c>
      <c r="U74" s="458" t="n">
        <v>53500</v>
      </c>
      <c r="V74" s="458" t="n">
        <v>32000</v>
      </c>
    </row>
    <row r="75">
      <c r="A75" s="458" t="inlineStr">
        <is>
          <t>용호동</t>
        </is>
      </c>
      <c r="B75" s="159" t="n"/>
      <c r="C75" s="159" t="n"/>
      <c r="D75" s="458" t="n">
        <v>104246</v>
      </c>
      <c r="E75" s="113" t="inlineStr">
        <is>
          <t>쌍용예가</t>
        </is>
      </c>
      <c r="F75" s="458" t="n">
        <v>2013.06</v>
      </c>
      <c r="G75" s="458" t="n">
        <v>773</v>
      </c>
      <c r="H75" s="458">
        <f>2026-F75+1</f>
        <v/>
      </c>
      <c r="K75" s="458" t="n">
        <v>74</v>
      </c>
      <c r="M75" s="458" t="inlineStr">
        <is>
          <t>계단식</t>
        </is>
      </c>
      <c r="N75" s="458" t="n">
        <v>3</v>
      </c>
      <c r="O75" s="458" t="n">
        <v>2</v>
      </c>
      <c r="P75" s="458" t="n">
        <v>128</v>
      </c>
      <c r="Q75" s="152" t="n">
        <v>35000</v>
      </c>
      <c r="R75" s="152" t="n">
        <v>25000</v>
      </c>
      <c r="S75" s="581">
        <f>Q75-R75</f>
        <v/>
      </c>
      <c r="T75" s="71">
        <f>R75/Q75</f>
        <v/>
      </c>
      <c r="U75" s="458" t="n">
        <v>50500</v>
      </c>
      <c r="V75" s="458" t="n">
        <v>30000</v>
      </c>
      <c r="AM75" s="236" t="n"/>
    </row>
    <row r="76">
      <c r="A76" s="458" t="inlineStr">
        <is>
          <t>대연동</t>
        </is>
      </c>
      <c r="B76" s="159" t="n"/>
      <c r="C76" s="159" t="n"/>
      <c r="D76" s="458" t="n">
        <v>24055</v>
      </c>
      <c r="E76" s="113" t="inlineStr">
        <is>
          <t>대연SK뷰1차</t>
        </is>
      </c>
      <c r="F76" s="458" t="n">
        <v>2007.06</v>
      </c>
      <c r="G76" s="458" t="n">
        <v>421</v>
      </c>
      <c r="H76" s="458">
        <f>2026-F76+1</f>
        <v/>
      </c>
      <c r="J76" s="458" t="n">
        <v>110</v>
      </c>
      <c r="K76" s="458" t="n">
        <v>84</v>
      </c>
      <c r="L76" s="458" t="n">
        <v>33</v>
      </c>
      <c r="M76" s="458" t="inlineStr">
        <is>
          <t>계단식</t>
        </is>
      </c>
      <c r="N76" s="458" t="n">
        <v>3</v>
      </c>
      <c r="O76" s="458" t="n">
        <v>2</v>
      </c>
      <c r="P76" s="458" t="n">
        <v>94</v>
      </c>
      <c r="Q76" s="152" t="n">
        <v>34000</v>
      </c>
      <c r="R76" s="152" t="n">
        <v>28000</v>
      </c>
      <c r="S76" s="581">
        <f>Q76-R76</f>
        <v/>
      </c>
      <c r="T76" s="71">
        <f>R76/Q76</f>
        <v/>
      </c>
      <c r="U76" s="458" t="n">
        <v>43000</v>
      </c>
      <c r="V76" s="458" t="n">
        <v>32000</v>
      </c>
      <c r="AM76" s="236" t="n"/>
    </row>
    <row r="77">
      <c r="A77" s="458" t="inlineStr">
        <is>
          <t>대연동</t>
        </is>
      </c>
      <c r="B77" s="159" t="n"/>
      <c r="C77" s="159" t="n"/>
      <c r="D77" s="458" t="n">
        <v>24055</v>
      </c>
      <c r="E77" s="113" t="inlineStr">
        <is>
          <t>대연SK뷰1차</t>
        </is>
      </c>
      <c r="F77" s="458" t="n">
        <v>2007.06</v>
      </c>
      <c r="G77" s="458" t="n">
        <v>421</v>
      </c>
      <c r="H77" s="458">
        <f>2026-F77+1</f>
        <v/>
      </c>
      <c r="J77" s="458" t="n">
        <v>102</v>
      </c>
      <c r="K77" s="458" t="n">
        <v>78</v>
      </c>
      <c r="L77" s="458" t="n">
        <v>31</v>
      </c>
      <c r="M77" s="458" t="inlineStr">
        <is>
          <t>계단식</t>
        </is>
      </c>
      <c r="N77" s="458" t="n">
        <v>3</v>
      </c>
      <c r="O77" s="458" t="n">
        <v>2</v>
      </c>
      <c r="P77" s="458" t="n">
        <v>66</v>
      </c>
      <c r="Q77" s="152" t="n">
        <v>33000</v>
      </c>
      <c r="R77" s="152" t="n">
        <v>31600</v>
      </c>
      <c r="S77" s="581">
        <f>Q77-R77</f>
        <v/>
      </c>
      <c r="T77" s="71">
        <f>R77/Q77</f>
        <v/>
      </c>
      <c r="U77" s="458" t="n">
        <v>41500</v>
      </c>
      <c r="V77" s="458" t="n">
        <v>30000</v>
      </c>
      <c r="AM77" s="236" t="n"/>
    </row>
    <row r="78">
      <c r="A78" s="458" t="inlineStr">
        <is>
          <t>문현동</t>
        </is>
      </c>
      <c r="B78" s="159" t="n"/>
      <c r="C78" s="159" t="n"/>
      <c r="D78" s="458" t="n">
        <v>125851</v>
      </c>
      <c r="E78" s="113" t="inlineStr">
        <is>
          <t>오션파라곤</t>
        </is>
      </c>
      <c r="F78" s="458" t="n">
        <v>2022.11</v>
      </c>
      <c r="G78" s="458" t="n">
        <v>662</v>
      </c>
      <c r="H78" s="458">
        <f>2026-F78+1</f>
        <v/>
      </c>
      <c r="K78" s="458" t="n">
        <v>59</v>
      </c>
      <c r="M78" s="458" t="inlineStr">
        <is>
          <t>계단식</t>
        </is>
      </c>
      <c r="N78" s="458" t="n">
        <v>3</v>
      </c>
      <c r="O78" s="458" t="n">
        <v>2</v>
      </c>
      <c r="P78" s="458" t="n">
        <v>264</v>
      </c>
      <c r="Q78" s="152" t="n">
        <v>33000</v>
      </c>
      <c r="R78" s="152" t="n">
        <v>30000</v>
      </c>
      <c r="S78" s="581">
        <f>Q78-R78</f>
        <v/>
      </c>
      <c r="T78" s="71">
        <f>R78/Q78</f>
        <v/>
      </c>
      <c r="V78" s="458" t="n">
        <v>24551</v>
      </c>
      <c r="AM78" s="236" t="n"/>
    </row>
    <row r="79">
      <c r="A79" s="494" t="inlineStr">
        <is>
          <t>대연동</t>
        </is>
      </c>
      <c r="B79" s="289" t="n"/>
      <c r="C79" s="289" t="n"/>
      <c r="D79" s="494" t="n">
        <v>10488</v>
      </c>
      <c r="E79" s="150" t="inlineStr">
        <is>
          <t>대연극동</t>
        </is>
      </c>
      <c r="F79" s="494" t="n">
        <v>2002.08</v>
      </c>
      <c r="G79" s="494" t="n">
        <v>413</v>
      </c>
      <c r="H79" s="494">
        <f>2026-F79+1</f>
        <v/>
      </c>
      <c r="I79" s="289" t="n"/>
      <c r="J79" s="289" t="n"/>
      <c r="K79" s="494" t="n">
        <v>84</v>
      </c>
      <c r="L79" s="289" t="n"/>
      <c r="M79" s="494" t="inlineStr">
        <is>
          <t>계단식</t>
        </is>
      </c>
      <c r="N79" s="494" t="n">
        <v>3</v>
      </c>
      <c r="O79" s="494" t="n">
        <v>2</v>
      </c>
      <c r="P79" s="494" t="n">
        <v>185</v>
      </c>
      <c r="Q79" s="156" t="n">
        <v>32000</v>
      </c>
      <c r="R79" s="156" t="n">
        <v>21000</v>
      </c>
      <c r="S79" s="581">
        <f>Q79-R79</f>
        <v/>
      </c>
      <c r="T79" s="71">
        <f>R79/Q79</f>
        <v/>
      </c>
      <c r="U79" s="289" t="n">
        <v>40500</v>
      </c>
      <c r="V79" s="289" t="n">
        <v>31000</v>
      </c>
      <c r="AA79" s="289" t="n"/>
      <c r="AB79" s="289" t="n"/>
      <c r="AC79" s="289" t="n"/>
      <c r="AD79" s="289" t="n"/>
      <c r="AE79" s="289" t="n"/>
      <c r="AF79" s="289" t="n"/>
      <c r="AG79" s="289" t="n"/>
      <c r="AK79" s="289" t="n"/>
      <c r="AL79" s="289" t="n"/>
      <c r="AM79" s="289" t="n"/>
      <c r="AN79" s="289" t="n"/>
      <c r="AV79" s="289" t="n"/>
    </row>
    <row r="80">
      <c r="A80" s="494" t="inlineStr">
        <is>
          <t>문현동</t>
        </is>
      </c>
      <c r="B80" s="88" t="n"/>
      <c r="C80" s="89" t="n"/>
      <c r="D80" s="494" t="n">
        <v>4577</v>
      </c>
      <c r="E80" s="150" t="inlineStr">
        <is>
          <t>문현삼성</t>
        </is>
      </c>
      <c r="F80" s="494" t="n">
        <v>2001.05</v>
      </c>
      <c r="G80" s="494" t="n">
        <v>916</v>
      </c>
      <c r="H80" s="494">
        <f>2026-F80+1</f>
        <v/>
      </c>
      <c r="I80" s="289" t="n"/>
      <c r="J80" s="494" t="n">
        <v>80</v>
      </c>
      <c r="K80" s="494" t="n">
        <v>59</v>
      </c>
      <c r="L80" s="494" t="n">
        <v>24</v>
      </c>
      <c r="M80" s="494" t="inlineStr">
        <is>
          <t>계단식</t>
        </is>
      </c>
      <c r="N80" s="494" t="n">
        <v>3</v>
      </c>
      <c r="O80" s="494" t="n">
        <v>1</v>
      </c>
      <c r="P80" s="494" t="n">
        <v>295</v>
      </c>
      <c r="Q80" s="156" t="n">
        <v>32000</v>
      </c>
      <c r="R80" s="156" t="n">
        <v>22000</v>
      </c>
      <c r="S80" s="581">
        <f>Q80-R80</f>
        <v/>
      </c>
      <c r="T80" s="71">
        <f>R80/Q80</f>
        <v/>
      </c>
      <c r="U80" s="289" t="n">
        <v>42000</v>
      </c>
      <c r="V80" s="289" t="n">
        <v>28500</v>
      </c>
      <c r="AA80" s="289" t="n"/>
      <c r="AB80" s="289" t="n"/>
      <c r="AC80" s="289" t="n"/>
      <c r="AD80" s="289" t="n"/>
      <c r="AE80" s="289" t="n"/>
      <c r="AF80" s="289" t="n"/>
      <c r="AG80" s="289" t="n"/>
      <c r="AK80" s="289" t="n"/>
      <c r="AL80" s="289" t="n"/>
      <c r="AM80" s="88" t="n"/>
      <c r="AN80" s="289" t="n"/>
      <c r="AV80" s="289" t="n"/>
    </row>
    <row r="81">
      <c r="A81" s="494" t="inlineStr">
        <is>
          <t>용호동</t>
        </is>
      </c>
      <c r="B81" s="88" t="n"/>
      <c r="C81" s="89" t="n"/>
      <c r="D81" s="494" t="n">
        <v>4649</v>
      </c>
      <c r="E81" s="150" t="inlineStr">
        <is>
          <t>현대비치</t>
        </is>
      </c>
      <c r="F81" s="494" t="n">
        <v>1997.11</v>
      </c>
      <c r="G81" s="494" t="n">
        <v>648</v>
      </c>
      <c r="H81" s="494">
        <f>2026-F81+1</f>
        <v/>
      </c>
      <c r="I81" s="289" t="n"/>
      <c r="J81" s="494" t="n">
        <v>92</v>
      </c>
      <c r="K81" s="494" t="n">
        <v>72</v>
      </c>
      <c r="L81" s="494" t="n">
        <v>28</v>
      </c>
      <c r="M81" s="494" t="inlineStr">
        <is>
          <t>계단식</t>
        </is>
      </c>
      <c r="N81" s="494" t="n">
        <v>3</v>
      </c>
      <c r="O81" s="494" t="n">
        <v>1</v>
      </c>
      <c r="P81" s="494" t="n">
        <v>142</v>
      </c>
      <c r="Q81" s="156" t="n">
        <v>32000</v>
      </c>
      <c r="R81" s="156" t="n">
        <v>25000</v>
      </c>
      <c r="S81" s="581">
        <f>Q81-R81</f>
        <v/>
      </c>
      <c r="T81" s="71">
        <f>R81/Q81</f>
        <v/>
      </c>
      <c r="U81" s="289" t="n">
        <v>50000</v>
      </c>
      <c r="V81" s="289" t="n">
        <v>33800</v>
      </c>
      <c r="AA81" s="289" t="n"/>
      <c r="AB81" s="289" t="n"/>
      <c r="AC81" s="289" t="n"/>
      <c r="AD81" s="289" t="n"/>
      <c r="AE81" s="289" t="n"/>
      <c r="AF81" s="289" t="n"/>
      <c r="AG81" s="289" t="n"/>
      <c r="AK81" s="289" t="n"/>
      <c r="AL81" s="289" t="n"/>
      <c r="AM81" s="88" t="n"/>
      <c r="AN81" s="289" t="n"/>
      <c r="AV81" s="289" t="n"/>
    </row>
    <row r="82">
      <c r="A82" s="458" t="inlineStr">
        <is>
          <t>용당동</t>
        </is>
      </c>
      <c r="D82" s="458" t="n">
        <v>22395</v>
      </c>
      <c r="E82" s="146" t="inlineStr">
        <is>
          <t>신대연코오롱하늘채</t>
        </is>
      </c>
      <c r="F82" s="458" t="n">
        <v>2007.03</v>
      </c>
      <c r="G82" s="458" t="n">
        <v>712</v>
      </c>
      <c r="H82" s="458">
        <f>2026-F82+1</f>
        <v/>
      </c>
      <c r="K82" s="458" t="n">
        <v>84</v>
      </c>
      <c r="M82" s="458" t="inlineStr">
        <is>
          <t>계단식</t>
        </is>
      </c>
      <c r="N82" s="458" t="n">
        <v>3</v>
      </c>
      <c r="O82" s="458" t="n">
        <v>2</v>
      </c>
      <c r="P82" s="458" t="n">
        <v>586</v>
      </c>
      <c r="Q82" s="152" t="n">
        <v>31000</v>
      </c>
      <c r="R82" s="152" t="n">
        <v>30000</v>
      </c>
      <c r="S82" s="581">
        <f>Q82-R82</f>
        <v/>
      </c>
      <c r="T82" s="71">
        <f>R82/Q82</f>
        <v/>
      </c>
      <c r="U82" s="458" t="n">
        <v>45000</v>
      </c>
      <c r="V82" s="458" t="n">
        <v>26800</v>
      </c>
    </row>
    <row r="83">
      <c r="A83" s="494" t="inlineStr">
        <is>
          <t>용호동</t>
        </is>
      </c>
      <c r="B83" s="88" t="n"/>
      <c r="C83" s="89" t="n"/>
      <c r="D83" s="494" t="n">
        <v>4646</v>
      </c>
      <c r="E83" s="150" t="inlineStr">
        <is>
          <t>일신프리빌리지</t>
        </is>
      </c>
      <c r="F83" s="494" t="n">
        <v>1996.02</v>
      </c>
      <c r="G83" s="494" t="n">
        <v>518</v>
      </c>
      <c r="H83" s="494">
        <f>2026-F83+1</f>
        <v/>
      </c>
      <c r="I83" s="289" t="n"/>
      <c r="J83" s="289" t="n"/>
      <c r="K83" s="494" t="n">
        <v>84</v>
      </c>
      <c r="L83" s="289" t="n"/>
      <c r="M83" s="494" t="inlineStr">
        <is>
          <t>계단식</t>
        </is>
      </c>
      <c r="N83" s="494" t="n">
        <v>3</v>
      </c>
      <c r="O83" s="494" t="n">
        <v>1</v>
      </c>
      <c r="P83" s="494" t="n">
        <v>283</v>
      </c>
      <c r="Q83" s="156" t="n">
        <v>31000</v>
      </c>
      <c r="R83" s="156" t="n">
        <v>24000</v>
      </c>
      <c r="S83" s="581">
        <f>Q83-R83</f>
        <v/>
      </c>
      <c r="T83" s="71">
        <f>R83/Q83</f>
        <v/>
      </c>
      <c r="U83" s="289" t="n">
        <v>44000</v>
      </c>
      <c r="V83" s="289" t="n">
        <v>35000</v>
      </c>
      <c r="AA83" s="289" t="n"/>
      <c r="AB83" s="289" t="n"/>
      <c r="AC83" s="289" t="n"/>
      <c r="AD83" s="289" t="n"/>
      <c r="AE83" s="289" t="n"/>
      <c r="AF83" s="289" t="n"/>
      <c r="AG83" s="289" t="n"/>
      <c r="AK83" s="289" t="n"/>
      <c r="AL83" s="289" t="n"/>
      <c r="AM83" s="88" t="n"/>
      <c r="AN83" s="289" t="n"/>
      <c r="AV83" s="289" t="n"/>
    </row>
    <row r="84">
      <c r="A84" s="458" t="inlineStr">
        <is>
          <t>우암동</t>
        </is>
      </c>
      <c r="D84" s="458" t="n">
        <v>4725</v>
      </c>
      <c r="E84" s="113" t="inlineStr">
        <is>
          <t>동일</t>
        </is>
      </c>
      <c r="F84" s="458" t="n">
        <v>1988.07</v>
      </c>
      <c r="G84" s="458" t="n">
        <v>312</v>
      </c>
      <c r="H84" s="458">
        <f>2026-F84+1</f>
        <v/>
      </c>
      <c r="J84" s="458" t="n">
        <v>84</v>
      </c>
      <c r="K84" s="458" t="n">
        <v>71</v>
      </c>
      <c r="L84" s="458" t="n">
        <v>25</v>
      </c>
      <c r="M84" s="458" t="inlineStr">
        <is>
          <t>계단식</t>
        </is>
      </c>
      <c r="N84" s="458" t="n">
        <v>3</v>
      </c>
      <c r="O84" s="458" t="n">
        <v>1</v>
      </c>
      <c r="P84" s="458" t="n">
        <v>24</v>
      </c>
      <c r="Q84" s="152" t="n">
        <v>31000</v>
      </c>
      <c r="R84" s="152" t="n">
        <v>15000</v>
      </c>
      <c r="S84" s="581">
        <f>Q84-R84</f>
        <v/>
      </c>
      <c r="T84" s="71">
        <f>R84/Q84</f>
        <v/>
      </c>
    </row>
    <row r="85">
      <c r="A85" s="458" t="inlineStr">
        <is>
          <t>대연동</t>
        </is>
      </c>
      <c r="B85" s="159" t="n"/>
      <c r="C85" s="159" t="n"/>
      <c r="D85" s="458" t="n">
        <v>14171</v>
      </c>
      <c r="E85" s="113" t="inlineStr">
        <is>
          <t>대연경동메르빌</t>
        </is>
      </c>
      <c r="F85" s="458" t="n">
        <v>2005.08</v>
      </c>
      <c r="G85" s="458" t="n">
        <v>451</v>
      </c>
      <c r="H85" s="458">
        <f>2026-F85+1</f>
        <v/>
      </c>
      <c r="K85" s="458" t="n">
        <v>84</v>
      </c>
      <c r="M85" s="458" t="inlineStr">
        <is>
          <t>계단식</t>
        </is>
      </c>
      <c r="N85" s="458" t="n">
        <v>3</v>
      </c>
      <c r="O85" s="458" t="n">
        <v>2</v>
      </c>
      <c r="P85" s="458" t="n">
        <v>277</v>
      </c>
      <c r="Q85" s="152" t="n">
        <v>30000</v>
      </c>
      <c r="R85" s="152" t="n">
        <v>24000</v>
      </c>
      <c r="S85" s="581">
        <f>Q85-R85</f>
        <v/>
      </c>
      <c r="T85" s="71">
        <f>R85/Q85</f>
        <v/>
      </c>
      <c r="U85" s="458" t="n">
        <v>43500</v>
      </c>
      <c r="V85" s="458" t="n">
        <v>28000</v>
      </c>
      <c r="AM85" s="236" t="n"/>
    </row>
    <row r="86">
      <c r="A86" s="494" t="inlineStr">
        <is>
          <t>용호동</t>
        </is>
      </c>
      <c r="B86" s="289" t="n"/>
      <c r="C86" s="289" t="n"/>
      <c r="D86" s="494" t="n">
        <v>4636</v>
      </c>
      <c r="E86" s="150" t="inlineStr">
        <is>
          <t>벽산화이트타워</t>
        </is>
      </c>
      <c r="F86" s="494" t="n">
        <v>1994.12</v>
      </c>
      <c r="G86" s="494" t="n">
        <v>343</v>
      </c>
      <c r="H86" s="494">
        <f>2026-F86+1</f>
        <v/>
      </c>
      <c r="I86" s="289" t="n"/>
      <c r="J86" s="289" t="n"/>
      <c r="K86" s="494" t="n">
        <v>84</v>
      </c>
      <c r="L86" s="289" t="n"/>
      <c r="M86" s="494" t="inlineStr">
        <is>
          <t>계단식</t>
        </is>
      </c>
      <c r="N86" s="494" t="n">
        <v>3</v>
      </c>
      <c r="O86" s="494" t="n">
        <v>2</v>
      </c>
      <c r="P86" s="494" t="n">
        <v>220</v>
      </c>
      <c r="Q86" s="156" t="n">
        <v>30000</v>
      </c>
      <c r="R86" s="156" t="n">
        <v>23000</v>
      </c>
      <c r="S86" s="581">
        <f>Q86-R86</f>
        <v/>
      </c>
      <c r="T86" s="71">
        <f>R86/Q86</f>
        <v/>
      </c>
      <c r="U86" s="289" t="n">
        <v>27200</v>
      </c>
      <c r="V86" s="289" t="n">
        <v>17000</v>
      </c>
      <c r="AA86" s="289" t="n"/>
      <c r="AB86" s="289" t="n"/>
      <c r="AC86" s="289" t="n"/>
      <c r="AD86" s="289" t="n"/>
      <c r="AE86" s="289" t="n"/>
      <c r="AF86" s="289" t="n"/>
      <c r="AG86" s="289" t="n"/>
      <c r="AK86" s="289" t="n"/>
      <c r="AL86" s="289" t="n"/>
      <c r="AM86" s="289" t="n"/>
      <c r="AN86" s="289" t="n"/>
      <c r="AV86" s="289" t="n"/>
    </row>
    <row r="87">
      <c r="A87" s="458" t="inlineStr">
        <is>
          <t>문현동</t>
        </is>
      </c>
      <c r="B87" s="159" t="n"/>
      <c r="C87" s="159" t="n"/>
      <c r="D87" s="458" t="n">
        <v>4579</v>
      </c>
      <c r="E87" s="113" t="inlineStr">
        <is>
          <t>대림문현시티프라자(주상복합)</t>
        </is>
      </c>
      <c r="F87" s="458" t="n">
        <v>1999.07</v>
      </c>
      <c r="G87" s="458" t="n">
        <v>521</v>
      </c>
      <c r="H87" s="458">
        <f>2026-F87+1</f>
        <v/>
      </c>
      <c r="K87" s="458" t="n">
        <v>84</v>
      </c>
      <c r="M87" s="458" t="inlineStr">
        <is>
          <t>복도식</t>
        </is>
      </c>
      <c r="N87" s="458" t="n">
        <v>3</v>
      </c>
      <c r="O87" s="458" t="n">
        <v>2</v>
      </c>
      <c r="P87" s="458" t="n">
        <v>58</v>
      </c>
      <c r="Q87" s="152" t="n">
        <v>29500</v>
      </c>
      <c r="R87" s="152" t="n">
        <v>26000</v>
      </c>
      <c r="S87" s="581">
        <f>Q87-R87</f>
        <v/>
      </c>
      <c r="T87" s="71">
        <f>R87/Q87</f>
        <v/>
      </c>
      <c r="U87" s="458" t="n">
        <v>36500</v>
      </c>
      <c r="V87" s="458" t="n">
        <v>30000</v>
      </c>
      <c r="AM87" s="236" t="n"/>
    </row>
    <row r="88">
      <c r="A88" s="458" t="inlineStr">
        <is>
          <t>용호동</t>
        </is>
      </c>
      <c r="B88" s="159" t="n"/>
      <c r="C88" s="159" t="n"/>
      <c r="D88" s="458" t="n">
        <v>13513</v>
      </c>
      <c r="E88" s="113" t="inlineStr">
        <is>
          <t>일신님</t>
        </is>
      </c>
      <c r="F88" s="458" t="n">
        <v>2006.01</v>
      </c>
      <c r="G88" s="458" t="n">
        <v>710</v>
      </c>
      <c r="H88" s="458">
        <f>2026-F88+1</f>
        <v/>
      </c>
      <c r="J88" s="458" t="n">
        <v>84</v>
      </c>
      <c r="K88" s="458" t="n">
        <v>59</v>
      </c>
      <c r="L88" s="458" t="n">
        <v>25</v>
      </c>
      <c r="M88" s="458" t="inlineStr">
        <is>
          <t>계단식</t>
        </is>
      </c>
      <c r="N88" s="458" t="n">
        <v>3</v>
      </c>
      <c r="O88" s="458" t="n">
        <v>2</v>
      </c>
      <c r="P88" s="458" t="n">
        <v>82</v>
      </c>
      <c r="Q88" s="152" t="n">
        <v>29500</v>
      </c>
      <c r="R88" s="152" t="n">
        <v>24000</v>
      </c>
      <c r="S88" s="581">
        <f>Q88-R88</f>
        <v/>
      </c>
      <c r="T88" s="71">
        <f>R88/Q88</f>
        <v/>
      </c>
      <c r="U88" s="458" t="n">
        <v>41000</v>
      </c>
      <c r="V88" s="458" t="n">
        <v>29500</v>
      </c>
      <c r="AM88" s="236" t="n"/>
    </row>
    <row r="89">
      <c r="A89" s="458" t="inlineStr">
        <is>
          <t>감만동</t>
        </is>
      </c>
      <c r="B89" s="159" t="n"/>
      <c r="C89" s="159" t="n"/>
      <c r="D89" s="458" t="n">
        <v>12935</v>
      </c>
      <c r="E89" s="113" t="inlineStr">
        <is>
          <t>감만동일스위트</t>
        </is>
      </c>
      <c r="F89" s="458" t="n">
        <v>2005.1</v>
      </c>
      <c r="G89" s="458" t="n">
        <v>548</v>
      </c>
      <c r="H89" s="458">
        <f>2026-F89+1</f>
        <v/>
      </c>
      <c r="J89" s="458" t="n">
        <v>103</v>
      </c>
      <c r="K89" s="458" t="n">
        <v>80</v>
      </c>
      <c r="L89" s="458" t="n">
        <v>31</v>
      </c>
      <c r="M89" s="458" t="inlineStr">
        <is>
          <t>계단식</t>
        </is>
      </c>
      <c r="N89" s="458" t="n">
        <v>3</v>
      </c>
      <c r="O89" s="458" t="n">
        <v>2</v>
      </c>
      <c r="P89" s="458" t="n">
        <v>50</v>
      </c>
      <c r="Q89" s="152" t="n">
        <v>29000</v>
      </c>
      <c r="R89" s="152" t="n">
        <v>19000</v>
      </c>
      <c r="S89" s="581">
        <f>Q89-R89</f>
        <v/>
      </c>
      <c r="T89" s="71">
        <f>R89/Q89</f>
        <v/>
      </c>
      <c r="U89" s="458" t="n">
        <v>31000</v>
      </c>
      <c r="V89" s="458" t="n">
        <v>30000</v>
      </c>
      <c r="AM89" s="236" t="n"/>
    </row>
    <row r="90">
      <c r="A90" s="494" t="inlineStr">
        <is>
          <t>우암동</t>
        </is>
      </c>
      <c r="B90" s="289" t="n"/>
      <c r="C90" s="289" t="n"/>
      <c r="D90" s="494" t="n">
        <v>11242</v>
      </c>
      <c r="E90" s="150" t="inlineStr">
        <is>
          <t>우암중앙하이츠</t>
        </is>
      </c>
      <c r="F90" s="494" t="n">
        <v>2004.12</v>
      </c>
      <c r="G90" s="494" t="n">
        <v>465</v>
      </c>
      <c r="H90" s="494">
        <f>2026-F90+1</f>
        <v/>
      </c>
      <c r="I90" s="289" t="n"/>
      <c r="J90" s="494" t="n">
        <v>96</v>
      </c>
      <c r="K90" s="494" t="n">
        <v>71</v>
      </c>
      <c r="L90" s="494" t="n">
        <v>29</v>
      </c>
      <c r="M90" s="494" t="inlineStr">
        <is>
          <t>계단식</t>
        </is>
      </c>
      <c r="N90" s="494" t="n">
        <v>3</v>
      </c>
      <c r="O90" s="494" t="n">
        <v>2</v>
      </c>
      <c r="P90" s="494" t="n">
        <v>114</v>
      </c>
      <c r="Q90" s="156" t="n">
        <v>29000</v>
      </c>
      <c r="R90" s="156" t="n">
        <v>20000</v>
      </c>
      <c r="S90" s="581">
        <f>Q90-R90</f>
        <v/>
      </c>
      <c r="T90" s="71">
        <f>R90/Q90</f>
        <v/>
      </c>
      <c r="U90" s="289" t="n">
        <v>35000</v>
      </c>
      <c r="V90" s="289" t="n">
        <v>27000</v>
      </c>
      <c r="AA90" s="289" t="n"/>
      <c r="AB90" s="289" t="n"/>
      <c r="AC90" s="289" t="n"/>
      <c r="AD90" s="289" t="n"/>
      <c r="AE90" s="289" t="n"/>
      <c r="AF90" s="289" t="n"/>
      <c r="AG90" s="289" t="n"/>
      <c r="AK90" s="289" t="n"/>
      <c r="AL90" s="289" t="n"/>
      <c r="AM90" s="289" t="n"/>
      <c r="AN90" s="289" t="n"/>
      <c r="AV90" s="289" t="n"/>
    </row>
    <row r="91">
      <c r="A91" s="458" t="inlineStr">
        <is>
          <t>우암동</t>
        </is>
      </c>
      <c r="B91" s="159" t="n"/>
      <c r="C91" s="159" t="n"/>
      <c r="D91" s="458" t="n">
        <v>4725</v>
      </c>
      <c r="E91" s="113" t="inlineStr">
        <is>
          <t>동일</t>
        </is>
      </c>
      <c r="F91" s="458" t="n">
        <v>1988.07</v>
      </c>
      <c r="G91" s="458" t="n">
        <v>312</v>
      </c>
      <c r="H91" s="458">
        <f>2026-F91+1</f>
        <v/>
      </c>
      <c r="J91" s="458" t="n">
        <v>99</v>
      </c>
      <c r="K91" s="458" t="n">
        <v>84</v>
      </c>
      <c r="L91" s="458" t="n">
        <v>30</v>
      </c>
      <c r="M91" s="458" t="inlineStr">
        <is>
          <t>계단식</t>
        </is>
      </c>
      <c r="N91" s="458" t="n">
        <v>3</v>
      </c>
      <c r="O91" s="458" t="n">
        <v>2</v>
      </c>
      <c r="P91" s="458" t="n">
        <v>18</v>
      </c>
      <c r="Q91" s="152" t="n">
        <v>28000</v>
      </c>
      <c r="R91" s="152" t="n">
        <v>16000</v>
      </c>
      <c r="S91" s="581">
        <f>Q91-R91</f>
        <v/>
      </c>
      <c r="T91" s="71">
        <f>R91/Q91</f>
        <v/>
      </c>
      <c r="U91" s="458" t="n">
        <v>29500</v>
      </c>
      <c r="V91" s="458" t="n">
        <v>28000</v>
      </c>
      <c r="AM91" s="236" t="n"/>
    </row>
    <row r="92">
      <c r="A92" s="494" t="inlineStr">
        <is>
          <t>우암동</t>
        </is>
      </c>
      <c r="B92" s="289" t="n"/>
      <c r="C92" s="289" t="n"/>
      <c r="D92" s="494" t="n">
        <v>11242</v>
      </c>
      <c r="E92" s="150" t="inlineStr">
        <is>
          <t>우암중앙하이츠</t>
        </is>
      </c>
      <c r="F92" s="494" t="n">
        <v>2004.12</v>
      </c>
      <c r="G92" s="494" t="n">
        <v>465</v>
      </c>
      <c r="H92" s="494">
        <f>2026-F92+1</f>
        <v/>
      </c>
      <c r="I92" s="289" t="n"/>
      <c r="J92" s="289" t="n"/>
      <c r="K92" s="494" t="n">
        <v>84</v>
      </c>
      <c r="L92" s="289" t="n"/>
      <c r="M92" s="494" t="inlineStr">
        <is>
          <t>계단식</t>
        </is>
      </c>
      <c r="N92" s="494" t="n">
        <v>3</v>
      </c>
      <c r="O92" s="494" t="n">
        <v>2</v>
      </c>
      <c r="P92" s="494" t="n">
        <v>302</v>
      </c>
      <c r="Q92" s="156" t="n">
        <v>28000</v>
      </c>
      <c r="R92" s="156" t="n">
        <v>24000</v>
      </c>
      <c r="S92" s="581">
        <f>Q92-R92</f>
        <v/>
      </c>
      <c r="T92" s="71">
        <f>R92/Q92</f>
        <v/>
      </c>
      <c r="U92" s="289" t="n">
        <v>35000</v>
      </c>
      <c r="V92" s="289" t="n">
        <v>26000</v>
      </c>
      <c r="AA92" s="289" t="n"/>
      <c r="AB92" s="289" t="n"/>
      <c r="AC92" s="289" t="n"/>
      <c r="AD92" s="289" t="n"/>
      <c r="AE92" s="289" t="n"/>
      <c r="AF92" s="289" t="n"/>
      <c r="AG92" s="289" t="n"/>
      <c r="AK92" s="289" t="n"/>
      <c r="AL92" s="289" t="n"/>
      <c r="AM92" s="289" t="n"/>
      <c r="AN92" s="289" t="n"/>
      <c r="AV92" s="289" t="n"/>
    </row>
    <row r="93">
      <c r="A93" s="494" t="inlineStr">
        <is>
          <t>문현동</t>
        </is>
      </c>
      <c r="B93" s="289" t="n"/>
      <c r="C93" s="289" t="n"/>
      <c r="D93" s="494" t="n">
        <v>4575</v>
      </c>
      <c r="E93" s="133" t="inlineStr">
        <is>
          <t>벽산한성기린</t>
        </is>
      </c>
      <c r="F93" s="494" t="n">
        <v>1990.11</v>
      </c>
      <c r="G93" s="494" t="n">
        <v>300</v>
      </c>
      <c r="H93" s="494">
        <f>2026-F93+1</f>
        <v/>
      </c>
      <c r="I93" s="289" t="n"/>
      <c r="J93" s="289" t="n"/>
      <c r="K93" s="494" t="n">
        <v>84</v>
      </c>
      <c r="L93" s="289" t="n"/>
      <c r="M93" s="494" t="inlineStr">
        <is>
          <t>계단식</t>
        </is>
      </c>
      <c r="N93" s="494" t="n">
        <v>3</v>
      </c>
      <c r="O93" s="494" t="n">
        <v>2</v>
      </c>
      <c r="P93" s="494" t="n">
        <v>300</v>
      </c>
      <c r="Q93" s="156" t="n">
        <v>27500</v>
      </c>
      <c r="R93" s="156" t="n">
        <v>21000</v>
      </c>
      <c r="S93" s="581">
        <f>Q93-R93</f>
        <v/>
      </c>
      <c r="T93" s="71">
        <f>R93/Q93</f>
        <v/>
      </c>
      <c r="U93" s="289" t="n">
        <v>32800</v>
      </c>
      <c r="V93" s="289" t="n">
        <v>24800</v>
      </c>
      <c r="AA93" s="289" t="n"/>
      <c r="AB93" s="289" t="n"/>
      <c r="AC93" s="289" t="n"/>
      <c r="AD93" s="289" t="n"/>
      <c r="AE93" s="289" t="n"/>
      <c r="AF93" s="289" t="n"/>
      <c r="AG93" s="289" t="n"/>
      <c r="AK93" s="289" t="n"/>
      <c r="AL93" s="289" t="n"/>
      <c r="AM93" s="289" t="n"/>
      <c r="AN93" s="289" t="n"/>
      <c r="AV93" s="289" t="n"/>
    </row>
    <row r="94">
      <c r="A94" s="458" t="inlineStr">
        <is>
          <t>용호동</t>
        </is>
      </c>
      <c r="B94" s="159" t="n"/>
      <c r="C94" s="159" t="n"/>
      <c r="D94" s="458" t="n">
        <v>104246</v>
      </c>
      <c r="E94" s="113" t="inlineStr">
        <is>
          <t>쌍용예가</t>
        </is>
      </c>
      <c r="F94" s="458" t="n">
        <v>2013.06</v>
      </c>
      <c r="G94" s="458" t="n">
        <v>773</v>
      </c>
      <c r="H94" s="458">
        <f>2026-F94+1</f>
        <v/>
      </c>
      <c r="K94" s="458" t="n">
        <v>59</v>
      </c>
      <c r="M94" s="458" t="inlineStr">
        <is>
          <t>계단식</t>
        </is>
      </c>
      <c r="N94" s="458" t="n">
        <v>3</v>
      </c>
      <c r="O94" s="458" t="n">
        <v>2</v>
      </c>
      <c r="P94" s="458" t="n">
        <v>281</v>
      </c>
      <c r="Q94" s="152" t="n">
        <v>27500</v>
      </c>
      <c r="R94" s="152" t="n">
        <v>22000</v>
      </c>
      <c r="S94" s="581">
        <f>Q94-R94</f>
        <v/>
      </c>
      <c r="T94" s="71">
        <f>R94/Q94</f>
        <v/>
      </c>
      <c r="U94" s="458" t="n">
        <v>38500</v>
      </c>
      <c r="V94" s="458" t="n">
        <v>24500</v>
      </c>
      <c r="AM94" s="236" t="n"/>
    </row>
    <row r="95">
      <c r="A95" s="494" t="inlineStr">
        <is>
          <t>용호동</t>
        </is>
      </c>
      <c r="B95" s="289" t="n"/>
      <c r="C95" s="289" t="n"/>
      <c r="D95" s="494" t="n">
        <v>4649</v>
      </c>
      <c r="E95" s="150" t="inlineStr">
        <is>
          <t>현대비치</t>
        </is>
      </c>
      <c r="F95" s="494" t="n">
        <v>1997.11</v>
      </c>
      <c r="G95" s="494" t="n">
        <v>648</v>
      </c>
      <c r="H95" s="494">
        <f>2026-F95+1</f>
        <v/>
      </c>
      <c r="I95" s="289" t="n"/>
      <c r="J95" s="494" t="n">
        <v>80</v>
      </c>
      <c r="K95" s="494" t="n">
        <v>59</v>
      </c>
      <c r="L95" s="494" t="n">
        <v>24</v>
      </c>
      <c r="M95" s="494" t="inlineStr">
        <is>
          <t>계단식</t>
        </is>
      </c>
      <c r="N95" s="494" t="n">
        <v>3</v>
      </c>
      <c r="O95" s="494" t="n">
        <v>1</v>
      </c>
      <c r="P95" s="494" t="n">
        <v>231</v>
      </c>
      <c r="Q95" s="156" t="n">
        <v>27500</v>
      </c>
      <c r="R95" s="156" t="n">
        <v>20000</v>
      </c>
      <c r="S95" s="581">
        <f>Q95-R95</f>
        <v/>
      </c>
      <c r="T95" s="71">
        <f>R95/Q95</f>
        <v/>
      </c>
      <c r="U95" s="289" t="n">
        <v>42700</v>
      </c>
      <c r="V95" s="289" t="n">
        <v>26100</v>
      </c>
      <c r="AA95" s="289" t="n"/>
      <c r="AB95" s="289" t="n"/>
      <c r="AC95" s="289" t="n"/>
      <c r="AD95" s="289" t="n"/>
      <c r="AE95" s="289" t="n"/>
      <c r="AF95" s="289" t="n"/>
      <c r="AG95" s="289" t="n"/>
      <c r="AK95" s="289" t="n"/>
      <c r="AL95" s="289" t="n"/>
      <c r="AM95" s="289" t="n"/>
      <c r="AN95" s="289" t="n"/>
      <c r="AV95" s="289" t="n"/>
    </row>
    <row r="96">
      <c r="A96" s="458" t="inlineStr">
        <is>
          <t>감만동</t>
        </is>
      </c>
      <c r="D96" s="458" t="n">
        <v>12935</v>
      </c>
      <c r="E96" s="113" t="inlineStr">
        <is>
          <t>감만동일스위트</t>
        </is>
      </c>
      <c r="F96" s="458" t="n">
        <v>2005.1</v>
      </c>
      <c r="G96" s="458" t="n">
        <v>548</v>
      </c>
      <c r="H96" s="458">
        <f>2026-F96+1</f>
        <v/>
      </c>
      <c r="J96" s="458" t="n">
        <v>96</v>
      </c>
      <c r="K96" s="458" t="n">
        <v>74</v>
      </c>
      <c r="L96" s="458" t="n">
        <v>29</v>
      </c>
      <c r="M96" s="458" t="inlineStr">
        <is>
          <t>계단식</t>
        </is>
      </c>
      <c r="N96" s="458" t="n">
        <v>3</v>
      </c>
      <c r="O96" s="458" t="n">
        <v>2</v>
      </c>
      <c r="P96" s="458" t="n">
        <v>76</v>
      </c>
      <c r="Q96" s="152" t="n">
        <v>27000</v>
      </c>
      <c r="R96" s="152" t="n">
        <v>19000</v>
      </c>
      <c r="S96" s="581">
        <f>Q96-R96</f>
        <v/>
      </c>
      <c r="T96" s="71">
        <f>R96/Q96</f>
        <v/>
      </c>
      <c r="U96" s="458" t="n">
        <v>31500</v>
      </c>
      <c r="V96" s="458" t="n">
        <v>27500</v>
      </c>
    </row>
    <row r="97">
      <c r="A97" s="458" t="inlineStr">
        <is>
          <t>대연동</t>
        </is>
      </c>
      <c r="D97" s="458" t="n">
        <v>4521</v>
      </c>
      <c r="E97" s="113" t="inlineStr">
        <is>
          <t>대연대우</t>
        </is>
      </c>
      <c r="F97" s="458" t="n">
        <v>1996.02</v>
      </c>
      <c r="G97" s="458" t="n">
        <v>457</v>
      </c>
      <c r="H97" s="458">
        <f>2026-F97+1</f>
        <v/>
      </c>
      <c r="J97" s="458" t="n">
        <v>103</v>
      </c>
      <c r="K97" s="458" t="n">
        <v>84</v>
      </c>
      <c r="L97" s="458" t="n">
        <v>31</v>
      </c>
      <c r="M97" s="458" t="inlineStr">
        <is>
          <t>계단식</t>
        </is>
      </c>
      <c r="N97" s="458" t="n">
        <v>3</v>
      </c>
      <c r="O97" s="458" t="n">
        <v>2</v>
      </c>
      <c r="P97" s="458" t="n">
        <v>220</v>
      </c>
      <c r="Q97" s="152" t="n">
        <v>27000</v>
      </c>
      <c r="R97" s="152" t="n">
        <v>19000</v>
      </c>
      <c r="S97" s="581">
        <f>Q97-R97</f>
        <v/>
      </c>
      <c r="T97" s="71">
        <f>R97/Q97</f>
        <v/>
      </c>
      <c r="U97" s="458" t="n">
        <v>29900</v>
      </c>
      <c r="V97" s="458" t="n">
        <v>24000</v>
      </c>
    </row>
    <row r="98">
      <c r="A98" s="494" t="inlineStr">
        <is>
          <t>대연동</t>
        </is>
      </c>
      <c r="B98" s="88" t="n"/>
      <c r="C98" s="89" t="n"/>
      <c r="D98" s="494" t="n">
        <v>4530</v>
      </c>
      <c r="E98" s="150" t="inlineStr">
        <is>
          <t>삼성(649)</t>
        </is>
      </c>
      <c r="F98" s="494" t="n">
        <v>1996.1</v>
      </c>
      <c r="G98" s="494" t="n">
        <v>499</v>
      </c>
      <c r="H98" s="494">
        <f>2026-F98+1</f>
        <v/>
      </c>
      <c r="I98" s="289" t="n"/>
      <c r="J98" s="494" t="n">
        <v>104</v>
      </c>
      <c r="K98" s="494" t="n">
        <v>84</v>
      </c>
      <c r="L98" s="494" t="n">
        <v>31</v>
      </c>
      <c r="M98" s="494" t="inlineStr">
        <is>
          <t>계단식</t>
        </is>
      </c>
      <c r="N98" s="494" t="n">
        <v>3</v>
      </c>
      <c r="O98" s="494" t="n">
        <v>2</v>
      </c>
      <c r="P98" s="494" t="n">
        <v>244</v>
      </c>
      <c r="Q98" s="156" t="n">
        <v>27000</v>
      </c>
      <c r="R98" s="156" t="n">
        <v>22000</v>
      </c>
      <c r="S98" s="581">
        <f>Q98-R98</f>
        <v/>
      </c>
      <c r="T98" s="71">
        <f>R98/Q98</f>
        <v/>
      </c>
      <c r="U98" s="289" t="n">
        <v>38800</v>
      </c>
      <c r="V98" s="289" t="n">
        <v>31850</v>
      </c>
      <c r="AA98" s="289" t="n"/>
      <c r="AB98" s="289" t="n"/>
      <c r="AC98" s="289" t="n"/>
      <c r="AD98" s="289" t="n"/>
      <c r="AE98" s="289" t="n"/>
      <c r="AF98" s="289" t="n"/>
      <c r="AG98" s="289" t="n"/>
      <c r="AK98" s="289" t="n"/>
      <c r="AL98" s="289" t="n"/>
      <c r="AM98" s="88" t="n"/>
      <c r="AN98" s="289" t="n"/>
      <c r="AV98" s="289" t="n"/>
    </row>
    <row r="99">
      <c r="A99" s="458" t="inlineStr">
        <is>
          <t>대연동</t>
        </is>
      </c>
      <c r="D99" s="458" t="n">
        <v>101068</v>
      </c>
      <c r="E99" s="113" t="inlineStr">
        <is>
          <t>대연동일스위트(주상복합)</t>
        </is>
      </c>
      <c r="F99" s="458" t="n">
        <v>2004.12</v>
      </c>
      <c r="G99" s="458" t="n">
        <v>379</v>
      </c>
      <c r="H99" s="458">
        <f>2026-F99+1</f>
        <v/>
      </c>
      <c r="J99" s="134" t="n">
        <v>89</v>
      </c>
      <c r="K99" s="458" t="n">
        <v>65</v>
      </c>
      <c r="M99" s="458" t="inlineStr">
        <is>
          <t>복합식</t>
        </is>
      </c>
      <c r="N99" s="458" t="n">
        <v>1</v>
      </c>
      <c r="O99" s="458" t="n">
        <v>1</v>
      </c>
      <c r="P99" s="458" t="n">
        <v>3</v>
      </c>
      <c r="Q99" s="152" t="n">
        <v>26000</v>
      </c>
      <c r="R99" s="152" t="n">
        <v>18000</v>
      </c>
      <c r="S99" s="581">
        <f>Q99-R99</f>
        <v/>
      </c>
      <c r="T99" s="71">
        <f>R99/Q99</f>
        <v/>
      </c>
      <c r="U99" s="458" t="n">
        <v>28500</v>
      </c>
    </row>
    <row r="100">
      <c r="A100" s="458" t="inlineStr">
        <is>
          <t>용호동</t>
        </is>
      </c>
      <c r="D100" s="458" t="n">
        <v>4650</v>
      </c>
      <c r="E100" s="113" t="inlineStr">
        <is>
          <t>협진태양</t>
        </is>
      </c>
      <c r="F100" s="458" t="n">
        <v>1988.11</v>
      </c>
      <c r="G100" s="458" t="n">
        <v>315</v>
      </c>
      <c r="H100" s="458">
        <f>2026-F100+1</f>
        <v/>
      </c>
      <c r="J100" s="458" t="n">
        <v>86</v>
      </c>
      <c r="K100" s="458" t="n">
        <v>71</v>
      </c>
      <c r="L100" s="458" t="n">
        <v>26</v>
      </c>
      <c r="M100" s="458" t="inlineStr">
        <is>
          <t>계단식</t>
        </is>
      </c>
      <c r="N100" s="458" t="n">
        <v>3</v>
      </c>
      <c r="O100" s="458" t="n">
        <v>1</v>
      </c>
      <c r="P100" s="458" t="n">
        <v>40</v>
      </c>
      <c r="Q100" s="152" t="n">
        <v>26000</v>
      </c>
      <c r="R100" s="152" t="n">
        <v>11000</v>
      </c>
      <c r="S100" s="581">
        <f>Q100-R100</f>
        <v/>
      </c>
      <c r="T100" s="71">
        <f>R100/Q100</f>
        <v/>
      </c>
      <c r="U100" s="458" t="n">
        <v>26000</v>
      </c>
      <c r="V100" s="458" t="n">
        <v>24750</v>
      </c>
    </row>
    <row r="101">
      <c r="A101" s="494" t="inlineStr">
        <is>
          <t>문현동</t>
        </is>
      </c>
      <c r="B101" s="289" t="n"/>
      <c r="C101" s="289" t="n"/>
      <c r="D101" s="494" t="n">
        <v>4592</v>
      </c>
      <c r="E101" s="150" t="inlineStr">
        <is>
          <t>현대</t>
        </is>
      </c>
      <c r="F101" s="494" t="n">
        <v>1998.06</v>
      </c>
      <c r="G101" s="494" t="n">
        <v>693</v>
      </c>
      <c r="H101" s="494">
        <f>2026-F101+1</f>
        <v/>
      </c>
      <c r="I101" s="289" t="n"/>
      <c r="J101" s="494" t="n">
        <v>104</v>
      </c>
      <c r="K101" s="494" t="n">
        <v>84</v>
      </c>
      <c r="L101" s="494" t="n">
        <v>31</v>
      </c>
      <c r="M101" s="494" t="inlineStr">
        <is>
          <t>계단식</t>
        </is>
      </c>
      <c r="N101" s="494" t="n">
        <v>3</v>
      </c>
      <c r="O101" s="494" t="n">
        <v>2</v>
      </c>
      <c r="P101" s="494" t="n">
        <v>305</v>
      </c>
      <c r="Q101" s="156" t="n">
        <v>25500</v>
      </c>
      <c r="R101" s="156" t="n">
        <v>20000</v>
      </c>
      <c r="S101" s="581">
        <f>Q101-R101</f>
        <v/>
      </c>
      <c r="T101" s="71">
        <f>R101/Q101</f>
        <v/>
      </c>
      <c r="U101" s="289" t="n">
        <v>35900</v>
      </c>
      <c r="V101" s="289" t="n">
        <v>28500</v>
      </c>
      <c r="AA101" s="289" t="n"/>
      <c r="AB101" s="289" t="n"/>
      <c r="AC101" s="289" t="n"/>
      <c r="AD101" s="289" t="n"/>
      <c r="AE101" s="289" t="n"/>
      <c r="AF101" s="289" t="n"/>
      <c r="AG101" s="289" t="n"/>
      <c r="AK101" s="289" t="n"/>
      <c r="AL101" s="289" t="n"/>
      <c r="AM101" s="289" t="n"/>
      <c r="AN101" s="289" t="n"/>
      <c r="AV101" s="289" t="n"/>
    </row>
    <row r="102">
      <c r="A102" s="494" t="inlineStr">
        <is>
          <t>우암동</t>
        </is>
      </c>
      <c r="B102" s="289" t="n"/>
      <c r="C102" s="289" t="n"/>
      <c r="D102" s="494" t="n">
        <v>4724</v>
      </c>
      <c r="E102" s="150" t="inlineStr">
        <is>
          <t>뉴서울</t>
        </is>
      </c>
      <c r="F102" s="494" t="n">
        <v>1996.04</v>
      </c>
      <c r="G102" s="494" t="n">
        <v>429</v>
      </c>
      <c r="H102" s="494">
        <f>2026-F102+1</f>
        <v/>
      </c>
      <c r="I102" s="289" t="n"/>
      <c r="J102" s="494" t="n">
        <v>103</v>
      </c>
      <c r="K102" s="494" t="n">
        <v>84</v>
      </c>
      <c r="L102" s="494" t="n">
        <v>31</v>
      </c>
      <c r="M102" s="494" t="inlineStr">
        <is>
          <t>계단식</t>
        </is>
      </c>
      <c r="N102" s="494" t="n">
        <v>3</v>
      </c>
      <c r="O102" s="494" t="n">
        <v>2</v>
      </c>
      <c r="P102" s="494" t="n">
        <v>274</v>
      </c>
      <c r="Q102" s="156" t="n">
        <v>25500</v>
      </c>
      <c r="R102" s="156" t="n">
        <v>20000</v>
      </c>
      <c r="S102" s="581">
        <f>Q102-R102</f>
        <v/>
      </c>
      <c r="T102" s="71">
        <f>R102/Q102</f>
        <v/>
      </c>
      <c r="U102" s="289" t="n">
        <v>34700</v>
      </c>
      <c r="V102" s="289" t="n">
        <v>23000</v>
      </c>
      <c r="AA102" s="289" t="n"/>
      <c r="AB102" s="289" t="n"/>
      <c r="AC102" s="289" t="n"/>
      <c r="AD102" s="289" t="n"/>
      <c r="AE102" s="289" t="n"/>
      <c r="AF102" s="289" t="n"/>
      <c r="AG102" s="289" t="n"/>
      <c r="AK102" s="289" t="n"/>
      <c r="AL102" s="289" t="n"/>
      <c r="AM102" s="289" t="n"/>
      <c r="AN102" s="289" t="n"/>
      <c r="AV102" s="289" t="n"/>
    </row>
    <row r="103">
      <c r="A103" s="458" t="inlineStr">
        <is>
          <t>감만동</t>
        </is>
      </c>
      <c r="B103" s="159" t="n"/>
      <c r="C103" s="159" t="n"/>
      <c r="D103" s="458" t="n">
        <v>4477</v>
      </c>
      <c r="E103" s="113" t="inlineStr">
        <is>
          <t>국제</t>
        </is>
      </c>
      <c r="F103" s="458" t="n">
        <v>1996.1</v>
      </c>
      <c r="G103" s="458" t="n">
        <v>452</v>
      </c>
      <c r="H103" s="458">
        <f>2026-F103+1</f>
        <v/>
      </c>
      <c r="J103" s="458" t="n">
        <v>103</v>
      </c>
      <c r="K103" s="458" t="n">
        <v>82</v>
      </c>
      <c r="L103" s="458" t="n">
        <v>31</v>
      </c>
      <c r="M103" s="458" t="inlineStr">
        <is>
          <t>계단식</t>
        </is>
      </c>
      <c r="N103" s="458" t="n">
        <v>3</v>
      </c>
      <c r="O103" s="458" t="n">
        <v>2</v>
      </c>
      <c r="P103" s="458" t="n">
        <v>176</v>
      </c>
      <c r="Q103" s="152" t="n">
        <v>25000</v>
      </c>
      <c r="R103" s="152" t="n">
        <v>19000</v>
      </c>
      <c r="S103" s="581">
        <f>Q103-R103</f>
        <v/>
      </c>
      <c r="T103" s="71">
        <f>R103/Q103</f>
        <v/>
      </c>
      <c r="U103" s="458" t="n">
        <v>30700</v>
      </c>
      <c r="V103" s="458" t="n">
        <v>24000</v>
      </c>
      <c r="AM103" s="236" t="n"/>
    </row>
    <row r="104">
      <c r="A104" s="494" t="inlineStr">
        <is>
          <t>대연동</t>
        </is>
      </c>
      <c r="B104" s="88" t="n"/>
      <c r="C104" s="89" t="n"/>
      <c r="D104" s="494" t="n">
        <v>4548</v>
      </c>
      <c r="E104" s="150" t="inlineStr">
        <is>
          <t>대연청구</t>
        </is>
      </c>
      <c r="F104" s="494" t="n">
        <v>2001.07</v>
      </c>
      <c r="G104" s="494" t="n">
        <v>604</v>
      </c>
      <c r="H104" s="494">
        <f>2026-F104+1</f>
        <v/>
      </c>
      <c r="I104" s="289" t="n"/>
      <c r="J104" s="289" t="n"/>
      <c r="K104" s="494" t="n">
        <v>84</v>
      </c>
      <c r="L104" s="289" t="n"/>
      <c r="M104" s="494" t="inlineStr">
        <is>
          <t>계단식</t>
        </is>
      </c>
      <c r="N104" s="494" t="n">
        <v>3</v>
      </c>
      <c r="O104" s="494" t="n">
        <v>2</v>
      </c>
      <c r="P104" s="494" t="n">
        <v>240</v>
      </c>
      <c r="Q104" s="156" t="n">
        <v>25000</v>
      </c>
      <c r="R104" s="156" t="n">
        <v>24000</v>
      </c>
      <c r="S104" s="581">
        <f>Q104-R104</f>
        <v/>
      </c>
      <c r="T104" s="71">
        <f>R104/Q104</f>
        <v/>
      </c>
      <c r="U104" s="289" t="n">
        <v>34000</v>
      </c>
      <c r="V104" s="289" t="n">
        <v>21341</v>
      </c>
      <c r="AA104" s="289" t="n"/>
      <c r="AB104" s="289" t="n"/>
      <c r="AC104" s="289" t="n"/>
      <c r="AD104" s="289" t="n"/>
      <c r="AE104" s="289" t="n"/>
      <c r="AF104" s="289" t="n"/>
      <c r="AG104" s="289" t="n"/>
      <c r="AK104" s="289" t="n"/>
      <c r="AL104" s="289" t="n"/>
      <c r="AM104" s="88" t="n"/>
      <c r="AN104" s="289" t="n"/>
      <c r="AV104" s="289" t="n"/>
    </row>
    <row r="105">
      <c r="A105" s="494" t="inlineStr">
        <is>
          <t>대연동</t>
        </is>
      </c>
      <c r="B105" s="88" t="n"/>
      <c r="C105" s="89" t="n"/>
      <c r="D105" s="494" t="n">
        <v>4543</v>
      </c>
      <c r="E105" s="133" t="inlineStr">
        <is>
          <t>대연현대</t>
        </is>
      </c>
      <c r="F105" s="494" t="n">
        <v>1997.11</v>
      </c>
      <c r="G105" s="494" t="n">
        <v>366</v>
      </c>
      <c r="H105" s="494">
        <f>2026-F105+1</f>
        <v/>
      </c>
      <c r="I105" s="289" t="n"/>
      <c r="J105" s="494" t="n">
        <v>80</v>
      </c>
      <c r="K105" s="494" t="n">
        <v>59</v>
      </c>
      <c r="L105" s="494" t="n">
        <v>24</v>
      </c>
      <c r="M105" s="494" t="inlineStr">
        <is>
          <t>복도식</t>
        </is>
      </c>
      <c r="N105" s="494" t="n">
        <v>3</v>
      </c>
      <c r="O105" s="494" t="n">
        <v>1</v>
      </c>
      <c r="P105" s="494" t="n">
        <v>189</v>
      </c>
      <c r="Q105" s="156" t="n">
        <v>25000</v>
      </c>
      <c r="R105" s="156" t="n">
        <v>18000</v>
      </c>
      <c r="S105" s="581">
        <f>Q105-R105</f>
        <v/>
      </c>
      <c r="T105" s="71">
        <f>R105/Q105</f>
        <v/>
      </c>
      <c r="U105" s="289" t="n">
        <v>19250</v>
      </c>
      <c r="V105" s="289" t="n">
        <v>17300</v>
      </c>
      <c r="AA105" s="289" t="n"/>
      <c r="AB105" s="289" t="n"/>
      <c r="AC105" s="289" t="n"/>
      <c r="AD105" s="289" t="n"/>
      <c r="AE105" s="289" t="n"/>
      <c r="AF105" s="289" t="n"/>
      <c r="AG105" s="289" t="n"/>
      <c r="AK105" s="289" t="n"/>
      <c r="AL105" s="289" t="n"/>
      <c r="AM105" s="88" t="n"/>
      <c r="AN105" s="289" t="n"/>
      <c r="AV105" s="289" t="n"/>
    </row>
    <row r="106">
      <c r="A106" s="458" t="inlineStr">
        <is>
          <t>용당동</t>
        </is>
      </c>
      <c r="D106" s="458" t="n">
        <v>11665</v>
      </c>
      <c r="E106" s="113" t="inlineStr">
        <is>
          <t>현대아이파크</t>
        </is>
      </c>
      <c r="F106" s="458" t="n">
        <v>2002.12</v>
      </c>
      <c r="G106" s="458" t="n">
        <v>748</v>
      </c>
      <c r="H106" s="458">
        <f>2026-F106+1</f>
        <v/>
      </c>
      <c r="J106" s="458" t="n">
        <v>108</v>
      </c>
      <c r="K106" s="458" t="n">
        <v>84</v>
      </c>
      <c r="L106" s="458" t="n">
        <v>33</v>
      </c>
      <c r="M106" s="458" t="inlineStr">
        <is>
          <t>계단식</t>
        </is>
      </c>
      <c r="N106" s="458" t="n">
        <v>3</v>
      </c>
      <c r="O106" s="458" t="n">
        <v>2</v>
      </c>
      <c r="P106" s="458" t="n">
        <v>299</v>
      </c>
      <c r="Q106" s="152" t="n">
        <v>25000</v>
      </c>
      <c r="R106" s="152" t="n">
        <v>22000</v>
      </c>
      <c r="S106" s="581">
        <f>Q106-R106</f>
        <v/>
      </c>
      <c r="T106" s="71">
        <f>R106/Q106</f>
        <v/>
      </c>
      <c r="U106" s="458" t="n">
        <v>34500</v>
      </c>
      <c r="V106" s="458" t="n">
        <v>20000</v>
      </c>
    </row>
    <row r="107">
      <c r="A107" s="458" t="inlineStr">
        <is>
          <t>용호동</t>
        </is>
      </c>
      <c r="D107" s="458" t="n">
        <v>15882</v>
      </c>
      <c r="E107" s="113" t="inlineStr">
        <is>
          <t>오륙도뜨란채</t>
        </is>
      </c>
      <c r="F107" s="458" t="n">
        <v>2000.04</v>
      </c>
      <c r="G107" s="458" t="n">
        <v>480</v>
      </c>
      <c r="H107" s="458">
        <f>2026-F107+1</f>
        <v/>
      </c>
      <c r="K107" s="458" t="n">
        <v>84</v>
      </c>
      <c r="M107" s="458" t="inlineStr">
        <is>
          <t>계단식</t>
        </is>
      </c>
      <c r="N107" s="458" t="n">
        <v>3</v>
      </c>
      <c r="O107" s="458" t="n">
        <v>2</v>
      </c>
      <c r="P107" s="458" t="n">
        <v>103</v>
      </c>
      <c r="Q107" s="152" t="n">
        <v>25000</v>
      </c>
      <c r="R107" s="152" t="n">
        <v>18000</v>
      </c>
      <c r="S107" s="581">
        <f>Q107-R107</f>
        <v/>
      </c>
      <c r="T107" s="71">
        <f>R107/Q107</f>
        <v/>
      </c>
      <c r="U107" s="458" t="n">
        <v>27000</v>
      </c>
      <c r="V107" s="458" t="n">
        <v>19000</v>
      </c>
    </row>
    <row r="108">
      <c r="A108" s="458" t="inlineStr">
        <is>
          <t>감만동</t>
        </is>
      </c>
      <c r="D108" s="458" t="n">
        <v>12935</v>
      </c>
      <c r="E108" s="113" t="inlineStr">
        <is>
          <t>감만동일스위트</t>
        </is>
      </c>
      <c r="F108" s="458" t="n">
        <v>2005.1</v>
      </c>
      <c r="G108" s="458" t="n">
        <v>548</v>
      </c>
      <c r="H108" s="458">
        <f>2026-F108+1</f>
        <v/>
      </c>
      <c r="J108" s="458" t="n">
        <v>116</v>
      </c>
      <c r="K108" s="458" t="n">
        <v>84</v>
      </c>
      <c r="L108" s="458" t="n">
        <v>35</v>
      </c>
      <c r="M108" s="458" t="inlineStr">
        <is>
          <t>계단식</t>
        </is>
      </c>
      <c r="N108" s="458" t="n">
        <v>3</v>
      </c>
      <c r="O108" s="458" t="n">
        <v>2</v>
      </c>
      <c r="P108" s="458" t="n">
        <v>84</v>
      </c>
      <c r="Q108" s="152" t="n">
        <v>24500</v>
      </c>
      <c r="R108" s="152" t="n">
        <v>21000</v>
      </c>
      <c r="S108" s="581">
        <f>Q108-R108</f>
        <v/>
      </c>
      <c r="T108" s="71">
        <f>R108/Q108</f>
        <v/>
      </c>
      <c r="U108" s="458" t="n">
        <v>36000</v>
      </c>
      <c r="V108" s="458" t="n">
        <v>35500</v>
      </c>
    </row>
    <row r="109">
      <c r="A109" s="494" t="inlineStr">
        <is>
          <t>감만동</t>
        </is>
      </c>
      <c r="B109" s="88" t="n"/>
      <c r="C109" s="89" t="n"/>
      <c r="D109" s="494" t="n">
        <v>4502</v>
      </c>
      <c r="E109" s="150" t="inlineStr">
        <is>
          <t>감만현대1차</t>
        </is>
      </c>
      <c r="F109" s="494" t="n">
        <v>1996.05</v>
      </c>
      <c r="G109" s="494" t="n">
        <v>885</v>
      </c>
      <c r="H109" s="494">
        <f>2026-F109+1</f>
        <v/>
      </c>
      <c r="I109" s="289" t="n"/>
      <c r="J109" s="494" t="n">
        <v>104</v>
      </c>
      <c r="K109" s="494" t="n">
        <v>84</v>
      </c>
      <c r="L109" s="494" t="n">
        <v>31</v>
      </c>
      <c r="M109" s="494" t="inlineStr">
        <is>
          <t>계단식</t>
        </is>
      </c>
      <c r="N109" s="494" t="n">
        <v>3</v>
      </c>
      <c r="O109" s="494" t="n">
        <v>2</v>
      </c>
      <c r="P109" s="494" t="n">
        <v>96</v>
      </c>
      <c r="Q109" s="156" t="n">
        <v>24000</v>
      </c>
      <c r="R109" s="156" t="n">
        <v>16500</v>
      </c>
      <c r="S109" s="581">
        <f>Q109-R109</f>
        <v/>
      </c>
      <c r="T109" s="71">
        <f>R109/Q109</f>
        <v/>
      </c>
      <c r="U109" s="289" t="n">
        <v>26500</v>
      </c>
      <c r="V109" s="289" t="n">
        <v>19000</v>
      </c>
      <c r="AA109" s="289" t="n"/>
      <c r="AB109" s="289" t="n"/>
      <c r="AC109" s="289" t="n"/>
      <c r="AD109" s="289" t="n"/>
      <c r="AE109" s="289" t="n"/>
      <c r="AF109" s="289" t="n"/>
      <c r="AG109" s="289" t="n"/>
      <c r="AK109" s="289" t="n"/>
      <c r="AL109" s="289" t="n"/>
      <c r="AM109" s="88" t="n"/>
      <c r="AN109" s="289" t="n"/>
      <c r="AV109" s="289" t="n"/>
    </row>
    <row r="110">
      <c r="A110" s="458" t="inlineStr">
        <is>
          <t>대연동</t>
        </is>
      </c>
      <c r="D110" s="458" t="n">
        <v>14171</v>
      </c>
      <c r="E110" s="113" t="inlineStr">
        <is>
          <t>대연경동메르빌</t>
        </is>
      </c>
      <c r="F110" s="458" t="n">
        <v>2005.08</v>
      </c>
      <c r="G110" s="458" t="n">
        <v>451</v>
      </c>
      <c r="H110" s="458">
        <f>2026-F110+1</f>
        <v/>
      </c>
      <c r="K110" s="458" t="n">
        <v>59</v>
      </c>
      <c r="M110" s="458" t="inlineStr">
        <is>
          <t>계단식</t>
        </is>
      </c>
      <c r="N110" s="458" t="n">
        <v>3</v>
      </c>
      <c r="O110" s="458" t="n">
        <v>2</v>
      </c>
      <c r="P110" s="458" t="n">
        <v>116</v>
      </c>
      <c r="Q110" s="152" t="n">
        <v>24000</v>
      </c>
      <c r="R110" s="152" t="n">
        <v>20000</v>
      </c>
      <c r="S110" s="581">
        <f>Q110-R110</f>
        <v/>
      </c>
      <c r="T110" s="71">
        <f>R110/Q110</f>
        <v/>
      </c>
      <c r="U110" s="458" t="n">
        <v>31000</v>
      </c>
      <c r="V110" s="458" t="n">
        <v>20000</v>
      </c>
    </row>
    <row r="111">
      <c r="A111" s="458" t="inlineStr">
        <is>
          <t>대연동</t>
        </is>
      </c>
      <c r="D111" s="458" t="n">
        <v>101068</v>
      </c>
      <c r="E111" s="113" t="inlineStr">
        <is>
          <t>대연동일스위트(주상복합)</t>
        </is>
      </c>
      <c r="F111" s="458" t="n">
        <v>2004.12</v>
      </c>
      <c r="G111" s="458" t="n">
        <v>379</v>
      </c>
      <c r="H111" s="458">
        <f>2026-F111+1</f>
        <v/>
      </c>
      <c r="J111" s="134" t="n">
        <v>87</v>
      </c>
      <c r="K111" s="458" t="n">
        <v>64</v>
      </c>
      <c r="M111" s="458" t="inlineStr">
        <is>
          <t>복합식</t>
        </is>
      </c>
      <c r="N111" s="458" t="n">
        <v>2</v>
      </c>
      <c r="O111" s="458" t="n">
        <v>1</v>
      </c>
      <c r="P111" s="458" t="n">
        <v>6</v>
      </c>
      <c r="Q111" s="152" t="n">
        <v>24000</v>
      </c>
      <c r="R111" s="152" t="n">
        <v>20000</v>
      </c>
      <c r="S111" s="581">
        <f>Q111-R111</f>
        <v/>
      </c>
      <c r="T111" s="71">
        <f>R111/Q111</f>
        <v/>
      </c>
      <c r="U111" s="458" t="n">
        <v>28500</v>
      </c>
      <c r="V111" s="458" t="n">
        <v>28000</v>
      </c>
    </row>
    <row r="112">
      <c r="A112" s="494" t="inlineStr">
        <is>
          <t>용호동</t>
        </is>
      </c>
      <c r="B112" s="88" t="n"/>
      <c r="C112" s="89" t="n"/>
      <c r="D112" s="494" t="n">
        <v>4633</v>
      </c>
      <c r="E112" s="150" t="inlineStr">
        <is>
          <t>용호동일타운</t>
        </is>
      </c>
      <c r="F112" s="494" t="n">
        <v>1991.1</v>
      </c>
      <c r="G112" s="494" t="n">
        <v>444</v>
      </c>
      <c r="H112" s="494">
        <f>2026-F112+1</f>
        <v/>
      </c>
      <c r="I112" s="289" t="n"/>
      <c r="J112" s="289" t="n"/>
      <c r="K112" s="494" t="n">
        <v>76</v>
      </c>
      <c r="L112" s="289" t="n"/>
      <c r="M112" s="494" t="inlineStr">
        <is>
          <t>계단식</t>
        </is>
      </c>
      <c r="N112" s="494" t="n">
        <v>3</v>
      </c>
      <c r="O112" s="494" t="n">
        <v>1</v>
      </c>
      <c r="P112" s="494" t="n">
        <v>15</v>
      </c>
      <c r="Q112" s="156" t="n">
        <v>24000</v>
      </c>
      <c r="R112" s="156" t="n">
        <v>18000</v>
      </c>
      <c r="S112" s="581">
        <f>Q112-R112</f>
        <v/>
      </c>
      <c r="T112" s="71">
        <f>R112/Q112</f>
        <v/>
      </c>
      <c r="U112" s="289" t="n">
        <v>26200</v>
      </c>
      <c r="V112" s="289" t="n">
        <v>18500</v>
      </c>
      <c r="AA112" s="289" t="n"/>
      <c r="AB112" s="289" t="n"/>
      <c r="AC112" s="289" t="n"/>
      <c r="AD112" s="289" t="n"/>
      <c r="AE112" s="289" t="n"/>
      <c r="AF112" s="289" t="n"/>
      <c r="AG112" s="289" t="n"/>
      <c r="AK112" s="289" t="n"/>
      <c r="AL112" s="289" t="n"/>
      <c r="AM112" s="88" t="n"/>
      <c r="AN112" s="289" t="n"/>
      <c r="AV112" s="289" t="n"/>
    </row>
    <row r="113">
      <c r="A113" s="494" t="inlineStr">
        <is>
          <t>용호동</t>
        </is>
      </c>
      <c r="B113" s="88" t="n"/>
      <c r="C113" s="89" t="n"/>
      <c r="D113" s="494" t="n">
        <v>4633</v>
      </c>
      <c r="E113" s="150" t="inlineStr">
        <is>
          <t>용호동일타운</t>
        </is>
      </c>
      <c r="F113" s="494" t="n">
        <v>1991.1</v>
      </c>
      <c r="G113" s="494" t="n">
        <v>444</v>
      </c>
      <c r="H113" s="494">
        <f>2026-F113+1</f>
        <v/>
      </c>
      <c r="I113" s="289" t="n"/>
      <c r="J113" s="494" t="n">
        <v>102</v>
      </c>
      <c r="K113" s="494" t="n">
        <v>84</v>
      </c>
      <c r="L113" s="494" t="n">
        <v>31</v>
      </c>
      <c r="M113" s="494" t="inlineStr">
        <is>
          <t>계단식</t>
        </is>
      </c>
      <c r="N113" s="494" t="n">
        <v>3</v>
      </c>
      <c r="O113" s="494" t="n">
        <v>2</v>
      </c>
      <c r="P113" s="494" t="n">
        <v>180</v>
      </c>
      <c r="Q113" s="156" t="n">
        <v>24000</v>
      </c>
      <c r="R113" s="156" t="n">
        <v>15000</v>
      </c>
      <c r="S113" s="581">
        <f>Q113-R113</f>
        <v/>
      </c>
      <c r="T113" s="71">
        <f>R113/Q113</f>
        <v/>
      </c>
      <c r="U113" s="289" t="n">
        <v>27500</v>
      </c>
      <c r="V113" s="289" t="n">
        <v>21000</v>
      </c>
      <c r="AA113" s="289" t="n"/>
      <c r="AB113" s="289" t="n"/>
      <c r="AC113" s="289" t="n"/>
      <c r="AD113" s="289" t="n"/>
      <c r="AE113" s="289" t="n"/>
      <c r="AF113" s="289" t="n"/>
      <c r="AG113" s="289" t="n"/>
      <c r="AK113" s="289" t="n"/>
      <c r="AL113" s="289" t="n"/>
      <c r="AM113" s="88" t="n"/>
      <c r="AN113" s="289" t="n"/>
      <c r="AV113" s="289" t="n"/>
    </row>
    <row r="114">
      <c r="A114" s="458" t="inlineStr">
        <is>
          <t>대연동</t>
        </is>
      </c>
      <c r="B114" s="159" t="n"/>
      <c r="C114" s="159" t="n"/>
      <c r="D114" s="458" t="n">
        <v>4532</v>
      </c>
      <c r="E114" s="113" t="inlineStr">
        <is>
          <t>삼익그린타운</t>
        </is>
      </c>
      <c r="F114" s="458" t="n">
        <v>2001.02</v>
      </c>
      <c r="G114" s="458" t="n">
        <v>725</v>
      </c>
      <c r="H114" s="458">
        <f>2026-F114+1</f>
        <v/>
      </c>
      <c r="J114" s="458" t="n">
        <v>104</v>
      </c>
      <c r="K114" s="458" t="n">
        <v>84</v>
      </c>
      <c r="L114" s="458" t="n">
        <v>31</v>
      </c>
      <c r="M114" s="458" t="inlineStr">
        <is>
          <t>계단식</t>
        </is>
      </c>
      <c r="N114" s="458" t="n">
        <v>3</v>
      </c>
      <c r="O114" s="458" t="n">
        <v>2</v>
      </c>
      <c r="P114" s="458" t="n">
        <v>289</v>
      </c>
      <c r="Q114" s="152" t="n">
        <v>23000</v>
      </c>
      <c r="R114" s="152" t="n">
        <v>23000</v>
      </c>
      <c r="S114" s="581">
        <f>Q114-R114</f>
        <v/>
      </c>
      <c r="T114" s="71">
        <f>R114/Q114</f>
        <v/>
      </c>
      <c r="U114" s="458" t="n">
        <v>31800</v>
      </c>
      <c r="V114" s="458" t="n">
        <v>20000</v>
      </c>
      <c r="AM114" s="236" t="n"/>
    </row>
    <row r="115">
      <c r="A115" s="458" t="inlineStr">
        <is>
          <t>용당동</t>
        </is>
      </c>
      <c r="B115" s="159" t="n"/>
      <c r="C115" s="159" t="n"/>
      <c r="D115" s="458" t="n">
        <v>11665</v>
      </c>
      <c r="E115" s="113" t="inlineStr">
        <is>
          <t>현대아이파크</t>
        </is>
      </c>
      <c r="F115" s="458" t="n">
        <v>2002.12</v>
      </c>
      <c r="G115" s="458" t="n">
        <v>748</v>
      </c>
      <c r="H115" s="458">
        <f>2026-F115+1</f>
        <v/>
      </c>
      <c r="J115" s="458" t="n">
        <v>98</v>
      </c>
      <c r="K115" s="458" t="n">
        <v>77</v>
      </c>
      <c r="L115" s="458" t="n">
        <v>30</v>
      </c>
      <c r="M115" s="458" t="inlineStr">
        <is>
          <t>계단식</t>
        </is>
      </c>
      <c r="N115" s="458" t="n">
        <v>3</v>
      </c>
      <c r="O115" s="458" t="n">
        <v>2</v>
      </c>
      <c r="P115" s="458" t="n">
        <v>150</v>
      </c>
      <c r="Q115" s="152" t="n">
        <v>23000</v>
      </c>
      <c r="R115" s="152" t="n">
        <v>19000</v>
      </c>
      <c r="S115" s="581">
        <f>Q115-R115</f>
        <v/>
      </c>
      <c r="T115" s="71">
        <f>R115/Q115</f>
        <v/>
      </c>
      <c r="U115" s="458" t="n">
        <v>30800</v>
      </c>
      <c r="V115" s="458" t="n">
        <v>23000</v>
      </c>
      <c r="AM115" s="236" t="n"/>
    </row>
    <row r="116">
      <c r="A116" s="494" t="inlineStr">
        <is>
          <t>용호동</t>
        </is>
      </c>
      <c r="B116" s="289" t="n"/>
      <c r="C116" s="289" t="n"/>
      <c r="D116" s="494" t="n">
        <v>4646</v>
      </c>
      <c r="E116" s="150" t="inlineStr">
        <is>
          <t>일신프리빌리지</t>
        </is>
      </c>
      <c r="F116" s="494" t="n">
        <v>1996.02</v>
      </c>
      <c r="G116" s="494" t="n">
        <v>518</v>
      </c>
      <c r="H116" s="494">
        <f>2026-F116+1</f>
        <v/>
      </c>
      <c r="I116" s="289" t="n"/>
      <c r="J116" s="494" t="n">
        <v>77</v>
      </c>
      <c r="K116" s="494" t="n">
        <v>59</v>
      </c>
      <c r="L116" s="494" t="n">
        <v>23</v>
      </c>
      <c r="M116" s="494" t="inlineStr">
        <is>
          <t>계단식</t>
        </is>
      </c>
      <c r="N116" s="494" t="n">
        <v>3</v>
      </c>
      <c r="O116" s="494" t="n">
        <v>1</v>
      </c>
      <c r="P116" s="494" t="n">
        <v>185</v>
      </c>
      <c r="Q116" s="156" t="n">
        <v>23000</v>
      </c>
      <c r="R116" s="156" t="n">
        <v>19000</v>
      </c>
      <c r="S116" s="581">
        <f>Q116-R116</f>
        <v/>
      </c>
      <c r="T116" s="71">
        <f>R116/Q116</f>
        <v/>
      </c>
      <c r="U116" s="289" t="n">
        <v>33500</v>
      </c>
      <c r="V116" s="289" t="n">
        <v>24800</v>
      </c>
      <c r="AA116" s="289" t="n"/>
      <c r="AB116" s="289" t="n"/>
      <c r="AC116" s="289" t="n"/>
      <c r="AD116" s="289" t="n"/>
      <c r="AE116" s="289" t="n"/>
      <c r="AF116" s="289" t="n"/>
      <c r="AG116" s="289" t="n"/>
      <c r="AK116" s="289" t="n"/>
      <c r="AL116" s="289" t="n"/>
      <c r="AM116" s="289" t="n"/>
      <c r="AN116" s="289" t="n"/>
      <c r="AV116" s="289" t="n"/>
    </row>
    <row r="117">
      <c r="A117" s="458" t="inlineStr">
        <is>
          <t>우암동</t>
        </is>
      </c>
      <c r="D117" s="458" t="n">
        <v>4737</v>
      </c>
      <c r="E117" s="113" t="inlineStr">
        <is>
          <t>우암자유2차</t>
        </is>
      </c>
      <c r="F117" s="458" t="n">
        <v>1993.06</v>
      </c>
      <c r="G117" s="458" t="n">
        <v>335</v>
      </c>
      <c r="H117" s="458">
        <f>2026-F117+1</f>
        <v/>
      </c>
      <c r="J117" s="458" t="n">
        <v>109</v>
      </c>
      <c r="K117" s="458" t="n">
        <v>84</v>
      </c>
      <c r="L117" s="458" t="n">
        <v>33</v>
      </c>
      <c r="M117" s="458" t="inlineStr">
        <is>
          <t>계단식</t>
        </is>
      </c>
      <c r="N117" s="458" t="n">
        <v>3</v>
      </c>
      <c r="O117" s="458" t="n">
        <v>2</v>
      </c>
      <c r="P117" s="458" t="n">
        <v>152</v>
      </c>
      <c r="Q117" s="152" t="n">
        <v>23000</v>
      </c>
      <c r="R117" s="152" t="n">
        <v>24000</v>
      </c>
      <c r="S117" s="581">
        <f>Q117-R117</f>
        <v/>
      </c>
      <c r="T117" s="71">
        <f>R117/Q117</f>
        <v/>
      </c>
      <c r="U117" s="458" t="n">
        <v>31000</v>
      </c>
      <c r="V117" s="458" t="n">
        <v>24500</v>
      </c>
    </row>
    <row r="118">
      <c r="A118" s="494" t="inlineStr">
        <is>
          <t>용호동</t>
        </is>
      </c>
      <c r="B118" s="88" t="n"/>
      <c r="C118" s="89" t="n"/>
      <c r="D118" s="494" t="n">
        <v>4649</v>
      </c>
      <c r="E118" s="150" t="inlineStr">
        <is>
          <t>현대비치</t>
        </is>
      </c>
      <c r="F118" s="494" t="n">
        <v>1997.11</v>
      </c>
      <c r="G118" s="494" t="n">
        <v>648</v>
      </c>
      <c r="H118" s="494">
        <f>2026-F118+1</f>
        <v/>
      </c>
      <c r="I118" s="289" t="n"/>
      <c r="J118" s="494" t="n">
        <v>69</v>
      </c>
      <c r="K118" s="494" t="n">
        <v>52</v>
      </c>
      <c r="L118" s="494" t="n">
        <v>21</v>
      </c>
      <c r="M118" s="494" t="inlineStr">
        <is>
          <t>계단식</t>
        </is>
      </c>
      <c r="N118" s="494" t="n">
        <v>2</v>
      </c>
      <c r="O118" s="494" t="n">
        <v>1</v>
      </c>
      <c r="P118" s="494" t="n">
        <v>229</v>
      </c>
      <c r="Q118" s="156" t="n">
        <v>22500</v>
      </c>
      <c r="R118" s="156" t="n">
        <v>22000</v>
      </c>
      <c r="S118" s="581">
        <f>Q118-R118</f>
        <v/>
      </c>
      <c r="T118" s="71">
        <f>R118/Q118</f>
        <v/>
      </c>
      <c r="U118" s="289" t="n">
        <v>32500</v>
      </c>
      <c r="V118" s="289" t="n">
        <v>20000</v>
      </c>
      <c r="AA118" s="289" t="n"/>
      <c r="AB118" s="289" t="n"/>
      <c r="AC118" s="289" t="n"/>
      <c r="AD118" s="289" t="n"/>
      <c r="AE118" s="289" t="n"/>
      <c r="AF118" s="289" t="n"/>
      <c r="AG118" s="289" t="n"/>
      <c r="AK118" s="289" t="n"/>
      <c r="AL118" s="289" t="n"/>
      <c r="AM118" s="88" t="n"/>
      <c r="AN118" s="289" t="n"/>
      <c r="AV118" s="289" t="n"/>
    </row>
    <row r="119">
      <c r="A119" s="494" t="inlineStr">
        <is>
          <t>대연동</t>
        </is>
      </c>
      <c r="B119" s="88" t="n"/>
      <c r="C119" s="89" t="n"/>
      <c r="D119" s="494" t="n">
        <v>4530</v>
      </c>
      <c r="E119" s="150" t="inlineStr">
        <is>
          <t>삼성(649)</t>
        </is>
      </c>
      <c r="F119" s="494" t="n">
        <v>1996.1</v>
      </c>
      <c r="G119" s="494" t="n">
        <v>499</v>
      </c>
      <c r="H119" s="494">
        <f>2026-F119+1</f>
        <v/>
      </c>
      <c r="I119" s="289" t="n"/>
      <c r="J119" s="494" t="n">
        <v>82</v>
      </c>
      <c r="K119" s="494" t="n">
        <v>59</v>
      </c>
      <c r="L119" s="494" t="n">
        <v>25</v>
      </c>
      <c r="M119" s="494" t="inlineStr">
        <is>
          <t>복도식</t>
        </is>
      </c>
      <c r="N119" s="494" t="n">
        <v>3</v>
      </c>
      <c r="O119" s="494" t="n">
        <v>1</v>
      </c>
      <c r="P119" s="494" t="n">
        <v>205</v>
      </c>
      <c r="Q119" s="156" t="n">
        <v>22000</v>
      </c>
      <c r="R119" s="156" t="n">
        <v>18000</v>
      </c>
      <c r="S119" s="581">
        <f>Q119-R119</f>
        <v/>
      </c>
      <c r="T119" s="71">
        <f>R119/Q119</f>
        <v/>
      </c>
      <c r="U119" s="289" t="n">
        <v>29400</v>
      </c>
      <c r="V119" s="289" t="n">
        <v>23000</v>
      </c>
      <c r="AA119" s="289" t="n"/>
      <c r="AB119" s="289" t="n"/>
      <c r="AC119" s="289" t="n"/>
      <c r="AD119" s="289" t="n"/>
      <c r="AE119" s="289" t="n"/>
      <c r="AF119" s="289" t="n"/>
      <c r="AG119" s="289" t="n"/>
      <c r="AK119" s="289" t="n"/>
      <c r="AL119" s="289" t="n"/>
      <c r="AM119" s="88" t="n"/>
      <c r="AN119" s="289" t="n"/>
      <c r="AV119" s="289" t="n"/>
    </row>
    <row r="120">
      <c r="A120" s="458" t="inlineStr">
        <is>
          <t>용호동</t>
        </is>
      </c>
      <c r="D120" s="458" t="n">
        <v>15882</v>
      </c>
      <c r="E120" s="113" t="inlineStr">
        <is>
          <t>오륙도뜨란채</t>
        </is>
      </c>
      <c r="F120" s="458" t="n">
        <v>2000.04</v>
      </c>
      <c r="G120" s="458" t="n">
        <v>480</v>
      </c>
      <c r="H120" s="458">
        <f>2026-F120+1</f>
        <v/>
      </c>
      <c r="J120" s="458" t="n">
        <v>95</v>
      </c>
      <c r="K120" s="458" t="n">
        <v>75</v>
      </c>
      <c r="L120" s="458" t="n">
        <v>29</v>
      </c>
      <c r="M120" s="458" t="inlineStr">
        <is>
          <t>계단식</t>
        </is>
      </c>
      <c r="N120" s="458" t="n">
        <v>3</v>
      </c>
      <c r="O120" s="458" t="n">
        <v>1</v>
      </c>
      <c r="P120" s="458" t="n">
        <v>50</v>
      </c>
      <c r="Q120" s="152" t="n">
        <v>22000</v>
      </c>
      <c r="R120" s="152" t="n">
        <v>14000</v>
      </c>
      <c r="S120" s="581">
        <f>Q120-R120</f>
        <v/>
      </c>
      <c r="T120" s="71">
        <f>R120/Q120</f>
        <v/>
      </c>
      <c r="U120" s="458" t="n">
        <v>24000</v>
      </c>
      <c r="V120" s="458" t="n">
        <v>20000</v>
      </c>
    </row>
    <row r="121">
      <c r="A121" s="458" t="inlineStr">
        <is>
          <t>우암동</t>
        </is>
      </c>
      <c r="D121" s="458" t="n">
        <v>4731</v>
      </c>
      <c r="E121" s="113" t="inlineStr">
        <is>
          <t>일신보라</t>
        </is>
      </c>
      <c r="F121" s="458" t="n">
        <v>1998.09</v>
      </c>
      <c r="G121" s="458" t="n">
        <v>661</v>
      </c>
      <c r="H121" s="458">
        <f>2026-F121+1</f>
        <v/>
      </c>
      <c r="J121" s="458" t="n">
        <v>105</v>
      </c>
      <c r="K121" s="458" t="n">
        <v>84</v>
      </c>
      <c r="L121" s="458" t="n">
        <v>32</v>
      </c>
      <c r="M121" s="458" t="inlineStr">
        <is>
          <t>계단식</t>
        </is>
      </c>
      <c r="N121" s="458" t="n">
        <v>3</v>
      </c>
      <c r="O121" s="458" t="n">
        <v>2</v>
      </c>
      <c r="P121" s="458" t="n">
        <v>290</v>
      </c>
      <c r="Q121" s="152" t="n">
        <v>21500</v>
      </c>
      <c r="R121" s="152" t="n">
        <v>18000</v>
      </c>
      <c r="S121" s="581">
        <f>Q121-R121</f>
        <v/>
      </c>
      <c r="T121" s="71">
        <f>R121/Q121</f>
        <v/>
      </c>
      <c r="U121" s="458" t="n">
        <v>29800</v>
      </c>
      <c r="V121" s="458" t="n">
        <v>23000</v>
      </c>
    </row>
    <row r="122">
      <c r="A122" s="494" t="inlineStr">
        <is>
          <t>대연동</t>
        </is>
      </c>
      <c r="B122" s="289" t="n"/>
      <c r="C122" s="289" t="n"/>
      <c r="D122" s="494" t="n">
        <v>4526</v>
      </c>
      <c r="E122" s="150" t="inlineStr">
        <is>
          <t>대우그린1차</t>
        </is>
      </c>
      <c r="F122" s="494" t="n">
        <v>1997.09</v>
      </c>
      <c r="G122" s="494" t="n">
        <v>691</v>
      </c>
      <c r="H122" s="494">
        <f>2026-F122+1</f>
        <v/>
      </c>
      <c r="I122" s="289" t="n"/>
      <c r="J122" s="494" t="n">
        <v>101</v>
      </c>
      <c r="K122" s="494" t="n">
        <v>84</v>
      </c>
      <c r="L122" s="494" t="n">
        <v>31</v>
      </c>
      <c r="M122" s="494" t="inlineStr">
        <is>
          <t>계단식</t>
        </is>
      </c>
      <c r="N122" s="494" t="n">
        <v>3</v>
      </c>
      <c r="O122" s="494" t="n">
        <v>2</v>
      </c>
      <c r="P122" s="494" t="n">
        <v>286</v>
      </c>
      <c r="Q122" s="156" t="n">
        <v>21000</v>
      </c>
      <c r="R122" s="156" t="n"/>
      <c r="S122" s="581">
        <f>Q122-R122</f>
        <v/>
      </c>
      <c r="T122" s="71">
        <f>R122/Q122</f>
        <v/>
      </c>
      <c r="U122" s="289" t="n">
        <v>28500</v>
      </c>
      <c r="V122" s="289" t="n">
        <v>19700</v>
      </c>
      <c r="AA122" s="289" t="n"/>
      <c r="AB122" s="289" t="n"/>
      <c r="AC122" s="289" t="n"/>
      <c r="AD122" s="289" t="n"/>
      <c r="AE122" s="289" t="n"/>
      <c r="AF122" s="289" t="n"/>
      <c r="AG122" s="289" t="n"/>
      <c r="AK122" s="289" t="n"/>
      <c r="AL122" s="289" t="n"/>
      <c r="AM122" s="289" t="n"/>
      <c r="AN122" s="289" t="n"/>
      <c r="AV122" s="289" t="n"/>
    </row>
    <row r="123">
      <c r="A123" s="458" t="inlineStr">
        <is>
          <t>문현동</t>
        </is>
      </c>
      <c r="B123" s="159" t="n"/>
      <c r="C123" s="159" t="n"/>
      <c r="D123" s="458" t="n">
        <v>8861</v>
      </c>
      <c r="E123" s="113" t="inlineStr">
        <is>
          <t>문현현대2차</t>
        </is>
      </c>
      <c r="F123" s="458" t="n">
        <v>2000.06</v>
      </c>
      <c r="G123" s="458" t="n">
        <v>420</v>
      </c>
      <c r="H123" s="458">
        <f>2026-F123+1</f>
        <v/>
      </c>
      <c r="J123" s="458" t="n">
        <v>95</v>
      </c>
      <c r="K123" s="458" t="n">
        <v>74</v>
      </c>
      <c r="L123" s="458" t="n">
        <v>29</v>
      </c>
      <c r="M123" s="458" t="inlineStr">
        <is>
          <t>계단식</t>
        </is>
      </c>
      <c r="N123" s="458" t="n">
        <v>3</v>
      </c>
      <c r="O123" s="458" t="n">
        <v>2</v>
      </c>
      <c r="P123" s="458" t="n">
        <v>80</v>
      </c>
      <c r="Q123" s="152" t="n">
        <v>21000</v>
      </c>
      <c r="R123" s="152" t="n">
        <v>18000</v>
      </c>
      <c r="S123" s="581">
        <f>Q123-R123</f>
        <v/>
      </c>
      <c r="T123" s="71">
        <f>R123/Q123</f>
        <v/>
      </c>
      <c r="U123" s="458" t="n">
        <v>26800</v>
      </c>
      <c r="V123" s="458" t="n">
        <v>24000</v>
      </c>
      <c r="AM123" s="236" t="n"/>
    </row>
    <row r="124">
      <c r="A124" s="494" t="inlineStr">
        <is>
          <t>용당동</t>
        </is>
      </c>
      <c r="B124" s="289" t="n"/>
      <c r="C124" s="289" t="n"/>
      <c r="D124" s="494" t="n">
        <v>11549</v>
      </c>
      <c r="E124" s="150" t="inlineStr">
        <is>
          <t>용당한신문화타운</t>
        </is>
      </c>
      <c r="F124" s="494" t="n">
        <v>1990.1</v>
      </c>
      <c r="G124" s="494" t="n">
        <v>330</v>
      </c>
      <c r="H124" s="494">
        <f>2026-F124+1</f>
        <v/>
      </c>
      <c r="I124" s="289" t="n"/>
      <c r="J124" s="289" t="n"/>
      <c r="K124" s="494" t="n">
        <v>84</v>
      </c>
      <c r="L124" s="289" t="n"/>
      <c r="M124" s="494" t="inlineStr">
        <is>
          <t>계단식</t>
        </is>
      </c>
      <c r="N124" s="494" t="n">
        <v>3</v>
      </c>
      <c r="O124" s="494" t="n">
        <v>2</v>
      </c>
      <c r="P124" s="494" t="n">
        <v>90</v>
      </c>
      <c r="Q124" s="156" t="n">
        <v>21000</v>
      </c>
      <c r="R124" s="156" t="n">
        <v>17000</v>
      </c>
      <c r="S124" s="581">
        <f>Q124-R124</f>
        <v/>
      </c>
      <c r="T124" s="71">
        <f>R124/Q124</f>
        <v/>
      </c>
      <c r="U124" s="289" t="n">
        <v>26500</v>
      </c>
      <c r="V124" s="289" t="n">
        <v>24700</v>
      </c>
      <c r="AA124" s="289" t="n"/>
      <c r="AB124" s="289" t="n"/>
      <c r="AC124" s="289" t="n"/>
      <c r="AD124" s="289" t="n"/>
      <c r="AE124" s="289" t="n"/>
      <c r="AF124" s="289" t="n"/>
      <c r="AG124" s="289" t="n"/>
      <c r="AK124" s="289" t="n"/>
      <c r="AL124" s="289" t="n"/>
      <c r="AM124" s="289" t="n"/>
      <c r="AN124" s="289" t="n"/>
      <c r="AV124" s="289" t="n"/>
    </row>
    <row r="125">
      <c r="A125" s="458" t="inlineStr">
        <is>
          <t>용당동</t>
        </is>
      </c>
      <c r="D125" s="458" t="n">
        <v>11665</v>
      </c>
      <c r="E125" s="146" t="inlineStr">
        <is>
          <t>현대아이파크</t>
        </is>
      </c>
      <c r="F125" s="458" t="n">
        <v>2002.12</v>
      </c>
      <c r="G125" s="458" t="n">
        <v>748</v>
      </c>
      <c r="H125" s="458">
        <f>2026-F125+1</f>
        <v/>
      </c>
      <c r="J125" s="458" t="n">
        <v>80</v>
      </c>
      <c r="K125" s="458" t="n">
        <v>59</v>
      </c>
      <c r="L125" s="458" t="n">
        <v>24</v>
      </c>
      <c r="M125" s="458" t="inlineStr">
        <is>
          <t>계단식</t>
        </is>
      </c>
      <c r="N125" s="458" t="n">
        <v>3</v>
      </c>
      <c r="O125" s="458" t="n">
        <v>2</v>
      </c>
      <c r="P125" s="458" t="n">
        <v>200</v>
      </c>
      <c r="Q125" s="152" t="n">
        <v>21000</v>
      </c>
      <c r="R125" s="152" t="n">
        <v>19000</v>
      </c>
      <c r="S125" s="581">
        <f>Q125-R125</f>
        <v/>
      </c>
      <c r="T125" s="71">
        <f>R125/Q125</f>
        <v/>
      </c>
      <c r="U125" s="458" t="n">
        <v>27500</v>
      </c>
      <c r="V125" s="458" t="n">
        <v>19000</v>
      </c>
    </row>
    <row r="126">
      <c r="A126" s="494" t="inlineStr">
        <is>
          <t>용호동</t>
        </is>
      </c>
      <c r="B126" s="88" t="n"/>
      <c r="C126" s="89" t="n"/>
      <c r="D126" s="494" t="n">
        <v>4636</v>
      </c>
      <c r="E126" s="150" t="inlineStr">
        <is>
          <t>벽산화이트타워</t>
        </is>
      </c>
      <c r="F126" s="494" t="n">
        <v>1994.12</v>
      </c>
      <c r="G126" s="494" t="n">
        <v>343</v>
      </c>
      <c r="H126" s="494">
        <f>2026-F126+1</f>
        <v/>
      </c>
      <c r="I126" s="289" t="n"/>
      <c r="J126" s="494" t="n">
        <v>80</v>
      </c>
      <c r="K126" s="494" t="n">
        <v>59</v>
      </c>
      <c r="L126" s="494" t="n">
        <v>24</v>
      </c>
      <c r="M126" s="494" t="inlineStr">
        <is>
          <t>복도식</t>
        </is>
      </c>
      <c r="N126" s="494" t="n">
        <v>3</v>
      </c>
      <c r="O126" s="494" t="n">
        <v>1</v>
      </c>
      <c r="P126" s="494" t="n">
        <v>123</v>
      </c>
      <c r="Q126" s="156" t="n">
        <v>21000</v>
      </c>
      <c r="R126" s="156" t="n">
        <v>19000</v>
      </c>
      <c r="S126" s="581">
        <f>Q126-R126</f>
        <v/>
      </c>
      <c r="T126" s="71">
        <f>R126/Q126</f>
        <v/>
      </c>
      <c r="U126" s="289" t="n">
        <v>14700</v>
      </c>
      <c r="V126" s="289" t="n">
        <v>12000</v>
      </c>
      <c r="AA126" s="289" t="n"/>
      <c r="AB126" s="289" t="n"/>
      <c r="AC126" s="289" t="n"/>
      <c r="AD126" s="289" t="n"/>
      <c r="AE126" s="289" t="n"/>
      <c r="AF126" s="289" t="n"/>
      <c r="AG126" s="289" t="n"/>
      <c r="AK126" s="289" t="n"/>
      <c r="AL126" s="289" t="n"/>
      <c r="AM126" s="88" t="n"/>
      <c r="AN126" s="289" t="n"/>
      <c r="AV126" s="289" t="n"/>
    </row>
    <row r="127">
      <c r="A127" s="458" t="inlineStr">
        <is>
          <t>용호동</t>
        </is>
      </c>
      <c r="D127" s="458" t="n">
        <v>4650</v>
      </c>
      <c r="E127" s="113" t="inlineStr">
        <is>
          <t>협진태양</t>
        </is>
      </c>
      <c r="F127" s="458" t="n">
        <v>1988.11</v>
      </c>
      <c r="G127" s="458" t="n">
        <v>315</v>
      </c>
      <c r="H127" s="458">
        <f>2026-F127+1</f>
        <v/>
      </c>
      <c r="J127" s="458" t="n">
        <v>76</v>
      </c>
      <c r="K127" s="458" t="n">
        <v>62</v>
      </c>
      <c r="L127" s="458" t="n">
        <v>23</v>
      </c>
      <c r="M127" s="458" t="inlineStr">
        <is>
          <t>계단식</t>
        </is>
      </c>
      <c r="N127" s="458" t="n">
        <v>3</v>
      </c>
      <c r="O127" s="458" t="n">
        <v>1</v>
      </c>
      <c r="P127" s="458" t="n">
        <v>90</v>
      </c>
      <c r="Q127" s="152" t="n">
        <v>21000</v>
      </c>
      <c r="R127" s="152" t="n">
        <v>90000</v>
      </c>
      <c r="S127" s="581">
        <f>Q127-R127</f>
        <v/>
      </c>
      <c r="T127" s="71">
        <f>R127/Q127</f>
        <v/>
      </c>
      <c r="U127" s="458" t="n">
        <v>26800</v>
      </c>
      <c r="V127" s="458" t="n">
        <v>25000</v>
      </c>
    </row>
    <row r="128">
      <c r="A128" s="458" t="inlineStr">
        <is>
          <t>우암동</t>
        </is>
      </c>
      <c r="D128" s="458" t="n">
        <v>4725</v>
      </c>
      <c r="E128" s="113" t="inlineStr">
        <is>
          <t>동일</t>
        </is>
      </c>
      <c r="F128" s="458" t="n">
        <v>1988.07</v>
      </c>
      <c r="G128" s="458" t="n">
        <v>312</v>
      </c>
      <c r="H128" s="458">
        <f>2026-F128+1</f>
        <v/>
      </c>
      <c r="J128" s="458" t="n">
        <v>87</v>
      </c>
      <c r="K128" s="458" t="n">
        <v>74</v>
      </c>
      <c r="L128" s="458" t="n">
        <v>26</v>
      </c>
      <c r="M128" s="458" t="inlineStr">
        <is>
          <t>계단식</t>
        </is>
      </c>
      <c r="N128" s="458" t="n">
        <v>3</v>
      </c>
      <c r="O128" s="458" t="n">
        <v>1</v>
      </c>
      <c r="P128" s="458" t="n">
        <v>18</v>
      </c>
      <c r="Q128" s="152" t="n">
        <v>21000</v>
      </c>
      <c r="R128" s="152" t="n">
        <v>13000</v>
      </c>
      <c r="S128" s="581">
        <f>Q128-R128</f>
        <v/>
      </c>
      <c r="T128" s="71">
        <f>R128/Q128</f>
        <v/>
      </c>
      <c r="U128" s="458" t="n">
        <v>21000</v>
      </c>
      <c r="V128" s="458" t="n">
        <v>21000</v>
      </c>
    </row>
    <row r="129">
      <c r="A129" s="458" t="inlineStr">
        <is>
          <t>우암동</t>
        </is>
      </c>
      <c r="D129" s="458" t="n">
        <v>4725</v>
      </c>
      <c r="E129" s="146" t="inlineStr">
        <is>
          <t>동일</t>
        </is>
      </c>
      <c r="F129" s="458" t="n">
        <v>1988.07</v>
      </c>
      <c r="G129" s="458" t="n">
        <v>312</v>
      </c>
      <c r="H129" s="458">
        <f>2026-F129+1</f>
        <v/>
      </c>
      <c r="J129" s="458" t="n">
        <v>78</v>
      </c>
      <c r="K129" s="458" t="n">
        <v>66</v>
      </c>
      <c r="L129" s="458" t="n">
        <v>24</v>
      </c>
      <c r="M129" s="458" t="inlineStr">
        <is>
          <t>계단식</t>
        </is>
      </c>
      <c r="N129" s="458" t="n">
        <v>3</v>
      </c>
      <c r="O129" s="458" t="n">
        <v>1</v>
      </c>
      <c r="P129" s="458" t="n">
        <v>48</v>
      </c>
      <c r="Q129" s="152" t="n">
        <v>20500</v>
      </c>
      <c r="R129" s="152" t="n">
        <v>13500</v>
      </c>
      <c r="S129" s="581">
        <f>Q129-R129</f>
        <v/>
      </c>
      <c r="T129" s="71">
        <f>R129/Q129</f>
        <v/>
      </c>
      <c r="U129" s="458" t="n">
        <v>23500</v>
      </c>
      <c r="V129" s="458" t="n">
        <v>20000</v>
      </c>
    </row>
    <row r="130">
      <c r="A130" s="494" t="inlineStr">
        <is>
          <t>대연동</t>
        </is>
      </c>
      <c r="B130" s="289" t="n"/>
      <c r="C130" s="289" t="n"/>
      <c r="D130" s="494" t="n">
        <v>10488</v>
      </c>
      <c r="E130" s="150" t="inlineStr">
        <is>
          <t>대연극동</t>
        </is>
      </c>
      <c r="F130" s="494" t="n">
        <v>2002.08</v>
      </c>
      <c r="G130" s="494" t="n">
        <v>413</v>
      </c>
      <c r="H130" s="494">
        <f>2026-F130+1</f>
        <v/>
      </c>
      <c r="I130" s="289" t="n"/>
      <c r="J130" s="289" t="n"/>
      <c r="K130" s="494" t="n">
        <v>59</v>
      </c>
      <c r="L130" s="289" t="n"/>
      <c r="M130" s="494" t="inlineStr">
        <is>
          <t>복도식</t>
        </is>
      </c>
      <c r="N130" s="494" t="n">
        <v>3</v>
      </c>
      <c r="O130" s="494" t="n">
        <v>1</v>
      </c>
      <c r="P130" s="494" t="n">
        <v>153</v>
      </c>
      <c r="Q130" s="156" t="n">
        <v>20000</v>
      </c>
      <c r="R130" s="156" t="n">
        <v>17000</v>
      </c>
      <c r="S130" s="581">
        <f>Q130-R130</f>
        <v/>
      </c>
      <c r="T130" s="71">
        <f>R130/Q130</f>
        <v/>
      </c>
      <c r="U130" s="289" t="n">
        <v>26500</v>
      </c>
      <c r="V130" s="289" t="n">
        <v>17500</v>
      </c>
      <c r="AA130" s="289" t="n"/>
      <c r="AB130" s="289" t="n"/>
      <c r="AC130" s="289" t="n"/>
      <c r="AD130" s="289" t="n"/>
      <c r="AE130" s="289" t="n"/>
      <c r="AF130" s="289" t="n"/>
      <c r="AG130" s="289" t="n"/>
      <c r="AK130" s="289" t="n"/>
      <c r="AL130" s="289" t="n"/>
      <c r="AM130" s="289" t="n"/>
      <c r="AN130" s="289" t="n"/>
      <c r="AV130" s="289" t="n"/>
    </row>
    <row r="131">
      <c r="A131" s="458" t="inlineStr">
        <is>
          <t>대연동</t>
        </is>
      </c>
      <c r="B131" s="159" t="n"/>
      <c r="C131" s="159" t="n"/>
      <c r="D131" s="458" t="n">
        <v>101068</v>
      </c>
      <c r="E131" s="113" t="inlineStr">
        <is>
          <t>대연동일스위트(주상복합)</t>
        </is>
      </c>
      <c r="F131" s="458" t="n">
        <v>2004.12</v>
      </c>
      <c r="G131" s="458" t="n">
        <v>379</v>
      </c>
      <c r="H131" s="458">
        <f>2026-F131+1</f>
        <v/>
      </c>
      <c r="J131" s="458" t="n">
        <v>86</v>
      </c>
      <c r="K131" s="458" t="n">
        <v>63</v>
      </c>
      <c r="L131" s="458" t="n">
        <v>26</v>
      </c>
      <c r="M131" s="458" t="inlineStr">
        <is>
          <t>복합식</t>
        </is>
      </c>
      <c r="N131" s="458" t="n">
        <v>2</v>
      </c>
      <c r="O131" s="458" t="n">
        <v>1</v>
      </c>
      <c r="P131" s="458" t="n">
        <v>16</v>
      </c>
      <c r="Q131" s="152" t="n">
        <v>20000</v>
      </c>
      <c r="R131" s="152" t="n">
        <v>20000</v>
      </c>
      <c r="S131" s="581">
        <f>Q131-R131</f>
        <v/>
      </c>
      <c r="T131" s="71">
        <f>R131/Q131</f>
        <v/>
      </c>
      <c r="U131" s="458" t="n">
        <v>28000</v>
      </c>
      <c r="V131" s="458" t="n">
        <v>28000</v>
      </c>
      <c r="AM131" s="236" t="n"/>
    </row>
    <row r="132">
      <c r="A132" s="494" t="inlineStr">
        <is>
          <t>문현동</t>
        </is>
      </c>
      <c r="B132" s="289" t="n"/>
      <c r="C132" s="289" t="n"/>
      <c r="D132" s="494" t="n">
        <v>4592</v>
      </c>
      <c r="E132" s="133" t="inlineStr">
        <is>
          <t>현대</t>
        </is>
      </c>
      <c r="F132" s="494" t="n">
        <v>1998.06</v>
      </c>
      <c r="G132" s="494" t="n">
        <v>693</v>
      </c>
      <c r="H132" s="494">
        <f>2026-F132+1</f>
        <v/>
      </c>
      <c r="I132" s="289" t="n"/>
      <c r="J132" s="494" t="n">
        <v>78</v>
      </c>
      <c r="K132" s="494" t="n">
        <v>59</v>
      </c>
      <c r="L132" s="494" t="n">
        <v>24</v>
      </c>
      <c r="M132" s="494" t="inlineStr">
        <is>
          <t>계단식</t>
        </is>
      </c>
      <c r="N132" s="494" t="n">
        <v>3</v>
      </c>
      <c r="O132" s="494" t="n">
        <v>1</v>
      </c>
      <c r="P132" s="494" t="n">
        <v>298</v>
      </c>
      <c r="Q132" s="156" t="n">
        <v>20000</v>
      </c>
      <c r="R132" s="156" t="n">
        <v>18000</v>
      </c>
      <c r="S132" s="581">
        <f>Q132-R132</f>
        <v/>
      </c>
      <c r="T132" s="71">
        <f>R132/Q132</f>
        <v/>
      </c>
      <c r="U132" s="289" t="n">
        <v>25000</v>
      </c>
      <c r="V132" s="289" t="n">
        <v>17000</v>
      </c>
      <c r="AA132" s="289" t="n"/>
      <c r="AB132" s="289" t="n"/>
      <c r="AC132" s="289" t="n"/>
      <c r="AD132" s="289" t="n"/>
      <c r="AE132" s="289" t="n"/>
      <c r="AF132" s="289" t="n"/>
      <c r="AG132" s="289" t="n"/>
      <c r="AK132" s="289" t="n"/>
      <c r="AL132" s="289" t="n"/>
      <c r="AM132" s="289" t="n"/>
      <c r="AN132" s="289" t="n"/>
      <c r="AV132" s="289" t="n"/>
    </row>
    <row r="133">
      <c r="A133" s="458" t="inlineStr">
        <is>
          <t>우암동</t>
        </is>
      </c>
      <c r="B133" s="159" t="n"/>
      <c r="C133" s="159" t="n"/>
      <c r="D133" s="458" t="n">
        <v>4725</v>
      </c>
      <c r="E133" s="113" t="inlineStr">
        <is>
          <t>동일</t>
        </is>
      </c>
      <c r="F133" s="458" t="n">
        <v>1988.07</v>
      </c>
      <c r="G133" s="458" t="n">
        <v>312</v>
      </c>
      <c r="H133" s="458">
        <f>2026-F133+1</f>
        <v/>
      </c>
      <c r="J133" s="458" t="n">
        <v>71</v>
      </c>
      <c r="K133" s="458" t="n">
        <v>59</v>
      </c>
      <c r="L133" s="458" t="n">
        <v>21</v>
      </c>
      <c r="M133" s="458" t="inlineStr">
        <is>
          <t>계단식</t>
        </is>
      </c>
      <c r="N133" s="458" t="n">
        <v>3</v>
      </c>
      <c r="O133" s="458" t="n">
        <v>1</v>
      </c>
      <c r="P133" s="458" t="n">
        <v>54</v>
      </c>
      <c r="Q133" s="152" t="n">
        <v>20000</v>
      </c>
      <c r="R133" s="152" t="n">
        <v>11000</v>
      </c>
      <c r="S133" s="581">
        <f>Q133-R133</f>
        <v/>
      </c>
      <c r="T133" s="71">
        <f>R133/Q133</f>
        <v/>
      </c>
      <c r="U133" s="458" t="n">
        <v>20000</v>
      </c>
      <c r="V133" s="458" t="n">
        <v>14000</v>
      </c>
      <c r="AM133" s="236" t="n"/>
    </row>
    <row r="134">
      <c r="A134" s="458" t="inlineStr">
        <is>
          <t>문현동</t>
        </is>
      </c>
      <c r="B134" s="159" t="n"/>
      <c r="C134" s="159" t="n"/>
      <c r="D134" s="458" t="n">
        <v>4579</v>
      </c>
      <c r="E134" s="113" t="inlineStr">
        <is>
          <t>대림문현시티프라자(주상복합)</t>
        </is>
      </c>
      <c r="F134" s="458" t="n">
        <v>1999.07</v>
      </c>
      <c r="G134" s="458" t="n">
        <v>521</v>
      </c>
      <c r="H134" s="458">
        <f>2026-F134+1</f>
        <v/>
      </c>
      <c r="K134" s="458" t="n">
        <v>59</v>
      </c>
      <c r="M134" s="458" t="inlineStr">
        <is>
          <t>복도식</t>
        </is>
      </c>
      <c r="N134" s="458" t="n">
        <v>3</v>
      </c>
      <c r="O134" s="458" t="n">
        <v>1</v>
      </c>
      <c r="P134" s="458" t="n">
        <v>115</v>
      </c>
      <c r="Q134" s="152" t="n">
        <v>19800</v>
      </c>
      <c r="R134" s="152" t="n">
        <v>20500</v>
      </c>
      <c r="S134" s="581">
        <f>Q134-R134</f>
        <v/>
      </c>
      <c r="T134" s="71">
        <f>R134/Q134</f>
        <v/>
      </c>
      <c r="U134" s="458" t="n">
        <v>25000</v>
      </c>
      <c r="V134" s="458" t="n">
        <v>23000</v>
      </c>
      <c r="AM134" s="236" t="n"/>
    </row>
    <row r="135" ht="15.5" customHeight="1" s="476">
      <c r="A135" s="458" t="inlineStr">
        <is>
          <t>감만동</t>
        </is>
      </c>
      <c r="D135" s="458" t="n">
        <v>12935</v>
      </c>
      <c r="E135" s="146" t="inlineStr">
        <is>
          <t>감만동일스위트</t>
        </is>
      </c>
      <c r="F135" s="458" t="n">
        <v>2005.1</v>
      </c>
      <c r="G135" s="458" t="n">
        <v>548</v>
      </c>
      <c r="H135" s="458">
        <f>2026-F135+1</f>
        <v/>
      </c>
      <c r="I135" s="458" t="n"/>
      <c r="J135" s="458" t="n">
        <v>84</v>
      </c>
      <c r="K135" s="458" t="n">
        <v>59</v>
      </c>
      <c r="L135" s="458" t="n">
        <v>25</v>
      </c>
      <c r="M135" s="458" t="inlineStr">
        <is>
          <t>계단식</t>
        </is>
      </c>
      <c r="N135" s="458" t="n">
        <v>3</v>
      </c>
      <c r="O135" s="458" t="n">
        <v>2</v>
      </c>
      <c r="P135" s="458" t="n">
        <v>268</v>
      </c>
      <c r="Q135" s="626" t="n">
        <v>19000</v>
      </c>
      <c r="R135" s="626" t="n">
        <v>15000</v>
      </c>
      <c r="S135" s="581">
        <f>Q135-R135</f>
        <v/>
      </c>
      <c r="T135" s="71">
        <f>R135/Q135</f>
        <v/>
      </c>
      <c r="U135" s="590" t="n">
        <v>25000</v>
      </c>
      <c r="V135" s="590" t="n">
        <v>19000</v>
      </c>
      <c r="W135" s="458" t="n"/>
      <c r="X135" s="458" t="n"/>
      <c r="Y135" s="458" t="n"/>
      <c r="Z135" s="458" t="n"/>
      <c r="AD135" s="509" t="n"/>
      <c r="AE135" s="509" t="n"/>
      <c r="AF135" s="137" t="n"/>
      <c r="AG135" s="144" t="n"/>
      <c r="AI135" s="458" t="n"/>
      <c r="AJ135" s="458" t="n"/>
    </row>
    <row r="136">
      <c r="A136" s="458" t="inlineStr">
        <is>
          <t>감만동</t>
        </is>
      </c>
      <c r="D136" s="458" t="n">
        <v>4477</v>
      </c>
      <c r="E136" s="113" t="inlineStr">
        <is>
          <t>국제</t>
        </is>
      </c>
      <c r="F136" s="458" t="n">
        <v>1996.1</v>
      </c>
      <c r="G136" s="458" t="n">
        <v>452</v>
      </c>
      <c r="H136" s="458">
        <f>2026-F136+1</f>
        <v/>
      </c>
      <c r="J136" s="458" t="n">
        <v>79</v>
      </c>
      <c r="K136" s="458" t="n">
        <v>59</v>
      </c>
      <c r="L136" s="458" t="n">
        <v>24</v>
      </c>
      <c r="M136" s="458" t="inlineStr">
        <is>
          <t>계단식</t>
        </is>
      </c>
      <c r="N136" s="458" t="n">
        <v>3</v>
      </c>
      <c r="O136" s="458" t="n">
        <v>1</v>
      </c>
      <c r="P136" s="458" t="n">
        <v>276</v>
      </c>
      <c r="Q136" s="152" t="n">
        <v>19000</v>
      </c>
      <c r="R136" s="152" t="n">
        <v>10000</v>
      </c>
      <c r="S136" s="581">
        <f>Q136-R136</f>
        <v/>
      </c>
      <c r="T136" s="71">
        <f>R136/Q136</f>
        <v/>
      </c>
      <c r="U136" s="458" t="n">
        <v>24400</v>
      </c>
      <c r="V136" s="458" t="n">
        <v>14000</v>
      </c>
    </row>
    <row r="137">
      <c r="A137" s="494" t="inlineStr">
        <is>
          <t>대연동</t>
        </is>
      </c>
      <c r="B137" s="88" t="n"/>
      <c r="C137" s="89" t="n"/>
      <c r="D137" s="494" t="n">
        <v>4548</v>
      </c>
      <c r="E137" s="150" t="inlineStr">
        <is>
          <t>대연청구</t>
        </is>
      </c>
      <c r="F137" s="494" t="n">
        <v>2001.07</v>
      </c>
      <c r="G137" s="494" t="n">
        <v>604</v>
      </c>
      <c r="H137" s="494">
        <f>2026-F137+1</f>
        <v/>
      </c>
      <c r="I137" s="289" t="n"/>
      <c r="J137" s="494" t="n">
        <v>76</v>
      </c>
      <c r="K137" s="494" t="n">
        <v>59</v>
      </c>
      <c r="L137" s="494" t="n">
        <v>23</v>
      </c>
      <c r="M137" s="494" t="inlineStr">
        <is>
          <t>계단식</t>
        </is>
      </c>
      <c r="N137" s="494" t="n">
        <v>3</v>
      </c>
      <c r="O137" s="494" t="n">
        <v>2</v>
      </c>
      <c r="P137" s="494" t="n">
        <v>108</v>
      </c>
      <c r="Q137" s="156" t="n">
        <v>19000</v>
      </c>
      <c r="R137" s="156" t="n">
        <v>16000</v>
      </c>
      <c r="S137" s="581">
        <f>Q137-R137</f>
        <v/>
      </c>
      <c r="T137" s="71">
        <f>R137/Q137</f>
        <v/>
      </c>
      <c r="U137" s="289" t="n">
        <v>23000</v>
      </c>
      <c r="V137" s="289" t="n">
        <v>17800</v>
      </c>
      <c r="AA137" s="289" t="n"/>
      <c r="AB137" s="289" t="n"/>
      <c r="AC137" s="289" t="n"/>
      <c r="AD137" s="289" t="n"/>
      <c r="AE137" s="289" t="n"/>
      <c r="AF137" s="289" t="n"/>
      <c r="AG137" s="289" t="n"/>
      <c r="AK137" s="289" t="n"/>
      <c r="AL137" s="289" t="n"/>
      <c r="AM137" s="88" t="n"/>
      <c r="AN137" s="289" t="n"/>
      <c r="AV137" s="289" t="n"/>
    </row>
    <row r="138">
      <c r="A138" s="494" t="inlineStr">
        <is>
          <t>대연동</t>
        </is>
      </c>
      <c r="B138" s="289" t="n"/>
      <c r="C138" s="289" t="n"/>
      <c r="D138" s="494" t="n">
        <v>4535</v>
      </c>
      <c r="E138" s="150" t="inlineStr">
        <is>
          <t>신원에버그린</t>
        </is>
      </c>
      <c r="F138" s="494" t="n">
        <v>2000.11</v>
      </c>
      <c r="G138" s="494" t="n">
        <v>352</v>
      </c>
      <c r="H138" s="494">
        <f>2026-F138+1</f>
        <v/>
      </c>
      <c r="I138" s="289" t="n"/>
      <c r="J138" s="289" t="n"/>
      <c r="K138" s="494" t="n">
        <v>84</v>
      </c>
      <c r="L138" s="289" t="n"/>
      <c r="M138" s="494" t="inlineStr">
        <is>
          <t>계단식</t>
        </is>
      </c>
      <c r="N138" s="494" t="n">
        <v>3</v>
      </c>
      <c r="O138" s="494" t="n">
        <v>2</v>
      </c>
      <c r="P138" s="494" t="n">
        <v>115</v>
      </c>
      <c r="Q138" s="156" t="n">
        <v>19000</v>
      </c>
      <c r="R138" s="156" t="n">
        <v>18000</v>
      </c>
      <c r="S138" s="581">
        <f>Q138-R138</f>
        <v/>
      </c>
      <c r="T138" s="71">
        <f>R138/Q138</f>
        <v/>
      </c>
      <c r="U138" s="289" t="n">
        <v>28000</v>
      </c>
      <c r="V138" s="289" t="n">
        <v>18000</v>
      </c>
      <c r="AA138" s="289" t="n"/>
      <c r="AB138" s="289" t="n"/>
      <c r="AC138" s="289" t="n"/>
      <c r="AD138" s="289" t="n"/>
      <c r="AE138" s="289" t="n"/>
      <c r="AF138" s="289" t="n"/>
      <c r="AG138" s="289" t="n"/>
      <c r="AK138" s="289" t="n"/>
      <c r="AL138" s="289" t="n"/>
      <c r="AM138" s="289" t="n"/>
      <c r="AN138" s="289" t="n"/>
      <c r="AV138" s="289" t="n"/>
    </row>
    <row r="139">
      <c r="A139" s="494" t="inlineStr">
        <is>
          <t>감만동</t>
        </is>
      </c>
      <c r="B139" s="289" t="n"/>
      <c r="C139" s="289" t="n"/>
      <c r="D139" s="494" t="n">
        <v>14076</v>
      </c>
      <c r="E139" s="150" t="inlineStr">
        <is>
          <t>유창그린2차</t>
        </is>
      </c>
      <c r="F139" s="494" t="n">
        <v>2012.02</v>
      </c>
      <c r="G139" s="494" t="n">
        <v>365</v>
      </c>
      <c r="H139" s="494">
        <f>2026-F139+1</f>
        <v/>
      </c>
      <c r="I139" s="289" t="n"/>
      <c r="J139" s="289" t="n"/>
      <c r="K139" s="494" t="n">
        <v>84</v>
      </c>
      <c r="L139" s="289" t="n"/>
      <c r="M139" s="494" t="inlineStr">
        <is>
          <t>계단식</t>
        </is>
      </c>
      <c r="N139" s="494" t="n">
        <v>3</v>
      </c>
      <c r="O139" s="494" t="n">
        <v>2</v>
      </c>
      <c r="P139" s="494" t="n">
        <v>120</v>
      </c>
      <c r="Q139" s="156" t="n">
        <v>18800</v>
      </c>
      <c r="R139" s="156" t="n">
        <v>15000</v>
      </c>
      <c r="S139" s="581">
        <f>Q139-R139</f>
        <v/>
      </c>
      <c r="T139" s="71">
        <f>R139/Q139</f>
        <v/>
      </c>
      <c r="U139" s="289" t="n">
        <v>26250</v>
      </c>
      <c r="V139" s="289" t="n">
        <v>15800</v>
      </c>
      <c r="AA139" s="289" t="n"/>
      <c r="AB139" s="289" t="n"/>
      <c r="AC139" s="289" t="n"/>
      <c r="AD139" s="289" t="n"/>
      <c r="AE139" s="289" t="n"/>
      <c r="AF139" s="289" t="n"/>
      <c r="AG139" s="289" t="n"/>
      <c r="AK139" s="289" t="n"/>
      <c r="AL139" s="289" t="n"/>
      <c r="AM139" s="289" t="n"/>
      <c r="AN139" s="289" t="n"/>
      <c r="AV139" s="289" t="n"/>
    </row>
    <row r="140">
      <c r="A140" s="494" t="inlineStr">
        <is>
          <t>감만동</t>
        </is>
      </c>
      <c r="B140" s="289" t="n"/>
      <c r="C140" s="289" t="n"/>
      <c r="D140" s="494" t="n">
        <v>4502</v>
      </c>
      <c r="E140" s="150" t="inlineStr">
        <is>
          <t>감만현대1차</t>
        </is>
      </c>
      <c r="F140" s="494" t="n">
        <v>1996.05</v>
      </c>
      <c r="G140" s="494" t="n">
        <v>885</v>
      </c>
      <c r="H140" s="494">
        <f>2026-F140+1</f>
        <v/>
      </c>
      <c r="I140" s="289" t="n"/>
      <c r="J140" s="494" t="n">
        <v>90</v>
      </c>
      <c r="K140" s="494" t="n">
        <v>72</v>
      </c>
      <c r="L140" s="494" t="n">
        <v>27</v>
      </c>
      <c r="M140" s="494" t="inlineStr">
        <is>
          <t>계단식</t>
        </is>
      </c>
      <c r="N140" s="494" t="n">
        <v>3</v>
      </c>
      <c r="O140" s="494" t="n">
        <v>1</v>
      </c>
      <c r="P140" s="494" t="n">
        <v>96</v>
      </c>
      <c r="Q140" s="156" t="n">
        <v>18500</v>
      </c>
      <c r="R140" s="156" t="n">
        <v>15000</v>
      </c>
      <c r="S140" s="581">
        <f>Q140-R140</f>
        <v/>
      </c>
      <c r="T140" s="71">
        <f>R140/Q140</f>
        <v/>
      </c>
      <c r="U140" s="289" t="n">
        <v>25000</v>
      </c>
      <c r="V140" s="289" t="n">
        <v>18300</v>
      </c>
      <c r="AA140" s="289" t="n"/>
      <c r="AB140" s="289" t="n"/>
      <c r="AC140" s="289" t="n"/>
      <c r="AD140" s="289" t="n"/>
      <c r="AE140" s="289" t="n"/>
      <c r="AF140" s="289" t="n"/>
      <c r="AG140" s="289" t="n"/>
      <c r="AK140" s="289" t="n"/>
      <c r="AL140" s="289" t="n"/>
      <c r="AM140" s="289" t="n"/>
      <c r="AN140" s="289" t="n"/>
      <c r="AV140" s="289" t="n"/>
    </row>
    <row r="141">
      <c r="A141" s="494" t="inlineStr">
        <is>
          <t>용호동</t>
        </is>
      </c>
      <c r="B141" s="88" t="n"/>
      <c r="C141" s="89" t="n"/>
      <c r="D141" s="494" t="n">
        <v>4633</v>
      </c>
      <c r="E141" s="150" t="inlineStr">
        <is>
          <t>용호동일타운</t>
        </is>
      </c>
      <c r="F141" s="494" t="n">
        <v>1991.1</v>
      </c>
      <c r="G141" s="494" t="n">
        <v>444</v>
      </c>
      <c r="H141" s="494">
        <f>2026-F141+1</f>
        <v/>
      </c>
      <c r="I141" s="289" t="n"/>
      <c r="J141" s="494" t="n">
        <v>82</v>
      </c>
      <c r="K141" s="494" t="n">
        <v>67</v>
      </c>
      <c r="L141" s="494" t="n">
        <v>25</v>
      </c>
      <c r="M141" s="494" t="inlineStr">
        <is>
          <t>계단식</t>
        </is>
      </c>
      <c r="N141" s="494" t="n">
        <v>3</v>
      </c>
      <c r="O141" s="494" t="n">
        <v>1</v>
      </c>
      <c r="P141" s="494" t="n">
        <v>45</v>
      </c>
      <c r="Q141" s="156" t="n">
        <v>18500</v>
      </c>
      <c r="R141" s="156" t="n">
        <v>12000</v>
      </c>
      <c r="S141" s="581">
        <f>Q141-R141</f>
        <v/>
      </c>
      <c r="T141" s="71">
        <f>R141/Q141</f>
        <v/>
      </c>
      <c r="U141" s="289" t="n">
        <v>18700</v>
      </c>
      <c r="V141" s="289" t="n">
        <v>16000</v>
      </c>
      <c r="AA141" s="289" t="n"/>
      <c r="AB141" s="289" t="n"/>
      <c r="AC141" s="289" t="n"/>
      <c r="AD141" s="289" t="n"/>
      <c r="AE141" s="289" t="n"/>
      <c r="AF141" s="289" t="n"/>
      <c r="AG141" s="289" t="n"/>
      <c r="AK141" s="289" t="n"/>
      <c r="AL141" s="289" t="n"/>
      <c r="AM141" s="88" t="n"/>
      <c r="AN141" s="289" t="n"/>
      <c r="AV141" s="289" t="n"/>
    </row>
    <row r="142">
      <c r="A142" s="494" t="inlineStr">
        <is>
          <t>용호동</t>
        </is>
      </c>
      <c r="B142" s="88" t="n"/>
      <c r="C142" s="89" t="n"/>
      <c r="D142" s="494" t="n">
        <v>4633</v>
      </c>
      <c r="E142" s="150" t="inlineStr">
        <is>
          <t>용호동일타운</t>
        </is>
      </c>
      <c r="F142" s="494" t="n">
        <v>1991.1</v>
      </c>
      <c r="G142" s="494" t="n">
        <v>444</v>
      </c>
      <c r="H142" s="494">
        <f>2026-F142+1</f>
        <v/>
      </c>
      <c r="I142" s="289" t="n"/>
      <c r="J142" s="289" t="n"/>
      <c r="K142" s="494" t="n">
        <v>75</v>
      </c>
      <c r="L142" s="289" t="n"/>
      <c r="M142" s="494" t="inlineStr">
        <is>
          <t>계단식</t>
        </is>
      </c>
      <c r="N142" s="494" t="n">
        <v>3</v>
      </c>
      <c r="O142" s="494" t="n">
        <v>1</v>
      </c>
      <c r="P142" s="494" t="n">
        <v>60</v>
      </c>
      <c r="Q142" s="156" t="n">
        <v>18500</v>
      </c>
      <c r="R142" s="156" t="n">
        <v>13000</v>
      </c>
      <c r="S142" s="581">
        <f>Q142-R142</f>
        <v/>
      </c>
      <c r="T142" s="71">
        <f>R142/Q142</f>
        <v/>
      </c>
      <c r="U142" s="289" t="n">
        <v>26200</v>
      </c>
      <c r="V142" s="289" t="n">
        <v>18500</v>
      </c>
      <c r="AA142" s="289" t="n"/>
      <c r="AB142" s="289" t="n"/>
      <c r="AC142" s="289" t="n"/>
      <c r="AD142" s="289" t="n"/>
      <c r="AE142" s="289" t="n"/>
      <c r="AF142" s="289" t="n"/>
      <c r="AG142" s="289" t="n"/>
      <c r="AK142" s="289" t="n"/>
      <c r="AL142" s="289" t="n"/>
      <c r="AM142" s="88" t="n"/>
      <c r="AN142" s="289" t="n"/>
      <c r="AV142" s="289" t="n"/>
    </row>
    <row r="143">
      <c r="A143" s="494" t="inlineStr">
        <is>
          <t>우암동</t>
        </is>
      </c>
      <c r="B143" s="88" t="n"/>
      <c r="C143" s="89" t="n"/>
      <c r="D143" s="494" t="n">
        <v>4724</v>
      </c>
      <c r="E143" s="150" t="inlineStr">
        <is>
          <t>뉴서울</t>
        </is>
      </c>
      <c r="F143" s="494" t="n">
        <v>1996.04</v>
      </c>
      <c r="G143" s="494" t="n">
        <v>429</v>
      </c>
      <c r="H143" s="494">
        <f>2026-F143+1</f>
        <v/>
      </c>
      <c r="I143" s="289" t="n"/>
      <c r="J143" s="494" t="n">
        <v>82</v>
      </c>
      <c r="K143" s="494" t="n">
        <v>59</v>
      </c>
      <c r="L143" s="494" t="n">
        <v>25</v>
      </c>
      <c r="M143" s="494" t="inlineStr">
        <is>
          <t>복도식</t>
        </is>
      </c>
      <c r="N143" s="494" t="n">
        <v>3</v>
      </c>
      <c r="O143" s="494" t="n">
        <v>1</v>
      </c>
      <c r="P143" s="494" t="n">
        <v>155</v>
      </c>
      <c r="Q143" s="156" t="n">
        <v>18500</v>
      </c>
      <c r="R143" s="156" t="n">
        <v>14000</v>
      </c>
      <c r="S143" s="581">
        <f>Q143-R143</f>
        <v/>
      </c>
      <c r="T143" s="71">
        <f>R143/Q143</f>
        <v/>
      </c>
      <c r="U143" s="289" t="n">
        <v>22800</v>
      </c>
      <c r="V143" s="289" t="n">
        <v>17200</v>
      </c>
      <c r="AA143" s="289" t="n"/>
      <c r="AB143" s="289" t="n"/>
      <c r="AC143" s="289" t="n"/>
      <c r="AD143" s="289" t="n"/>
      <c r="AE143" s="289" t="n"/>
      <c r="AF143" s="289" t="n"/>
      <c r="AG143" s="289" t="n"/>
      <c r="AK143" s="289" t="n"/>
      <c r="AL143" s="289" t="n"/>
      <c r="AM143" s="88" t="n"/>
      <c r="AN143" s="289" t="n"/>
      <c r="AV143" s="289" t="n"/>
    </row>
    <row r="144">
      <c r="A144" s="458" t="inlineStr">
        <is>
          <t>용호동</t>
        </is>
      </c>
      <c r="D144" s="458" t="n">
        <v>4607</v>
      </c>
      <c r="E144" s="113" t="inlineStr">
        <is>
          <t>경동</t>
        </is>
      </c>
      <c r="F144" s="458" t="n">
        <v>1992.12</v>
      </c>
      <c r="G144" s="458" t="n">
        <v>499</v>
      </c>
      <c r="H144" s="458">
        <f>2026-F144+1</f>
        <v/>
      </c>
      <c r="K144" s="458" t="n">
        <v>83</v>
      </c>
      <c r="M144" s="458" t="inlineStr">
        <is>
          <t>계단식</t>
        </is>
      </c>
      <c r="N144" s="458" t="n">
        <v>3</v>
      </c>
      <c r="O144" s="458" t="n">
        <v>2</v>
      </c>
      <c r="P144" s="458" t="n">
        <v>148</v>
      </c>
      <c r="Q144" s="152" t="n">
        <v>18200</v>
      </c>
      <c r="R144" s="152" t="n">
        <v>20500</v>
      </c>
      <c r="S144" s="581">
        <f>Q144-R144</f>
        <v/>
      </c>
      <c r="T144" s="71">
        <f>R144/Q144</f>
        <v/>
      </c>
      <c r="U144" s="458" t="n">
        <v>22000</v>
      </c>
      <c r="V144" s="458" t="n">
        <v>18800</v>
      </c>
    </row>
    <row r="145">
      <c r="A145" s="458" t="inlineStr">
        <is>
          <t>대연동</t>
        </is>
      </c>
      <c r="D145" s="458" t="n">
        <v>4521</v>
      </c>
      <c r="E145" s="146" t="inlineStr">
        <is>
          <t>대연대우</t>
        </is>
      </c>
      <c r="F145" s="458" t="n">
        <v>1996.02</v>
      </c>
      <c r="G145" s="458" t="n">
        <v>457</v>
      </c>
      <c r="H145" s="458">
        <f>2026-F145+1</f>
        <v/>
      </c>
      <c r="K145" s="458" t="n">
        <v>59</v>
      </c>
      <c r="M145" s="458" t="inlineStr">
        <is>
          <t>계단식</t>
        </is>
      </c>
      <c r="N145" s="458" t="n">
        <v>3</v>
      </c>
      <c r="O145" s="458" t="n">
        <v>1</v>
      </c>
      <c r="P145" s="458" t="n">
        <v>174</v>
      </c>
      <c r="Q145" s="152" t="n">
        <v>18000</v>
      </c>
      <c r="R145" s="152" t="n">
        <v>15000</v>
      </c>
      <c r="S145" s="581">
        <f>Q145-R145</f>
        <v/>
      </c>
      <c r="T145" s="71">
        <f>R145/Q145</f>
        <v/>
      </c>
      <c r="U145" s="458" t="n">
        <v>21000</v>
      </c>
      <c r="V145" s="458" t="n">
        <v>16000</v>
      </c>
    </row>
    <row r="146">
      <c r="A146" s="458" t="inlineStr">
        <is>
          <t>문현동</t>
        </is>
      </c>
      <c r="D146" s="458" t="n">
        <v>8861</v>
      </c>
      <c r="E146" s="146" t="inlineStr">
        <is>
          <t>문현현대2차</t>
        </is>
      </c>
      <c r="F146" s="458" t="n">
        <v>2000.06</v>
      </c>
      <c r="G146" s="458" t="n">
        <v>420</v>
      </c>
      <c r="H146" s="458">
        <f>2026-F146+1</f>
        <v/>
      </c>
      <c r="J146" s="458" t="n">
        <v>79</v>
      </c>
      <c r="K146" s="458" t="n">
        <v>59</v>
      </c>
      <c r="L146" s="458" t="n">
        <v>24</v>
      </c>
      <c r="M146" s="458" t="inlineStr">
        <is>
          <t>복도식</t>
        </is>
      </c>
      <c r="N146" s="458" t="n">
        <v>3</v>
      </c>
      <c r="O146" s="458" t="n">
        <v>1</v>
      </c>
      <c r="P146" s="458" t="n">
        <v>130</v>
      </c>
      <c r="Q146" s="152" t="n">
        <v>18000</v>
      </c>
      <c r="R146" s="152" t="n">
        <v>14000</v>
      </c>
      <c r="S146" s="581">
        <f>Q146-R146</f>
        <v/>
      </c>
      <c r="T146" s="71">
        <f>R146/Q146</f>
        <v/>
      </c>
      <c r="U146" s="458" t="n">
        <v>24000</v>
      </c>
      <c r="V146" s="458" t="n">
        <v>19800</v>
      </c>
    </row>
    <row r="147">
      <c r="A147" s="494" t="inlineStr">
        <is>
          <t>용호동</t>
        </is>
      </c>
      <c r="B147" s="88" t="n"/>
      <c r="C147" s="89" t="n"/>
      <c r="D147" s="494" t="n">
        <v>4612</v>
      </c>
      <c r="E147" s="133" t="inlineStr">
        <is>
          <t>대광타워맨션</t>
        </is>
      </c>
      <c r="F147" s="494" t="n">
        <v>1995.04</v>
      </c>
      <c r="G147" s="494" t="n">
        <v>479</v>
      </c>
      <c r="H147" s="494">
        <f>2026-F147+1</f>
        <v/>
      </c>
      <c r="I147" s="289" t="n"/>
      <c r="J147" s="494" t="n">
        <v>106</v>
      </c>
      <c r="K147" s="494" t="n">
        <v>84</v>
      </c>
      <c r="L147" s="494" t="n">
        <v>32</v>
      </c>
      <c r="M147" s="494" t="inlineStr">
        <is>
          <t>계단식</t>
        </is>
      </c>
      <c r="N147" s="494" t="n">
        <v>3</v>
      </c>
      <c r="O147" s="494" t="n">
        <v>2</v>
      </c>
      <c r="P147" s="494" t="n">
        <v>167</v>
      </c>
      <c r="Q147" s="156" t="n">
        <v>18000</v>
      </c>
      <c r="R147" s="156" t="n"/>
      <c r="S147" s="581">
        <f>Q147-R147</f>
        <v/>
      </c>
      <c r="T147" s="71">
        <f>R147/Q147</f>
        <v/>
      </c>
      <c r="U147" s="289" t="n">
        <v>21200</v>
      </c>
      <c r="V147" s="289" t="n">
        <v>15000</v>
      </c>
      <c r="AA147" s="289" t="n"/>
      <c r="AB147" s="289" t="n"/>
      <c r="AC147" s="289" t="n"/>
      <c r="AD147" s="289" t="n"/>
      <c r="AE147" s="289" t="n"/>
      <c r="AF147" s="289" t="n"/>
      <c r="AG147" s="289" t="n"/>
      <c r="AK147" s="289" t="n"/>
      <c r="AL147" s="289" t="n"/>
      <c r="AM147" s="88" t="n"/>
      <c r="AN147" s="289" t="n"/>
      <c r="AV147" s="289" t="n"/>
    </row>
    <row r="148">
      <c r="A148" s="458" t="inlineStr">
        <is>
          <t>용호동</t>
        </is>
      </c>
      <c r="D148" s="458" t="n">
        <v>15882</v>
      </c>
      <c r="E148" s="146" t="inlineStr">
        <is>
          <t>오륙도뜨란채</t>
        </is>
      </c>
      <c r="F148" s="458" t="n">
        <v>2000.04</v>
      </c>
      <c r="G148" s="458" t="n">
        <v>480</v>
      </c>
      <c r="H148" s="458">
        <f>2026-F148+1</f>
        <v/>
      </c>
      <c r="K148" s="458" t="n">
        <v>59</v>
      </c>
      <c r="M148" s="458" t="inlineStr">
        <is>
          <t>계단식</t>
        </is>
      </c>
      <c r="N148" s="458" t="n">
        <v>3</v>
      </c>
      <c r="O148" s="458" t="n">
        <v>1</v>
      </c>
      <c r="P148" s="458" t="n">
        <v>236</v>
      </c>
      <c r="Q148" s="152" t="n">
        <v>17500</v>
      </c>
      <c r="R148" s="152" t="n">
        <v>13000</v>
      </c>
      <c r="S148" s="581">
        <f>Q148-R148</f>
        <v/>
      </c>
      <c r="T148" s="71">
        <f>R148/Q148</f>
        <v/>
      </c>
      <c r="U148" s="458" t="n">
        <v>21700</v>
      </c>
      <c r="V148" s="458" t="n">
        <v>16000</v>
      </c>
    </row>
    <row r="149">
      <c r="A149" s="494" t="inlineStr">
        <is>
          <t>감만동</t>
        </is>
      </c>
      <c r="B149" s="88" t="n"/>
      <c r="C149" s="89" t="n"/>
      <c r="D149" s="494" t="n">
        <v>14076</v>
      </c>
      <c r="E149" s="150" t="inlineStr">
        <is>
          <t>유창그린2차</t>
        </is>
      </c>
      <c r="F149" s="494" t="n">
        <v>2012.02</v>
      </c>
      <c r="G149" s="494" t="n">
        <v>365</v>
      </c>
      <c r="H149" s="494">
        <f>2026-F149+1</f>
        <v/>
      </c>
      <c r="I149" s="289" t="n"/>
      <c r="J149" s="494" t="n">
        <v>88</v>
      </c>
      <c r="K149" s="494" t="n">
        <v>72</v>
      </c>
      <c r="L149" s="494" t="n">
        <v>27</v>
      </c>
      <c r="M149" s="494" t="inlineStr">
        <is>
          <t>계단식</t>
        </is>
      </c>
      <c r="N149" s="494" t="n">
        <v>3</v>
      </c>
      <c r="O149" s="494" t="n">
        <v>1</v>
      </c>
      <c r="P149" s="494" t="n">
        <v>90</v>
      </c>
      <c r="Q149" s="156" t="n">
        <v>17000</v>
      </c>
      <c r="R149" s="156" t="n">
        <v>10000</v>
      </c>
      <c r="S149" s="581">
        <f>Q149-R149</f>
        <v/>
      </c>
      <c r="T149" s="71">
        <f>R149/Q149</f>
        <v/>
      </c>
      <c r="U149" s="289" t="n">
        <v>18000</v>
      </c>
      <c r="V149" s="289" t="n">
        <v>14000</v>
      </c>
      <c r="AA149" s="289" t="n"/>
      <c r="AB149" s="289" t="n"/>
      <c r="AC149" s="289" t="n"/>
      <c r="AD149" s="289" t="n"/>
      <c r="AE149" s="289" t="n"/>
      <c r="AF149" s="289" t="n"/>
      <c r="AG149" s="289" t="n"/>
      <c r="AK149" s="289" t="n"/>
      <c r="AL149" s="289" t="n"/>
      <c r="AM149" s="88" t="n"/>
      <c r="AN149" s="289" t="n"/>
      <c r="AV149" s="289" t="n"/>
    </row>
    <row r="150">
      <c r="A150" s="458" t="inlineStr">
        <is>
          <t>용호동</t>
        </is>
      </c>
      <c r="D150" s="458" t="n">
        <v>4607</v>
      </c>
      <c r="E150" s="113" t="inlineStr">
        <is>
          <t>경동</t>
        </is>
      </c>
      <c r="F150" s="458" t="n">
        <v>1992.12</v>
      </c>
      <c r="G150" s="458" t="n">
        <v>499</v>
      </c>
      <c r="H150" s="458">
        <f>2026-F150+1</f>
        <v/>
      </c>
      <c r="K150" s="458" t="n">
        <v>78</v>
      </c>
      <c r="M150" s="458" t="inlineStr">
        <is>
          <t>계단식</t>
        </is>
      </c>
      <c r="N150" s="458" t="n">
        <v>3</v>
      </c>
      <c r="O150" s="458" t="n">
        <v>2</v>
      </c>
      <c r="P150" s="458" t="n">
        <v>19</v>
      </c>
      <c r="Q150" s="152" t="n">
        <v>17000</v>
      </c>
      <c r="R150" s="152" t="n">
        <v>20300</v>
      </c>
      <c r="S150" s="581">
        <f>Q150-R150</f>
        <v/>
      </c>
      <c r="T150" s="71">
        <f>R150/Q150</f>
        <v/>
      </c>
      <c r="U150" s="458" t="n">
        <v>20300</v>
      </c>
      <c r="V150" s="458" t="n">
        <v>20300</v>
      </c>
    </row>
    <row r="151">
      <c r="A151" s="458" t="inlineStr">
        <is>
          <t>용호동</t>
        </is>
      </c>
      <c r="D151" s="458" t="n">
        <v>4650</v>
      </c>
      <c r="E151" s="113" t="inlineStr">
        <is>
          <t>협진태양</t>
        </is>
      </c>
      <c r="F151" s="458" t="n">
        <v>1988.11</v>
      </c>
      <c r="G151" s="458" t="n">
        <v>315</v>
      </c>
      <c r="H151" s="458">
        <f>2026-F151+1</f>
        <v/>
      </c>
      <c r="J151" s="458" t="n">
        <v>73</v>
      </c>
      <c r="K151" s="458" t="n">
        <v>59</v>
      </c>
      <c r="L151" s="458" t="n">
        <v>22</v>
      </c>
      <c r="M151" s="458" t="inlineStr">
        <is>
          <t>계단식</t>
        </is>
      </c>
      <c r="N151" s="458" t="n">
        <v>2</v>
      </c>
      <c r="O151" s="458" t="n">
        <v>1</v>
      </c>
      <c r="P151" s="458" t="n">
        <v>70</v>
      </c>
      <c r="Q151" s="152" t="n">
        <v>16000</v>
      </c>
      <c r="R151" s="152" t="n">
        <v>9000</v>
      </c>
      <c r="S151" s="581">
        <f>Q151-R151</f>
        <v/>
      </c>
      <c r="T151" s="71">
        <f>R151/Q151</f>
        <v/>
      </c>
      <c r="U151" s="458" t="n">
        <v>22000</v>
      </c>
      <c r="V151" s="458" t="n">
        <v>16250</v>
      </c>
    </row>
    <row r="152">
      <c r="A152" s="458" t="inlineStr">
        <is>
          <t>대연동</t>
        </is>
      </c>
      <c r="D152" s="458" t="n">
        <v>4532</v>
      </c>
      <c r="E152" s="113" t="inlineStr">
        <is>
          <t>삼익그린타운</t>
        </is>
      </c>
      <c r="F152" s="458" t="n">
        <v>2001.02</v>
      </c>
      <c r="G152" s="458" t="n">
        <v>725</v>
      </c>
      <c r="H152" s="458">
        <f>2026-F152+1</f>
        <v/>
      </c>
      <c r="K152" s="458" t="n">
        <v>59</v>
      </c>
      <c r="M152" s="458" t="inlineStr">
        <is>
          <t>계단식</t>
        </is>
      </c>
      <c r="N152" s="458" t="n">
        <v>3</v>
      </c>
      <c r="O152" s="458" t="n">
        <v>1</v>
      </c>
      <c r="P152" s="458" t="n">
        <v>160</v>
      </c>
      <c r="Q152" s="152" t="n">
        <v>15700</v>
      </c>
      <c r="R152" s="152" t="n">
        <v>15000</v>
      </c>
      <c r="S152" s="581">
        <f>Q152-R152</f>
        <v/>
      </c>
      <c r="T152" s="71">
        <f>R152/Q152</f>
        <v/>
      </c>
      <c r="U152" s="458" t="n">
        <v>23000</v>
      </c>
      <c r="V152" s="458" t="n">
        <v>16600</v>
      </c>
    </row>
    <row r="153">
      <c r="A153" s="458" t="inlineStr">
        <is>
          <t>우암동</t>
        </is>
      </c>
      <c r="B153" s="159" t="n"/>
      <c r="C153" s="159" t="n"/>
      <c r="D153" s="458" t="n">
        <v>4731</v>
      </c>
      <c r="E153" s="113" t="inlineStr">
        <is>
          <t>일신보라</t>
        </is>
      </c>
      <c r="F153" s="458" t="n">
        <v>1998.09</v>
      </c>
      <c r="G153" s="458" t="n">
        <v>661</v>
      </c>
      <c r="H153" s="458">
        <f>2026-F153+1</f>
        <v/>
      </c>
      <c r="K153" s="458" t="n">
        <v>59</v>
      </c>
      <c r="M153" s="458" t="inlineStr">
        <is>
          <t>계단식</t>
        </is>
      </c>
      <c r="N153" s="458" t="n">
        <v>3</v>
      </c>
      <c r="O153" s="458" t="n">
        <v>1</v>
      </c>
      <c r="P153" s="458" t="n">
        <v>275</v>
      </c>
      <c r="Q153" s="152" t="n">
        <v>15600</v>
      </c>
      <c r="R153" s="152" t="n">
        <v>15000</v>
      </c>
      <c r="S153" s="581">
        <f>Q153-R153</f>
        <v/>
      </c>
      <c r="T153" s="71">
        <f>R153/Q153</f>
        <v/>
      </c>
      <c r="U153" s="458" t="n">
        <v>24500</v>
      </c>
      <c r="V153" s="458" t="n">
        <v>15800</v>
      </c>
      <c r="AM153" s="236" t="n"/>
    </row>
    <row r="154">
      <c r="A154" s="494" t="inlineStr">
        <is>
          <t>용호동</t>
        </is>
      </c>
      <c r="B154" s="289" t="n"/>
      <c r="C154" s="289" t="n"/>
      <c r="D154" s="494" t="n">
        <v>4612</v>
      </c>
      <c r="E154" s="150" t="inlineStr">
        <is>
          <t>대광타워맨션</t>
        </is>
      </c>
      <c r="F154" s="494" t="n">
        <v>1995.04</v>
      </c>
      <c r="G154" s="494" t="n">
        <v>479</v>
      </c>
      <c r="H154" s="494">
        <f>2026-F154+1</f>
        <v/>
      </c>
      <c r="I154" s="289" t="n"/>
      <c r="J154" s="494" t="n">
        <v>90</v>
      </c>
      <c r="K154" s="494" t="n">
        <v>72</v>
      </c>
      <c r="L154" s="494" t="n">
        <v>27</v>
      </c>
      <c r="M154" s="494" t="inlineStr">
        <is>
          <t>계단식</t>
        </is>
      </c>
      <c r="N154" s="494" t="n">
        <v>3</v>
      </c>
      <c r="O154" s="494" t="n">
        <v>1</v>
      </c>
      <c r="P154" s="494" t="n">
        <v>24</v>
      </c>
      <c r="Q154" s="156" t="n">
        <v>15000</v>
      </c>
      <c r="R154" s="156" t="n"/>
      <c r="S154" s="581">
        <f>Q154-R154</f>
        <v/>
      </c>
      <c r="T154" s="71">
        <f>R154/Q154</f>
        <v/>
      </c>
      <c r="U154" s="289" t="n"/>
      <c r="V154" s="289" t="n"/>
      <c r="AA154" s="289" t="n"/>
      <c r="AB154" s="289" t="n"/>
      <c r="AC154" s="289" t="n"/>
      <c r="AD154" s="289" t="n"/>
      <c r="AE154" s="289" t="n"/>
      <c r="AF154" s="289" t="n"/>
      <c r="AG154" s="289" t="n"/>
      <c r="AK154" s="289" t="n"/>
      <c r="AL154" s="289" t="n"/>
      <c r="AM154" s="289" t="n"/>
      <c r="AN154" s="289" t="n"/>
      <c r="AV154" s="289" t="n"/>
    </row>
    <row r="155">
      <c r="A155" s="494" t="inlineStr">
        <is>
          <t>대연동</t>
        </is>
      </c>
      <c r="B155" s="88" t="n"/>
      <c r="C155" s="89" t="n"/>
      <c r="D155" s="494" t="n">
        <v>4535</v>
      </c>
      <c r="E155" s="133" t="inlineStr">
        <is>
          <t>신원에버그린</t>
        </is>
      </c>
      <c r="F155" s="494" t="n">
        <v>2000.11</v>
      </c>
      <c r="G155" s="494" t="n">
        <v>352</v>
      </c>
      <c r="H155" s="494">
        <f>2026-F155+1</f>
        <v/>
      </c>
      <c r="I155" s="289" t="n"/>
      <c r="J155" s="494" t="n">
        <v>79</v>
      </c>
      <c r="K155" s="494" t="n">
        <v>59</v>
      </c>
      <c r="L155" s="494" t="n">
        <v>24</v>
      </c>
      <c r="M155" s="494" t="inlineStr">
        <is>
          <t>계단식</t>
        </is>
      </c>
      <c r="N155" s="494" t="n">
        <v>3</v>
      </c>
      <c r="O155" s="494" t="n">
        <v>1</v>
      </c>
      <c r="P155" s="494" t="n">
        <v>160</v>
      </c>
      <c r="Q155" s="156" t="n">
        <v>14500</v>
      </c>
      <c r="R155" s="156" t="n">
        <v>13500</v>
      </c>
      <c r="S155" s="581">
        <f>Q155-R155</f>
        <v/>
      </c>
      <c r="T155" s="71">
        <f>R155/Q155</f>
        <v/>
      </c>
      <c r="U155" s="289" t="n">
        <v>20500</v>
      </c>
      <c r="V155" s="289" t="n">
        <v>13100</v>
      </c>
      <c r="AA155" s="289" t="n"/>
      <c r="AB155" s="289" t="n"/>
      <c r="AC155" s="289" t="n"/>
      <c r="AD155" s="289" t="n"/>
      <c r="AE155" s="289" t="n"/>
      <c r="AF155" s="289" t="n"/>
      <c r="AG155" s="289" t="n"/>
      <c r="AK155" s="289" t="n"/>
      <c r="AL155" s="289" t="n"/>
      <c r="AM155" s="88" t="n"/>
      <c r="AN155" s="289" t="n"/>
      <c r="AV155" s="289" t="n"/>
    </row>
    <row r="156">
      <c r="A156" s="458" t="inlineStr">
        <is>
          <t>용호동</t>
        </is>
      </c>
      <c r="D156" s="458" t="n">
        <v>4607</v>
      </c>
      <c r="E156" s="113" t="inlineStr">
        <is>
          <t>경동</t>
        </is>
      </c>
      <c r="F156" s="458" t="n">
        <v>1992.12</v>
      </c>
      <c r="G156" s="458" t="n">
        <v>499</v>
      </c>
      <c r="H156" s="458">
        <f>2026-F156+1</f>
        <v/>
      </c>
      <c r="J156" s="458" t="n">
        <v>88</v>
      </c>
      <c r="K156" s="458" t="n">
        <v>70</v>
      </c>
      <c r="L156" s="458" t="n">
        <v>27</v>
      </c>
      <c r="M156" s="458" t="inlineStr">
        <is>
          <t>계단식</t>
        </is>
      </c>
      <c r="N156" s="458" t="n">
        <v>2</v>
      </c>
      <c r="O156" s="458" t="n">
        <v>1</v>
      </c>
      <c r="P156" s="458" t="n">
        <v>148</v>
      </c>
      <c r="Q156" s="152" t="n">
        <v>14000</v>
      </c>
      <c r="R156" s="152" t="n">
        <v>13000</v>
      </c>
      <c r="S156" s="581">
        <f>Q156-R156</f>
        <v/>
      </c>
      <c r="T156" s="71">
        <f>R156/Q156</f>
        <v/>
      </c>
      <c r="U156" s="458" t="n">
        <v>19600</v>
      </c>
      <c r="V156" s="458" t="n">
        <v>14800</v>
      </c>
    </row>
    <row r="157">
      <c r="A157" s="458" t="inlineStr">
        <is>
          <t>용호동</t>
        </is>
      </c>
      <c r="D157" s="458" t="n">
        <v>4607</v>
      </c>
      <c r="E157" s="113" t="inlineStr">
        <is>
          <t>경동</t>
        </is>
      </c>
      <c r="F157" s="458" t="n">
        <v>1992.12</v>
      </c>
      <c r="G157" s="458" t="n">
        <v>499</v>
      </c>
      <c r="H157" s="458">
        <f>2026-F157+1</f>
        <v/>
      </c>
      <c r="K157" s="458" t="n">
        <v>58</v>
      </c>
      <c r="M157" s="458" t="inlineStr">
        <is>
          <t>계단식</t>
        </is>
      </c>
      <c r="N157" s="458" t="n">
        <v>2</v>
      </c>
      <c r="O157" s="458" t="n">
        <v>1</v>
      </c>
      <c r="P157" s="458" t="n">
        <v>17</v>
      </c>
      <c r="Q157" s="152" t="n">
        <v>13000</v>
      </c>
      <c r="R157" s="152" t="n">
        <v>12000</v>
      </c>
      <c r="S157" s="581">
        <f>Q157-R157</f>
        <v/>
      </c>
      <c r="T157" s="71">
        <f>R157/Q157</f>
        <v/>
      </c>
      <c r="U157" s="458" t="n">
        <v>14000</v>
      </c>
      <c r="V157" s="458" t="n">
        <v>14000</v>
      </c>
    </row>
    <row r="158">
      <c r="A158" s="494" t="inlineStr">
        <is>
          <t>감만동</t>
        </is>
      </c>
      <c r="B158" s="88" t="n"/>
      <c r="C158" s="89" t="n"/>
      <c r="D158" s="494" t="n">
        <v>4502</v>
      </c>
      <c r="E158" s="133" t="inlineStr">
        <is>
          <t>감만현대1차</t>
        </is>
      </c>
      <c r="F158" s="494" t="n">
        <v>1996.05</v>
      </c>
      <c r="G158" s="494" t="n">
        <v>885</v>
      </c>
      <c r="H158" s="494">
        <f>2026-F158+1</f>
        <v/>
      </c>
      <c r="I158" s="289" t="n"/>
      <c r="J158" s="494" t="n">
        <v>78</v>
      </c>
      <c r="K158" s="494" t="n">
        <v>59</v>
      </c>
      <c r="L158" s="494" t="n">
        <v>24</v>
      </c>
      <c r="M158" s="494" t="inlineStr">
        <is>
          <t>계단식</t>
        </is>
      </c>
      <c r="N158" s="494" t="n">
        <v>2</v>
      </c>
      <c r="O158" s="494" t="n">
        <v>1</v>
      </c>
      <c r="P158" s="494" t="n">
        <v>693</v>
      </c>
      <c r="Q158" s="156" t="n">
        <v>12800</v>
      </c>
      <c r="R158" s="156" t="n">
        <v>12000</v>
      </c>
      <c r="S158" s="581">
        <f>Q158-R158</f>
        <v/>
      </c>
      <c r="T158" s="71">
        <f>R158/Q158</f>
        <v/>
      </c>
      <c r="U158" s="289" t="n">
        <v>20400</v>
      </c>
      <c r="V158" s="289" t="n">
        <v>11000</v>
      </c>
      <c r="AA158" s="289" t="n"/>
      <c r="AB158" s="289" t="n"/>
      <c r="AC158" s="289" t="n"/>
      <c r="AD158" s="289" t="n"/>
      <c r="AE158" s="289" t="n"/>
      <c r="AF158" s="289" t="n"/>
      <c r="AG158" s="289" t="n"/>
      <c r="AK158" s="289" t="n"/>
      <c r="AL158" s="289" t="n"/>
      <c r="AM158" s="88" t="n"/>
      <c r="AN158" s="289" t="n"/>
      <c r="AV158" s="289" t="n"/>
    </row>
    <row r="159">
      <c r="A159" s="458" t="inlineStr">
        <is>
          <t>용호동</t>
        </is>
      </c>
      <c r="B159" s="159" t="n"/>
      <c r="C159" s="159" t="n"/>
      <c r="D159" s="458" t="n">
        <v>4607</v>
      </c>
      <c r="E159" s="113" t="inlineStr">
        <is>
          <t>경동</t>
        </is>
      </c>
      <c r="F159" s="458" t="n">
        <v>1992.12</v>
      </c>
      <c r="G159" s="458" t="n">
        <v>499</v>
      </c>
      <c r="H159" s="458">
        <f>2026-F159+1</f>
        <v/>
      </c>
      <c r="K159" s="458" t="n">
        <v>56</v>
      </c>
      <c r="M159" s="458" t="inlineStr">
        <is>
          <t>계단식</t>
        </is>
      </c>
      <c r="N159" s="458" t="n">
        <v>2</v>
      </c>
      <c r="O159" s="458" t="n">
        <v>1</v>
      </c>
      <c r="P159" s="458" t="n">
        <v>34</v>
      </c>
      <c r="Q159" s="152" t="n">
        <v>12500</v>
      </c>
      <c r="R159" s="152" t="n">
        <v>10000</v>
      </c>
      <c r="S159" s="581">
        <f>Q159-R159</f>
        <v/>
      </c>
      <c r="T159" s="71">
        <f>R159/Q159</f>
        <v/>
      </c>
      <c r="AM159" s="236" t="n"/>
    </row>
    <row r="160">
      <c r="A160" s="494" t="inlineStr">
        <is>
          <t>감만동</t>
        </is>
      </c>
      <c r="B160" s="289" t="n"/>
      <c r="C160" s="289" t="n"/>
      <c r="D160" s="494" t="n">
        <v>14076</v>
      </c>
      <c r="E160" s="150" t="inlineStr">
        <is>
          <t>유창그린2차</t>
        </is>
      </c>
      <c r="F160" s="494" t="n">
        <v>2012.02</v>
      </c>
      <c r="G160" s="494" t="n">
        <v>365</v>
      </c>
      <c r="H160" s="494">
        <f>2026-F160+1</f>
        <v/>
      </c>
      <c r="I160" s="289" t="n"/>
      <c r="J160" s="494" t="n">
        <v>75</v>
      </c>
      <c r="K160" s="494" t="n">
        <v>59</v>
      </c>
      <c r="L160" s="494" t="n">
        <v>23</v>
      </c>
      <c r="M160" s="494" t="inlineStr">
        <is>
          <t>계단식</t>
        </is>
      </c>
      <c r="N160" s="494" t="n">
        <v>2</v>
      </c>
      <c r="O160" s="494" t="n">
        <v>1</v>
      </c>
      <c r="P160" s="494" t="n">
        <v>60</v>
      </c>
      <c r="Q160" s="156" t="n">
        <v>12000</v>
      </c>
      <c r="R160" s="156" t="n">
        <v>11000</v>
      </c>
      <c r="S160" s="581">
        <f>Q160-R160</f>
        <v/>
      </c>
      <c r="T160" s="71">
        <f>R160/Q160</f>
        <v/>
      </c>
      <c r="U160" s="289" t="n">
        <v>16000</v>
      </c>
      <c r="V160" s="289" t="n">
        <v>12500</v>
      </c>
      <c r="AA160" s="289" t="n"/>
      <c r="AB160" s="289" t="n"/>
      <c r="AC160" s="289" t="n"/>
      <c r="AD160" s="289" t="n"/>
      <c r="AE160" s="289" t="n"/>
      <c r="AF160" s="289" t="n"/>
      <c r="AG160" s="289" t="n"/>
      <c r="AK160" s="289" t="n"/>
      <c r="AL160" s="289" t="n"/>
      <c r="AM160" s="289" t="n"/>
      <c r="AN160" s="289" t="n"/>
      <c r="AV160" s="289" t="n"/>
    </row>
    <row r="161">
      <c r="A161" s="494" t="inlineStr">
        <is>
          <t>용호동</t>
        </is>
      </c>
      <c r="B161" s="289" t="n"/>
      <c r="C161" s="289" t="n"/>
      <c r="D161" s="494" t="n">
        <v>4612</v>
      </c>
      <c r="E161" s="150" t="inlineStr">
        <is>
          <t>대광타워맨션</t>
        </is>
      </c>
      <c r="F161" s="494" t="n">
        <v>1995.04</v>
      </c>
      <c r="G161" s="494" t="n">
        <v>479</v>
      </c>
      <c r="H161" s="494">
        <f>2026-F161+1</f>
        <v/>
      </c>
      <c r="I161" s="289" t="n"/>
      <c r="J161" s="494" t="n">
        <v>86</v>
      </c>
      <c r="K161" s="494" t="n">
        <v>59</v>
      </c>
      <c r="L161" s="494" t="n">
        <v>26</v>
      </c>
      <c r="M161" s="494" t="inlineStr">
        <is>
          <t>계단식</t>
        </is>
      </c>
      <c r="N161" s="494" t="n">
        <v>3</v>
      </c>
      <c r="O161" s="494" t="n">
        <v>1</v>
      </c>
      <c r="P161" s="494" t="n">
        <v>188</v>
      </c>
      <c r="Q161" s="156" t="n">
        <v>11500</v>
      </c>
      <c r="R161" s="156" t="n">
        <v>10000</v>
      </c>
      <c r="S161" s="581">
        <f>Q161-R161</f>
        <v/>
      </c>
      <c r="T161" s="71">
        <f>R161/Q161</f>
        <v/>
      </c>
      <c r="U161" s="289" t="n">
        <v>15500</v>
      </c>
      <c r="V161" s="289" t="n">
        <v>10500</v>
      </c>
      <c r="AA161" s="289" t="n"/>
      <c r="AB161" s="289" t="n"/>
      <c r="AC161" s="289" t="n"/>
      <c r="AD161" s="289" t="n"/>
      <c r="AE161" s="289" t="n"/>
      <c r="AF161" s="289" t="n"/>
      <c r="AG161" s="289" t="n"/>
      <c r="AK161" s="289" t="n"/>
      <c r="AL161" s="289" t="n"/>
      <c r="AM161" s="289" t="n"/>
      <c r="AN161" s="289" t="n"/>
      <c r="AV161" s="289" t="n"/>
    </row>
    <row r="162">
      <c r="A162" s="458" t="inlineStr">
        <is>
          <t>감만동</t>
        </is>
      </c>
      <c r="B162" s="159" t="n"/>
      <c r="C162" s="159" t="n"/>
      <c r="D162" s="458" t="n">
        <v>12935</v>
      </c>
      <c r="E162" s="113" t="inlineStr">
        <is>
          <t>감만동일스위트</t>
        </is>
      </c>
      <c r="F162" s="458" t="n">
        <v>2005.1</v>
      </c>
      <c r="G162" s="458" t="n">
        <v>548</v>
      </c>
      <c r="H162" s="458">
        <f>2026-F162+1</f>
        <v/>
      </c>
      <c r="J162" s="458" t="n">
        <v>84</v>
      </c>
      <c r="K162" s="458" t="n">
        <v>59</v>
      </c>
      <c r="L162" s="458" t="n">
        <v>25</v>
      </c>
      <c r="M162" s="458" t="inlineStr">
        <is>
          <t>계단식</t>
        </is>
      </c>
      <c r="N162" s="458" t="n">
        <v>3</v>
      </c>
      <c r="O162" s="458" t="n">
        <v>1</v>
      </c>
      <c r="P162" s="458" t="n">
        <v>70</v>
      </c>
      <c r="S162" s="581">
        <f>Q162-R162</f>
        <v/>
      </c>
      <c r="T162" s="71">
        <f>R162/Q162</f>
        <v/>
      </c>
      <c r="U162" s="458" t="n">
        <v>25000</v>
      </c>
      <c r="V162" s="458" t="n">
        <v>19000</v>
      </c>
      <c r="AM162" s="236" t="n"/>
    </row>
    <row r="163">
      <c r="A163" s="494" t="inlineStr">
        <is>
          <t>감만동</t>
        </is>
      </c>
      <c r="B163" s="289" t="n"/>
      <c r="C163" s="289" t="n"/>
      <c r="D163" s="494" t="n">
        <v>14076</v>
      </c>
      <c r="E163" s="150" t="inlineStr">
        <is>
          <t>유창그린2차</t>
        </is>
      </c>
      <c r="F163" s="494" t="n">
        <v>2012.02</v>
      </c>
      <c r="G163" s="494" t="n">
        <v>365</v>
      </c>
      <c r="H163" s="494">
        <f>2026-F163+1</f>
        <v/>
      </c>
      <c r="I163" s="289" t="n"/>
      <c r="J163" s="494" t="n">
        <v>69</v>
      </c>
      <c r="K163" s="494" t="n">
        <v>50</v>
      </c>
      <c r="L163" s="494" t="n">
        <v>21</v>
      </c>
      <c r="M163" s="494" t="inlineStr">
        <is>
          <t>계단식</t>
        </is>
      </c>
      <c r="N163" s="494" t="n">
        <v>3</v>
      </c>
      <c r="O163" s="494" t="n">
        <v>1</v>
      </c>
      <c r="P163" s="494" t="n">
        <v>10</v>
      </c>
      <c r="Q163" s="156" t="n"/>
      <c r="R163" s="156" t="n"/>
      <c r="S163" s="581">
        <f>Q163-R163</f>
        <v/>
      </c>
      <c r="T163" s="71">
        <f>R163/Q163</f>
        <v/>
      </c>
      <c r="U163" s="289" t="n"/>
      <c r="V163" s="289" t="n"/>
      <c r="AA163" s="289" t="n"/>
      <c r="AB163" s="289" t="n"/>
      <c r="AC163" s="289" t="n"/>
      <c r="AD163" s="289" t="n"/>
      <c r="AE163" s="289" t="n"/>
      <c r="AF163" s="289" t="n"/>
      <c r="AG163" s="289" t="n"/>
      <c r="AK163" s="289" t="n"/>
      <c r="AL163" s="289" t="n"/>
      <c r="AM163" s="289" t="n"/>
      <c r="AN163" s="289" t="n"/>
      <c r="AV163" s="289" t="n"/>
    </row>
    <row r="164">
      <c r="A164" s="494" t="inlineStr">
        <is>
          <t>감만동</t>
        </is>
      </c>
      <c r="B164" s="88" t="n"/>
      <c r="C164" s="89" t="n"/>
      <c r="D164" s="494" t="n">
        <v>14076</v>
      </c>
      <c r="E164" s="150" t="inlineStr">
        <is>
          <t>유창그린2차</t>
        </is>
      </c>
      <c r="F164" s="494" t="n">
        <v>2012.02</v>
      </c>
      <c r="G164" s="494" t="n">
        <v>365</v>
      </c>
      <c r="H164" s="494">
        <f>2026-F164+1</f>
        <v/>
      </c>
      <c r="I164" s="289" t="n"/>
      <c r="J164" s="494" t="n">
        <v>128</v>
      </c>
      <c r="K164" s="494" t="n">
        <v>108</v>
      </c>
      <c r="L164" s="494" t="n">
        <v>39</v>
      </c>
      <c r="M164" s="494" t="inlineStr">
        <is>
          <t>계단식</t>
        </is>
      </c>
      <c r="N164" s="494" t="n">
        <v>4</v>
      </c>
      <c r="O164" s="494" t="n">
        <v>2</v>
      </c>
      <c r="P164" s="494" t="n">
        <v>85</v>
      </c>
      <c r="Q164" s="156" t="n"/>
      <c r="R164" s="156" t="n"/>
      <c r="S164" s="581">
        <f>Q164-R164</f>
        <v/>
      </c>
      <c r="T164" s="71">
        <f>R164/Q164</f>
        <v/>
      </c>
      <c r="U164" s="289" t="n">
        <v>22500</v>
      </c>
      <c r="V164" s="289" t="n">
        <v>16700</v>
      </c>
      <c r="AA164" s="289" t="n"/>
      <c r="AB164" s="289" t="n"/>
      <c r="AC164" s="289" t="n"/>
      <c r="AD164" s="289" t="n"/>
      <c r="AE164" s="289" t="n"/>
      <c r="AF164" s="289" t="n"/>
      <c r="AG164" s="289" t="n"/>
      <c r="AK164" s="289" t="n"/>
      <c r="AL164" s="289" t="n"/>
      <c r="AM164" s="88" t="n"/>
      <c r="AN164" s="289" t="n"/>
      <c r="AV164" s="289" t="n"/>
    </row>
    <row r="165">
      <c r="A165" s="458" t="inlineStr">
        <is>
          <t>대연동</t>
        </is>
      </c>
      <c r="D165" s="458" t="n">
        <v>24055</v>
      </c>
      <c r="E165" s="113" t="inlineStr">
        <is>
          <t>대연SK뷰1차</t>
        </is>
      </c>
      <c r="F165" s="458" t="n">
        <v>2007.06</v>
      </c>
      <c r="G165" s="458" t="n">
        <v>421</v>
      </c>
      <c r="H165" s="458">
        <f>2026-F165+1</f>
        <v/>
      </c>
      <c r="K165" s="458" t="n">
        <v>59</v>
      </c>
      <c r="M165" s="458" t="inlineStr">
        <is>
          <t>계단식</t>
        </is>
      </c>
      <c r="N165" s="458" t="n">
        <v>3</v>
      </c>
      <c r="O165" s="458" t="n">
        <v>1</v>
      </c>
      <c r="P165" s="458" t="n">
        <v>33</v>
      </c>
      <c r="S165" s="581">
        <f>Q165-R165</f>
        <v/>
      </c>
      <c r="T165" s="71">
        <f>R165/Q165</f>
        <v/>
      </c>
      <c r="U165" s="458" t="n">
        <v>29000</v>
      </c>
      <c r="V165" s="458" t="n">
        <v>27200</v>
      </c>
    </row>
    <row r="166">
      <c r="A166" s="458" t="inlineStr">
        <is>
          <t>대연동</t>
        </is>
      </c>
      <c r="D166" s="458" t="n">
        <v>24055</v>
      </c>
      <c r="E166" s="113" t="inlineStr">
        <is>
          <t>대연SK뷰1차</t>
        </is>
      </c>
      <c r="F166" s="458" t="n">
        <v>2007.06</v>
      </c>
      <c r="G166" s="458" t="n">
        <v>421</v>
      </c>
      <c r="H166" s="458">
        <f>2026-F166+1</f>
        <v/>
      </c>
      <c r="J166" s="458" t="n">
        <v>80</v>
      </c>
      <c r="K166" s="458" t="n">
        <v>59</v>
      </c>
      <c r="L166" s="458" t="n">
        <v>24</v>
      </c>
      <c r="M166" s="458" t="inlineStr">
        <is>
          <t>계단식</t>
        </is>
      </c>
      <c r="N166" s="458" t="n">
        <v>3</v>
      </c>
      <c r="O166" s="458" t="n">
        <v>2</v>
      </c>
      <c r="P166" s="458" t="n">
        <v>46</v>
      </c>
      <c r="S166" s="581">
        <f>Q166-R166</f>
        <v/>
      </c>
      <c r="T166" s="71">
        <f>R166/Q166</f>
        <v/>
      </c>
      <c r="U166" s="458" t="n">
        <v>29000</v>
      </c>
      <c r="V166" s="458" t="n">
        <v>27200</v>
      </c>
    </row>
    <row r="167">
      <c r="A167" s="458" t="inlineStr">
        <is>
          <t>대연동</t>
        </is>
      </c>
      <c r="B167" s="159" t="n"/>
      <c r="C167" s="159" t="n"/>
      <c r="D167" s="458" t="n">
        <v>24055</v>
      </c>
      <c r="E167" s="113" t="inlineStr">
        <is>
          <t>대연SK뷰1차</t>
        </is>
      </c>
      <c r="F167" s="458" t="n">
        <v>2007.06</v>
      </c>
      <c r="G167" s="458" t="n">
        <v>421</v>
      </c>
      <c r="H167" s="458">
        <f>2026-F167+1</f>
        <v/>
      </c>
      <c r="J167" s="458" t="n">
        <v>121</v>
      </c>
      <c r="K167" s="458" t="n">
        <v>96</v>
      </c>
      <c r="L167" s="458" t="n">
        <v>37</v>
      </c>
      <c r="M167" s="458" t="inlineStr">
        <is>
          <t>계단식</t>
        </is>
      </c>
      <c r="N167" s="458" t="n">
        <v>3</v>
      </c>
      <c r="O167" s="458" t="n">
        <v>2</v>
      </c>
      <c r="P167" s="458" t="n">
        <v>65</v>
      </c>
      <c r="S167" s="581">
        <f>Q167-R167</f>
        <v/>
      </c>
      <c r="T167" s="71">
        <f>R167/Q167</f>
        <v/>
      </c>
      <c r="U167" s="458" t="n">
        <v>44500</v>
      </c>
      <c r="V167" s="458" t="n">
        <v>38700</v>
      </c>
      <c r="AM167" s="236" t="n"/>
    </row>
    <row r="168">
      <c r="A168" s="458" t="inlineStr">
        <is>
          <t>대연동</t>
        </is>
      </c>
      <c r="B168" s="159" t="n"/>
      <c r="C168" s="159" t="n"/>
      <c r="D168" s="458" t="n">
        <v>24055</v>
      </c>
      <c r="E168" s="113" t="inlineStr">
        <is>
          <t>대연SK뷰1차</t>
        </is>
      </c>
      <c r="F168" s="458" t="n">
        <v>2007.06</v>
      </c>
      <c r="G168" s="458" t="n">
        <v>421</v>
      </c>
      <c r="H168" s="458">
        <f>2026-F168+1</f>
        <v/>
      </c>
      <c r="J168" s="458" t="n">
        <v>133</v>
      </c>
      <c r="K168" s="458" t="n">
        <v>106</v>
      </c>
      <c r="L168" s="458" t="n">
        <v>40</v>
      </c>
      <c r="M168" s="458" t="inlineStr">
        <is>
          <t>계단식</t>
        </is>
      </c>
      <c r="N168" s="458" t="n">
        <v>3</v>
      </c>
      <c r="O168" s="458" t="n">
        <v>2</v>
      </c>
      <c r="P168" s="458" t="n">
        <v>74</v>
      </c>
      <c r="S168" s="581">
        <f>Q168-R168</f>
        <v/>
      </c>
      <c r="T168" s="71">
        <f>R168/Q168</f>
        <v/>
      </c>
      <c r="U168" s="458" t="n">
        <v>45000</v>
      </c>
      <c r="V168" s="458" t="n">
        <v>42000</v>
      </c>
      <c r="AM168" s="236" t="n"/>
    </row>
    <row r="169">
      <c r="A169" s="458" t="inlineStr">
        <is>
          <t>대연동</t>
        </is>
      </c>
      <c r="B169" s="159" t="n"/>
      <c r="C169" s="159" t="n"/>
      <c r="D169" s="458" t="n">
        <v>24055</v>
      </c>
      <c r="E169" s="113" t="inlineStr">
        <is>
          <t>대연SK뷰1차</t>
        </is>
      </c>
      <c r="F169" s="458" t="n">
        <v>2007.06</v>
      </c>
      <c r="G169" s="458" t="n">
        <v>421</v>
      </c>
      <c r="H169" s="458">
        <f>2026-F169+1</f>
        <v/>
      </c>
      <c r="J169" s="458" t="n">
        <v>156</v>
      </c>
      <c r="K169" s="458" t="n">
        <v>123</v>
      </c>
      <c r="L169" s="458" t="n">
        <v>47</v>
      </c>
      <c r="M169" s="458" t="inlineStr">
        <is>
          <t>계단식</t>
        </is>
      </c>
      <c r="N169" s="458" t="n">
        <v>4</v>
      </c>
      <c r="O169" s="458" t="n">
        <v>2</v>
      </c>
      <c r="P169" s="458" t="n">
        <v>4</v>
      </c>
      <c r="S169" s="581">
        <f>Q169-R169</f>
        <v/>
      </c>
      <c r="T169" s="71">
        <f>R169/Q169</f>
        <v/>
      </c>
      <c r="V169" s="458" t="n">
        <v>43000</v>
      </c>
      <c r="AM169" s="236" t="n"/>
    </row>
    <row r="170">
      <c r="A170" s="458" t="inlineStr">
        <is>
          <t>대연동</t>
        </is>
      </c>
      <c r="B170" s="159" t="n"/>
      <c r="C170" s="159" t="n"/>
      <c r="D170" s="458" t="n">
        <v>24055</v>
      </c>
      <c r="E170" s="113" t="inlineStr">
        <is>
          <t>대연SK뷰1차</t>
        </is>
      </c>
      <c r="F170" s="458" t="n">
        <v>2007.06</v>
      </c>
      <c r="G170" s="458" t="n">
        <v>421</v>
      </c>
      <c r="H170" s="458">
        <f>2026-F170+1</f>
        <v/>
      </c>
      <c r="J170" s="458" t="n">
        <v>161</v>
      </c>
      <c r="K170" s="458" t="n">
        <v>127</v>
      </c>
      <c r="L170" s="458" t="n">
        <v>49</v>
      </c>
      <c r="M170" s="458" t="inlineStr">
        <is>
          <t>계단식</t>
        </is>
      </c>
      <c r="N170" s="458" t="n">
        <v>4</v>
      </c>
      <c r="O170" s="458" t="n">
        <v>2</v>
      </c>
      <c r="P170" s="458" t="n">
        <v>66</v>
      </c>
      <c r="S170" s="581">
        <f>Q170-R170</f>
        <v/>
      </c>
      <c r="T170" s="71">
        <f>R170/Q170</f>
        <v/>
      </c>
      <c r="U170" s="458" t="n">
        <v>52000</v>
      </c>
      <c r="V170" s="458" t="n">
        <v>46000</v>
      </c>
      <c r="AM170" s="236" t="n"/>
    </row>
    <row r="171">
      <c r="A171" s="458" t="inlineStr">
        <is>
          <t>대연동</t>
        </is>
      </c>
      <c r="D171" s="458" t="n">
        <v>24055</v>
      </c>
      <c r="E171" s="113" t="inlineStr">
        <is>
          <t>대연SK뷰1차</t>
        </is>
      </c>
      <c r="F171" s="458" t="n">
        <v>2007.06</v>
      </c>
      <c r="G171" s="458" t="n">
        <v>421</v>
      </c>
      <c r="H171" s="458">
        <f>2026-F171+1</f>
        <v/>
      </c>
      <c r="J171" s="458" t="n">
        <v>191</v>
      </c>
      <c r="K171" s="458" t="n">
        <v>147</v>
      </c>
      <c r="L171" s="458" t="n">
        <v>58</v>
      </c>
      <c r="M171" s="458" t="inlineStr">
        <is>
          <t>계단식</t>
        </is>
      </c>
      <c r="N171" s="458" t="n">
        <v>5</v>
      </c>
      <c r="O171" s="458" t="n">
        <v>3</v>
      </c>
      <c r="P171" s="458" t="n">
        <v>6</v>
      </c>
      <c r="S171" s="581">
        <f>Q171-R171</f>
        <v/>
      </c>
      <c r="T171" s="71">
        <f>R171/Q171</f>
        <v/>
      </c>
      <c r="U171" s="458" t="n">
        <v>57000</v>
      </c>
      <c r="V171" s="458" t="n">
        <v>57000</v>
      </c>
    </row>
    <row r="172">
      <c r="A172" s="494" t="inlineStr">
        <is>
          <t>대연동</t>
        </is>
      </c>
      <c r="B172" s="88" t="n"/>
      <c r="C172" s="89" t="n"/>
      <c r="D172" s="494" t="n">
        <v>110738</v>
      </c>
      <c r="E172" s="150" t="inlineStr">
        <is>
          <t>대연SK뷰힐스</t>
        </is>
      </c>
      <c r="F172" s="494" t="n">
        <v>2018.07</v>
      </c>
      <c r="G172" s="494" t="n">
        <v>994</v>
      </c>
      <c r="H172" s="494">
        <f>2026-F172+1</f>
        <v/>
      </c>
      <c r="I172" s="289" t="n"/>
      <c r="J172" s="494" t="n">
        <v>131</v>
      </c>
      <c r="K172" s="494" t="n">
        <v>99</v>
      </c>
      <c r="L172" s="494" t="n">
        <v>40</v>
      </c>
      <c r="M172" s="494" t="inlineStr">
        <is>
          <t>계단식</t>
        </is>
      </c>
      <c r="N172" s="494" t="n">
        <v>4</v>
      </c>
      <c r="O172" s="494" t="n">
        <v>2</v>
      </c>
      <c r="P172" s="494" t="n">
        <v>46</v>
      </c>
      <c r="Q172" s="156" t="n"/>
      <c r="R172" s="156" t="n"/>
      <c r="S172" s="581">
        <f>Q172-R172</f>
        <v/>
      </c>
      <c r="T172" s="71">
        <f>R172/Q172</f>
        <v/>
      </c>
      <c r="U172" s="289" t="n">
        <v>78700</v>
      </c>
      <c r="V172" s="289" t="n">
        <v>64500</v>
      </c>
      <c r="AA172" s="289" t="n"/>
      <c r="AB172" s="289" t="n"/>
      <c r="AC172" s="289" t="n"/>
      <c r="AD172" s="289" t="n"/>
      <c r="AE172" s="289" t="n"/>
      <c r="AF172" s="289" t="n"/>
      <c r="AG172" s="289" t="n"/>
      <c r="AK172" s="289" t="n"/>
      <c r="AL172" s="289" t="n"/>
      <c r="AM172" s="88" t="n"/>
      <c r="AN172" s="289" t="n"/>
      <c r="AV172" s="289" t="n"/>
    </row>
    <row r="173">
      <c r="A173" s="494" t="inlineStr">
        <is>
          <t>대연동</t>
        </is>
      </c>
      <c r="B173" s="88" t="n"/>
      <c r="C173" s="89" t="n"/>
      <c r="D173" s="494" t="n">
        <v>110738</v>
      </c>
      <c r="E173" s="150" t="inlineStr">
        <is>
          <t>대연SK뷰힐스</t>
        </is>
      </c>
      <c r="F173" s="494" t="n">
        <v>2018.07</v>
      </c>
      <c r="G173" s="494" t="n">
        <v>994</v>
      </c>
      <c r="H173" s="494">
        <f>2026-F173+1</f>
        <v/>
      </c>
      <c r="I173" s="289" t="n"/>
      <c r="J173" s="494" t="n">
        <v>147</v>
      </c>
      <c r="K173" s="494" t="n">
        <v>111</v>
      </c>
      <c r="L173" s="494" t="n">
        <v>44</v>
      </c>
      <c r="M173" s="494" t="inlineStr">
        <is>
          <t>계단식</t>
        </is>
      </c>
      <c r="N173" s="494" t="n">
        <v>5</v>
      </c>
      <c r="O173" s="494" t="n">
        <v>2</v>
      </c>
      <c r="P173" s="494" t="n">
        <v>36</v>
      </c>
      <c r="Q173" s="156" t="n"/>
      <c r="R173" s="156" t="n"/>
      <c r="S173" s="581">
        <f>Q173-R173</f>
        <v/>
      </c>
      <c r="T173" s="71">
        <f>R173/Q173</f>
        <v/>
      </c>
      <c r="U173" s="289" t="n"/>
      <c r="V173" s="289" t="n"/>
      <c r="AA173" s="289" t="n"/>
      <c r="AB173" s="289" t="n"/>
      <c r="AC173" s="289" t="n"/>
      <c r="AD173" s="289" t="n"/>
      <c r="AE173" s="289" t="n"/>
      <c r="AF173" s="289" t="n"/>
      <c r="AG173" s="289" t="n"/>
      <c r="AK173" s="289" t="n"/>
      <c r="AL173" s="289" t="n"/>
      <c r="AM173" s="88" t="n"/>
      <c r="AN173" s="289" t="n"/>
      <c r="AV173" s="289" t="n"/>
    </row>
    <row r="174">
      <c r="A174" s="458" t="inlineStr">
        <is>
          <t>대연동</t>
        </is>
      </c>
      <c r="B174" s="159" t="n"/>
      <c r="C174" s="159" t="n"/>
      <c r="D174" s="458" t="n">
        <v>14171</v>
      </c>
      <c r="E174" s="113" t="inlineStr">
        <is>
          <t>대연경동메르빌</t>
        </is>
      </c>
      <c r="F174" s="458" t="n">
        <v>2005.08</v>
      </c>
      <c r="G174" s="458" t="n">
        <v>451</v>
      </c>
      <c r="H174" s="458">
        <f>2026-F174+1</f>
        <v/>
      </c>
      <c r="K174" s="458" t="n">
        <v>59</v>
      </c>
      <c r="M174" s="458" t="inlineStr">
        <is>
          <t>계단식</t>
        </is>
      </c>
      <c r="N174" s="458" t="n">
        <v>2</v>
      </c>
      <c r="O174" s="458" t="n">
        <v>2</v>
      </c>
      <c r="P174" s="458" t="n">
        <v>58</v>
      </c>
      <c r="S174" s="581">
        <f>Q174-R174</f>
        <v/>
      </c>
      <c r="T174" s="71">
        <f>R174/Q174</f>
        <v/>
      </c>
      <c r="U174" s="458" t="n">
        <v>31000</v>
      </c>
      <c r="V174" s="458" t="n">
        <v>20000</v>
      </c>
      <c r="AM174" s="236" t="n"/>
    </row>
    <row r="175">
      <c r="A175" s="494" t="inlineStr">
        <is>
          <t>대연동</t>
        </is>
      </c>
      <c r="B175" s="88" t="n"/>
      <c r="C175" s="89" t="n"/>
      <c r="D175" s="494" t="n">
        <v>10488</v>
      </c>
      <c r="E175" s="150" t="inlineStr">
        <is>
          <t>대연극동</t>
        </is>
      </c>
      <c r="F175" s="494" t="n">
        <v>2002.08</v>
      </c>
      <c r="G175" s="494" t="n">
        <v>413</v>
      </c>
      <c r="H175" s="494">
        <f>2026-F175+1</f>
        <v/>
      </c>
      <c r="I175" s="289" t="n"/>
      <c r="J175" s="289" t="n"/>
      <c r="K175" s="494" t="n">
        <v>119</v>
      </c>
      <c r="L175" s="289" t="n"/>
      <c r="M175" s="494" t="inlineStr">
        <is>
          <t>계단식</t>
        </is>
      </c>
      <c r="N175" s="494" t="n">
        <v>4</v>
      </c>
      <c r="O175" s="494" t="n">
        <v>2</v>
      </c>
      <c r="P175" s="494" t="n">
        <v>47</v>
      </c>
      <c r="Q175" s="156" t="n"/>
      <c r="R175" s="156" t="n"/>
      <c r="S175" s="581">
        <f>Q175-R175</f>
        <v/>
      </c>
      <c r="T175" s="71">
        <f>R175/Q175</f>
        <v/>
      </c>
      <c r="U175" s="289" t="n"/>
      <c r="V175" s="289" t="n">
        <v>38000</v>
      </c>
      <c r="AA175" s="289" t="n"/>
      <c r="AB175" s="289" t="n"/>
      <c r="AC175" s="289" t="n"/>
      <c r="AD175" s="289" t="n"/>
      <c r="AE175" s="289" t="n"/>
      <c r="AF175" s="289" t="n"/>
      <c r="AG175" s="289" t="n"/>
      <c r="AK175" s="289" t="n"/>
      <c r="AL175" s="289" t="n"/>
      <c r="AM175" s="88" t="n"/>
      <c r="AN175" s="289" t="n"/>
      <c r="AV175" s="289" t="n"/>
    </row>
    <row r="176">
      <c r="A176" s="494" t="inlineStr">
        <is>
          <t>대연동</t>
        </is>
      </c>
      <c r="B176" s="88" t="n"/>
      <c r="C176" s="89" t="n"/>
      <c r="D176" s="494" t="n">
        <v>10488</v>
      </c>
      <c r="E176" s="150" t="inlineStr">
        <is>
          <t>대연극동</t>
        </is>
      </c>
      <c r="F176" s="494" t="n">
        <v>2002.08</v>
      </c>
      <c r="G176" s="494" t="n">
        <v>413</v>
      </c>
      <c r="H176" s="494">
        <f>2026-F176+1</f>
        <v/>
      </c>
      <c r="I176" s="289" t="n"/>
      <c r="J176" s="289" t="n"/>
      <c r="K176" s="494" t="n">
        <v>114</v>
      </c>
      <c r="L176" s="289" t="n"/>
      <c r="M176" s="494" t="inlineStr">
        <is>
          <t>계단식</t>
        </is>
      </c>
      <c r="N176" s="494" t="n">
        <v>4</v>
      </c>
      <c r="O176" s="494" t="n">
        <v>2</v>
      </c>
      <c r="P176" s="494" t="n">
        <v>28</v>
      </c>
      <c r="Q176" s="156" t="n"/>
      <c r="R176" s="156" t="n"/>
      <c r="S176" s="581">
        <f>Q176-R176</f>
        <v/>
      </c>
      <c r="T176" s="71">
        <f>R176/Q176</f>
        <v/>
      </c>
      <c r="U176" s="289" t="n">
        <v>45000</v>
      </c>
      <c r="V176" s="289" t="n">
        <v>45000</v>
      </c>
      <c r="AA176" s="289" t="n"/>
      <c r="AB176" s="289" t="n"/>
      <c r="AC176" s="289" t="n"/>
      <c r="AD176" s="289" t="n"/>
      <c r="AE176" s="289" t="n"/>
      <c r="AF176" s="289" t="n"/>
      <c r="AG176" s="289" t="n"/>
      <c r="AK176" s="289" t="n"/>
      <c r="AL176" s="289" t="n"/>
      <c r="AM176" s="88" t="n"/>
      <c r="AN176" s="289" t="n"/>
      <c r="AV176" s="289" t="n"/>
    </row>
    <row r="177">
      <c r="A177" s="458" t="inlineStr">
        <is>
          <t>대연동</t>
        </is>
      </c>
      <c r="D177" s="458" t="n">
        <v>4521</v>
      </c>
      <c r="E177" s="113" t="inlineStr">
        <is>
          <t>대연대우</t>
        </is>
      </c>
      <c r="F177" s="458" t="n">
        <v>1996.02</v>
      </c>
      <c r="G177" s="458" t="n">
        <v>457</v>
      </c>
      <c r="H177" s="458">
        <f>2026-F177+1</f>
        <v/>
      </c>
      <c r="K177" s="458" t="n">
        <v>116</v>
      </c>
      <c r="M177" s="458" t="inlineStr">
        <is>
          <t>계단식</t>
        </is>
      </c>
      <c r="N177" s="458" t="n">
        <v>4</v>
      </c>
      <c r="O177" s="458" t="n">
        <v>2</v>
      </c>
      <c r="P177" s="458" t="n">
        <v>42</v>
      </c>
      <c r="S177" s="581">
        <f>Q177-R177</f>
        <v/>
      </c>
      <c r="T177" s="71">
        <f>R177/Q177</f>
        <v/>
      </c>
      <c r="U177" s="458" t="n">
        <v>33000</v>
      </c>
    </row>
    <row r="178">
      <c r="A178" s="458" t="inlineStr">
        <is>
          <t>대연동</t>
        </is>
      </c>
      <c r="B178" s="159" t="n"/>
      <c r="C178" s="159" t="n"/>
      <c r="D178" s="458" t="n">
        <v>4521</v>
      </c>
      <c r="E178" s="113" t="inlineStr">
        <is>
          <t>대연대우</t>
        </is>
      </c>
      <c r="F178" s="458" t="n">
        <v>1996.02</v>
      </c>
      <c r="G178" s="458" t="n">
        <v>457</v>
      </c>
      <c r="H178" s="458">
        <f>2026-F178+1</f>
        <v/>
      </c>
      <c r="K178" s="458" t="n">
        <v>117</v>
      </c>
      <c r="M178" s="458" t="inlineStr">
        <is>
          <t>계단식</t>
        </is>
      </c>
      <c r="N178" s="458" t="n">
        <v>3</v>
      </c>
      <c r="O178" s="458" t="n">
        <v>2</v>
      </c>
      <c r="P178" s="458" t="n">
        <v>21</v>
      </c>
      <c r="S178" s="581">
        <f>Q178-R178</f>
        <v/>
      </c>
      <c r="T178" s="71">
        <f>R178/Q178</f>
        <v/>
      </c>
      <c r="U178" s="458" t="n">
        <v>33000</v>
      </c>
      <c r="V178" s="458" t="n">
        <v>31500</v>
      </c>
      <c r="AM178" s="236" t="n"/>
    </row>
    <row r="179">
      <c r="A179" s="494" t="inlineStr">
        <is>
          <t>대연동</t>
        </is>
      </c>
      <c r="B179" s="289" t="n"/>
      <c r="C179" s="289" t="n"/>
      <c r="D179" s="494" t="n">
        <v>10107</v>
      </c>
      <c r="E179" s="150" t="inlineStr">
        <is>
          <t>대연동원로얄듀크2차</t>
        </is>
      </c>
      <c r="F179" s="494" t="n">
        <v>2005.02</v>
      </c>
      <c r="G179" s="494" t="n">
        <v>417</v>
      </c>
      <c r="H179" s="494">
        <f>2026-F179+1</f>
        <v/>
      </c>
      <c r="I179" s="289" t="n"/>
      <c r="J179" s="494" t="n">
        <v>134</v>
      </c>
      <c r="K179" s="494" t="n">
        <v>107</v>
      </c>
      <c r="L179" s="494" t="n">
        <v>41</v>
      </c>
      <c r="M179" s="494" t="inlineStr">
        <is>
          <t>계단식</t>
        </is>
      </c>
      <c r="N179" s="494" t="n">
        <v>4</v>
      </c>
      <c r="O179" s="494" t="n">
        <v>2</v>
      </c>
      <c r="P179" s="494" t="n">
        <v>20</v>
      </c>
      <c r="Q179" s="156" t="n"/>
      <c r="R179" s="156" t="n"/>
      <c r="S179" s="581">
        <f>Q179-R179</f>
        <v/>
      </c>
      <c r="T179" s="71">
        <f>R179/Q179</f>
        <v/>
      </c>
      <c r="U179" s="289" t="n">
        <v>80500</v>
      </c>
      <c r="V179" s="289" t="n">
        <v>69000</v>
      </c>
      <c r="AA179" s="289" t="n"/>
      <c r="AB179" s="289" t="n"/>
      <c r="AC179" s="289" t="n"/>
      <c r="AD179" s="289" t="n"/>
      <c r="AE179" s="289" t="n"/>
      <c r="AF179" s="289" t="n"/>
      <c r="AG179" s="289" t="n"/>
      <c r="AK179" s="289" t="n"/>
      <c r="AL179" s="289" t="n"/>
      <c r="AM179" s="289" t="n"/>
      <c r="AN179" s="289" t="n"/>
      <c r="AV179" s="289" t="n"/>
    </row>
    <row r="180">
      <c r="A180" s="494" t="inlineStr">
        <is>
          <t>대연동</t>
        </is>
      </c>
      <c r="B180" s="289" t="n"/>
      <c r="C180" s="289" t="n"/>
      <c r="D180" s="494" t="n">
        <v>10107</v>
      </c>
      <c r="E180" s="150" t="inlineStr">
        <is>
          <t>대연동원로얄듀크2차</t>
        </is>
      </c>
      <c r="F180" s="494" t="n">
        <v>2005.02</v>
      </c>
      <c r="G180" s="494" t="n">
        <v>417</v>
      </c>
      <c r="H180" s="494">
        <f>2026-F180+1</f>
        <v/>
      </c>
      <c r="I180" s="289" t="n"/>
      <c r="J180" s="494" t="n">
        <v>152</v>
      </c>
      <c r="K180" s="494" t="n">
        <v>128</v>
      </c>
      <c r="L180" s="494" t="n">
        <v>46</v>
      </c>
      <c r="M180" s="494" t="inlineStr">
        <is>
          <t>계단식</t>
        </is>
      </c>
      <c r="N180" s="494" t="n">
        <v>4</v>
      </c>
      <c r="O180" s="494" t="n">
        <v>2</v>
      </c>
      <c r="P180" s="494" t="n">
        <v>148</v>
      </c>
      <c r="Q180" s="156" t="n"/>
      <c r="R180" s="156" t="n"/>
      <c r="S180" s="581">
        <f>Q180-R180</f>
        <v/>
      </c>
      <c r="T180" s="71">
        <f>R180/Q180</f>
        <v/>
      </c>
      <c r="U180" s="289" t="n">
        <v>88000</v>
      </c>
      <c r="V180" s="289" t="n">
        <v>67000</v>
      </c>
      <c r="AA180" s="289" t="n"/>
      <c r="AB180" s="289" t="n"/>
      <c r="AC180" s="289" t="n"/>
      <c r="AD180" s="289" t="n"/>
      <c r="AE180" s="289" t="n"/>
      <c r="AF180" s="289" t="n"/>
      <c r="AG180" s="289" t="n"/>
      <c r="AK180" s="289" t="n"/>
      <c r="AL180" s="289" t="n"/>
      <c r="AM180" s="289" t="n"/>
      <c r="AN180" s="289" t="n"/>
      <c r="AV180" s="289" t="n"/>
    </row>
    <row r="181">
      <c r="A181" s="494" t="inlineStr">
        <is>
          <t>대연동</t>
        </is>
      </c>
      <c r="B181" s="88" t="n"/>
      <c r="C181" s="89" t="n"/>
      <c r="D181" s="494" t="n">
        <v>10107</v>
      </c>
      <c r="E181" s="150" t="inlineStr">
        <is>
          <t>대연동원로얄듀크2차</t>
        </is>
      </c>
      <c r="F181" s="494" t="n">
        <v>2005.02</v>
      </c>
      <c r="G181" s="494" t="n">
        <v>417</v>
      </c>
      <c r="H181" s="494">
        <f>2026-F181+1</f>
        <v/>
      </c>
      <c r="I181" s="289" t="n"/>
      <c r="J181" s="494" t="n">
        <v>182</v>
      </c>
      <c r="K181" s="494" t="n">
        <v>154</v>
      </c>
      <c r="L181" s="494" t="n">
        <v>55</v>
      </c>
      <c r="M181" s="494" t="inlineStr">
        <is>
          <t>계단식</t>
        </is>
      </c>
      <c r="N181" s="494" t="n">
        <v>5</v>
      </c>
      <c r="O181" s="494" t="n">
        <v>2</v>
      </c>
      <c r="P181" s="494" t="n">
        <v>72</v>
      </c>
      <c r="Q181" s="156" t="n"/>
      <c r="R181" s="156" t="n"/>
      <c r="S181" s="581">
        <f>Q181-R181</f>
        <v/>
      </c>
      <c r="T181" s="71">
        <f>R181/Q181</f>
        <v/>
      </c>
      <c r="U181" s="289" t="n"/>
      <c r="V181" s="289" t="n"/>
      <c r="AA181" s="289" t="n"/>
      <c r="AB181" s="289" t="n"/>
      <c r="AC181" s="289" t="n"/>
      <c r="AD181" s="289" t="n"/>
      <c r="AE181" s="289" t="n"/>
      <c r="AF181" s="289" t="n"/>
      <c r="AG181" s="289" t="n"/>
      <c r="AK181" s="289" t="n"/>
      <c r="AL181" s="289" t="n"/>
      <c r="AM181" s="88" t="n"/>
      <c r="AN181" s="289" t="n"/>
      <c r="AV181" s="289" t="n"/>
    </row>
    <row r="182">
      <c r="A182" s="458" t="inlineStr">
        <is>
          <t>대연동</t>
        </is>
      </c>
      <c r="D182" s="458" t="n">
        <v>101068</v>
      </c>
      <c r="E182" s="113" t="inlineStr">
        <is>
          <t>대연동일스위트(주상복합)</t>
        </is>
      </c>
      <c r="F182" s="458" t="n">
        <v>2004.12</v>
      </c>
      <c r="G182" s="458" t="n">
        <v>379</v>
      </c>
      <c r="H182" s="458">
        <f>2026-F182+1</f>
        <v/>
      </c>
      <c r="K182" s="458" t="n">
        <v>30</v>
      </c>
      <c r="M182" s="458" t="inlineStr">
        <is>
          <t>복합식</t>
        </is>
      </c>
      <c r="N182" s="458" t="n">
        <v>1</v>
      </c>
      <c r="O182" s="458" t="n">
        <v>1</v>
      </c>
      <c r="P182" s="458" t="n">
        <v>7</v>
      </c>
      <c r="S182" s="581">
        <f>Q182-R182</f>
        <v/>
      </c>
      <c r="T182" s="71">
        <f>R182/Q182</f>
        <v/>
      </c>
      <c r="U182" s="458" t="n">
        <v>10700</v>
      </c>
      <c r="V182" s="458" t="n">
        <v>10700</v>
      </c>
    </row>
    <row r="183">
      <c r="A183" s="458" t="inlineStr">
        <is>
          <t>대연동</t>
        </is>
      </c>
      <c r="D183" s="458" t="n">
        <v>101068</v>
      </c>
      <c r="E183" s="113" t="inlineStr">
        <is>
          <t>대연동일스위트(주상복합)</t>
        </is>
      </c>
      <c r="F183" s="458" t="n">
        <v>2004.12</v>
      </c>
      <c r="G183" s="458" t="n">
        <v>379</v>
      </c>
      <c r="H183" s="458">
        <f>2026-F183+1</f>
        <v/>
      </c>
      <c r="K183" s="458" t="n">
        <v>31</v>
      </c>
      <c r="M183" s="458" t="inlineStr">
        <is>
          <t>복합식</t>
        </is>
      </c>
      <c r="N183" s="458" t="n">
        <v>1</v>
      </c>
      <c r="O183" s="458" t="n">
        <v>1</v>
      </c>
      <c r="P183" s="458" t="n">
        <v>285</v>
      </c>
      <c r="S183" s="581">
        <f>Q183-R183</f>
        <v/>
      </c>
      <c r="T183" s="71">
        <f>R183/Q183</f>
        <v/>
      </c>
      <c r="U183" s="458" t="n">
        <v>12250</v>
      </c>
      <c r="V183" s="458" t="n">
        <v>7450</v>
      </c>
    </row>
    <row r="184">
      <c r="A184" s="458" t="inlineStr">
        <is>
          <t>대연동</t>
        </is>
      </c>
      <c r="B184" s="159" t="n"/>
      <c r="C184" s="159" t="n"/>
      <c r="D184" s="458" t="n">
        <v>101068</v>
      </c>
      <c r="E184" s="113" t="inlineStr">
        <is>
          <t>대연동일스위트(주상복합)</t>
        </is>
      </c>
      <c r="F184" s="458" t="n">
        <v>2004.12</v>
      </c>
      <c r="G184" s="458" t="n">
        <v>379</v>
      </c>
      <c r="H184" s="458">
        <f>2026-F184+1</f>
        <v/>
      </c>
      <c r="K184" s="458" t="n">
        <v>33</v>
      </c>
      <c r="M184" s="458" t="inlineStr">
        <is>
          <t>복합식</t>
        </is>
      </c>
      <c r="N184" s="458" t="n">
        <v>1</v>
      </c>
      <c r="O184" s="458" t="n">
        <v>1</v>
      </c>
      <c r="P184" s="458" t="n">
        <v>58</v>
      </c>
      <c r="S184" s="581">
        <f>Q184-R184</f>
        <v/>
      </c>
      <c r="T184" s="71">
        <f>R184/Q184</f>
        <v/>
      </c>
      <c r="U184" s="458" t="n">
        <v>12250</v>
      </c>
      <c r="V184" s="458" t="n">
        <v>7450</v>
      </c>
      <c r="AM184" s="236" t="n"/>
    </row>
    <row r="185">
      <c r="A185" s="458" t="inlineStr">
        <is>
          <t>대연동</t>
        </is>
      </c>
      <c r="B185" s="159" t="n"/>
      <c r="C185" s="159" t="n"/>
      <c r="D185" s="458" t="n">
        <v>101068</v>
      </c>
      <c r="E185" s="113" t="inlineStr">
        <is>
          <t>대연동일스위트(주상복합)</t>
        </is>
      </c>
      <c r="F185" s="458" t="n">
        <v>2004.12</v>
      </c>
      <c r="G185" s="458" t="n">
        <v>379</v>
      </c>
      <c r="H185" s="458">
        <f>2026-F185+1</f>
        <v/>
      </c>
      <c r="J185" s="458" t="n">
        <v>70</v>
      </c>
      <c r="K185" s="458" t="n">
        <v>51</v>
      </c>
      <c r="L185" s="458" t="n">
        <v>21</v>
      </c>
      <c r="M185" s="458" t="inlineStr">
        <is>
          <t>복합식</t>
        </is>
      </c>
      <c r="N185" s="458" t="n">
        <v>1</v>
      </c>
      <c r="O185" s="458" t="n">
        <v>1</v>
      </c>
      <c r="P185" s="458" t="n">
        <v>3</v>
      </c>
      <c r="S185" s="581">
        <f>Q185-R185</f>
        <v/>
      </c>
      <c r="T185" s="71">
        <f>R185/Q185</f>
        <v/>
      </c>
      <c r="U185" s="458" t="n">
        <v>14000</v>
      </c>
      <c r="AM185" s="236" t="n"/>
    </row>
    <row r="186">
      <c r="A186" s="458" t="inlineStr">
        <is>
          <t>대연동</t>
        </is>
      </c>
      <c r="B186" s="159" t="n"/>
      <c r="C186" s="159" t="n"/>
      <c r="D186" s="458" t="n">
        <v>101068</v>
      </c>
      <c r="E186" s="113" t="inlineStr">
        <is>
          <t>대연동일스위트(주상복합)</t>
        </is>
      </c>
      <c r="F186" s="458" t="n">
        <v>2004.12</v>
      </c>
      <c r="G186" s="458" t="n">
        <v>379</v>
      </c>
      <c r="H186" s="458">
        <f>2026-F186+1</f>
        <v/>
      </c>
      <c r="J186" s="458" t="n">
        <v>132</v>
      </c>
      <c r="K186" s="458" t="n">
        <v>96</v>
      </c>
      <c r="L186" s="458" t="n">
        <v>40</v>
      </c>
      <c r="M186" s="458" t="inlineStr">
        <is>
          <t>복합식</t>
        </is>
      </c>
      <c r="N186" s="458" t="n">
        <v>1</v>
      </c>
      <c r="O186" s="458" t="n">
        <v>1</v>
      </c>
      <c r="P186" s="458" t="n">
        <v>1</v>
      </c>
      <c r="S186" s="581">
        <f>Q186-R186</f>
        <v/>
      </c>
      <c r="T186" s="71">
        <f>R186/Q186</f>
        <v/>
      </c>
      <c r="AM186" s="236" t="n"/>
    </row>
    <row r="187">
      <c r="A187" s="494" t="inlineStr">
        <is>
          <t>대연동</t>
        </is>
      </c>
      <c r="B187" s="289" t="n"/>
      <c r="C187" s="289" t="n"/>
      <c r="D187" s="494" t="n">
        <v>104716</v>
      </c>
      <c r="E187" s="150" t="inlineStr">
        <is>
          <t>대연롯데캐슬</t>
        </is>
      </c>
      <c r="F187" s="494" t="n">
        <v>2015.01</v>
      </c>
      <c r="G187" s="494" t="n">
        <v>564</v>
      </c>
      <c r="H187" s="494">
        <f>2026-F187+1</f>
        <v/>
      </c>
      <c r="I187" s="289" t="n"/>
      <c r="J187" s="494" t="n">
        <v>152</v>
      </c>
      <c r="K187" s="494" t="n">
        <v>122</v>
      </c>
      <c r="L187" s="494" t="n">
        <v>46</v>
      </c>
      <c r="M187" s="494" t="inlineStr">
        <is>
          <t>계단식</t>
        </is>
      </c>
      <c r="N187" s="494" t="n">
        <v>4</v>
      </c>
      <c r="O187" s="494" t="n">
        <v>2</v>
      </c>
      <c r="P187" s="494" t="n">
        <v>172</v>
      </c>
      <c r="Q187" s="156" t="n"/>
      <c r="R187" s="156" t="n"/>
      <c r="S187" s="581">
        <f>Q187-R187</f>
        <v/>
      </c>
      <c r="T187" s="71">
        <f>R187/Q187</f>
        <v/>
      </c>
      <c r="U187" s="289" t="n">
        <v>119000</v>
      </c>
      <c r="V187" s="289" t="n">
        <v>85000</v>
      </c>
      <c r="AA187" s="289" t="n"/>
      <c r="AB187" s="289" t="n"/>
      <c r="AC187" s="289" t="n"/>
      <c r="AD187" s="289" t="n"/>
      <c r="AE187" s="289" t="n"/>
      <c r="AF187" s="289" t="n"/>
      <c r="AG187" s="289" t="n"/>
      <c r="AK187" s="289" t="n"/>
      <c r="AL187" s="289" t="n"/>
      <c r="AM187" s="289" t="n"/>
      <c r="AN187" s="289" t="n"/>
      <c r="AV187" s="289" t="n"/>
    </row>
    <row r="188">
      <c r="A188" s="458" t="inlineStr">
        <is>
          <t>대연동</t>
        </is>
      </c>
      <c r="B188" s="159" t="n"/>
      <c r="C188" s="159" t="n"/>
      <c r="D188" s="458" t="n">
        <v>109359</v>
      </c>
      <c r="E188" s="113" t="inlineStr">
        <is>
          <t>대연롯데캐슬레전드</t>
        </is>
      </c>
      <c r="F188" s="458" t="n">
        <v>2018.02</v>
      </c>
      <c r="G188" s="458" t="n">
        <v>3149</v>
      </c>
      <c r="H188" s="458">
        <f>2026-F188+1</f>
        <v/>
      </c>
      <c r="J188" s="458" t="n">
        <v>58</v>
      </c>
      <c r="K188" s="458" t="n">
        <v>39</v>
      </c>
      <c r="L188" s="458" t="n">
        <v>18</v>
      </c>
      <c r="M188" s="458" t="inlineStr">
        <is>
          <t>계단식</t>
        </is>
      </c>
      <c r="N188" s="458" t="n">
        <v>2</v>
      </c>
      <c r="O188" s="458" t="n">
        <v>1</v>
      </c>
      <c r="P188" s="458" t="n">
        <v>138</v>
      </c>
      <c r="S188" s="581">
        <f>Q188-R188</f>
        <v/>
      </c>
      <c r="T188" s="71">
        <f>R188/Q188</f>
        <v/>
      </c>
      <c r="U188" s="458" t="n">
        <v>32305</v>
      </c>
      <c r="V188" s="458" t="n">
        <v>22000</v>
      </c>
      <c r="AM188" s="236" t="n"/>
    </row>
    <row r="189">
      <c r="A189" s="458" t="inlineStr">
        <is>
          <t>대연동</t>
        </is>
      </c>
      <c r="D189" s="458" t="n">
        <v>109359</v>
      </c>
      <c r="E189" s="113" t="inlineStr">
        <is>
          <t>대연롯데캐슬레전드</t>
        </is>
      </c>
      <c r="F189" s="458" t="n">
        <v>2018.02</v>
      </c>
      <c r="G189" s="458" t="n">
        <v>3149</v>
      </c>
      <c r="H189" s="458">
        <f>2026-F189+1</f>
        <v/>
      </c>
      <c r="J189" s="458" t="n">
        <v>74</v>
      </c>
      <c r="K189" s="458" t="n">
        <v>49</v>
      </c>
      <c r="L189" s="458" t="n">
        <v>22</v>
      </c>
      <c r="M189" s="458" t="inlineStr">
        <is>
          <t>계단식</t>
        </is>
      </c>
      <c r="N189" s="458" t="n">
        <v>2</v>
      </c>
      <c r="O189" s="458" t="n">
        <v>1</v>
      </c>
      <c r="P189" s="458" t="n">
        <v>130</v>
      </c>
      <c r="S189" s="581">
        <f>Q189-R189</f>
        <v/>
      </c>
      <c r="T189" s="71">
        <f>R189/Q189</f>
        <v/>
      </c>
      <c r="U189" s="458" t="n">
        <v>49000</v>
      </c>
      <c r="V189" s="458" t="n">
        <v>34000</v>
      </c>
    </row>
    <row r="190">
      <c r="A190" s="458" t="inlineStr">
        <is>
          <t>대연동</t>
        </is>
      </c>
      <c r="D190" s="458" t="n">
        <v>109359</v>
      </c>
      <c r="E190" s="113" t="inlineStr">
        <is>
          <t>대연롯데캐슬레전드</t>
        </is>
      </c>
      <c r="F190" s="458" t="n">
        <v>2018.02</v>
      </c>
      <c r="G190" s="458" t="n">
        <v>3149</v>
      </c>
      <c r="H190" s="458">
        <f>2026-F190+1</f>
        <v/>
      </c>
      <c r="K190" s="458" t="n">
        <v>100</v>
      </c>
      <c r="M190" s="458" t="inlineStr">
        <is>
          <t>계단식</t>
        </is>
      </c>
      <c r="N190" s="458" t="n">
        <v>4</v>
      </c>
      <c r="O190" s="458" t="n">
        <v>2</v>
      </c>
      <c r="P190" s="458" t="n">
        <v>465</v>
      </c>
      <c r="S190" s="581">
        <f>Q190-R190</f>
        <v/>
      </c>
      <c r="T190" s="71">
        <f>R190/Q190</f>
        <v/>
      </c>
      <c r="U190" s="458" t="n">
        <v>126000</v>
      </c>
      <c r="V190" s="458" t="n">
        <v>70000</v>
      </c>
    </row>
    <row r="191">
      <c r="A191" s="458" t="inlineStr">
        <is>
          <t>대연동</t>
        </is>
      </c>
      <c r="D191" s="458" t="n">
        <v>109359</v>
      </c>
      <c r="E191" s="113" t="inlineStr">
        <is>
          <t>대연롯데캐슬레전드</t>
        </is>
      </c>
      <c r="F191" s="458" t="n">
        <v>2018.02</v>
      </c>
      <c r="G191" s="458" t="n">
        <v>3149</v>
      </c>
      <c r="H191" s="458">
        <f>2026-F191+1</f>
        <v/>
      </c>
      <c r="K191" s="458" t="n">
        <v>100</v>
      </c>
      <c r="M191" s="458" t="inlineStr">
        <is>
          <t>계단식</t>
        </is>
      </c>
      <c r="N191" s="458" t="n">
        <v>3</v>
      </c>
      <c r="O191" s="458" t="n">
        <v>2</v>
      </c>
      <c r="P191" s="458" t="n">
        <v>30</v>
      </c>
      <c r="S191" s="581">
        <f>Q191-R191</f>
        <v/>
      </c>
      <c r="T191" s="71">
        <f>R191/Q191</f>
        <v/>
      </c>
      <c r="U191" s="458" t="n">
        <v>126000</v>
      </c>
      <c r="V191" s="458" t="n">
        <v>70000</v>
      </c>
    </row>
    <row r="192">
      <c r="A192" s="458" t="inlineStr">
        <is>
          <t>대연동</t>
        </is>
      </c>
      <c r="D192" s="458" t="n">
        <v>109359</v>
      </c>
      <c r="E192" s="113" t="inlineStr">
        <is>
          <t>대연롯데캐슬레전드</t>
        </is>
      </c>
      <c r="F192" s="458" t="n">
        <v>2018.02</v>
      </c>
      <c r="G192" s="458" t="n">
        <v>3149</v>
      </c>
      <c r="H192" s="458">
        <f>2026-F192+1</f>
        <v/>
      </c>
      <c r="K192" s="458" t="n">
        <v>121</v>
      </c>
      <c r="M192" s="458" t="inlineStr">
        <is>
          <t>계단식</t>
        </is>
      </c>
      <c r="N192" s="458" t="n">
        <v>4</v>
      </c>
      <c r="O192" s="458" t="n">
        <v>2</v>
      </c>
      <c r="P192" s="458" t="n">
        <v>236</v>
      </c>
      <c r="S192" s="581">
        <f>Q192-R192</f>
        <v/>
      </c>
      <c r="T192" s="71">
        <f>R192/Q192</f>
        <v/>
      </c>
      <c r="U192" s="458" t="n">
        <v>118000</v>
      </c>
      <c r="V192" s="458" t="n">
        <v>97000</v>
      </c>
    </row>
    <row r="193">
      <c r="A193" s="458" t="inlineStr">
        <is>
          <t>대연동</t>
        </is>
      </c>
      <c r="D193" s="458" t="n">
        <v>113686</v>
      </c>
      <c r="E193" s="113" t="inlineStr">
        <is>
          <t>대연자이</t>
        </is>
      </c>
      <c r="F193" s="458" t="n">
        <v>2019.03</v>
      </c>
      <c r="G193" s="458" t="n">
        <v>965</v>
      </c>
      <c r="H193" s="458">
        <f>2026-F193+1</f>
        <v/>
      </c>
      <c r="K193" s="458" t="n">
        <v>39</v>
      </c>
      <c r="M193" s="458" t="inlineStr">
        <is>
          <t>계단식</t>
        </is>
      </c>
      <c r="N193" s="458" t="n">
        <v>1</v>
      </c>
      <c r="O193" s="458" t="n">
        <v>1</v>
      </c>
      <c r="P193" s="458" t="n">
        <v>57</v>
      </c>
      <c r="S193" s="581">
        <f>Q193-R193</f>
        <v/>
      </c>
      <c r="T193" s="71">
        <f>R193/Q193</f>
        <v/>
      </c>
      <c r="U193" s="458" t="n">
        <v>37500</v>
      </c>
      <c r="V193" s="458" t="n">
        <v>22900</v>
      </c>
    </row>
    <row r="194">
      <c r="A194" s="458" t="inlineStr">
        <is>
          <t>대연동</t>
        </is>
      </c>
      <c r="B194" s="159" t="n"/>
      <c r="C194" s="159" t="n"/>
      <c r="D194" s="458" t="n">
        <v>113686</v>
      </c>
      <c r="E194" s="113" t="inlineStr">
        <is>
          <t>대연자이</t>
        </is>
      </c>
      <c r="F194" s="458" t="n">
        <v>2019.03</v>
      </c>
      <c r="G194" s="458" t="n">
        <v>965</v>
      </c>
      <c r="H194" s="458">
        <f>2026-F194+1</f>
        <v/>
      </c>
      <c r="K194" s="458" t="n">
        <v>50</v>
      </c>
      <c r="M194" s="458" t="inlineStr">
        <is>
          <t>계단식</t>
        </is>
      </c>
      <c r="N194" s="458" t="n">
        <v>2</v>
      </c>
      <c r="O194" s="458" t="n">
        <v>1</v>
      </c>
      <c r="P194" s="458" t="n">
        <v>116</v>
      </c>
      <c r="S194" s="581">
        <f>Q194-R194</f>
        <v/>
      </c>
      <c r="T194" s="71">
        <f>R194/Q194</f>
        <v/>
      </c>
      <c r="U194" s="458" t="n">
        <v>58800</v>
      </c>
      <c r="V194" s="458" t="n">
        <v>36000</v>
      </c>
      <c r="AM194" s="236" t="n"/>
    </row>
    <row r="195">
      <c r="A195" s="458" t="inlineStr">
        <is>
          <t>대연동</t>
        </is>
      </c>
      <c r="B195" s="159" t="n"/>
      <c r="C195" s="159" t="n"/>
      <c r="D195" s="458" t="n">
        <v>113686</v>
      </c>
      <c r="E195" s="113" t="inlineStr">
        <is>
          <t>대연자이</t>
        </is>
      </c>
      <c r="F195" s="458" t="n">
        <v>2019.03</v>
      </c>
      <c r="G195" s="458" t="n">
        <v>965</v>
      </c>
      <c r="H195" s="458">
        <f>2026-F195+1</f>
        <v/>
      </c>
      <c r="K195" s="458" t="n">
        <v>84</v>
      </c>
      <c r="M195" s="458" t="inlineStr">
        <is>
          <t>계단식</t>
        </is>
      </c>
      <c r="N195" s="458" t="n">
        <v>3</v>
      </c>
      <c r="O195" s="458" t="n">
        <v>2</v>
      </c>
      <c r="P195" s="458" t="n">
        <v>54</v>
      </c>
      <c r="S195" s="581">
        <f>Q195-R195</f>
        <v/>
      </c>
      <c r="T195" s="71">
        <f>R195/Q195</f>
        <v/>
      </c>
      <c r="U195" s="458" t="n">
        <v>107200</v>
      </c>
      <c r="V195" s="458" t="n">
        <v>73500</v>
      </c>
      <c r="AM195" s="236" t="n"/>
    </row>
    <row r="196">
      <c r="A196" s="494" t="inlineStr">
        <is>
          <t>대연동</t>
        </is>
      </c>
      <c r="B196" s="289" t="n"/>
      <c r="C196" s="289" t="n"/>
      <c r="D196" s="494" t="n">
        <v>4548</v>
      </c>
      <c r="E196" s="150" t="inlineStr">
        <is>
          <t>대연청구</t>
        </is>
      </c>
      <c r="F196" s="494" t="n">
        <v>2001.07</v>
      </c>
      <c r="G196" s="494" t="n">
        <v>604</v>
      </c>
      <c r="H196" s="494">
        <f>2026-F196+1</f>
        <v/>
      </c>
      <c r="I196" s="289" t="n"/>
      <c r="J196" s="494" t="n">
        <v>78</v>
      </c>
      <c r="K196" s="494" t="n">
        <v>59</v>
      </c>
      <c r="L196" s="494" t="n">
        <v>24</v>
      </c>
      <c r="M196" s="494" t="inlineStr">
        <is>
          <t>계단식</t>
        </is>
      </c>
      <c r="N196" s="494" t="n">
        <v>2</v>
      </c>
      <c r="O196" s="494" t="n">
        <v>1</v>
      </c>
      <c r="P196" s="494" t="n">
        <v>80</v>
      </c>
      <c r="Q196" s="156" t="n"/>
      <c r="R196" s="156" t="n"/>
      <c r="S196" s="581">
        <f>Q196-R196</f>
        <v/>
      </c>
      <c r="T196" s="71">
        <f>R196/Q196</f>
        <v/>
      </c>
      <c r="U196" s="289" t="n">
        <v>23000</v>
      </c>
      <c r="V196" s="289" t="n">
        <v>17800</v>
      </c>
      <c r="AA196" s="289" t="n"/>
      <c r="AB196" s="289" t="n"/>
      <c r="AC196" s="289" t="n"/>
      <c r="AD196" s="289" t="n"/>
      <c r="AE196" s="289" t="n"/>
      <c r="AF196" s="289" t="n"/>
      <c r="AG196" s="289" t="n"/>
      <c r="AK196" s="289" t="n"/>
      <c r="AL196" s="289" t="n"/>
      <c r="AM196" s="289" t="n"/>
      <c r="AN196" s="289" t="n"/>
      <c r="AV196" s="289" t="n"/>
    </row>
    <row r="197">
      <c r="A197" s="494" t="inlineStr">
        <is>
          <t>대연동</t>
        </is>
      </c>
      <c r="B197" s="289" t="n"/>
      <c r="C197" s="289" t="n"/>
      <c r="D197" s="494" t="n">
        <v>4548</v>
      </c>
      <c r="E197" s="150" t="inlineStr">
        <is>
          <t>대연청구</t>
        </is>
      </c>
      <c r="F197" s="494" t="n">
        <v>2001.07</v>
      </c>
      <c r="G197" s="494" t="n">
        <v>604</v>
      </c>
      <c r="H197" s="494">
        <f>2026-F197+1</f>
        <v/>
      </c>
      <c r="I197" s="289" t="n"/>
      <c r="J197" s="494" t="n">
        <v>169</v>
      </c>
      <c r="K197" s="494" t="n">
        <v>140</v>
      </c>
      <c r="L197" s="494" t="n">
        <v>51</v>
      </c>
      <c r="M197" s="494" t="inlineStr">
        <is>
          <t>계단식</t>
        </is>
      </c>
      <c r="N197" s="494" t="n">
        <v>4</v>
      </c>
      <c r="O197" s="494" t="n">
        <v>2</v>
      </c>
      <c r="P197" s="494" t="n">
        <v>100</v>
      </c>
      <c r="Q197" s="156" t="n"/>
      <c r="R197" s="156" t="n"/>
      <c r="S197" s="581">
        <f>Q197-R197</f>
        <v/>
      </c>
      <c r="T197" s="71">
        <f>R197/Q197</f>
        <v/>
      </c>
      <c r="U197" s="289" t="n">
        <v>52000</v>
      </c>
      <c r="V197" s="289" t="n">
        <v>42000</v>
      </c>
      <c r="AA197" s="289" t="n"/>
      <c r="AB197" s="289" t="n"/>
      <c r="AC197" s="289" t="n"/>
      <c r="AD197" s="289" t="n"/>
      <c r="AE197" s="289" t="n"/>
      <c r="AF197" s="289" t="n"/>
      <c r="AG197" s="289" t="n"/>
      <c r="AK197" s="289" t="n"/>
      <c r="AL197" s="289" t="n"/>
      <c r="AM197" s="289" t="n"/>
      <c r="AN197" s="289" t="n"/>
      <c r="AV197" s="289" t="n"/>
    </row>
    <row r="198">
      <c r="A198" s="494" t="inlineStr">
        <is>
          <t>대연동</t>
        </is>
      </c>
      <c r="B198" s="88" t="n"/>
      <c r="C198" s="89" t="n"/>
      <c r="D198" s="494" t="n">
        <v>4548</v>
      </c>
      <c r="E198" s="150" t="inlineStr">
        <is>
          <t>대연청구</t>
        </is>
      </c>
      <c r="F198" s="494" t="n">
        <v>2001.07</v>
      </c>
      <c r="G198" s="494" t="n">
        <v>604</v>
      </c>
      <c r="H198" s="494">
        <f>2026-F198+1</f>
        <v/>
      </c>
      <c r="I198" s="289" t="n"/>
      <c r="J198" s="494" t="n">
        <v>238</v>
      </c>
      <c r="K198" s="494" t="n">
        <v>201</v>
      </c>
      <c r="L198" s="494" t="n">
        <v>72</v>
      </c>
      <c r="M198" s="494" t="inlineStr">
        <is>
          <t>계단식</t>
        </is>
      </c>
      <c r="N198" s="494" t="n">
        <v>5</v>
      </c>
      <c r="O198" s="494" t="n">
        <v>3</v>
      </c>
      <c r="P198" s="494" t="n">
        <v>76</v>
      </c>
      <c r="Q198" s="156" t="n"/>
      <c r="R198" s="156" t="n"/>
      <c r="S198" s="581">
        <f>Q198-R198</f>
        <v/>
      </c>
      <c r="T198" s="71">
        <f>R198/Q198</f>
        <v/>
      </c>
      <c r="U198" s="289" t="n"/>
      <c r="V198" s="289" t="n"/>
      <c r="AA198" s="289" t="n"/>
      <c r="AB198" s="289" t="n"/>
      <c r="AC198" s="289" t="n"/>
      <c r="AD198" s="289" t="n"/>
      <c r="AE198" s="289" t="n"/>
      <c r="AF198" s="289" t="n"/>
      <c r="AG198" s="289" t="n"/>
      <c r="AK198" s="289" t="n"/>
      <c r="AL198" s="289" t="n"/>
      <c r="AM198" s="88" t="n"/>
      <c r="AN198" s="289" t="n"/>
      <c r="AV198" s="289" t="n"/>
    </row>
    <row r="199">
      <c r="A199" s="458" t="inlineStr">
        <is>
          <t>대연동</t>
        </is>
      </c>
      <c r="D199" s="458" t="n">
        <v>110440</v>
      </c>
      <c r="E199" s="113" t="inlineStr">
        <is>
          <t>대연파크푸르지오</t>
        </is>
      </c>
      <c r="F199" s="458" t="n">
        <v>2018.06</v>
      </c>
      <c r="G199" s="458" t="n">
        <v>1422</v>
      </c>
      <c r="H199" s="458">
        <f>2026-F199+1</f>
        <v/>
      </c>
      <c r="J199" s="458" t="n">
        <v>59</v>
      </c>
      <c r="K199" s="458" t="n">
        <v>39</v>
      </c>
      <c r="L199" s="458" t="n">
        <v>18</v>
      </c>
      <c r="M199" s="458" t="inlineStr">
        <is>
          <t>복도식</t>
        </is>
      </c>
      <c r="N199" s="458" t="n">
        <v>2</v>
      </c>
      <c r="O199" s="458" t="n">
        <v>1</v>
      </c>
      <c r="P199" s="458" t="n">
        <v>126</v>
      </c>
      <c r="S199" s="581">
        <f>Q199-R199</f>
        <v/>
      </c>
      <c r="T199" s="71">
        <f>R199/Q199</f>
        <v/>
      </c>
      <c r="U199" s="458" t="n">
        <v>32305</v>
      </c>
      <c r="V199" s="458" t="n">
        <v>22000</v>
      </c>
    </row>
    <row r="200">
      <c r="A200" s="458" t="inlineStr">
        <is>
          <t>대연동</t>
        </is>
      </c>
      <c r="D200" s="458" t="n">
        <v>110440</v>
      </c>
      <c r="E200" s="113" t="inlineStr">
        <is>
          <t>대연파크푸르지오</t>
        </is>
      </c>
      <c r="F200" s="458" t="n">
        <v>2018.06</v>
      </c>
      <c r="G200" s="458" t="n">
        <v>1422</v>
      </c>
      <c r="H200" s="458">
        <f>2026-F200+1</f>
        <v/>
      </c>
      <c r="J200" s="458" t="n">
        <v>129</v>
      </c>
      <c r="K200" s="458" t="n">
        <v>99</v>
      </c>
      <c r="L200" s="458" t="n">
        <v>39</v>
      </c>
      <c r="M200" s="458" t="inlineStr">
        <is>
          <t>계단식</t>
        </is>
      </c>
      <c r="N200" s="458" t="n">
        <v>3</v>
      </c>
      <c r="O200" s="458" t="n">
        <v>2</v>
      </c>
      <c r="P200" s="458" t="n">
        <v>77</v>
      </c>
      <c r="S200" s="581">
        <f>Q200-R200</f>
        <v/>
      </c>
      <c r="T200" s="71">
        <f>R200/Q200</f>
        <v/>
      </c>
      <c r="U200" s="458" t="n">
        <v>78700</v>
      </c>
      <c r="V200" s="458" t="n">
        <v>64500</v>
      </c>
    </row>
    <row r="201">
      <c r="A201" s="494" t="inlineStr">
        <is>
          <t>대연동</t>
        </is>
      </c>
      <c r="B201" s="88" t="n"/>
      <c r="C201" s="89" t="n"/>
      <c r="D201" s="494" t="n">
        <v>9861</v>
      </c>
      <c r="E201" s="150" t="inlineStr">
        <is>
          <t>대연푸르지오</t>
        </is>
      </c>
      <c r="F201" s="494" t="n">
        <v>2005.01</v>
      </c>
      <c r="G201" s="494" t="n">
        <v>678</v>
      </c>
      <c r="H201" s="494">
        <f>2026-F201+1</f>
        <v/>
      </c>
      <c r="I201" s="289" t="n"/>
      <c r="J201" s="289" t="n"/>
      <c r="K201" s="494" t="n">
        <v>29</v>
      </c>
      <c r="L201" s="289" t="n"/>
      <c r="M201" s="494" t="inlineStr">
        <is>
          <t>복도식</t>
        </is>
      </c>
      <c r="N201" s="494" t="n">
        <v>1</v>
      </c>
      <c r="O201" s="494" t="n">
        <v>1</v>
      </c>
      <c r="P201" s="494" t="n">
        <v>288</v>
      </c>
      <c r="Q201" s="156" t="n"/>
      <c r="R201" s="156" t="n"/>
      <c r="S201" s="581">
        <f>Q201-R201</f>
        <v/>
      </c>
      <c r="T201" s="71">
        <f>R201/Q201</f>
        <v/>
      </c>
      <c r="U201" s="289" t="n">
        <v>18500</v>
      </c>
      <c r="V201" s="289" t="n">
        <v>15600</v>
      </c>
      <c r="AA201" s="289" t="n"/>
      <c r="AB201" s="289" t="n"/>
      <c r="AC201" s="289" t="n"/>
      <c r="AD201" s="289" t="n"/>
      <c r="AE201" s="289" t="n"/>
      <c r="AF201" s="289" t="n"/>
      <c r="AG201" s="289" t="n"/>
      <c r="AK201" s="289" t="n"/>
      <c r="AL201" s="289" t="n"/>
      <c r="AM201" s="88" t="n"/>
      <c r="AN201" s="289" t="n"/>
      <c r="AV201" s="289" t="n"/>
    </row>
    <row r="202">
      <c r="A202" s="494" t="inlineStr">
        <is>
          <t>대연동</t>
        </is>
      </c>
      <c r="B202" s="88" t="n"/>
      <c r="C202" s="89" t="n"/>
      <c r="D202" s="494" t="n">
        <v>9861</v>
      </c>
      <c r="E202" s="150" t="inlineStr">
        <is>
          <t>대연푸르지오</t>
        </is>
      </c>
      <c r="F202" s="494" t="n">
        <v>2005.01</v>
      </c>
      <c r="G202" s="494" t="n">
        <v>678</v>
      </c>
      <c r="H202" s="494">
        <f>2026-F202+1</f>
        <v/>
      </c>
      <c r="I202" s="289" t="n"/>
      <c r="J202" s="494" t="n">
        <v>65</v>
      </c>
      <c r="K202" s="494" t="n">
        <v>44</v>
      </c>
      <c r="L202" s="494" t="n">
        <v>20</v>
      </c>
      <c r="M202" s="494" t="inlineStr">
        <is>
          <t>복도식</t>
        </is>
      </c>
      <c r="N202" s="494" t="n">
        <v>1</v>
      </c>
      <c r="O202" s="494" t="n">
        <v>1</v>
      </c>
      <c r="P202" s="494" t="n">
        <v>6</v>
      </c>
      <c r="Q202" s="156" t="n"/>
      <c r="R202" s="156" t="n"/>
      <c r="S202" s="581">
        <f>Q202-R202</f>
        <v/>
      </c>
      <c r="T202" s="71">
        <f>R202/Q202</f>
        <v/>
      </c>
      <c r="U202" s="289" t="n">
        <v>27000</v>
      </c>
      <c r="V202" s="289" t="n">
        <v>29000</v>
      </c>
      <c r="AA202" s="289" t="n"/>
      <c r="AB202" s="289" t="n"/>
      <c r="AC202" s="289" t="n"/>
      <c r="AD202" s="289" t="n"/>
      <c r="AE202" s="289" t="n"/>
      <c r="AF202" s="289" t="n"/>
      <c r="AG202" s="289" t="n"/>
      <c r="AK202" s="289" t="n"/>
      <c r="AL202" s="289" t="n"/>
      <c r="AM202" s="88" t="n"/>
      <c r="AN202" s="289" t="n"/>
      <c r="AV202" s="289" t="n"/>
    </row>
    <row r="203">
      <c r="A203" s="494" t="inlineStr">
        <is>
          <t>대연동</t>
        </is>
      </c>
      <c r="B203" s="88" t="n"/>
      <c r="C203" s="89" t="n"/>
      <c r="D203" s="494" t="n">
        <v>9861</v>
      </c>
      <c r="E203" s="150" t="inlineStr">
        <is>
          <t>대연푸르지오</t>
        </is>
      </c>
      <c r="F203" s="494" t="n">
        <v>2005.01</v>
      </c>
      <c r="G203" s="494" t="n">
        <v>678</v>
      </c>
      <c r="H203" s="494">
        <f>2026-F203+1</f>
        <v/>
      </c>
      <c r="I203" s="289" t="n"/>
      <c r="J203" s="494" t="n">
        <v>140</v>
      </c>
      <c r="K203" s="494" t="n">
        <v>112</v>
      </c>
      <c r="L203" s="494" t="n">
        <v>42</v>
      </c>
      <c r="M203" s="494" t="inlineStr">
        <is>
          <t>계단식</t>
        </is>
      </c>
      <c r="N203" s="494" t="n">
        <v>3</v>
      </c>
      <c r="O203" s="494" t="n">
        <v>2</v>
      </c>
      <c r="P203" s="494" t="n">
        <v>19</v>
      </c>
      <c r="Q203" s="156" t="n"/>
      <c r="R203" s="156" t="n"/>
      <c r="S203" s="581">
        <f>Q203-R203</f>
        <v/>
      </c>
      <c r="T203" s="71">
        <f>R203/Q203</f>
        <v/>
      </c>
      <c r="U203" s="289" t="n">
        <v>89900</v>
      </c>
      <c r="V203" s="289" t="n"/>
      <c r="AA203" s="289" t="n"/>
      <c r="AB203" s="289" t="n"/>
      <c r="AC203" s="289" t="n"/>
      <c r="AD203" s="289" t="n"/>
      <c r="AE203" s="289" t="n"/>
      <c r="AF203" s="289" t="n"/>
      <c r="AG203" s="289" t="n"/>
      <c r="AK203" s="289" t="n"/>
      <c r="AL203" s="289" t="n"/>
      <c r="AM203" s="88" t="n"/>
      <c r="AN203" s="289" t="n"/>
      <c r="AV203" s="289" t="n"/>
    </row>
    <row r="204">
      <c r="A204" s="494" t="inlineStr">
        <is>
          <t>대연동</t>
        </is>
      </c>
      <c r="B204" s="88" t="n"/>
      <c r="C204" s="89" t="n"/>
      <c r="D204" s="494" t="n">
        <v>9861</v>
      </c>
      <c r="E204" s="150" t="inlineStr">
        <is>
          <t>대연푸르지오</t>
        </is>
      </c>
      <c r="F204" s="494" t="n">
        <v>2005.01</v>
      </c>
      <c r="G204" s="494" t="n">
        <v>678</v>
      </c>
      <c r="H204" s="494">
        <f>2026-F204+1</f>
        <v/>
      </c>
      <c r="I204" s="289" t="n"/>
      <c r="J204" s="494" t="n">
        <v>160</v>
      </c>
      <c r="K204" s="494" t="n">
        <v>129</v>
      </c>
      <c r="L204" s="494" t="n">
        <v>48</v>
      </c>
      <c r="M204" s="494" t="inlineStr">
        <is>
          <t>계단식</t>
        </is>
      </c>
      <c r="N204" s="494" t="n">
        <v>4</v>
      </c>
      <c r="O204" s="494" t="n">
        <v>2</v>
      </c>
      <c r="P204" s="494" t="n">
        <v>125</v>
      </c>
      <c r="Q204" s="156" t="n"/>
      <c r="R204" s="156" t="n"/>
      <c r="S204" s="581">
        <f>Q204-R204</f>
        <v/>
      </c>
      <c r="T204" s="71">
        <f>R204/Q204</f>
        <v/>
      </c>
      <c r="U204" s="289" t="n">
        <v>88000</v>
      </c>
      <c r="V204" s="289" t="n">
        <v>67000</v>
      </c>
      <c r="AA204" s="289" t="n"/>
      <c r="AB204" s="289" t="n"/>
      <c r="AC204" s="289" t="n"/>
      <c r="AD204" s="289" t="n"/>
      <c r="AE204" s="289" t="n"/>
      <c r="AF204" s="289" t="n"/>
      <c r="AG204" s="289" t="n"/>
      <c r="AK204" s="289" t="n"/>
      <c r="AL204" s="289" t="n"/>
      <c r="AM204" s="88" t="n"/>
      <c r="AN204" s="289" t="n"/>
      <c r="AV204" s="289" t="n"/>
    </row>
    <row r="205">
      <c r="A205" s="494" t="inlineStr">
        <is>
          <t>대연동</t>
        </is>
      </c>
      <c r="B205" s="88" t="n"/>
      <c r="C205" s="89" t="n"/>
      <c r="D205" s="494" t="n">
        <v>9861</v>
      </c>
      <c r="E205" s="150" t="inlineStr">
        <is>
          <t>대연푸르지오</t>
        </is>
      </c>
      <c r="F205" s="494" t="n">
        <v>2005.01</v>
      </c>
      <c r="G205" s="494" t="n">
        <v>678</v>
      </c>
      <c r="H205" s="494">
        <f>2026-F205+1</f>
        <v/>
      </c>
      <c r="I205" s="289" t="n"/>
      <c r="J205" s="494" t="n">
        <v>182</v>
      </c>
      <c r="K205" s="494" t="n">
        <v>147</v>
      </c>
      <c r="L205" s="494" t="n">
        <v>55</v>
      </c>
      <c r="M205" s="494" t="inlineStr">
        <is>
          <t>계단식</t>
        </is>
      </c>
      <c r="N205" s="494" t="n">
        <v>4</v>
      </c>
      <c r="O205" s="494" t="n">
        <v>2</v>
      </c>
      <c r="P205" s="494" t="n">
        <v>19</v>
      </c>
      <c r="Q205" s="156" t="n"/>
      <c r="R205" s="156" t="n"/>
      <c r="S205" s="581">
        <f>Q205-R205</f>
        <v/>
      </c>
      <c r="T205" s="71">
        <f>R205/Q205</f>
        <v/>
      </c>
      <c r="U205" s="289" t="n">
        <v>105000</v>
      </c>
      <c r="V205" s="289" t="n">
        <v>105000</v>
      </c>
      <c r="AA205" s="289" t="n"/>
      <c r="AB205" s="289" t="n"/>
      <c r="AC205" s="289" t="n"/>
      <c r="AD205" s="289" t="n"/>
      <c r="AE205" s="289" t="n"/>
      <c r="AF205" s="289" t="n"/>
      <c r="AG205" s="289" t="n"/>
      <c r="AK205" s="289" t="n"/>
      <c r="AL205" s="289" t="n"/>
      <c r="AM205" s="88" t="n"/>
      <c r="AN205" s="289" t="n"/>
      <c r="AV205" s="289" t="n"/>
    </row>
    <row r="206">
      <c r="A206" s="494" t="inlineStr">
        <is>
          <t>대연동</t>
        </is>
      </c>
      <c r="B206" s="88" t="n"/>
      <c r="C206" s="89" t="n"/>
      <c r="D206" s="494" t="n">
        <v>9861</v>
      </c>
      <c r="E206" s="150" t="inlineStr">
        <is>
          <t>대연푸르지오</t>
        </is>
      </c>
      <c r="F206" s="494" t="n">
        <v>2005.01</v>
      </c>
      <c r="G206" s="494" t="n">
        <v>678</v>
      </c>
      <c r="H206" s="494">
        <f>2026-F206+1</f>
        <v/>
      </c>
      <c r="I206" s="289" t="n"/>
      <c r="J206" s="494" t="n">
        <v>198</v>
      </c>
      <c r="K206" s="494" t="n">
        <v>160</v>
      </c>
      <c r="L206" s="494" t="n">
        <v>60</v>
      </c>
      <c r="M206" s="494" t="inlineStr">
        <is>
          <t>계단식</t>
        </is>
      </c>
      <c r="N206" s="494" t="n">
        <v>4</v>
      </c>
      <c r="O206" s="494" t="n">
        <v>2</v>
      </c>
      <c r="P206" s="494" t="n">
        <v>19</v>
      </c>
      <c r="Q206" s="156" t="n"/>
      <c r="R206" s="156" t="n"/>
      <c r="S206" s="581">
        <f>Q206-R206</f>
        <v/>
      </c>
      <c r="T206" s="71">
        <f>R206/Q206</f>
        <v/>
      </c>
      <c r="U206" s="289" t="n"/>
      <c r="V206" s="289" t="n">
        <v>62000</v>
      </c>
      <c r="AA206" s="289" t="n"/>
      <c r="AB206" s="289" t="n"/>
      <c r="AC206" s="289" t="n"/>
      <c r="AD206" s="289" t="n"/>
      <c r="AE206" s="289" t="n"/>
      <c r="AF206" s="289" t="n"/>
      <c r="AG206" s="289" t="n"/>
      <c r="AK206" s="289" t="n"/>
      <c r="AL206" s="289" t="n"/>
      <c r="AM206" s="88" t="n"/>
      <c r="AN206" s="289" t="n"/>
      <c r="AV206" s="289" t="n"/>
    </row>
    <row r="207">
      <c r="A207" s="494" t="inlineStr">
        <is>
          <t>대연동</t>
        </is>
      </c>
      <c r="B207" s="88" t="n"/>
      <c r="C207" s="89" t="n"/>
      <c r="D207" s="494" t="n">
        <v>9861</v>
      </c>
      <c r="E207" s="150" t="inlineStr">
        <is>
          <t>대연푸르지오</t>
        </is>
      </c>
      <c r="F207" s="494" t="n">
        <v>2005.01</v>
      </c>
      <c r="G207" s="494" t="n">
        <v>678</v>
      </c>
      <c r="H207" s="494">
        <f>2026-F207+1</f>
        <v/>
      </c>
      <c r="I207" s="289" t="n"/>
      <c r="J207" s="494" t="n">
        <v>250</v>
      </c>
      <c r="K207" s="494" t="n">
        <v>198</v>
      </c>
      <c r="L207" s="494" t="n">
        <v>76</v>
      </c>
      <c r="M207" s="494" t="inlineStr">
        <is>
          <t>계단식</t>
        </is>
      </c>
      <c r="N207" s="494" t="n">
        <v>5</v>
      </c>
      <c r="O207" s="494" t="n">
        <v>4</v>
      </c>
      <c r="P207" s="494" t="n">
        <v>1</v>
      </c>
      <c r="Q207" s="156" t="n"/>
      <c r="R207" s="156" t="n"/>
      <c r="S207" s="581">
        <f>Q207-R207</f>
        <v/>
      </c>
      <c r="T207" s="71">
        <f>R207/Q207</f>
        <v/>
      </c>
      <c r="U207" s="289" t="n"/>
      <c r="V207" s="289" t="n"/>
      <c r="AA207" s="289" t="n"/>
      <c r="AB207" s="289" t="n"/>
      <c r="AC207" s="289" t="n"/>
      <c r="AD207" s="289" t="n"/>
      <c r="AE207" s="289" t="n"/>
      <c r="AF207" s="289" t="n"/>
      <c r="AG207" s="289" t="n"/>
      <c r="AK207" s="289" t="n"/>
      <c r="AL207" s="289" t="n"/>
      <c r="AM207" s="88" t="n"/>
      <c r="AN207" s="289" t="n"/>
      <c r="AV207" s="289" t="n"/>
    </row>
    <row r="208">
      <c r="A208" s="494" t="inlineStr">
        <is>
          <t>대연동</t>
        </is>
      </c>
      <c r="B208" s="289" t="n"/>
      <c r="C208" s="289" t="n"/>
      <c r="D208" s="494" t="n">
        <v>9861</v>
      </c>
      <c r="E208" s="150" t="inlineStr">
        <is>
          <t>대연푸르지오</t>
        </is>
      </c>
      <c r="F208" s="494" t="n">
        <v>2005.01</v>
      </c>
      <c r="G208" s="494" t="n">
        <v>678</v>
      </c>
      <c r="H208" s="494">
        <f>2026-F208+1</f>
        <v/>
      </c>
      <c r="I208" s="289" t="n"/>
      <c r="J208" s="289" t="n"/>
      <c r="K208" s="494" t="n">
        <v>221</v>
      </c>
      <c r="L208" s="289" t="n"/>
      <c r="M208" s="494" t="inlineStr">
        <is>
          <t>계단식</t>
        </is>
      </c>
      <c r="N208" s="494" t="n">
        <v>5</v>
      </c>
      <c r="O208" s="494" t="n">
        <v>4</v>
      </c>
      <c r="P208" s="494" t="n">
        <v>2</v>
      </c>
      <c r="Q208" s="156" t="n"/>
      <c r="R208" s="156" t="n"/>
      <c r="S208" s="581">
        <f>Q208-R208</f>
        <v/>
      </c>
      <c r="T208" s="71">
        <f>R208/Q208</f>
        <v/>
      </c>
      <c r="U208" s="289" t="n"/>
      <c r="V208" s="289" t="n">
        <v>157500</v>
      </c>
      <c r="AA208" s="289" t="n"/>
      <c r="AB208" s="289" t="n"/>
      <c r="AC208" s="289" t="n"/>
      <c r="AD208" s="289" t="n"/>
      <c r="AE208" s="289" t="n"/>
      <c r="AF208" s="289" t="n"/>
      <c r="AG208" s="289" t="n"/>
      <c r="AK208" s="289" t="n"/>
      <c r="AL208" s="289" t="n"/>
      <c r="AM208" s="289" t="n"/>
      <c r="AN208" s="289" t="n"/>
      <c r="AV208" s="289" t="n"/>
    </row>
    <row r="209">
      <c r="A209" s="494" t="inlineStr">
        <is>
          <t>대연동</t>
        </is>
      </c>
      <c r="B209" s="289" t="n"/>
      <c r="C209" s="289" t="n"/>
      <c r="D209" s="494" t="n">
        <v>9861</v>
      </c>
      <c r="E209" s="150" t="inlineStr">
        <is>
          <t>대연푸르지오</t>
        </is>
      </c>
      <c r="F209" s="494" t="n">
        <v>2005.01</v>
      </c>
      <c r="G209" s="494" t="n">
        <v>678</v>
      </c>
      <c r="H209" s="494">
        <f>2026-F209+1</f>
        <v/>
      </c>
      <c r="I209" s="289" t="n"/>
      <c r="J209" s="494" t="n">
        <v>328</v>
      </c>
      <c r="K209" s="494" t="n">
        <v>262</v>
      </c>
      <c r="L209" s="494" t="n">
        <v>99</v>
      </c>
      <c r="M209" s="494" t="inlineStr">
        <is>
          <t>계단식</t>
        </is>
      </c>
      <c r="N209" s="494" t="n">
        <v>5</v>
      </c>
      <c r="O209" s="494" t="n">
        <v>4</v>
      </c>
      <c r="P209" s="494" t="n">
        <v>1</v>
      </c>
      <c r="Q209" s="156" t="n"/>
      <c r="R209" s="156" t="n"/>
      <c r="S209" s="581">
        <f>Q209-R209</f>
        <v/>
      </c>
      <c r="T209" s="71">
        <f>R209/Q209</f>
        <v/>
      </c>
      <c r="U209" s="289" t="n"/>
      <c r="V209" s="289" t="n"/>
      <c r="AA209" s="289" t="n"/>
      <c r="AB209" s="289" t="n"/>
      <c r="AC209" s="289" t="n"/>
      <c r="AD209" s="289" t="n"/>
      <c r="AE209" s="289" t="n"/>
      <c r="AF209" s="289" t="n"/>
      <c r="AG209" s="289" t="n"/>
      <c r="AK209" s="289" t="n"/>
      <c r="AL209" s="289" t="n"/>
      <c r="AM209" s="289" t="n"/>
      <c r="AN209" s="289" t="n"/>
      <c r="AV209" s="289" t="n"/>
    </row>
    <row r="210">
      <c r="A210" s="458" t="inlineStr">
        <is>
          <t>대연동</t>
        </is>
      </c>
      <c r="D210" s="458" t="n">
        <v>133976</v>
      </c>
      <c r="E210" s="113" t="inlineStr">
        <is>
          <t>대연푸르지오클라센트</t>
        </is>
      </c>
      <c r="F210" s="458" t="n">
        <v>2024.08</v>
      </c>
      <c r="G210" s="458" t="n">
        <v>1057</v>
      </c>
      <c r="H210" s="458">
        <f>2026-F210+1</f>
        <v/>
      </c>
      <c r="K210" s="458" t="n">
        <v>39</v>
      </c>
      <c r="M210" s="458" t="inlineStr">
        <is>
          <t>계단식</t>
        </is>
      </c>
      <c r="N210" s="458" t="n">
        <v>2</v>
      </c>
      <c r="O210" s="458" t="n">
        <v>1</v>
      </c>
      <c r="P210" s="458" t="n">
        <v>59</v>
      </c>
      <c r="S210" s="581">
        <f>Q210-R210</f>
        <v/>
      </c>
      <c r="T210" s="71">
        <f>R210/Q210</f>
        <v/>
      </c>
    </row>
    <row r="211">
      <c r="A211" s="458" t="inlineStr">
        <is>
          <t>대연동</t>
        </is>
      </c>
      <c r="D211" s="458" t="n">
        <v>133976</v>
      </c>
      <c r="E211" s="113" t="inlineStr">
        <is>
          <t>대연푸르지오클라센트</t>
        </is>
      </c>
      <c r="F211" s="458" t="n">
        <v>2024.08</v>
      </c>
      <c r="G211" s="458" t="n">
        <v>1057</v>
      </c>
      <c r="H211" s="458">
        <f>2026-F211+1</f>
        <v/>
      </c>
      <c r="K211" s="458" t="n">
        <v>84</v>
      </c>
      <c r="M211" s="458" t="inlineStr">
        <is>
          <t>계단식</t>
        </is>
      </c>
      <c r="N211" s="458" t="n">
        <v>3</v>
      </c>
      <c r="O211" s="458" t="n">
        <v>2</v>
      </c>
      <c r="P211" s="458" t="n">
        <v>174</v>
      </c>
      <c r="S211" s="581">
        <f>Q211-R211</f>
        <v/>
      </c>
      <c r="T211" s="71">
        <f>R211/Q211</f>
        <v/>
      </c>
    </row>
    <row r="212">
      <c r="A212" s="494" t="inlineStr">
        <is>
          <t>대연동</t>
        </is>
      </c>
      <c r="B212" s="88" t="n"/>
      <c r="C212" s="89" t="n"/>
      <c r="D212" s="494" t="n">
        <v>4543</v>
      </c>
      <c r="E212" s="150" t="inlineStr">
        <is>
          <t>대연현대</t>
        </is>
      </c>
      <c r="F212" s="494" t="n">
        <v>1997.11</v>
      </c>
      <c r="G212" s="494" t="n">
        <v>366</v>
      </c>
      <c r="H212" s="494">
        <f>2026-F212+1</f>
        <v/>
      </c>
      <c r="I212" s="289" t="n"/>
      <c r="J212" s="494" t="n">
        <v>138</v>
      </c>
      <c r="K212" s="494" t="n">
        <v>114</v>
      </c>
      <c r="L212" s="494" t="n">
        <v>42</v>
      </c>
      <c r="M212" s="494" t="inlineStr">
        <is>
          <t>계단식</t>
        </is>
      </c>
      <c r="N212" s="494" t="n">
        <v>4</v>
      </c>
      <c r="O212" s="494" t="n">
        <v>2</v>
      </c>
      <c r="P212" s="494" t="n">
        <v>44</v>
      </c>
      <c r="Q212" s="156" t="n"/>
      <c r="R212" s="156" t="n"/>
      <c r="S212" s="581">
        <f>Q212-R212</f>
        <v/>
      </c>
      <c r="T212" s="71">
        <f>R212/Q212</f>
        <v/>
      </c>
      <c r="U212" s="289" t="n"/>
      <c r="V212" s="289" t="n"/>
      <c r="AA212" s="289" t="n"/>
      <c r="AB212" s="289" t="n"/>
      <c r="AC212" s="289" t="n"/>
      <c r="AD212" s="289" t="n"/>
      <c r="AE212" s="289" t="n"/>
      <c r="AF212" s="289" t="n"/>
      <c r="AG212" s="289" t="n"/>
      <c r="AK212" s="289" t="n"/>
      <c r="AL212" s="289" t="n"/>
      <c r="AM212" s="88" t="n"/>
      <c r="AN212" s="289" t="n"/>
      <c r="AV212" s="289" t="n"/>
    </row>
    <row r="213">
      <c r="A213" s="458" t="inlineStr">
        <is>
          <t>대연동</t>
        </is>
      </c>
      <c r="D213" s="458" t="n">
        <v>105323</v>
      </c>
      <c r="E213" s="113" t="inlineStr">
        <is>
          <t>대연힐스테이트푸르지오</t>
        </is>
      </c>
      <c r="F213" s="458" t="n">
        <v>2013.05</v>
      </c>
      <c r="G213" s="458" t="n">
        <v>2100</v>
      </c>
      <c r="H213" s="458">
        <f>2026-F213+1</f>
        <v/>
      </c>
      <c r="K213" s="458" t="n">
        <v>102</v>
      </c>
      <c r="M213" s="458" t="inlineStr">
        <is>
          <t>계단식</t>
        </is>
      </c>
      <c r="N213" s="458" t="n">
        <v>3</v>
      </c>
      <c r="O213" s="458" t="n">
        <v>2</v>
      </c>
      <c r="P213" s="458" t="n">
        <v>207</v>
      </c>
      <c r="S213" s="581">
        <f>Q213-R213</f>
        <v/>
      </c>
      <c r="T213" s="71">
        <f>R213/Q213</f>
        <v/>
      </c>
      <c r="U213" s="458" t="n">
        <v>133500</v>
      </c>
      <c r="V213" s="458" t="n">
        <v>75000</v>
      </c>
    </row>
    <row r="214">
      <c r="A214" s="458" t="inlineStr">
        <is>
          <t>대연동</t>
        </is>
      </c>
      <c r="D214" s="458" t="n">
        <v>105323</v>
      </c>
      <c r="E214" s="113" t="inlineStr">
        <is>
          <t>대연힐스테이트푸르지오</t>
        </is>
      </c>
      <c r="F214" s="458" t="n">
        <v>2013.05</v>
      </c>
      <c r="G214" s="458" t="n">
        <v>2100</v>
      </c>
      <c r="H214" s="458">
        <f>2026-F214+1</f>
        <v/>
      </c>
      <c r="K214" s="458" t="n">
        <v>99</v>
      </c>
      <c r="M214" s="458" t="inlineStr">
        <is>
          <t>계단식</t>
        </is>
      </c>
      <c r="N214" s="458" t="n">
        <v>3</v>
      </c>
      <c r="O214" s="458" t="n">
        <v>2</v>
      </c>
      <c r="P214" s="458" t="n">
        <v>228</v>
      </c>
      <c r="S214" s="581">
        <f>Q214-R214</f>
        <v/>
      </c>
      <c r="T214" s="71">
        <f>R214/Q214</f>
        <v/>
      </c>
      <c r="U214" s="458" t="n">
        <v>110800</v>
      </c>
      <c r="V214" s="458" t="n">
        <v>81000</v>
      </c>
    </row>
    <row r="215">
      <c r="A215" s="458" t="inlineStr">
        <is>
          <t>대연동</t>
        </is>
      </c>
      <c r="D215" s="458" t="n">
        <v>105323</v>
      </c>
      <c r="E215" s="113" t="inlineStr">
        <is>
          <t>대연힐스테이트푸르지오</t>
        </is>
      </c>
      <c r="F215" s="458" t="n">
        <v>2013.05</v>
      </c>
      <c r="G215" s="458" t="n">
        <v>2100</v>
      </c>
      <c r="H215" s="458">
        <f>2026-F215+1</f>
        <v/>
      </c>
      <c r="K215" s="458" t="n">
        <v>115</v>
      </c>
      <c r="M215" s="458" t="inlineStr">
        <is>
          <t>계단식</t>
        </is>
      </c>
      <c r="N215" s="458" t="n">
        <v>4</v>
      </c>
      <c r="O215" s="458" t="n">
        <v>2</v>
      </c>
      <c r="P215" s="458" t="n">
        <v>185</v>
      </c>
      <c r="S215" s="581">
        <f>Q215-R215</f>
        <v/>
      </c>
      <c r="T215" s="71">
        <f>R215/Q215</f>
        <v/>
      </c>
      <c r="U215" s="458" t="n">
        <v>160000</v>
      </c>
      <c r="V215" s="458" t="n">
        <v>115000</v>
      </c>
    </row>
    <row r="216">
      <c r="A216" s="458" t="inlineStr">
        <is>
          <t>대연동</t>
        </is>
      </c>
      <c r="D216" s="458" t="n">
        <v>105323</v>
      </c>
      <c r="E216" s="113" t="inlineStr">
        <is>
          <t>대연힐스테이트푸르지오</t>
        </is>
      </c>
      <c r="F216" s="458" t="n">
        <v>2013.05</v>
      </c>
      <c r="G216" s="458" t="n">
        <v>2100</v>
      </c>
      <c r="H216" s="458">
        <f>2026-F216+1</f>
        <v/>
      </c>
      <c r="K216" s="458" t="n">
        <v>118</v>
      </c>
      <c r="M216" s="458" t="inlineStr">
        <is>
          <t>계단식</t>
        </is>
      </c>
      <c r="N216" s="458" t="n">
        <v>4</v>
      </c>
      <c r="O216" s="458" t="n">
        <v>2</v>
      </c>
      <c r="P216" s="458" t="n">
        <v>210</v>
      </c>
      <c r="S216" s="581">
        <f>Q216-R216</f>
        <v/>
      </c>
      <c r="T216" s="71">
        <f>R216/Q216</f>
        <v/>
      </c>
      <c r="U216" s="458" t="n">
        <v>168000</v>
      </c>
      <c r="V216" s="458" t="n">
        <v>103000</v>
      </c>
    </row>
    <row r="217">
      <c r="A217" s="458" t="inlineStr">
        <is>
          <t>대연동</t>
        </is>
      </c>
      <c r="B217" s="159" t="n"/>
      <c r="C217" s="159" t="n"/>
      <c r="D217" s="458" t="n">
        <v>105323</v>
      </c>
      <c r="E217" s="113" t="inlineStr">
        <is>
          <t>대연힐스테이트푸르지오</t>
        </is>
      </c>
      <c r="F217" s="458" t="n">
        <v>2013.05</v>
      </c>
      <c r="G217" s="458" t="n">
        <v>2100</v>
      </c>
      <c r="H217" s="458">
        <f>2026-F217+1</f>
        <v/>
      </c>
      <c r="K217" s="458" t="n">
        <v>134</v>
      </c>
      <c r="M217" s="458" t="inlineStr">
        <is>
          <t>계단식</t>
        </is>
      </c>
      <c r="N217" s="458" t="n">
        <v>4</v>
      </c>
      <c r="O217" s="458" t="n">
        <v>2</v>
      </c>
      <c r="P217" s="458" t="n">
        <v>108</v>
      </c>
      <c r="S217" s="581">
        <f>Q217-R217</f>
        <v/>
      </c>
      <c r="T217" s="71">
        <f>R217/Q217</f>
        <v/>
      </c>
      <c r="U217" s="458" t="n">
        <v>156500</v>
      </c>
      <c r="V217" s="458" t="n">
        <v>130000</v>
      </c>
      <c r="AM217" s="236" t="n"/>
    </row>
    <row r="218">
      <c r="A218" s="458" t="inlineStr">
        <is>
          <t>대연동</t>
        </is>
      </c>
      <c r="B218" s="159" t="n"/>
      <c r="C218" s="159" t="n"/>
      <c r="D218" s="458" t="n">
        <v>105323</v>
      </c>
      <c r="E218" s="113" t="inlineStr">
        <is>
          <t>대연힐스테이트푸르지오</t>
        </is>
      </c>
      <c r="F218" s="458" t="n">
        <v>2013.05</v>
      </c>
      <c r="G218" s="458" t="n">
        <v>2100</v>
      </c>
      <c r="H218" s="458">
        <f>2026-F218+1</f>
        <v/>
      </c>
      <c r="K218" s="458" t="n">
        <v>155</v>
      </c>
      <c r="M218" s="458" t="inlineStr">
        <is>
          <t>계단식</t>
        </is>
      </c>
      <c r="N218" s="458" t="n">
        <v>4</v>
      </c>
      <c r="O218" s="458" t="n">
        <v>3</v>
      </c>
      <c r="P218" s="458" t="n">
        <v>6</v>
      </c>
      <c r="S218" s="581">
        <f>Q218-R218</f>
        <v/>
      </c>
      <c r="T218" s="71">
        <f>R218/Q218</f>
        <v/>
      </c>
      <c r="AM218" s="236" t="n"/>
    </row>
    <row r="219">
      <c r="A219" s="458" t="inlineStr">
        <is>
          <t>대연동</t>
        </is>
      </c>
      <c r="B219" s="159" t="n"/>
      <c r="C219" s="159" t="n"/>
      <c r="D219" s="458" t="n">
        <v>105323</v>
      </c>
      <c r="E219" s="113" t="inlineStr">
        <is>
          <t>대연힐스테이트푸르지오</t>
        </is>
      </c>
      <c r="F219" s="458" t="n">
        <v>2013.05</v>
      </c>
      <c r="G219" s="458" t="n">
        <v>2100</v>
      </c>
      <c r="H219" s="458">
        <f>2026-F219+1</f>
        <v/>
      </c>
      <c r="K219" s="458" t="n">
        <v>163</v>
      </c>
      <c r="M219" s="458" t="inlineStr">
        <is>
          <t>계단식</t>
        </is>
      </c>
      <c r="N219" s="458" t="n">
        <v>4</v>
      </c>
      <c r="O219" s="458" t="n">
        <v>3</v>
      </c>
      <c r="P219" s="458" t="n">
        <v>2</v>
      </c>
      <c r="S219" s="581">
        <f>Q219-R219</f>
        <v/>
      </c>
      <c r="T219" s="71">
        <f>R219/Q219</f>
        <v/>
      </c>
      <c r="AM219" s="236" t="n"/>
    </row>
    <row r="220">
      <c r="A220" s="458" t="inlineStr">
        <is>
          <t>대연동</t>
        </is>
      </c>
      <c r="B220" s="159" t="n"/>
      <c r="C220" s="159" t="n"/>
      <c r="D220" s="458" t="n">
        <v>105323</v>
      </c>
      <c r="E220" s="113" t="inlineStr">
        <is>
          <t>대연힐스테이트푸르지오</t>
        </is>
      </c>
      <c r="F220" s="458" t="n">
        <v>2013.05</v>
      </c>
      <c r="G220" s="458" t="n">
        <v>2100</v>
      </c>
      <c r="H220" s="458">
        <f>2026-F220+1</f>
        <v/>
      </c>
      <c r="K220" s="458" t="n">
        <v>163</v>
      </c>
      <c r="M220" s="458" t="inlineStr">
        <is>
          <t>계단식</t>
        </is>
      </c>
      <c r="N220" s="458" t="n">
        <v>5</v>
      </c>
      <c r="O220" s="458" t="n">
        <v>3</v>
      </c>
      <c r="P220" s="458" t="n">
        <v>1</v>
      </c>
      <c r="S220" s="581">
        <f>Q220-R220</f>
        <v/>
      </c>
      <c r="T220" s="71">
        <f>R220/Q220</f>
        <v/>
      </c>
      <c r="AM220" s="236" t="n"/>
    </row>
    <row r="221">
      <c r="A221" s="494" t="inlineStr">
        <is>
          <t>대연동</t>
        </is>
      </c>
      <c r="B221" s="289" t="n"/>
      <c r="C221" s="289" t="n"/>
      <c r="D221" s="494" t="n">
        <v>4526</v>
      </c>
      <c r="E221" s="150" t="inlineStr">
        <is>
          <t>대우그린1차</t>
        </is>
      </c>
      <c r="F221" s="494" t="n">
        <v>1997.09</v>
      </c>
      <c r="G221" s="494" t="n">
        <v>691</v>
      </c>
      <c r="H221" s="494">
        <f>2026-F221+1</f>
        <v/>
      </c>
      <c r="I221" s="289" t="n"/>
      <c r="J221" s="494" t="n">
        <v>151</v>
      </c>
      <c r="K221" s="494" t="n">
        <v>134</v>
      </c>
      <c r="L221" s="494" t="n">
        <v>46</v>
      </c>
      <c r="M221" s="494" t="inlineStr">
        <is>
          <t>계단식</t>
        </is>
      </c>
      <c r="N221" s="494" t="n">
        <v>4</v>
      </c>
      <c r="O221" s="494" t="n">
        <v>2</v>
      </c>
      <c r="P221" s="494" t="n">
        <v>142</v>
      </c>
      <c r="Q221" s="156" t="n"/>
      <c r="R221" s="156" t="n"/>
      <c r="S221" s="581">
        <f>Q221-R221</f>
        <v/>
      </c>
      <c r="T221" s="71">
        <f>R221/Q221</f>
        <v/>
      </c>
      <c r="U221" s="289" t="n">
        <v>40500</v>
      </c>
      <c r="V221" s="289" t="n">
        <v>33000</v>
      </c>
      <c r="AA221" s="289" t="n"/>
      <c r="AB221" s="289" t="n"/>
      <c r="AC221" s="289" t="n"/>
      <c r="AD221" s="289" t="n"/>
      <c r="AE221" s="289" t="n"/>
      <c r="AF221" s="289" t="n"/>
      <c r="AG221" s="289" t="n"/>
      <c r="AK221" s="289" t="n"/>
      <c r="AL221" s="289" t="n"/>
      <c r="AM221" s="289" t="n"/>
      <c r="AN221" s="289" t="n"/>
      <c r="AV221" s="289" t="n"/>
    </row>
    <row r="222">
      <c r="A222" s="458" t="inlineStr">
        <is>
          <t>대연동</t>
        </is>
      </c>
      <c r="B222" s="159" t="n"/>
      <c r="C222" s="159" t="n"/>
      <c r="D222" s="458" t="n">
        <v>161501</v>
      </c>
      <c r="E222" s="113" t="inlineStr">
        <is>
          <t>더비치푸르지오써밋</t>
        </is>
      </c>
      <c r="F222" s="458" t="n">
        <v>2025.05</v>
      </c>
      <c r="G222" s="458" t="n">
        <v>1384</v>
      </c>
      <c r="H222" s="458">
        <f>2026-F222+1</f>
        <v/>
      </c>
      <c r="K222" s="458" t="n">
        <v>100</v>
      </c>
      <c r="M222" s="458" t="inlineStr">
        <is>
          <t>계단식</t>
        </is>
      </c>
      <c r="N222" s="458" t="n">
        <v>4</v>
      </c>
      <c r="O222" s="458" t="n">
        <v>2</v>
      </c>
      <c r="P222" s="458" t="n">
        <v>116</v>
      </c>
      <c r="S222" s="581">
        <f>Q222-R222</f>
        <v/>
      </c>
      <c r="T222" s="71">
        <f>R222/Q222</f>
        <v/>
      </c>
      <c r="AM222" s="236" t="n"/>
    </row>
    <row r="223">
      <c r="A223" s="458" t="inlineStr">
        <is>
          <t>대연동</t>
        </is>
      </c>
      <c r="B223" s="159" t="n"/>
      <c r="C223" s="159" t="n"/>
      <c r="D223" s="458" t="n">
        <v>161501</v>
      </c>
      <c r="E223" s="113" t="inlineStr">
        <is>
          <t>더비치푸르지오써밋</t>
        </is>
      </c>
      <c r="F223" s="458" t="n">
        <v>2025.05</v>
      </c>
      <c r="G223" s="458" t="n">
        <v>1384</v>
      </c>
      <c r="H223" s="458">
        <f>2026-F223+1</f>
        <v/>
      </c>
      <c r="K223" s="458" t="n">
        <v>114</v>
      </c>
      <c r="M223" s="458" t="inlineStr">
        <is>
          <t>계단식</t>
        </is>
      </c>
      <c r="N223" s="458" t="n">
        <v>4</v>
      </c>
      <c r="O223" s="458" t="n">
        <v>2</v>
      </c>
      <c r="P223" s="458" t="n">
        <v>118</v>
      </c>
      <c r="S223" s="581">
        <f>Q223-R223</f>
        <v/>
      </c>
      <c r="T223" s="71">
        <f>R223/Q223</f>
        <v/>
      </c>
      <c r="AM223" s="236" t="n"/>
    </row>
    <row r="224">
      <c r="A224" s="494" t="inlineStr">
        <is>
          <t>대연동</t>
        </is>
      </c>
      <c r="B224" s="289" t="n"/>
      <c r="C224" s="289" t="n"/>
      <c r="D224" s="494" t="n">
        <v>4530</v>
      </c>
      <c r="E224" s="150" t="inlineStr">
        <is>
          <t>삼성(649)</t>
        </is>
      </c>
      <c r="F224" s="494" t="n">
        <v>1996.1</v>
      </c>
      <c r="G224" s="494" t="n">
        <v>499</v>
      </c>
      <c r="H224" s="494">
        <f>2026-F224+1</f>
        <v/>
      </c>
      <c r="I224" s="289" t="n"/>
      <c r="J224" s="494" t="n">
        <v>158</v>
      </c>
      <c r="K224" s="494" t="n">
        <v>134</v>
      </c>
      <c r="L224" s="494" t="n">
        <v>48</v>
      </c>
      <c r="M224" s="494" t="inlineStr">
        <is>
          <t>계단식</t>
        </is>
      </c>
      <c r="N224" s="494" t="n">
        <v>4</v>
      </c>
      <c r="O224" s="494" t="n">
        <v>2</v>
      </c>
      <c r="P224" s="494" t="n">
        <v>50</v>
      </c>
      <c r="Q224" s="156" t="n"/>
      <c r="R224" s="156" t="n"/>
      <c r="S224" s="581">
        <f>Q224-R224</f>
        <v/>
      </c>
      <c r="T224" s="71">
        <f>R224/Q224</f>
        <v/>
      </c>
      <c r="U224" s="289" t="n">
        <v>54700</v>
      </c>
      <c r="V224" s="289" t="n">
        <v>52000</v>
      </c>
      <c r="AA224" s="289" t="n"/>
      <c r="AB224" s="289" t="n"/>
      <c r="AC224" s="289" t="n"/>
      <c r="AD224" s="289" t="n"/>
      <c r="AE224" s="289" t="n"/>
      <c r="AF224" s="289" t="n"/>
      <c r="AG224" s="289" t="n"/>
      <c r="AK224" s="289" t="n"/>
      <c r="AL224" s="289" t="n"/>
      <c r="AM224" s="289" t="n"/>
      <c r="AN224" s="289" t="n"/>
      <c r="AV224" s="289" t="n"/>
    </row>
    <row r="225">
      <c r="A225" s="458" t="inlineStr">
        <is>
          <t>대연동</t>
        </is>
      </c>
      <c r="D225" s="458" t="n">
        <v>4532</v>
      </c>
      <c r="E225" s="113" t="inlineStr">
        <is>
          <t>삼익그린타운</t>
        </is>
      </c>
      <c r="F225" s="458" t="n">
        <v>2001.02</v>
      </c>
      <c r="G225" s="458" t="n">
        <v>725</v>
      </c>
      <c r="H225" s="458">
        <f>2026-F225+1</f>
        <v/>
      </c>
      <c r="K225" s="458" t="n">
        <v>59</v>
      </c>
      <c r="M225" s="458" t="inlineStr">
        <is>
          <t>계단식</t>
        </is>
      </c>
      <c r="N225" s="458" t="n">
        <v>2</v>
      </c>
      <c r="O225" s="458" t="n">
        <v>1</v>
      </c>
      <c r="P225" s="458" t="n">
        <v>130</v>
      </c>
      <c r="S225" s="581">
        <f>Q225-R225</f>
        <v/>
      </c>
      <c r="T225" s="71">
        <f>R225/Q225</f>
        <v/>
      </c>
      <c r="U225" s="458" t="n">
        <v>23000</v>
      </c>
      <c r="V225" s="458" t="n">
        <v>16600</v>
      </c>
    </row>
    <row r="226">
      <c r="A226" s="458" t="inlineStr">
        <is>
          <t>대연동</t>
        </is>
      </c>
      <c r="D226" s="458" t="n">
        <v>4532</v>
      </c>
      <c r="E226" s="113" t="inlineStr">
        <is>
          <t>삼익그린타운</t>
        </is>
      </c>
      <c r="F226" s="458" t="n">
        <v>2001.02</v>
      </c>
      <c r="G226" s="458" t="n">
        <v>725</v>
      </c>
      <c r="H226" s="458">
        <f>2026-F226+1</f>
        <v/>
      </c>
      <c r="J226" s="458" t="n">
        <v>158</v>
      </c>
      <c r="K226" s="458" t="n">
        <v>134</v>
      </c>
      <c r="L226" s="458" t="n">
        <v>48</v>
      </c>
      <c r="M226" s="458" t="inlineStr">
        <is>
          <t>계단식</t>
        </is>
      </c>
      <c r="N226" s="458" t="n">
        <v>4</v>
      </c>
      <c r="O226" s="458" t="n">
        <v>2</v>
      </c>
      <c r="P226" s="458" t="n">
        <v>96</v>
      </c>
      <c r="S226" s="581">
        <f>Q226-R226</f>
        <v/>
      </c>
      <c r="T226" s="71">
        <f>R226/Q226</f>
        <v/>
      </c>
      <c r="U226" s="458" t="n">
        <v>47500</v>
      </c>
      <c r="V226" s="458" t="n">
        <v>47500</v>
      </c>
    </row>
    <row r="227">
      <c r="A227" s="458" t="inlineStr">
        <is>
          <t>대연동</t>
        </is>
      </c>
      <c r="D227" s="458" t="n">
        <v>4532</v>
      </c>
      <c r="E227" s="113" t="inlineStr">
        <is>
          <t>삼익그린타운</t>
        </is>
      </c>
      <c r="F227" s="458" t="n">
        <v>2001.02</v>
      </c>
      <c r="G227" s="458" t="n">
        <v>725</v>
      </c>
      <c r="H227" s="458">
        <f>2026-F227+1</f>
        <v/>
      </c>
      <c r="J227" s="458" t="n">
        <v>198</v>
      </c>
      <c r="K227" s="458" t="n">
        <v>164</v>
      </c>
      <c r="L227" s="458" t="n">
        <v>60</v>
      </c>
      <c r="M227" s="458" t="inlineStr">
        <is>
          <t>계단식</t>
        </is>
      </c>
      <c r="N227" s="458" t="n">
        <v>5</v>
      </c>
      <c r="O227" s="458" t="n">
        <v>3</v>
      </c>
      <c r="P227" s="458" t="n">
        <v>50</v>
      </c>
      <c r="S227" s="581">
        <f>Q227-R227</f>
        <v/>
      </c>
      <c r="T227" s="71">
        <f>R227/Q227</f>
        <v/>
      </c>
      <c r="U227" s="458" t="n">
        <v>49350</v>
      </c>
      <c r="V227" s="458" t="n">
        <v>39000</v>
      </c>
    </row>
    <row r="228">
      <c r="A228" s="494" t="inlineStr">
        <is>
          <t>대연동</t>
        </is>
      </c>
      <c r="B228" s="88" t="n"/>
      <c r="C228" s="89" t="n"/>
      <c r="D228" s="494" t="n">
        <v>4535</v>
      </c>
      <c r="E228" s="150" t="inlineStr">
        <is>
          <t>신원에버그린</t>
        </is>
      </c>
      <c r="F228" s="494" t="n">
        <v>2000.11</v>
      </c>
      <c r="G228" s="494" t="n">
        <v>352</v>
      </c>
      <c r="H228" s="494">
        <f>2026-F228+1</f>
        <v/>
      </c>
      <c r="I228" s="289" t="n"/>
      <c r="J228" s="494" t="n">
        <v>159</v>
      </c>
      <c r="K228" s="494" t="n">
        <v>134</v>
      </c>
      <c r="L228" s="494" t="n">
        <v>48</v>
      </c>
      <c r="M228" s="494" t="inlineStr">
        <is>
          <t>계단식</t>
        </is>
      </c>
      <c r="N228" s="494" t="n">
        <v>4</v>
      </c>
      <c r="O228" s="494" t="n">
        <v>2</v>
      </c>
      <c r="P228" s="494" t="n">
        <v>58</v>
      </c>
      <c r="Q228" s="156" t="n"/>
      <c r="R228" s="156" t="n"/>
      <c r="S228" s="581">
        <f>Q228-R228</f>
        <v/>
      </c>
      <c r="T228" s="71">
        <f>R228/Q228</f>
        <v/>
      </c>
      <c r="U228" s="289" t="n">
        <v>32500</v>
      </c>
      <c r="V228" s="289" t="n">
        <v>28000</v>
      </c>
      <c r="AA228" s="289" t="n"/>
      <c r="AB228" s="289" t="n"/>
      <c r="AC228" s="289" t="n"/>
      <c r="AD228" s="289" t="n"/>
      <c r="AE228" s="289" t="n"/>
      <c r="AF228" s="289" t="n"/>
      <c r="AG228" s="289" t="n"/>
      <c r="AK228" s="289" t="n"/>
      <c r="AL228" s="289" t="n"/>
      <c r="AM228" s="88" t="n"/>
      <c r="AN228" s="289" t="n"/>
      <c r="AV228" s="289" t="n"/>
    </row>
    <row r="229">
      <c r="A229" s="494" t="inlineStr">
        <is>
          <t>대연동</t>
        </is>
      </c>
      <c r="B229" s="88" t="n"/>
      <c r="C229" s="89" t="n"/>
      <c r="D229" s="494" t="n">
        <v>4535</v>
      </c>
      <c r="E229" s="150" t="inlineStr">
        <is>
          <t>신원에버그린</t>
        </is>
      </c>
      <c r="F229" s="494" t="n">
        <v>2000.11</v>
      </c>
      <c r="G229" s="494" t="n">
        <v>352</v>
      </c>
      <c r="H229" s="494">
        <f>2026-F229+1</f>
        <v/>
      </c>
      <c r="I229" s="289" t="n"/>
      <c r="J229" s="494" t="n">
        <v>196</v>
      </c>
      <c r="K229" s="494" t="n">
        <v>170</v>
      </c>
      <c r="L229" s="494" t="n">
        <v>59</v>
      </c>
      <c r="M229" s="494" t="inlineStr">
        <is>
          <t>계단식</t>
        </is>
      </c>
      <c r="N229" s="494" t="n">
        <v>5</v>
      </c>
      <c r="O229" s="494" t="n">
        <v>3</v>
      </c>
      <c r="P229" s="494" t="n">
        <v>1</v>
      </c>
      <c r="Q229" s="156" t="n"/>
      <c r="R229" s="156" t="n"/>
      <c r="S229" s="581">
        <f>Q229-R229</f>
        <v/>
      </c>
      <c r="T229" s="71">
        <f>R229/Q229</f>
        <v/>
      </c>
      <c r="U229" s="289" t="n"/>
      <c r="V229" s="289" t="n"/>
      <c r="AA229" s="289" t="n"/>
      <c r="AB229" s="289" t="n"/>
      <c r="AC229" s="289" t="n"/>
      <c r="AD229" s="289" t="n"/>
      <c r="AE229" s="289" t="n"/>
      <c r="AF229" s="289" t="n"/>
      <c r="AG229" s="289" t="n"/>
      <c r="AK229" s="289" t="n"/>
      <c r="AL229" s="289" t="n"/>
      <c r="AM229" s="88" t="n"/>
      <c r="AN229" s="289" t="n"/>
      <c r="AV229" s="289" t="n"/>
    </row>
    <row r="230">
      <c r="A230" s="494" t="inlineStr">
        <is>
          <t>대연동</t>
        </is>
      </c>
      <c r="B230" s="88" t="n"/>
      <c r="C230" s="89" t="n"/>
      <c r="D230" s="494" t="n">
        <v>4535</v>
      </c>
      <c r="E230" s="150" t="inlineStr">
        <is>
          <t>신원에버그린</t>
        </is>
      </c>
      <c r="F230" s="494" t="n">
        <v>2000.11</v>
      </c>
      <c r="G230" s="494" t="n">
        <v>352</v>
      </c>
      <c r="H230" s="494">
        <f>2026-F230+1</f>
        <v/>
      </c>
      <c r="I230" s="289" t="n"/>
      <c r="J230" s="494" t="n">
        <v>211</v>
      </c>
      <c r="K230" s="494" t="n">
        <v>183</v>
      </c>
      <c r="L230" s="494" t="n">
        <v>64</v>
      </c>
      <c r="M230" s="494" t="inlineStr">
        <is>
          <t>계단식</t>
        </is>
      </c>
      <c r="N230" s="494" t="n">
        <v>5</v>
      </c>
      <c r="O230" s="494" t="n">
        <v>3</v>
      </c>
      <c r="P230" s="494" t="n">
        <v>18</v>
      </c>
      <c r="Q230" s="156" t="n"/>
      <c r="R230" s="156" t="n"/>
      <c r="S230" s="581">
        <f>Q230-R230</f>
        <v/>
      </c>
      <c r="T230" s="71">
        <f>R230/Q230</f>
        <v/>
      </c>
      <c r="U230" s="289" t="n">
        <v>43000</v>
      </c>
      <c r="V230" s="289" t="n">
        <v>43000</v>
      </c>
      <c r="AA230" s="289" t="n"/>
      <c r="AB230" s="289" t="n"/>
      <c r="AC230" s="289" t="n"/>
      <c r="AD230" s="289" t="n"/>
      <c r="AE230" s="289" t="n"/>
      <c r="AF230" s="289" t="n"/>
      <c r="AG230" s="289" t="n"/>
      <c r="AK230" s="289" t="n"/>
      <c r="AL230" s="289" t="n"/>
      <c r="AM230" s="88" t="n"/>
      <c r="AN230" s="289" t="n"/>
      <c r="AV230" s="289" t="n"/>
    </row>
    <row r="231">
      <c r="A231" s="494" t="inlineStr">
        <is>
          <t>문현동</t>
        </is>
      </c>
      <c r="B231" s="289" t="n"/>
      <c r="C231" s="289" t="n"/>
      <c r="D231" s="494" t="n">
        <v>112774</v>
      </c>
      <c r="E231" s="150" t="inlineStr">
        <is>
          <t>국제금융시티문현베스티움</t>
        </is>
      </c>
      <c r="F231" s="494" t="n">
        <v>2019.04</v>
      </c>
      <c r="G231" s="494" t="n">
        <v>743</v>
      </c>
      <c r="H231" s="494">
        <f>2026-F231+1</f>
        <v/>
      </c>
      <c r="I231" s="289" t="n"/>
      <c r="J231" s="289" t="n"/>
      <c r="K231" s="494" t="n">
        <v>33</v>
      </c>
      <c r="L231" s="289" t="n"/>
      <c r="M231" s="494" t="inlineStr">
        <is>
          <t>계단식</t>
        </is>
      </c>
      <c r="N231" s="494" t="n">
        <v>1</v>
      </c>
      <c r="O231" s="494" t="n">
        <v>1</v>
      </c>
      <c r="P231" s="494" t="n">
        <v>76</v>
      </c>
      <c r="Q231" s="156" t="n"/>
      <c r="R231" s="156" t="n"/>
      <c r="S231" s="581">
        <f>Q231-R231</f>
        <v/>
      </c>
      <c r="T231" s="71">
        <f>R231/Q231</f>
        <v/>
      </c>
      <c r="U231" s="289" t="n">
        <v>23000</v>
      </c>
      <c r="V231" s="289" t="n">
        <v>20600</v>
      </c>
      <c r="AA231" s="289" t="n"/>
      <c r="AB231" s="289" t="n"/>
      <c r="AC231" s="289" t="n"/>
      <c r="AD231" s="289" t="n"/>
      <c r="AE231" s="289" t="n"/>
      <c r="AF231" s="289" t="n"/>
      <c r="AG231" s="289" t="n"/>
      <c r="AK231" s="289" t="n"/>
      <c r="AL231" s="289" t="n"/>
      <c r="AM231" s="289" t="n"/>
      <c r="AN231" s="289" t="n"/>
      <c r="AV231" s="289" t="n"/>
    </row>
    <row r="232">
      <c r="A232" s="458" t="inlineStr">
        <is>
          <t>문현동</t>
        </is>
      </c>
      <c r="B232" s="159" t="n"/>
      <c r="C232" s="159" t="n"/>
      <c r="D232" s="458" t="n">
        <v>4579</v>
      </c>
      <c r="E232" s="113" t="inlineStr">
        <is>
          <t>대림문현시티프라자(주상복합)</t>
        </is>
      </c>
      <c r="F232" s="458" t="n">
        <v>1999.07</v>
      </c>
      <c r="G232" s="458" t="n">
        <v>521</v>
      </c>
      <c r="H232" s="458">
        <f>2026-F232+1</f>
        <v/>
      </c>
      <c r="K232" s="458" t="n">
        <v>42</v>
      </c>
      <c r="M232" s="458" t="inlineStr">
        <is>
          <t>계단식</t>
        </is>
      </c>
      <c r="N232" s="458" t="n">
        <v>2</v>
      </c>
      <c r="O232" s="458" t="n">
        <v>1</v>
      </c>
      <c r="P232" s="458" t="n">
        <v>29</v>
      </c>
      <c r="S232" s="581">
        <f>Q232-R232</f>
        <v/>
      </c>
      <c r="T232" s="71">
        <f>R232/Q232</f>
        <v/>
      </c>
      <c r="U232" s="458" t="n">
        <v>15000</v>
      </c>
      <c r="V232" s="458" t="n">
        <v>13000</v>
      </c>
      <c r="AM232" s="236" t="n"/>
    </row>
    <row r="233">
      <c r="A233" s="458" t="inlineStr">
        <is>
          <t>문현동</t>
        </is>
      </c>
      <c r="B233" s="159" t="n"/>
      <c r="C233" s="159" t="n"/>
      <c r="D233" s="458" t="n">
        <v>4579</v>
      </c>
      <c r="E233" s="113" t="inlineStr">
        <is>
          <t>대림문현시티프라자(주상복합)</t>
        </is>
      </c>
      <c r="F233" s="458" t="n">
        <v>1999.07</v>
      </c>
      <c r="G233" s="458" t="n">
        <v>521</v>
      </c>
      <c r="H233" s="458">
        <f>2026-F233+1</f>
        <v/>
      </c>
      <c r="K233" s="458" t="n">
        <v>42</v>
      </c>
      <c r="M233" s="458" t="inlineStr">
        <is>
          <t>복도식</t>
        </is>
      </c>
      <c r="N233" s="458" t="n">
        <v>2</v>
      </c>
      <c r="O233" s="458" t="n">
        <v>1</v>
      </c>
      <c r="P233" s="458" t="n">
        <v>29</v>
      </c>
      <c r="S233" s="581">
        <f>Q233-R233</f>
        <v/>
      </c>
      <c r="T233" s="71">
        <f>R233/Q233</f>
        <v/>
      </c>
      <c r="U233" s="458" t="n">
        <v>15000</v>
      </c>
      <c r="V233" s="458" t="n">
        <v>13000</v>
      </c>
      <c r="AM233" s="236" t="n"/>
    </row>
    <row r="234">
      <c r="A234" s="458" t="inlineStr">
        <is>
          <t>문현동</t>
        </is>
      </c>
      <c r="D234" s="458" t="n">
        <v>4579</v>
      </c>
      <c r="E234" s="113" t="inlineStr">
        <is>
          <t>대림문현시티프라자(주상복합)</t>
        </is>
      </c>
      <c r="F234" s="458" t="n">
        <v>1999.07</v>
      </c>
      <c r="G234" s="458" t="n">
        <v>521</v>
      </c>
      <c r="H234" s="458">
        <f>2026-F234+1</f>
        <v/>
      </c>
      <c r="J234" s="458" t="n">
        <v>66</v>
      </c>
      <c r="K234" s="458" t="n">
        <v>50</v>
      </c>
      <c r="L234" s="458" t="n">
        <v>20</v>
      </c>
      <c r="M234" s="458" t="inlineStr">
        <is>
          <t>복도식</t>
        </is>
      </c>
      <c r="N234" s="458" t="n">
        <v>3</v>
      </c>
      <c r="O234" s="458" t="n">
        <v>1</v>
      </c>
      <c r="P234" s="458" t="n">
        <v>104</v>
      </c>
      <c r="S234" s="581">
        <f>Q234-R234</f>
        <v/>
      </c>
      <c r="T234" s="71">
        <f>R234/Q234</f>
        <v/>
      </c>
      <c r="U234" s="458" t="n">
        <v>21700</v>
      </c>
      <c r="V234" s="458" t="n">
        <v>18000</v>
      </c>
    </row>
    <row r="235">
      <c r="A235" s="458" t="inlineStr">
        <is>
          <t>문현동</t>
        </is>
      </c>
      <c r="D235" s="458" t="n">
        <v>4579</v>
      </c>
      <c r="E235" s="113" t="inlineStr">
        <is>
          <t>대림문현시티프라자(주상복합)</t>
        </is>
      </c>
      <c r="F235" s="458" t="n">
        <v>1999.07</v>
      </c>
      <c r="G235" s="458" t="n">
        <v>521</v>
      </c>
      <c r="H235" s="458">
        <f>2026-F235+1</f>
        <v/>
      </c>
      <c r="K235" s="458" t="n">
        <v>59</v>
      </c>
      <c r="M235" s="458" t="inlineStr">
        <is>
          <t>계단식</t>
        </is>
      </c>
      <c r="N235" s="458" t="n">
        <v>3</v>
      </c>
      <c r="O235" s="458" t="n">
        <v>1</v>
      </c>
      <c r="P235" s="458" t="n">
        <v>54</v>
      </c>
      <c r="S235" s="581">
        <f>Q235-R235</f>
        <v/>
      </c>
      <c r="T235" s="71">
        <f>R235/Q235</f>
        <v/>
      </c>
      <c r="U235" s="458" t="n">
        <v>25000</v>
      </c>
      <c r="V235" s="458" t="n">
        <v>23000</v>
      </c>
    </row>
    <row r="236">
      <c r="A236" s="458" t="inlineStr">
        <is>
          <t>문현동</t>
        </is>
      </c>
      <c r="D236" s="458" t="n">
        <v>4579</v>
      </c>
      <c r="E236" s="113" t="inlineStr">
        <is>
          <t>대림문현시티프라자(주상복합)</t>
        </is>
      </c>
      <c r="F236" s="458" t="n">
        <v>1999.07</v>
      </c>
      <c r="G236" s="458" t="n">
        <v>521</v>
      </c>
      <c r="H236" s="458">
        <f>2026-F236+1</f>
        <v/>
      </c>
      <c r="J236" s="458" t="n">
        <v>99</v>
      </c>
      <c r="K236" s="458" t="n">
        <v>75</v>
      </c>
      <c r="L236" s="458" t="n">
        <v>30</v>
      </c>
      <c r="M236" s="458" t="inlineStr">
        <is>
          <t>복도식</t>
        </is>
      </c>
      <c r="N236" s="458" t="n">
        <v>3</v>
      </c>
      <c r="O236" s="458" t="n">
        <v>2</v>
      </c>
      <c r="P236" s="458" t="n">
        <v>3</v>
      </c>
      <c r="S236" s="581">
        <f>Q236-R236</f>
        <v/>
      </c>
      <c r="T236" s="71">
        <f>R236/Q236</f>
        <v/>
      </c>
      <c r="U236" s="458" t="n">
        <v>27200</v>
      </c>
    </row>
    <row r="237">
      <c r="A237" s="458" t="inlineStr">
        <is>
          <t>문현동</t>
        </is>
      </c>
      <c r="D237" s="458" t="n">
        <v>4579</v>
      </c>
      <c r="E237" s="113" t="inlineStr">
        <is>
          <t>대림문현시티프라자(주상복합)</t>
        </is>
      </c>
      <c r="F237" s="458" t="n">
        <v>1999.07</v>
      </c>
      <c r="G237" s="458" t="n">
        <v>521</v>
      </c>
      <c r="H237" s="458">
        <f>2026-F237+1</f>
        <v/>
      </c>
      <c r="K237" s="458" t="n">
        <v>84</v>
      </c>
      <c r="M237" s="458" t="inlineStr">
        <is>
          <t>계단식</t>
        </is>
      </c>
      <c r="N237" s="458" t="n">
        <v>3</v>
      </c>
      <c r="O237" s="458" t="n">
        <v>2</v>
      </c>
      <c r="P237" s="458" t="n">
        <v>29</v>
      </c>
      <c r="S237" s="581">
        <f>Q237-R237</f>
        <v/>
      </c>
      <c r="T237" s="71">
        <f>R237/Q237</f>
        <v/>
      </c>
      <c r="U237" s="458" t="n">
        <v>36500</v>
      </c>
      <c r="V237" s="458" t="n">
        <v>30000</v>
      </c>
    </row>
    <row r="238">
      <c r="A238" s="458" t="inlineStr">
        <is>
          <t>문현동</t>
        </is>
      </c>
      <c r="D238" s="458" t="n">
        <v>4579</v>
      </c>
      <c r="E238" s="113" t="inlineStr">
        <is>
          <t>대림문현시티프라자(주상복합)</t>
        </is>
      </c>
      <c r="F238" s="458" t="n">
        <v>1999.07</v>
      </c>
      <c r="G238" s="458" t="n">
        <v>521</v>
      </c>
      <c r="H238" s="458">
        <f>2026-F238+1</f>
        <v/>
      </c>
      <c r="J238" s="458" t="n">
        <v>121</v>
      </c>
      <c r="K238" s="458" t="n">
        <v>92</v>
      </c>
      <c r="L238" s="458" t="n">
        <v>37</v>
      </c>
      <c r="M238" s="458" t="inlineStr">
        <is>
          <t>복도식</t>
        </is>
      </c>
      <c r="N238" s="458" t="n">
        <v>3</v>
      </c>
      <c r="O238" s="458" t="n">
        <v>2</v>
      </c>
      <c r="P238" s="458" t="n">
        <v>3</v>
      </c>
      <c r="S238" s="581">
        <f>Q238-R238</f>
        <v/>
      </c>
      <c r="T238" s="71">
        <f>R238/Q238</f>
        <v/>
      </c>
    </row>
    <row r="239">
      <c r="A239" s="458" t="inlineStr">
        <is>
          <t>문현동</t>
        </is>
      </c>
      <c r="D239" s="458" t="n">
        <v>4579</v>
      </c>
      <c r="E239" s="113" t="inlineStr">
        <is>
          <t>대림문현시티프라자(주상복합)</t>
        </is>
      </c>
      <c r="F239" s="458" t="n">
        <v>1999.07</v>
      </c>
      <c r="G239" s="458" t="n">
        <v>521</v>
      </c>
      <c r="H239" s="458">
        <f>2026-F239+1</f>
        <v/>
      </c>
      <c r="J239" s="458" t="n">
        <v>140</v>
      </c>
      <c r="K239" s="458" t="n">
        <v>106</v>
      </c>
      <c r="L239" s="458" t="n">
        <v>42</v>
      </c>
      <c r="M239" s="458" t="inlineStr">
        <is>
          <t>복도식</t>
        </is>
      </c>
      <c r="N239" s="458" t="n">
        <v>4</v>
      </c>
      <c r="O239" s="458" t="n">
        <v>2</v>
      </c>
      <c r="P239" s="458" t="n">
        <v>45</v>
      </c>
      <c r="S239" s="581">
        <f>Q239-R239</f>
        <v/>
      </c>
      <c r="T239" s="71">
        <f>R239/Q239</f>
        <v/>
      </c>
      <c r="U239" s="458" t="n">
        <v>45000</v>
      </c>
    </row>
    <row r="240">
      <c r="A240" s="458" t="inlineStr">
        <is>
          <t>문현동</t>
        </is>
      </c>
      <c r="D240" s="458" t="n">
        <v>4579</v>
      </c>
      <c r="E240" s="113" t="inlineStr">
        <is>
          <t>대림문현시티프라자(주상복합)</t>
        </is>
      </c>
      <c r="F240" s="458" t="n">
        <v>1999.07</v>
      </c>
      <c r="G240" s="458" t="n">
        <v>521</v>
      </c>
      <c r="H240" s="458">
        <f>2026-F240+1</f>
        <v/>
      </c>
      <c r="J240" s="458" t="n">
        <v>170</v>
      </c>
      <c r="K240" s="458" t="n">
        <v>130</v>
      </c>
      <c r="L240" s="458" t="n">
        <v>51</v>
      </c>
      <c r="M240" s="458" t="inlineStr">
        <is>
          <t>복도식</t>
        </is>
      </c>
      <c r="N240" s="458" t="n">
        <v>4</v>
      </c>
      <c r="O240" s="458" t="n">
        <v>2</v>
      </c>
      <c r="P240" s="458" t="n">
        <v>26</v>
      </c>
      <c r="S240" s="581">
        <f>Q240-R240</f>
        <v/>
      </c>
      <c r="T240" s="71">
        <f>R240/Q240</f>
        <v/>
      </c>
      <c r="U240" s="458" t="n">
        <v>38000</v>
      </c>
      <c r="V240" s="458" t="n">
        <v>43250</v>
      </c>
    </row>
    <row r="241">
      <c r="A241" s="458" t="inlineStr">
        <is>
          <t>문현동</t>
        </is>
      </c>
      <c r="D241" s="458" t="n">
        <v>4579</v>
      </c>
      <c r="E241" s="113" t="inlineStr">
        <is>
          <t>대림문현시티프라자(주상복합)</t>
        </is>
      </c>
      <c r="F241" s="458" t="n">
        <v>1999.07</v>
      </c>
      <c r="G241" s="458" t="n">
        <v>521</v>
      </c>
      <c r="H241" s="458">
        <f>2026-F241+1</f>
        <v/>
      </c>
      <c r="J241" s="458" t="n">
        <v>175</v>
      </c>
      <c r="K241" s="458" t="n">
        <v>133</v>
      </c>
      <c r="L241" s="458" t="n">
        <v>53</v>
      </c>
      <c r="M241" s="458" t="inlineStr">
        <is>
          <t>복도식</t>
        </is>
      </c>
      <c r="N241" s="458" t="n">
        <v>4</v>
      </c>
      <c r="O241" s="458" t="n">
        <v>2</v>
      </c>
      <c r="P241" s="458" t="n">
        <v>26</v>
      </c>
      <c r="S241" s="581">
        <f>Q241-R241</f>
        <v/>
      </c>
      <c r="T241" s="71">
        <f>R241/Q241</f>
        <v/>
      </c>
      <c r="U241" s="458" t="n">
        <v>43000</v>
      </c>
      <c r="V241" s="458" t="n">
        <v>43000</v>
      </c>
    </row>
    <row r="242">
      <c r="A242" s="494" t="inlineStr">
        <is>
          <t>문현동</t>
        </is>
      </c>
      <c r="B242" s="88" t="n"/>
      <c r="C242" s="89" t="n"/>
      <c r="D242" s="494" t="n">
        <v>4577</v>
      </c>
      <c r="E242" s="150" t="inlineStr">
        <is>
          <t>문현삼성</t>
        </is>
      </c>
      <c r="F242" s="494" t="n">
        <v>2001.05</v>
      </c>
      <c r="G242" s="494" t="n">
        <v>916</v>
      </c>
      <c r="H242" s="494">
        <f>2026-F242+1</f>
        <v/>
      </c>
      <c r="I242" s="289" t="n"/>
      <c r="J242" s="494" t="n">
        <v>139</v>
      </c>
      <c r="K242" s="494" t="n">
        <v>114</v>
      </c>
      <c r="L242" s="494" t="n">
        <v>42</v>
      </c>
      <c r="M242" s="494" t="inlineStr">
        <is>
          <t>계단식</t>
        </is>
      </c>
      <c r="N242" s="494" t="n">
        <v>4</v>
      </c>
      <c r="O242" s="494" t="n">
        <v>2</v>
      </c>
      <c r="P242" s="494" t="n">
        <v>50</v>
      </c>
      <c r="Q242" s="156" t="n"/>
      <c r="R242" s="156" t="n"/>
      <c r="S242" s="581">
        <f>Q242-R242</f>
        <v/>
      </c>
      <c r="T242" s="71">
        <f>R242/Q242</f>
        <v/>
      </c>
      <c r="U242" s="289" t="n">
        <v>62500</v>
      </c>
      <c r="V242" s="289" t="n">
        <v>57000</v>
      </c>
      <c r="AA242" s="289" t="n"/>
      <c r="AB242" s="289" t="n"/>
      <c r="AC242" s="289" t="n"/>
      <c r="AD242" s="289" t="n"/>
      <c r="AE242" s="289" t="n"/>
      <c r="AF242" s="289" t="n"/>
      <c r="AG242" s="289" t="n"/>
      <c r="AK242" s="289" t="n"/>
      <c r="AL242" s="289" t="n"/>
      <c r="AM242" s="88" t="n"/>
      <c r="AN242" s="289" t="n"/>
      <c r="AV242" s="289" t="n"/>
    </row>
    <row r="243">
      <c r="A243" s="494" t="inlineStr">
        <is>
          <t>문현동</t>
        </is>
      </c>
      <c r="B243" s="88" t="n"/>
      <c r="C243" s="89" t="n"/>
      <c r="D243" s="494" t="n">
        <v>4577</v>
      </c>
      <c r="E243" s="150" t="inlineStr">
        <is>
          <t>문현삼성</t>
        </is>
      </c>
      <c r="F243" s="494" t="n">
        <v>2001.05</v>
      </c>
      <c r="G243" s="494" t="n">
        <v>916</v>
      </c>
      <c r="H243" s="494">
        <f>2026-F243+1</f>
        <v/>
      </c>
      <c r="I243" s="289" t="n"/>
      <c r="J243" s="494" t="n">
        <v>184</v>
      </c>
      <c r="K243" s="494" t="n">
        <v>149</v>
      </c>
      <c r="L243" s="494" t="n">
        <v>56</v>
      </c>
      <c r="M243" s="494" t="inlineStr">
        <is>
          <t>계단식</t>
        </is>
      </c>
      <c r="N243" s="494" t="n">
        <v>4</v>
      </c>
      <c r="O243" s="494" t="n">
        <v>2</v>
      </c>
      <c r="P243" s="494" t="n">
        <v>188</v>
      </c>
      <c r="Q243" s="156" t="n"/>
      <c r="R243" s="156" t="n"/>
      <c r="S243" s="581">
        <f>Q243-R243</f>
        <v/>
      </c>
      <c r="T243" s="71">
        <f>R243/Q243</f>
        <v/>
      </c>
      <c r="U243" s="289" t="n">
        <v>69000</v>
      </c>
      <c r="V243" s="289" t="n">
        <v>59000</v>
      </c>
      <c r="AA243" s="289" t="n"/>
      <c r="AB243" s="289" t="n"/>
      <c r="AC243" s="289" t="n"/>
      <c r="AD243" s="289" t="n"/>
      <c r="AE243" s="289" t="n"/>
      <c r="AF243" s="289" t="n"/>
      <c r="AG243" s="289" t="n"/>
      <c r="AK243" s="289" t="n"/>
      <c r="AL243" s="289" t="n"/>
      <c r="AM243" s="88" t="n"/>
      <c r="AN243" s="289" t="n"/>
      <c r="AV243" s="289" t="n"/>
    </row>
    <row r="244">
      <c r="A244" s="494" t="inlineStr">
        <is>
          <t>문현동</t>
        </is>
      </c>
      <c r="B244" s="88" t="n"/>
      <c r="C244" s="89" t="n"/>
      <c r="D244" s="494" t="n">
        <v>4577</v>
      </c>
      <c r="E244" s="150" t="inlineStr">
        <is>
          <t>문현삼성</t>
        </is>
      </c>
      <c r="F244" s="494" t="n">
        <v>2001.05</v>
      </c>
      <c r="G244" s="494" t="n">
        <v>916</v>
      </c>
      <c r="H244" s="494">
        <f>2026-F244+1</f>
        <v/>
      </c>
      <c r="I244" s="289" t="n"/>
      <c r="J244" s="494" t="n">
        <v>231</v>
      </c>
      <c r="K244" s="494" t="n">
        <v>197</v>
      </c>
      <c r="L244" s="494" t="n">
        <v>70</v>
      </c>
      <c r="M244" s="494" t="inlineStr">
        <is>
          <t>계단식</t>
        </is>
      </c>
      <c r="N244" s="494" t="n">
        <v>4</v>
      </c>
      <c r="O244" s="494" t="n">
        <v>2</v>
      </c>
      <c r="P244" s="494" t="n">
        <v>50</v>
      </c>
      <c r="Q244" s="156" t="n"/>
      <c r="R244" s="156" t="n"/>
      <c r="S244" s="581">
        <f>Q244-R244</f>
        <v/>
      </c>
      <c r="T244" s="71">
        <f>R244/Q244</f>
        <v/>
      </c>
      <c r="U244" s="289" t="n">
        <v>80000</v>
      </c>
      <c r="V244" s="289" t="n"/>
      <c r="AA244" s="289" t="n"/>
      <c r="AB244" s="289" t="n"/>
      <c r="AC244" s="289" t="n"/>
      <c r="AD244" s="289" t="n"/>
      <c r="AE244" s="289" t="n"/>
      <c r="AF244" s="289" t="n"/>
      <c r="AG244" s="289" t="n"/>
      <c r="AK244" s="289" t="n"/>
      <c r="AL244" s="289" t="n"/>
      <c r="AM244" s="88" t="n"/>
      <c r="AN244" s="289" t="n"/>
      <c r="AV244" s="289" t="n"/>
    </row>
    <row r="245">
      <c r="A245" s="458" t="inlineStr">
        <is>
          <t>문현동</t>
        </is>
      </c>
      <c r="B245" s="159" t="n"/>
      <c r="C245" s="159" t="n"/>
      <c r="D245" s="458" t="n">
        <v>9996</v>
      </c>
      <c r="E245" s="113" t="inlineStr">
        <is>
          <t>문현삼성힐타워(주상복합)</t>
        </is>
      </c>
      <c r="F245" s="458" t="n">
        <v>2002.07</v>
      </c>
      <c r="G245" s="458" t="n">
        <v>431</v>
      </c>
      <c r="H245" s="458">
        <f>2026-F245+1</f>
        <v/>
      </c>
      <c r="J245" s="458" t="n">
        <v>116</v>
      </c>
      <c r="K245" s="458" t="n">
        <v>93</v>
      </c>
      <c r="L245" s="458" t="n">
        <v>35</v>
      </c>
      <c r="M245" s="458" t="inlineStr">
        <is>
          <t>계단식</t>
        </is>
      </c>
      <c r="N245" s="458" t="n">
        <v>3</v>
      </c>
      <c r="O245" s="458" t="n">
        <v>2</v>
      </c>
      <c r="P245" s="458" t="n">
        <v>170</v>
      </c>
      <c r="S245" s="581">
        <f>Q245-R245</f>
        <v/>
      </c>
      <c r="T245" s="71">
        <f>R245/Q245</f>
        <v/>
      </c>
      <c r="U245" s="458" t="n">
        <v>56000</v>
      </c>
      <c r="V245" s="458" t="n">
        <v>38500</v>
      </c>
      <c r="AM245" s="236" t="n"/>
    </row>
    <row r="246">
      <c r="A246" s="458" t="inlineStr">
        <is>
          <t>문현동</t>
        </is>
      </c>
      <c r="B246" s="159" t="n"/>
      <c r="C246" s="159" t="n"/>
      <c r="D246" s="458" t="n">
        <v>9996</v>
      </c>
      <c r="E246" s="113" t="inlineStr">
        <is>
          <t>문현삼성힐타워(주상복합)</t>
        </is>
      </c>
      <c r="F246" s="458" t="n">
        <v>2002.07</v>
      </c>
      <c r="G246" s="458" t="n">
        <v>431</v>
      </c>
      <c r="H246" s="458">
        <f>2026-F246+1</f>
        <v/>
      </c>
      <c r="J246" s="458" t="n">
        <v>139</v>
      </c>
      <c r="K246" s="458" t="n">
        <v>111</v>
      </c>
      <c r="L246" s="458" t="n">
        <v>42</v>
      </c>
      <c r="M246" s="458" t="inlineStr">
        <is>
          <t>계단식</t>
        </is>
      </c>
      <c r="N246" s="458" t="n">
        <v>3</v>
      </c>
      <c r="O246" s="458" t="n">
        <v>2</v>
      </c>
      <c r="P246" s="458" t="n">
        <v>87</v>
      </c>
      <c r="S246" s="581">
        <f>Q246-R246</f>
        <v/>
      </c>
      <c r="T246" s="71">
        <f>R246/Q246</f>
        <v/>
      </c>
      <c r="U246" s="458" t="n">
        <v>62000</v>
      </c>
      <c r="V246" s="458" t="n">
        <v>59000</v>
      </c>
      <c r="AM246" s="236" t="n"/>
    </row>
    <row r="247">
      <c r="A247" s="458" t="inlineStr">
        <is>
          <t>문현동</t>
        </is>
      </c>
      <c r="B247" s="159" t="n"/>
      <c r="C247" s="159" t="n"/>
      <c r="D247" s="458" t="n">
        <v>9996</v>
      </c>
      <c r="E247" s="113" t="inlineStr">
        <is>
          <t>문현삼성힐타워(주상복합)</t>
        </is>
      </c>
      <c r="F247" s="458" t="n">
        <v>2002.07</v>
      </c>
      <c r="G247" s="458" t="n">
        <v>431</v>
      </c>
      <c r="H247" s="458">
        <f>2026-F247+1</f>
        <v/>
      </c>
      <c r="K247" s="458" t="n">
        <v>125</v>
      </c>
      <c r="M247" s="458" t="inlineStr">
        <is>
          <t>계단식</t>
        </is>
      </c>
      <c r="N247" s="458" t="n">
        <v>4</v>
      </c>
      <c r="O247" s="458" t="n">
        <v>2</v>
      </c>
      <c r="P247" s="458" t="n">
        <v>174</v>
      </c>
      <c r="S247" s="581">
        <f>Q247-R247</f>
        <v/>
      </c>
      <c r="T247" s="71">
        <f>R247/Q247</f>
        <v/>
      </c>
      <c r="U247" s="458" t="n">
        <v>64000</v>
      </c>
      <c r="V247" s="458" t="n">
        <v>53000</v>
      </c>
      <c r="AM247" s="236" t="n"/>
    </row>
    <row r="248">
      <c r="A248" s="494" t="inlineStr">
        <is>
          <t>문현동</t>
        </is>
      </c>
      <c r="B248" s="289" t="n"/>
      <c r="C248" s="289" t="n"/>
      <c r="D248" s="494" t="n">
        <v>15166</v>
      </c>
      <c r="E248" s="150" t="inlineStr">
        <is>
          <t>문현태영데시앙</t>
        </is>
      </c>
      <c r="F248" s="494" t="n">
        <v>2006.07</v>
      </c>
      <c r="G248" s="494" t="n">
        <v>388</v>
      </c>
      <c r="H248" s="494">
        <f>2026-F248+1</f>
        <v/>
      </c>
      <c r="I248" s="289" t="n"/>
      <c r="J248" s="289" t="n"/>
      <c r="K248" s="494" t="n">
        <v>112</v>
      </c>
      <c r="L248" s="289" t="n"/>
      <c r="M248" s="494" t="inlineStr">
        <is>
          <t>계단식</t>
        </is>
      </c>
      <c r="N248" s="494" t="n">
        <v>3</v>
      </c>
      <c r="O248" s="494" t="n">
        <v>2</v>
      </c>
      <c r="P248" s="494" t="n">
        <v>52</v>
      </c>
      <c r="Q248" s="156" t="n"/>
      <c r="R248" s="156" t="n"/>
      <c r="S248" s="581">
        <f>Q248-R248</f>
        <v/>
      </c>
      <c r="T248" s="71">
        <f>R248/Q248</f>
        <v/>
      </c>
      <c r="U248" s="289" t="n">
        <v>56700</v>
      </c>
      <c r="V248" s="289" t="n">
        <v>56700</v>
      </c>
      <c r="AA248" s="289" t="n"/>
      <c r="AB248" s="289" t="n"/>
      <c r="AC248" s="289" t="n"/>
      <c r="AD248" s="289" t="n"/>
      <c r="AE248" s="289" t="n"/>
      <c r="AF248" s="289" t="n"/>
      <c r="AG248" s="289" t="n"/>
      <c r="AK248" s="289" t="n"/>
      <c r="AL248" s="289" t="n"/>
      <c r="AM248" s="289" t="n"/>
      <c r="AN248" s="289" t="n"/>
      <c r="AV248" s="289" t="n"/>
    </row>
    <row r="249">
      <c r="A249" s="494" t="inlineStr">
        <is>
          <t>문현동</t>
        </is>
      </c>
      <c r="B249" s="289" t="n"/>
      <c r="C249" s="289" t="n"/>
      <c r="D249" s="494" t="n">
        <v>15166</v>
      </c>
      <c r="E249" s="150" t="inlineStr">
        <is>
          <t>문현태영데시앙</t>
        </is>
      </c>
      <c r="F249" s="494" t="n">
        <v>2006.07</v>
      </c>
      <c r="G249" s="494" t="n">
        <v>388</v>
      </c>
      <c r="H249" s="494">
        <f>2026-F249+1</f>
        <v/>
      </c>
      <c r="I249" s="289" t="n"/>
      <c r="J249" s="289" t="n"/>
      <c r="K249" s="494" t="n">
        <v>110</v>
      </c>
      <c r="L249" s="289" t="n"/>
      <c r="M249" s="494" t="inlineStr">
        <is>
          <t>계단식</t>
        </is>
      </c>
      <c r="N249" s="494" t="n">
        <v>3</v>
      </c>
      <c r="O249" s="494" t="n">
        <v>2</v>
      </c>
      <c r="P249" s="494" t="n">
        <v>26</v>
      </c>
      <c r="Q249" s="156" t="n"/>
      <c r="R249" s="156" t="n"/>
      <c r="S249" s="581">
        <f>Q249-R249</f>
        <v/>
      </c>
      <c r="T249" s="71">
        <f>R249/Q249</f>
        <v/>
      </c>
      <c r="U249" s="289" t="n">
        <v>56700</v>
      </c>
      <c r="V249" s="289" t="n">
        <v>56700</v>
      </c>
      <c r="AA249" s="289" t="n"/>
      <c r="AB249" s="289" t="n"/>
      <c r="AC249" s="289" t="n"/>
      <c r="AD249" s="289" t="n"/>
      <c r="AE249" s="289" t="n"/>
      <c r="AF249" s="289" t="n"/>
      <c r="AG249" s="289" t="n"/>
      <c r="AK249" s="289" t="n"/>
      <c r="AL249" s="289" t="n"/>
      <c r="AM249" s="289" t="n"/>
      <c r="AN249" s="289" t="n"/>
      <c r="AV249" s="289" t="n"/>
    </row>
    <row r="250">
      <c r="A250" s="458" t="inlineStr">
        <is>
          <t>문현동</t>
        </is>
      </c>
      <c r="D250" s="458" t="n">
        <v>8861</v>
      </c>
      <c r="E250" s="113" t="inlineStr">
        <is>
          <t>문현현대2차</t>
        </is>
      </c>
      <c r="F250" s="458" t="n">
        <v>2000.06</v>
      </c>
      <c r="G250" s="458" t="n">
        <v>420</v>
      </c>
      <c r="H250" s="458">
        <f>2026-F250+1</f>
        <v/>
      </c>
      <c r="J250" s="458" t="n">
        <v>106</v>
      </c>
      <c r="K250" s="458" t="n">
        <v>84</v>
      </c>
      <c r="L250" s="458" t="n">
        <v>32</v>
      </c>
      <c r="M250" s="458" t="inlineStr">
        <is>
          <t>계단식</t>
        </is>
      </c>
      <c r="N250" s="458" t="n">
        <v>3</v>
      </c>
      <c r="O250" s="458" t="n">
        <v>2</v>
      </c>
      <c r="P250" s="458" t="n">
        <v>210</v>
      </c>
      <c r="S250" s="581">
        <f>Q250-R250</f>
        <v/>
      </c>
      <c r="T250" s="71">
        <f>R250/Q250</f>
        <v/>
      </c>
      <c r="U250" s="458" t="n">
        <v>35000</v>
      </c>
      <c r="V250" s="458" t="n">
        <v>25000</v>
      </c>
    </row>
    <row r="251">
      <c r="A251" s="494" t="inlineStr">
        <is>
          <t>문현동</t>
        </is>
      </c>
      <c r="B251" s="88" t="n"/>
      <c r="C251" s="89" t="n"/>
      <c r="D251" s="494" t="n">
        <v>4592</v>
      </c>
      <c r="E251" s="150" t="inlineStr">
        <is>
          <t>현대</t>
        </is>
      </c>
      <c r="F251" s="494" t="n">
        <v>1998.06</v>
      </c>
      <c r="G251" s="494" t="n">
        <v>693</v>
      </c>
      <c r="H251" s="494">
        <f>2026-F251+1</f>
        <v/>
      </c>
      <c r="I251" s="289" t="n"/>
      <c r="J251" s="494" t="n">
        <v>136</v>
      </c>
      <c r="K251" s="494" t="n">
        <v>115</v>
      </c>
      <c r="L251" s="494" t="n">
        <v>41</v>
      </c>
      <c r="M251" s="494" t="inlineStr">
        <is>
          <t>계단식</t>
        </is>
      </c>
      <c r="N251" s="494" t="n">
        <v>4</v>
      </c>
      <c r="O251" s="494" t="n">
        <v>2</v>
      </c>
      <c r="P251" s="494" t="n">
        <v>90</v>
      </c>
      <c r="Q251" s="156" t="n"/>
      <c r="R251" s="156" t="n"/>
      <c r="S251" s="581">
        <f>Q251-R251</f>
        <v/>
      </c>
      <c r="T251" s="71">
        <f>R251/Q251</f>
        <v/>
      </c>
      <c r="U251" s="289" t="n">
        <v>46000</v>
      </c>
      <c r="V251" s="289" t="n">
        <v>40000</v>
      </c>
      <c r="AA251" s="289" t="n"/>
      <c r="AB251" s="289" t="n"/>
      <c r="AC251" s="289" t="n"/>
      <c r="AD251" s="289" t="n"/>
      <c r="AE251" s="289" t="n"/>
      <c r="AF251" s="289" t="n"/>
      <c r="AG251" s="289" t="n"/>
      <c r="AK251" s="289" t="n"/>
      <c r="AL251" s="289" t="n"/>
      <c r="AM251" s="88" t="n"/>
      <c r="AN251" s="289" t="n"/>
      <c r="AV251" s="289" t="n"/>
    </row>
    <row r="252">
      <c r="A252" s="458" t="inlineStr">
        <is>
          <t>용당동</t>
        </is>
      </c>
      <c r="D252" s="458" t="n">
        <v>22395</v>
      </c>
      <c r="E252" s="113" t="inlineStr">
        <is>
          <t>신대연코오롱하늘채</t>
        </is>
      </c>
      <c r="F252" s="458" t="n">
        <v>2007.03</v>
      </c>
      <c r="G252" s="458" t="n">
        <v>712</v>
      </c>
      <c r="H252" s="458">
        <f>2026-F252+1</f>
        <v/>
      </c>
      <c r="J252" s="458" t="n">
        <v>154</v>
      </c>
      <c r="K252" s="458" t="n">
        <v>126</v>
      </c>
      <c r="L252" s="458" t="n">
        <v>47</v>
      </c>
      <c r="M252" s="458" t="inlineStr">
        <is>
          <t>계단식</t>
        </is>
      </c>
      <c r="N252" s="458" t="n">
        <v>4</v>
      </c>
      <c r="O252" s="458" t="n">
        <v>2</v>
      </c>
      <c r="P252" s="458" t="n">
        <v>104</v>
      </c>
      <c r="S252" s="581">
        <f>Q252-R252</f>
        <v/>
      </c>
      <c r="T252" s="71">
        <f>R252/Q252</f>
        <v/>
      </c>
      <c r="U252" s="458" t="n">
        <v>54000</v>
      </c>
    </row>
    <row r="253">
      <c r="A253" s="458" t="inlineStr">
        <is>
          <t>용당동</t>
        </is>
      </c>
      <c r="D253" s="458" t="n">
        <v>22395</v>
      </c>
      <c r="E253" s="146" t="inlineStr">
        <is>
          <t>신대연코오롱하늘채</t>
        </is>
      </c>
      <c r="F253" s="458" t="n">
        <v>2007.03</v>
      </c>
      <c r="G253" s="458" t="n">
        <v>712</v>
      </c>
      <c r="H253" s="458">
        <f>2026-F253+1</f>
        <v/>
      </c>
      <c r="J253" s="458" t="n">
        <v>186</v>
      </c>
      <c r="K253" s="458" t="n">
        <v>153</v>
      </c>
      <c r="L253" s="458" t="n">
        <v>56</v>
      </c>
      <c r="M253" s="458" t="inlineStr">
        <is>
          <t>계단식</t>
        </is>
      </c>
      <c r="N253" s="458" t="n">
        <v>4</v>
      </c>
      <c r="O253" s="458" t="n">
        <v>2</v>
      </c>
      <c r="P253" s="458" t="n">
        <v>22</v>
      </c>
      <c r="S253" s="581">
        <f>Q253-R253</f>
        <v/>
      </c>
      <c r="T253" s="71">
        <f>R253/Q253</f>
        <v/>
      </c>
      <c r="U253" s="458" t="n">
        <v>49000</v>
      </c>
    </row>
    <row r="254">
      <c r="A254" s="494" t="inlineStr">
        <is>
          <t>용당동</t>
        </is>
      </c>
      <c r="B254" s="88" t="n"/>
      <c r="C254" s="89" t="n"/>
      <c r="D254" s="494" t="n">
        <v>11549</v>
      </c>
      <c r="E254" s="133" t="inlineStr">
        <is>
          <t>용당한신문화타운</t>
        </is>
      </c>
      <c r="F254" s="494" t="n">
        <v>1990.1</v>
      </c>
      <c r="G254" s="494" t="n">
        <v>330</v>
      </c>
      <c r="H254" s="494">
        <f>2026-F254+1</f>
        <v/>
      </c>
      <c r="I254" s="289" t="n"/>
      <c r="J254" s="494" t="n">
        <v>144</v>
      </c>
      <c r="K254" s="494" t="n">
        <v>123</v>
      </c>
      <c r="L254" s="494" t="n">
        <v>44</v>
      </c>
      <c r="M254" s="494" t="inlineStr">
        <is>
          <t>계단식</t>
        </is>
      </c>
      <c r="N254" s="494" t="n">
        <v>4</v>
      </c>
      <c r="O254" s="494" t="n">
        <v>2</v>
      </c>
      <c r="P254" s="494" t="n">
        <v>120</v>
      </c>
      <c r="Q254" s="156" t="n"/>
      <c r="R254" s="156" t="n"/>
      <c r="S254" s="581">
        <f>Q254-R254</f>
        <v/>
      </c>
      <c r="T254" s="71">
        <f>R254/Q254</f>
        <v/>
      </c>
      <c r="U254" s="289" t="n">
        <v>42500</v>
      </c>
      <c r="V254" s="289" t="n">
        <v>40000</v>
      </c>
      <c r="AA254" s="289" t="n"/>
      <c r="AB254" s="289" t="n"/>
      <c r="AC254" s="289" t="n"/>
      <c r="AD254" s="289" t="n"/>
      <c r="AE254" s="289" t="n"/>
      <c r="AF254" s="289" t="n"/>
      <c r="AG254" s="289" t="n"/>
      <c r="AK254" s="289" t="n"/>
      <c r="AL254" s="289" t="n"/>
      <c r="AM254" s="88" t="n"/>
      <c r="AN254" s="289" t="n"/>
      <c r="AV254" s="289" t="n"/>
    </row>
    <row r="255">
      <c r="A255" s="494" t="inlineStr">
        <is>
          <t>용당동</t>
        </is>
      </c>
      <c r="B255" s="88" t="n"/>
      <c r="C255" s="89" t="n"/>
      <c r="D255" s="494" t="n">
        <v>11549</v>
      </c>
      <c r="E255" s="150" t="inlineStr">
        <is>
          <t>용당한신문화타운</t>
        </is>
      </c>
      <c r="F255" s="494" t="n">
        <v>1990.1</v>
      </c>
      <c r="G255" s="494" t="n">
        <v>330</v>
      </c>
      <c r="H255" s="494">
        <f>2026-F255+1</f>
        <v/>
      </c>
      <c r="I255" s="289" t="n"/>
      <c r="J255" s="494" t="n">
        <v>157</v>
      </c>
      <c r="K255" s="494" t="n">
        <v>136</v>
      </c>
      <c r="L255" s="494" t="n">
        <v>47</v>
      </c>
      <c r="M255" s="494" t="inlineStr">
        <is>
          <t>계단식</t>
        </is>
      </c>
      <c r="N255" s="494" t="n">
        <v>4</v>
      </c>
      <c r="O255" s="494" t="n">
        <v>2</v>
      </c>
      <c r="P255" s="494" t="n">
        <v>60</v>
      </c>
      <c r="Q255" s="156" t="n"/>
      <c r="R255" s="156" t="n"/>
      <c r="S255" s="581">
        <f>Q255-R255</f>
        <v/>
      </c>
      <c r="T255" s="71">
        <f>R255/Q255</f>
        <v/>
      </c>
      <c r="U255" s="289" t="n">
        <v>41500</v>
      </c>
      <c r="V255" s="289" t="n">
        <v>41500</v>
      </c>
      <c r="AA255" s="289" t="n"/>
      <c r="AB255" s="289" t="n"/>
      <c r="AC255" s="289" t="n"/>
      <c r="AD255" s="289" t="n"/>
      <c r="AE255" s="289" t="n"/>
      <c r="AF255" s="289" t="n"/>
      <c r="AG255" s="289" t="n"/>
      <c r="AK255" s="289" t="n"/>
      <c r="AL255" s="289" t="n"/>
      <c r="AM255" s="88" t="n"/>
      <c r="AN255" s="289" t="n"/>
      <c r="AV255" s="289" t="n"/>
    </row>
    <row r="256">
      <c r="A256" s="494" t="inlineStr">
        <is>
          <t>용당동</t>
        </is>
      </c>
      <c r="B256" s="88" t="n"/>
      <c r="C256" s="89" t="n"/>
      <c r="D256" s="494" t="n">
        <v>11549</v>
      </c>
      <c r="E256" s="150" t="inlineStr">
        <is>
          <t>용당한신문화타운</t>
        </is>
      </c>
      <c r="F256" s="494" t="n">
        <v>1990.1</v>
      </c>
      <c r="G256" s="494" t="n">
        <v>330</v>
      </c>
      <c r="H256" s="494">
        <f>2026-F256+1</f>
        <v/>
      </c>
      <c r="I256" s="289" t="n"/>
      <c r="J256" s="494" t="n">
        <v>199</v>
      </c>
      <c r="K256" s="494" t="n">
        <v>175</v>
      </c>
      <c r="L256" s="494" t="n">
        <v>60</v>
      </c>
      <c r="M256" s="494" t="inlineStr">
        <is>
          <t>계단식</t>
        </is>
      </c>
      <c r="N256" s="494" t="n">
        <v>5</v>
      </c>
      <c r="O256" s="494" t="n">
        <v>2</v>
      </c>
      <c r="P256" s="494" t="n">
        <v>30</v>
      </c>
      <c r="Q256" s="156" t="n"/>
      <c r="R256" s="156" t="n"/>
      <c r="S256" s="581">
        <f>Q256-R256</f>
        <v/>
      </c>
      <c r="T256" s="71">
        <f>R256/Q256</f>
        <v/>
      </c>
      <c r="U256" s="289" t="n">
        <v>50000</v>
      </c>
      <c r="V256" s="289" t="n"/>
      <c r="AA256" s="289" t="n"/>
      <c r="AB256" s="289" t="n"/>
      <c r="AC256" s="289" t="n"/>
      <c r="AD256" s="289" t="n"/>
      <c r="AE256" s="289" t="n"/>
      <c r="AF256" s="289" t="n"/>
      <c r="AG256" s="289" t="n"/>
      <c r="AK256" s="289" t="n"/>
      <c r="AL256" s="289" t="n"/>
      <c r="AM256" s="88" t="n"/>
      <c r="AN256" s="289" t="n"/>
      <c r="AV256" s="289" t="n"/>
    </row>
    <row r="257">
      <c r="A257" s="494" t="inlineStr">
        <is>
          <t>용당동</t>
        </is>
      </c>
      <c r="B257" s="88" t="n"/>
      <c r="C257" s="89" t="n"/>
      <c r="D257" s="494" t="n">
        <v>11549</v>
      </c>
      <c r="E257" s="150" t="inlineStr">
        <is>
          <t>용당한신문화타운</t>
        </is>
      </c>
      <c r="F257" s="494" t="n">
        <v>1990.1</v>
      </c>
      <c r="G257" s="494" t="n">
        <v>330</v>
      </c>
      <c r="H257" s="494">
        <f>2026-F257+1</f>
        <v/>
      </c>
      <c r="I257" s="289" t="n"/>
      <c r="J257" s="494" t="n">
        <v>225</v>
      </c>
      <c r="K257" s="494" t="n">
        <v>198</v>
      </c>
      <c r="L257" s="494" t="n">
        <v>68</v>
      </c>
      <c r="M257" s="494" t="inlineStr">
        <is>
          <t>계단식</t>
        </is>
      </c>
      <c r="N257" s="494" t="n">
        <v>5</v>
      </c>
      <c r="O257" s="494" t="n">
        <v>3</v>
      </c>
      <c r="P257" s="494" t="n">
        <v>30</v>
      </c>
      <c r="Q257" s="156" t="n"/>
      <c r="R257" s="156" t="n"/>
      <c r="S257" s="581">
        <f>Q257-R257</f>
        <v/>
      </c>
      <c r="T257" s="71">
        <f>R257/Q257</f>
        <v/>
      </c>
      <c r="U257" s="289" t="n">
        <v>57500</v>
      </c>
      <c r="V257" s="289" t="n">
        <v>57500</v>
      </c>
      <c r="AA257" s="289" t="n"/>
      <c r="AB257" s="289" t="n"/>
      <c r="AC257" s="289" t="n"/>
      <c r="AD257" s="289" t="n"/>
      <c r="AE257" s="289" t="n"/>
      <c r="AF257" s="289" t="n"/>
      <c r="AG257" s="289" t="n"/>
      <c r="AK257" s="289" t="n"/>
      <c r="AL257" s="289" t="n"/>
      <c r="AM257" s="88" t="n"/>
      <c r="AN257" s="289" t="n"/>
      <c r="AV257" s="289" t="n"/>
    </row>
    <row r="258">
      <c r="A258" s="458" t="inlineStr">
        <is>
          <t>용당동</t>
        </is>
      </c>
      <c r="D258" s="458" t="n">
        <v>11665</v>
      </c>
      <c r="E258" s="113" t="inlineStr">
        <is>
          <t>현대아이파크</t>
        </is>
      </c>
      <c r="F258" s="458" t="n">
        <v>2002.12</v>
      </c>
      <c r="G258" s="458" t="n">
        <v>748</v>
      </c>
      <c r="H258" s="458">
        <f>2026-F258+1</f>
        <v/>
      </c>
      <c r="J258" s="458" t="n">
        <v>123</v>
      </c>
      <c r="K258" s="458" t="n">
        <v>99</v>
      </c>
      <c r="L258" s="458" t="n">
        <v>37</v>
      </c>
      <c r="M258" s="458" t="inlineStr">
        <is>
          <t>계단식</t>
        </is>
      </c>
      <c r="N258" s="458" t="n">
        <v>3</v>
      </c>
      <c r="O258" s="458" t="n">
        <v>2</v>
      </c>
      <c r="P258" s="458" t="n">
        <v>49</v>
      </c>
      <c r="S258" s="581">
        <f>Q258-R258</f>
        <v/>
      </c>
      <c r="T258" s="71">
        <f>R258/Q258</f>
        <v/>
      </c>
      <c r="U258" s="458" t="n">
        <v>37000</v>
      </c>
      <c r="V258" s="458" t="n">
        <v>29500</v>
      </c>
    </row>
    <row r="259">
      <c r="A259" s="458" t="inlineStr">
        <is>
          <t>용당동</t>
        </is>
      </c>
      <c r="D259" s="458" t="n">
        <v>11665</v>
      </c>
      <c r="E259" s="113" t="inlineStr">
        <is>
          <t>현대아이파크</t>
        </is>
      </c>
      <c r="F259" s="458" t="n">
        <v>2002.12</v>
      </c>
      <c r="G259" s="458" t="n">
        <v>748</v>
      </c>
      <c r="H259" s="458">
        <f>2026-F259+1</f>
        <v/>
      </c>
      <c r="J259" s="458" t="n">
        <v>142</v>
      </c>
      <c r="K259" s="458" t="n">
        <v>119</v>
      </c>
      <c r="L259" s="458" t="n">
        <v>43</v>
      </c>
      <c r="M259" s="458" t="inlineStr">
        <is>
          <t>계단식</t>
        </is>
      </c>
      <c r="N259" s="458" t="n">
        <v>4</v>
      </c>
      <c r="O259" s="458" t="n">
        <v>2</v>
      </c>
      <c r="P259" s="458" t="n">
        <v>50</v>
      </c>
      <c r="S259" s="581">
        <f>Q259-R259</f>
        <v/>
      </c>
      <c r="T259" s="71">
        <f>R259/Q259</f>
        <v/>
      </c>
      <c r="U259" s="458" t="n">
        <v>43400</v>
      </c>
    </row>
    <row r="260">
      <c r="A260" s="494" t="inlineStr">
        <is>
          <t>용호동</t>
        </is>
      </c>
      <c r="B260" s="88" t="n"/>
      <c r="C260" s="89" t="n"/>
      <c r="D260" s="494" t="n">
        <v>22443</v>
      </c>
      <c r="E260" s="150" t="inlineStr">
        <is>
          <t>GS하이츠자이</t>
        </is>
      </c>
      <c r="F260" s="494" t="n">
        <v>2008.04</v>
      </c>
      <c r="G260" s="494" t="n">
        <v>1149</v>
      </c>
      <c r="H260" s="494">
        <f>2026-F260+1</f>
        <v/>
      </c>
      <c r="I260" s="289" t="n"/>
      <c r="J260" s="494" t="n">
        <v>165</v>
      </c>
      <c r="K260" s="494" t="n">
        <v>130</v>
      </c>
      <c r="L260" s="494" t="n">
        <v>50</v>
      </c>
      <c r="M260" s="494" t="inlineStr">
        <is>
          <t>계단식</t>
        </is>
      </c>
      <c r="N260" s="494" t="n">
        <v>4</v>
      </c>
      <c r="O260" s="494" t="n">
        <v>2</v>
      </c>
      <c r="P260" s="494" t="n">
        <v>403</v>
      </c>
      <c r="Q260" s="156" t="n"/>
      <c r="R260" s="156" t="n"/>
      <c r="S260" s="581">
        <f>Q260-R260</f>
        <v/>
      </c>
      <c r="T260" s="71">
        <f>R260/Q260</f>
        <v/>
      </c>
      <c r="U260" s="289" t="n">
        <v>143000</v>
      </c>
      <c r="V260" s="289" t="n">
        <v>85000</v>
      </c>
      <c r="AA260" s="289" t="n"/>
      <c r="AB260" s="289" t="n"/>
      <c r="AC260" s="289" t="n"/>
      <c r="AD260" s="289" t="n"/>
      <c r="AE260" s="289" t="n"/>
      <c r="AF260" s="289" t="n"/>
      <c r="AG260" s="289" t="n"/>
      <c r="AK260" s="289" t="n"/>
      <c r="AL260" s="289" t="n"/>
      <c r="AM260" s="88" t="n"/>
      <c r="AN260" s="289" t="n"/>
      <c r="AV260" s="289" t="n"/>
    </row>
    <row r="261">
      <c r="A261" s="494" t="inlineStr">
        <is>
          <t>용호동</t>
        </is>
      </c>
      <c r="B261" s="88" t="n"/>
      <c r="C261" s="89" t="n"/>
      <c r="D261" s="494" t="n">
        <v>22443</v>
      </c>
      <c r="E261" s="150" t="inlineStr">
        <is>
          <t>GS하이츠자이</t>
        </is>
      </c>
      <c r="F261" s="494" t="n">
        <v>2008.04</v>
      </c>
      <c r="G261" s="494" t="n">
        <v>1149</v>
      </c>
      <c r="H261" s="494">
        <f>2026-F261+1</f>
        <v/>
      </c>
      <c r="I261" s="289" t="n"/>
      <c r="J261" s="494" t="n">
        <v>185</v>
      </c>
      <c r="K261" s="494" t="n">
        <v>151</v>
      </c>
      <c r="L261" s="494" t="n">
        <v>56</v>
      </c>
      <c r="M261" s="494" t="inlineStr">
        <is>
          <t>계단식</t>
        </is>
      </c>
      <c r="N261" s="494" t="n">
        <v>4</v>
      </c>
      <c r="O261" s="494" t="n">
        <v>2</v>
      </c>
      <c r="P261" s="494" t="n">
        <v>228</v>
      </c>
      <c r="Q261" s="156" t="n"/>
      <c r="R261" s="156" t="n"/>
      <c r="S261" s="581">
        <f>Q261-R261</f>
        <v/>
      </c>
      <c r="T261" s="71">
        <f>R261/Q261</f>
        <v/>
      </c>
      <c r="U261" s="289" t="n">
        <v>164000</v>
      </c>
      <c r="V261" s="289" t="n">
        <v>109000</v>
      </c>
      <c r="AA261" s="289" t="n"/>
      <c r="AB261" s="289" t="n"/>
      <c r="AC261" s="289" t="n"/>
      <c r="AD261" s="289" t="n"/>
      <c r="AE261" s="289" t="n"/>
      <c r="AF261" s="289" t="n"/>
      <c r="AG261" s="289" t="n"/>
      <c r="AK261" s="289" t="n"/>
      <c r="AL261" s="289" t="n"/>
      <c r="AM261" s="88" t="n"/>
      <c r="AN261" s="289" t="n"/>
      <c r="AV261" s="289" t="n"/>
    </row>
    <row r="262">
      <c r="A262" s="494" t="inlineStr">
        <is>
          <t>용호동</t>
        </is>
      </c>
      <c r="B262" s="88" t="n"/>
      <c r="C262" s="89" t="n"/>
      <c r="D262" s="494" t="n">
        <v>22443</v>
      </c>
      <c r="E262" s="150" t="inlineStr">
        <is>
          <t>GS하이츠자이</t>
        </is>
      </c>
      <c r="F262" s="494" t="n">
        <v>2008.04</v>
      </c>
      <c r="G262" s="494" t="n">
        <v>1149</v>
      </c>
      <c r="H262" s="494">
        <f>2026-F262+1</f>
        <v/>
      </c>
      <c r="I262" s="289" t="n"/>
      <c r="J262" s="494" t="n">
        <v>210</v>
      </c>
      <c r="K262" s="494" t="n">
        <v>171</v>
      </c>
      <c r="L262" s="494" t="n">
        <v>64</v>
      </c>
      <c r="M262" s="494" t="inlineStr">
        <is>
          <t>계단식</t>
        </is>
      </c>
      <c r="N262" s="494" t="n">
        <v>5</v>
      </c>
      <c r="O262" s="494" t="n">
        <v>2</v>
      </c>
      <c r="P262" s="494" t="n">
        <v>228</v>
      </c>
      <c r="Q262" s="156" t="n"/>
      <c r="R262" s="156" t="n"/>
      <c r="S262" s="581">
        <f>Q262-R262</f>
        <v/>
      </c>
      <c r="T262" s="71">
        <f>R262/Q262</f>
        <v/>
      </c>
      <c r="U262" s="289" t="n">
        <v>175000</v>
      </c>
      <c r="V262" s="289" t="n">
        <v>138000</v>
      </c>
      <c r="AA262" s="289" t="n"/>
      <c r="AB262" s="289" t="n"/>
      <c r="AC262" s="289" t="n"/>
      <c r="AD262" s="289" t="n"/>
      <c r="AE262" s="289" t="n"/>
      <c r="AF262" s="289" t="n"/>
      <c r="AG262" s="289" t="n"/>
      <c r="AK262" s="289" t="n"/>
      <c r="AL262" s="289" t="n"/>
      <c r="AM262" s="88" t="n"/>
      <c r="AN262" s="289" t="n"/>
      <c r="AV262" s="289" t="n"/>
    </row>
    <row r="263">
      <c r="A263" s="458" t="inlineStr">
        <is>
          <t>용호동</t>
        </is>
      </c>
      <c r="D263" s="458" t="n">
        <v>8039</v>
      </c>
      <c r="E263" s="113" t="inlineStr">
        <is>
          <t>LG메트로시티1차</t>
        </is>
      </c>
      <c r="F263" s="458" t="n">
        <v>2001.06</v>
      </c>
      <c r="G263" s="458" t="n">
        <v>2637</v>
      </c>
      <c r="H263" s="458">
        <f>2026-F263+1</f>
        <v/>
      </c>
      <c r="J263" s="458" t="n">
        <v>131</v>
      </c>
      <c r="K263" s="458" t="n">
        <v>102</v>
      </c>
      <c r="L263" s="458" t="n">
        <v>40</v>
      </c>
      <c r="M263" s="458" t="inlineStr">
        <is>
          <t>계단식</t>
        </is>
      </c>
      <c r="N263" s="458" t="n">
        <v>4</v>
      </c>
      <c r="O263" s="458" t="n">
        <v>2</v>
      </c>
      <c r="P263" s="458" t="n">
        <v>398</v>
      </c>
      <c r="S263" s="581">
        <f>Q263-R263</f>
        <v/>
      </c>
      <c r="T263" s="71">
        <f>R263/Q263</f>
        <v/>
      </c>
      <c r="U263" s="458" t="n">
        <v>83500</v>
      </c>
      <c r="V263" s="458" t="n">
        <v>48000</v>
      </c>
    </row>
    <row r="264">
      <c r="A264" s="458" t="inlineStr">
        <is>
          <t>용호동</t>
        </is>
      </c>
      <c r="D264" s="458" t="n">
        <v>8039</v>
      </c>
      <c r="E264" s="113" t="inlineStr">
        <is>
          <t>LG메트로시티1차</t>
        </is>
      </c>
      <c r="F264" s="458" t="n">
        <v>2001.06</v>
      </c>
      <c r="G264" s="458" t="n">
        <v>2637</v>
      </c>
      <c r="H264" s="458">
        <f>2026-F264+1</f>
        <v/>
      </c>
      <c r="J264" s="458" t="n">
        <v>144</v>
      </c>
      <c r="K264" s="458" t="n">
        <v>119</v>
      </c>
      <c r="L264" s="458" t="n">
        <v>44</v>
      </c>
      <c r="M264" s="458" t="inlineStr">
        <is>
          <t>계단식</t>
        </is>
      </c>
      <c r="N264" s="458" t="n">
        <v>4</v>
      </c>
      <c r="O264" s="458" t="n">
        <v>2</v>
      </c>
      <c r="P264" s="458" t="n">
        <v>340</v>
      </c>
      <c r="S264" s="581">
        <f>Q264-R264</f>
        <v/>
      </c>
      <c r="T264" s="71">
        <f>R264/Q264</f>
        <v/>
      </c>
      <c r="U264" s="458" t="n">
        <v>98000</v>
      </c>
      <c r="V264" s="458" t="n">
        <v>53000</v>
      </c>
    </row>
    <row r="265">
      <c r="A265" s="458" t="inlineStr">
        <is>
          <t>용호동</t>
        </is>
      </c>
      <c r="D265" s="458" t="n">
        <v>8039</v>
      </c>
      <c r="E265" s="113" t="inlineStr">
        <is>
          <t>LG메트로시티1차</t>
        </is>
      </c>
      <c r="F265" s="458" t="n">
        <v>2001.06</v>
      </c>
      <c r="G265" s="458" t="n">
        <v>2637</v>
      </c>
      <c r="H265" s="458">
        <f>2026-F265+1</f>
        <v/>
      </c>
      <c r="J265" s="458" t="n">
        <v>178</v>
      </c>
      <c r="K265" s="458" t="n">
        <v>144</v>
      </c>
      <c r="L265" s="458" t="n">
        <v>54</v>
      </c>
      <c r="M265" s="458" t="inlineStr">
        <is>
          <t>계단식</t>
        </is>
      </c>
      <c r="N265" s="458" t="n">
        <v>4</v>
      </c>
      <c r="O265" s="458" t="n">
        <v>2</v>
      </c>
      <c r="P265" s="458" t="n">
        <v>490</v>
      </c>
      <c r="S265" s="581">
        <f>Q265-R265</f>
        <v/>
      </c>
      <c r="T265" s="71">
        <f>R265/Q265</f>
        <v/>
      </c>
      <c r="U265" s="458" t="n">
        <v>105000</v>
      </c>
      <c r="V265" s="458" t="n">
        <v>49800</v>
      </c>
    </row>
    <row r="266">
      <c r="A266" s="458" t="inlineStr">
        <is>
          <t>용호동</t>
        </is>
      </c>
      <c r="D266" s="458" t="n">
        <v>8039</v>
      </c>
      <c r="E266" s="113" t="inlineStr">
        <is>
          <t>LG메트로시티1차</t>
        </is>
      </c>
      <c r="F266" s="458" t="n">
        <v>2001.06</v>
      </c>
      <c r="G266" s="458" t="n">
        <v>2637</v>
      </c>
      <c r="H266" s="458">
        <f>2026-F266+1</f>
        <v/>
      </c>
      <c r="J266" s="458" t="n">
        <v>230</v>
      </c>
      <c r="K266" s="458" t="n">
        <v>188</v>
      </c>
      <c r="L266" s="458" t="n">
        <v>70</v>
      </c>
      <c r="M266" s="458" t="inlineStr">
        <is>
          <t>계단식</t>
        </is>
      </c>
      <c r="N266" s="458" t="n">
        <v>5</v>
      </c>
      <c r="O266" s="458" t="n">
        <v>2</v>
      </c>
      <c r="P266" s="458" t="n">
        <v>144</v>
      </c>
      <c r="S266" s="581">
        <f>Q266-R266</f>
        <v/>
      </c>
      <c r="T266" s="71">
        <f>R266/Q266</f>
        <v/>
      </c>
      <c r="U266" s="458" t="n">
        <v>119000</v>
      </c>
      <c r="V266" s="458" t="n">
        <v>91000</v>
      </c>
    </row>
    <row r="267">
      <c r="A267" s="458" t="inlineStr">
        <is>
          <t>용호동</t>
        </is>
      </c>
      <c r="D267" s="458" t="n">
        <v>8039</v>
      </c>
      <c r="E267" s="113" t="inlineStr">
        <is>
          <t>LG메트로시티1차</t>
        </is>
      </c>
      <c r="F267" s="458" t="n">
        <v>2001.06</v>
      </c>
      <c r="G267" s="458" t="n">
        <v>2637</v>
      </c>
      <c r="H267" s="458">
        <f>2026-F267+1</f>
        <v/>
      </c>
      <c r="J267" s="458" t="n">
        <v>239</v>
      </c>
      <c r="K267" s="458" t="n">
        <v>196</v>
      </c>
      <c r="L267" s="458" t="n">
        <v>72</v>
      </c>
      <c r="M267" s="458" t="inlineStr">
        <is>
          <t>계단식</t>
        </is>
      </c>
      <c r="N267" s="458" t="n">
        <v>5</v>
      </c>
      <c r="O267" s="458" t="n">
        <v>2</v>
      </c>
      <c r="P267" s="458" t="n">
        <v>49</v>
      </c>
      <c r="S267" s="581">
        <f>Q267-R267</f>
        <v/>
      </c>
      <c r="T267" s="71">
        <f>R267/Q267</f>
        <v/>
      </c>
      <c r="U267" s="458" t="n">
        <v>105000</v>
      </c>
      <c r="V267" s="458" t="n">
        <v>89000</v>
      </c>
    </row>
    <row r="268">
      <c r="A268" s="458" t="inlineStr">
        <is>
          <t>용호동</t>
        </is>
      </c>
      <c r="D268" s="458" t="n">
        <v>8039</v>
      </c>
      <c r="E268" s="113" t="inlineStr">
        <is>
          <t>LG메트로시티1차</t>
        </is>
      </c>
      <c r="F268" s="458" t="n">
        <v>2001.06</v>
      </c>
      <c r="G268" s="458" t="n">
        <v>2637</v>
      </c>
      <c r="H268" s="458">
        <f>2026-F268+1</f>
        <v/>
      </c>
      <c r="J268" s="458" t="n">
        <v>306</v>
      </c>
      <c r="K268" s="458" t="n">
        <v>243</v>
      </c>
      <c r="L268" s="458" t="n">
        <v>93</v>
      </c>
      <c r="M268" s="458" t="inlineStr">
        <is>
          <t>계단식</t>
        </is>
      </c>
      <c r="N268" s="458" t="n">
        <v>5</v>
      </c>
      <c r="O268" s="458" t="n">
        <v>3</v>
      </c>
      <c r="P268" s="458" t="n">
        <v>94</v>
      </c>
      <c r="S268" s="581">
        <f>Q268-R268</f>
        <v/>
      </c>
      <c r="T268" s="71">
        <f>R268/Q268</f>
        <v/>
      </c>
      <c r="U268" s="458" t="n">
        <v>140000</v>
      </c>
      <c r="V268" s="458" t="n">
        <v>105000</v>
      </c>
    </row>
    <row r="269">
      <c r="A269" s="494" t="inlineStr">
        <is>
          <t>용호동</t>
        </is>
      </c>
      <c r="B269" s="88" t="n"/>
      <c r="C269" s="89" t="n"/>
      <c r="D269" s="494" t="n">
        <v>9706</v>
      </c>
      <c r="E269" s="150" t="inlineStr">
        <is>
          <t>LG메트로시티2차</t>
        </is>
      </c>
      <c r="F269" s="494" t="n">
        <v>2002.01</v>
      </c>
      <c r="G269" s="494" t="n">
        <v>362</v>
      </c>
      <c r="H269" s="494">
        <f>2026-F269+1</f>
        <v/>
      </c>
      <c r="I269" s="289" t="n"/>
      <c r="J269" s="494" t="n">
        <v>144</v>
      </c>
      <c r="K269" s="494" t="n">
        <v>119</v>
      </c>
      <c r="L269" s="494" t="n">
        <v>44</v>
      </c>
      <c r="M269" s="494" t="inlineStr">
        <is>
          <t>계단식</t>
        </is>
      </c>
      <c r="N269" s="494" t="n">
        <v>4</v>
      </c>
      <c r="O269" s="494" t="n">
        <v>2</v>
      </c>
      <c r="P269" s="494" t="n">
        <v>96</v>
      </c>
      <c r="Q269" s="156" t="n"/>
      <c r="R269" s="156" t="n"/>
      <c r="S269" s="581">
        <f>Q269-R269</f>
        <v/>
      </c>
      <c r="T269" s="71">
        <f>R269/Q269</f>
        <v/>
      </c>
      <c r="U269" s="289" t="n">
        <v>138000</v>
      </c>
      <c r="V269" s="289" t="n"/>
      <c r="AA269" s="289" t="n"/>
      <c r="AB269" s="289" t="n"/>
      <c r="AC269" s="289" t="n"/>
      <c r="AD269" s="289" t="n"/>
      <c r="AE269" s="289" t="n"/>
      <c r="AF269" s="289" t="n"/>
      <c r="AG269" s="289" t="n"/>
      <c r="AK269" s="289" t="n"/>
      <c r="AL269" s="289" t="n"/>
      <c r="AM269" s="88" t="n"/>
      <c r="AN269" s="289" t="n"/>
      <c r="AV269" s="289" t="n"/>
    </row>
    <row r="270">
      <c r="A270" s="458" t="inlineStr">
        <is>
          <t>용호동</t>
        </is>
      </c>
      <c r="D270" s="458" t="n">
        <v>9708</v>
      </c>
      <c r="E270" s="113" t="inlineStr">
        <is>
          <t>LG메트로시티3차</t>
        </is>
      </c>
      <c r="F270" s="458" t="n">
        <v>2002.11</v>
      </c>
      <c r="G270" s="458" t="n">
        <v>922</v>
      </c>
      <c r="H270" s="458">
        <f>2026-F270+1</f>
        <v/>
      </c>
      <c r="J270" s="458" t="n">
        <v>131</v>
      </c>
      <c r="K270" s="458" t="n">
        <v>102</v>
      </c>
      <c r="L270" s="458" t="n">
        <v>40</v>
      </c>
      <c r="M270" s="458" t="inlineStr">
        <is>
          <t>계단식</t>
        </is>
      </c>
      <c r="N270" s="458" t="n">
        <v>3</v>
      </c>
      <c r="O270" s="458" t="n">
        <v>2</v>
      </c>
      <c r="P270" s="458" t="n">
        <v>140</v>
      </c>
      <c r="S270" s="581">
        <f>Q270-R270</f>
        <v/>
      </c>
      <c r="T270" s="71">
        <f>R270/Q270</f>
        <v/>
      </c>
      <c r="U270" s="458" t="n">
        <v>84500</v>
      </c>
      <c r="V270" s="458" t="n">
        <v>59000</v>
      </c>
    </row>
    <row r="271">
      <c r="A271" s="458" t="inlineStr">
        <is>
          <t>용호동</t>
        </is>
      </c>
      <c r="D271" s="458" t="n">
        <v>9708</v>
      </c>
      <c r="E271" s="113" t="inlineStr">
        <is>
          <t>LG메트로시티3차</t>
        </is>
      </c>
      <c r="F271" s="458" t="n">
        <v>2002.11</v>
      </c>
      <c r="G271" s="458" t="n">
        <v>922</v>
      </c>
      <c r="H271" s="458">
        <f>2026-F271+1</f>
        <v/>
      </c>
      <c r="J271" s="458" t="n">
        <v>150</v>
      </c>
      <c r="K271" s="458" t="n">
        <v>125</v>
      </c>
      <c r="L271" s="458" t="n">
        <v>45</v>
      </c>
      <c r="M271" s="458" t="inlineStr">
        <is>
          <t>계단식</t>
        </is>
      </c>
      <c r="N271" s="458" t="n">
        <v>4</v>
      </c>
      <c r="O271" s="458" t="n">
        <v>2</v>
      </c>
      <c r="P271" s="458" t="n">
        <v>200</v>
      </c>
      <c r="S271" s="581">
        <f>Q271-R271</f>
        <v/>
      </c>
      <c r="T271" s="71">
        <f>R271/Q271</f>
        <v/>
      </c>
      <c r="U271" s="458" t="n">
        <v>91000</v>
      </c>
      <c r="V271" s="458" t="n">
        <v>60000</v>
      </c>
    </row>
    <row r="272">
      <c r="A272" s="458" t="inlineStr">
        <is>
          <t>용호동</t>
        </is>
      </c>
      <c r="D272" s="458" t="n">
        <v>9708</v>
      </c>
      <c r="E272" s="113" t="inlineStr">
        <is>
          <t>LG메트로시티3차</t>
        </is>
      </c>
      <c r="F272" s="458" t="n">
        <v>2002.11</v>
      </c>
      <c r="G272" s="458" t="n">
        <v>922</v>
      </c>
      <c r="H272" s="458">
        <f>2026-F272+1</f>
        <v/>
      </c>
      <c r="J272" s="458" t="n">
        <v>178</v>
      </c>
      <c r="K272" s="458" t="n">
        <v>144</v>
      </c>
      <c r="L272" s="458" t="n">
        <v>54</v>
      </c>
      <c r="M272" s="458" t="inlineStr">
        <is>
          <t>계단식</t>
        </is>
      </c>
      <c r="N272" s="458" t="n">
        <v>4</v>
      </c>
      <c r="O272" s="458" t="n">
        <v>2</v>
      </c>
      <c r="P272" s="458" t="n">
        <v>100</v>
      </c>
      <c r="S272" s="581">
        <f>Q272-R272</f>
        <v/>
      </c>
      <c r="T272" s="71">
        <f>R272/Q272</f>
        <v/>
      </c>
      <c r="U272" s="458" t="n">
        <v>97500</v>
      </c>
      <c r="V272" s="458" t="n">
        <v>58500</v>
      </c>
    </row>
    <row r="273">
      <c r="A273" s="458" t="inlineStr">
        <is>
          <t>용호동</t>
        </is>
      </c>
      <c r="D273" s="458" t="n">
        <v>9708</v>
      </c>
      <c r="E273" s="113" t="inlineStr">
        <is>
          <t>LG메트로시티3차</t>
        </is>
      </c>
      <c r="F273" s="458" t="n">
        <v>2002.11</v>
      </c>
      <c r="G273" s="458" t="n">
        <v>922</v>
      </c>
      <c r="H273" s="458">
        <f>2026-F273+1</f>
        <v/>
      </c>
      <c r="J273" s="458" t="n">
        <v>202</v>
      </c>
      <c r="K273" s="458" t="n">
        <v>164</v>
      </c>
      <c r="L273" s="458" t="n">
        <v>61</v>
      </c>
      <c r="M273" s="458" t="inlineStr">
        <is>
          <t>계단식</t>
        </is>
      </c>
      <c r="N273" s="458" t="n">
        <v>4</v>
      </c>
      <c r="O273" s="458" t="n">
        <v>2</v>
      </c>
      <c r="P273" s="458" t="n">
        <v>196</v>
      </c>
      <c r="S273" s="581">
        <f>Q273-R273</f>
        <v/>
      </c>
      <c r="T273" s="71">
        <f>R273/Q273</f>
        <v/>
      </c>
      <c r="U273" s="458" t="n">
        <v>110000</v>
      </c>
      <c r="V273" s="458" t="n">
        <v>50000</v>
      </c>
    </row>
    <row r="274">
      <c r="A274" s="458" t="inlineStr">
        <is>
          <t>용호동</t>
        </is>
      </c>
      <c r="D274" s="458" t="n">
        <v>9708</v>
      </c>
      <c r="E274" s="113" t="inlineStr">
        <is>
          <t>LG메트로시티3차</t>
        </is>
      </c>
      <c r="F274" s="458" t="n">
        <v>2002.11</v>
      </c>
      <c r="G274" s="458" t="n">
        <v>922</v>
      </c>
      <c r="H274" s="458">
        <f>2026-F274+1</f>
        <v/>
      </c>
      <c r="J274" s="458" t="n">
        <v>306</v>
      </c>
      <c r="K274" s="458" t="n">
        <v>243</v>
      </c>
      <c r="L274" s="458" t="n">
        <v>93</v>
      </c>
      <c r="M274" s="458" t="inlineStr">
        <is>
          <t>계단식</t>
        </is>
      </c>
      <c r="N274" s="458" t="n">
        <v>5</v>
      </c>
      <c r="O274" s="458" t="n">
        <v>3</v>
      </c>
      <c r="P274" s="458" t="n">
        <v>44</v>
      </c>
      <c r="S274" s="581">
        <f>Q274-R274</f>
        <v/>
      </c>
      <c r="T274" s="71">
        <f>R274/Q274</f>
        <v/>
      </c>
    </row>
    <row r="275">
      <c r="A275" s="494" t="inlineStr">
        <is>
          <t>용호동</t>
        </is>
      </c>
      <c r="B275" s="88" t="n"/>
      <c r="C275" s="89" t="n"/>
      <c r="D275" s="494" t="n">
        <v>9709</v>
      </c>
      <c r="E275" s="150" t="inlineStr">
        <is>
          <t>LG메트로시티4-1차</t>
        </is>
      </c>
      <c r="F275" s="494" t="n">
        <v>2003.08</v>
      </c>
      <c r="G275" s="494" t="n">
        <v>1391</v>
      </c>
      <c r="H275" s="494">
        <f>2026-F275+1</f>
        <v/>
      </c>
      <c r="I275" s="289" t="n"/>
      <c r="J275" s="494" t="n">
        <v>133</v>
      </c>
      <c r="K275" s="494" t="n">
        <v>103</v>
      </c>
      <c r="L275" s="494" t="n">
        <v>40</v>
      </c>
      <c r="M275" s="494" t="inlineStr">
        <is>
          <t>계단식</t>
        </is>
      </c>
      <c r="N275" s="494" t="n">
        <v>3</v>
      </c>
      <c r="O275" s="494" t="n">
        <v>2</v>
      </c>
      <c r="P275" s="494" t="n">
        <v>336</v>
      </c>
      <c r="Q275" s="156" t="n"/>
      <c r="R275" s="156" t="n"/>
      <c r="S275" s="581">
        <f>Q275-R275</f>
        <v/>
      </c>
      <c r="T275" s="71">
        <f>R275/Q275</f>
        <v/>
      </c>
      <c r="U275" s="289" t="n">
        <v>83000</v>
      </c>
      <c r="V275" s="289" t="n">
        <v>50500</v>
      </c>
      <c r="AA275" s="289" t="n"/>
      <c r="AB275" s="289" t="n"/>
      <c r="AC275" s="289" t="n"/>
      <c r="AD275" s="289" t="n"/>
      <c r="AE275" s="289" t="n"/>
      <c r="AF275" s="289" t="n"/>
      <c r="AG275" s="289" t="n"/>
      <c r="AK275" s="289" t="n"/>
      <c r="AL275" s="289" t="n"/>
      <c r="AM275" s="88" t="n"/>
      <c r="AN275" s="289" t="n"/>
      <c r="AV275" s="289" t="n"/>
    </row>
    <row r="276">
      <c r="A276" s="494" t="inlineStr">
        <is>
          <t>용호동</t>
        </is>
      </c>
      <c r="B276" s="88" t="n"/>
      <c r="C276" s="89" t="n"/>
      <c r="D276" s="494" t="n">
        <v>9709</v>
      </c>
      <c r="E276" s="150" t="inlineStr">
        <is>
          <t>LG메트로시티4-1차</t>
        </is>
      </c>
      <c r="F276" s="494" t="n">
        <v>2003.08</v>
      </c>
      <c r="G276" s="494" t="n">
        <v>1391</v>
      </c>
      <c r="H276" s="494">
        <f>2026-F276+1</f>
        <v/>
      </c>
      <c r="I276" s="289" t="n"/>
      <c r="J276" s="494" t="n">
        <v>152</v>
      </c>
      <c r="K276" s="494" t="n">
        <v>126</v>
      </c>
      <c r="L276" s="494" t="n">
        <v>46</v>
      </c>
      <c r="M276" s="494" t="inlineStr">
        <is>
          <t>계단식</t>
        </is>
      </c>
      <c r="N276" s="494" t="n">
        <v>4</v>
      </c>
      <c r="O276" s="494" t="n">
        <v>2</v>
      </c>
      <c r="P276" s="494" t="n">
        <v>298</v>
      </c>
      <c r="Q276" s="156" t="n"/>
      <c r="R276" s="156" t="n"/>
      <c r="S276" s="581">
        <f>Q276-R276</f>
        <v/>
      </c>
      <c r="T276" s="71">
        <f>R276/Q276</f>
        <v/>
      </c>
      <c r="U276" s="289" t="n">
        <v>98000</v>
      </c>
      <c r="V276" s="289" t="n">
        <v>62000</v>
      </c>
      <c r="AA276" s="289" t="n"/>
      <c r="AB276" s="289" t="n"/>
      <c r="AC276" s="289" t="n"/>
      <c r="AD276" s="289" t="n"/>
      <c r="AE276" s="289" t="n"/>
      <c r="AF276" s="289" t="n"/>
      <c r="AG276" s="289" t="n"/>
      <c r="AK276" s="289" t="n"/>
      <c r="AL276" s="289" t="n"/>
      <c r="AM276" s="88" t="n"/>
      <c r="AN276" s="289" t="n"/>
      <c r="AV276" s="289" t="n"/>
    </row>
    <row r="277">
      <c r="A277" s="494" t="inlineStr">
        <is>
          <t>용호동</t>
        </is>
      </c>
      <c r="B277" s="88" t="n"/>
      <c r="C277" s="89" t="n"/>
      <c r="D277" s="494" t="n">
        <v>9709</v>
      </c>
      <c r="E277" s="150" t="inlineStr">
        <is>
          <t>LG메트로시티4-1차</t>
        </is>
      </c>
      <c r="F277" s="494" t="n">
        <v>2003.08</v>
      </c>
      <c r="G277" s="494" t="n">
        <v>1391</v>
      </c>
      <c r="H277" s="494">
        <f>2026-F277+1</f>
        <v/>
      </c>
      <c r="I277" s="289" t="n"/>
      <c r="J277" s="494" t="n">
        <v>179</v>
      </c>
      <c r="K277" s="494" t="n">
        <v>145</v>
      </c>
      <c r="L277" s="494" t="n">
        <v>54</v>
      </c>
      <c r="M277" s="494" t="inlineStr">
        <is>
          <t>계단식</t>
        </is>
      </c>
      <c r="N277" s="494" t="n">
        <v>4</v>
      </c>
      <c r="O277" s="494" t="n">
        <v>2</v>
      </c>
      <c r="P277" s="494" t="n">
        <v>93</v>
      </c>
      <c r="Q277" s="156" t="n"/>
      <c r="R277" s="156" t="n"/>
      <c r="S277" s="581">
        <f>Q277-R277</f>
        <v/>
      </c>
      <c r="T277" s="71">
        <f>R277/Q277</f>
        <v/>
      </c>
      <c r="U277" s="289" t="n">
        <v>95500</v>
      </c>
      <c r="V277" s="289" t="n">
        <v>80500</v>
      </c>
      <c r="AA277" s="289" t="n"/>
      <c r="AB277" s="289" t="n"/>
      <c r="AC277" s="289" t="n"/>
      <c r="AD277" s="289" t="n"/>
      <c r="AE277" s="289" t="n"/>
      <c r="AF277" s="289" t="n"/>
      <c r="AG277" s="289" t="n"/>
      <c r="AK277" s="289" t="n"/>
      <c r="AL277" s="289" t="n"/>
      <c r="AM277" s="88" t="n"/>
      <c r="AN277" s="289" t="n"/>
      <c r="AV277" s="289" t="n"/>
    </row>
    <row r="278">
      <c r="A278" s="494" t="inlineStr">
        <is>
          <t>용호동</t>
        </is>
      </c>
      <c r="B278" s="88" t="n"/>
      <c r="C278" s="89" t="n"/>
      <c r="D278" s="494" t="n">
        <v>9709</v>
      </c>
      <c r="E278" s="150" t="inlineStr">
        <is>
          <t>LG메트로시티4-1차</t>
        </is>
      </c>
      <c r="F278" s="494" t="n">
        <v>2003.08</v>
      </c>
      <c r="G278" s="494" t="n">
        <v>1391</v>
      </c>
      <c r="H278" s="494">
        <f>2026-F278+1</f>
        <v/>
      </c>
      <c r="I278" s="289" t="n"/>
      <c r="J278" s="494" t="n">
        <v>204</v>
      </c>
      <c r="K278" s="494" t="n">
        <v>166</v>
      </c>
      <c r="L278" s="494" t="n">
        <v>62</v>
      </c>
      <c r="M278" s="494" t="inlineStr">
        <is>
          <t>계단식</t>
        </is>
      </c>
      <c r="N278" s="494" t="n">
        <v>4</v>
      </c>
      <c r="O278" s="494" t="n">
        <v>2</v>
      </c>
      <c r="P278" s="494" t="n">
        <v>198</v>
      </c>
      <c r="Q278" s="156" t="n"/>
      <c r="R278" s="156" t="n"/>
      <c r="S278" s="581">
        <f>Q278-R278</f>
        <v/>
      </c>
      <c r="T278" s="71">
        <f>R278/Q278</f>
        <v/>
      </c>
      <c r="U278" s="289" t="n">
        <v>107000</v>
      </c>
      <c r="V278" s="289" t="n">
        <v>59900</v>
      </c>
      <c r="AA278" s="289" t="n"/>
      <c r="AB278" s="289" t="n"/>
      <c r="AC278" s="289" t="n"/>
      <c r="AD278" s="289" t="n"/>
      <c r="AE278" s="289" t="n"/>
      <c r="AF278" s="289" t="n"/>
      <c r="AG278" s="289" t="n"/>
      <c r="AK278" s="289" t="n"/>
      <c r="AL278" s="289" t="n"/>
      <c r="AM278" s="88" t="n"/>
      <c r="AN278" s="289" t="n"/>
      <c r="AV278" s="289" t="n"/>
    </row>
    <row r="279">
      <c r="A279" s="494" t="inlineStr">
        <is>
          <t>용호동</t>
        </is>
      </c>
      <c r="B279" s="88" t="n"/>
      <c r="C279" s="89" t="n"/>
      <c r="D279" s="494" t="n">
        <v>9709</v>
      </c>
      <c r="E279" s="150" t="inlineStr">
        <is>
          <t>LG메트로시티4-1차</t>
        </is>
      </c>
      <c r="F279" s="494" t="n">
        <v>2003.08</v>
      </c>
      <c r="G279" s="494" t="n">
        <v>1391</v>
      </c>
      <c r="H279" s="494">
        <f>2026-F279+1</f>
        <v/>
      </c>
      <c r="I279" s="289" t="n"/>
      <c r="J279" s="494" t="n">
        <v>239</v>
      </c>
      <c r="K279" s="494" t="n">
        <v>196</v>
      </c>
      <c r="L279" s="494" t="n">
        <v>72</v>
      </c>
      <c r="M279" s="494" t="inlineStr">
        <is>
          <t>계단식</t>
        </is>
      </c>
      <c r="N279" s="494" t="n">
        <v>5</v>
      </c>
      <c r="O279" s="494" t="n">
        <v>2</v>
      </c>
      <c r="P279" s="494" t="n">
        <v>147</v>
      </c>
      <c r="Q279" s="156" t="n"/>
      <c r="R279" s="156" t="n"/>
      <c r="S279" s="581">
        <f>Q279-R279</f>
        <v/>
      </c>
      <c r="T279" s="71">
        <f>R279/Q279</f>
        <v/>
      </c>
      <c r="U279" s="289" t="n">
        <v>119800</v>
      </c>
      <c r="V279" s="289" t="n">
        <v>119800</v>
      </c>
      <c r="AA279" s="289" t="n"/>
      <c r="AB279" s="289" t="n"/>
      <c r="AC279" s="289" t="n"/>
      <c r="AD279" s="289" t="n"/>
      <c r="AE279" s="289" t="n"/>
      <c r="AF279" s="289" t="n"/>
      <c r="AG279" s="289" t="n"/>
      <c r="AK279" s="289" t="n"/>
      <c r="AL279" s="289" t="n"/>
      <c r="AM279" s="88" t="n"/>
      <c r="AN279" s="289" t="n"/>
      <c r="AV279" s="289" t="n"/>
    </row>
    <row r="280">
      <c r="A280" s="494" t="inlineStr">
        <is>
          <t>용호동</t>
        </is>
      </c>
      <c r="B280" s="88" t="n"/>
      <c r="C280" s="89" t="n"/>
      <c r="D280" s="494" t="n">
        <v>9709</v>
      </c>
      <c r="E280" s="150" t="inlineStr">
        <is>
          <t>LG메트로시티4-1차</t>
        </is>
      </c>
      <c r="F280" s="494" t="n">
        <v>2003.08</v>
      </c>
      <c r="G280" s="494" t="n">
        <v>1391</v>
      </c>
      <c r="H280" s="494">
        <f>2026-F280+1</f>
        <v/>
      </c>
      <c r="I280" s="289" t="n"/>
      <c r="J280" s="494" t="n">
        <v>308</v>
      </c>
      <c r="K280" s="494" t="n">
        <v>244</v>
      </c>
      <c r="L280" s="494" t="n">
        <v>93</v>
      </c>
      <c r="M280" s="494" t="inlineStr">
        <is>
          <t>계단식</t>
        </is>
      </c>
      <c r="N280" s="494" t="n">
        <v>5</v>
      </c>
      <c r="O280" s="494" t="n">
        <v>3</v>
      </c>
      <c r="P280" s="494" t="n">
        <v>47</v>
      </c>
      <c r="Q280" s="156" t="n"/>
      <c r="R280" s="156" t="n"/>
      <c r="S280" s="581">
        <f>Q280-R280</f>
        <v/>
      </c>
      <c r="T280" s="71">
        <f>R280/Q280</f>
        <v/>
      </c>
      <c r="U280" s="289" t="n"/>
      <c r="V280" s="289" t="n">
        <v>125000</v>
      </c>
      <c r="AA280" s="289" t="n"/>
      <c r="AB280" s="289" t="n"/>
      <c r="AC280" s="289" t="n"/>
      <c r="AD280" s="289" t="n"/>
      <c r="AE280" s="289" t="n"/>
      <c r="AF280" s="289" t="n"/>
      <c r="AG280" s="289" t="n"/>
      <c r="AK280" s="289" t="n"/>
      <c r="AL280" s="289" t="n"/>
      <c r="AM280" s="88" t="n"/>
      <c r="AN280" s="289" t="n"/>
      <c r="AV280" s="289" t="n"/>
    </row>
    <row r="281">
      <c r="A281" s="458" t="inlineStr">
        <is>
          <t>용호동</t>
        </is>
      </c>
      <c r="D281" s="458" t="n">
        <v>9710</v>
      </c>
      <c r="E281" s="113" t="inlineStr">
        <is>
          <t>LG메트로시티4-2차</t>
        </is>
      </c>
      <c r="F281" s="458" t="n">
        <v>2003.08</v>
      </c>
      <c r="G281" s="458" t="n">
        <v>1258</v>
      </c>
      <c r="H281" s="458">
        <f>2026-F281+1</f>
        <v/>
      </c>
      <c r="J281" s="458" t="n">
        <v>152</v>
      </c>
      <c r="K281" s="458" t="n">
        <v>126</v>
      </c>
      <c r="L281" s="458" t="n">
        <v>46</v>
      </c>
      <c r="M281" s="458" t="inlineStr">
        <is>
          <t>계단식</t>
        </is>
      </c>
      <c r="N281" s="458" t="n">
        <v>4</v>
      </c>
      <c r="O281" s="458" t="n">
        <v>2</v>
      </c>
      <c r="P281" s="458" t="n">
        <v>382</v>
      </c>
      <c r="S281" s="581">
        <f>Q281-R281</f>
        <v/>
      </c>
      <c r="T281" s="71">
        <f>R281/Q281</f>
        <v/>
      </c>
      <c r="U281" s="458" t="n">
        <v>98000</v>
      </c>
      <c r="V281" s="458" t="n">
        <v>62000</v>
      </c>
    </row>
    <row r="282">
      <c r="A282" s="458" t="inlineStr">
        <is>
          <t>용호동</t>
        </is>
      </c>
      <c r="D282" s="458" t="n">
        <v>9710</v>
      </c>
      <c r="E282" s="113" t="inlineStr">
        <is>
          <t>LG메트로시티4-2차</t>
        </is>
      </c>
      <c r="F282" s="458" t="n">
        <v>2003.08</v>
      </c>
      <c r="G282" s="458" t="n">
        <v>1258</v>
      </c>
      <c r="H282" s="458">
        <f>2026-F282+1</f>
        <v/>
      </c>
      <c r="J282" s="458" t="n">
        <v>179</v>
      </c>
      <c r="K282" s="458" t="n">
        <v>145</v>
      </c>
      <c r="L282" s="458" t="n">
        <v>54</v>
      </c>
      <c r="M282" s="458" t="inlineStr">
        <is>
          <t>계단식</t>
        </is>
      </c>
      <c r="N282" s="458" t="n">
        <v>4</v>
      </c>
      <c r="O282" s="458" t="n">
        <v>2</v>
      </c>
      <c r="P282" s="458" t="n">
        <v>248</v>
      </c>
      <c r="S282" s="581">
        <f>Q282-R282</f>
        <v/>
      </c>
      <c r="T282" s="71">
        <f>R282/Q282</f>
        <v/>
      </c>
      <c r="U282" s="458" t="n">
        <v>95500</v>
      </c>
      <c r="V282" s="458" t="n">
        <v>80500</v>
      </c>
    </row>
    <row r="283">
      <c r="A283" s="494" t="inlineStr">
        <is>
          <t>용호동</t>
        </is>
      </c>
      <c r="B283" s="289" t="n"/>
      <c r="C283" s="289" t="n"/>
      <c r="D283" s="494" t="n">
        <v>9711</v>
      </c>
      <c r="E283" s="150" t="inlineStr">
        <is>
          <t>LG메트로시티5차</t>
        </is>
      </c>
      <c r="F283" s="494" t="n">
        <v>2004.1</v>
      </c>
      <c r="G283" s="494" t="n">
        <v>804</v>
      </c>
      <c r="H283" s="494">
        <f>2026-F283+1</f>
        <v/>
      </c>
      <c r="I283" s="289" t="n"/>
      <c r="J283" s="494" t="n">
        <v>152</v>
      </c>
      <c r="K283" s="494" t="n">
        <v>126</v>
      </c>
      <c r="L283" s="494" t="n">
        <v>46</v>
      </c>
      <c r="M283" s="494" t="inlineStr">
        <is>
          <t>계단식</t>
        </is>
      </c>
      <c r="N283" s="494" t="n">
        <v>4</v>
      </c>
      <c r="O283" s="494" t="n">
        <v>2</v>
      </c>
      <c r="P283" s="494" t="n">
        <v>148</v>
      </c>
      <c r="Q283" s="156" t="n"/>
      <c r="R283" s="156" t="n"/>
      <c r="S283" s="581">
        <f>Q283-R283</f>
        <v/>
      </c>
      <c r="T283" s="71">
        <f>R283/Q283</f>
        <v/>
      </c>
      <c r="U283" s="289" t="n">
        <v>88000</v>
      </c>
      <c r="V283" s="289" t="n">
        <v>62200</v>
      </c>
      <c r="AA283" s="289" t="n"/>
      <c r="AB283" s="289" t="n"/>
      <c r="AC283" s="289" t="n"/>
      <c r="AD283" s="289" t="n"/>
      <c r="AE283" s="289" t="n"/>
      <c r="AF283" s="289" t="n"/>
      <c r="AG283" s="289" t="n"/>
      <c r="AK283" s="289" t="n"/>
      <c r="AL283" s="289" t="n"/>
      <c r="AM283" s="289" t="n"/>
      <c r="AN283" s="289" t="n"/>
      <c r="AV283" s="289" t="n"/>
    </row>
    <row r="284">
      <c r="A284" s="458" t="inlineStr">
        <is>
          <t>용호동</t>
        </is>
      </c>
      <c r="B284" s="159" t="n"/>
      <c r="C284" s="159" t="n"/>
      <c r="D284" s="458" t="n">
        <v>4607</v>
      </c>
      <c r="E284" s="113" t="inlineStr">
        <is>
          <t>경동</t>
        </is>
      </c>
      <c r="F284" s="458" t="n">
        <v>1992.12</v>
      </c>
      <c r="G284" s="458" t="n">
        <v>499</v>
      </c>
      <c r="H284" s="458">
        <f>2026-F284+1</f>
        <v/>
      </c>
      <c r="J284" s="458" t="n">
        <v>105</v>
      </c>
      <c r="K284" s="458" t="n">
        <v>87</v>
      </c>
      <c r="L284" s="458" t="n">
        <v>32</v>
      </c>
      <c r="M284" s="458" t="inlineStr">
        <is>
          <t>계단식</t>
        </is>
      </c>
      <c r="N284" s="458" t="n">
        <v>3</v>
      </c>
      <c r="O284" s="458" t="n">
        <v>1</v>
      </c>
      <c r="P284" s="458" t="n">
        <v>18</v>
      </c>
      <c r="S284" s="581">
        <f>Q284-R284</f>
        <v/>
      </c>
      <c r="T284" s="71">
        <f>R284/Q284</f>
        <v/>
      </c>
      <c r="AM284" s="236" t="n"/>
    </row>
    <row r="285">
      <c r="A285" s="458" t="inlineStr">
        <is>
          <t>용호동</t>
        </is>
      </c>
      <c r="B285" s="159" t="n"/>
      <c r="C285" s="159" t="n"/>
      <c r="D285" s="458" t="n">
        <v>4607</v>
      </c>
      <c r="E285" s="113" t="inlineStr">
        <is>
          <t>경동</t>
        </is>
      </c>
      <c r="F285" s="458" t="n">
        <v>1992.12</v>
      </c>
      <c r="G285" s="458" t="n">
        <v>499</v>
      </c>
      <c r="H285" s="458">
        <f>2026-F285+1</f>
        <v/>
      </c>
      <c r="J285" s="458" t="n">
        <v>118</v>
      </c>
      <c r="K285" s="458" t="n">
        <v>99</v>
      </c>
      <c r="L285" s="458" t="n">
        <v>36</v>
      </c>
      <c r="M285" s="458" t="inlineStr">
        <is>
          <t>계단식</t>
        </is>
      </c>
      <c r="N285" s="458" t="n">
        <v>3</v>
      </c>
      <c r="O285" s="458" t="n">
        <v>2</v>
      </c>
      <c r="P285" s="458" t="n">
        <v>18</v>
      </c>
      <c r="S285" s="581">
        <f>Q285-R285</f>
        <v/>
      </c>
      <c r="T285" s="71">
        <f>R285/Q285</f>
        <v/>
      </c>
      <c r="U285" s="458" t="n">
        <v>28500</v>
      </c>
      <c r="V285" s="458" t="n">
        <v>28500</v>
      </c>
      <c r="AM285" s="236" t="n"/>
    </row>
    <row r="286">
      <c r="A286" s="458" t="inlineStr">
        <is>
          <t>용호동</t>
        </is>
      </c>
      <c r="B286" s="159" t="n"/>
      <c r="C286" s="159" t="n"/>
      <c r="D286" s="458" t="n">
        <v>4607</v>
      </c>
      <c r="E286" s="113" t="inlineStr">
        <is>
          <t>경동</t>
        </is>
      </c>
      <c r="F286" s="458" t="n">
        <v>1992.12</v>
      </c>
      <c r="G286" s="458" t="n">
        <v>499</v>
      </c>
      <c r="H286" s="458">
        <f>2026-F286+1</f>
        <v/>
      </c>
      <c r="J286" s="458" t="n">
        <v>122</v>
      </c>
      <c r="K286" s="458" t="n">
        <v>103</v>
      </c>
      <c r="L286" s="458" t="n">
        <v>37</v>
      </c>
      <c r="M286" s="458" t="inlineStr">
        <is>
          <t>계단식</t>
        </is>
      </c>
      <c r="N286" s="458" t="n">
        <v>3</v>
      </c>
      <c r="O286" s="458" t="n">
        <v>2</v>
      </c>
      <c r="P286" s="458" t="n">
        <v>13</v>
      </c>
      <c r="S286" s="581">
        <f>Q286-R286</f>
        <v/>
      </c>
      <c r="T286" s="71">
        <f>R286/Q286</f>
        <v/>
      </c>
      <c r="V286" s="458" t="n">
        <v>22000</v>
      </c>
      <c r="AM286" s="236" t="n"/>
    </row>
    <row r="287">
      <c r="A287" s="458" t="inlineStr">
        <is>
          <t>용호동</t>
        </is>
      </c>
      <c r="D287" s="458" t="n">
        <v>4607</v>
      </c>
      <c r="E287" s="113" t="inlineStr">
        <is>
          <t>경동</t>
        </is>
      </c>
      <c r="F287" s="458" t="n">
        <v>1992.12</v>
      </c>
      <c r="G287" s="458" t="n">
        <v>499</v>
      </c>
      <c r="H287" s="458">
        <f>2026-F287+1</f>
        <v/>
      </c>
      <c r="J287" s="458" t="n">
        <v>131</v>
      </c>
      <c r="K287" s="458" t="n">
        <v>112</v>
      </c>
      <c r="L287" s="458" t="n">
        <v>40</v>
      </c>
      <c r="M287" s="458" t="inlineStr">
        <is>
          <t>계단식</t>
        </is>
      </c>
      <c r="N287" s="458" t="n">
        <v>4</v>
      </c>
      <c r="O287" s="458" t="n">
        <v>2</v>
      </c>
      <c r="P287" s="458" t="n">
        <v>34</v>
      </c>
      <c r="S287" s="581">
        <f>Q287-R287</f>
        <v/>
      </c>
      <c r="T287" s="71">
        <f>R287/Q287</f>
        <v/>
      </c>
      <c r="U287" s="458" t="n">
        <v>32500</v>
      </c>
      <c r="V287" s="458" t="n">
        <v>28000</v>
      </c>
    </row>
    <row r="288">
      <c r="A288" s="458" t="inlineStr">
        <is>
          <t>용호동</t>
        </is>
      </c>
      <c r="D288" s="458" t="n">
        <v>4607</v>
      </c>
      <c r="E288" s="113" t="inlineStr">
        <is>
          <t>경동</t>
        </is>
      </c>
      <c r="F288" s="458" t="n">
        <v>1992.12</v>
      </c>
      <c r="G288" s="458" t="n">
        <v>499</v>
      </c>
      <c r="H288" s="458">
        <f>2026-F288+1</f>
        <v/>
      </c>
      <c r="K288" s="458" t="n">
        <v>114</v>
      </c>
      <c r="M288" s="458" t="inlineStr">
        <is>
          <t>계단식</t>
        </is>
      </c>
      <c r="N288" s="458" t="n">
        <v>4</v>
      </c>
      <c r="O288" s="458" t="n">
        <v>2</v>
      </c>
      <c r="P288" s="458" t="n">
        <v>49</v>
      </c>
      <c r="S288" s="581">
        <f>Q288-R288</f>
        <v/>
      </c>
      <c r="T288" s="71">
        <f>R288/Q288</f>
        <v/>
      </c>
      <c r="U288" s="458" t="n">
        <v>34750</v>
      </c>
      <c r="V288" s="458" t="n">
        <v>34750</v>
      </c>
    </row>
    <row r="289">
      <c r="A289" s="458" t="inlineStr">
        <is>
          <t>용호동</t>
        </is>
      </c>
      <c r="B289" s="159" t="n"/>
      <c r="C289" s="159" t="n"/>
      <c r="D289" s="458" t="n">
        <v>4607</v>
      </c>
      <c r="E289" s="113" t="inlineStr">
        <is>
          <t>경동</t>
        </is>
      </c>
      <c r="F289" s="458" t="n">
        <v>1992.12</v>
      </c>
      <c r="G289" s="458" t="n">
        <v>499</v>
      </c>
      <c r="H289" s="458">
        <f>2026-F289+1</f>
        <v/>
      </c>
      <c r="K289" s="458" t="n">
        <v>103</v>
      </c>
      <c r="M289" s="458" t="inlineStr">
        <is>
          <t>계단식</t>
        </is>
      </c>
      <c r="N289" s="458" t="n">
        <v>4</v>
      </c>
      <c r="O289" s="458" t="n">
        <v>2</v>
      </c>
      <c r="P289" s="458" t="n">
        <v>1</v>
      </c>
      <c r="S289" s="581">
        <f>Q289-R289</f>
        <v/>
      </c>
      <c r="T289" s="71">
        <f>R289/Q289</f>
        <v/>
      </c>
      <c r="V289" s="458" t="n">
        <v>22000</v>
      </c>
      <c r="AM289" s="236" t="n"/>
    </row>
    <row r="290">
      <c r="A290" s="494" t="inlineStr">
        <is>
          <t>용호동</t>
        </is>
      </c>
      <c r="B290" s="289" t="n"/>
      <c r="C290" s="289" t="n"/>
      <c r="D290" s="494" t="n">
        <v>4612</v>
      </c>
      <c r="E290" s="150" t="inlineStr">
        <is>
          <t>대광타워맨션</t>
        </is>
      </c>
      <c r="F290" s="494" t="n">
        <v>1995.04</v>
      </c>
      <c r="G290" s="494" t="n">
        <v>479</v>
      </c>
      <c r="H290" s="494">
        <f>2026-F290+1</f>
        <v/>
      </c>
      <c r="I290" s="289" t="n"/>
      <c r="J290" s="494" t="n">
        <v>134</v>
      </c>
      <c r="K290" s="494" t="n">
        <v>111</v>
      </c>
      <c r="L290" s="494" t="n">
        <v>41</v>
      </c>
      <c r="M290" s="494" t="inlineStr">
        <is>
          <t>계단식</t>
        </is>
      </c>
      <c r="N290" s="494" t="n">
        <v>4</v>
      </c>
      <c r="O290" s="494" t="n">
        <v>2</v>
      </c>
      <c r="P290" s="494" t="n">
        <v>50</v>
      </c>
      <c r="Q290" s="156" t="n"/>
      <c r="R290" s="156" t="n"/>
      <c r="S290" s="581">
        <f>Q290-R290</f>
        <v/>
      </c>
      <c r="T290" s="71">
        <f>R290/Q290</f>
        <v/>
      </c>
      <c r="U290" s="289" t="n">
        <v>25400</v>
      </c>
      <c r="V290" s="289" t="n"/>
      <c r="AA290" s="289" t="n"/>
      <c r="AB290" s="289" t="n"/>
      <c r="AC290" s="289" t="n"/>
      <c r="AD290" s="289" t="n"/>
      <c r="AE290" s="289" t="n"/>
      <c r="AF290" s="289" t="n"/>
      <c r="AG290" s="289" t="n"/>
      <c r="AK290" s="289" t="n"/>
      <c r="AL290" s="289" t="n"/>
      <c r="AM290" s="289" t="n"/>
      <c r="AN290" s="289" t="n"/>
      <c r="AV290" s="289" t="n"/>
    </row>
    <row r="291">
      <c r="A291" s="494" t="inlineStr">
        <is>
          <t>용호동</t>
        </is>
      </c>
      <c r="B291" s="88" t="n"/>
      <c r="C291" s="89" t="n"/>
      <c r="D291" s="494" t="n">
        <v>4612</v>
      </c>
      <c r="E291" s="150" t="inlineStr">
        <is>
          <t>대광타워맨션</t>
        </is>
      </c>
      <c r="F291" s="494" t="n">
        <v>1995.04</v>
      </c>
      <c r="G291" s="494" t="n">
        <v>479</v>
      </c>
      <c r="H291" s="494">
        <f>2026-F291+1</f>
        <v/>
      </c>
      <c r="I291" s="289" t="n"/>
      <c r="J291" s="494" t="n">
        <v>156</v>
      </c>
      <c r="K291" s="494" t="n">
        <v>130</v>
      </c>
      <c r="L291" s="494" t="n">
        <v>47</v>
      </c>
      <c r="M291" s="494" t="inlineStr">
        <is>
          <t>계단식</t>
        </is>
      </c>
      <c r="N291" s="494" t="n">
        <v>5</v>
      </c>
      <c r="O291" s="494" t="n">
        <v>2</v>
      </c>
      <c r="P291" s="494" t="n">
        <v>50</v>
      </c>
      <c r="Q291" s="156" t="n"/>
      <c r="R291" s="156" t="n"/>
      <c r="S291" s="581">
        <f>Q291-R291</f>
        <v/>
      </c>
      <c r="T291" s="71">
        <f>R291/Q291</f>
        <v/>
      </c>
      <c r="U291" s="289" t="n">
        <v>28000</v>
      </c>
      <c r="V291" s="289" t="n">
        <v>22000</v>
      </c>
      <c r="AA291" s="289" t="n"/>
      <c r="AB291" s="289" t="n"/>
      <c r="AC291" s="289" t="n"/>
      <c r="AD291" s="289" t="n"/>
      <c r="AE291" s="289" t="n"/>
      <c r="AF291" s="289" t="n"/>
      <c r="AG291" s="289" t="n"/>
      <c r="AK291" s="289" t="n"/>
      <c r="AL291" s="289" t="n"/>
      <c r="AM291" s="88" t="n"/>
      <c r="AN291" s="289" t="n"/>
      <c r="AV291" s="289" t="n"/>
    </row>
    <row r="292">
      <c r="A292" s="458" t="inlineStr">
        <is>
          <t>용호동</t>
        </is>
      </c>
      <c r="D292" s="458" t="n">
        <v>108136</v>
      </c>
      <c r="E292" s="113" t="inlineStr">
        <is>
          <t>더블유(주상복합)</t>
        </is>
      </c>
      <c r="F292" s="458" t="n">
        <v>2018.03</v>
      </c>
      <c r="G292" s="458" t="n">
        <v>1488</v>
      </c>
      <c r="H292" s="458">
        <f>2026-F292+1</f>
        <v/>
      </c>
      <c r="K292" s="458" t="n">
        <v>99</v>
      </c>
      <c r="M292" s="458" t="inlineStr">
        <is>
          <t>계단식</t>
        </is>
      </c>
      <c r="N292" s="458" t="n">
        <v>3</v>
      </c>
      <c r="O292" s="458" t="n">
        <v>2</v>
      </c>
      <c r="P292" s="458" t="n">
        <v>162</v>
      </c>
      <c r="S292" s="581">
        <f>Q292-R292</f>
        <v/>
      </c>
      <c r="T292" s="71">
        <f>R292/Q292</f>
        <v/>
      </c>
      <c r="U292" s="458" t="n">
        <v>160000</v>
      </c>
      <c r="V292" s="458" t="n">
        <v>110000</v>
      </c>
    </row>
    <row r="293">
      <c r="A293" s="458" t="inlineStr">
        <is>
          <t>용호동</t>
        </is>
      </c>
      <c r="D293" s="458" t="n">
        <v>108136</v>
      </c>
      <c r="E293" s="113" t="inlineStr">
        <is>
          <t>더블유(주상복합)</t>
        </is>
      </c>
      <c r="F293" s="458" t="n">
        <v>2018.03</v>
      </c>
      <c r="G293" s="458" t="n">
        <v>1488</v>
      </c>
      <c r="H293" s="458">
        <f>2026-F293+1</f>
        <v/>
      </c>
      <c r="K293" s="458" t="n">
        <v>98</v>
      </c>
      <c r="M293" s="458" t="inlineStr">
        <is>
          <t>계단식</t>
        </is>
      </c>
      <c r="N293" s="458" t="n">
        <v>3</v>
      </c>
      <c r="O293" s="458" t="n">
        <v>2</v>
      </c>
      <c r="P293" s="458" t="n">
        <v>26</v>
      </c>
      <c r="S293" s="581">
        <f>Q293-R293</f>
        <v/>
      </c>
      <c r="T293" s="71">
        <f>R293/Q293</f>
        <v/>
      </c>
      <c r="U293" s="458" t="n">
        <v>160000</v>
      </c>
      <c r="V293" s="458" t="n">
        <v>110000</v>
      </c>
    </row>
    <row r="294">
      <c r="A294" s="458" t="inlineStr">
        <is>
          <t>용호동</t>
        </is>
      </c>
      <c r="D294" s="458" t="n">
        <v>108136</v>
      </c>
      <c r="E294" s="113" t="inlineStr">
        <is>
          <t>더블유(주상복합)</t>
        </is>
      </c>
      <c r="F294" s="458" t="n">
        <v>2018.03</v>
      </c>
      <c r="G294" s="458" t="n">
        <v>1488</v>
      </c>
      <c r="H294" s="458">
        <f>2026-F294+1</f>
        <v/>
      </c>
      <c r="K294" s="458" t="n">
        <v>100</v>
      </c>
      <c r="M294" s="458" t="inlineStr">
        <is>
          <t>계단식</t>
        </is>
      </c>
      <c r="N294" s="458" t="n">
        <v>3</v>
      </c>
      <c r="O294" s="458" t="n">
        <v>2</v>
      </c>
      <c r="P294" s="458" t="n">
        <v>38</v>
      </c>
      <c r="S294" s="581">
        <f>Q294-R294</f>
        <v/>
      </c>
      <c r="T294" s="71">
        <f>R294/Q294</f>
        <v/>
      </c>
      <c r="U294" s="458" t="n">
        <v>160000</v>
      </c>
      <c r="V294" s="458" t="n">
        <v>110000</v>
      </c>
    </row>
    <row r="295">
      <c r="A295" s="458" t="inlineStr">
        <is>
          <t>용호동</t>
        </is>
      </c>
      <c r="B295" s="159" t="n"/>
      <c r="C295" s="159" t="n"/>
      <c r="D295" s="458" t="n">
        <v>108136</v>
      </c>
      <c r="E295" s="113" t="inlineStr">
        <is>
          <t>더블유(주상복합)</t>
        </is>
      </c>
      <c r="F295" s="458" t="n">
        <v>2018.03</v>
      </c>
      <c r="G295" s="458" t="n">
        <v>1488</v>
      </c>
      <c r="H295" s="458">
        <f>2026-F295+1</f>
        <v/>
      </c>
      <c r="K295" s="458" t="n">
        <v>104</v>
      </c>
      <c r="M295" s="458" t="inlineStr">
        <is>
          <t>계단식</t>
        </is>
      </c>
      <c r="N295" s="458" t="n">
        <v>3</v>
      </c>
      <c r="O295" s="458" t="n">
        <v>2</v>
      </c>
      <c r="P295" s="458" t="n">
        <v>52</v>
      </c>
      <c r="S295" s="581">
        <f>Q295-R295</f>
        <v/>
      </c>
      <c r="T295" s="71">
        <f>R295/Q295</f>
        <v/>
      </c>
      <c r="V295" s="458" t="n">
        <v>134000</v>
      </c>
      <c r="AM295" s="236" t="n"/>
    </row>
    <row r="296">
      <c r="A296" s="458" t="inlineStr">
        <is>
          <t>용호동</t>
        </is>
      </c>
      <c r="B296" s="159" t="n"/>
      <c r="C296" s="159" t="n"/>
      <c r="D296" s="458" t="n">
        <v>108136</v>
      </c>
      <c r="E296" s="113" t="inlineStr">
        <is>
          <t>더블유(주상복합)</t>
        </is>
      </c>
      <c r="F296" s="458" t="n">
        <v>2018.03</v>
      </c>
      <c r="G296" s="458" t="n">
        <v>1488</v>
      </c>
      <c r="H296" s="458">
        <f>2026-F296+1</f>
        <v/>
      </c>
      <c r="K296" s="458" t="n">
        <v>106</v>
      </c>
      <c r="M296" s="458" t="inlineStr">
        <is>
          <t>계단식</t>
        </is>
      </c>
      <c r="N296" s="458" t="n">
        <v>3</v>
      </c>
      <c r="O296" s="458" t="n">
        <v>2</v>
      </c>
      <c r="P296" s="458" t="n">
        <v>2</v>
      </c>
      <c r="S296" s="581">
        <f>Q296-R296</f>
        <v/>
      </c>
      <c r="T296" s="71">
        <f>R296/Q296</f>
        <v/>
      </c>
      <c r="AM296" s="236" t="n"/>
    </row>
    <row r="297">
      <c r="A297" s="458" t="inlineStr">
        <is>
          <t>용호동</t>
        </is>
      </c>
      <c r="B297" s="159" t="n"/>
      <c r="C297" s="159" t="n"/>
      <c r="D297" s="458" t="n">
        <v>108136</v>
      </c>
      <c r="E297" s="113" t="inlineStr">
        <is>
          <t>더블유(주상복합)</t>
        </is>
      </c>
      <c r="F297" s="458" t="n">
        <v>2018.03</v>
      </c>
      <c r="G297" s="458" t="n">
        <v>1488</v>
      </c>
      <c r="H297" s="458">
        <f>2026-F297+1</f>
        <v/>
      </c>
      <c r="K297" s="458" t="n">
        <v>108</v>
      </c>
      <c r="M297" s="458" t="inlineStr">
        <is>
          <t>계단식</t>
        </is>
      </c>
      <c r="N297" s="458" t="n">
        <v>3</v>
      </c>
      <c r="O297" s="458" t="n">
        <v>2</v>
      </c>
      <c r="P297" s="458" t="n">
        <v>8</v>
      </c>
      <c r="S297" s="581">
        <f>Q297-R297</f>
        <v/>
      </c>
      <c r="T297" s="71">
        <f>R297/Q297</f>
        <v/>
      </c>
      <c r="AM297" s="236" t="n"/>
    </row>
    <row r="298">
      <c r="A298" s="458" t="inlineStr">
        <is>
          <t>용호동</t>
        </is>
      </c>
      <c r="B298" s="159" t="n"/>
      <c r="C298" s="159" t="n"/>
      <c r="D298" s="458" t="n">
        <v>108136</v>
      </c>
      <c r="E298" s="113" t="inlineStr">
        <is>
          <t>더블유(주상복합)</t>
        </is>
      </c>
      <c r="F298" s="458" t="n">
        <v>2018.03</v>
      </c>
      <c r="G298" s="458" t="n">
        <v>1488</v>
      </c>
      <c r="H298" s="458">
        <f>2026-F298+1</f>
        <v/>
      </c>
      <c r="K298" s="458" t="n">
        <v>107</v>
      </c>
      <c r="M298" s="458" t="inlineStr">
        <is>
          <t>계단식</t>
        </is>
      </c>
      <c r="N298" s="458" t="n">
        <v>3</v>
      </c>
      <c r="O298" s="458" t="n">
        <v>2</v>
      </c>
      <c r="P298" s="458" t="n">
        <v>4</v>
      </c>
      <c r="S298" s="581">
        <f>Q298-R298</f>
        <v/>
      </c>
      <c r="T298" s="71">
        <f>R298/Q298</f>
        <v/>
      </c>
      <c r="AM298" s="236" t="n"/>
    </row>
    <row r="299">
      <c r="A299" s="458" t="inlineStr">
        <is>
          <t>용호동</t>
        </is>
      </c>
      <c r="B299" s="159" t="n"/>
      <c r="C299" s="159" t="n"/>
      <c r="D299" s="458" t="n">
        <v>108136</v>
      </c>
      <c r="E299" s="113" t="inlineStr">
        <is>
          <t>더블유(주상복합)</t>
        </is>
      </c>
      <c r="F299" s="458" t="n">
        <v>2018.03</v>
      </c>
      <c r="G299" s="458" t="n">
        <v>1488</v>
      </c>
      <c r="H299" s="458">
        <f>2026-F299+1</f>
        <v/>
      </c>
      <c r="K299" s="458" t="n">
        <v>110</v>
      </c>
      <c r="M299" s="458" t="inlineStr">
        <is>
          <t>계단식</t>
        </is>
      </c>
      <c r="N299" s="458" t="n">
        <v>3</v>
      </c>
      <c r="O299" s="458" t="n">
        <v>2</v>
      </c>
      <c r="P299" s="458" t="n">
        <v>50</v>
      </c>
      <c r="S299" s="581">
        <f>Q299-R299</f>
        <v/>
      </c>
      <c r="T299" s="71">
        <f>R299/Q299</f>
        <v/>
      </c>
      <c r="U299" s="458" t="n">
        <v>198000</v>
      </c>
      <c r="V299" s="458" t="n">
        <v>189000</v>
      </c>
      <c r="AM299" s="236" t="n"/>
    </row>
    <row r="300">
      <c r="A300" s="458" t="inlineStr">
        <is>
          <t>용호동</t>
        </is>
      </c>
      <c r="B300" s="159" t="n"/>
      <c r="C300" s="159" t="n"/>
      <c r="D300" s="458" t="n">
        <v>108136</v>
      </c>
      <c r="E300" s="113" t="inlineStr">
        <is>
          <t>더블유(주상복합)</t>
        </is>
      </c>
      <c r="F300" s="458" t="n">
        <v>2018.03</v>
      </c>
      <c r="G300" s="458" t="n">
        <v>1488</v>
      </c>
      <c r="H300" s="458">
        <f>2026-F300+1</f>
        <v/>
      </c>
      <c r="K300" s="458" t="n">
        <v>111</v>
      </c>
      <c r="M300" s="458" t="inlineStr">
        <is>
          <t>계단식</t>
        </is>
      </c>
      <c r="N300" s="458" t="n">
        <v>3</v>
      </c>
      <c r="O300" s="458" t="n">
        <v>2</v>
      </c>
      <c r="P300" s="458" t="n">
        <v>58</v>
      </c>
      <c r="S300" s="581">
        <f>Q300-R300</f>
        <v/>
      </c>
      <c r="T300" s="71">
        <f>R300/Q300</f>
        <v/>
      </c>
      <c r="U300" s="458" t="n">
        <v>198000</v>
      </c>
      <c r="V300" s="458" t="n">
        <v>160000</v>
      </c>
      <c r="AM300" s="236" t="n"/>
    </row>
    <row r="301">
      <c r="A301" s="458" t="inlineStr">
        <is>
          <t>용호동</t>
        </is>
      </c>
      <c r="B301" s="159" t="n"/>
      <c r="C301" s="159" t="n"/>
      <c r="D301" s="458" t="n">
        <v>108136</v>
      </c>
      <c r="E301" s="113" t="inlineStr">
        <is>
          <t>더블유(주상복합)</t>
        </is>
      </c>
      <c r="F301" s="458" t="n">
        <v>2018.03</v>
      </c>
      <c r="G301" s="458" t="n">
        <v>1488</v>
      </c>
      <c r="H301" s="458">
        <f>2026-F301+1</f>
        <v/>
      </c>
      <c r="K301" s="458" t="n">
        <v>112</v>
      </c>
      <c r="M301" s="458" t="inlineStr">
        <is>
          <t>계단식</t>
        </is>
      </c>
      <c r="N301" s="458" t="n">
        <v>3</v>
      </c>
      <c r="O301" s="458" t="n">
        <v>2</v>
      </c>
      <c r="P301" s="458" t="n">
        <v>2</v>
      </c>
      <c r="S301" s="581">
        <f>Q301-R301</f>
        <v/>
      </c>
      <c r="T301" s="71">
        <f>R301/Q301</f>
        <v/>
      </c>
      <c r="V301" s="458" t="n">
        <v>160000</v>
      </c>
      <c r="AM301" s="236" t="n"/>
    </row>
    <row r="302">
      <c r="A302" s="458" t="inlineStr">
        <is>
          <t>용호동</t>
        </is>
      </c>
      <c r="B302" s="159" t="n"/>
      <c r="C302" s="159" t="n"/>
      <c r="D302" s="458" t="n">
        <v>108136</v>
      </c>
      <c r="E302" s="113" t="inlineStr">
        <is>
          <t>더블유(주상복합)</t>
        </is>
      </c>
      <c r="F302" s="458" t="n">
        <v>2018.03</v>
      </c>
      <c r="G302" s="458" t="n">
        <v>1488</v>
      </c>
      <c r="H302" s="458">
        <f>2026-F302+1</f>
        <v/>
      </c>
      <c r="K302" s="458" t="n">
        <v>117</v>
      </c>
      <c r="M302" s="458" t="inlineStr">
        <is>
          <t>계단식</t>
        </is>
      </c>
      <c r="N302" s="458" t="n">
        <v>3</v>
      </c>
      <c r="O302" s="458" t="n">
        <v>2</v>
      </c>
      <c r="P302" s="458" t="n">
        <v>62</v>
      </c>
      <c r="S302" s="581">
        <f>Q302-R302</f>
        <v/>
      </c>
      <c r="T302" s="71">
        <f>R302/Q302</f>
        <v/>
      </c>
      <c r="V302" s="458" t="n">
        <v>178000</v>
      </c>
      <c r="AM302" s="236" t="n"/>
    </row>
    <row r="303">
      <c r="A303" s="458" t="inlineStr">
        <is>
          <t>용호동</t>
        </is>
      </c>
      <c r="B303" s="159" t="n"/>
      <c r="C303" s="159" t="n"/>
      <c r="D303" s="458" t="n">
        <v>108136</v>
      </c>
      <c r="E303" s="113" t="inlineStr">
        <is>
          <t>더블유(주상복합)</t>
        </is>
      </c>
      <c r="F303" s="458" t="n">
        <v>2018.03</v>
      </c>
      <c r="G303" s="458" t="n">
        <v>1488</v>
      </c>
      <c r="H303" s="458">
        <f>2026-F303+1</f>
        <v/>
      </c>
      <c r="K303" s="458" t="n">
        <v>118</v>
      </c>
      <c r="M303" s="458" t="inlineStr">
        <is>
          <t>계단식</t>
        </is>
      </c>
      <c r="N303" s="458" t="n">
        <v>3</v>
      </c>
      <c r="O303" s="458" t="n">
        <v>2</v>
      </c>
      <c r="P303" s="458" t="n">
        <v>12</v>
      </c>
      <c r="S303" s="581">
        <f>Q303-R303</f>
        <v/>
      </c>
      <c r="T303" s="71">
        <f>R303/Q303</f>
        <v/>
      </c>
      <c r="V303" s="458" t="n">
        <v>178000</v>
      </c>
      <c r="AM303" s="236" t="n"/>
    </row>
    <row r="304">
      <c r="A304" s="458" t="inlineStr">
        <is>
          <t>용호동</t>
        </is>
      </c>
      <c r="B304" s="159" t="n"/>
      <c r="C304" s="159" t="n"/>
      <c r="D304" s="458" t="n">
        <v>108136</v>
      </c>
      <c r="E304" s="113" t="inlineStr">
        <is>
          <t>더블유(주상복합)</t>
        </is>
      </c>
      <c r="F304" s="458" t="n">
        <v>2018.03</v>
      </c>
      <c r="G304" s="458" t="n">
        <v>1488</v>
      </c>
      <c r="H304" s="458">
        <f>2026-F304+1</f>
        <v/>
      </c>
      <c r="K304" s="458" t="n">
        <v>121</v>
      </c>
      <c r="M304" s="458" t="inlineStr">
        <is>
          <t>계단식</t>
        </is>
      </c>
      <c r="N304" s="458" t="n">
        <v>3</v>
      </c>
      <c r="O304" s="458" t="n">
        <v>2</v>
      </c>
      <c r="P304" s="458" t="n">
        <v>104</v>
      </c>
      <c r="S304" s="581">
        <f>Q304-R304</f>
        <v/>
      </c>
      <c r="T304" s="71">
        <f>R304/Q304</f>
        <v/>
      </c>
      <c r="U304" s="458" t="n">
        <v>188000</v>
      </c>
      <c r="V304" s="458" t="n">
        <v>155000</v>
      </c>
      <c r="AM304" s="236" t="n"/>
    </row>
    <row r="305">
      <c r="A305" s="458" t="inlineStr">
        <is>
          <t>용호동</t>
        </is>
      </c>
      <c r="B305" s="159" t="n"/>
      <c r="C305" s="159" t="n"/>
      <c r="D305" s="458" t="n">
        <v>108136</v>
      </c>
      <c r="E305" s="113" t="inlineStr">
        <is>
          <t>더블유(주상복합)</t>
        </is>
      </c>
      <c r="F305" s="458" t="n">
        <v>2018.03</v>
      </c>
      <c r="G305" s="458" t="n">
        <v>1488</v>
      </c>
      <c r="H305" s="458">
        <f>2026-F305+1</f>
        <v/>
      </c>
      <c r="K305" s="458" t="n">
        <v>123</v>
      </c>
      <c r="M305" s="458" t="inlineStr">
        <is>
          <t>계단식</t>
        </is>
      </c>
      <c r="N305" s="458" t="n">
        <v>3</v>
      </c>
      <c r="O305" s="458" t="n">
        <v>2</v>
      </c>
      <c r="P305" s="458" t="n">
        <v>104</v>
      </c>
      <c r="S305" s="581">
        <f>Q305-R305</f>
        <v/>
      </c>
      <c r="T305" s="71">
        <f>R305/Q305</f>
        <v/>
      </c>
      <c r="U305" s="458" t="n">
        <v>211000</v>
      </c>
      <c r="V305" s="458" t="n">
        <v>155000</v>
      </c>
      <c r="AM305" s="236" t="n"/>
    </row>
    <row r="306">
      <c r="A306" s="458" t="inlineStr">
        <is>
          <t>용호동</t>
        </is>
      </c>
      <c r="B306" s="159" t="n"/>
      <c r="C306" s="159" t="n"/>
      <c r="D306" s="458" t="n">
        <v>108136</v>
      </c>
      <c r="E306" s="113" t="inlineStr">
        <is>
          <t>더블유(주상복합)</t>
        </is>
      </c>
      <c r="F306" s="458" t="n">
        <v>2018.03</v>
      </c>
      <c r="G306" s="458" t="n">
        <v>1488</v>
      </c>
      <c r="H306" s="458">
        <f>2026-F306+1</f>
        <v/>
      </c>
      <c r="K306" s="458" t="n">
        <v>124</v>
      </c>
      <c r="M306" s="458" t="inlineStr">
        <is>
          <t>계단식</t>
        </is>
      </c>
      <c r="N306" s="458" t="n">
        <v>3</v>
      </c>
      <c r="O306" s="458" t="n">
        <v>2</v>
      </c>
      <c r="P306" s="458" t="n">
        <v>58</v>
      </c>
      <c r="S306" s="581">
        <f>Q306-R306</f>
        <v/>
      </c>
      <c r="T306" s="71">
        <f>R306/Q306</f>
        <v/>
      </c>
      <c r="U306" s="458" t="n">
        <v>211000</v>
      </c>
      <c r="V306" s="458" t="n">
        <v>167750</v>
      </c>
      <c r="AM306" s="236" t="n"/>
    </row>
    <row r="307">
      <c r="A307" s="458" t="inlineStr">
        <is>
          <t>용호동</t>
        </is>
      </c>
      <c r="D307" s="458" t="n">
        <v>108136</v>
      </c>
      <c r="E307" s="113" t="inlineStr">
        <is>
          <t>더블유(주상복합)</t>
        </is>
      </c>
      <c r="F307" s="458" t="n">
        <v>2018.03</v>
      </c>
      <c r="G307" s="458" t="n">
        <v>1488</v>
      </c>
      <c r="H307" s="458">
        <f>2026-F307+1</f>
        <v/>
      </c>
      <c r="K307" s="458" t="n">
        <v>126</v>
      </c>
      <c r="M307" s="458" t="inlineStr">
        <is>
          <t>계단식</t>
        </is>
      </c>
      <c r="N307" s="458" t="n">
        <v>3</v>
      </c>
      <c r="O307" s="458" t="n">
        <v>2</v>
      </c>
      <c r="P307" s="458" t="n">
        <v>3</v>
      </c>
      <c r="S307" s="581">
        <f>Q307-R307</f>
        <v/>
      </c>
      <c r="T307" s="71">
        <f>R307/Q307</f>
        <v/>
      </c>
    </row>
    <row r="308">
      <c r="A308" s="458" t="inlineStr">
        <is>
          <t>용호동</t>
        </is>
      </c>
      <c r="D308" s="458" t="n">
        <v>108136</v>
      </c>
      <c r="E308" s="113" t="inlineStr">
        <is>
          <t>더블유(주상복합)</t>
        </is>
      </c>
      <c r="F308" s="458" t="n">
        <v>2018.03</v>
      </c>
      <c r="G308" s="458" t="n">
        <v>1488</v>
      </c>
      <c r="H308" s="458">
        <f>2026-F308+1</f>
        <v/>
      </c>
      <c r="K308" s="458" t="n">
        <v>133</v>
      </c>
      <c r="M308" s="458" t="inlineStr">
        <is>
          <t>계단식</t>
        </is>
      </c>
      <c r="N308" s="458" t="n">
        <v>3</v>
      </c>
      <c r="O308" s="458" t="n">
        <v>2</v>
      </c>
      <c r="P308" s="458" t="n">
        <v>26</v>
      </c>
      <c r="S308" s="581">
        <f>Q308-R308</f>
        <v/>
      </c>
      <c r="T308" s="71">
        <f>R308/Q308</f>
        <v/>
      </c>
      <c r="U308" s="458" t="n">
        <v>260000</v>
      </c>
      <c r="V308" s="458" t="n">
        <v>254000</v>
      </c>
    </row>
    <row r="309">
      <c r="A309" s="458" t="inlineStr">
        <is>
          <t>용호동</t>
        </is>
      </c>
      <c r="D309" s="458" t="n">
        <v>108136</v>
      </c>
      <c r="E309" s="113" t="inlineStr">
        <is>
          <t>더블유(주상복합)</t>
        </is>
      </c>
      <c r="F309" s="458" t="n">
        <v>2018.03</v>
      </c>
      <c r="G309" s="458" t="n">
        <v>1488</v>
      </c>
      <c r="H309" s="458">
        <f>2026-F309+1</f>
        <v/>
      </c>
      <c r="K309" s="458" t="n">
        <v>134</v>
      </c>
      <c r="M309" s="458" t="inlineStr">
        <is>
          <t>계단식</t>
        </is>
      </c>
      <c r="N309" s="458" t="n">
        <v>3</v>
      </c>
      <c r="O309" s="458" t="n">
        <v>2</v>
      </c>
      <c r="P309" s="458" t="n">
        <v>93</v>
      </c>
      <c r="S309" s="581">
        <f>Q309-R309</f>
        <v/>
      </c>
      <c r="T309" s="71">
        <f>R309/Q309</f>
        <v/>
      </c>
      <c r="U309" s="458" t="n">
        <v>267000</v>
      </c>
      <c r="V309" s="458" t="n">
        <v>254000</v>
      </c>
    </row>
    <row r="310">
      <c r="A310" s="458" t="inlineStr">
        <is>
          <t>용호동</t>
        </is>
      </c>
      <c r="D310" s="458" t="n">
        <v>108136</v>
      </c>
      <c r="E310" s="113" t="inlineStr">
        <is>
          <t>더블유(주상복합)</t>
        </is>
      </c>
      <c r="F310" s="458" t="n">
        <v>2018.03</v>
      </c>
      <c r="G310" s="458" t="n">
        <v>1488</v>
      </c>
      <c r="H310" s="458">
        <f>2026-F310+1</f>
        <v/>
      </c>
      <c r="K310" s="458" t="n">
        <v>133</v>
      </c>
      <c r="M310" s="458" t="inlineStr">
        <is>
          <t>계단식</t>
        </is>
      </c>
      <c r="N310" s="458" t="n">
        <v>3</v>
      </c>
      <c r="O310" s="458" t="n">
        <v>3</v>
      </c>
      <c r="P310" s="458" t="n">
        <v>3</v>
      </c>
      <c r="S310" s="581">
        <f>Q310-R310</f>
        <v/>
      </c>
      <c r="T310" s="71">
        <f>R310/Q310</f>
        <v/>
      </c>
      <c r="U310" s="458" t="n">
        <v>260000</v>
      </c>
      <c r="V310" s="458" t="n">
        <v>254000</v>
      </c>
    </row>
    <row r="311">
      <c r="A311" s="458" t="inlineStr">
        <is>
          <t>용호동</t>
        </is>
      </c>
      <c r="B311" s="159" t="n"/>
      <c r="C311" s="159" t="n"/>
      <c r="D311" s="458" t="n">
        <v>108136</v>
      </c>
      <c r="E311" s="113" t="inlineStr">
        <is>
          <t>더블유(주상복합)</t>
        </is>
      </c>
      <c r="F311" s="458" t="n">
        <v>2018.03</v>
      </c>
      <c r="G311" s="458" t="n">
        <v>1488</v>
      </c>
      <c r="H311" s="458">
        <f>2026-F311+1</f>
        <v/>
      </c>
      <c r="K311" s="458" t="n">
        <v>141</v>
      </c>
      <c r="M311" s="458" t="inlineStr">
        <is>
          <t>계단식</t>
        </is>
      </c>
      <c r="N311" s="458" t="n">
        <v>3</v>
      </c>
      <c r="O311" s="458" t="n">
        <v>2</v>
      </c>
      <c r="P311" s="458" t="n">
        <v>78</v>
      </c>
      <c r="S311" s="581">
        <f>Q311-R311</f>
        <v/>
      </c>
      <c r="T311" s="71">
        <f>R311/Q311</f>
        <v/>
      </c>
      <c r="V311" s="458" t="n">
        <v>250000</v>
      </c>
      <c r="AM311" s="236" t="n"/>
    </row>
    <row r="312">
      <c r="A312" s="458" t="inlineStr">
        <is>
          <t>용호동</t>
        </is>
      </c>
      <c r="B312" s="159" t="n"/>
      <c r="C312" s="159" t="n"/>
      <c r="D312" s="458" t="n">
        <v>108136</v>
      </c>
      <c r="E312" s="113" t="inlineStr">
        <is>
          <t>더블유(주상복합)</t>
        </is>
      </c>
      <c r="F312" s="458" t="n">
        <v>2018.03</v>
      </c>
      <c r="G312" s="458" t="n">
        <v>1488</v>
      </c>
      <c r="H312" s="458">
        <f>2026-F312+1</f>
        <v/>
      </c>
      <c r="K312" s="458" t="n">
        <v>142</v>
      </c>
      <c r="M312" s="458" t="inlineStr">
        <is>
          <t>계단식</t>
        </is>
      </c>
      <c r="N312" s="458" t="n">
        <v>3</v>
      </c>
      <c r="O312" s="458" t="n">
        <v>2</v>
      </c>
      <c r="P312" s="458" t="n">
        <v>62</v>
      </c>
      <c r="S312" s="581">
        <f>Q312-R312</f>
        <v/>
      </c>
      <c r="T312" s="71">
        <f>R312/Q312</f>
        <v/>
      </c>
      <c r="V312" s="458" t="n">
        <v>239000</v>
      </c>
      <c r="AM312" s="236" t="n"/>
    </row>
    <row r="313">
      <c r="A313" s="458" t="inlineStr">
        <is>
          <t>용호동</t>
        </is>
      </c>
      <c r="B313" s="159" t="n"/>
      <c r="C313" s="159" t="n"/>
      <c r="D313" s="458" t="n">
        <v>108136</v>
      </c>
      <c r="E313" s="113" t="inlineStr">
        <is>
          <t>더블유(주상복합)</t>
        </is>
      </c>
      <c r="F313" s="458" t="n">
        <v>2018.03</v>
      </c>
      <c r="G313" s="458" t="n">
        <v>1488</v>
      </c>
      <c r="H313" s="458">
        <f>2026-F313+1</f>
        <v/>
      </c>
      <c r="K313" s="458" t="n">
        <v>143</v>
      </c>
      <c r="M313" s="458" t="inlineStr">
        <is>
          <t>계단식</t>
        </is>
      </c>
      <c r="N313" s="458" t="n">
        <v>3</v>
      </c>
      <c r="O313" s="458" t="n">
        <v>2</v>
      </c>
      <c r="P313" s="458" t="n">
        <v>104</v>
      </c>
      <c r="S313" s="581">
        <f>Q313-R313</f>
        <v/>
      </c>
      <c r="T313" s="71">
        <f>R313/Q313</f>
        <v/>
      </c>
      <c r="U313" s="458" t="n">
        <v>282000</v>
      </c>
      <c r="V313" s="458" t="n">
        <v>220000</v>
      </c>
      <c r="AM313" s="236" t="n"/>
    </row>
    <row r="314">
      <c r="A314" s="458" t="inlineStr">
        <is>
          <t>용호동</t>
        </is>
      </c>
      <c r="B314" s="159" t="n"/>
      <c r="C314" s="159" t="n"/>
      <c r="D314" s="458" t="n">
        <v>108136</v>
      </c>
      <c r="E314" s="113" t="inlineStr">
        <is>
          <t>더블유(주상복합)</t>
        </is>
      </c>
      <c r="F314" s="458" t="n">
        <v>2018.03</v>
      </c>
      <c r="G314" s="458" t="n">
        <v>1488</v>
      </c>
      <c r="H314" s="458">
        <f>2026-F314+1</f>
        <v/>
      </c>
      <c r="K314" s="458" t="n">
        <v>144</v>
      </c>
      <c r="M314" s="458" t="inlineStr">
        <is>
          <t>계단식</t>
        </is>
      </c>
      <c r="N314" s="458" t="n">
        <v>3</v>
      </c>
      <c r="O314" s="458" t="n">
        <v>2</v>
      </c>
      <c r="P314" s="458" t="n">
        <v>89</v>
      </c>
      <c r="S314" s="581">
        <f>Q314-R314</f>
        <v/>
      </c>
      <c r="T314" s="71">
        <f>R314/Q314</f>
        <v/>
      </c>
      <c r="U314" s="458" t="n">
        <v>282000</v>
      </c>
      <c r="V314" s="458" t="n">
        <v>220000</v>
      </c>
      <c r="AM314" s="236" t="n"/>
    </row>
    <row r="315">
      <c r="A315" s="458" t="inlineStr">
        <is>
          <t>용호동</t>
        </is>
      </c>
      <c r="B315" s="159" t="n"/>
      <c r="C315" s="159" t="n"/>
      <c r="D315" s="458" t="n">
        <v>108136</v>
      </c>
      <c r="E315" s="113" t="inlineStr">
        <is>
          <t>더블유(주상복합)</t>
        </is>
      </c>
      <c r="F315" s="458" t="n">
        <v>2018.03</v>
      </c>
      <c r="G315" s="458" t="n">
        <v>1488</v>
      </c>
      <c r="H315" s="458">
        <f>2026-F315+1</f>
        <v/>
      </c>
      <c r="K315" s="458" t="n">
        <v>145</v>
      </c>
      <c r="M315" s="458" t="inlineStr">
        <is>
          <t>계단식</t>
        </is>
      </c>
      <c r="N315" s="458" t="n">
        <v>3</v>
      </c>
      <c r="O315" s="458" t="n">
        <v>2</v>
      </c>
      <c r="P315" s="458" t="n">
        <v>24</v>
      </c>
      <c r="S315" s="581">
        <f>Q315-R315</f>
        <v/>
      </c>
      <c r="T315" s="71">
        <f>R315/Q315</f>
        <v/>
      </c>
      <c r="U315" s="458" t="n">
        <v>282000</v>
      </c>
      <c r="V315" s="458" t="n">
        <v>220000</v>
      </c>
      <c r="AM315" s="236" t="n"/>
    </row>
    <row r="316">
      <c r="A316" s="458" t="inlineStr">
        <is>
          <t>용호동</t>
        </is>
      </c>
      <c r="B316" s="159" t="n"/>
      <c r="C316" s="159" t="n"/>
      <c r="D316" s="458" t="n">
        <v>108136</v>
      </c>
      <c r="E316" s="113" t="inlineStr">
        <is>
          <t>더블유(주상복합)</t>
        </is>
      </c>
      <c r="F316" s="458" t="n">
        <v>2018.03</v>
      </c>
      <c r="G316" s="458" t="n">
        <v>1488</v>
      </c>
      <c r="H316" s="458">
        <f>2026-F316+1</f>
        <v/>
      </c>
      <c r="K316" s="458" t="n">
        <v>143</v>
      </c>
      <c r="M316" s="458" t="inlineStr">
        <is>
          <t>계단식</t>
        </is>
      </c>
      <c r="N316" s="458" t="n">
        <v>3</v>
      </c>
      <c r="O316" s="458" t="n">
        <v>3</v>
      </c>
      <c r="P316" s="458" t="n">
        <v>3</v>
      </c>
      <c r="S316" s="581">
        <f>Q316-R316</f>
        <v/>
      </c>
      <c r="T316" s="71">
        <f>R316/Q316</f>
        <v/>
      </c>
      <c r="U316" s="458" t="n">
        <v>282000</v>
      </c>
      <c r="V316" s="458" t="n">
        <v>220000</v>
      </c>
      <c r="AM316" s="236" t="n"/>
    </row>
    <row r="317">
      <c r="A317" s="458" t="inlineStr">
        <is>
          <t>용호동</t>
        </is>
      </c>
      <c r="B317" s="159" t="n"/>
      <c r="C317" s="159" t="n"/>
      <c r="D317" s="458" t="n">
        <v>108136</v>
      </c>
      <c r="E317" s="113" t="inlineStr">
        <is>
          <t>더블유(주상복합)</t>
        </is>
      </c>
      <c r="F317" s="458" t="n">
        <v>2018.03</v>
      </c>
      <c r="G317" s="458" t="n">
        <v>1488</v>
      </c>
      <c r="H317" s="458">
        <f>2026-F317+1</f>
        <v/>
      </c>
      <c r="K317" s="458" t="n">
        <v>148</v>
      </c>
      <c r="M317" s="458" t="inlineStr">
        <is>
          <t>계단식</t>
        </is>
      </c>
      <c r="N317" s="458" t="n">
        <v>4</v>
      </c>
      <c r="O317" s="458" t="n">
        <v>2</v>
      </c>
      <c r="P317" s="458" t="n">
        <v>4</v>
      </c>
      <c r="S317" s="581">
        <f>Q317-R317</f>
        <v/>
      </c>
      <c r="T317" s="71">
        <f>R317/Q317</f>
        <v/>
      </c>
      <c r="AM317" s="236" t="n"/>
    </row>
    <row r="318">
      <c r="A318" s="458" t="inlineStr">
        <is>
          <t>용호동</t>
        </is>
      </c>
      <c r="D318" s="458" t="n">
        <v>108136</v>
      </c>
      <c r="E318" s="113" t="inlineStr">
        <is>
          <t>더블유(주상복합)</t>
        </is>
      </c>
      <c r="F318" s="458" t="n">
        <v>2018.03</v>
      </c>
      <c r="G318" s="458" t="n">
        <v>1488</v>
      </c>
      <c r="H318" s="458">
        <f>2026-F318+1</f>
        <v/>
      </c>
      <c r="K318" s="458" t="n">
        <v>148</v>
      </c>
      <c r="M318" s="458" t="inlineStr">
        <is>
          <t>계단식</t>
        </is>
      </c>
      <c r="N318" s="458" t="n">
        <v>3</v>
      </c>
      <c r="O318" s="458" t="n">
        <v>3</v>
      </c>
      <c r="P318" s="458" t="n">
        <v>3</v>
      </c>
      <c r="S318" s="581">
        <f>Q318-R318</f>
        <v/>
      </c>
      <c r="T318" s="71">
        <f>R318/Q318</f>
        <v/>
      </c>
    </row>
    <row r="319">
      <c r="A319" s="458" t="inlineStr">
        <is>
          <t>용호동</t>
        </is>
      </c>
      <c r="D319" s="458" t="n">
        <v>108136</v>
      </c>
      <c r="E319" s="113" t="inlineStr">
        <is>
          <t>더블유(주상복합)</t>
        </is>
      </c>
      <c r="F319" s="458" t="n">
        <v>2018.03</v>
      </c>
      <c r="G319" s="458" t="n">
        <v>1488</v>
      </c>
      <c r="H319" s="458">
        <f>2026-F319+1</f>
        <v/>
      </c>
      <c r="K319" s="458" t="n">
        <v>165</v>
      </c>
      <c r="M319" s="458" t="inlineStr">
        <is>
          <t>계단식</t>
        </is>
      </c>
      <c r="N319" s="458" t="n">
        <v>3</v>
      </c>
      <c r="O319" s="458" t="n">
        <v>2</v>
      </c>
      <c r="P319" s="458" t="n">
        <v>104</v>
      </c>
      <c r="S319" s="581">
        <f>Q319-R319</f>
        <v/>
      </c>
      <c r="T319" s="71">
        <f>R319/Q319</f>
        <v/>
      </c>
      <c r="U319" s="458" t="n">
        <v>319000</v>
      </c>
      <c r="V319" s="458" t="n">
        <v>305000</v>
      </c>
    </row>
    <row r="320">
      <c r="A320" s="458" t="inlineStr">
        <is>
          <t>용호동</t>
        </is>
      </c>
      <c r="D320" s="458" t="n">
        <v>108136</v>
      </c>
      <c r="E320" s="113" t="inlineStr">
        <is>
          <t>더블유(주상복합)</t>
        </is>
      </c>
      <c r="F320" s="458" t="n">
        <v>2018.03</v>
      </c>
      <c r="G320" s="458" t="n">
        <v>1488</v>
      </c>
      <c r="H320" s="458">
        <f>2026-F320+1</f>
        <v/>
      </c>
      <c r="K320" s="458" t="n">
        <v>169</v>
      </c>
      <c r="M320" s="458" t="inlineStr">
        <is>
          <t>계단식</t>
        </is>
      </c>
      <c r="N320" s="458" t="n">
        <v>3</v>
      </c>
      <c r="O320" s="458" t="n">
        <v>2</v>
      </c>
      <c r="P320" s="458" t="n">
        <v>28</v>
      </c>
      <c r="S320" s="581">
        <f>Q320-R320</f>
        <v/>
      </c>
      <c r="T320" s="71">
        <f>R320/Q320</f>
        <v/>
      </c>
    </row>
    <row r="321">
      <c r="A321" s="458" t="inlineStr">
        <is>
          <t>용호동</t>
        </is>
      </c>
      <c r="B321" s="159" t="n"/>
      <c r="C321" s="159" t="n"/>
      <c r="D321" s="458" t="n">
        <v>108136</v>
      </c>
      <c r="E321" s="113" t="inlineStr">
        <is>
          <t>더블유(주상복합)</t>
        </is>
      </c>
      <c r="F321" s="458" t="n">
        <v>2018.03</v>
      </c>
      <c r="G321" s="458" t="n">
        <v>1488</v>
      </c>
      <c r="H321" s="458">
        <f>2026-F321+1</f>
        <v/>
      </c>
      <c r="K321" s="458" t="n">
        <v>180</v>
      </c>
      <c r="M321" s="458" t="inlineStr">
        <is>
          <t>계단식</t>
        </is>
      </c>
      <c r="N321" s="458" t="n">
        <v>3</v>
      </c>
      <c r="O321" s="458" t="n">
        <v>3</v>
      </c>
      <c r="P321" s="458" t="n">
        <v>76</v>
      </c>
      <c r="S321" s="581">
        <f>Q321-R321</f>
        <v/>
      </c>
      <c r="T321" s="71">
        <f>R321/Q321</f>
        <v/>
      </c>
      <c r="U321" s="458" t="n">
        <v>380000</v>
      </c>
      <c r="AM321" s="236" t="n"/>
    </row>
    <row r="322">
      <c r="A322" s="458" t="inlineStr">
        <is>
          <t>용호동</t>
        </is>
      </c>
      <c r="B322" s="159" t="n"/>
      <c r="C322" s="159" t="n"/>
      <c r="D322" s="458" t="n">
        <v>108136</v>
      </c>
      <c r="E322" s="113" t="inlineStr">
        <is>
          <t>더블유(주상복합)</t>
        </is>
      </c>
      <c r="F322" s="458" t="n">
        <v>2018.03</v>
      </c>
      <c r="G322" s="458" t="n">
        <v>1488</v>
      </c>
      <c r="H322" s="458">
        <f>2026-F322+1</f>
        <v/>
      </c>
      <c r="K322" s="458" t="n">
        <v>182</v>
      </c>
      <c r="M322" s="458" t="inlineStr">
        <is>
          <t>계단식</t>
        </is>
      </c>
      <c r="N322" s="458" t="n">
        <v>3</v>
      </c>
      <c r="O322" s="458" t="n">
        <v>3</v>
      </c>
      <c r="P322" s="458" t="n">
        <v>41</v>
      </c>
      <c r="S322" s="581">
        <f>Q322-R322</f>
        <v/>
      </c>
      <c r="T322" s="71">
        <f>R322/Q322</f>
        <v/>
      </c>
      <c r="U322" s="458" t="n">
        <v>380000</v>
      </c>
      <c r="V322" s="458" t="n">
        <v>349000</v>
      </c>
      <c r="AM322" s="236" t="n"/>
    </row>
    <row r="323">
      <c r="A323" s="458" t="inlineStr">
        <is>
          <t>용호동</t>
        </is>
      </c>
      <c r="B323" s="159" t="n"/>
      <c r="C323" s="159" t="n"/>
      <c r="D323" s="458" t="n">
        <v>108136</v>
      </c>
      <c r="E323" s="113" t="inlineStr">
        <is>
          <t>더블유(주상복합)</t>
        </is>
      </c>
      <c r="F323" s="458" t="n">
        <v>2018.03</v>
      </c>
      <c r="G323" s="458" t="n">
        <v>1488</v>
      </c>
      <c r="H323" s="458">
        <f>2026-F323+1</f>
        <v/>
      </c>
      <c r="K323" s="458" t="n">
        <v>199</v>
      </c>
      <c r="M323" s="458" t="inlineStr">
        <is>
          <t>계단식</t>
        </is>
      </c>
      <c r="N323" s="458" t="n">
        <v>4</v>
      </c>
      <c r="O323" s="458" t="n">
        <v>3</v>
      </c>
      <c r="P323" s="458" t="n">
        <v>3</v>
      </c>
      <c r="S323" s="581">
        <f>Q323-R323</f>
        <v/>
      </c>
      <c r="T323" s="71">
        <f>R323/Q323</f>
        <v/>
      </c>
      <c r="AM323" s="236" t="n"/>
    </row>
    <row r="324">
      <c r="A324" s="458" t="inlineStr">
        <is>
          <t>용호동</t>
        </is>
      </c>
      <c r="D324" s="458" t="n">
        <v>108136</v>
      </c>
      <c r="E324" s="113" t="inlineStr">
        <is>
          <t>더블유(주상복합)</t>
        </is>
      </c>
      <c r="F324" s="458" t="n">
        <v>2018.03</v>
      </c>
      <c r="G324" s="458" t="n">
        <v>1488</v>
      </c>
      <c r="H324" s="458">
        <f>2026-F324+1</f>
        <v/>
      </c>
      <c r="K324" s="458" t="n">
        <v>244</v>
      </c>
      <c r="M324" s="458" t="inlineStr">
        <is>
          <t>계단식</t>
        </is>
      </c>
      <c r="N324" s="458" t="n">
        <v>4</v>
      </c>
      <c r="O324" s="458" t="n">
        <v>2</v>
      </c>
      <c r="P324" s="458" t="n">
        <v>2</v>
      </c>
      <c r="S324" s="581">
        <f>Q324-R324</f>
        <v/>
      </c>
      <c r="T324" s="71">
        <f>R324/Q324</f>
        <v/>
      </c>
    </row>
    <row r="325">
      <c r="A325" s="494" t="inlineStr">
        <is>
          <t>용호동</t>
        </is>
      </c>
      <c r="B325" s="289" t="n"/>
      <c r="C325" s="289" t="n"/>
      <c r="D325" s="494" t="n">
        <v>127894</v>
      </c>
      <c r="E325" s="150" t="inlineStr">
        <is>
          <t>데시앙해링턴플레이스파크시티</t>
        </is>
      </c>
      <c r="F325" s="494" t="n">
        <v>2023.05</v>
      </c>
      <c r="G325" s="494" t="n">
        <v>1725</v>
      </c>
      <c r="H325" s="494">
        <f>2026-F325+1</f>
        <v/>
      </c>
      <c r="I325" s="289" t="n"/>
      <c r="J325" s="494" t="n">
        <v>60</v>
      </c>
      <c r="K325" s="494" t="n">
        <v>39</v>
      </c>
      <c r="L325" s="494" t="n">
        <v>18</v>
      </c>
      <c r="M325" s="494" t="inlineStr">
        <is>
          <t>계단식</t>
        </is>
      </c>
      <c r="N325" s="494" t="n">
        <v>1</v>
      </c>
      <c r="O325" s="494" t="n">
        <v>1</v>
      </c>
      <c r="P325" s="494" t="n">
        <v>87</v>
      </c>
      <c r="Q325" s="156" t="n"/>
      <c r="R325" s="156" t="n"/>
      <c r="S325" s="581">
        <f>Q325-R325</f>
        <v/>
      </c>
      <c r="T325" s="71">
        <f>R325/Q325</f>
        <v/>
      </c>
      <c r="U325" s="289" t="n"/>
      <c r="V325" s="289" t="n"/>
      <c r="AA325" s="289" t="n"/>
      <c r="AB325" s="289" t="n"/>
      <c r="AC325" s="289" t="n"/>
      <c r="AD325" s="289" t="n"/>
      <c r="AE325" s="289" t="n"/>
      <c r="AF325" s="289" t="n"/>
      <c r="AG325" s="289" t="n"/>
      <c r="AK325" s="289" t="n"/>
      <c r="AL325" s="289" t="n"/>
      <c r="AM325" s="289" t="n"/>
      <c r="AN325" s="289" t="n"/>
      <c r="AV325" s="289" t="n"/>
    </row>
    <row r="326">
      <c r="A326" s="458" t="inlineStr">
        <is>
          <t>용호동</t>
        </is>
      </c>
      <c r="B326" s="159" t="n"/>
      <c r="C326" s="159" t="n"/>
      <c r="D326" s="458" t="n">
        <v>14519</v>
      </c>
      <c r="E326" s="113" t="inlineStr">
        <is>
          <t>롯데캐슬아인스</t>
        </is>
      </c>
      <c r="F326" s="458" t="n">
        <v>2007.01</v>
      </c>
      <c r="G326" s="458" t="n">
        <v>430</v>
      </c>
      <c r="H326" s="458">
        <f>2026-F326+1</f>
        <v/>
      </c>
      <c r="J326" s="458" t="n">
        <v>83</v>
      </c>
      <c r="K326" s="458" t="n">
        <v>59</v>
      </c>
      <c r="L326" s="458" t="n">
        <v>25</v>
      </c>
      <c r="M326" s="458" t="inlineStr">
        <is>
          <t>계단식</t>
        </is>
      </c>
      <c r="N326" s="458" t="n">
        <v>3</v>
      </c>
      <c r="O326" s="458" t="n">
        <v>2</v>
      </c>
      <c r="P326" s="458" t="n">
        <v>245</v>
      </c>
      <c r="S326" s="581">
        <f>Q326-R326</f>
        <v/>
      </c>
      <c r="T326" s="71">
        <f>R326/Q326</f>
        <v/>
      </c>
      <c r="U326" s="458" t="n">
        <v>28400</v>
      </c>
      <c r="V326" s="458" t="n">
        <v>19500</v>
      </c>
      <c r="AM326" s="236" t="n"/>
    </row>
    <row r="327">
      <c r="A327" s="458" t="inlineStr">
        <is>
          <t>용호동</t>
        </is>
      </c>
      <c r="B327" s="159" t="n"/>
      <c r="C327" s="159" t="n"/>
      <c r="D327" s="458" t="n">
        <v>14519</v>
      </c>
      <c r="E327" s="113" t="inlineStr">
        <is>
          <t>롯데캐슬아인스</t>
        </is>
      </c>
      <c r="F327" s="458" t="n">
        <v>2007.01</v>
      </c>
      <c r="G327" s="458" t="n">
        <v>430</v>
      </c>
      <c r="H327" s="458">
        <f>2026-F327+1</f>
        <v/>
      </c>
      <c r="J327" s="458" t="n">
        <v>113</v>
      </c>
      <c r="K327" s="458" t="n">
        <v>84</v>
      </c>
      <c r="L327" s="458" t="n">
        <v>34</v>
      </c>
      <c r="M327" s="458" t="inlineStr">
        <is>
          <t>계단식</t>
        </is>
      </c>
      <c r="N327" s="458" t="n">
        <v>3</v>
      </c>
      <c r="O327" s="458" t="n">
        <v>2</v>
      </c>
      <c r="P327" s="458" t="n">
        <v>185</v>
      </c>
      <c r="S327" s="581">
        <f>Q327-R327</f>
        <v/>
      </c>
      <c r="T327" s="71">
        <f>R327/Q327</f>
        <v/>
      </c>
      <c r="U327" s="458" t="n">
        <v>40000</v>
      </c>
      <c r="V327" s="458" t="n">
        <v>27000</v>
      </c>
      <c r="AM327" s="236" t="n"/>
    </row>
    <row r="328">
      <c r="A328" s="458" t="inlineStr">
        <is>
          <t>용호동</t>
        </is>
      </c>
      <c r="B328" s="159" t="n"/>
      <c r="C328" s="159" t="n"/>
      <c r="D328" s="458" t="n">
        <v>104246</v>
      </c>
      <c r="E328" s="146" t="inlineStr">
        <is>
          <t>쌍용예가</t>
        </is>
      </c>
      <c r="F328" s="458" t="n">
        <v>2013.06</v>
      </c>
      <c r="G328" s="458" t="n">
        <v>773</v>
      </c>
      <c r="H328" s="458">
        <f>2026-F328+1</f>
        <v/>
      </c>
      <c r="K328" s="458" t="n">
        <v>59</v>
      </c>
      <c r="M328" s="458" t="inlineStr">
        <is>
          <t>계단식</t>
        </is>
      </c>
      <c r="N328" s="458" t="n">
        <v>2</v>
      </c>
      <c r="O328" s="458" t="n">
        <v>2</v>
      </c>
      <c r="P328" s="458" t="n">
        <v>82</v>
      </c>
      <c r="S328" s="581">
        <f>Q328-R328</f>
        <v/>
      </c>
      <c r="T328" s="71">
        <f>R328/Q328</f>
        <v/>
      </c>
      <c r="U328" s="458" t="n">
        <v>38500</v>
      </c>
      <c r="V328" s="458" t="n">
        <v>24500</v>
      </c>
      <c r="AM328" s="236" t="n"/>
    </row>
    <row r="329">
      <c r="A329" s="494" t="inlineStr">
        <is>
          <t>용호동</t>
        </is>
      </c>
      <c r="B329" s="88" t="n"/>
      <c r="C329" s="89" t="n"/>
      <c r="D329" s="494" t="n">
        <v>22444</v>
      </c>
      <c r="E329" s="133" t="inlineStr">
        <is>
          <t>오륙도SK뷰</t>
        </is>
      </c>
      <c r="F329" s="494" t="n">
        <v>2008.1</v>
      </c>
      <c r="G329" s="494" t="n">
        <v>3000</v>
      </c>
      <c r="H329" s="494">
        <f>2026-F329+1</f>
        <v/>
      </c>
      <c r="I329" s="289" t="n"/>
      <c r="J329" s="494" t="n">
        <v>131</v>
      </c>
      <c r="K329" s="494" t="n">
        <v>98</v>
      </c>
      <c r="L329" s="494" t="n">
        <v>40</v>
      </c>
      <c r="M329" s="494" t="inlineStr">
        <is>
          <t>계단식</t>
        </is>
      </c>
      <c r="N329" s="494" t="n">
        <v>3</v>
      </c>
      <c r="O329" s="494" t="n">
        <v>2</v>
      </c>
      <c r="P329" s="494" t="n">
        <v>156</v>
      </c>
      <c r="Q329" s="156" t="n"/>
      <c r="R329" s="156" t="n"/>
      <c r="S329" s="581">
        <f>Q329-R329</f>
        <v/>
      </c>
      <c r="T329" s="71">
        <f>R329/Q329</f>
        <v/>
      </c>
      <c r="U329" s="289" t="n">
        <v>69000</v>
      </c>
      <c r="V329" s="289" t="n">
        <v>39900</v>
      </c>
      <c r="AA329" s="289" t="n"/>
      <c r="AB329" s="289" t="n"/>
      <c r="AC329" s="289" t="n"/>
      <c r="AD329" s="289" t="n"/>
      <c r="AE329" s="289" t="n"/>
      <c r="AF329" s="289" t="n"/>
      <c r="AG329" s="289" t="n"/>
      <c r="AK329" s="289" t="n"/>
      <c r="AL329" s="289" t="n"/>
      <c r="AM329" s="88" t="n"/>
      <c r="AN329" s="289" t="n"/>
      <c r="AV329" s="289" t="n"/>
    </row>
    <row r="330">
      <c r="A330" s="494" t="inlineStr">
        <is>
          <t>용호동</t>
        </is>
      </c>
      <c r="B330" s="88" t="n"/>
      <c r="C330" s="89" t="n"/>
      <c r="D330" s="494" t="n">
        <v>22444</v>
      </c>
      <c r="E330" s="150" t="inlineStr">
        <is>
          <t>오륙도SK뷰</t>
        </is>
      </c>
      <c r="F330" s="494" t="n">
        <v>2008.1</v>
      </c>
      <c r="G330" s="494" t="n">
        <v>3000</v>
      </c>
      <c r="H330" s="494">
        <f>2026-F330+1</f>
        <v/>
      </c>
      <c r="I330" s="289" t="n"/>
      <c r="J330" s="494" t="n">
        <v>156</v>
      </c>
      <c r="K330" s="494" t="n">
        <v>122</v>
      </c>
      <c r="L330" s="494" t="n">
        <v>47</v>
      </c>
      <c r="M330" s="494" t="inlineStr">
        <is>
          <t>계단식</t>
        </is>
      </c>
      <c r="N330" s="494" t="n">
        <v>4</v>
      </c>
      <c r="O330" s="494" t="n">
        <v>2</v>
      </c>
      <c r="P330" s="494" t="n">
        <v>140</v>
      </c>
      <c r="Q330" s="156" t="n"/>
      <c r="R330" s="156" t="n"/>
      <c r="S330" s="581">
        <f>Q330-R330</f>
        <v/>
      </c>
      <c r="T330" s="71">
        <f>R330/Q330</f>
        <v/>
      </c>
      <c r="U330" s="289" t="n">
        <v>105000</v>
      </c>
      <c r="V330" s="289" t="n">
        <v>43000</v>
      </c>
      <c r="AA330" s="289" t="n"/>
      <c r="AB330" s="289" t="n"/>
      <c r="AC330" s="289" t="n"/>
      <c r="AD330" s="289" t="n"/>
      <c r="AE330" s="289" t="n"/>
      <c r="AF330" s="289" t="n"/>
      <c r="AG330" s="289" t="n"/>
      <c r="AK330" s="289" t="n"/>
      <c r="AL330" s="289" t="n"/>
      <c r="AM330" s="88" t="n"/>
      <c r="AN330" s="289" t="n"/>
      <c r="AV330" s="289" t="n"/>
    </row>
    <row r="331">
      <c r="A331" s="494" t="inlineStr">
        <is>
          <t>용호동</t>
        </is>
      </c>
      <c r="B331" s="88" t="n"/>
      <c r="C331" s="89" t="n"/>
      <c r="D331" s="494" t="n">
        <v>22444</v>
      </c>
      <c r="E331" s="150" t="inlineStr">
        <is>
          <t>오륙도SK뷰</t>
        </is>
      </c>
      <c r="F331" s="494" t="n">
        <v>2008.1</v>
      </c>
      <c r="G331" s="494" t="n">
        <v>3000</v>
      </c>
      <c r="H331" s="494">
        <f>2026-F331+1</f>
        <v/>
      </c>
      <c r="I331" s="289" t="n"/>
      <c r="J331" s="289" t="n"/>
      <c r="K331" s="494" t="n">
        <v>123</v>
      </c>
      <c r="L331" s="289" t="n"/>
      <c r="M331" s="494" t="inlineStr">
        <is>
          <t>계단식</t>
        </is>
      </c>
      <c r="N331" s="494" t="n">
        <v>4</v>
      </c>
      <c r="O331" s="494" t="n">
        <v>2</v>
      </c>
      <c r="P331" s="494" t="n">
        <v>623</v>
      </c>
      <c r="Q331" s="156" t="n"/>
      <c r="R331" s="156" t="n"/>
      <c r="S331" s="581">
        <f>Q331-R331</f>
        <v/>
      </c>
      <c r="T331" s="71">
        <f>R331/Q331</f>
        <v/>
      </c>
      <c r="U331" s="289" t="n">
        <v>105000</v>
      </c>
      <c r="V331" s="289" t="n">
        <v>43000</v>
      </c>
      <c r="AA331" s="289" t="n"/>
      <c r="AB331" s="289" t="n"/>
      <c r="AC331" s="289" t="n"/>
      <c r="AD331" s="289" t="n"/>
      <c r="AE331" s="289" t="n"/>
      <c r="AF331" s="289" t="n"/>
      <c r="AG331" s="289" t="n"/>
      <c r="AK331" s="289" t="n"/>
      <c r="AL331" s="289" t="n"/>
      <c r="AM331" s="88" t="n"/>
      <c r="AN331" s="289" t="n"/>
      <c r="AV331" s="289" t="n"/>
    </row>
    <row r="332">
      <c r="A332" s="494" t="inlineStr">
        <is>
          <t>용호동</t>
        </is>
      </c>
      <c r="B332" s="88" t="n"/>
      <c r="C332" s="89" t="n"/>
      <c r="D332" s="494" t="n">
        <v>22444</v>
      </c>
      <c r="E332" s="150" t="inlineStr">
        <is>
          <t>오륙도SK뷰</t>
        </is>
      </c>
      <c r="F332" s="494" t="n">
        <v>2008.1</v>
      </c>
      <c r="G332" s="494" t="n">
        <v>3000</v>
      </c>
      <c r="H332" s="494">
        <f>2026-F332+1</f>
        <v/>
      </c>
      <c r="I332" s="289" t="n"/>
      <c r="J332" s="289" t="n"/>
      <c r="K332" s="494" t="n">
        <v>126</v>
      </c>
      <c r="L332" s="289" t="n"/>
      <c r="M332" s="494" t="inlineStr">
        <is>
          <t>계단식</t>
        </is>
      </c>
      <c r="N332" s="494" t="n">
        <v>4</v>
      </c>
      <c r="O332" s="494" t="n">
        <v>2</v>
      </c>
      <c r="P332" s="494" t="n">
        <v>152</v>
      </c>
      <c r="Q332" s="156" t="n"/>
      <c r="R332" s="156" t="n"/>
      <c r="S332" s="581">
        <f>Q332-R332</f>
        <v/>
      </c>
      <c r="T332" s="71">
        <f>R332/Q332</f>
        <v/>
      </c>
      <c r="U332" s="289" t="n">
        <v>89000</v>
      </c>
      <c r="V332" s="289" t="n">
        <v>60000</v>
      </c>
      <c r="AA332" s="289" t="n"/>
      <c r="AB332" s="289" t="n"/>
      <c r="AC332" s="289" t="n"/>
      <c r="AD332" s="289" t="n"/>
      <c r="AE332" s="289" t="n"/>
      <c r="AF332" s="289" t="n"/>
      <c r="AG332" s="289" t="n"/>
      <c r="AK332" s="289" t="n"/>
      <c r="AL332" s="289" t="n"/>
      <c r="AM332" s="88" t="n"/>
      <c r="AN332" s="289" t="n"/>
      <c r="AV332" s="289" t="n"/>
    </row>
    <row r="333">
      <c r="A333" s="494" t="inlineStr">
        <is>
          <t>용호동</t>
        </is>
      </c>
      <c r="B333" s="88" t="n"/>
      <c r="C333" s="89" t="n"/>
      <c r="D333" s="494" t="n">
        <v>22444</v>
      </c>
      <c r="E333" s="150" t="inlineStr">
        <is>
          <t>오륙도SK뷰</t>
        </is>
      </c>
      <c r="F333" s="494" t="n">
        <v>2008.1</v>
      </c>
      <c r="G333" s="494" t="n">
        <v>3000</v>
      </c>
      <c r="H333" s="494">
        <f>2026-F333+1</f>
        <v/>
      </c>
      <c r="I333" s="289" t="n"/>
      <c r="J333" s="494" t="n">
        <v>197</v>
      </c>
      <c r="K333" s="494" t="n">
        <v>149</v>
      </c>
      <c r="L333" s="494" t="n">
        <v>60</v>
      </c>
      <c r="M333" s="494" t="inlineStr">
        <is>
          <t>계단식</t>
        </is>
      </c>
      <c r="N333" s="494" t="n">
        <v>4</v>
      </c>
      <c r="O333" s="494" t="n">
        <v>3</v>
      </c>
      <c r="P333" s="494" t="n">
        <v>396</v>
      </c>
      <c r="Q333" s="156" t="n"/>
      <c r="R333" s="156" t="n"/>
      <c r="S333" s="581">
        <f>Q333-R333</f>
        <v/>
      </c>
      <c r="T333" s="71">
        <f>R333/Q333</f>
        <v/>
      </c>
      <c r="U333" s="289" t="n">
        <v>95000</v>
      </c>
      <c r="V333" s="289" t="n">
        <v>66000</v>
      </c>
      <c r="AA333" s="289" t="n"/>
      <c r="AB333" s="289" t="n"/>
      <c r="AC333" s="289" t="n"/>
      <c r="AD333" s="289" t="n"/>
      <c r="AE333" s="289" t="n"/>
      <c r="AF333" s="289" t="n"/>
      <c r="AG333" s="289" t="n"/>
      <c r="AK333" s="289" t="n"/>
      <c r="AL333" s="289" t="n"/>
      <c r="AM333" s="88" t="n"/>
      <c r="AN333" s="289" t="n"/>
      <c r="AV333" s="289" t="n"/>
    </row>
    <row r="334">
      <c r="A334" s="494" t="inlineStr">
        <is>
          <t>용호동</t>
        </is>
      </c>
      <c r="B334" s="88" t="n"/>
      <c r="C334" s="89" t="n"/>
      <c r="D334" s="494" t="n">
        <v>22444</v>
      </c>
      <c r="E334" s="150" t="inlineStr">
        <is>
          <t>오륙도SK뷰</t>
        </is>
      </c>
      <c r="F334" s="494" t="n">
        <v>2008.1</v>
      </c>
      <c r="G334" s="494" t="n">
        <v>3000</v>
      </c>
      <c r="H334" s="494">
        <f>2026-F334+1</f>
        <v/>
      </c>
      <c r="I334" s="289" t="n"/>
      <c r="J334" s="494" t="n">
        <v>223</v>
      </c>
      <c r="K334" s="494" t="n">
        <v>171</v>
      </c>
      <c r="L334" s="494" t="n">
        <v>67</v>
      </c>
      <c r="M334" s="494" t="inlineStr">
        <is>
          <t>계단식</t>
        </is>
      </c>
      <c r="N334" s="494" t="n">
        <v>4</v>
      </c>
      <c r="O334" s="494" t="n">
        <v>3</v>
      </c>
      <c r="P334" s="494" t="n">
        <v>92</v>
      </c>
      <c r="Q334" s="156" t="n"/>
      <c r="R334" s="156" t="n"/>
      <c r="S334" s="581">
        <f>Q334-R334</f>
        <v/>
      </c>
      <c r="T334" s="71">
        <f>R334/Q334</f>
        <v/>
      </c>
      <c r="U334" s="289" t="n">
        <v>175000</v>
      </c>
      <c r="V334" s="289" t="n">
        <v>138000</v>
      </c>
      <c r="AA334" s="289" t="n"/>
      <c r="AB334" s="289" t="n"/>
      <c r="AC334" s="289" t="n"/>
      <c r="AD334" s="289" t="n"/>
      <c r="AE334" s="289" t="n"/>
      <c r="AF334" s="289" t="n"/>
      <c r="AG334" s="289" t="n"/>
      <c r="AK334" s="289" t="n"/>
      <c r="AL334" s="289" t="n"/>
      <c r="AM334" s="88" t="n"/>
      <c r="AN334" s="289" t="n"/>
      <c r="AV334" s="289" t="n"/>
    </row>
    <row r="335">
      <c r="A335" s="494" t="inlineStr">
        <is>
          <t>용호동</t>
        </is>
      </c>
      <c r="B335" s="289" t="n"/>
      <c r="C335" s="289" t="n"/>
      <c r="D335" s="494" t="n">
        <v>22444</v>
      </c>
      <c r="E335" s="150" t="inlineStr">
        <is>
          <t>오륙도SK뷰</t>
        </is>
      </c>
      <c r="F335" s="494" t="n">
        <v>2008.1</v>
      </c>
      <c r="G335" s="494" t="n">
        <v>3000</v>
      </c>
      <c r="H335" s="494">
        <f>2026-F335+1</f>
        <v/>
      </c>
      <c r="I335" s="289" t="n"/>
      <c r="J335" s="494" t="n">
        <v>231</v>
      </c>
      <c r="K335" s="494" t="n">
        <v>174</v>
      </c>
      <c r="L335" s="494" t="n">
        <v>70</v>
      </c>
      <c r="M335" s="494" t="inlineStr">
        <is>
          <t>계단식</t>
        </is>
      </c>
      <c r="N335" s="494" t="n">
        <v>4</v>
      </c>
      <c r="O335" s="494" t="n">
        <v>3</v>
      </c>
      <c r="P335" s="494" t="n">
        <v>389</v>
      </c>
      <c r="Q335" s="156" t="n"/>
      <c r="R335" s="156" t="n"/>
      <c r="S335" s="581">
        <f>Q335-R335</f>
        <v/>
      </c>
      <c r="T335" s="71">
        <f>R335/Q335</f>
        <v/>
      </c>
      <c r="U335" s="289" t="n">
        <v>135000</v>
      </c>
      <c r="V335" s="289" t="n">
        <v>70000</v>
      </c>
      <c r="AA335" s="289" t="n"/>
      <c r="AB335" s="289" t="n"/>
      <c r="AC335" s="289" t="n"/>
      <c r="AD335" s="289" t="n"/>
      <c r="AE335" s="289" t="n"/>
      <c r="AF335" s="289" t="n"/>
      <c r="AG335" s="289" t="n"/>
      <c r="AK335" s="289" t="n"/>
      <c r="AL335" s="289" t="n"/>
      <c r="AM335" s="289" t="n"/>
      <c r="AN335" s="289" t="n"/>
      <c r="AV335" s="289" t="n"/>
    </row>
    <row r="336">
      <c r="A336" s="494" t="inlineStr">
        <is>
          <t>용호동</t>
        </is>
      </c>
      <c r="B336" s="289" t="n"/>
      <c r="C336" s="289" t="n"/>
      <c r="D336" s="494" t="n">
        <v>22444</v>
      </c>
      <c r="E336" s="150" t="inlineStr">
        <is>
          <t>오륙도SK뷰</t>
        </is>
      </c>
      <c r="F336" s="494" t="n">
        <v>2008.1</v>
      </c>
      <c r="G336" s="494" t="n">
        <v>3000</v>
      </c>
      <c r="H336" s="494">
        <f>2026-F336+1</f>
        <v/>
      </c>
      <c r="I336" s="289" t="n"/>
      <c r="J336" s="494" t="n">
        <v>251</v>
      </c>
      <c r="K336" s="494" t="n">
        <v>200</v>
      </c>
      <c r="L336" s="494" t="n">
        <v>76</v>
      </c>
      <c r="M336" s="494" t="inlineStr">
        <is>
          <t>계단식</t>
        </is>
      </c>
      <c r="N336" s="494" t="n">
        <v>4</v>
      </c>
      <c r="O336" s="494" t="n">
        <v>3</v>
      </c>
      <c r="P336" s="494" t="n">
        <v>118</v>
      </c>
      <c r="Q336" s="156" t="n"/>
      <c r="R336" s="156" t="n"/>
      <c r="S336" s="581">
        <f>Q336-R336</f>
        <v/>
      </c>
      <c r="T336" s="71">
        <f>R336/Q336</f>
        <v/>
      </c>
      <c r="U336" s="289" t="n">
        <v>180000</v>
      </c>
      <c r="V336" s="289" t="n">
        <v>83000</v>
      </c>
      <c r="AA336" s="289" t="n"/>
      <c r="AB336" s="289" t="n"/>
      <c r="AC336" s="289" t="n"/>
      <c r="AD336" s="289" t="n"/>
      <c r="AE336" s="289" t="n"/>
      <c r="AF336" s="289" t="n"/>
      <c r="AG336" s="289" t="n"/>
      <c r="AK336" s="289" t="n"/>
      <c r="AL336" s="289" t="n"/>
      <c r="AM336" s="289" t="n"/>
      <c r="AN336" s="289" t="n"/>
      <c r="AV336" s="289" t="n"/>
    </row>
    <row r="337">
      <c r="A337" s="494" t="inlineStr">
        <is>
          <t>용호동</t>
        </is>
      </c>
      <c r="B337" s="88" t="n"/>
      <c r="C337" s="89" t="n"/>
      <c r="D337" s="494" t="n">
        <v>22444</v>
      </c>
      <c r="E337" s="150" t="inlineStr">
        <is>
          <t>오륙도SK뷰</t>
        </is>
      </c>
      <c r="F337" s="494" t="n">
        <v>2008.1</v>
      </c>
      <c r="G337" s="494" t="n">
        <v>3000</v>
      </c>
      <c r="H337" s="494">
        <f>2026-F337+1</f>
        <v/>
      </c>
      <c r="I337" s="289" t="n"/>
      <c r="J337" s="494" t="n">
        <v>275</v>
      </c>
      <c r="K337" s="494" t="n">
        <v>208</v>
      </c>
      <c r="L337" s="494" t="n">
        <v>83</v>
      </c>
      <c r="M337" s="494" t="inlineStr">
        <is>
          <t>계단식</t>
        </is>
      </c>
      <c r="N337" s="494" t="n">
        <v>4</v>
      </c>
      <c r="O337" s="494" t="n">
        <v>3</v>
      </c>
      <c r="P337" s="494" t="n">
        <v>5</v>
      </c>
      <c r="Q337" s="156" t="n"/>
      <c r="R337" s="156" t="n"/>
      <c r="S337" s="581">
        <f>Q337-R337</f>
        <v/>
      </c>
      <c r="T337" s="71">
        <f>R337/Q337</f>
        <v/>
      </c>
      <c r="U337" s="289" t="n"/>
      <c r="V337" s="289" t="n">
        <v>170000</v>
      </c>
      <c r="AA337" s="289" t="n"/>
      <c r="AB337" s="289" t="n"/>
      <c r="AC337" s="289" t="n"/>
      <c r="AD337" s="289" t="n"/>
      <c r="AE337" s="289" t="n"/>
      <c r="AF337" s="289" t="n"/>
      <c r="AG337" s="289" t="n"/>
      <c r="AK337" s="289" t="n"/>
      <c r="AL337" s="289" t="n"/>
      <c r="AM337" s="88" t="n"/>
      <c r="AN337" s="289" t="n"/>
      <c r="AV337" s="289" t="n"/>
    </row>
    <row r="338">
      <c r="A338" s="494" t="inlineStr">
        <is>
          <t>용호동</t>
        </is>
      </c>
      <c r="B338" s="88" t="n"/>
      <c r="C338" s="89" t="n"/>
      <c r="D338" s="494" t="n">
        <v>22444</v>
      </c>
      <c r="E338" s="150" t="inlineStr">
        <is>
          <t>오륙도SK뷰</t>
        </is>
      </c>
      <c r="F338" s="494" t="n">
        <v>2008.1</v>
      </c>
      <c r="G338" s="494" t="n">
        <v>3000</v>
      </c>
      <c r="H338" s="494">
        <f>2026-F338+1</f>
        <v/>
      </c>
      <c r="I338" s="289" t="n"/>
      <c r="J338" s="289" t="n"/>
      <c r="K338" s="494" t="n">
        <v>223</v>
      </c>
      <c r="L338" s="289" t="n"/>
      <c r="M338" s="494" t="inlineStr">
        <is>
          <t>계단식</t>
        </is>
      </c>
      <c r="N338" s="494" t="n">
        <v>4</v>
      </c>
      <c r="O338" s="494" t="n">
        <v>3</v>
      </c>
      <c r="P338" s="494" t="n">
        <v>9</v>
      </c>
      <c r="Q338" s="156" t="n"/>
      <c r="R338" s="156" t="n"/>
      <c r="S338" s="581">
        <f>Q338-R338</f>
        <v/>
      </c>
      <c r="T338" s="71">
        <f>R338/Q338</f>
        <v/>
      </c>
      <c r="U338" s="289" t="n">
        <v>235000</v>
      </c>
      <c r="V338" s="289" t="n">
        <v>160450</v>
      </c>
      <c r="AA338" s="289" t="n"/>
      <c r="AB338" s="289" t="n"/>
      <c r="AC338" s="289" t="n"/>
      <c r="AD338" s="289" t="n"/>
      <c r="AE338" s="289" t="n"/>
      <c r="AF338" s="289" t="n"/>
      <c r="AG338" s="289" t="n"/>
      <c r="AK338" s="289" t="n"/>
      <c r="AL338" s="289" t="n"/>
      <c r="AM338" s="88" t="n"/>
      <c r="AN338" s="289" t="n"/>
      <c r="AV338" s="289" t="n"/>
    </row>
    <row r="339">
      <c r="A339" s="494" t="inlineStr">
        <is>
          <t>용호동</t>
        </is>
      </c>
      <c r="B339" s="88" t="n"/>
      <c r="C339" s="89" t="n"/>
      <c r="D339" s="494" t="n">
        <v>22444</v>
      </c>
      <c r="E339" s="150" t="inlineStr">
        <is>
          <t>오륙도SK뷰</t>
        </is>
      </c>
      <c r="F339" s="494" t="n">
        <v>2008.1</v>
      </c>
      <c r="G339" s="494" t="n">
        <v>3000</v>
      </c>
      <c r="H339" s="494">
        <f>2026-F339+1</f>
        <v/>
      </c>
      <c r="I339" s="289" t="n"/>
      <c r="J339" s="494" t="n">
        <v>309</v>
      </c>
      <c r="K339" s="494" t="n">
        <v>244</v>
      </c>
      <c r="L339" s="494" t="n">
        <v>93</v>
      </c>
      <c r="M339" s="494" t="inlineStr">
        <is>
          <t>계단식</t>
        </is>
      </c>
      <c r="N339" s="494" t="n">
        <v>4</v>
      </c>
      <c r="O339" s="494" t="n">
        <v>3</v>
      </c>
      <c r="P339" s="494" t="n">
        <v>6</v>
      </c>
      <c r="Q339" s="156" t="n"/>
      <c r="R339" s="156" t="n"/>
      <c r="S339" s="581">
        <f>Q339-R339</f>
        <v/>
      </c>
      <c r="T339" s="71">
        <f>R339/Q339</f>
        <v/>
      </c>
      <c r="U339" s="289" t="n">
        <v>228000</v>
      </c>
      <c r="V339" s="289" t="n">
        <v>200000</v>
      </c>
      <c r="AA339" s="289" t="n"/>
      <c r="AB339" s="289" t="n"/>
      <c r="AC339" s="289" t="n"/>
      <c r="AD339" s="289" t="n"/>
      <c r="AE339" s="289" t="n"/>
      <c r="AF339" s="289" t="n"/>
      <c r="AG339" s="289" t="n"/>
      <c r="AK339" s="289" t="n"/>
      <c r="AL339" s="289" t="n"/>
      <c r="AM339" s="88" t="n"/>
      <c r="AN339" s="289" t="n"/>
      <c r="AV339" s="289" t="n"/>
    </row>
    <row r="340">
      <c r="A340" s="458" t="inlineStr">
        <is>
          <t>용호동</t>
        </is>
      </c>
      <c r="D340" s="458" t="n">
        <v>15882</v>
      </c>
      <c r="E340" s="113" t="inlineStr">
        <is>
          <t>오륙도뜨란채</t>
        </is>
      </c>
      <c r="F340" s="458" t="n">
        <v>2000.04</v>
      </c>
      <c r="G340" s="458" t="n">
        <v>480</v>
      </c>
      <c r="H340" s="458">
        <f>2026-F340+1</f>
        <v/>
      </c>
      <c r="J340" s="458" t="n">
        <v>71</v>
      </c>
      <c r="K340" s="458" t="n">
        <v>49</v>
      </c>
      <c r="L340" s="458" t="n">
        <v>21</v>
      </c>
      <c r="M340" s="458" t="inlineStr">
        <is>
          <t>복도식</t>
        </is>
      </c>
      <c r="N340" s="458" t="n">
        <v>2</v>
      </c>
      <c r="O340" s="458" t="n">
        <v>1</v>
      </c>
      <c r="P340" s="458" t="n">
        <v>91</v>
      </c>
      <c r="S340" s="581">
        <f>Q340-R340</f>
        <v/>
      </c>
      <c r="T340" s="71">
        <f>R340/Q340</f>
        <v/>
      </c>
      <c r="U340" s="458" t="n">
        <v>19300</v>
      </c>
      <c r="V340" s="458" t="n">
        <v>15000</v>
      </c>
    </row>
    <row r="341">
      <c r="A341" s="494" t="inlineStr">
        <is>
          <t>용호동</t>
        </is>
      </c>
      <c r="B341" s="88" t="n"/>
      <c r="C341" s="89" t="n"/>
      <c r="D341" s="494" t="n">
        <v>4633</v>
      </c>
      <c r="E341" s="150" t="inlineStr">
        <is>
          <t>용호동일타운</t>
        </is>
      </c>
      <c r="F341" s="494" t="n">
        <v>1991.1</v>
      </c>
      <c r="G341" s="494" t="n">
        <v>444</v>
      </c>
      <c r="H341" s="494">
        <f>2026-F341+1</f>
        <v/>
      </c>
      <c r="I341" s="289" t="n"/>
      <c r="J341" s="494" t="n">
        <v>112</v>
      </c>
      <c r="K341" s="494" t="n">
        <v>93</v>
      </c>
      <c r="L341" s="494" t="n">
        <v>34</v>
      </c>
      <c r="M341" s="494" t="inlineStr">
        <is>
          <t>계단식</t>
        </is>
      </c>
      <c r="N341" s="494" t="n">
        <v>3</v>
      </c>
      <c r="O341" s="494" t="n">
        <v>2</v>
      </c>
      <c r="P341" s="494" t="n">
        <v>30</v>
      </c>
      <c r="Q341" s="156" t="n"/>
      <c r="R341" s="156" t="n"/>
      <c r="S341" s="581">
        <f>Q341-R341</f>
        <v/>
      </c>
      <c r="T341" s="71">
        <f>R341/Q341</f>
        <v/>
      </c>
      <c r="U341" s="289" t="n">
        <v>29100</v>
      </c>
      <c r="V341" s="289" t="n">
        <v>25000</v>
      </c>
      <c r="AA341" s="289" t="n"/>
      <c r="AB341" s="289" t="n"/>
      <c r="AC341" s="289" t="n"/>
      <c r="AD341" s="289" t="n"/>
      <c r="AE341" s="289" t="n"/>
      <c r="AF341" s="289" t="n"/>
      <c r="AG341" s="289" t="n"/>
      <c r="AK341" s="289" t="n"/>
      <c r="AL341" s="289" t="n"/>
      <c r="AM341" s="88" t="n"/>
      <c r="AN341" s="289" t="n"/>
      <c r="AV341" s="289" t="n"/>
    </row>
    <row r="342">
      <c r="A342" s="494" t="inlineStr">
        <is>
          <t>용호동</t>
        </is>
      </c>
      <c r="B342" s="88" t="n"/>
      <c r="C342" s="89" t="n"/>
      <c r="D342" s="494" t="n">
        <v>4633</v>
      </c>
      <c r="E342" s="150" t="inlineStr">
        <is>
          <t>용호동일타운</t>
        </is>
      </c>
      <c r="F342" s="494" t="n">
        <v>1991.1</v>
      </c>
      <c r="G342" s="494" t="n">
        <v>444</v>
      </c>
      <c r="H342" s="494">
        <f>2026-F342+1</f>
        <v/>
      </c>
      <c r="I342" s="289" t="n"/>
      <c r="J342" s="494" t="n">
        <v>134</v>
      </c>
      <c r="K342" s="494" t="n">
        <v>114</v>
      </c>
      <c r="L342" s="494" t="n">
        <v>41</v>
      </c>
      <c r="M342" s="494" t="inlineStr">
        <is>
          <t>계단식</t>
        </is>
      </c>
      <c r="N342" s="494" t="n">
        <v>4</v>
      </c>
      <c r="O342" s="494" t="n">
        <v>2</v>
      </c>
      <c r="P342" s="494" t="n">
        <v>54</v>
      </c>
      <c r="Q342" s="156" t="n"/>
      <c r="R342" s="156" t="n"/>
      <c r="S342" s="581">
        <f>Q342-R342</f>
        <v/>
      </c>
      <c r="T342" s="71">
        <f>R342/Q342</f>
        <v/>
      </c>
      <c r="U342" s="289" t="n">
        <v>31400</v>
      </c>
      <c r="V342" s="289" t="n">
        <v>31400</v>
      </c>
      <c r="AA342" s="289" t="n"/>
      <c r="AB342" s="289" t="n"/>
      <c r="AC342" s="289" t="n"/>
      <c r="AD342" s="289" t="n"/>
      <c r="AE342" s="289" t="n"/>
      <c r="AF342" s="289" t="n"/>
      <c r="AG342" s="289" t="n"/>
      <c r="AK342" s="289" t="n"/>
      <c r="AL342" s="289" t="n"/>
      <c r="AM342" s="88" t="n"/>
      <c r="AN342" s="289" t="n"/>
      <c r="AV342" s="289" t="n"/>
    </row>
    <row r="343">
      <c r="A343" s="494" t="inlineStr">
        <is>
          <t>용호동</t>
        </is>
      </c>
      <c r="B343" s="88" t="n"/>
      <c r="C343" s="89" t="n"/>
      <c r="D343" s="494" t="n">
        <v>4633</v>
      </c>
      <c r="E343" s="150" t="inlineStr">
        <is>
          <t>용호동일타운</t>
        </is>
      </c>
      <c r="F343" s="494" t="n">
        <v>1991.1</v>
      </c>
      <c r="G343" s="494" t="n">
        <v>444</v>
      </c>
      <c r="H343" s="494">
        <f>2026-F343+1</f>
        <v/>
      </c>
      <c r="I343" s="289" t="n"/>
      <c r="J343" s="494" t="n">
        <v>146</v>
      </c>
      <c r="K343" s="494" t="n">
        <v>125</v>
      </c>
      <c r="L343" s="494" t="n">
        <v>44</v>
      </c>
      <c r="M343" s="494" t="inlineStr">
        <is>
          <t>계단식</t>
        </is>
      </c>
      <c r="N343" s="494" t="n">
        <v>4</v>
      </c>
      <c r="O343" s="494" t="n">
        <v>2</v>
      </c>
      <c r="P343" s="494" t="n">
        <v>60</v>
      </c>
      <c r="Q343" s="156" t="n"/>
      <c r="R343" s="156" t="n"/>
      <c r="S343" s="581">
        <f>Q343-R343</f>
        <v/>
      </c>
      <c r="T343" s="71">
        <f>R343/Q343</f>
        <v/>
      </c>
      <c r="U343" s="289" t="n">
        <v>37800</v>
      </c>
      <c r="V343" s="289" t="n">
        <v>37800</v>
      </c>
      <c r="AA343" s="289" t="n"/>
      <c r="AB343" s="289" t="n"/>
      <c r="AC343" s="289" t="n"/>
      <c r="AD343" s="289" t="n"/>
      <c r="AE343" s="289" t="n"/>
      <c r="AF343" s="289" t="n"/>
      <c r="AG343" s="289" t="n"/>
      <c r="AK343" s="289" t="n"/>
      <c r="AL343" s="289" t="n"/>
      <c r="AM343" s="88" t="n"/>
      <c r="AN343" s="289" t="n"/>
      <c r="AV343" s="289" t="n"/>
    </row>
    <row r="344">
      <c r="A344" s="458" t="inlineStr">
        <is>
          <t>용호동</t>
        </is>
      </c>
      <c r="D344" s="458" t="n">
        <v>13513</v>
      </c>
      <c r="E344" s="113" t="inlineStr">
        <is>
          <t>일신님</t>
        </is>
      </c>
      <c r="F344" s="458" t="n">
        <v>2006.01</v>
      </c>
      <c r="G344" s="458" t="n">
        <v>710</v>
      </c>
      <c r="H344" s="458">
        <f>2026-F344+1</f>
        <v/>
      </c>
      <c r="J344" s="458" t="n">
        <v>146</v>
      </c>
      <c r="K344" s="458" t="n">
        <v>117</v>
      </c>
      <c r="L344" s="458" t="n">
        <v>44</v>
      </c>
      <c r="M344" s="458" t="inlineStr">
        <is>
          <t>계단식</t>
        </is>
      </c>
      <c r="N344" s="458" t="n">
        <v>4</v>
      </c>
      <c r="O344" s="458" t="n">
        <v>2</v>
      </c>
      <c r="P344" s="458" t="n">
        <v>76</v>
      </c>
      <c r="S344" s="581">
        <f>Q344-R344</f>
        <v/>
      </c>
      <c r="T344" s="71">
        <f>R344/Q344</f>
        <v/>
      </c>
      <c r="U344" s="458" t="n">
        <v>67500</v>
      </c>
    </row>
    <row r="345">
      <c r="A345" s="494" t="inlineStr">
        <is>
          <t>용호동</t>
        </is>
      </c>
      <c r="B345" s="88" t="n"/>
      <c r="C345" s="89" t="n"/>
      <c r="D345" s="494" t="n">
        <v>4646</v>
      </c>
      <c r="E345" s="133" t="inlineStr">
        <is>
          <t>일신프리빌리지</t>
        </is>
      </c>
      <c r="F345" s="494" t="n">
        <v>1996.02</v>
      </c>
      <c r="G345" s="494" t="n">
        <v>518</v>
      </c>
      <c r="H345" s="494">
        <f>2026-F345+1</f>
        <v/>
      </c>
      <c r="I345" s="289" t="n"/>
      <c r="J345" s="494" t="n">
        <v>130</v>
      </c>
      <c r="K345" s="494" t="n">
        <v>110</v>
      </c>
      <c r="L345" s="494" t="n">
        <v>39</v>
      </c>
      <c r="M345" s="494" t="inlineStr">
        <is>
          <t>계단식</t>
        </is>
      </c>
      <c r="N345" s="494" t="n">
        <v>3</v>
      </c>
      <c r="O345" s="494" t="n">
        <v>2</v>
      </c>
      <c r="P345" s="494" t="n">
        <v>50</v>
      </c>
      <c r="Q345" s="156" t="n"/>
      <c r="R345" s="156" t="n"/>
      <c r="S345" s="581">
        <f>Q345-R345</f>
        <v/>
      </c>
      <c r="T345" s="71">
        <f>R345/Q345</f>
        <v/>
      </c>
      <c r="U345" s="289" t="n">
        <v>50500</v>
      </c>
      <c r="V345" s="289" t="n">
        <v>45000</v>
      </c>
      <c r="AA345" s="289" t="n"/>
      <c r="AB345" s="289" t="n"/>
      <c r="AC345" s="289" t="n"/>
      <c r="AD345" s="289" t="n"/>
      <c r="AE345" s="289" t="n"/>
      <c r="AF345" s="289" t="n"/>
      <c r="AG345" s="289" t="n"/>
      <c r="AK345" s="289" t="n"/>
      <c r="AL345" s="289" t="n"/>
      <c r="AM345" s="88" t="n"/>
      <c r="AN345" s="289" t="n"/>
      <c r="AV345" s="289" t="n"/>
    </row>
    <row r="346">
      <c r="A346" s="458" t="inlineStr">
        <is>
          <t>용호동</t>
        </is>
      </c>
      <c r="D346" s="458" t="n">
        <v>4647</v>
      </c>
      <c r="E346" s="113" t="inlineStr">
        <is>
          <t>한진훼미리타운</t>
        </is>
      </c>
      <c r="F346" s="458" t="n">
        <v>1996.03</v>
      </c>
      <c r="G346" s="458" t="n">
        <v>449</v>
      </c>
      <c r="H346" s="458">
        <f>2026-F346+1</f>
        <v/>
      </c>
      <c r="J346" s="458" t="n">
        <v>69</v>
      </c>
      <c r="K346" s="458" t="n">
        <v>48</v>
      </c>
      <c r="L346" s="458" t="n">
        <v>21</v>
      </c>
      <c r="M346" s="458" t="inlineStr">
        <is>
          <t>복도식</t>
        </is>
      </c>
      <c r="N346" s="458" t="n">
        <v>2</v>
      </c>
      <c r="O346" s="458" t="n">
        <v>1</v>
      </c>
      <c r="P346" s="458" t="n">
        <v>449</v>
      </c>
      <c r="S346" s="581">
        <f>Q346-R346</f>
        <v/>
      </c>
      <c r="T346" s="71">
        <f>R346/Q346</f>
        <v/>
      </c>
      <c r="U346" s="458" t="n">
        <v>12800</v>
      </c>
      <c r="V346" s="458" t="n">
        <v>8900</v>
      </c>
    </row>
    <row r="347">
      <c r="A347" s="458" t="inlineStr">
        <is>
          <t>용호동</t>
        </is>
      </c>
      <c r="B347" s="159" t="n"/>
      <c r="C347" s="159" t="n"/>
      <c r="D347" s="458" t="n">
        <v>4650</v>
      </c>
      <c r="E347" s="113" t="inlineStr">
        <is>
          <t>협진태양</t>
        </is>
      </c>
      <c r="F347" s="458" t="n">
        <v>1988.11</v>
      </c>
      <c r="G347" s="458" t="n">
        <v>315</v>
      </c>
      <c r="H347" s="458">
        <f>2026-F347+1</f>
        <v/>
      </c>
      <c r="J347" s="458" t="n">
        <v>56</v>
      </c>
      <c r="K347" s="458" t="n">
        <v>44</v>
      </c>
      <c r="L347" s="458" t="n">
        <v>17</v>
      </c>
      <c r="M347" s="458" t="inlineStr">
        <is>
          <t>계단식</t>
        </is>
      </c>
      <c r="N347" s="458" t="n">
        <v>2</v>
      </c>
      <c r="O347" s="458" t="n">
        <v>1</v>
      </c>
      <c r="P347" s="458" t="n">
        <v>70</v>
      </c>
      <c r="S347" s="581">
        <f>Q347-R347</f>
        <v/>
      </c>
      <c r="T347" s="71">
        <f>R347/Q347</f>
        <v/>
      </c>
      <c r="U347" s="458" t="n">
        <v>15400</v>
      </c>
      <c r="V347" s="458" t="n">
        <v>11700</v>
      </c>
      <c r="AM347" s="236" t="n"/>
    </row>
    <row r="348">
      <c r="A348" s="458" t="inlineStr">
        <is>
          <t>용호동</t>
        </is>
      </c>
      <c r="B348" s="159" t="n"/>
      <c r="C348" s="159" t="n"/>
      <c r="D348" s="458" t="n">
        <v>4650</v>
      </c>
      <c r="E348" s="113" t="inlineStr">
        <is>
          <t>협진태양</t>
        </is>
      </c>
      <c r="F348" s="458" t="n">
        <v>1988.11</v>
      </c>
      <c r="G348" s="458" t="n">
        <v>315</v>
      </c>
      <c r="H348" s="458">
        <f>2026-F348+1</f>
        <v/>
      </c>
      <c r="J348" s="458" t="n">
        <v>59</v>
      </c>
      <c r="K348" s="458" t="n">
        <v>47</v>
      </c>
      <c r="L348" s="458" t="n">
        <v>18</v>
      </c>
      <c r="M348" s="458" t="inlineStr">
        <is>
          <t>계단식</t>
        </is>
      </c>
      <c r="N348" s="458" t="n">
        <v>2</v>
      </c>
      <c r="O348" s="458" t="n">
        <v>1</v>
      </c>
      <c r="P348" s="458" t="n">
        <v>30</v>
      </c>
      <c r="S348" s="581">
        <f>Q348-R348</f>
        <v/>
      </c>
      <c r="T348" s="71">
        <f>R348/Q348</f>
        <v/>
      </c>
      <c r="U348" s="458" t="n">
        <v>20500</v>
      </c>
      <c r="AM348" s="236" t="n"/>
    </row>
    <row r="349">
      <c r="A349" s="458" t="inlineStr">
        <is>
          <t>용호동</t>
        </is>
      </c>
      <c r="B349" s="159" t="n"/>
      <c r="C349" s="159" t="n"/>
      <c r="D349" s="458" t="n">
        <v>4650</v>
      </c>
      <c r="E349" s="113" t="inlineStr">
        <is>
          <t>협진태양</t>
        </is>
      </c>
      <c r="F349" s="458" t="n">
        <v>1988.11</v>
      </c>
      <c r="G349" s="458" t="n">
        <v>315</v>
      </c>
      <c r="H349" s="458">
        <f>2026-F349+1</f>
        <v/>
      </c>
      <c r="J349" s="458" t="n">
        <v>66</v>
      </c>
      <c r="K349" s="458" t="n">
        <v>48</v>
      </c>
      <c r="L349" s="458" t="n">
        <v>20</v>
      </c>
      <c r="M349" s="458" t="inlineStr">
        <is>
          <t>계단식</t>
        </is>
      </c>
      <c r="N349" s="458" t="n">
        <v>2</v>
      </c>
      <c r="O349" s="458" t="n">
        <v>1</v>
      </c>
      <c r="P349" s="458" t="n">
        <v>15</v>
      </c>
      <c r="S349" s="581">
        <f>Q349-R349</f>
        <v/>
      </c>
      <c r="T349" s="71">
        <f>R349/Q349</f>
        <v/>
      </c>
      <c r="U349" s="458" t="n">
        <v>22000</v>
      </c>
      <c r="AM349" s="236" t="n"/>
    </row>
    <row r="350">
      <c r="A350" s="458" t="inlineStr">
        <is>
          <t>우암동</t>
        </is>
      </c>
      <c r="B350" s="159" t="n"/>
      <c r="C350" s="159" t="n"/>
      <c r="D350" s="458" t="n">
        <v>4725</v>
      </c>
      <c r="E350" s="113" t="inlineStr">
        <is>
          <t>동일</t>
        </is>
      </c>
      <c r="F350" s="458" t="n">
        <v>1988.07</v>
      </c>
      <c r="G350" s="458" t="n">
        <v>312</v>
      </c>
      <c r="H350" s="458">
        <f>2026-F350+1</f>
        <v/>
      </c>
      <c r="J350" s="458" t="n">
        <v>56</v>
      </c>
      <c r="K350" s="458" t="n">
        <v>45</v>
      </c>
      <c r="L350" s="458" t="n">
        <v>17</v>
      </c>
      <c r="M350" s="458" t="inlineStr">
        <is>
          <t>계단식</t>
        </is>
      </c>
      <c r="N350" s="458" t="n">
        <v>2</v>
      </c>
      <c r="O350" s="458" t="n">
        <v>1</v>
      </c>
      <c r="P350" s="458" t="n">
        <v>36</v>
      </c>
      <c r="S350" s="581">
        <f>Q350-R350</f>
        <v/>
      </c>
      <c r="T350" s="71">
        <f>R350/Q350</f>
        <v/>
      </c>
      <c r="U350" s="458" t="n">
        <v>19800</v>
      </c>
      <c r="V350" s="458" t="n">
        <v>15400</v>
      </c>
      <c r="AM350" s="236" t="n"/>
    </row>
    <row r="351">
      <c r="A351" s="458" t="inlineStr">
        <is>
          <t>우암동</t>
        </is>
      </c>
      <c r="D351" s="458" t="n">
        <v>4725</v>
      </c>
      <c r="E351" s="113" t="inlineStr">
        <is>
          <t>동일</t>
        </is>
      </c>
      <c r="F351" s="458" t="n">
        <v>1988.07</v>
      </c>
      <c r="G351" s="458" t="n">
        <v>312</v>
      </c>
      <c r="H351" s="458">
        <f>2026-F351+1</f>
        <v/>
      </c>
      <c r="J351" s="458" t="n">
        <v>59</v>
      </c>
      <c r="K351" s="458" t="n">
        <v>48</v>
      </c>
      <c r="L351" s="458" t="n">
        <v>18</v>
      </c>
      <c r="M351" s="458" t="inlineStr">
        <is>
          <t>계단식</t>
        </is>
      </c>
      <c r="N351" s="458" t="n">
        <v>2</v>
      </c>
      <c r="O351" s="458" t="n">
        <v>1</v>
      </c>
      <c r="P351" s="458" t="n">
        <v>24</v>
      </c>
      <c r="S351" s="581">
        <f>Q351-R351</f>
        <v/>
      </c>
      <c r="T351" s="71">
        <f>R351/Q351</f>
        <v/>
      </c>
      <c r="U351" s="458" t="n">
        <v>16500</v>
      </c>
      <c r="V351" s="458" t="n">
        <v>14000</v>
      </c>
    </row>
    <row r="352">
      <c r="A352" s="458" t="inlineStr">
        <is>
          <t>우암동</t>
        </is>
      </c>
      <c r="D352" s="458" t="n">
        <v>4725</v>
      </c>
      <c r="E352" s="113" t="inlineStr">
        <is>
          <t>동일</t>
        </is>
      </c>
      <c r="F352" s="458" t="n">
        <v>1988.07</v>
      </c>
      <c r="G352" s="458" t="n">
        <v>312</v>
      </c>
      <c r="H352" s="458">
        <f>2026-F352+1</f>
        <v/>
      </c>
      <c r="J352" s="458" t="n">
        <v>65</v>
      </c>
      <c r="K352" s="458" t="n">
        <v>53</v>
      </c>
      <c r="L352" s="458" t="n">
        <v>20</v>
      </c>
      <c r="M352" s="458" t="inlineStr">
        <is>
          <t>계단식</t>
        </is>
      </c>
      <c r="N352" s="458" t="n">
        <v>3</v>
      </c>
      <c r="O352" s="458" t="n">
        <v>1</v>
      </c>
      <c r="P352" s="458" t="n">
        <v>36</v>
      </c>
      <c r="S352" s="581">
        <f>Q352-R352</f>
        <v/>
      </c>
      <c r="T352" s="71">
        <f>R352/Q352</f>
        <v/>
      </c>
    </row>
    <row r="353">
      <c r="A353" s="458" t="inlineStr">
        <is>
          <t>우암동</t>
        </is>
      </c>
      <c r="D353" s="458" t="n">
        <v>4725</v>
      </c>
      <c r="E353" s="113" t="inlineStr">
        <is>
          <t>동일</t>
        </is>
      </c>
      <c r="F353" s="458" t="n">
        <v>1988.07</v>
      </c>
      <c r="G353" s="458" t="n">
        <v>312</v>
      </c>
      <c r="H353" s="458">
        <f>2026-F353+1</f>
        <v/>
      </c>
      <c r="J353" s="458" t="n">
        <v>68</v>
      </c>
      <c r="K353" s="458" t="n">
        <v>56</v>
      </c>
      <c r="L353" s="458" t="n">
        <v>21</v>
      </c>
      <c r="M353" s="458" t="inlineStr">
        <is>
          <t>계단식</t>
        </is>
      </c>
      <c r="N353" s="458" t="n">
        <v>3</v>
      </c>
      <c r="O353" s="458" t="n">
        <v>1</v>
      </c>
      <c r="P353" s="458" t="n">
        <v>36</v>
      </c>
      <c r="S353" s="581">
        <f>Q353-R353</f>
        <v/>
      </c>
      <c r="T353" s="71">
        <f>R353/Q353</f>
        <v/>
      </c>
      <c r="U353" s="458" t="n">
        <v>21000</v>
      </c>
      <c r="V353" s="458" t="n">
        <v>21000</v>
      </c>
    </row>
    <row r="354">
      <c r="A354" s="458" t="inlineStr">
        <is>
          <t>우암동</t>
        </is>
      </c>
      <c r="B354" s="159" t="n"/>
      <c r="C354" s="159" t="n"/>
      <c r="D354" s="458" t="n">
        <v>4725</v>
      </c>
      <c r="E354" s="113" t="inlineStr">
        <is>
          <t>동일</t>
        </is>
      </c>
      <c r="F354" s="458" t="n">
        <v>1988.07</v>
      </c>
      <c r="G354" s="458" t="n">
        <v>312</v>
      </c>
      <c r="H354" s="458">
        <f>2026-F354+1</f>
        <v/>
      </c>
      <c r="J354" s="458" t="n">
        <v>81</v>
      </c>
      <c r="K354" s="458" t="n">
        <v>68</v>
      </c>
      <c r="L354" s="458" t="n">
        <v>25</v>
      </c>
      <c r="M354" s="458" t="inlineStr">
        <is>
          <t>계단식</t>
        </is>
      </c>
      <c r="N354" s="458" t="n">
        <v>3</v>
      </c>
      <c r="O354" s="458" t="n">
        <v>1</v>
      </c>
      <c r="P354" s="458" t="n">
        <v>18</v>
      </c>
      <c r="S354" s="581">
        <f>Q354-R354</f>
        <v/>
      </c>
      <c r="T354" s="71">
        <f>R354/Q354</f>
        <v/>
      </c>
      <c r="U354" s="458" t="n">
        <v>23000</v>
      </c>
      <c r="AM354" s="236" t="n"/>
    </row>
    <row r="355">
      <c r="A355" s="494" t="inlineStr">
        <is>
          <t>우암동</t>
        </is>
      </c>
      <c r="B355" s="289" t="n"/>
      <c r="C355" s="289" t="n"/>
      <c r="D355" s="494" t="n">
        <v>161277</v>
      </c>
      <c r="E355" s="150" t="inlineStr">
        <is>
          <t>두산위브더제니스오션시티</t>
        </is>
      </c>
      <c r="F355" s="494" t="n">
        <v>2026.01</v>
      </c>
      <c r="G355" s="494" t="n">
        <v>3048</v>
      </c>
      <c r="H355" s="494">
        <f>2026-F355+1</f>
        <v/>
      </c>
      <c r="I355" s="289" t="n"/>
      <c r="J355" s="494" t="n">
        <v>56</v>
      </c>
      <c r="K355" s="494" t="n">
        <v>39</v>
      </c>
      <c r="L355" s="494" t="n">
        <v>17</v>
      </c>
      <c r="M355" s="494" t="inlineStr">
        <is>
          <t>계단식</t>
        </is>
      </c>
      <c r="N355" s="494" t="n">
        <v>2</v>
      </c>
      <c r="O355" s="494" t="n">
        <v>1</v>
      </c>
      <c r="P355" s="494" t="n">
        <v>214</v>
      </c>
      <c r="Q355" s="156" t="n"/>
      <c r="R355" s="156" t="n"/>
      <c r="S355" s="581">
        <f>Q355-R355</f>
        <v/>
      </c>
      <c r="T355" s="71">
        <f>R355/Q355</f>
        <v/>
      </c>
      <c r="U355" s="289" t="n"/>
      <c r="V355" s="289" t="n"/>
      <c r="AA355" s="289" t="n"/>
      <c r="AB355" s="289" t="n"/>
      <c r="AC355" s="289" t="n"/>
      <c r="AD355" s="289" t="n"/>
      <c r="AE355" s="289" t="n"/>
      <c r="AF355" s="289" t="n"/>
      <c r="AG355" s="289" t="n"/>
      <c r="AK355" s="289" t="n"/>
      <c r="AL355" s="289" t="n"/>
      <c r="AM355" s="289" t="n"/>
      <c r="AN355" s="289" t="n"/>
      <c r="AV355" s="289" t="n"/>
    </row>
    <row r="356">
      <c r="A356" s="458" t="inlineStr">
        <is>
          <t>우암동</t>
        </is>
      </c>
      <c r="B356" s="159" t="n"/>
      <c r="C356" s="159" t="n"/>
      <c r="D356" s="458" t="n">
        <v>4737</v>
      </c>
      <c r="E356" s="113" t="inlineStr">
        <is>
          <t>우암자유2차</t>
        </is>
      </c>
      <c r="F356" s="458" t="n">
        <v>1993.06</v>
      </c>
      <c r="G356" s="458" t="n">
        <v>335</v>
      </c>
      <c r="H356" s="458">
        <f>2026-F356+1</f>
        <v/>
      </c>
      <c r="J356" s="458" t="n">
        <v>89</v>
      </c>
      <c r="K356" s="458" t="n">
        <v>61</v>
      </c>
      <c r="L356" s="458" t="n">
        <v>27</v>
      </c>
      <c r="M356" s="458" t="inlineStr">
        <is>
          <t>복도식</t>
        </is>
      </c>
      <c r="N356" s="458" t="n">
        <v>2</v>
      </c>
      <c r="O356" s="458" t="n">
        <v>1</v>
      </c>
      <c r="P356" s="458" t="n">
        <v>107</v>
      </c>
      <c r="S356" s="581">
        <f>Q356-R356</f>
        <v/>
      </c>
      <c r="T356" s="71">
        <f>R356/Q356</f>
        <v/>
      </c>
      <c r="U356" s="458" t="n">
        <v>19350</v>
      </c>
      <c r="V356" s="458" t="n">
        <v>16500</v>
      </c>
      <c r="AM356" s="236" t="n"/>
    </row>
    <row r="357">
      <c r="A357" s="458" t="inlineStr">
        <is>
          <t>우암동</t>
        </is>
      </c>
      <c r="D357" s="458" t="n">
        <v>4737</v>
      </c>
      <c r="E357" s="113" t="inlineStr">
        <is>
          <t>우암자유2차</t>
        </is>
      </c>
      <c r="F357" s="458" t="n">
        <v>1993.06</v>
      </c>
      <c r="G357" s="458" t="n">
        <v>335</v>
      </c>
      <c r="H357" s="458">
        <f>2026-F357+1</f>
        <v/>
      </c>
      <c r="J357" s="458" t="n">
        <v>161</v>
      </c>
      <c r="K357" s="458" t="n">
        <v>131</v>
      </c>
      <c r="L357" s="458" t="n">
        <v>49</v>
      </c>
      <c r="M357" s="458" t="inlineStr">
        <is>
          <t>계단식</t>
        </is>
      </c>
      <c r="N357" s="458" t="n">
        <v>4</v>
      </c>
      <c r="O357" s="458" t="n">
        <v>2</v>
      </c>
      <c r="P357" s="458" t="n">
        <v>76</v>
      </c>
      <c r="S357" s="581">
        <f>Q357-R357</f>
        <v/>
      </c>
      <c r="T357" s="71">
        <f>R357/Q357</f>
        <v/>
      </c>
      <c r="U357" s="458" t="n">
        <v>37500</v>
      </c>
      <c r="V357" s="458" t="n">
        <v>35000</v>
      </c>
    </row>
    <row r="358">
      <c r="A358" s="494" t="inlineStr">
        <is>
          <t>우암동</t>
        </is>
      </c>
      <c r="B358" s="88" t="n"/>
      <c r="C358" s="89" t="n"/>
      <c r="D358" s="494" t="n">
        <v>11242</v>
      </c>
      <c r="E358" s="133" t="inlineStr">
        <is>
          <t>우암중앙하이츠</t>
        </is>
      </c>
      <c r="F358" s="494" t="n">
        <v>2004.12</v>
      </c>
      <c r="G358" s="494" t="n">
        <v>465</v>
      </c>
      <c r="H358" s="494">
        <f>2026-F358+1</f>
        <v/>
      </c>
      <c r="I358" s="289" t="n"/>
      <c r="J358" s="494" t="n">
        <v>37</v>
      </c>
      <c r="K358" s="494" t="n">
        <v>26</v>
      </c>
      <c r="L358" s="494" t="n">
        <v>11</v>
      </c>
      <c r="M358" s="494" t="inlineStr">
        <is>
          <t>계단식</t>
        </is>
      </c>
      <c r="N358" s="494" t="n">
        <v>1</v>
      </c>
      <c r="O358" s="494" t="n">
        <v>1</v>
      </c>
      <c r="P358" s="494" t="n">
        <v>49</v>
      </c>
      <c r="Q358" s="156" t="n"/>
      <c r="R358" s="156" t="n"/>
      <c r="S358" s="581">
        <f>Q358-R358</f>
        <v/>
      </c>
      <c r="T358" s="71">
        <f>R358/Q358</f>
        <v/>
      </c>
      <c r="U358" s="289" t="n">
        <v>10200</v>
      </c>
      <c r="V358" s="289" t="n"/>
      <c r="AA358" s="289" t="n"/>
      <c r="AB358" s="289" t="n"/>
      <c r="AC358" s="289" t="n"/>
      <c r="AD358" s="289" t="n"/>
      <c r="AE358" s="289" t="n"/>
      <c r="AF358" s="289" t="n"/>
      <c r="AG358" s="289" t="n"/>
      <c r="AK358" s="289" t="n"/>
      <c r="AL358" s="289" t="n"/>
      <c r="AM358" s="88" t="n"/>
      <c r="AN358" s="289" t="n"/>
      <c r="AV358" s="289" t="n"/>
    </row>
    <row r="359">
      <c r="A359" s="458" t="inlineStr">
        <is>
          <t>우암동</t>
        </is>
      </c>
      <c r="D359" s="458" t="n">
        <v>4731</v>
      </c>
      <c r="E359" s="113" t="inlineStr">
        <is>
          <t>일신보라</t>
        </is>
      </c>
      <c r="F359" s="458" t="n">
        <v>1998.09</v>
      </c>
      <c r="G359" s="458" t="n">
        <v>661</v>
      </c>
      <c r="H359" s="458">
        <f>2026-F359+1</f>
        <v/>
      </c>
      <c r="J359" s="458" t="n">
        <v>140</v>
      </c>
      <c r="K359" s="458" t="n">
        <v>116</v>
      </c>
      <c r="L359" s="458" t="n">
        <v>42</v>
      </c>
      <c r="M359" s="458" t="inlineStr">
        <is>
          <t>계단식</t>
        </is>
      </c>
      <c r="N359" s="458" t="n">
        <v>4</v>
      </c>
      <c r="O359" s="458" t="n">
        <v>2</v>
      </c>
      <c r="P359" s="458" t="n">
        <v>96</v>
      </c>
      <c r="S359" s="581">
        <f>Q359-R359</f>
        <v/>
      </c>
      <c r="T359" s="71">
        <f>R359/Q359</f>
        <v/>
      </c>
      <c r="U359" s="458" t="n">
        <v>45200</v>
      </c>
      <c r="V359" s="458" t="n">
        <v>37500</v>
      </c>
    </row>
  </sheetData>
  <autoFilter ref="A4:AY4">
    <sortState ref="A5:AV359">
      <sortCondition descending="1" ref="Q4"/>
    </sortState>
  </autoFilter>
  <mergeCells count="2">
    <mergeCell ref="B3:C3"/>
    <mergeCell ref="AH3:AL3"/>
  </mergeCells>
  <conditionalFormatting sqref="AL1:AL1048576">
    <cfRule type="dataBar" priority="175">
      <dataBar>
        <cfvo type="min"/>
        <cfvo type="max"/>
        <color rgb="FF63C384"/>
      </dataBar>
    </cfRule>
  </conditionalFormatting>
  <conditionalFormatting sqref="B1">
    <cfRule type="cellIs" priority="171" operator="equal" dxfId="1">
      <formula>"중"</formula>
    </cfRule>
    <cfRule type="cellIs" priority="172" operator="equal" dxfId="0">
      <formula>"상"</formula>
    </cfRule>
  </conditionalFormatting>
  <conditionalFormatting sqref="C1:D1">
    <cfRule type="cellIs" priority="169" operator="equal" dxfId="1">
      <formula>"중"</formula>
    </cfRule>
    <cfRule type="cellIs" priority="170" operator="equal" dxfId="0">
      <formula>"상"</formula>
    </cfRule>
  </conditionalFormatting>
  <conditionalFormatting sqref="B2">
    <cfRule type="cellIs" priority="167" operator="equal" dxfId="1">
      <formula>"중"</formula>
    </cfRule>
    <cfRule type="cellIs" priority="168" operator="equal" dxfId="0">
      <formula>"상"</formula>
    </cfRule>
  </conditionalFormatting>
  <conditionalFormatting sqref="B5">
    <cfRule type="cellIs" priority="163" operator="equal" dxfId="1">
      <formula>"중"</formula>
    </cfRule>
    <cfRule type="cellIs" priority="164" operator="equal" dxfId="0">
      <formula>"상"</formula>
    </cfRule>
  </conditionalFormatting>
  <conditionalFormatting sqref="C5:D5">
    <cfRule type="cellIs" priority="161" operator="equal" dxfId="1">
      <formula>"중"</formula>
    </cfRule>
    <cfRule type="cellIs" priority="162" operator="equal" dxfId="0">
      <formula>"상"</formula>
    </cfRule>
  </conditionalFormatting>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 xmlns:r="http://schemas.openxmlformats.org/officeDocument/2006/relationships" ref="E236" r:id="rId232"/>
    <hyperlink xmlns:r="http://schemas.openxmlformats.org/officeDocument/2006/relationships" ref="E237" r:id="rId233"/>
    <hyperlink xmlns:r="http://schemas.openxmlformats.org/officeDocument/2006/relationships" ref="E238" r:id="rId234"/>
    <hyperlink xmlns:r="http://schemas.openxmlformats.org/officeDocument/2006/relationships" ref="E239" r:id="rId235"/>
    <hyperlink xmlns:r="http://schemas.openxmlformats.org/officeDocument/2006/relationships" ref="E240" r:id="rId236"/>
    <hyperlink xmlns:r="http://schemas.openxmlformats.org/officeDocument/2006/relationships" ref="E241" r:id="rId237"/>
    <hyperlink xmlns:r="http://schemas.openxmlformats.org/officeDocument/2006/relationships" ref="E242" r:id="rId238"/>
    <hyperlink xmlns:r="http://schemas.openxmlformats.org/officeDocument/2006/relationships" ref="E243" r:id="rId239"/>
    <hyperlink xmlns:r="http://schemas.openxmlformats.org/officeDocument/2006/relationships" ref="E244" r:id="rId240"/>
    <hyperlink xmlns:r="http://schemas.openxmlformats.org/officeDocument/2006/relationships" ref="E245" r:id="rId241"/>
    <hyperlink xmlns:r="http://schemas.openxmlformats.org/officeDocument/2006/relationships" ref="E246" r:id="rId242"/>
    <hyperlink xmlns:r="http://schemas.openxmlformats.org/officeDocument/2006/relationships" ref="E247" r:id="rId243"/>
    <hyperlink xmlns:r="http://schemas.openxmlformats.org/officeDocument/2006/relationships" ref="E248" r:id="rId244"/>
    <hyperlink xmlns:r="http://schemas.openxmlformats.org/officeDocument/2006/relationships" ref="E249" r:id="rId245"/>
    <hyperlink xmlns:r="http://schemas.openxmlformats.org/officeDocument/2006/relationships" ref="E250" r:id="rId246"/>
    <hyperlink xmlns:r="http://schemas.openxmlformats.org/officeDocument/2006/relationships" ref="E251" r:id="rId247"/>
    <hyperlink xmlns:r="http://schemas.openxmlformats.org/officeDocument/2006/relationships" ref="E252" r:id="rId248"/>
    <hyperlink xmlns:r="http://schemas.openxmlformats.org/officeDocument/2006/relationships" ref="E253" r:id="rId249"/>
    <hyperlink xmlns:r="http://schemas.openxmlformats.org/officeDocument/2006/relationships" ref="E254" r:id="rId250"/>
    <hyperlink xmlns:r="http://schemas.openxmlformats.org/officeDocument/2006/relationships" ref="E255" r:id="rId251"/>
    <hyperlink xmlns:r="http://schemas.openxmlformats.org/officeDocument/2006/relationships" ref="E256" r:id="rId252"/>
    <hyperlink xmlns:r="http://schemas.openxmlformats.org/officeDocument/2006/relationships" ref="E257" r:id="rId253"/>
    <hyperlink xmlns:r="http://schemas.openxmlformats.org/officeDocument/2006/relationships" ref="E258" r:id="rId254"/>
    <hyperlink xmlns:r="http://schemas.openxmlformats.org/officeDocument/2006/relationships" ref="E259" r:id="rId255"/>
    <hyperlink xmlns:r="http://schemas.openxmlformats.org/officeDocument/2006/relationships" ref="E260" r:id="rId256"/>
    <hyperlink xmlns:r="http://schemas.openxmlformats.org/officeDocument/2006/relationships" ref="E261" r:id="rId257"/>
    <hyperlink xmlns:r="http://schemas.openxmlformats.org/officeDocument/2006/relationships" ref="E262" r:id="rId258"/>
    <hyperlink xmlns:r="http://schemas.openxmlformats.org/officeDocument/2006/relationships" ref="E263" r:id="rId259"/>
    <hyperlink xmlns:r="http://schemas.openxmlformats.org/officeDocument/2006/relationships" ref="E264" r:id="rId260"/>
    <hyperlink xmlns:r="http://schemas.openxmlformats.org/officeDocument/2006/relationships" ref="E265" r:id="rId261"/>
    <hyperlink xmlns:r="http://schemas.openxmlformats.org/officeDocument/2006/relationships" ref="E266" r:id="rId262"/>
    <hyperlink xmlns:r="http://schemas.openxmlformats.org/officeDocument/2006/relationships" ref="E267" r:id="rId263"/>
    <hyperlink xmlns:r="http://schemas.openxmlformats.org/officeDocument/2006/relationships" ref="E268" r:id="rId264"/>
    <hyperlink xmlns:r="http://schemas.openxmlformats.org/officeDocument/2006/relationships" ref="E269" r:id="rId265"/>
    <hyperlink xmlns:r="http://schemas.openxmlformats.org/officeDocument/2006/relationships" ref="E270" r:id="rId266"/>
    <hyperlink xmlns:r="http://schemas.openxmlformats.org/officeDocument/2006/relationships" ref="E271" r:id="rId267"/>
    <hyperlink xmlns:r="http://schemas.openxmlformats.org/officeDocument/2006/relationships" ref="E272" r:id="rId268"/>
    <hyperlink xmlns:r="http://schemas.openxmlformats.org/officeDocument/2006/relationships" ref="E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E276" r:id="rId272"/>
    <hyperlink xmlns:r="http://schemas.openxmlformats.org/officeDocument/2006/relationships" ref="E277" r:id="rId273"/>
    <hyperlink xmlns:r="http://schemas.openxmlformats.org/officeDocument/2006/relationships" ref="E278" r:id="rId274"/>
    <hyperlink xmlns:r="http://schemas.openxmlformats.org/officeDocument/2006/relationships" ref="E279" r:id="rId275"/>
    <hyperlink xmlns:r="http://schemas.openxmlformats.org/officeDocument/2006/relationships" ref="E280" r:id="rId276"/>
    <hyperlink xmlns:r="http://schemas.openxmlformats.org/officeDocument/2006/relationships" ref="E281" r:id="rId277"/>
    <hyperlink xmlns:r="http://schemas.openxmlformats.org/officeDocument/2006/relationships" ref="E282" r:id="rId278"/>
    <hyperlink xmlns:r="http://schemas.openxmlformats.org/officeDocument/2006/relationships" ref="E283" r:id="rId279"/>
    <hyperlink xmlns:r="http://schemas.openxmlformats.org/officeDocument/2006/relationships" ref="E284" r:id="rId280"/>
    <hyperlink xmlns:r="http://schemas.openxmlformats.org/officeDocument/2006/relationships" ref="E285" r:id="rId281"/>
    <hyperlink xmlns:r="http://schemas.openxmlformats.org/officeDocument/2006/relationships" ref="E286" r:id="rId282"/>
    <hyperlink xmlns:r="http://schemas.openxmlformats.org/officeDocument/2006/relationships" ref="E287" r:id="rId283"/>
    <hyperlink xmlns:r="http://schemas.openxmlformats.org/officeDocument/2006/relationships" ref="E288" r:id="rId284"/>
    <hyperlink xmlns:r="http://schemas.openxmlformats.org/officeDocument/2006/relationships" ref="E289" r:id="rId285"/>
    <hyperlink xmlns:r="http://schemas.openxmlformats.org/officeDocument/2006/relationships" ref="E290" r:id="rId286"/>
    <hyperlink xmlns:r="http://schemas.openxmlformats.org/officeDocument/2006/relationships" ref="E291" r:id="rId287"/>
    <hyperlink xmlns:r="http://schemas.openxmlformats.org/officeDocument/2006/relationships" ref="E292" r:id="rId288"/>
    <hyperlink xmlns:r="http://schemas.openxmlformats.org/officeDocument/2006/relationships" ref="E293" r:id="rId289"/>
    <hyperlink xmlns:r="http://schemas.openxmlformats.org/officeDocument/2006/relationships" ref="E294" r:id="rId290"/>
    <hyperlink xmlns:r="http://schemas.openxmlformats.org/officeDocument/2006/relationships" ref="E295" r:id="rId291"/>
    <hyperlink xmlns:r="http://schemas.openxmlformats.org/officeDocument/2006/relationships" ref="E296" r:id="rId292"/>
    <hyperlink xmlns:r="http://schemas.openxmlformats.org/officeDocument/2006/relationships" ref="E297" r:id="rId293"/>
    <hyperlink xmlns:r="http://schemas.openxmlformats.org/officeDocument/2006/relationships" ref="E298" r:id="rId294"/>
    <hyperlink xmlns:r="http://schemas.openxmlformats.org/officeDocument/2006/relationships" ref="E299" r:id="rId295"/>
    <hyperlink xmlns:r="http://schemas.openxmlformats.org/officeDocument/2006/relationships" ref="E300" r:id="rId296"/>
    <hyperlink xmlns:r="http://schemas.openxmlformats.org/officeDocument/2006/relationships" ref="E301" r:id="rId297"/>
    <hyperlink xmlns:r="http://schemas.openxmlformats.org/officeDocument/2006/relationships" ref="E302" r:id="rId298"/>
    <hyperlink xmlns:r="http://schemas.openxmlformats.org/officeDocument/2006/relationships" ref="E303" r:id="rId299"/>
    <hyperlink xmlns:r="http://schemas.openxmlformats.org/officeDocument/2006/relationships" ref="E304" r:id="rId300"/>
    <hyperlink xmlns:r="http://schemas.openxmlformats.org/officeDocument/2006/relationships" ref="E305" r:id="rId301"/>
    <hyperlink xmlns:r="http://schemas.openxmlformats.org/officeDocument/2006/relationships" ref="E306" r:id="rId302"/>
    <hyperlink xmlns:r="http://schemas.openxmlformats.org/officeDocument/2006/relationships" ref="E307" r:id="rId303"/>
    <hyperlink xmlns:r="http://schemas.openxmlformats.org/officeDocument/2006/relationships" ref="E308" r:id="rId304"/>
    <hyperlink xmlns:r="http://schemas.openxmlformats.org/officeDocument/2006/relationships" ref="E309" r:id="rId305"/>
    <hyperlink xmlns:r="http://schemas.openxmlformats.org/officeDocument/2006/relationships" ref="E310" r:id="rId306"/>
    <hyperlink xmlns:r="http://schemas.openxmlformats.org/officeDocument/2006/relationships" ref="E311" r:id="rId307"/>
    <hyperlink xmlns:r="http://schemas.openxmlformats.org/officeDocument/2006/relationships" ref="E312" r:id="rId308"/>
    <hyperlink xmlns:r="http://schemas.openxmlformats.org/officeDocument/2006/relationships" ref="E313" r:id="rId309"/>
    <hyperlink xmlns:r="http://schemas.openxmlformats.org/officeDocument/2006/relationships" ref="E314" r:id="rId310"/>
    <hyperlink xmlns:r="http://schemas.openxmlformats.org/officeDocument/2006/relationships" ref="E315" r:id="rId311"/>
    <hyperlink xmlns:r="http://schemas.openxmlformats.org/officeDocument/2006/relationships" ref="E316" r:id="rId312"/>
    <hyperlink xmlns:r="http://schemas.openxmlformats.org/officeDocument/2006/relationships" ref="E317" r:id="rId313"/>
    <hyperlink xmlns:r="http://schemas.openxmlformats.org/officeDocument/2006/relationships" ref="E318" r:id="rId314"/>
    <hyperlink xmlns:r="http://schemas.openxmlformats.org/officeDocument/2006/relationships" ref="E319" r:id="rId315"/>
    <hyperlink xmlns:r="http://schemas.openxmlformats.org/officeDocument/2006/relationships" ref="E320" r:id="rId316"/>
    <hyperlink xmlns:r="http://schemas.openxmlformats.org/officeDocument/2006/relationships" ref="E321" r:id="rId317"/>
    <hyperlink xmlns:r="http://schemas.openxmlformats.org/officeDocument/2006/relationships" ref="E322" r:id="rId318"/>
    <hyperlink xmlns:r="http://schemas.openxmlformats.org/officeDocument/2006/relationships" ref="E323" r:id="rId319"/>
    <hyperlink xmlns:r="http://schemas.openxmlformats.org/officeDocument/2006/relationships" ref="E324" r:id="rId320"/>
    <hyperlink xmlns:r="http://schemas.openxmlformats.org/officeDocument/2006/relationships" ref="E325" r:id="rId321"/>
    <hyperlink xmlns:r="http://schemas.openxmlformats.org/officeDocument/2006/relationships" ref="E326" r:id="rId322"/>
    <hyperlink xmlns:r="http://schemas.openxmlformats.org/officeDocument/2006/relationships" ref="E327" r:id="rId323"/>
    <hyperlink xmlns:r="http://schemas.openxmlformats.org/officeDocument/2006/relationships" ref="E328" r:id="rId324"/>
    <hyperlink xmlns:r="http://schemas.openxmlformats.org/officeDocument/2006/relationships" ref="E329" r:id="rId325"/>
    <hyperlink xmlns:r="http://schemas.openxmlformats.org/officeDocument/2006/relationships" ref="E330" r:id="rId326"/>
    <hyperlink xmlns:r="http://schemas.openxmlformats.org/officeDocument/2006/relationships" ref="E331" r:id="rId327"/>
    <hyperlink xmlns:r="http://schemas.openxmlformats.org/officeDocument/2006/relationships" ref="E332" r:id="rId328"/>
    <hyperlink xmlns:r="http://schemas.openxmlformats.org/officeDocument/2006/relationships" ref="E333"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7" r:id="rId343"/>
    <hyperlink xmlns:r="http://schemas.openxmlformats.org/officeDocument/2006/relationships" ref="E348" r:id="rId344"/>
    <hyperlink xmlns:r="http://schemas.openxmlformats.org/officeDocument/2006/relationships" ref="E349" r:id="rId345"/>
    <hyperlink xmlns:r="http://schemas.openxmlformats.org/officeDocument/2006/relationships" ref="E350" r:id="rId346"/>
    <hyperlink xmlns:r="http://schemas.openxmlformats.org/officeDocument/2006/relationships" ref="E351" r:id="rId347"/>
    <hyperlink xmlns:r="http://schemas.openxmlformats.org/officeDocument/2006/relationships" ref="E352" r:id="rId348"/>
    <hyperlink xmlns:r="http://schemas.openxmlformats.org/officeDocument/2006/relationships" ref="E353" r:id="rId349"/>
    <hyperlink xmlns:r="http://schemas.openxmlformats.org/officeDocument/2006/relationships" ref="E354" r:id="rId350"/>
    <hyperlink xmlns:r="http://schemas.openxmlformats.org/officeDocument/2006/relationships" ref="E355" r:id="rId351"/>
    <hyperlink xmlns:r="http://schemas.openxmlformats.org/officeDocument/2006/relationships" ref="E356" r:id="rId352"/>
    <hyperlink xmlns:r="http://schemas.openxmlformats.org/officeDocument/2006/relationships" ref="E357" r:id="rId353"/>
    <hyperlink xmlns:r="http://schemas.openxmlformats.org/officeDocument/2006/relationships" ref="E358" r:id="rId354"/>
    <hyperlink xmlns:r="http://schemas.openxmlformats.org/officeDocument/2006/relationships" ref="E359" r:id="rId355"/>
  </hyperlinks>
  <pageMargins left="0.25" right="0.25" top="0.75" bottom="0.75" header="0.3" footer="0.3"/>
  <pageSetup orientation="landscape" paperSize="9" scale="4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R156"/>
  <sheetViews>
    <sheetView topLeftCell="A16" workbookViewId="0">
      <selection activeCell="H24" sqref="H24"/>
    </sheetView>
  </sheetViews>
  <sheetFormatPr baseColWidth="8" defaultRowHeight="14"/>
  <cols>
    <col width="21.81640625" customWidth="1" style="476" min="5" max="5"/>
    <col width="5.1796875" customWidth="1" style="476" min="7" max="7"/>
    <col width="5.90625" customWidth="1" style="476" min="10" max="10"/>
    <col width="5" customWidth="1" style="476" min="11" max="11"/>
    <col width="4.7265625" customWidth="1" style="476" min="12" max="12"/>
    <col hidden="1" width="13" customWidth="1" style="476" min="13" max="16"/>
  </cols>
  <sheetData>
    <row r="1" customFormat="1" s="458">
      <c r="A1" s="159" t="n"/>
      <c r="B1" s="12" t="inlineStr">
        <is>
          <t>상</t>
        </is>
      </c>
      <c r="C1" s="13" t="inlineStr">
        <is>
          <t>중</t>
        </is>
      </c>
      <c r="D1" s="160" t="n"/>
      <c r="E1" s="17" t="n"/>
      <c r="F1" s="21" t="n"/>
      <c r="G1" s="21" t="n"/>
      <c r="H1" s="21" t="n"/>
      <c r="I1" s="134" t="n"/>
      <c r="J1" s="134" t="n"/>
      <c r="K1" s="134" t="n"/>
      <c r="L1" s="134" t="n"/>
      <c r="M1" s="134" t="n"/>
      <c r="N1" s="134" t="n"/>
      <c r="O1" s="134" t="n"/>
      <c r="P1" s="134" t="n"/>
      <c r="Q1" s="134" t="n"/>
      <c r="R1" s="134" t="n"/>
      <c r="S1" s="134" t="n"/>
      <c r="T1" s="134" t="n"/>
      <c r="U1" s="134" t="n"/>
      <c r="V1" s="134" t="n"/>
      <c r="W1" s="159" t="n"/>
      <c r="X1" s="159" t="n"/>
      <c r="Y1" s="159" t="n"/>
      <c r="AG1" s="137" t="n"/>
      <c r="AH1" s="137" t="n"/>
      <c r="AI1" s="236" t="n"/>
      <c r="AJ1" s="1" t="n"/>
    </row>
    <row r="2" customFormat="1" s="458">
      <c r="A2" s="159" t="n"/>
      <c r="B2" s="12" t="inlineStr">
        <is>
          <t>하</t>
        </is>
      </c>
      <c r="C2" s="12" t="n"/>
      <c r="D2" s="159" t="n"/>
      <c r="E2" s="17" t="n"/>
      <c r="F2" s="21" t="n"/>
      <c r="G2" s="21" t="n"/>
      <c r="H2" s="21" t="n"/>
      <c r="I2" s="134" t="n"/>
      <c r="J2" s="134" t="n"/>
      <c r="K2" s="134" t="n"/>
      <c r="L2" s="134" t="n"/>
      <c r="M2" s="134" t="n"/>
      <c r="N2" s="134" t="n"/>
      <c r="O2" s="134" t="n"/>
      <c r="P2" s="134" t="n"/>
      <c r="Q2" s="134" t="n"/>
      <c r="R2" s="134" t="n"/>
      <c r="S2" s="134" t="n"/>
      <c r="T2" s="134" t="n"/>
      <c r="U2" s="134" t="n"/>
      <c r="V2" s="134" t="n"/>
      <c r="W2" s="159" t="n"/>
      <c r="X2" s="159" t="n"/>
      <c r="Y2" s="159" t="n"/>
      <c r="AG2" s="137" t="n"/>
      <c r="AH2" s="137" t="n"/>
      <c r="AI2" s="236" t="n"/>
      <c r="AJ2" s="1" t="n"/>
    </row>
    <row r="3" ht="20" customFormat="1" customHeight="1" s="458">
      <c r="A3" s="159" t="n">
        <v>84</v>
      </c>
      <c r="B3" s="444" t="inlineStr">
        <is>
          <t>선호도</t>
        </is>
      </c>
      <c r="C3" s="445" t="n"/>
      <c r="D3" s="72" t="n"/>
      <c r="E3" s="73" t="inlineStr">
        <is>
          <t>단지정보 (30평)</t>
        </is>
      </c>
      <c r="F3" s="443" t="n"/>
      <c r="G3" s="443" t="n"/>
      <c r="H3" s="443" t="n"/>
      <c r="I3" s="443" t="n"/>
      <c r="J3" s="443" t="n"/>
      <c r="K3" s="443" t="n"/>
      <c r="L3" s="443" t="n"/>
      <c r="M3" s="443" t="n"/>
      <c r="N3" s="443" t="n"/>
      <c r="O3" s="443" t="n"/>
      <c r="P3" s="443" t="n"/>
      <c r="Q3" s="443" t="n"/>
      <c r="R3" s="443" t="n"/>
      <c r="S3" s="443" t="n"/>
      <c r="T3" s="443" t="n"/>
      <c r="U3" s="443" t="n"/>
      <c r="V3" s="443" t="n"/>
      <c r="W3" s="443" t="n"/>
      <c r="X3" s="443" t="n"/>
      <c r="Y3" s="443" t="n"/>
      <c r="Z3" s="443" t="n"/>
      <c r="AA3" s="443" t="n"/>
      <c r="AB3" s="443" t="n"/>
      <c r="AC3" s="443" t="n"/>
      <c r="AD3" s="446" t="inlineStr">
        <is>
          <t>투자결과</t>
        </is>
      </c>
      <c r="AE3" s="443" t="n"/>
      <c r="AF3" s="443" t="n"/>
      <c r="AG3" s="443" t="n"/>
      <c r="AH3" s="445" t="n"/>
      <c r="AI3" s="2" t="n"/>
      <c r="AJ3" s="1" t="n"/>
    </row>
    <row r="4" ht="17.5" customFormat="1" customHeight="1" s="458">
      <c r="A4" s="159" t="n"/>
      <c r="B4" s="9" t="inlineStr">
        <is>
          <t>생활권</t>
        </is>
      </c>
      <c r="C4" s="10" t="inlineStr">
        <is>
          <t>생활권 내</t>
        </is>
      </c>
      <c r="D4" s="458" t="inlineStr">
        <is>
          <t>단지코드</t>
        </is>
      </c>
      <c r="E4" s="458" t="inlineStr">
        <is>
          <t>단지명</t>
        </is>
      </c>
      <c r="F4" s="458" t="inlineStr">
        <is>
          <t>사용승인일</t>
        </is>
      </c>
      <c r="G4" s="458" t="inlineStr">
        <is>
          <t>총세대수</t>
        </is>
      </c>
      <c r="H4" s="22" t="inlineStr">
        <is>
          <t>나이</t>
        </is>
      </c>
      <c r="I4" s="68" t="inlineStr">
        <is>
          <t>타입</t>
        </is>
      </c>
      <c r="J4" s="68" t="inlineStr">
        <is>
          <t>공급면적</t>
        </is>
      </c>
      <c r="K4" s="116" t="inlineStr">
        <is>
          <t>전용면적</t>
        </is>
      </c>
      <c r="L4" s="116" t="inlineStr">
        <is>
          <t>평형</t>
        </is>
      </c>
      <c r="M4" s="458" t="inlineStr">
        <is>
          <t>구조</t>
        </is>
      </c>
      <c r="N4" s="458" t="inlineStr">
        <is>
          <t>방수</t>
        </is>
      </c>
      <c r="O4" s="458" t="inlineStr">
        <is>
          <t>욕실수</t>
        </is>
      </c>
      <c r="P4" s="458" t="inlineStr">
        <is>
          <t>평형별 세대수</t>
        </is>
      </c>
      <c r="Q4" s="116" t="inlineStr">
        <is>
          <t>매</t>
        </is>
      </c>
      <c r="R4" s="116" t="inlineStr">
        <is>
          <t>전</t>
        </is>
      </c>
      <c r="S4" s="116" t="inlineStr">
        <is>
          <t>차</t>
        </is>
      </c>
      <c r="T4" s="116" t="inlineStr">
        <is>
          <t>전세가율</t>
        </is>
      </c>
      <c r="U4" s="116" t="inlineStr">
        <is>
          <t>전고</t>
        </is>
      </c>
      <c r="V4" s="116" t="inlineStr">
        <is>
          <t>전저</t>
        </is>
      </c>
      <c r="W4" s="159" t="inlineStr">
        <is>
          <t>시기(년)</t>
        </is>
      </c>
      <c r="X4" s="236" t="inlineStr">
        <is>
          <t>(전세가율80%이상인)기간</t>
        </is>
      </c>
      <c r="Y4" s="159" t="inlineStr">
        <is>
          <t>평형</t>
        </is>
      </c>
      <c r="Z4" s="159" t="inlineStr">
        <is>
          <t>매매가</t>
        </is>
      </c>
      <c r="AA4" s="159" t="inlineStr">
        <is>
          <t>전세가</t>
        </is>
      </c>
      <c r="AB4" s="159" t="inlineStr">
        <is>
          <t>전세가율</t>
        </is>
      </c>
      <c r="AC4" s="24" t="inlineStr">
        <is>
          <t>투자금</t>
        </is>
      </c>
      <c r="AD4" s="9" t="inlineStr">
        <is>
          <t>시기(년)</t>
        </is>
      </c>
      <c r="AE4" s="9" t="inlineStr">
        <is>
          <t>매매가</t>
        </is>
      </c>
      <c r="AF4" s="9" t="inlineStr">
        <is>
          <t>수익금</t>
        </is>
      </c>
      <c r="AG4" s="25" t="inlineStr">
        <is>
          <t>상승율</t>
        </is>
      </c>
      <c r="AH4" s="26" t="inlineStr">
        <is>
          <t>수익율</t>
        </is>
      </c>
      <c r="AI4" s="2" t="n"/>
      <c r="AJ4" s="14" t="n"/>
    </row>
    <row r="5">
      <c r="A5" s="458" t="inlineStr">
        <is>
          <t>남천동</t>
        </is>
      </c>
      <c r="D5" s="458" t="n">
        <v>154302</v>
      </c>
      <c r="E5" s="114" t="inlineStr">
        <is>
          <t>남천자이</t>
        </is>
      </c>
      <c r="F5" s="458" t="n">
        <v>2023.01</v>
      </c>
      <c r="G5" s="458" t="n">
        <v>913</v>
      </c>
      <c r="H5" s="458">
        <f>2026-F5+1</f>
        <v/>
      </c>
      <c r="J5" s="458" t="n"/>
      <c r="K5" s="458" t="n">
        <v>84</v>
      </c>
      <c r="L5" s="458" t="n"/>
      <c r="M5" s="458" t="inlineStr">
        <is>
          <t>계단식</t>
        </is>
      </c>
      <c r="N5" s="458" t="n">
        <v>3</v>
      </c>
      <c r="O5" s="458" t="n">
        <v>2</v>
      </c>
      <c r="P5" s="458" t="n">
        <v>547</v>
      </c>
      <c r="Q5" s="458" t="n">
        <v>160000</v>
      </c>
      <c r="R5" s="458" t="n">
        <v>65000</v>
      </c>
      <c r="S5" s="458">
        <f>Q5-R5</f>
        <v/>
      </c>
      <c r="T5" s="323">
        <f>R5/Q5</f>
        <v/>
      </c>
      <c r="U5" s="458" t="n"/>
      <c r="V5" s="458" t="n">
        <v>112000</v>
      </c>
    </row>
    <row r="6">
      <c r="A6" s="458" t="inlineStr">
        <is>
          <t>남천동</t>
        </is>
      </c>
      <c r="D6" s="458" t="n">
        <v>154302</v>
      </c>
      <c r="E6" s="114" t="inlineStr">
        <is>
          <t>남천자이</t>
        </is>
      </c>
      <c r="F6" s="458" t="n">
        <v>2023.01</v>
      </c>
      <c r="G6" s="458" t="n">
        <v>913</v>
      </c>
      <c r="H6" s="458">
        <f>2026-F6+1</f>
        <v/>
      </c>
      <c r="J6" s="458" t="n">
        <v>102</v>
      </c>
      <c r="K6" s="458" t="n">
        <v>77</v>
      </c>
      <c r="L6" s="458" t="n">
        <v>31</v>
      </c>
      <c r="M6" s="458" t="inlineStr">
        <is>
          <t>계단식</t>
        </is>
      </c>
      <c r="N6" s="458" t="n">
        <v>3</v>
      </c>
      <c r="O6" s="458" t="n">
        <v>2</v>
      </c>
      <c r="P6" s="458" t="n">
        <v>24</v>
      </c>
      <c r="Q6" s="458" t="n">
        <v>150000</v>
      </c>
      <c r="R6" s="458" t="n">
        <v>55000</v>
      </c>
      <c r="S6" s="458">
        <f>Q6-R6</f>
        <v/>
      </c>
      <c r="T6" s="323">
        <f>R6/Q6</f>
        <v/>
      </c>
      <c r="U6" s="458" t="n"/>
      <c r="V6" s="458" t="n">
        <v>117500</v>
      </c>
    </row>
    <row r="7">
      <c r="A7" s="458" t="inlineStr">
        <is>
          <t>남천동</t>
        </is>
      </c>
      <c r="D7" s="458" t="n">
        <v>154302</v>
      </c>
      <c r="E7" s="114" t="inlineStr">
        <is>
          <t>남천자이</t>
        </is>
      </c>
      <c r="F7" s="458" t="n">
        <v>2023.01</v>
      </c>
      <c r="G7" s="458" t="n">
        <v>913</v>
      </c>
      <c r="H7" s="458">
        <f>2026-F7+1</f>
        <v/>
      </c>
      <c r="J7" s="458" t="n"/>
      <c r="K7" s="458" t="n">
        <v>74</v>
      </c>
      <c r="L7" s="458" t="n"/>
      <c r="M7" s="458" t="inlineStr">
        <is>
          <t>계단식</t>
        </is>
      </c>
      <c r="N7" s="458" t="n">
        <v>3</v>
      </c>
      <c r="O7" s="458" t="n">
        <v>2</v>
      </c>
      <c r="P7" s="458" t="n">
        <v>88</v>
      </c>
      <c r="Q7" s="458" t="n">
        <v>125000</v>
      </c>
      <c r="R7" s="458" t="n">
        <v>55000</v>
      </c>
      <c r="S7" s="458">
        <f>Q7-R7</f>
        <v/>
      </c>
      <c r="T7" s="323">
        <f>R7/Q7</f>
        <v/>
      </c>
      <c r="V7" s="458" t="n">
        <v>93000</v>
      </c>
    </row>
    <row r="8">
      <c r="A8" s="289" t="inlineStr">
        <is>
          <t>남천동</t>
        </is>
      </c>
      <c r="B8" s="289" t="n"/>
      <c r="C8" s="289" t="n"/>
      <c r="D8" s="289" t="n">
        <v>127133</v>
      </c>
      <c r="E8" s="115" t="inlineStr">
        <is>
          <t>더샵남천프레스티지</t>
        </is>
      </c>
      <c r="F8" s="289" t="n">
        <v>2022.09</v>
      </c>
      <c r="G8" s="289" t="n">
        <v>975</v>
      </c>
      <c r="H8" s="289">
        <f>2026-F8+1</f>
        <v/>
      </c>
      <c r="I8" s="289" t="n"/>
      <c r="J8" s="289" t="n"/>
      <c r="K8" s="289" t="n">
        <v>84</v>
      </c>
      <c r="L8" s="289" t="n"/>
      <c r="M8" s="289" t="inlineStr">
        <is>
          <t>계단식</t>
        </is>
      </c>
      <c r="N8" s="289" t="n">
        <v>3</v>
      </c>
      <c r="O8" s="289" t="n">
        <v>2</v>
      </c>
      <c r="P8" s="289" t="n">
        <v>504</v>
      </c>
      <c r="Q8" s="289" t="n">
        <v>125000</v>
      </c>
      <c r="R8" s="289" t="n">
        <v>65000</v>
      </c>
      <c r="S8" s="458">
        <f>Q8-R8</f>
        <v/>
      </c>
      <c r="T8" s="323">
        <f>R8/Q8</f>
        <v/>
      </c>
      <c r="U8" s="289" t="n">
        <v>129000</v>
      </c>
      <c r="V8" s="289" t="n">
        <v>71000</v>
      </c>
      <c r="W8" s="289" t="n"/>
      <c r="X8" s="289" t="n"/>
      <c r="Y8" s="289" t="n"/>
      <c r="Z8" s="289" t="n"/>
      <c r="AA8" s="289" t="n"/>
      <c r="AB8" s="289" t="n"/>
      <c r="AC8" s="289" t="n"/>
      <c r="AG8" s="289" t="n"/>
      <c r="AH8" s="289" t="n"/>
      <c r="AI8" s="289" t="n"/>
      <c r="AJ8" s="289" t="n"/>
      <c r="AR8" s="289" t="n"/>
    </row>
    <row r="9">
      <c r="A9" s="458" t="inlineStr">
        <is>
          <t>남천동</t>
        </is>
      </c>
      <c r="B9" s="458" t="n"/>
      <c r="C9" s="458" t="n"/>
      <c r="D9" s="458" t="n">
        <v>7770</v>
      </c>
      <c r="E9" s="114" t="inlineStr">
        <is>
          <t>삼익비치타운</t>
        </is>
      </c>
      <c r="F9" s="458" t="n">
        <v>1979.1</v>
      </c>
      <c r="G9" s="458" t="n">
        <v>3060</v>
      </c>
      <c r="H9" s="458">
        <f>2026-F9+1</f>
        <v/>
      </c>
      <c r="I9" s="458" t="n"/>
      <c r="J9" s="458" t="n"/>
      <c r="K9" s="458" t="n">
        <v>84</v>
      </c>
      <c r="L9" s="458" t="n"/>
      <c r="M9" s="458" t="inlineStr">
        <is>
          <t>복도식</t>
        </is>
      </c>
      <c r="N9" s="458" t="n">
        <v>3</v>
      </c>
      <c r="O9" s="458" t="n">
        <v>1</v>
      </c>
      <c r="P9" s="458" t="n">
        <v>504</v>
      </c>
      <c r="Q9" s="458" t="n">
        <v>102000</v>
      </c>
      <c r="R9" s="458" t="n">
        <v>16000</v>
      </c>
      <c r="S9" s="458">
        <f>Q9-R9</f>
        <v/>
      </c>
      <c r="T9" s="323">
        <f>R9/Q9</f>
        <v/>
      </c>
      <c r="U9" s="458" t="n">
        <v>160000</v>
      </c>
      <c r="V9" s="458" t="n">
        <v>99000</v>
      </c>
      <c r="W9" s="458" t="n"/>
      <c r="X9" s="458" t="n"/>
      <c r="Y9" s="458" t="n"/>
      <c r="Z9" s="458" t="n"/>
      <c r="AA9" s="458" t="n"/>
      <c r="AB9" s="458" t="n"/>
      <c r="AC9" s="458" t="n"/>
      <c r="AG9" s="458" t="n"/>
      <c r="AH9" s="458" t="n"/>
      <c r="AI9" s="458" t="n"/>
      <c r="AJ9" s="458" t="n"/>
      <c r="AR9" s="458" t="n"/>
    </row>
    <row r="10">
      <c r="A10" s="458" t="inlineStr">
        <is>
          <t>광안동</t>
        </is>
      </c>
      <c r="B10" s="458" t="n"/>
      <c r="C10" s="458" t="n"/>
      <c r="D10" s="458" t="n">
        <v>119208</v>
      </c>
      <c r="E10" s="114" t="inlineStr">
        <is>
          <t>광안자이</t>
        </is>
      </c>
      <c r="F10" s="458" t="n">
        <v>2020.08</v>
      </c>
      <c r="G10" s="458" t="n">
        <v>971</v>
      </c>
      <c r="H10" s="458">
        <f>2026-F10+1</f>
        <v/>
      </c>
      <c r="I10" s="458" t="n"/>
      <c r="J10" s="458" t="n"/>
      <c r="K10" s="458" t="n">
        <v>84</v>
      </c>
      <c r="L10" s="458" t="n"/>
      <c r="M10" s="458" t="inlineStr">
        <is>
          <t>계단식</t>
        </is>
      </c>
      <c r="N10" s="458" t="n">
        <v>3</v>
      </c>
      <c r="O10" s="458" t="n">
        <v>2</v>
      </c>
      <c r="P10" s="458" t="n">
        <v>588</v>
      </c>
      <c r="Q10" s="458" t="n">
        <v>99000</v>
      </c>
      <c r="R10" s="458" t="n">
        <v>60000</v>
      </c>
      <c r="S10" s="458">
        <f>Q10-R10</f>
        <v/>
      </c>
      <c r="T10" s="323">
        <f>R10/Q10</f>
        <v/>
      </c>
      <c r="U10" s="458" t="n">
        <v>144500</v>
      </c>
      <c r="V10" s="458" t="n">
        <v>74000</v>
      </c>
      <c r="W10" s="458" t="n"/>
      <c r="X10" s="458" t="n"/>
      <c r="Y10" s="458" t="n"/>
      <c r="Z10" s="458" t="n"/>
      <c r="AA10" s="458" t="n"/>
      <c r="AB10" s="458" t="n"/>
      <c r="AC10" s="458" t="n"/>
      <c r="AG10" s="458" t="n"/>
      <c r="AH10" s="458" t="n"/>
      <c r="AI10" s="458" t="n"/>
      <c r="AJ10" s="458" t="n"/>
      <c r="AR10" s="458" t="n"/>
    </row>
    <row r="11">
      <c r="A11" s="289" t="inlineStr">
        <is>
          <t>남천동</t>
        </is>
      </c>
      <c r="B11" s="289" t="n"/>
      <c r="C11" s="289" t="n"/>
      <c r="D11" s="289" t="n">
        <v>24896</v>
      </c>
      <c r="E11" s="133" t="inlineStr">
        <is>
          <t>남천코오롱하늘채골든비치</t>
        </is>
      </c>
      <c r="F11" s="289" t="n">
        <v>2009.01</v>
      </c>
      <c r="G11" s="289" t="n">
        <v>987</v>
      </c>
      <c r="H11" s="289">
        <f>2026-F11+1</f>
        <v/>
      </c>
      <c r="I11" s="289" t="n"/>
      <c r="J11" s="289" t="n">
        <v>112</v>
      </c>
      <c r="K11" s="289" t="n">
        <v>84</v>
      </c>
      <c r="L11" s="289" t="n">
        <v>34</v>
      </c>
      <c r="M11" s="289" t="inlineStr">
        <is>
          <t>복합식</t>
        </is>
      </c>
      <c r="N11" s="289" t="n">
        <v>3</v>
      </c>
      <c r="O11" s="289" t="n">
        <v>2</v>
      </c>
      <c r="P11" s="289" t="n">
        <v>149</v>
      </c>
      <c r="Q11" s="289" t="n">
        <v>98000</v>
      </c>
      <c r="R11" s="289" t="n">
        <v>45000</v>
      </c>
      <c r="S11" s="458">
        <f>Q11-R11</f>
        <v/>
      </c>
      <c r="T11" s="323">
        <f>R11/Q11</f>
        <v/>
      </c>
      <c r="U11" s="289" t="n">
        <v>75000</v>
      </c>
      <c r="V11" s="289" t="n">
        <v>71000</v>
      </c>
      <c r="W11" s="289" t="n"/>
      <c r="X11" s="289" t="n"/>
      <c r="Y11" s="289" t="n"/>
      <c r="Z11" s="289" t="n"/>
      <c r="AA11" s="289" t="n"/>
      <c r="AB11" s="289" t="n"/>
      <c r="AC11" s="289" t="n"/>
      <c r="AG11" s="289" t="n"/>
      <c r="AH11" s="289" t="n"/>
      <c r="AI11" s="289" t="n"/>
      <c r="AJ11" s="289" t="n"/>
      <c r="AR11" s="289" t="n"/>
    </row>
    <row r="12">
      <c r="A12" s="458" t="inlineStr">
        <is>
          <t>남천동</t>
        </is>
      </c>
      <c r="D12" s="458" t="n">
        <v>114752</v>
      </c>
      <c r="E12" s="114" t="inlineStr">
        <is>
          <t>남천금호어울림더비치</t>
        </is>
      </c>
      <c r="F12" s="458" t="n">
        <v>2019.07</v>
      </c>
      <c r="G12" s="458" t="n">
        <v>421</v>
      </c>
      <c r="H12" s="458">
        <f>2026-F12+1</f>
        <v/>
      </c>
      <c r="J12" s="458" t="n"/>
      <c r="K12" s="458" t="n">
        <v>84</v>
      </c>
      <c r="L12" s="458" t="n"/>
      <c r="M12" s="458" t="inlineStr">
        <is>
          <t>계단식</t>
        </is>
      </c>
      <c r="N12" s="458" t="n">
        <v>3</v>
      </c>
      <c r="O12" s="458" t="n">
        <v>2</v>
      </c>
      <c r="P12" s="458" t="n">
        <v>345</v>
      </c>
      <c r="Q12" s="458" t="n">
        <v>96000</v>
      </c>
      <c r="R12" s="458" t="n">
        <v>60000</v>
      </c>
      <c r="S12" s="458">
        <f>Q12-R12</f>
        <v/>
      </c>
      <c r="T12" s="323">
        <f>R12/Q12</f>
        <v/>
      </c>
      <c r="U12" s="458" t="n">
        <v>110000</v>
      </c>
      <c r="V12" s="458" t="n">
        <v>72500</v>
      </c>
    </row>
    <row r="13">
      <c r="A13" s="289" t="inlineStr">
        <is>
          <t>수영동</t>
        </is>
      </c>
      <c r="B13" s="289" t="n"/>
      <c r="C13" s="289" t="n"/>
      <c r="D13" s="289" t="n">
        <v>7914</v>
      </c>
      <c r="E13" s="115" t="inlineStr">
        <is>
          <t>현대</t>
        </is>
      </c>
      <c r="F13" s="289" t="n">
        <v>1988.04</v>
      </c>
      <c r="G13" s="289" t="n">
        <v>1180</v>
      </c>
      <c r="H13" s="289">
        <f>2026-F13+1</f>
        <v/>
      </c>
      <c r="I13" s="289" t="n"/>
      <c r="J13" s="289" t="n">
        <v>102</v>
      </c>
      <c r="K13" s="289" t="n">
        <v>84</v>
      </c>
      <c r="L13" s="289" t="n">
        <v>31</v>
      </c>
      <c r="M13" s="289" t="inlineStr">
        <is>
          <t>계단식</t>
        </is>
      </c>
      <c r="N13" s="289" t="n">
        <v>3</v>
      </c>
      <c r="O13" s="289" t="n">
        <v>2</v>
      </c>
      <c r="P13" s="289" t="n">
        <v>450</v>
      </c>
      <c r="Q13" s="289" t="n">
        <v>95000</v>
      </c>
      <c r="R13" s="289" t="n">
        <v>25000</v>
      </c>
      <c r="S13" s="458">
        <f>Q13-R13</f>
        <v/>
      </c>
      <c r="T13" s="323">
        <f>R13/Q13</f>
        <v/>
      </c>
      <c r="U13" s="289" t="n">
        <v>131500</v>
      </c>
      <c r="V13" s="289" t="n">
        <v>65000</v>
      </c>
      <c r="W13" s="289" t="n"/>
      <c r="X13" s="289" t="n"/>
      <c r="Y13" s="289" t="n"/>
      <c r="Z13" s="289" t="n"/>
      <c r="AA13" s="289" t="n"/>
      <c r="AB13" s="289" t="n"/>
      <c r="AC13" s="289" t="n"/>
      <c r="AG13" s="289" t="n"/>
      <c r="AH13" s="289" t="n"/>
      <c r="AI13" s="289" t="n"/>
      <c r="AJ13" s="289" t="n"/>
      <c r="AR13" s="289" t="n"/>
    </row>
    <row r="14">
      <c r="A14" s="458" t="inlineStr">
        <is>
          <t>남천동</t>
        </is>
      </c>
      <c r="B14" s="458" t="n"/>
      <c r="C14" s="458" t="n"/>
      <c r="D14" s="458" t="n">
        <v>154302</v>
      </c>
      <c r="E14" s="146" t="inlineStr">
        <is>
          <t>남천자이</t>
        </is>
      </c>
      <c r="F14" s="458" t="n">
        <v>2023.01</v>
      </c>
      <c r="G14" s="458" t="n">
        <v>913</v>
      </c>
      <c r="H14" s="458">
        <f>2026-F14+1</f>
        <v/>
      </c>
      <c r="I14" s="458" t="n"/>
      <c r="J14" s="458" t="n"/>
      <c r="K14" s="458" t="n">
        <v>59</v>
      </c>
      <c r="L14" s="458" t="n"/>
      <c r="M14" s="458" t="inlineStr">
        <is>
          <t>계단식</t>
        </is>
      </c>
      <c r="N14" s="458" t="n">
        <v>3</v>
      </c>
      <c r="O14" s="458" t="n">
        <v>2</v>
      </c>
      <c r="P14" s="458" t="n">
        <v>116</v>
      </c>
      <c r="Q14" s="458" t="n">
        <v>93000</v>
      </c>
      <c r="R14" s="458" t="n">
        <v>43000</v>
      </c>
      <c r="S14" s="458">
        <f>Q14-R14</f>
        <v/>
      </c>
      <c r="T14" s="323">
        <f>R14/Q14</f>
        <v/>
      </c>
      <c r="U14" s="458" t="n"/>
      <c r="V14" s="458" t="n">
        <v>76000</v>
      </c>
      <c r="W14" s="458" t="n"/>
      <c r="X14" s="458" t="n"/>
      <c r="Y14" s="458" t="n"/>
      <c r="Z14" s="458" t="n"/>
      <c r="AA14" s="458" t="n"/>
      <c r="AB14" s="458" t="n"/>
      <c r="AC14" s="458" t="n"/>
      <c r="AG14" s="458" t="n"/>
      <c r="AH14" s="458" t="n"/>
      <c r="AI14" s="458" t="n"/>
      <c r="AJ14" s="458" t="n"/>
      <c r="AR14" s="458" t="n"/>
    </row>
    <row r="15">
      <c r="A15" s="458" t="inlineStr">
        <is>
          <t>남천동</t>
        </is>
      </c>
      <c r="D15" s="458" t="n">
        <v>7717</v>
      </c>
      <c r="E15" s="114" t="inlineStr">
        <is>
          <t>뉴비치</t>
        </is>
      </c>
      <c r="F15" s="458" t="n">
        <v>1986.05</v>
      </c>
      <c r="G15" s="458" t="n">
        <v>990</v>
      </c>
      <c r="H15" s="458">
        <f>2026-F15+1</f>
        <v/>
      </c>
      <c r="J15" s="458" t="n">
        <v>101</v>
      </c>
      <c r="K15" s="458" t="n">
        <v>84</v>
      </c>
      <c r="L15" s="458" t="n">
        <v>31</v>
      </c>
      <c r="M15" s="458" t="inlineStr">
        <is>
          <t>계단식</t>
        </is>
      </c>
      <c r="N15" s="458" t="n">
        <v>3</v>
      </c>
      <c r="O15" s="458" t="n">
        <v>2</v>
      </c>
      <c r="P15" s="458" t="n">
        <v>210</v>
      </c>
      <c r="Q15" s="458" t="n">
        <v>93000</v>
      </c>
      <c r="R15" s="458" t="n">
        <v>32000</v>
      </c>
      <c r="S15" s="458">
        <f>Q15-R15</f>
        <v/>
      </c>
      <c r="T15" s="323">
        <f>R15/Q15</f>
        <v/>
      </c>
      <c r="U15" s="458" t="n">
        <v>134500</v>
      </c>
      <c r="V15" s="458" t="n">
        <v>78300</v>
      </c>
    </row>
    <row r="16">
      <c r="A16" s="289" t="inlineStr">
        <is>
          <t>남천동</t>
        </is>
      </c>
      <c r="B16" s="289" t="n"/>
      <c r="C16" s="289" t="n"/>
      <c r="D16" s="289" t="n">
        <v>127133</v>
      </c>
      <c r="E16" s="115" t="inlineStr">
        <is>
          <t>더샵남천프레스티지</t>
        </is>
      </c>
      <c r="F16" s="289" t="n">
        <v>2022.09</v>
      </c>
      <c r="G16" s="289" t="n">
        <v>975</v>
      </c>
      <c r="H16" s="289">
        <f>2026-F16+1</f>
        <v/>
      </c>
      <c r="I16" s="289" t="n"/>
      <c r="J16" s="289" t="n"/>
      <c r="K16" s="289" t="n">
        <v>59</v>
      </c>
      <c r="L16" s="289" t="n"/>
      <c r="M16" s="289" t="inlineStr">
        <is>
          <t>계단식</t>
        </is>
      </c>
      <c r="N16" s="289" t="n">
        <v>3</v>
      </c>
      <c r="O16" s="289" t="n">
        <v>2</v>
      </c>
      <c r="P16" s="289" t="n">
        <v>178</v>
      </c>
      <c r="Q16" s="289" t="n">
        <v>92000</v>
      </c>
      <c r="R16" s="289" t="n">
        <v>48000</v>
      </c>
      <c r="S16" s="458">
        <f>Q16-R16</f>
        <v/>
      </c>
      <c r="T16" s="323">
        <f>R16/Q16</f>
        <v/>
      </c>
      <c r="U16" s="289" t="n"/>
      <c r="V16" s="289" t="n">
        <v>70000</v>
      </c>
      <c r="W16" s="289" t="n"/>
      <c r="X16" s="289" t="n"/>
      <c r="Y16" s="289" t="n"/>
      <c r="Z16" s="289" t="n"/>
      <c r="AA16" s="289" t="n"/>
      <c r="AB16" s="289" t="n"/>
      <c r="AC16" s="289" t="n"/>
      <c r="AG16" s="289" t="n"/>
      <c r="AH16" s="289" t="n"/>
      <c r="AI16" s="289" t="n"/>
      <c r="AJ16" s="289" t="n"/>
      <c r="AR16" s="289" t="n"/>
    </row>
    <row r="17">
      <c r="A17" s="458" t="inlineStr">
        <is>
          <t>남천동</t>
        </is>
      </c>
      <c r="B17" s="458" t="n"/>
      <c r="C17" s="458" t="n"/>
      <c r="D17" s="458" t="n">
        <v>7770</v>
      </c>
      <c r="E17" s="114" t="inlineStr">
        <is>
          <t>삼익비치타운</t>
        </is>
      </c>
      <c r="F17" s="458" t="n">
        <v>1979.1</v>
      </c>
      <c r="G17" s="458" t="n">
        <v>3060</v>
      </c>
      <c r="H17" s="458">
        <f>2026-F17+1</f>
        <v/>
      </c>
      <c r="I17" s="458" t="n"/>
      <c r="J17" s="458" t="n">
        <v>98</v>
      </c>
      <c r="K17" s="458" t="n">
        <v>73</v>
      </c>
      <c r="L17" s="458" t="n">
        <v>30</v>
      </c>
      <c r="M17" s="458" t="inlineStr">
        <is>
          <t>복도식</t>
        </is>
      </c>
      <c r="N17" s="458" t="n">
        <v>3</v>
      </c>
      <c r="O17" s="458" t="n">
        <v>1</v>
      </c>
      <c r="P17" s="458" t="n">
        <v>516</v>
      </c>
      <c r="Q17" s="458" t="n">
        <v>92000</v>
      </c>
      <c r="R17" s="458" t="n">
        <v>9000</v>
      </c>
      <c r="S17" s="458">
        <f>Q17-R17</f>
        <v/>
      </c>
      <c r="T17" s="323">
        <f>R17/Q17</f>
        <v/>
      </c>
      <c r="U17" s="458" t="n">
        <v>143700</v>
      </c>
      <c r="V17" s="458" t="n">
        <v>88000</v>
      </c>
      <c r="W17" s="458" t="n"/>
      <c r="X17" s="458" t="n"/>
      <c r="Y17" s="458" t="n"/>
      <c r="Z17" s="458" t="n"/>
      <c r="AA17" s="458" t="n"/>
      <c r="AB17" s="458" t="n"/>
      <c r="AC17" s="458" t="n"/>
      <c r="AG17" s="458" t="n"/>
      <c r="AH17" s="458" t="n"/>
      <c r="AI17" s="458" t="n"/>
      <c r="AJ17" s="458" t="n"/>
      <c r="AR17" s="458" t="n"/>
    </row>
    <row r="18">
      <c r="A18" s="458" t="inlineStr">
        <is>
          <t>광안동</t>
        </is>
      </c>
      <c r="B18" s="458" t="n"/>
      <c r="C18" s="458" t="n"/>
      <c r="D18" s="458" t="n">
        <v>104037</v>
      </c>
      <c r="E18" s="146" t="inlineStr">
        <is>
          <t>부산광안쌍용예가디오션</t>
        </is>
      </c>
      <c r="F18" s="458" t="n">
        <v>2014.11</v>
      </c>
      <c r="G18" s="458" t="n">
        <v>928</v>
      </c>
      <c r="H18" s="458">
        <f>2026-F18+1</f>
        <v/>
      </c>
      <c r="I18" s="458" t="n"/>
      <c r="J18" s="458" t="n">
        <v>85</v>
      </c>
      <c r="K18" s="458" t="n">
        <v>59</v>
      </c>
      <c r="L18" s="458" t="n">
        <v>26</v>
      </c>
      <c r="M18" s="458" t="inlineStr">
        <is>
          <t>계단식</t>
        </is>
      </c>
      <c r="N18" s="458" t="n">
        <v>3</v>
      </c>
      <c r="O18" s="458" t="n">
        <v>2</v>
      </c>
      <c r="P18" s="458" t="n">
        <v>39</v>
      </c>
      <c r="Q18" s="458" t="n">
        <v>90000</v>
      </c>
      <c r="R18" s="458" t="n">
        <v>45000</v>
      </c>
      <c r="S18" s="458">
        <f>Q18-R18</f>
        <v/>
      </c>
      <c r="T18" s="323">
        <f>R18/Q18</f>
        <v/>
      </c>
      <c r="U18" s="458" t="n">
        <v>90000</v>
      </c>
      <c r="V18" s="458" t="n">
        <v>73000</v>
      </c>
      <c r="W18" s="458" t="n"/>
      <c r="X18" s="458" t="n"/>
      <c r="Y18" s="458" t="n"/>
      <c r="Z18" s="458" t="n"/>
      <c r="AA18" s="458" t="n"/>
      <c r="AB18" s="458" t="n"/>
      <c r="AC18" s="458" t="n"/>
      <c r="AG18" s="458" t="n"/>
      <c r="AH18" s="458" t="n"/>
      <c r="AI18" s="458" t="n"/>
      <c r="AJ18" s="458" t="n"/>
      <c r="AR18" s="458" t="n"/>
    </row>
    <row r="19">
      <c r="A19" s="458" t="inlineStr">
        <is>
          <t>광안동</t>
        </is>
      </c>
      <c r="B19" s="458" t="n"/>
      <c r="C19" s="458" t="n"/>
      <c r="D19" s="458" t="n">
        <v>119208</v>
      </c>
      <c r="E19" s="114" t="inlineStr">
        <is>
          <t>광안자이</t>
        </is>
      </c>
      <c r="F19" s="458" t="n">
        <v>2020.08</v>
      </c>
      <c r="G19" s="458" t="n">
        <v>971</v>
      </c>
      <c r="H19" s="458">
        <f>2026-F19+1</f>
        <v/>
      </c>
      <c r="I19" s="458" t="n"/>
      <c r="J19" s="458" t="n">
        <v>104</v>
      </c>
      <c r="K19" s="458" t="n">
        <v>73</v>
      </c>
      <c r="L19" s="458" t="n">
        <v>31</v>
      </c>
      <c r="M19" s="458" t="inlineStr">
        <is>
          <t>계단식</t>
        </is>
      </c>
      <c r="N19" s="458" t="n">
        <v>3</v>
      </c>
      <c r="O19" s="458" t="n">
        <v>2</v>
      </c>
      <c r="P19" s="458" t="n">
        <v>226</v>
      </c>
      <c r="Q19" s="458" t="n">
        <v>88000</v>
      </c>
      <c r="R19" s="458" t="n">
        <v>47000</v>
      </c>
      <c r="S19" s="458">
        <f>Q19-R19</f>
        <v/>
      </c>
      <c r="T19" s="323">
        <f>R19/Q19</f>
        <v/>
      </c>
      <c r="U19" s="458" t="n">
        <v>96500</v>
      </c>
      <c r="V19" s="458" t="n">
        <v>65000</v>
      </c>
      <c r="W19" s="458" t="n"/>
      <c r="X19" s="458" t="n"/>
      <c r="Y19" s="458" t="n"/>
      <c r="Z19" s="458" t="n"/>
      <c r="AA19" s="458" t="n"/>
      <c r="AB19" s="458" t="n"/>
      <c r="AC19" s="458" t="n"/>
      <c r="AG19" s="458" t="n"/>
      <c r="AH19" s="458" t="n"/>
      <c r="AI19" s="458" t="n"/>
      <c r="AJ19" s="458" t="n"/>
      <c r="AR19" s="458" t="n"/>
    </row>
    <row r="20">
      <c r="A20" s="458" t="inlineStr">
        <is>
          <t>남천동</t>
        </is>
      </c>
      <c r="B20" s="458" t="n"/>
      <c r="C20" s="458" t="n"/>
      <c r="D20" s="458" t="n">
        <v>7770</v>
      </c>
      <c r="E20" s="114" t="inlineStr">
        <is>
          <t>삼익비치타운</t>
        </is>
      </c>
      <c r="F20" s="458" t="n">
        <v>1979.1</v>
      </c>
      <c r="G20" s="458" t="n">
        <v>3060</v>
      </c>
      <c r="H20" s="458">
        <f>2026-F20+1</f>
        <v/>
      </c>
      <c r="I20" s="458" t="n"/>
      <c r="J20" s="458" t="n"/>
      <c r="K20" s="458" t="n">
        <v>61</v>
      </c>
      <c r="L20" s="458" t="n"/>
      <c r="M20" s="458" t="inlineStr">
        <is>
          <t>복도식</t>
        </is>
      </c>
      <c r="N20" s="458" t="n">
        <v>3</v>
      </c>
      <c r="O20" s="458" t="n">
        <v>1</v>
      </c>
      <c r="P20" s="458" t="n">
        <v>168</v>
      </c>
      <c r="Q20" s="458" t="n">
        <v>88000</v>
      </c>
      <c r="R20" s="458" t="n"/>
      <c r="S20" s="458">
        <f>Q20-R20</f>
        <v/>
      </c>
      <c r="T20" s="323">
        <f>R20/Q20</f>
        <v/>
      </c>
      <c r="U20" s="458" t="n">
        <v>128000</v>
      </c>
      <c r="V20" s="458" t="n">
        <v>71000</v>
      </c>
      <c r="W20" s="458" t="n"/>
      <c r="X20" s="458" t="n"/>
      <c r="Y20" s="458" t="n"/>
      <c r="Z20" s="458" t="n"/>
      <c r="AA20" s="458" t="n"/>
      <c r="AB20" s="458" t="n"/>
      <c r="AC20" s="458" t="n"/>
      <c r="AG20" s="458" t="n"/>
      <c r="AH20" s="458" t="n"/>
      <c r="AI20" s="458" t="n"/>
      <c r="AJ20" s="458" t="n"/>
      <c r="AR20" s="458" t="n"/>
    </row>
    <row r="21">
      <c r="A21" s="458" t="inlineStr">
        <is>
          <t>남천동</t>
        </is>
      </c>
      <c r="B21" s="458" t="n"/>
      <c r="C21" s="458" t="n"/>
      <c r="D21" s="458" t="n">
        <v>7717</v>
      </c>
      <c r="E21" s="114" t="inlineStr">
        <is>
          <t>뉴비치</t>
        </is>
      </c>
      <c r="F21" s="458" t="n">
        <v>1986.05</v>
      </c>
      <c r="G21" s="458" t="n">
        <v>990</v>
      </c>
      <c r="H21" s="458">
        <f>2026-F21+1</f>
        <v/>
      </c>
      <c r="I21" s="458" t="n"/>
      <c r="J21" s="458" t="n">
        <v>91</v>
      </c>
      <c r="K21" s="458" t="n">
        <v>75</v>
      </c>
      <c r="L21" s="458" t="n">
        <v>28</v>
      </c>
      <c r="M21" s="458" t="inlineStr">
        <is>
          <t>계단식</t>
        </is>
      </c>
      <c r="N21" s="458" t="n">
        <v>3</v>
      </c>
      <c r="O21" s="458" t="n">
        <v>1</v>
      </c>
      <c r="P21" s="458" t="n">
        <v>150</v>
      </c>
      <c r="Q21" s="458" t="n">
        <v>86000</v>
      </c>
      <c r="R21" s="458" t="n">
        <v>25000</v>
      </c>
      <c r="S21" s="458">
        <f>Q21-R21</f>
        <v/>
      </c>
      <c r="T21" s="323">
        <f>R21/Q21</f>
        <v/>
      </c>
      <c r="U21" s="458" t="n">
        <v>110000</v>
      </c>
      <c r="V21" s="458" t="n">
        <v>74200</v>
      </c>
      <c r="W21" s="458" t="n"/>
      <c r="X21" s="458" t="n"/>
      <c r="Y21" s="458" t="n"/>
      <c r="Z21" s="458" t="n"/>
      <c r="AA21" s="458" t="n"/>
      <c r="AB21" s="458" t="n"/>
      <c r="AC21" s="458" t="n"/>
      <c r="AG21" s="458" t="n"/>
      <c r="AH21" s="458" t="n"/>
      <c r="AI21" s="458" t="n"/>
      <c r="AJ21" s="458" t="n"/>
      <c r="AR21" s="458" t="n"/>
    </row>
    <row r="22">
      <c r="A22" s="458" t="inlineStr">
        <is>
          <t>광안동</t>
        </is>
      </c>
      <c r="B22" s="458" t="n"/>
      <c r="C22" s="458" t="n"/>
      <c r="D22" s="458" t="n">
        <v>119208</v>
      </c>
      <c r="E22" s="114" t="inlineStr">
        <is>
          <t>광안자이</t>
        </is>
      </c>
      <c r="F22" s="458" t="n">
        <v>2020.08</v>
      </c>
      <c r="G22" s="458" t="n">
        <v>971</v>
      </c>
      <c r="H22" s="458">
        <f>2026-F22+1</f>
        <v/>
      </c>
      <c r="I22" s="458" t="n"/>
      <c r="J22" s="458" t="n">
        <v>87</v>
      </c>
      <c r="K22" s="458" t="n">
        <v>59</v>
      </c>
      <c r="L22" s="458" t="n">
        <v>26</v>
      </c>
      <c r="M22" s="458" t="inlineStr">
        <is>
          <t>계단식</t>
        </is>
      </c>
      <c r="N22" s="458" t="n">
        <v>3</v>
      </c>
      <c r="O22" s="458" t="n">
        <v>2</v>
      </c>
      <c r="P22" s="458" t="n">
        <v>72</v>
      </c>
      <c r="Q22" s="458" t="n">
        <v>85000</v>
      </c>
      <c r="R22" s="458" t="n"/>
      <c r="S22" s="458">
        <f>Q22-R22</f>
        <v/>
      </c>
      <c r="T22" s="323">
        <f>R22/Q22</f>
        <v/>
      </c>
      <c r="U22" s="458" t="n">
        <v>76000</v>
      </c>
      <c r="V22" s="458" t="n">
        <v>68000</v>
      </c>
      <c r="W22" s="458" t="n"/>
      <c r="X22" s="458" t="n"/>
      <c r="Y22" s="458" t="n"/>
      <c r="Z22" s="458" t="n"/>
      <c r="AA22" s="458" t="n"/>
      <c r="AB22" s="458" t="n"/>
      <c r="AC22" s="458" t="n"/>
      <c r="AG22" s="458" t="n"/>
      <c r="AH22" s="458" t="n"/>
      <c r="AI22" s="458" t="n"/>
      <c r="AJ22" s="458" t="n"/>
      <c r="AR22" s="458" t="n"/>
    </row>
    <row r="23">
      <c r="A23" s="458" t="inlineStr">
        <is>
          <t>민락동</t>
        </is>
      </c>
      <c r="B23" s="458" t="n"/>
      <c r="C23" s="458" t="n"/>
      <c r="D23" s="458" t="n">
        <v>103401</v>
      </c>
      <c r="E23" s="114" t="inlineStr">
        <is>
          <t>부산더샵센텀포레</t>
        </is>
      </c>
      <c r="F23" s="458" t="n">
        <v>2014.07</v>
      </c>
      <c r="G23" s="458" t="n">
        <v>1006</v>
      </c>
      <c r="H23" s="458">
        <f>2026-F23+1</f>
        <v/>
      </c>
      <c r="I23" s="458" t="n"/>
      <c r="J23" s="458" t="n"/>
      <c r="K23" s="458" t="n">
        <v>84</v>
      </c>
      <c r="L23" s="458" t="n"/>
      <c r="M23" s="458" t="inlineStr">
        <is>
          <t>계단식</t>
        </is>
      </c>
      <c r="N23" s="458" t="n">
        <v>3</v>
      </c>
      <c r="O23" s="458" t="n">
        <v>2</v>
      </c>
      <c r="P23" s="458" t="n">
        <v>550</v>
      </c>
      <c r="Q23" s="458" t="n">
        <v>85000</v>
      </c>
      <c r="R23" s="458" t="n">
        <v>52000</v>
      </c>
      <c r="S23" s="458">
        <f>Q23-R23</f>
        <v/>
      </c>
      <c r="T23" s="323">
        <f>R23/Q23</f>
        <v/>
      </c>
      <c r="U23" s="458" t="n">
        <v>109000</v>
      </c>
      <c r="V23" s="458" t="n">
        <v>57000</v>
      </c>
      <c r="W23" s="458" t="n"/>
      <c r="X23" s="458" t="n"/>
      <c r="Y23" s="458" t="n"/>
      <c r="Z23" s="458" t="n"/>
      <c r="AA23" s="458" t="n"/>
      <c r="AB23" s="458" t="n"/>
      <c r="AC23" s="458" t="n"/>
      <c r="AG23" s="458" t="n"/>
      <c r="AH23" s="458" t="n"/>
      <c r="AI23" s="458" t="n"/>
      <c r="AJ23" s="458" t="n"/>
      <c r="AR23" s="458" t="n"/>
    </row>
    <row r="24">
      <c r="A24" s="289" t="inlineStr">
        <is>
          <t>민락동</t>
        </is>
      </c>
      <c r="B24" s="289" t="n"/>
      <c r="C24" s="289" t="n"/>
      <c r="D24" s="289" t="n">
        <v>108274</v>
      </c>
      <c r="E24" s="115" t="inlineStr">
        <is>
          <t>센텀비스타동원</t>
        </is>
      </c>
      <c r="F24" s="289" t="n">
        <v>2017.07</v>
      </c>
      <c r="G24" s="289" t="n">
        <v>840</v>
      </c>
      <c r="H24" s="289">
        <f>2026-F24+1</f>
        <v/>
      </c>
      <c r="I24" s="289" t="n"/>
      <c r="J24" s="289" t="n"/>
      <c r="K24" s="289" t="n">
        <v>84</v>
      </c>
      <c r="L24" s="289" t="n"/>
      <c r="M24" s="289" t="inlineStr">
        <is>
          <t>계단식</t>
        </is>
      </c>
      <c r="N24" s="289" t="n">
        <v>3</v>
      </c>
      <c r="O24" s="289" t="n">
        <v>2</v>
      </c>
      <c r="P24" s="289" t="n">
        <v>661</v>
      </c>
      <c r="Q24" s="289" t="n">
        <v>85000</v>
      </c>
      <c r="R24" s="289" t="n">
        <v>49000</v>
      </c>
      <c r="S24" s="458">
        <f>Q24-R24</f>
        <v/>
      </c>
      <c r="T24" s="323">
        <f>R24/Q24</f>
        <v/>
      </c>
      <c r="U24" s="289" t="n">
        <v>109500</v>
      </c>
      <c r="V24" s="289" t="n">
        <v>56000</v>
      </c>
      <c r="W24" s="289" t="n"/>
      <c r="X24" s="289" t="n"/>
      <c r="Y24" s="289" t="n"/>
      <c r="Z24" s="289" t="n"/>
      <c r="AA24" s="289" t="n"/>
      <c r="AB24" s="289" t="n"/>
      <c r="AC24" s="289" t="n"/>
      <c r="AG24" s="289" t="n"/>
      <c r="AH24" s="289" t="n"/>
      <c r="AI24" s="289" t="n"/>
      <c r="AJ24" s="289" t="n"/>
      <c r="AR24" s="289" t="n"/>
    </row>
    <row r="25">
      <c r="A25" s="289" t="inlineStr">
        <is>
          <t>민락동</t>
        </is>
      </c>
      <c r="B25" s="289" t="n"/>
      <c r="C25" s="289" t="n"/>
      <c r="D25" s="289" t="n">
        <v>117979</v>
      </c>
      <c r="E25" s="115" t="inlineStr">
        <is>
          <t>e편한세상오션테라스3단지</t>
        </is>
      </c>
      <c r="F25" s="289" t="n">
        <v>2020.01</v>
      </c>
      <c r="G25" s="289" t="n">
        <v>316</v>
      </c>
      <c r="H25" s="289">
        <f>2026-F25+1</f>
        <v/>
      </c>
      <c r="I25" s="289" t="n"/>
      <c r="J25" s="289" t="n"/>
      <c r="K25" s="289" t="n">
        <v>84</v>
      </c>
      <c r="L25" s="289" t="n"/>
      <c r="M25" s="289" t="inlineStr">
        <is>
          <t>계단식</t>
        </is>
      </c>
      <c r="N25" s="289" t="n">
        <v>3</v>
      </c>
      <c r="O25" s="289" t="n">
        <v>2</v>
      </c>
      <c r="P25" s="289" t="n">
        <v>156</v>
      </c>
      <c r="Q25" s="289" t="n">
        <v>83000</v>
      </c>
      <c r="R25" s="289" t="n">
        <v>45000</v>
      </c>
      <c r="S25" s="458">
        <f>Q25-R25</f>
        <v/>
      </c>
      <c r="T25" s="323">
        <f>R25/Q25</f>
        <v/>
      </c>
      <c r="U25" s="289" t="n">
        <v>93000</v>
      </c>
      <c r="V25" s="289" t="n">
        <v>72750</v>
      </c>
      <c r="W25" s="289" t="n"/>
      <c r="X25" s="289" t="n"/>
      <c r="Y25" s="289" t="n"/>
      <c r="Z25" s="289" t="n"/>
      <c r="AA25" s="289" t="n"/>
      <c r="AB25" s="289" t="n"/>
      <c r="AC25" s="289" t="n"/>
      <c r="AG25" s="289" t="n"/>
      <c r="AH25" s="289" t="n"/>
      <c r="AI25" s="289" t="n"/>
      <c r="AJ25" s="289" t="n"/>
      <c r="AR25" s="289" t="n"/>
    </row>
    <row r="26">
      <c r="A26" s="458" t="inlineStr">
        <is>
          <t>민락동</t>
        </is>
      </c>
      <c r="B26" s="458" t="n"/>
      <c r="C26" s="458" t="n"/>
      <c r="D26" s="458" t="n">
        <v>103401</v>
      </c>
      <c r="E26" s="114" t="inlineStr">
        <is>
          <t>부산더샵센텀포레</t>
        </is>
      </c>
      <c r="F26" s="458" t="n">
        <v>2014.07</v>
      </c>
      <c r="G26" s="458" t="n">
        <v>1006</v>
      </c>
      <c r="H26" s="458">
        <f>2026-F26+1</f>
        <v/>
      </c>
      <c r="I26" s="458" t="n"/>
      <c r="J26" s="458" t="n">
        <v>85</v>
      </c>
      <c r="K26" s="458" t="n">
        <v>59</v>
      </c>
      <c r="L26" s="458" t="n">
        <v>26</v>
      </c>
      <c r="M26" s="458" t="inlineStr">
        <is>
          <t>계단식</t>
        </is>
      </c>
      <c r="N26" s="458" t="n">
        <v>3</v>
      </c>
      <c r="O26" s="458" t="n">
        <v>2</v>
      </c>
      <c r="P26" s="458" t="n">
        <v>110</v>
      </c>
      <c r="Q26" s="458" t="n">
        <v>78000</v>
      </c>
      <c r="R26" s="458" t="n">
        <v>35000</v>
      </c>
      <c r="S26" s="458">
        <f>Q26-R26</f>
        <v/>
      </c>
      <c r="T26" s="323">
        <f>R26/Q26</f>
        <v/>
      </c>
      <c r="U26" s="458" t="n">
        <v>65000</v>
      </c>
      <c r="V26" s="458" t="n">
        <v>58000</v>
      </c>
      <c r="W26" s="458" t="n"/>
      <c r="X26" s="458" t="n"/>
      <c r="Y26" s="458" t="n"/>
      <c r="Z26" s="458" t="n"/>
      <c r="AA26" s="458" t="n"/>
      <c r="AB26" s="458" t="n"/>
      <c r="AC26" s="458" t="n"/>
      <c r="AG26" s="458" t="n"/>
      <c r="AH26" s="458" t="n"/>
      <c r="AI26" s="458" t="n"/>
      <c r="AJ26" s="458" t="n"/>
      <c r="AR26" s="458" t="n"/>
    </row>
    <row r="27">
      <c r="A27" s="458" t="inlineStr">
        <is>
          <t>남천동</t>
        </is>
      </c>
      <c r="B27" s="458" t="n"/>
      <c r="C27" s="458" t="n"/>
      <c r="D27" s="458" t="n">
        <v>7770</v>
      </c>
      <c r="E27" s="114" t="inlineStr">
        <is>
          <t>삼익비치타운</t>
        </is>
      </c>
      <c r="F27" s="458" t="n">
        <v>1979.1</v>
      </c>
      <c r="G27" s="458" t="n">
        <v>3060</v>
      </c>
      <c r="H27" s="458">
        <f>2026-F27+1</f>
        <v/>
      </c>
      <c r="I27" s="458" t="n"/>
      <c r="J27" s="458" t="n"/>
      <c r="K27" s="458" t="n">
        <v>60</v>
      </c>
      <c r="L27" s="458" t="n"/>
      <c r="M27" s="458" t="inlineStr">
        <is>
          <t>복도식</t>
        </is>
      </c>
      <c r="N27" s="458" t="n">
        <v>3</v>
      </c>
      <c r="O27" s="458" t="n">
        <v>1</v>
      </c>
      <c r="P27" s="458" t="n">
        <v>504</v>
      </c>
      <c r="Q27" s="458" t="n">
        <v>77000</v>
      </c>
      <c r="R27" s="458" t="n">
        <v>10000</v>
      </c>
      <c r="S27" s="458">
        <f>Q27-R27</f>
        <v/>
      </c>
      <c r="T27" s="323">
        <f>R27/Q27</f>
        <v/>
      </c>
      <c r="U27" s="458" t="n">
        <v>128000</v>
      </c>
      <c r="V27" s="458" t="n">
        <v>71000</v>
      </c>
      <c r="W27" s="458" t="n"/>
      <c r="X27" s="458" t="n"/>
      <c r="Y27" s="458" t="n"/>
      <c r="Z27" s="458" t="n"/>
      <c r="AA27" s="458" t="n"/>
      <c r="AB27" s="458" t="n"/>
      <c r="AC27" s="458" t="n"/>
      <c r="AG27" s="458" t="n"/>
      <c r="AH27" s="458" t="n"/>
      <c r="AI27" s="458" t="n"/>
      <c r="AJ27" s="458" t="n"/>
      <c r="AR27" s="458" t="n"/>
    </row>
    <row r="28">
      <c r="A28" s="289" t="inlineStr">
        <is>
          <t>수영동</t>
        </is>
      </c>
      <c r="B28" s="289" t="n"/>
      <c r="C28" s="289" t="n"/>
      <c r="D28" s="289" t="n">
        <v>7914</v>
      </c>
      <c r="E28" s="115" t="inlineStr">
        <is>
          <t>현대</t>
        </is>
      </c>
      <c r="F28" s="289" t="n">
        <v>1988.04</v>
      </c>
      <c r="G28" s="289" t="n">
        <v>1180</v>
      </c>
      <c r="H28" s="289">
        <f>2026-F28+1</f>
        <v/>
      </c>
      <c r="I28" s="289" t="n"/>
      <c r="J28" s="289" t="n"/>
      <c r="K28" s="289" t="n">
        <v>68</v>
      </c>
      <c r="L28" s="289" t="n"/>
      <c r="M28" s="289" t="inlineStr">
        <is>
          <t>계단식</t>
        </is>
      </c>
      <c r="N28" s="289" t="n">
        <v>3</v>
      </c>
      <c r="O28" s="289" t="n">
        <v>1</v>
      </c>
      <c r="P28" s="289" t="n">
        <v>420</v>
      </c>
      <c r="Q28" s="289" t="n">
        <v>76000</v>
      </c>
      <c r="R28" s="289" t="n">
        <v>21000</v>
      </c>
      <c r="S28" s="458">
        <f>Q28-R28</f>
        <v/>
      </c>
      <c r="T28" s="323">
        <f>R28/Q28</f>
        <v/>
      </c>
      <c r="U28" s="289" t="n">
        <v>105000</v>
      </c>
      <c r="V28" s="289" t="n">
        <v>70700</v>
      </c>
      <c r="W28" s="289" t="n"/>
      <c r="X28" s="289" t="n"/>
      <c r="Y28" s="289" t="n"/>
      <c r="Z28" s="289" t="n"/>
      <c r="AA28" s="289" t="n"/>
      <c r="AB28" s="289" t="n"/>
      <c r="AC28" s="289" t="n"/>
      <c r="AG28" s="289" t="n"/>
      <c r="AH28" s="289" t="n"/>
      <c r="AI28" s="289" t="n"/>
      <c r="AJ28" s="289" t="n"/>
      <c r="AR28" s="289" t="n"/>
    </row>
    <row r="29">
      <c r="A29" s="458" t="inlineStr">
        <is>
          <t>수영동</t>
        </is>
      </c>
      <c r="B29" s="458" t="n"/>
      <c r="C29" s="458" t="n"/>
      <c r="D29" s="458" t="n">
        <v>10383</v>
      </c>
      <c r="E29" s="114" t="inlineStr">
        <is>
          <t>수영협성르네상스타운</t>
        </is>
      </c>
      <c r="F29" s="458" t="n">
        <v>2004.07</v>
      </c>
      <c r="G29" s="458" t="n">
        <v>684</v>
      </c>
      <c r="H29" s="458">
        <f>2026-F29+1</f>
        <v/>
      </c>
      <c r="I29" s="458" t="n"/>
      <c r="J29" s="458" t="n"/>
      <c r="K29" s="458" t="n">
        <v>84</v>
      </c>
      <c r="L29" s="458" t="n"/>
      <c r="M29" s="458" t="inlineStr">
        <is>
          <t>계단식</t>
        </is>
      </c>
      <c r="N29" s="458" t="n">
        <v>3</v>
      </c>
      <c r="O29" s="458" t="n">
        <v>2</v>
      </c>
      <c r="P29" s="458" t="n">
        <v>384</v>
      </c>
      <c r="Q29" s="458" t="n">
        <v>75000</v>
      </c>
      <c r="R29" s="458" t="n">
        <v>40000</v>
      </c>
      <c r="S29" s="458">
        <f>Q29-R29</f>
        <v/>
      </c>
      <c r="T29" s="323">
        <f>R29/Q29</f>
        <v/>
      </c>
      <c r="U29" s="458" t="n">
        <v>92000</v>
      </c>
      <c r="V29" s="458" t="n">
        <v>58000</v>
      </c>
      <c r="W29" s="458" t="n"/>
      <c r="X29" s="458" t="n"/>
      <c r="Y29" s="458" t="n"/>
      <c r="Z29" s="458" t="n"/>
      <c r="AA29" s="458" t="n"/>
      <c r="AB29" s="458" t="n"/>
      <c r="AC29" s="458" t="n"/>
      <c r="AG29" s="458" t="n"/>
      <c r="AH29" s="458" t="n"/>
      <c r="AI29" s="458" t="n"/>
      <c r="AJ29" s="458" t="n"/>
      <c r="AR29" s="458" t="n"/>
    </row>
    <row r="30">
      <c r="A30" s="458" t="inlineStr">
        <is>
          <t>민락동</t>
        </is>
      </c>
      <c r="B30" s="458" t="n"/>
      <c r="C30" s="458" t="n"/>
      <c r="D30" s="458" t="n">
        <v>117980</v>
      </c>
      <c r="E30" s="114" t="inlineStr">
        <is>
          <t>e편한세상오션테라스4단지</t>
        </is>
      </c>
      <c r="F30" s="458" t="n">
        <v>2020.01</v>
      </c>
      <c r="G30" s="458" t="n">
        <v>308</v>
      </c>
      <c r="H30" s="458">
        <f>2026-F30+1</f>
        <v/>
      </c>
      <c r="I30" s="458" t="n"/>
      <c r="J30" s="458" t="n"/>
      <c r="K30" s="458" t="n">
        <v>84</v>
      </c>
      <c r="L30" s="458" t="n"/>
      <c r="M30" s="458" t="inlineStr">
        <is>
          <t>계단식</t>
        </is>
      </c>
      <c r="N30" s="458" t="n">
        <v>3</v>
      </c>
      <c r="O30" s="458" t="n">
        <v>2</v>
      </c>
      <c r="P30" s="458" t="n">
        <v>152</v>
      </c>
      <c r="Q30" s="458" t="n">
        <v>73000</v>
      </c>
      <c r="R30" s="458" t="n">
        <v>50000</v>
      </c>
      <c r="S30" s="458">
        <f>Q30-R30</f>
        <v/>
      </c>
      <c r="T30" s="323">
        <f>R30/Q30</f>
        <v/>
      </c>
      <c r="U30" s="458" t="n">
        <v>162000</v>
      </c>
      <c r="V30" s="458" t="n">
        <v>75000</v>
      </c>
      <c r="W30" s="458" t="n"/>
      <c r="X30" s="458" t="n"/>
      <c r="Y30" s="458" t="n"/>
      <c r="Z30" s="458" t="n"/>
      <c r="AA30" s="458" t="n"/>
      <c r="AB30" s="458" t="n"/>
      <c r="AC30" s="458" t="n"/>
      <c r="AG30" s="458" t="n"/>
      <c r="AH30" s="458" t="n"/>
      <c r="AI30" s="458" t="n"/>
      <c r="AJ30" s="458" t="n"/>
      <c r="AR30" s="458" t="n"/>
    </row>
    <row r="31">
      <c r="A31" s="458" t="inlineStr">
        <is>
          <t>망미동</t>
        </is>
      </c>
      <c r="B31" s="458" t="n"/>
      <c r="C31" s="458" t="n"/>
      <c r="D31" s="458" t="n">
        <v>111463</v>
      </c>
      <c r="E31" s="114" t="inlineStr">
        <is>
          <t>수영SK뷰1단지</t>
        </is>
      </c>
      <c r="F31" s="458" t="n">
        <v>2019.06</v>
      </c>
      <c r="G31" s="458" t="n">
        <v>1147</v>
      </c>
      <c r="H31" s="458">
        <f>2026-F31+1</f>
        <v/>
      </c>
      <c r="I31" s="458" t="n"/>
      <c r="J31" s="458" t="n">
        <v>101</v>
      </c>
      <c r="K31" s="458" t="n">
        <v>73</v>
      </c>
      <c r="L31" s="458" t="n">
        <v>31</v>
      </c>
      <c r="M31" s="458" t="inlineStr">
        <is>
          <t>계단식</t>
        </is>
      </c>
      <c r="N31" s="458" t="n">
        <v>3</v>
      </c>
      <c r="O31" s="458" t="n">
        <v>2</v>
      </c>
      <c r="P31" s="458" t="n">
        <v>70</v>
      </c>
      <c r="Q31" s="458" t="n">
        <v>70000</v>
      </c>
      <c r="R31" s="458" t="n">
        <v>37000</v>
      </c>
      <c r="S31" s="458">
        <f>Q31-R31</f>
        <v/>
      </c>
      <c r="T31" s="323">
        <f>R31/Q31</f>
        <v/>
      </c>
      <c r="U31" s="458" t="n">
        <v>75000</v>
      </c>
      <c r="V31" s="458" t="n">
        <v>60000</v>
      </c>
      <c r="W31" s="458" t="n"/>
      <c r="X31" s="458" t="n"/>
      <c r="Y31" s="458" t="n"/>
      <c r="Z31" s="458" t="n"/>
      <c r="AA31" s="458" t="n"/>
      <c r="AB31" s="458" t="n"/>
      <c r="AC31" s="458" t="n"/>
      <c r="AG31" s="458" t="n"/>
      <c r="AH31" s="458" t="n"/>
      <c r="AI31" s="458" t="n"/>
      <c r="AJ31" s="458" t="n"/>
      <c r="AR31" s="458" t="n"/>
    </row>
    <row r="32">
      <c r="A32" s="458" t="inlineStr">
        <is>
          <t>망미동</t>
        </is>
      </c>
      <c r="B32" s="458" t="n"/>
      <c r="C32" s="458" t="n"/>
      <c r="D32" s="458" t="n">
        <v>111463</v>
      </c>
      <c r="E32" s="114" t="inlineStr">
        <is>
          <t>수영SK뷰1단지</t>
        </is>
      </c>
      <c r="F32" s="458" t="n">
        <v>2019.06</v>
      </c>
      <c r="G32" s="458" t="n">
        <v>1147</v>
      </c>
      <c r="H32" s="458">
        <f>2026-F32+1</f>
        <v/>
      </c>
      <c r="I32" s="458" t="n"/>
      <c r="J32" s="458" t="n">
        <v>116</v>
      </c>
      <c r="K32" s="458" t="n">
        <v>84</v>
      </c>
      <c r="L32" s="458" t="n">
        <v>35</v>
      </c>
      <c r="M32" s="458" t="inlineStr">
        <is>
          <t>계단식</t>
        </is>
      </c>
      <c r="N32" s="458" t="n">
        <v>4</v>
      </c>
      <c r="O32" s="458" t="n">
        <v>2</v>
      </c>
      <c r="P32" s="458" t="n">
        <v>594</v>
      </c>
      <c r="Q32" s="458" t="n">
        <v>69000</v>
      </c>
      <c r="R32" s="458" t="n">
        <v>40000</v>
      </c>
      <c r="S32" s="458">
        <f>Q32-R32</f>
        <v/>
      </c>
      <c r="T32" s="323">
        <f>R32/Q32</f>
        <v/>
      </c>
      <c r="U32" s="458" t="n">
        <v>87500</v>
      </c>
      <c r="V32" s="458" t="n">
        <v>51000</v>
      </c>
      <c r="W32" s="458" t="n"/>
      <c r="X32" s="458" t="n"/>
      <c r="Y32" s="458" t="n"/>
      <c r="Z32" s="458" t="n"/>
      <c r="AA32" s="458" t="n"/>
      <c r="AB32" s="458" t="n"/>
      <c r="AC32" s="458" t="n"/>
      <c r="AG32" s="458" t="n"/>
      <c r="AH32" s="458" t="n"/>
      <c r="AI32" s="458" t="n"/>
      <c r="AJ32" s="458" t="n"/>
      <c r="AR32" s="458" t="n"/>
    </row>
    <row r="33">
      <c r="A33" s="289" t="inlineStr">
        <is>
          <t>수영동</t>
        </is>
      </c>
      <c r="B33" s="289" t="n"/>
      <c r="C33" s="289" t="n"/>
      <c r="D33" s="289" t="n">
        <v>7914</v>
      </c>
      <c r="E33" s="115" t="inlineStr">
        <is>
          <t>현대</t>
        </is>
      </c>
      <c r="F33" s="289" t="n">
        <v>1988.04</v>
      </c>
      <c r="G33" s="289" t="n">
        <v>1180</v>
      </c>
      <c r="H33" s="289">
        <f>2026-F33+1</f>
        <v/>
      </c>
      <c r="I33" s="289" t="n"/>
      <c r="J33" s="289" t="n">
        <v>69</v>
      </c>
      <c r="K33" s="289" t="n">
        <v>52</v>
      </c>
      <c r="L33" s="289" t="n">
        <v>21</v>
      </c>
      <c r="M33" s="289" t="inlineStr">
        <is>
          <t>복도식</t>
        </is>
      </c>
      <c r="N33" s="289" t="n">
        <v>2</v>
      </c>
      <c r="O33" s="289" t="n">
        <v>1</v>
      </c>
      <c r="P33" s="289" t="n">
        <v>167</v>
      </c>
      <c r="Q33" s="289" t="n">
        <v>65000</v>
      </c>
      <c r="R33" s="289" t="n">
        <v>18000</v>
      </c>
      <c r="S33" s="458">
        <f>Q33-R33</f>
        <v/>
      </c>
      <c r="T33" s="323">
        <f>R33/Q33</f>
        <v/>
      </c>
      <c r="U33" s="289" t="n">
        <v>87200</v>
      </c>
      <c r="V33" s="289" t="n">
        <v>59000</v>
      </c>
      <c r="W33" s="289" t="n"/>
      <c r="X33" s="289" t="n"/>
      <c r="Y33" s="289" t="n"/>
      <c r="Z33" s="289" t="n"/>
      <c r="AA33" s="289" t="n"/>
      <c r="AB33" s="289" t="n"/>
      <c r="AC33" s="289" t="n"/>
      <c r="AG33" s="289" t="n"/>
      <c r="AH33" s="289" t="n"/>
      <c r="AI33" s="289" t="n"/>
      <c r="AJ33" s="289" t="n"/>
      <c r="AR33" s="289" t="n"/>
    </row>
    <row r="34">
      <c r="A34" s="458" t="inlineStr">
        <is>
          <t>남천동</t>
        </is>
      </c>
      <c r="B34" s="458" t="n"/>
      <c r="C34" s="458" t="n"/>
      <c r="D34" s="458" t="n">
        <v>7717</v>
      </c>
      <c r="E34" s="114" t="inlineStr">
        <is>
          <t>뉴비치</t>
        </is>
      </c>
      <c r="F34" s="458" t="n">
        <v>1986.05</v>
      </c>
      <c r="G34" s="458" t="n">
        <v>990</v>
      </c>
      <c r="H34" s="458">
        <f>2026-F34+1</f>
        <v/>
      </c>
      <c r="I34" s="458" t="n"/>
      <c r="J34" s="458" t="n">
        <v>62</v>
      </c>
      <c r="K34" s="458" t="n">
        <v>42</v>
      </c>
      <c r="L34" s="458" t="n">
        <v>19</v>
      </c>
      <c r="M34" s="458" t="inlineStr">
        <is>
          <t>복도식</t>
        </is>
      </c>
      <c r="N34" s="458" t="n">
        <v>2</v>
      </c>
      <c r="O34" s="458" t="n">
        <v>1</v>
      </c>
      <c r="P34" s="458" t="n">
        <v>135</v>
      </c>
      <c r="Q34" s="458" t="n">
        <v>63000</v>
      </c>
      <c r="R34" s="458" t="n">
        <v>18000</v>
      </c>
      <c r="S34" s="458">
        <f>Q34-R34</f>
        <v/>
      </c>
      <c r="T34" s="323">
        <f>R34/Q34</f>
        <v/>
      </c>
      <c r="U34" s="458" t="n">
        <v>79900</v>
      </c>
      <c r="V34" s="458" t="n">
        <v>48000</v>
      </c>
      <c r="W34" s="458" t="n"/>
      <c r="X34" s="458" t="n"/>
      <c r="Y34" s="458" t="n"/>
      <c r="Z34" s="458" t="n"/>
      <c r="AA34" s="458" t="n"/>
      <c r="AB34" s="458" t="n"/>
      <c r="AC34" s="458" t="n"/>
      <c r="AG34" s="458" t="n"/>
      <c r="AH34" s="458" t="n"/>
      <c r="AI34" s="458" t="n"/>
      <c r="AJ34" s="458" t="n"/>
      <c r="AR34" s="458" t="n"/>
    </row>
    <row r="35">
      <c r="A35" s="289" t="inlineStr">
        <is>
          <t>망미동</t>
        </is>
      </c>
      <c r="B35" s="289" t="n"/>
      <c r="C35" s="289" t="n"/>
      <c r="D35" s="289" t="n">
        <v>19305</v>
      </c>
      <c r="E35" s="115" t="inlineStr">
        <is>
          <t>더샵파크리치</t>
        </is>
      </c>
      <c r="F35" s="289" t="n">
        <v>2007.09</v>
      </c>
      <c r="G35" s="289" t="n">
        <v>862</v>
      </c>
      <c r="H35" s="289">
        <f>2026-F35+1</f>
        <v/>
      </c>
      <c r="I35" s="289" t="n"/>
      <c r="J35" s="289" t="n">
        <v>114</v>
      </c>
      <c r="K35" s="289" t="n">
        <v>84</v>
      </c>
      <c r="L35" s="289" t="n">
        <v>34</v>
      </c>
      <c r="M35" s="289" t="inlineStr">
        <is>
          <t>계단식</t>
        </is>
      </c>
      <c r="N35" s="289" t="n">
        <v>3</v>
      </c>
      <c r="O35" s="289" t="n">
        <v>2</v>
      </c>
      <c r="P35" s="289" t="n">
        <v>96</v>
      </c>
      <c r="Q35" s="289" t="n">
        <v>63000</v>
      </c>
      <c r="R35" s="289" t="n">
        <v>32000</v>
      </c>
      <c r="S35" s="458">
        <f>Q35-R35</f>
        <v/>
      </c>
      <c r="T35" s="323">
        <f>R35/Q35</f>
        <v/>
      </c>
      <c r="U35" s="289" t="n">
        <v>74800</v>
      </c>
      <c r="V35" s="289" t="n">
        <v>56500</v>
      </c>
      <c r="W35" s="289" t="n"/>
      <c r="X35" s="289" t="n"/>
      <c r="Y35" s="289" t="n"/>
      <c r="Z35" s="289" t="n"/>
      <c r="AA35" s="289" t="n"/>
      <c r="AB35" s="289" t="n"/>
      <c r="AC35" s="289" t="n"/>
      <c r="AG35" s="289" t="n"/>
      <c r="AH35" s="289" t="n"/>
      <c r="AI35" s="289" t="n"/>
      <c r="AJ35" s="289" t="n"/>
      <c r="AR35" s="289" t="n"/>
    </row>
    <row r="36">
      <c r="A36" s="458" t="inlineStr">
        <is>
          <t>민락동</t>
        </is>
      </c>
      <c r="D36" s="458" t="n">
        <v>108276</v>
      </c>
      <c r="E36" s="146" t="inlineStr">
        <is>
          <t>e편한세상광안비치</t>
        </is>
      </c>
      <c r="F36" s="458" t="n">
        <v>2016.09</v>
      </c>
      <c r="G36" s="458" t="n">
        <v>396</v>
      </c>
      <c r="H36" s="458">
        <f>2026-F36+1</f>
        <v/>
      </c>
      <c r="K36" s="458" t="n">
        <v>84</v>
      </c>
      <c r="M36" s="458" t="inlineStr">
        <is>
          <t>계단식</t>
        </is>
      </c>
      <c r="N36" s="458" t="n">
        <v>3</v>
      </c>
      <c r="O36" s="458" t="n">
        <v>2</v>
      </c>
      <c r="P36" s="458" t="n">
        <v>396</v>
      </c>
      <c r="Q36" s="458" t="n">
        <v>63000</v>
      </c>
      <c r="R36" s="458" t="n">
        <v>43000</v>
      </c>
      <c r="S36" s="458">
        <f>Q36-R36</f>
        <v/>
      </c>
      <c r="T36" s="323">
        <f>R36/Q36</f>
        <v/>
      </c>
      <c r="U36" s="458" t="n">
        <v>101500</v>
      </c>
      <c r="V36" s="458" t="n">
        <v>59500</v>
      </c>
    </row>
    <row r="37">
      <c r="A37" s="458" t="inlineStr">
        <is>
          <t>남천동</t>
        </is>
      </c>
      <c r="D37" s="458" t="n">
        <v>7770</v>
      </c>
      <c r="E37" s="114" t="inlineStr">
        <is>
          <t>삼익비치타운</t>
        </is>
      </c>
      <c r="F37" s="458" t="n">
        <v>1979.1</v>
      </c>
      <c r="G37" s="458" t="n">
        <v>3060</v>
      </c>
      <c r="H37" s="458">
        <f>2026-F37+1</f>
        <v/>
      </c>
      <c r="K37" s="458" t="n">
        <v>41</v>
      </c>
      <c r="M37" s="458" t="inlineStr">
        <is>
          <t>복도식</t>
        </is>
      </c>
      <c r="N37" s="458" t="n">
        <v>2</v>
      </c>
      <c r="O37" s="458" t="n">
        <v>1</v>
      </c>
      <c r="P37" s="458" t="n">
        <v>264</v>
      </c>
      <c r="Q37" s="458" t="n">
        <v>61500</v>
      </c>
      <c r="R37" s="458" t="n">
        <v>8000</v>
      </c>
      <c r="S37" s="458">
        <f>Q37-R37</f>
        <v/>
      </c>
      <c r="T37" s="323">
        <f>R37/Q37</f>
        <v/>
      </c>
      <c r="U37" s="458" t="n">
        <v>105000</v>
      </c>
      <c r="V37" s="458" t="n">
        <v>59000</v>
      </c>
    </row>
    <row r="38">
      <c r="A38" s="289" t="inlineStr">
        <is>
          <t>수영동</t>
        </is>
      </c>
      <c r="B38" s="289" t="n"/>
      <c r="C38" s="289" t="n"/>
      <c r="D38" s="289" t="n">
        <v>103803</v>
      </c>
      <c r="E38" s="115" t="inlineStr">
        <is>
          <t>수영강동원로얄듀크</t>
        </is>
      </c>
      <c r="F38" s="289" t="n">
        <v>2014.02</v>
      </c>
      <c r="G38" s="289" t="n">
        <v>423</v>
      </c>
      <c r="H38" s="289">
        <f>2026-F38+1</f>
        <v/>
      </c>
      <c r="I38" s="289" t="n"/>
      <c r="J38" s="289" t="n"/>
      <c r="K38" s="289" t="n">
        <v>84</v>
      </c>
      <c r="L38" s="289" t="n"/>
      <c r="M38" s="289" t="inlineStr">
        <is>
          <t>계단식</t>
        </is>
      </c>
      <c r="N38" s="289" t="n">
        <v>3</v>
      </c>
      <c r="O38" s="289" t="n">
        <v>2</v>
      </c>
      <c r="P38" s="289" t="n">
        <v>191</v>
      </c>
      <c r="Q38" s="289" t="n">
        <v>61000</v>
      </c>
      <c r="R38" s="289" t="n">
        <v>37000</v>
      </c>
      <c r="S38" s="458">
        <f>Q38-R38</f>
        <v/>
      </c>
      <c r="T38" s="323">
        <f>R38/Q38</f>
        <v/>
      </c>
      <c r="U38" s="289" t="n">
        <v>66500</v>
      </c>
      <c r="V38" s="289" t="n">
        <v>60000</v>
      </c>
      <c r="W38" s="289" t="n"/>
      <c r="X38" s="289" t="n"/>
      <c r="Y38" s="289" t="n"/>
      <c r="Z38" s="289" t="n"/>
      <c r="AA38" s="289" t="n"/>
      <c r="AB38" s="289" t="n"/>
      <c r="AC38" s="289" t="n"/>
      <c r="AG38" s="289" t="n"/>
      <c r="AH38" s="289" t="n"/>
      <c r="AI38" s="289" t="n"/>
      <c r="AJ38" s="289" t="n"/>
      <c r="AR38" s="289" t="n"/>
    </row>
    <row r="39">
      <c r="A39" s="289" t="inlineStr">
        <is>
          <t>민락동</t>
        </is>
      </c>
      <c r="B39" s="289" t="n"/>
      <c r="C39" s="289" t="n"/>
      <c r="D39" s="289" t="n">
        <v>11792</v>
      </c>
      <c r="E39" s="115" t="inlineStr">
        <is>
          <t>롯데캐슬자이언트</t>
        </is>
      </c>
      <c r="F39" s="289" t="n">
        <v>2003.11</v>
      </c>
      <c r="G39" s="289" t="n">
        <v>591</v>
      </c>
      <c r="H39" s="289">
        <f>2026-F39+1</f>
        <v/>
      </c>
      <c r="I39" s="289" t="n"/>
      <c r="J39" s="289" t="n">
        <v>110</v>
      </c>
      <c r="K39" s="289" t="n">
        <v>84</v>
      </c>
      <c r="L39" s="289" t="n">
        <v>33</v>
      </c>
      <c r="M39" s="289" t="inlineStr">
        <is>
          <t>계단식</t>
        </is>
      </c>
      <c r="N39" s="289" t="n">
        <v>3</v>
      </c>
      <c r="O39" s="289" t="n">
        <v>2</v>
      </c>
      <c r="P39" s="289" t="n">
        <v>196</v>
      </c>
      <c r="Q39" s="289" t="n">
        <v>59000</v>
      </c>
      <c r="R39" s="289" t="n">
        <v>35000</v>
      </c>
      <c r="S39" s="458">
        <f>Q39-R39</f>
        <v/>
      </c>
      <c r="T39" s="323">
        <f>R39/Q39</f>
        <v/>
      </c>
      <c r="U39" s="289" t="n">
        <v>79000</v>
      </c>
      <c r="V39" s="289" t="n">
        <v>50000</v>
      </c>
      <c r="W39" s="289" t="n"/>
      <c r="X39" s="289" t="n"/>
      <c r="Y39" s="289" t="n"/>
      <c r="Z39" s="289" t="n"/>
      <c r="AA39" s="289" t="n"/>
      <c r="AB39" s="289" t="n"/>
      <c r="AC39" s="289" t="n"/>
      <c r="AG39" s="289" t="n"/>
      <c r="AH39" s="289" t="n"/>
      <c r="AI39" s="289" t="n"/>
      <c r="AJ39" s="289" t="n"/>
      <c r="AR39" s="289" t="n"/>
    </row>
    <row r="40">
      <c r="A40" s="458" t="inlineStr">
        <is>
          <t>남천동</t>
        </is>
      </c>
      <c r="B40" s="458" t="n"/>
      <c r="C40" s="458" t="n"/>
      <c r="D40" s="458" t="n">
        <v>7717</v>
      </c>
      <c r="E40" s="146" t="inlineStr">
        <is>
          <t>뉴비치</t>
        </is>
      </c>
      <c r="F40" s="458" t="n">
        <v>1986.05</v>
      </c>
      <c r="G40" s="458" t="n">
        <v>990</v>
      </c>
      <c r="H40" s="458">
        <f>2026-F40+1</f>
        <v/>
      </c>
      <c r="I40" s="458" t="n"/>
      <c r="J40" s="458" t="n">
        <v>55</v>
      </c>
      <c r="K40" s="458" t="n">
        <v>41</v>
      </c>
      <c r="L40" s="458" t="n">
        <v>17</v>
      </c>
      <c r="M40" s="458" t="inlineStr">
        <is>
          <t>복도식</t>
        </is>
      </c>
      <c r="N40" s="458" t="n">
        <v>2</v>
      </c>
      <c r="O40" s="458" t="n">
        <v>1</v>
      </c>
      <c r="P40" s="458" t="n">
        <v>195</v>
      </c>
      <c r="Q40" s="458" t="n">
        <v>58000</v>
      </c>
      <c r="R40" s="458" t="n">
        <v>16000</v>
      </c>
      <c r="S40" s="458">
        <f>Q40-R40</f>
        <v/>
      </c>
      <c r="T40" s="323">
        <f>R40/Q40</f>
        <v/>
      </c>
      <c r="U40" s="458" t="n">
        <v>74000</v>
      </c>
      <c r="V40" s="458" t="n">
        <v>48000</v>
      </c>
      <c r="W40" s="458" t="n"/>
      <c r="X40" s="458" t="n"/>
      <c r="Y40" s="458" t="n"/>
      <c r="Z40" s="458" t="n"/>
      <c r="AA40" s="458" t="n"/>
      <c r="AB40" s="458" t="n"/>
      <c r="AC40" s="458" t="n"/>
      <c r="AG40" s="458" t="n"/>
      <c r="AH40" s="458" t="n"/>
      <c r="AI40" s="458" t="n"/>
      <c r="AJ40" s="458" t="n"/>
      <c r="AR40" s="458" t="n"/>
    </row>
    <row r="41">
      <c r="A41" s="289" t="inlineStr">
        <is>
          <t>수영동</t>
        </is>
      </c>
      <c r="B41" s="289" t="n"/>
      <c r="C41" s="289" t="n"/>
      <c r="D41" s="289" t="n">
        <v>103803</v>
      </c>
      <c r="E41" s="115" t="inlineStr">
        <is>
          <t>수영강동원로얄듀크</t>
        </is>
      </c>
      <c r="F41" s="289" t="n">
        <v>2014.02</v>
      </c>
      <c r="G41" s="289" t="n">
        <v>423</v>
      </c>
      <c r="H41" s="289">
        <f>2026-F41+1</f>
        <v/>
      </c>
      <c r="I41" s="289" t="n"/>
      <c r="J41" s="289" t="n"/>
      <c r="K41" s="289" t="n">
        <v>80</v>
      </c>
      <c r="L41" s="289" t="n"/>
      <c r="M41" s="289" t="inlineStr">
        <is>
          <t>계단식</t>
        </is>
      </c>
      <c r="N41" s="289" t="n">
        <v>3</v>
      </c>
      <c r="O41" s="289" t="n">
        <v>2</v>
      </c>
      <c r="P41" s="289" t="n">
        <v>232</v>
      </c>
      <c r="Q41" s="289" t="n">
        <v>56000</v>
      </c>
      <c r="R41" s="289" t="n">
        <v>34000</v>
      </c>
      <c r="S41" s="458">
        <f>Q41-R41</f>
        <v/>
      </c>
      <c r="T41" s="323">
        <f>R41/Q41</f>
        <v/>
      </c>
      <c r="U41" s="289" t="n">
        <v>73000</v>
      </c>
      <c r="V41" s="289" t="n">
        <v>55000</v>
      </c>
      <c r="W41" s="289" t="n"/>
      <c r="X41" s="289" t="n"/>
      <c r="Y41" s="289" t="n"/>
      <c r="Z41" s="289" t="n"/>
      <c r="AA41" s="289" t="n"/>
      <c r="AB41" s="289" t="n"/>
      <c r="AC41" s="289" t="n"/>
      <c r="AG41" s="289" t="n"/>
      <c r="AH41" s="289" t="n"/>
      <c r="AI41" s="289" t="n"/>
      <c r="AJ41" s="289" t="n"/>
      <c r="AR41" s="289" t="n"/>
    </row>
    <row r="42">
      <c r="A42" s="458" t="inlineStr">
        <is>
          <t>망미동</t>
        </is>
      </c>
      <c r="D42" s="458" t="n">
        <v>111463</v>
      </c>
      <c r="E42" s="114" t="inlineStr">
        <is>
          <t>수영SK뷰1단지</t>
        </is>
      </c>
      <c r="F42" s="458" t="n">
        <v>2019.06</v>
      </c>
      <c r="G42" s="458" t="n">
        <v>1147</v>
      </c>
      <c r="H42" s="458">
        <f>2026-F42+1</f>
        <v/>
      </c>
      <c r="J42" s="458" t="n"/>
      <c r="K42" s="458" t="n">
        <v>59</v>
      </c>
      <c r="L42" s="458" t="n"/>
      <c r="M42" s="458" t="inlineStr">
        <is>
          <t>계단식</t>
        </is>
      </c>
      <c r="N42" s="458" t="n">
        <v>3</v>
      </c>
      <c r="O42" s="458" t="n">
        <v>2</v>
      </c>
      <c r="P42" s="458" t="n">
        <v>483</v>
      </c>
      <c r="Q42" s="458" t="n">
        <v>55000</v>
      </c>
      <c r="R42" s="458" t="n">
        <v>34000</v>
      </c>
      <c r="S42" s="458">
        <f>Q42-R42</f>
        <v/>
      </c>
      <c r="T42" s="323">
        <f>R42/Q42</f>
        <v/>
      </c>
      <c r="U42" s="458" t="n">
        <v>64500</v>
      </c>
      <c r="V42" s="458" t="n">
        <v>40000</v>
      </c>
    </row>
    <row r="43">
      <c r="A43" s="289" t="inlineStr">
        <is>
          <t>민락동</t>
        </is>
      </c>
      <c r="B43" s="289" t="n"/>
      <c r="C43" s="289" t="n"/>
      <c r="D43" s="289" t="n">
        <v>9904</v>
      </c>
      <c r="E43" s="115" t="inlineStr">
        <is>
          <t>센텀비치푸르지오</t>
        </is>
      </c>
      <c r="F43" s="289" t="n">
        <v>2003.08</v>
      </c>
      <c r="G43" s="289" t="n">
        <v>1082</v>
      </c>
      <c r="H43" s="289">
        <f>2026-F43+1</f>
        <v/>
      </c>
      <c r="I43" s="289" t="n"/>
      <c r="J43" s="289" t="n"/>
      <c r="K43" s="289" t="n">
        <v>84</v>
      </c>
      <c r="L43" s="289" t="n"/>
      <c r="M43" s="289" t="inlineStr">
        <is>
          <t>계단식</t>
        </is>
      </c>
      <c r="N43" s="289" t="n">
        <v>3</v>
      </c>
      <c r="O43" s="289" t="n">
        <v>2</v>
      </c>
      <c r="P43" s="289" t="n">
        <v>460</v>
      </c>
      <c r="Q43" s="289" t="n">
        <v>55000</v>
      </c>
      <c r="R43" s="289" t="n">
        <v>33000</v>
      </c>
      <c r="S43" s="458">
        <f>Q43-R43</f>
        <v/>
      </c>
      <c r="T43" s="323">
        <f>R43/Q43</f>
        <v/>
      </c>
      <c r="U43" s="289" t="n">
        <v>80000</v>
      </c>
      <c r="V43" s="289" t="n">
        <v>49000</v>
      </c>
      <c r="W43" s="289" t="n"/>
      <c r="X43" s="289" t="n"/>
      <c r="Y43" s="289" t="n"/>
      <c r="Z43" s="289" t="n"/>
      <c r="AA43" s="289" t="n"/>
      <c r="AB43" s="289" t="n"/>
      <c r="AC43" s="289" t="n"/>
      <c r="AG43" s="289" t="n"/>
      <c r="AH43" s="289" t="n"/>
      <c r="AI43" s="289" t="n"/>
      <c r="AJ43" s="289" t="n"/>
      <c r="AR43" s="289" t="n"/>
    </row>
    <row r="44">
      <c r="A44" s="458" t="inlineStr">
        <is>
          <t>민락동</t>
        </is>
      </c>
      <c r="D44" s="458" t="n">
        <v>7888</v>
      </c>
      <c r="E44" s="114" t="inlineStr">
        <is>
          <t>진로비치1단지</t>
        </is>
      </c>
      <c r="F44" s="458" t="n">
        <v>1997.05</v>
      </c>
      <c r="G44" s="458" t="n">
        <v>352</v>
      </c>
      <c r="H44" s="458">
        <f>2026-F44+1</f>
        <v/>
      </c>
      <c r="J44" s="458" t="n">
        <v>104</v>
      </c>
      <c r="K44" s="458" t="n">
        <v>84</v>
      </c>
      <c r="L44" s="458" t="n">
        <v>31</v>
      </c>
      <c r="M44" s="458" t="inlineStr">
        <is>
          <t>계단식</t>
        </is>
      </c>
      <c r="N44" s="458" t="n">
        <v>3</v>
      </c>
      <c r="O44" s="458" t="n">
        <v>2</v>
      </c>
      <c r="P44" s="458" t="n">
        <v>148</v>
      </c>
      <c r="Q44" s="458" t="n">
        <v>52000</v>
      </c>
      <c r="R44" s="458" t="n">
        <v>20000</v>
      </c>
      <c r="S44" s="458">
        <f>Q44-R44</f>
        <v/>
      </c>
      <c r="T44" s="323">
        <f>R44/Q44</f>
        <v/>
      </c>
      <c r="U44" s="458" t="n">
        <v>51500</v>
      </c>
      <c r="V44" s="458" t="n">
        <v>41500</v>
      </c>
    </row>
    <row r="45">
      <c r="A45" s="289" t="inlineStr">
        <is>
          <t>남천동</t>
        </is>
      </c>
      <c r="B45" s="289" t="n"/>
      <c r="C45" s="289" t="n"/>
      <c r="D45" s="289" t="n">
        <v>7650</v>
      </c>
      <c r="E45" s="115" t="inlineStr">
        <is>
          <t>남천동원로얄듀크</t>
        </is>
      </c>
      <c r="F45" s="289" t="n">
        <v>2000.05</v>
      </c>
      <c r="G45" s="289" t="n">
        <v>422</v>
      </c>
      <c r="H45" s="289">
        <f>2026-F45+1</f>
        <v/>
      </c>
      <c r="I45" s="289" t="n"/>
      <c r="J45" s="289" t="n">
        <v>103</v>
      </c>
      <c r="K45" s="289" t="n">
        <v>84</v>
      </c>
      <c r="L45" s="289" t="n">
        <v>31</v>
      </c>
      <c r="M45" s="289" t="inlineStr">
        <is>
          <t>계단식</t>
        </is>
      </c>
      <c r="N45" s="289" t="n">
        <v>3</v>
      </c>
      <c r="O45" s="289" t="n">
        <v>2</v>
      </c>
      <c r="P45" s="289" t="n">
        <v>126</v>
      </c>
      <c r="Q45" s="289" t="n">
        <v>51000</v>
      </c>
      <c r="R45" s="289" t="n">
        <v>31000</v>
      </c>
      <c r="S45" s="458">
        <f>Q45-R45</f>
        <v/>
      </c>
      <c r="T45" s="323">
        <f>R45/Q45</f>
        <v/>
      </c>
      <c r="U45" s="289" t="n">
        <v>69000</v>
      </c>
      <c r="V45" s="289" t="n">
        <v>45000</v>
      </c>
      <c r="W45" s="289" t="n"/>
      <c r="X45" s="289" t="n"/>
      <c r="Y45" s="289" t="n"/>
      <c r="Z45" s="289" t="n"/>
      <c r="AA45" s="289" t="n"/>
      <c r="AB45" s="289" t="n"/>
      <c r="AC45" s="289" t="n"/>
      <c r="AG45" s="289" t="n"/>
      <c r="AH45" s="289" t="n"/>
      <c r="AI45" s="289" t="n"/>
      <c r="AJ45" s="289" t="n"/>
      <c r="AR45" s="289" t="n"/>
    </row>
    <row r="46">
      <c r="A46" s="289" t="inlineStr">
        <is>
          <t>민락동</t>
        </is>
      </c>
      <c r="B46" s="289" t="n"/>
      <c r="C46" s="289" t="n"/>
      <c r="D46" s="289" t="n">
        <v>9904</v>
      </c>
      <c r="E46" s="115" t="inlineStr">
        <is>
          <t>센텀비치푸르지오</t>
        </is>
      </c>
      <c r="F46" s="289" t="n">
        <v>2003.08</v>
      </c>
      <c r="G46" s="289" t="n">
        <v>1082</v>
      </c>
      <c r="H46" s="289">
        <f>2026-F46+1</f>
        <v/>
      </c>
      <c r="I46" s="289" t="n"/>
      <c r="J46" s="289" t="n">
        <v>94</v>
      </c>
      <c r="K46" s="289" t="n">
        <v>73</v>
      </c>
      <c r="L46" s="289" t="n">
        <v>28</v>
      </c>
      <c r="M46" s="289" t="inlineStr">
        <is>
          <t>계단식</t>
        </is>
      </c>
      <c r="N46" s="289" t="n">
        <v>3</v>
      </c>
      <c r="O46" s="289" t="n">
        <v>2</v>
      </c>
      <c r="P46" s="289" t="n">
        <v>104</v>
      </c>
      <c r="Q46" s="289" t="n">
        <v>50000</v>
      </c>
      <c r="R46" s="289" t="n">
        <v>27000</v>
      </c>
      <c r="S46" s="458">
        <f>Q46-R46</f>
        <v/>
      </c>
      <c r="T46" s="323">
        <f>R46/Q46</f>
        <v/>
      </c>
      <c r="U46" s="289" t="n">
        <v>64200</v>
      </c>
      <c r="V46" s="289" t="n">
        <v>42800</v>
      </c>
      <c r="W46" s="289" t="n"/>
      <c r="X46" s="289" t="n"/>
      <c r="Y46" s="289" t="n"/>
      <c r="Z46" s="289" t="n"/>
      <c r="AA46" s="289" t="n"/>
      <c r="AB46" s="289" t="n"/>
      <c r="AC46" s="289" t="n"/>
      <c r="AG46" s="289" t="n"/>
      <c r="AH46" s="289" t="n"/>
      <c r="AI46" s="289" t="n"/>
      <c r="AJ46" s="289" t="n"/>
      <c r="AR46" s="289" t="n"/>
    </row>
    <row r="47">
      <c r="A47" s="289" t="inlineStr">
        <is>
          <t>남천동</t>
        </is>
      </c>
      <c r="B47" s="289" t="n"/>
      <c r="C47" s="289" t="n"/>
      <c r="D47" s="289" t="n">
        <v>7650</v>
      </c>
      <c r="E47" s="133" t="inlineStr">
        <is>
          <t>남천동원로얄듀크</t>
        </is>
      </c>
      <c r="F47" s="289" t="n">
        <v>2000.05</v>
      </c>
      <c r="G47" s="289" t="n">
        <v>422</v>
      </c>
      <c r="H47" s="289">
        <f>2026-F47+1</f>
        <v/>
      </c>
      <c r="I47" s="289" t="n"/>
      <c r="J47" s="289" t="n">
        <v>81</v>
      </c>
      <c r="K47" s="289" t="n">
        <v>59</v>
      </c>
      <c r="L47" s="289" t="n">
        <v>25</v>
      </c>
      <c r="M47" s="289" t="inlineStr">
        <is>
          <t>계단식</t>
        </is>
      </c>
      <c r="N47" s="289" t="n">
        <v>3</v>
      </c>
      <c r="O47" s="289" t="n">
        <v>1</v>
      </c>
      <c r="P47" s="289" t="n">
        <v>40</v>
      </c>
      <c r="Q47" s="289" t="n">
        <v>45000</v>
      </c>
      <c r="R47" s="289" t="n">
        <v>25000</v>
      </c>
      <c r="S47" s="458">
        <f>Q47-R47</f>
        <v/>
      </c>
      <c r="T47" s="323">
        <f>R47/Q47</f>
        <v/>
      </c>
      <c r="U47" s="289" t="n">
        <v>57000</v>
      </c>
      <c r="V47" s="289" t="n">
        <v>44300</v>
      </c>
      <c r="W47" s="289" t="n"/>
      <c r="X47" s="289" t="n"/>
      <c r="Y47" s="289" t="n"/>
      <c r="Z47" s="289" t="n"/>
      <c r="AA47" s="289" t="n"/>
      <c r="AB47" s="289" t="n"/>
      <c r="AC47" s="289" t="n"/>
      <c r="AG47" s="289" t="n"/>
      <c r="AH47" s="289" t="n"/>
      <c r="AI47" s="289" t="n"/>
      <c r="AJ47" s="289" t="n"/>
      <c r="AR47" s="289" t="n"/>
    </row>
    <row r="48">
      <c r="A48" s="289" t="inlineStr">
        <is>
          <t>남천동</t>
        </is>
      </c>
      <c r="B48" s="289" t="n"/>
      <c r="C48" s="289" t="n"/>
      <c r="D48" s="289" t="n">
        <v>127133</v>
      </c>
      <c r="E48" s="133" t="inlineStr">
        <is>
          <t>더샵남천프레스티지</t>
        </is>
      </c>
      <c r="F48" s="289" t="n">
        <v>2022.09</v>
      </c>
      <c r="G48" s="289" t="n">
        <v>975</v>
      </c>
      <c r="H48" s="289">
        <f>2026-F48+1</f>
        <v/>
      </c>
      <c r="I48" s="289" t="n"/>
      <c r="J48" s="289" t="n">
        <v>56</v>
      </c>
      <c r="K48" s="289" t="n">
        <v>39</v>
      </c>
      <c r="L48" s="289" t="n">
        <v>17</v>
      </c>
      <c r="M48" s="289" t="inlineStr">
        <is>
          <t>계단식</t>
        </is>
      </c>
      <c r="N48" s="289" t="n">
        <v>2</v>
      </c>
      <c r="O48" s="289" t="n">
        <v>1</v>
      </c>
      <c r="P48" s="289" t="n">
        <v>51</v>
      </c>
      <c r="Q48" s="289" t="n">
        <v>43000</v>
      </c>
      <c r="R48" s="289" t="n"/>
      <c r="S48" s="458">
        <f>Q48-R48</f>
        <v/>
      </c>
      <c r="T48" s="323">
        <f>R48/Q48</f>
        <v/>
      </c>
      <c r="U48" s="289" t="n"/>
      <c r="V48" s="289" t="n"/>
      <c r="W48" s="289" t="n"/>
      <c r="X48" s="289" t="n"/>
      <c r="Y48" s="289" t="n"/>
      <c r="Z48" s="289" t="n"/>
      <c r="AA48" s="289" t="n"/>
      <c r="AB48" s="289" t="n"/>
      <c r="AC48" s="289" t="n"/>
      <c r="AG48" s="289" t="n"/>
      <c r="AH48" s="289" t="n"/>
      <c r="AI48" s="289" t="n"/>
      <c r="AJ48" s="289" t="n"/>
      <c r="AR48" s="289" t="n"/>
    </row>
    <row r="49">
      <c r="A49" s="289" t="inlineStr">
        <is>
          <t>망미동</t>
        </is>
      </c>
      <c r="B49" s="289" t="n"/>
      <c r="C49" s="289" t="n"/>
      <c r="D49" s="289" t="n">
        <v>109225</v>
      </c>
      <c r="E49" s="115" t="inlineStr">
        <is>
          <t>망미이진캐스빌</t>
        </is>
      </c>
      <c r="F49" s="289" t="n">
        <v>2017.08</v>
      </c>
      <c r="G49" s="289" t="n">
        <v>343</v>
      </c>
      <c r="H49" s="289">
        <f>2026-F49+1</f>
        <v/>
      </c>
      <c r="I49" s="289" t="n"/>
      <c r="J49" s="289" t="n">
        <v>110</v>
      </c>
      <c r="K49" s="289" t="n">
        <v>79</v>
      </c>
      <c r="L49" s="289" t="n">
        <v>33</v>
      </c>
      <c r="M49" s="289" t="inlineStr">
        <is>
          <t>계단식</t>
        </is>
      </c>
      <c r="N49" s="289" t="n">
        <v>3</v>
      </c>
      <c r="O49" s="289" t="n">
        <v>2</v>
      </c>
      <c r="P49" s="289" t="n">
        <v>90</v>
      </c>
      <c r="Q49" s="289" t="n">
        <v>43000</v>
      </c>
      <c r="R49" s="289" t="n">
        <v>26000</v>
      </c>
      <c r="S49" s="458">
        <f>Q49-R49</f>
        <v/>
      </c>
      <c r="T49" s="323">
        <f>R49/Q49</f>
        <v/>
      </c>
      <c r="U49" s="289" t="n">
        <v>55000</v>
      </c>
      <c r="V49" s="289" t="n">
        <v>41700</v>
      </c>
      <c r="W49" s="289" t="n"/>
      <c r="X49" s="289" t="n"/>
      <c r="Y49" s="289" t="n"/>
      <c r="Z49" s="289" t="n"/>
      <c r="AA49" s="289" t="n"/>
      <c r="AB49" s="289" t="n"/>
      <c r="AC49" s="289" t="n"/>
      <c r="AG49" s="289" t="n"/>
      <c r="AH49" s="289" t="n"/>
      <c r="AI49" s="289" t="n"/>
      <c r="AJ49" s="289" t="n"/>
      <c r="AR49" s="289" t="n"/>
    </row>
    <row r="50">
      <c r="A50" s="289" t="inlineStr">
        <is>
          <t>광안동</t>
        </is>
      </c>
      <c r="B50" s="289" t="n"/>
      <c r="C50" s="289" t="n"/>
      <c r="D50" s="289" t="n">
        <v>7509</v>
      </c>
      <c r="E50" s="115" t="inlineStr">
        <is>
          <t>비치그린</t>
        </is>
      </c>
      <c r="F50" s="289" t="n">
        <v>1996.02</v>
      </c>
      <c r="G50" s="289" t="n">
        <v>1038</v>
      </c>
      <c r="H50" s="289">
        <f>2026-F50+1</f>
        <v/>
      </c>
      <c r="I50" s="289" t="n"/>
      <c r="J50" s="289" t="n">
        <v>107</v>
      </c>
      <c r="K50" s="289" t="n">
        <v>84</v>
      </c>
      <c r="L50" s="289" t="n">
        <v>32</v>
      </c>
      <c r="M50" s="289" t="inlineStr">
        <is>
          <t>계단식</t>
        </is>
      </c>
      <c r="N50" s="289" t="n">
        <v>3</v>
      </c>
      <c r="O50" s="289" t="n">
        <v>2</v>
      </c>
      <c r="P50" s="289" t="n">
        <v>601</v>
      </c>
      <c r="Q50" s="289" t="n">
        <v>39000</v>
      </c>
      <c r="R50" s="289" t="n">
        <v>29000</v>
      </c>
      <c r="S50" s="458">
        <f>#REF!-#REF!</f>
        <v/>
      </c>
      <c r="T50" s="323">
        <f>#REF!/#REF!</f>
        <v/>
      </c>
      <c r="U50" s="289" t="n">
        <v>54500</v>
      </c>
      <c r="V50" s="289" t="n">
        <v>35500</v>
      </c>
      <c r="W50" s="289" t="n"/>
      <c r="X50" s="289" t="n"/>
      <c r="Y50" s="289" t="n"/>
      <c r="Z50" s="289" t="n"/>
      <c r="AA50" s="289" t="n"/>
      <c r="AB50" s="289" t="n"/>
      <c r="AC50" s="289" t="n"/>
      <c r="AG50" s="289" t="n"/>
      <c r="AH50" s="289" t="n"/>
      <c r="AI50" s="289" t="n"/>
      <c r="AJ50" s="289" t="n"/>
      <c r="AR50" s="289" t="n"/>
    </row>
    <row r="51">
      <c r="A51" s="289" t="inlineStr">
        <is>
          <t>광안동</t>
        </is>
      </c>
      <c r="B51" s="289" t="n"/>
      <c r="C51" s="289" t="n"/>
      <c r="D51" s="289" t="n">
        <v>7363</v>
      </c>
      <c r="E51" s="115" t="inlineStr">
        <is>
          <t>광원</t>
        </is>
      </c>
      <c r="F51" s="289" t="n">
        <v>1995.11</v>
      </c>
      <c r="G51" s="289" t="n">
        <v>589</v>
      </c>
      <c r="H51" s="289">
        <f>2026-F51+1</f>
        <v/>
      </c>
      <c r="I51" s="289" t="n"/>
      <c r="J51" s="289" t="n">
        <v>100</v>
      </c>
      <c r="K51" s="289" t="n">
        <v>84</v>
      </c>
      <c r="L51" s="289" t="n">
        <v>30</v>
      </c>
      <c r="M51" s="289" t="inlineStr">
        <is>
          <t>계단식</t>
        </is>
      </c>
      <c r="N51" s="289" t="n">
        <v>3</v>
      </c>
      <c r="O51" s="289" t="n">
        <v>2</v>
      </c>
      <c r="P51" s="289" t="n">
        <v>196</v>
      </c>
      <c r="Q51" s="289" t="n">
        <v>38000</v>
      </c>
      <c r="R51" s="289" t="n"/>
      <c r="S51" s="458">
        <f>Q51-R51</f>
        <v/>
      </c>
      <c r="T51" s="323">
        <f>R51/Q51</f>
        <v/>
      </c>
      <c r="U51" s="289" t="n">
        <v>45500</v>
      </c>
      <c r="V51" s="289" t="n">
        <v>36000</v>
      </c>
      <c r="W51" s="289" t="n"/>
      <c r="X51" s="289" t="n"/>
      <c r="Y51" s="289" t="n"/>
      <c r="Z51" s="289" t="n"/>
      <c r="AA51" s="289" t="n"/>
      <c r="AB51" s="289" t="n"/>
      <c r="AC51" s="289" t="n"/>
      <c r="AG51" s="289" t="n"/>
      <c r="AH51" s="289" t="n"/>
      <c r="AI51" s="289" t="n"/>
      <c r="AJ51" s="289" t="n"/>
      <c r="AR51" s="289" t="n"/>
    </row>
    <row r="52">
      <c r="A52" s="458" t="inlineStr">
        <is>
          <t>민락동</t>
        </is>
      </c>
      <c r="B52" s="458" t="n"/>
      <c r="C52" s="458" t="n"/>
      <c r="D52" s="458" t="n">
        <v>7888</v>
      </c>
      <c r="E52" s="114" t="inlineStr">
        <is>
          <t>진로비치1단지</t>
        </is>
      </c>
      <c r="F52" s="458" t="n">
        <v>1997.05</v>
      </c>
      <c r="G52" s="458" t="n">
        <v>352</v>
      </c>
      <c r="H52" s="458">
        <f>2026-F52+1</f>
        <v/>
      </c>
      <c r="I52" s="458" t="n"/>
      <c r="J52" s="458" t="n">
        <v>76</v>
      </c>
      <c r="K52" s="458" t="n">
        <v>59</v>
      </c>
      <c r="L52" s="458" t="n">
        <v>23</v>
      </c>
      <c r="M52" s="458" t="inlineStr">
        <is>
          <t>계단식</t>
        </is>
      </c>
      <c r="N52" s="458" t="n">
        <v>3</v>
      </c>
      <c r="O52" s="458" t="n">
        <v>1</v>
      </c>
      <c r="P52" s="458" t="n">
        <v>144</v>
      </c>
      <c r="Q52" s="458" t="n">
        <v>38000</v>
      </c>
      <c r="R52" s="458" t="n">
        <v>19000</v>
      </c>
      <c r="S52" s="458">
        <f>Q52-R52</f>
        <v/>
      </c>
      <c r="T52" s="323">
        <f>R52/Q52</f>
        <v/>
      </c>
      <c r="U52" s="458" t="n">
        <v>43800</v>
      </c>
      <c r="V52" s="458" t="n">
        <v>36800</v>
      </c>
      <c r="W52" s="458" t="n"/>
      <c r="X52" s="458" t="n"/>
      <c r="Y52" s="458" t="n"/>
      <c r="Z52" s="458" t="n"/>
      <c r="AA52" s="458" t="n"/>
      <c r="AB52" s="458" t="n"/>
      <c r="AC52" s="458" t="n"/>
      <c r="AG52" s="458" t="n"/>
      <c r="AH52" s="458" t="n"/>
      <c r="AI52" s="458" t="n"/>
      <c r="AJ52" s="458" t="n"/>
      <c r="AR52" s="458" t="n"/>
    </row>
    <row r="53">
      <c r="A53" s="458" t="inlineStr">
        <is>
          <t>망미동</t>
        </is>
      </c>
      <c r="B53" s="458" t="n"/>
      <c r="C53" s="458" t="n"/>
      <c r="D53" s="458" t="n">
        <v>9884</v>
      </c>
      <c r="E53" s="114" t="inlineStr">
        <is>
          <t>센텀수영강변e-편한세상2차</t>
        </is>
      </c>
      <c r="F53" s="458" t="n">
        <v>2004.08</v>
      </c>
      <c r="G53" s="458" t="n">
        <v>486</v>
      </c>
      <c r="H53" s="458">
        <f>2026-F53+1</f>
        <v/>
      </c>
      <c r="I53" s="458" t="n"/>
      <c r="J53" s="458" t="n">
        <v>107</v>
      </c>
      <c r="K53" s="458" t="n">
        <v>84</v>
      </c>
      <c r="L53" s="458" t="n">
        <v>32</v>
      </c>
      <c r="M53" s="458" t="inlineStr">
        <is>
          <t>계단식</t>
        </is>
      </c>
      <c r="N53" s="458" t="n">
        <v>3</v>
      </c>
      <c r="O53" s="458" t="n">
        <v>2</v>
      </c>
      <c r="P53" s="458" t="n">
        <v>317</v>
      </c>
      <c r="Q53" s="458" t="n">
        <v>37000</v>
      </c>
      <c r="R53" s="458" t="n">
        <v>29000</v>
      </c>
      <c r="S53" s="458">
        <f>Q53-R53</f>
        <v/>
      </c>
      <c r="T53" s="323">
        <f>R53/Q53</f>
        <v/>
      </c>
      <c r="U53" s="458" t="n">
        <v>59000</v>
      </c>
      <c r="V53" s="458" t="n">
        <v>34000</v>
      </c>
      <c r="W53" s="458" t="n"/>
      <c r="X53" s="458" t="n"/>
      <c r="Y53" s="458" t="n"/>
      <c r="Z53" s="458" t="n"/>
      <c r="AA53" s="458" t="n"/>
      <c r="AB53" s="458" t="n"/>
      <c r="AC53" s="458" t="n"/>
      <c r="AG53" s="458" t="n"/>
      <c r="AH53" s="458" t="n"/>
      <c r="AI53" s="458" t="n"/>
      <c r="AJ53" s="458" t="n"/>
      <c r="AR53" s="458" t="n"/>
    </row>
    <row r="54">
      <c r="A54" s="289" t="inlineStr">
        <is>
          <t>망미동</t>
        </is>
      </c>
      <c r="B54" s="289" t="n"/>
      <c r="C54" s="289" t="n"/>
      <c r="D54" s="289" t="n">
        <v>109225</v>
      </c>
      <c r="E54" s="115" t="inlineStr">
        <is>
          <t>망미이진캐스빌</t>
        </is>
      </c>
      <c r="F54" s="289" t="n">
        <v>2017.08</v>
      </c>
      <c r="G54" s="289" t="n">
        <v>343</v>
      </c>
      <c r="H54" s="289">
        <f>2026-F54+1</f>
        <v/>
      </c>
      <c r="I54" s="289" t="n"/>
      <c r="J54" s="289" t="n">
        <v>87</v>
      </c>
      <c r="K54" s="289" t="n">
        <v>62</v>
      </c>
      <c r="L54" s="289" t="n">
        <v>26</v>
      </c>
      <c r="M54" s="289" t="inlineStr">
        <is>
          <t>계단식</t>
        </is>
      </c>
      <c r="N54" s="289" t="n">
        <v>3</v>
      </c>
      <c r="O54" s="289" t="n">
        <v>2</v>
      </c>
      <c r="P54" s="289" t="n">
        <v>207</v>
      </c>
      <c r="Q54" s="289" t="n">
        <v>36500</v>
      </c>
      <c r="R54" s="289" t="n">
        <v>27000</v>
      </c>
      <c r="S54" s="458">
        <f>Q54-R54</f>
        <v/>
      </c>
      <c r="T54" s="323">
        <f>R54/Q54</f>
        <v/>
      </c>
      <c r="U54" s="289" t="n">
        <v>47500</v>
      </c>
      <c r="V54" s="289" t="n">
        <v>34000</v>
      </c>
      <c r="W54" s="289" t="n"/>
      <c r="X54" s="289" t="n"/>
      <c r="Y54" s="289" t="n"/>
      <c r="Z54" s="289" t="n"/>
      <c r="AA54" s="289" t="n"/>
      <c r="AB54" s="289" t="n"/>
      <c r="AC54" s="289" t="n"/>
      <c r="AG54" s="289" t="n"/>
      <c r="AH54" s="289" t="n"/>
      <c r="AI54" s="289" t="n"/>
      <c r="AJ54" s="289" t="n"/>
      <c r="AR54" s="289" t="n"/>
    </row>
    <row r="55">
      <c r="A55" s="458" t="inlineStr">
        <is>
          <t>망미동</t>
        </is>
      </c>
      <c r="B55" s="458" t="n"/>
      <c r="C55" s="458" t="n"/>
      <c r="D55" s="458" t="n">
        <v>9884</v>
      </c>
      <c r="E55" s="146" t="inlineStr">
        <is>
          <t>센텀수영강변e-편한세상2차</t>
        </is>
      </c>
      <c r="F55" s="458" t="n">
        <v>2004.08</v>
      </c>
      <c r="G55" s="458" t="n">
        <v>486</v>
      </c>
      <c r="H55" s="458">
        <f>2026-F55+1</f>
        <v/>
      </c>
      <c r="I55" s="458" t="n"/>
      <c r="J55" s="458" t="n">
        <v>79</v>
      </c>
      <c r="K55" s="458" t="n">
        <v>59</v>
      </c>
      <c r="L55" s="458" t="n">
        <v>24</v>
      </c>
      <c r="M55" s="458" t="inlineStr">
        <is>
          <t>계단식</t>
        </is>
      </c>
      <c r="N55" s="458" t="n">
        <v>3</v>
      </c>
      <c r="O55" s="458" t="n">
        <v>2</v>
      </c>
      <c r="P55" s="458" t="n">
        <v>169</v>
      </c>
      <c r="Q55" s="458" t="n">
        <v>32000</v>
      </c>
      <c r="R55" s="458" t="n">
        <v>21000</v>
      </c>
      <c r="S55" s="458">
        <f>Q55-R55</f>
        <v/>
      </c>
      <c r="T55" s="323">
        <f>R55/Q55</f>
        <v/>
      </c>
      <c r="U55" s="458" t="n">
        <v>46000</v>
      </c>
      <c r="V55" s="458" t="n">
        <v>31900</v>
      </c>
      <c r="W55" s="458" t="n"/>
      <c r="X55" s="458" t="n"/>
      <c r="Y55" s="458" t="n"/>
      <c r="Z55" s="458" t="n"/>
      <c r="AA55" s="458" t="n"/>
      <c r="AB55" s="458" t="n"/>
      <c r="AC55" s="458" t="n"/>
      <c r="AG55" s="458" t="n"/>
      <c r="AH55" s="458" t="n"/>
      <c r="AI55" s="458" t="n"/>
      <c r="AJ55" s="458" t="n"/>
      <c r="AR55" s="458" t="n"/>
    </row>
    <row r="56">
      <c r="A56" s="458" t="inlineStr">
        <is>
          <t>망미동</t>
        </is>
      </c>
      <c r="D56" s="458" t="n">
        <v>7881</v>
      </c>
      <c r="E56" s="114" t="inlineStr">
        <is>
          <t>삼성</t>
        </is>
      </c>
      <c r="F56" s="458" t="n">
        <v>1991.11</v>
      </c>
      <c r="G56" s="458" t="n">
        <v>672</v>
      </c>
      <c r="H56" s="458">
        <f>2026-F56+1</f>
        <v/>
      </c>
      <c r="J56" s="458" t="n"/>
      <c r="K56" s="458" t="n">
        <v>84</v>
      </c>
      <c r="L56" s="458" t="n"/>
      <c r="M56" s="458" t="inlineStr">
        <is>
          <t>계단식</t>
        </is>
      </c>
      <c r="N56" s="458" t="n">
        <v>3</v>
      </c>
      <c r="O56" s="458" t="n">
        <v>2</v>
      </c>
      <c r="P56" s="458" t="n">
        <v>255</v>
      </c>
      <c r="Q56" s="458" t="n">
        <v>26000</v>
      </c>
      <c r="R56" s="458" t="n">
        <v>23000</v>
      </c>
      <c r="S56" s="458">
        <f>Q56-R56</f>
        <v/>
      </c>
      <c r="T56" s="323">
        <f>R56/Q56</f>
        <v/>
      </c>
      <c r="U56" s="458" t="n">
        <v>45300</v>
      </c>
      <c r="V56" s="458" t="n">
        <v>26000</v>
      </c>
    </row>
    <row r="57">
      <c r="A57" s="289" t="inlineStr">
        <is>
          <t>광안동</t>
        </is>
      </c>
      <c r="B57" s="289" t="n"/>
      <c r="C57" s="289" t="n"/>
      <c r="D57" s="289" t="n">
        <v>7363</v>
      </c>
      <c r="E57" s="115" t="inlineStr">
        <is>
          <t>광원</t>
        </is>
      </c>
      <c r="F57" s="289" t="n">
        <v>1995.11</v>
      </c>
      <c r="G57" s="289" t="n">
        <v>589</v>
      </c>
      <c r="H57" s="289">
        <f>2026-F57+1</f>
        <v/>
      </c>
      <c r="I57" s="289" t="n"/>
      <c r="J57" s="289" t="n">
        <v>75</v>
      </c>
      <c r="K57" s="289" t="n">
        <v>59</v>
      </c>
      <c r="L57" s="289" t="n">
        <v>23</v>
      </c>
      <c r="M57" s="289" t="inlineStr">
        <is>
          <t>계단식</t>
        </is>
      </c>
      <c r="N57" s="289" t="n">
        <v>2</v>
      </c>
      <c r="O57" s="289" t="n">
        <v>1</v>
      </c>
      <c r="P57" s="289" t="n">
        <v>265</v>
      </c>
      <c r="Q57" s="289" t="n">
        <v>24500</v>
      </c>
      <c r="R57" s="289" t="n"/>
      <c r="S57" s="458">
        <f>Q57-R57</f>
        <v/>
      </c>
      <c r="T57" s="323">
        <f>R57/Q57</f>
        <v/>
      </c>
      <c r="U57" s="289" t="n">
        <v>31750</v>
      </c>
      <c r="V57" s="289" t="n">
        <v>20000</v>
      </c>
      <c r="W57" s="289" t="n"/>
      <c r="X57" s="289" t="n"/>
      <c r="Y57" s="289" t="n"/>
      <c r="Z57" s="289" t="n"/>
      <c r="AA57" s="289" t="n"/>
      <c r="AB57" s="289" t="n"/>
      <c r="AC57" s="289" t="n"/>
      <c r="AG57" s="289" t="n"/>
      <c r="AH57" s="289" t="n"/>
      <c r="AI57" s="289" t="n"/>
      <c r="AJ57" s="289" t="n"/>
      <c r="AR57" s="289" t="n"/>
    </row>
    <row r="58">
      <c r="A58" s="289" t="inlineStr">
        <is>
          <t>광안동</t>
        </is>
      </c>
      <c r="B58" s="289" t="n"/>
      <c r="C58" s="289" t="n"/>
      <c r="D58" s="289" t="n">
        <v>7509</v>
      </c>
      <c r="E58" s="115" t="inlineStr">
        <is>
          <t>비치그린</t>
        </is>
      </c>
      <c r="F58" s="289" t="n">
        <v>1996.02</v>
      </c>
      <c r="G58" s="289" t="n">
        <v>1038</v>
      </c>
      <c r="H58" s="289">
        <f>2026-F58+1</f>
        <v/>
      </c>
      <c r="I58" s="289" t="n"/>
      <c r="J58" s="289" t="n"/>
      <c r="K58" s="289" t="n">
        <v>59</v>
      </c>
      <c r="L58" s="289" t="n"/>
      <c r="M58" s="289" t="inlineStr">
        <is>
          <t>복도식</t>
        </is>
      </c>
      <c r="N58" s="289" t="n">
        <v>3</v>
      </c>
      <c r="O58" s="289" t="n">
        <v>1</v>
      </c>
      <c r="P58" s="289" t="n">
        <v>384</v>
      </c>
      <c r="Q58" s="289" t="n">
        <v>24000</v>
      </c>
      <c r="R58" s="289" t="n">
        <v>20000</v>
      </c>
      <c r="S58" s="458">
        <f>Q58-R58</f>
        <v/>
      </c>
      <c r="T58" s="323">
        <f>R58/Q58</f>
        <v/>
      </c>
      <c r="U58" s="289" t="n">
        <v>36200</v>
      </c>
      <c r="V58" s="289" t="n">
        <v>23900</v>
      </c>
      <c r="W58" s="289" t="n"/>
      <c r="X58" s="289" t="n"/>
      <c r="Y58" s="289" t="n"/>
      <c r="Z58" s="289" t="n"/>
      <c r="AA58" s="289" t="n"/>
      <c r="AB58" s="289" t="n"/>
      <c r="AC58" s="289" t="n"/>
      <c r="AG58" s="289" t="n"/>
      <c r="AH58" s="289" t="n"/>
      <c r="AI58" s="289" t="n"/>
      <c r="AJ58" s="289" t="n"/>
      <c r="AR58" s="289" t="n"/>
    </row>
    <row r="59">
      <c r="A59" s="289" t="inlineStr">
        <is>
          <t>망미동</t>
        </is>
      </c>
      <c r="B59" s="289" t="n"/>
      <c r="C59" s="289" t="n"/>
      <c r="D59" s="289" t="n">
        <v>7887</v>
      </c>
      <c r="E59" s="115" t="inlineStr">
        <is>
          <t>현대한누리타운</t>
        </is>
      </c>
      <c r="F59" s="289" t="n">
        <v>1993.11</v>
      </c>
      <c r="G59" s="289" t="n">
        <v>458</v>
      </c>
      <c r="H59" s="289">
        <f>2026-F59+1</f>
        <v/>
      </c>
      <c r="I59" s="289" t="n"/>
      <c r="J59" s="289" t="n"/>
      <c r="K59" s="289" t="n">
        <v>84</v>
      </c>
      <c r="L59" s="289" t="n"/>
      <c r="M59" s="289" t="inlineStr">
        <is>
          <t>계단식</t>
        </is>
      </c>
      <c r="N59" s="289" t="n">
        <v>3</v>
      </c>
      <c r="O59" s="289" t="n">
        <v>2</v>
      </c>
      <c r="P59" s="289" t="n">
        <v>330</v>
      </c>
      <c r="Q59" s="289" t="n">
        <v>23000</v>
      </c>
      <c r="R59" s="289" t="n">
        <v>16000</v>
      </c>
      <c r="S59" s="458">
        <f>Q59-R59</f>
        <v/>
      </c>
      <c r="T59" s="323">
        <f>R59/Q59</f>
        <v/>
      </c>
      <c r="U59" s="289" t="n">
        <v>31600</v>
      </c>
      <c r="V59" s="289" t="n">
        <v>21500</v>
      </c>
      <c r="W59" s="289" t="n"/>
      <c r="X59" s="289" t="n"/>
      <c r="Y59" s="289" t="n"/>
      <c r="Z59" s="289" t="n"/>
      <c r="AA59" s="289" t="n"/>
      <c r="AB59" s="289" t="n"/>
      <c r="AC59" s="289" t="n"/>
      <c r="AG59" s="289" t="n"/>
      <c r="AH59" s="289" t="n"/>
      <c r="AI59" s="289" t="n"/>
      <c r="AJ59" s="289" t="n"/>
      <c r="AR59" s="289" t="n"/>
    </row>
    <row r="60">
      <c r="A60" s="458" t="inlineStr">
        <is>
          <t>망미동</t>
        </is>
      </c>
      <c r="D60" s="458" t="n">
        <v>7878</v>
      </c>
      <c r="E60" s="114" t="inlineStr">
        <is>
          <t>망미로얄베스토피아</t>
        </is>
      </c>
      <c r="F60" s="458" t="n">
        <v>1993.06</v>
      </c>
      <c r="G60" s="458" t="n">
        <v>490</v>
      </c>
      <c r="H60" s="458">
        <f>2026-F60+1</f>
        <v/>
      </c>
      <c r="J60" s="458" t="n">
        <v>107</v>
      </c>
      <c r="K60" s="458" t="n">
        <v>80</v>
      </c>
      <c r="L60" s="458" t="n">
        <v>32</v>
      </c>
      <c r="M60" s="458" t="inlineStr">
        <is>
          <t>계단식</t>
        </is>
      </c>
      <c r="N60" s="458" t="n">
        <v>3</v>
      </c>
      <c r="O60" s="458" t="n">
        <v>1</v>
      </c>
      <c r="P60" s="458" t="n">
        <v>14</v>
      </c>
      <c r="Q60" s="458" t="n">
        <v>21000</v>
      </c>
      <c r="R60" s="458" t="n">
        <v>15000</v>
      </c>
      <c r="S60" s="458">
        <f>Q60-R60</f>
        <v/>
      </c>
      <c r="T60" s="323">
        <f>R60/Q60</f>
        <v/>
      </c>
      <c r="U60" s="458" t="n">
        <v>21200</v>
      </c>
      <c r="V60" s="458" t="n">
        <v>12100</v>
      </c>
    </row>
    <row r="61">
      <c r="A61" s="458" t="inlineStr">
        <is>
          <t>망미동</t>
        </is>
      </c>
      <c r="B61" s="458" t="n"/>
      <c r="C61" s="458" t="n"/>
      <c r="D61" s="458" t="n">
        <v>7878</v>
      </c>
      <c r="E61" s="114" t="inlineStr">
        <is>
          <t>망미로얄베스토피아</t>
        </is>
      </c>
      <c r="F61" s="458" t="n">
        <v>1993.06</v>
      </c>
      <c r="G61" s="458" t="n">
        <v>490</v>
      </c>
      <c r="H61" s="458">
        <f>2026-F61+1</f>
        <v/>
      </c>
      <c r="I61" s="458" t="n"/>
      <c r="J61" s="458" t="n"/>
      <c r="K61" s="458" t="n">
        <v>84</v>
      </c>
      <c r="L61" s="458" t="n"/>
      <c r="M61" s="458" t="inlineStr">
        <is>
          <t>계단식</t>
        </is>
      </c>
      <c r="N61" s="458" t="n">
        <v>3</v>
      </c>
      <c r="O61" s="458" t="n">
        <v>2</v>
      </c>
      <c r="P61" s="458" t="n">
        <v>266</v>
      </c>
      <c r="Q61" s="458" t="n">
        <v>17000</v>
      </c>
      <c r="R61" s="458" t="n">
        <v>15000</v>
      </c>
      <c r="S61" s="458">
        <f>Q61-R61</f>
        <v/>
      </c>
      <c r="T61" s="323">
        <f>R61/Q61</f>
        <v/>
      </c>
      <c r="U61" s="458" t="n">
        <v>26500</v>
      </c>
      <c r="V61" s="458" t="n">
        <v>21000</v>
      </c>
      <c r="W61" s="458" t="n"/>
      <c r="X61" s="458" t="n"/>
      <c r="Y61" s="458" t="n"/>
      <c r="Z61" s="458" t="n"/>
      <c r="AA61" s="458" t="n"/>
      <c r="AB61" s="458" t="n"/>
      <c r="AC61" s="458" t="n"/>
      <c r="AG61" s="458" t="n"/>
      <c r="AH61" s="458" t="n"/>
      <c r="AI61" s="458" t="n"/>
      <c r="AJ61" s="458" t="n"/>
      <c r="AR61" s="458" t="n"/>
    </row>
    <row r="62">
      <c r="A62" s="458" t="inlineStr">
        <is>
          <t>망미동</t>
        </is>
      </c>
      <c r="D62" s="458" t="n">
        <v>7878</v>
      </c>
      <c r="E62" s="114" t="inlineStr">
        <is>
          <t>망미로얄베스토피아</t>
        </is>
      </c>
      <c r="F62" s="458" t="n">
        <v>1993.06</v>
      </c>
      <c r="G62" s="458" t="n">
        <v>490</v>
      </c>
      <c r="H62" s="458">
        <f>2026-F62+1</f>
        <v/>
      </c>
      <c r="J62" s="458" t="n">
        <v>97</v>
      </c>
      <c r="K62" s="458" t="n">
        <v>78</v>
      </c>
      <c r="L62" s="458" t="n">
        <v>29</v>
      </c>
      <c r="M62" s="458" t="inlineStr">
        <is>
          <t>계단식</t>
        </is>
      </c>
      <c r="N62" s="458" t="n">
        <v>3</v>
      </c>
      <c r="O62" s="458" t="n">
        <v>1</v>
      </c>
      <c r="P62" s="458" t="n">
        <v>122</v>
      </c>
      <c r="Q62" s="458" t="n">
        <v>16500</v>
      </c>
      <c r="S62" s="458">
        <f>Q62-R62</f>
        <v/>
      </c>
      <c r="T62" s="323">
        <f>R62/Q62</f>
        <v/>
      </c>
      <c r="U62" s="458" t="n">
        <v>21200</v>
      </c>
      <c r="V62" s="458" t="n">
        <v>19250</v>
      </c>
    </row>
    <row r="63">
      <c r="A63" s="458" t="inlineStr">
        <is>
          <t>광안동</t>
        </is>
      </c>
      <c r="D63" s="458" t="n">
        <v>104037</v>
      </c>
      <c r="E63" s="114" t="inlineStr">
        <is>
          <t>부산광안쌍용예가디오션</t>
        </is>
      </c>
      <c r="F63" s="458" t="n">
        <v>2014.11</v>
      </c>
      <c r="G63" s="458" t="n">
        <v>928</v>
      </c>
      <c r="H63" s="458">
        <f>2026-F63+1</f>
        <v/>
      </c>
      <c r="J63" s="458" t="n"/>
      <c r="K63" s="458" t="n">
        <v>84</v>
      </c>
      <c r="L63" s="458" t="n"/>
      <c r="M63" s="458" t="inlineStr">
        <is>
          <t>계단식</t>
        </is>
      </c>
      <c r="N63" s="458" t="n">
        <v>3</v>
      </c>
      <c r="O63" s="458" t="n">
        <v>2</v>
      </c>
      <c r="P63" s="458" t="n">
        <v>743</v>
      </c>
      <c r="Q63" s="458" t="n">
        <v>10000</v>
      </c>
      <c r="R63" s="458" t="n">
        <v>58000</v>
      </c>
      <c r="S63" s="458">
        <f>Q63-R63</f>
        <v/>
      </c>
      <c r="T63" s="323">
        <f>R63/Q63</f>
        <v/>
      </c>
      <c r="U63" s="458" t="n">
        <v>160000</v>
      </c>
      <c r="V63" s="458" t="n">
        <v>72000</v>
      </c>
    </row>
    <row r="64">
      <c r="A64" s="458" t="inlineStr">
        <is>
          <t>광안동</t>
        </is>
      </c>
      <c r="D64" s="458" t="n">
        <v>14059</v>
      </c>
      <c r="E64" s="114" t="inlineStr">
        <is>
          <t>광안SK뷰(주상복합)</t>
        </is>
      </c>
      <c r="F64" s="458" t="n">
        <v>2006.03</v>
      </c>
      <c r="G64" s="458" t="n">
        <v>361</v>
      </c>
      <c r="H64" s="458">
        <f>2026-F64+1</f>
        <v/>
      </c>
      <c r="J64" s="458" t="n">
        <v>119</v>
      </c>
      <c r="K64" s="458" t="n">
        <v>84</v>
      </c>
      <c r="L64" s="458" t="n">
        <v>36</v>
      </c>
      <c r="M64" s="458" t="inlineStr">
        <is>
          <t>계단식</t>
        </is>
      </c>
      <c r="N64" s="458" t="n">
        <v>3</v>
      </c>
      <c r="O64" s="458" t="n">
        <v>2</v>
      </c>
      <c r="P64" s="458" t="n">
        <v>48</v>
      </c>
      <c r="S64" s="458">
        <f>Q64-R64</f>
        <v/>
      </c>
      <c r="T64" s="323">
        <f>R64/Q64</f>
        <v/>
      </c>
      <c r="U64" s="458" t="n">
        <v>39400</v>
      </c>
      <c r="V64" s="458" t="n">
        <v>33500</v>
      </c>
    </row>
    <row r="65">
      <c r="A65" s="458" t="inlineStr">
        <is>
          <t>광안동</t>
        </is>
      </c>
      <c r="B65" s="458" t="n"/>
      <c r="C65" s="458" t="n"/>
      <c r="D65" s="458" t="n">
        <v>14059</v>
      </c>
      <c r="E65" s="114" t="inlineStr">
        <is>
          <t>광안SK뷰(주상복합)</t>
        </is>
      </c>
      <c r="F65" s="458" t="n">
        <v>2006.03</v>
      </c>
      <c r="G65" s="458" t="n">
        <v>361</v>
      </c>
      <c r="H65" s="458">
        <f>2026-F65+1</f>
        <v/>
      </c>
      <c r="I65" s="458" t="n"/>
      <c r="J65" s="458" t="n">
        <v>155</v>
      </c>
      <c r="K65" s="458" t="n">
        <v>111</v>
      </c>
      <c r="L65" s="458" t="n">
        <v>47</v>
      </c>
      <c r="M65" s="458" t="inlineStr">
        <is>
          <t>계단식</t>
        </is>
      </c>
      <c r="N65" s="458" t="n">
        <v>3</v>
      </c>
      <c r="O65" s="458" t="n">
        <v>2</v>
      </c>
      <c r="P65" s="458" t="n">
        <v>275</v>
      </c>
      <c r="Q65" s="458" t="n"/>
      <c r="R65" s="458" t="n"/>
      <c r="S65" s="458">
        <f>Q65-R65</f>
        <v/>
      </c>
      <c r="T65" s="323">
        <f>R65/Q65</f>
        <v/>
      </c>
      <c r="U65" s="458" t="n">
        <v>77000</v>
      </c>
      <c r="V65" s="458" t="n">
        <v>62000</v>
      </c>
      <c r="W65" s="458" t="n"/>
      <c r="X65" s="458" t="n"/>
      <c r="Y65" s="458" t="n"/>
      <c r="Z65" s="458" t="n"/>
      <c r="AA65" s="458" t="n"/>
      <c r="AB65" s="458" t="n"/>
      <c r="AC65" s="458" t="n"/>
      <c r="AG65" s="458" t="n"/>
      <c r="AH65" s="458" t="n"/>
      <c r="AI65" s="458" t="n"/>
      <c r="AJ65" s="458" t="n"/>
      <c r="AR65" s="458" t="n"/>
    </row>
    <row r="66">
      <c r="A66" s="458" t="inlineStr">
        <is>
          <t>광안동</t>
        </is>
      </c>
      <c r="B66" s="458" t="n"/>
      <c r="C66" s="458" t="n"/>
      <c r="D66" s="458" t="n">
        <v>14059</v>
      </c>
      <c r="E66" s="114" t="inlineStr">
        <is>
          <t>광안SK뷰(주상복합)</t>
        </is>
      </c>
      <c r="F66" s="458" t="n">
        <v>2006.03</v>
      </c>
      <c r="G66" s="458" t="n">
        <v>361</v>
      </c>
      <c r="H66" s="458">
        <f>2026-F66+1</f>
        <v/>
      </c>
      <c r="I66" s="458" t="n"/>
      <c r="J66" s="458" t="n">
        <v>181</v>
      </c>
      <c r="K66" s="458" t="n">
        <v>134</v>
      </c>
      <c r="L66" s="458" t="n">
        <v>55</v>
      </c>
      <c r="M66" s="458" t="inlineStr">
        <is>
          <t>계단식</t>
        </is>
      </c>
      <c r="N66" s="458" t="n">
        <v>4</v>
      </c>
      <c r="O66" s="458" t="n">
        <v>2</v>
      </c>
      <c r="P66" s="458" t="n">
        <v>38</v>
      </c>
      <c r="Q66" s="458" t="n"/>
      <c r="R66" s="458" t="n"/>
      <c r="S66" s="458">
        <f>Q66-R66</f>
        <v/>
      </c>
      <c r="T66" s="323">
        <f>R66/Q66</f>
        <v/>
      </c>
      <c r="U66" s="458" t="n"/>
      <c r="V66" s="458" t="n">
        <v>88000</v>
      </c>
      <c r="W66" s="458" t="n"/>
      <c r="X66" s="458" t="n"/>
      <c r="Y66" s="458" t="n"/>
      <c r="Z66" s="458" t="n"/>
      <c r="AA66" s="458" t="n"/>
      <c r="AB66" s="458" t="n"/>
      <c r="AC66" s="458" t="n"/>
      <c r="AG66" s="458" t="n"/>
      <c r="AH66" s="458" t="n"/>
      <c r="AI66" s="458" t="n"/>
      <c r="AJ66" s="458" t="n"/>
      <c r="AR66" s="458" t="n"/>
    </row>
    <row r="67">
      <c r="A67" s="289" t="inlineStr">
        <is>
          <t>광안동</t>
        </is>
      </c>
      <c r="B67" s="289" t="n"/>
      <c r="C67" s="289" t="n"/>
      <c r="D67" s="289" t="n">
        <v>19136</v>
      </c>
      <c r="E67" s="115" t="inlineStr">
        <is>
          <t>광안유림노르웨이아침(주상복합)</t>
        </is>
      </c>
      <c r="F67" s="289" t="n">
        <v>2004.11</v>
      </c>
      <c r="G67" s="289" t="n">
        <v>423</v>
      </c>
      <c r="H67" s="289">
        <f>2026-F67+1</f>
        <v/>
      </c>
      <c r="I67" s="289" t="n"/>
      <c r="J67" s="289" t="n">
        <v>31</v>
      </c>
      <c r="K67" s="289" t="n">
        <v>23</v>
      </c>
      <c r="L67" s="289" t="n">
        <v>9</v>
      </c>
      <c r="M67" s="289" t="inlineStr">
        <is>
          <t>복합식</t>
        </is>
      </c>
      <c r="N67" s="289" t="n">
        <v>1</v>
      </c>
      <c r="O67" s="289" t="n">
        <v>1</v>
      </c>
      <c r="P67" s="289" t="n">
        <v>38</v>
      </c>
      <c r="Q67" s="289" t="n"/>
      <c r="R67" s="289" t="n"/>
      <c r="S67" s="458">
        <f>Q67-R67</f>
        <v/>
      </c>
      <c r="T67" s="323">
        <f>R67/Q67</f>
        <v/>
      </c>
      <c r="U67" s="289" t="n">
        <v>7900</v>
      </c>
      <c r="V67" s="289" t="n">
        <v>7900</v>
      </c>
      <c r="W67" s="289" t="n"/>
      <c r="X67" s="289" t="n"/>
      <c r="Y67" s="289" t="n"/>
      <c r="Z67" s="289" t="n"/>
      <c r="AA67" s="289" t="n"/>
      <c r="AB67" s="289" t="n"/>
      <c r="AC67" s="289" t="n"/>
      <c r="AG67" s="289" t="n"/>
      <c r="AH67" s="289" t="n"/>
      <c r="AI67" s="289" t="n"/>
      <c r="AJ67" s="289" t="n"/>
      <c r="AR67" s="289" t="n"/>
    </row>
    <row r="68">
      <c r="A68" s="289" t="inlineStr">
        <is>
          <t>광안동</t>
        </is>
      </c>
      <c r="B68" s="289" t="n"/>
      <c r="C68" s="289" t="n"/>
      <c r="D68" s="289" t="n">
        <v>19136</v>
      </c>
      <c r="E68" s="115" t="inlineStr">
        <is>
          <t>광안유림노르웨이아침(주상복합)</t>
        </is>
      </c>
      <c r="F68" s="289" t="n">
        <v>2004.11</v>
      </c>
      <c r="G68" s="289" t="n">
        <v>423</v>
      </c>
      <c r="H68" s="289">
        <f>2026-F68+1</f>
        <v/>
      </c>
      <c r="I68" s="289" t="n"/>
      <c r="J68" s="289" t="n">
        <v>33</v>
      </c>
      <c r="K68" s="289" t="n">
        <v>24</v>
      </c>
      <c r="L68" s="289" t="n">
        <v>10</v>
      </c>
      <c r="M68" s="289" t="inlineStr">
        <is>
          <t>복합식</t>
        </is>
      </c>
      <c r="N68" s="289" t="n">
        <v>1</v>
      </c>
      <c r="O68" s="289" t="n">
        <v>1</v>
      </c>
      <c r="P68" s="289" t="n">
        <v>8</v>
      </c>
      <c r="Q68" s="289" t="n"/>
      <c r="R68" s="289" t="n"/>
      <c r="S68" s="458">
        <f>Q68-R68</f>
        <v/>
      </c>
      <c r="T68" s="323">
        <f>R68/Q68</f>
        <v/>
      </c>
      <c r="U68" s="289" t="n">
        <v>7900</v>
      </c>
      <c r="V68" s="289" t="n">
        <v>7900</v>
      </c>
      <c r="W68" s="289" t="n"/>
      <c r="X68" s="289" t="n"/>
      <c r="Y68" s="289" t="n"/>
      <c r="Z68" s="289" t="n"/>
      <c r="AA68" s="289" t="n"/>
      <c r="AB68" s="289" t="n"/>
      <c r="AC68" s="289" t="n"/>
      <c r="AG68" s="289" t="n"/>
      <c r="AH68" s="289" t="n"/>
      <c r="AI68" s="289" t="n"/>
      <c r="AJ68" s="289" t="n"/>
      <c r="AR68" s="289" t="n"/>
    </row>
    <row r="69">
      <c r="A69" s="289" t="inlineStr">
        <is>
          <t>광안동</t>
        </is>
      </c>
      <c r="B69" s="289" t="n"/>
      <c r="C69" s="289" t="n"/>
      <c r="D69" s="289" t="n">
        <v>19136</v>
      </c>
      <c r="E69" s="115" t="inlineStr">
        <is>
          <t>광안유림노르웨이아침(주상복합)</t>
        </is>
      </c>
      <c r="F69" s="289" t="n">
        <v>2004.11</v>
      </c>
      <c r="G69" s="289" t="n">
        <v>423</v>
      </c>
      <c r="H69" s="289">
        <f>2026-F69+1</f>
        <v/>
      </c>
      <c r="I69" s="289" t="n"/>
      <c r="J69" s="289" t="n">
        <v>37</v>
      </c>
      <c r="K69" s="289" t="n">
        <v>27</v>
      </c>
      <c r="L69" s="289" t="n">
        <v>11</v>
      </c>
      <c r="M69" s="289" t="inlineStr">
        <is>
          <t>복합식</t>
        </is>
      </c>
      <c r="N69" s="289" t="n">
        <v>1</v>
      </c>
      <c r="O69" s="289" t="n">
        <v>1</v>
      </c>
      <c r="P69" s="289" t="n">
        <v>107</v>
      </c>
      <c r="Q69" s="289" t="n"/>
      <c r="R69" s="289" t="n"/>
      <c r="S69" s="458">
        <f>Q69-R69</f>
        <v/>
      </c>
      <c r="T69" s="323">
        <f>R69/Q69</f>
        <v/>
      </c>
      <c r="U69" s="289" t="n">
        <v>7850</v>
      </c>
      <c r="V69" s="289" t="n">
        <v>7850</v>
      </c>
      <c r="W69" s="289" t="n"/>
      <c r="X69" s="289" t="n"/>
      <c r="Y69" s="289" t="n"/>
      <c r="Z69" s="289" t="n"/>
      <c r="AA69" s="289" t="n"/>
      <c r="AB69" s="289" t="n"/>
      <c r="AC69" s="289" t="n"/>
      <c r="AG69" s="289" t="n"/>
      <c r="AH69" s="289" t="n"/>
      <c r="AI69" s="289" t="n"/>
      <c r="AJ69" s="289" t="n"/>
      <c r="AR69" s="289" t="n"/>
    </row>
    <row r="70">
      <c r="A70" s="289" t="inlineStr">
        <is>
          <t>광안동</t>
        </is>
      </c>
      <c r="B70" s="289" t="n"/>
      <c r="C70" s="289" t="n"/>
      <c r="D70" s="289" t="n">
        <v>19136</v>
      </c>
      <c r="E70" s="115" t="inlineStr">
        <is>
          <t>광안유림노르웨이아침(주상복합)</t>
        </is>
      </c>
      <c r="F70" s="289" t="n">
        <v>2004.11</v>
      </c>
      <c r="G70" s="289" t="n">
        <v>423</v>
      </c>
      <c r="H70" s="289">
        <f>2026-F70+1</f>
        <v/>
      </c>
      <c r="I70" s="289" t="n"/>
      <c r="J70" s="289" t="n">
        <v>46</v>
      </c>
      <c r="K70" s="289" t="n">
        <v>34</v>
      </c>
      <c r="L70" s="289" t="n">
        <v>14</v>
      </c>
      <c r="M70" s="289" t="inlineStr">
        <is>
          <t>복합식</t>
        </is>
      </c>
      <c r="N70" s="289" t="n">
        <v>1</v>
      </c>
      <c r="O70" s="289" t="n">
        <v>1</v>
      </c>
      <c r="P70" s="289" t="n">
        <v>270</v>
      </c>
      <c r="Q70" s="289" t="n"/>
      <c r="R70" s="289" t="n"/>
      <c r="S70" s="458">
        <f>Q70-R70</f>
        <v/>
      </c>
      <c r="T70" s="323">
        <f>R70/Q70</f>
        <v/>
      </c>
      <c r="U70" s="289" t="n">
        <v>12550</v>
      </c>
      <c r="V70" s="289" t="n">
        <v>9100</v>
      </c>
      <c r="W70" s="289" t="n"/>
      <c r="X70" s="289" t="n"/>
      <c r="Y70" s="289" t="n"/>
      <c r="Z70" s="289" t="n"/>
      <c r="AA70" s="289" t="n"/>
      <c r="AB70" s="289" t="n"/>
      <c r="AC70" s="289" t="n"/>
      <c r="AG70" s="289" t="n"/>
      <c r="AH70" s="289" t="n"/>
      <c r="AI70" s="289" t="n"/>
      <c r="AJ70" s="289" t="n"/>
      <c r="AR70" s="289" t="n"/>
    </row>
    <row r="71">
      <c r="A71" s="458" t="inlineStr">
        <is>
          <t>광안동</t>
        </is>
      </c>
      <c r="D71" s="458" t="n">
        <v>119208</v>
      </c>
      <c r="E71" s="114" t="inlineStr">
        <is>
          <t>광안자이</t>
        </is>
      </c>
      <c r="F71" s="458" t="n">
        <v>2020.08</v>
      </c>
      <c r="G71" s="458" t="n">
        <v>971</v>
      </c>
      <c r="H71" s="458">
        <f>2026-F71+1</f>
        <v/>
      </c>
      <c r="J71" s="458" t="n">
        <v>132</v>
      </c>
      <c r="K71" s="458" t="n">
        <v>100</v>
      </c>
      <c r="L71" s="458" t="n">
        <v>40</v>
      </c>
      <c r="M71" s="458" t="inlineStr">
        <is>
          <t>계단식</t>
        </is>
      </c>
      <c r="N71" s="458" t="n">
        <v>4</v>
      </c>
      <c r="O71" s="458" t="n">
        <v>2</v>
      </c>
      <c r="P71" s="458" t="n">
        <v>85</v>
      </c>
      <c r="S71" s="458">
        <f>Q71-R71</f>
        <v/>
      </c>
      <c r="T71" s="323">
        <f>R71/Q71</f>
        <v/>
      </c>
      <c r="U71" s="458" t="n">
        <v>144000</v>
      </c>
      <c r="V71" s="458" t="n">
        <v>115000</v>
      </c>
    </row>
    <row r="72">
      <c r="A72" s="289" t="inlineStr">
        <is>
          <t>광안동</t>
        </is>
      </c>
      <c r="B72" s="289" t="n"/>
      <c r="C72" s="289" t="n"/>
      <c r="D72" s="289" t="n">
        <v>7363</v>
      </c>
      <c r="E72" s="115" t="inlineStr">
        <is>
          <t>광원</t>
        </is>
      </c>
      <c r="F72" s="289" t="n">
        <v>1995.11</v>
      </c>
      <c r="G72" s="289" t="n">
        <v>589</v>
      </c>
      <c r="H72" s="289">
        <f>2026-F72+1</f>
        <v/>
      </c>
      <c r="I72" s="289" t="n"/>
      <c r="J72" s="289" t="n">
        <v>147</v>
      </c>
      <c r="K72" s="289" t="n">
        <v>130</v>
      </c>
      <c r="L72" s="289" t="n">
        <v>44</v>
      </c>
      <c r="M72" s="289" t="inlineStr">
        <is>
          <t>계단식</t>
        </is>
      </c>
      <c r="N72" s="289" t="n">
        <v>4</v>
      </c>
      <c r="O72" s="289" t="n">
        <v>2</v>
      </c>
      <c r="P72" s="289" t="n">
        <v>128</v>
      </c>
      <c r="Q72" s="289" t="n"/>
      <c r="R72" s="289" t="n"/>
      <c r="S72" s="458">
        <f>Q72-R72</f>
        <v/>
      </c>
      <c r="T72" s="323">
        <f>R72/Q72</f>
        <v/>
      </c>
      <c r="U72" s="289" t="n">
        <v>64300</v>
      </c>
      <c r="V72" s="289" t="n">
        <v>54000</v>
      </c>
      <c r="W72" s="289" t="n"/>
      <c r="X72" s="289" t="n"/>
      <c r="Y72" s="289" t="n"/>
      <c r="Z72" s="289" t="n"/>
      <c r="AA72" s="289" t="n"/>
      <c r="AB72" s="289" t="n"/>
      <c r="AC72" s="289" t="n"/>
      <c r="AG72" s="289" t="n"/>
      <c r="AH72" s="289" t="n"/>
      <c r="AI72" s="289" t="n"/>
      <c r="AJ72" s="289" t="n"/>
      <c r="AR72" s="289" t="n"/>
    </row>
    <row r="73">
      <c r="A73" s="458" t="inlineStr">
        <is>
          <t>광안동</t>
        </is>
      </c>
      <c r="D73" s="458" t="n">
        <v>104037</v>
      </c>
      <c r="E73" s="114" t="inlineStr">
        <is>
          <t>부산광안쌍용예가디오션</t>
        </is>
      </c>
      <c r="F73" s="458" t="n">
        <v>2014.11</v>
      </c>
      <c r="G73" s="458" t="n">
        <v>928</v>
      </c>
      <c r="H73" s="458">
        <f>2026-F73+1</f>
        <v/>
      </c>
      <c r="K73" s="458" t="n">
        <v>84</v>
      </c>
      <c r="M73" s="458" t="inlineStr">
        <is>
          <t>계단식</t>
        </is>
      </c>
      <c r="N73" s="458" t="n">
        <v>4</v>
      </c>
      <c r="O73" s="458" t="n">
        <v>2</v>
      </c>
      <c r="P73" s="458" t="n">
        <v>22</v>
      </c>
      <c r="S73" s="458">
        <f>Q73-R73</f>
        <v/>
      </c>
      <c r="T73" s="323">
        <f>R73/Q73</f>
        <v/>
      </c>
      <c r="U73" s="458" t="n">
        <v>160000</v>
      </c>
      <c r="V73" s="458" t="n">
        <v>72000</v>
      </c>
    </row>
    <row r="74">
      <c r="A74" s="458" t="inlineStr">
        <is>
          <t>광안동</t>
        </is>
      </c>
      <c r="D74" s="458" t="n">
        <v>104037</v>
      </c>
      <c r="E74" s="114" t="inlineStr">
        <is>
          <t>부산광안쌍용예가디오션</t>
        </is>
      </c>
      <c r="F74" s="458" t="n">
        <v>2014.11</v>
      </c>
      <c r="G74" s="458" t="n">
        <v>928</v>
      </c>
      <c r="H74" s="458">
        <f>2026-F74+1</f>
        <v/>
      </c>
      <c r="J74" s="458" t="n">
        <v>150</v>
      </c>
      <c r="K74" s="458" t="n">
        <v>112</v>
      </c>
      <c r="L74" s="458" t="n">
        <v>45</v>
      </c>
      <c r="M74" s="458" t="inlineStr">
        <is>
          <t>계단식</t>
        </is>
      </c>
      <c r="N74" s="458" t="n">
        <v>4</v>
      </c>
      <c r="O74" s="458" t="n">
        <v>2</v>
      </c>
      <c r="P74" s="458" t="n">
        <v>90</v>
      </c>
      <c r="S74" s="458">
        <f>Q74-R74</f>
        <v/>
      </c>
      <c r="T74" s="323">
        <f>R74/Q74</f>
        <v/>
      </c>
      <c r="U74" s="458" t="n">
        <v>167500</v>
      </c>
      <c r="V74" s="458" t="n">
        <v>110000</v>
      </c>
    </row>
    <row r="75">
      <c r="A75" s="458" t="inlineStr">
        <is>
          <t>광안동</t>
        </is>
      </c>
      <c r="D75" s="458" t="n">
        <v>104037</v>
      </c>
      <c r="E75" s="114" t="inlineStr">
        <is>
          <t>부산광안쌍용예가디오션</t>
        </is>
      </c>
      <c r="F75" s="458" t="n">
        <v>2014.11</v>
      </c>
      <c r="G75" s="458" t="n">
        <v>928</v>
      </c>
      <c r="H75" s="458">
        <f>2026-F75+1</f>
        <v/>
      </c>
      <c r="J75" s="458" t="n">
        <v>151</v>
      </c>
      <c r="K75" s="458" t="n">
        <v>113</v>
      </c>
      <c r="L75" s="458" t="n">
        <v>46</v>
      </c>
      <c r="M75" s="458" t="inlineStr">
        <is>
          <t>계단식</t>
        </is>
      </c>
      <c r="N75" s="458" t="n">
        <v>4</v>
      </c>
      <c r="O75" s="458" t="n">
        <v>2</v>
      </c>
      <c r="P75" s="458" t="n">
        <v>30</v>
      </c>
      <c r="S75" s="458">
        <f>Q75-R75</f>
        <v/>
      </c>
      <c r="T75" s="323">
        <f>R75/Q75</f>
        <v/>
      </c>
      <c r="U75" s="458" t="n">
        <v>167500</v>
      </c>
      <c r="V75" s="458" t="n">
        <v>110000</v>
      </c>
    </row>
    <row r="76">
      <c r="A76" s="458" t="inlineStr">
        <is>
          <t>광안동</t>
        </is>
      </c>
      <c r="D76" s="458" t="n">
        <v>104037</v>
      </c>
      <c r="E76" s="114" t="inlineStr">
        <is>
          <t>부산광안쌍용예가디오션</t>
        </is>
      </c>
      <c r="F76" s="458" t="n">
        <v>2014.11</v>
      </c>
      <c r="G76" s="458" t="n">
        <v>928</v>
      </c>
      <c r="H76" s="458">
        <f>2026-F76+1</f>
        <v/>
      </c>
      <c r="J76" s="458" t="n">
        <v>208</v>
      </c>
      <c r="K76" s="458" t="n">
        <v>153</v>
      </c>
      <c r="L76" s="458" t="n">
        <v>63</v>
      </c>
      <c r="M76" s="458" t="inlineStr">
        <is>
          <t>계단식</t>
        </is>
      </c>
      <c r="N76" s="458" t="n">
        <v>5</v>
      </c>
      <c r="O76" s="458" t="n">
        <v>3</v>
      </c>
      <c r="P76" s="458" t="n">
        <v>3</v>
      </c>
      <c r="S76" s="458">
        <f>Q76-R76</f>
        <v/>
      </c>
      <c r="T76" s="323">
        <f>R76/Q76</f>
        <v/>
      </c>
      <c r="U76" s="458" t="n"/>
      <c r="V76" s="458" t="n"/>
    </row>
    <row r="77">
      <c r="A77" s="458" t="inlineStr">
        <is>
          <t>광안동</t>
        </is>
      </c>
      <c r="D77" s="458" t="n">
        <v>104037</v>
      </c>
      <c r="E77" s="114" t="inlineStr">
        <is>
          <t>부산광안쌍용예가디오션</t>
        </is>
      </c>
      <c r="F77" s="458" t="n">
        <v>2014.11</v>
      </c>
      <c r="G77" s="458" t="n">
        <v>928</v>
      </c>
      <c r="H77" s="458">
        <f>2026-F77+1</f>
        <v/>
      </c>
      <c r="J77" s="458" t="n">
        <v>215</v>
      </c>
      <c r="K77" s="458" t="n">
        <v>161</v>
      </c>
      <c r="L77" s="458" t="n">
        <v>65</v>
      </c>
      <c r="M77" s="458" t="inlineStr">
        <is>
          <t>계단식</t>
        </is>
      </c>
      <c r="N77" s="458" t="n">
        <v>4</v>
      </c>
      <c r="O77" s="458" t="n">
        <v>3</v>
      </c>
      <c r="P77" s="458" t="n">
        <v>1</v>
      </c>
      <c r="S77" s="458">
        <f>Q77-R77</f>
        <v/>
      </c>
      <c r="T77" s="323">
        <f>R77/Q77</f>
        <v/>
      </c>
      <c r="U77" s="458" t="n"/>
      <c r="V77" s="458" t="n"/>
    </row>
    <row r="78">
      <c r="A78" s="289" t="inlineStr">
        <is>
          <t>광안동</t>
        </is>
      </c>
      <c r="B78" s="289" t="n"/>
      <c r="C78" s="289" t="n"/>
      <c r="D78" s="289" t="n">
        <v>7509</v>
      </c>
      <c r="E78" s="115" t="inlineStr">
        <is>
          <t>비치그린</t>
        </is>
      </c>
      <c r="F78" s="289" t="n">
        <v>1996.02</v>
      </c>
      <c r="G78" s="289" t="n">
        <v>1038</v>
      </c>
      <c r="H78" s="289">
        <f>2026-F78+1</f>
        <v/>
      </c>
      <c r="I78" s="289" t="n"/>
      <c r="J78" s="289" t="n"/>
      <c r="K78" s="289" t="n">
        <v>59</v>
      </c>
      <c r="L78" s="289" t="n"/>
      <c r="M78" s="289" t="inlineStr">
        <is>
          <t>계단식</t>
        </is>
      </c>
      <c r="N78" s="289" t="n">
        <v>3</v>
      </c>
      <c r="O78" s="289" t="n">
        <v>1</v>
      </c>
      <c r="P78" s="289" t="n">
        <v>53</v>
      </c>
      <c r="S78" s="458">
        <f>Q79-R79</f>
        <v/>
      </c>
      <c r="T78" s="323">
        <f>R79/Q79</f>
        <v/>
      </c>
      <c r="U78" s="289" t="n">
        <v>36200</v>
      </c>
      <c r="V78" s="289" t="n">
        <v>23900</v>
      </c>
      <c r="W78" s="289" t="n"/>
      <c r="X78" s="289" t="n"/>
      <c r="Y78" s="289" t="n"/>
      <c r="Z78" s="289" t="n"/>
      <c r="AA78" s="289" t="n"/>
      <c r="AB78" s="289" t="n"/>
      <c r="AC78" s="289" t="n"/>
      <c r="AG78" s="289" t="n"/>
      <c r="AH78" s="289" t="n"/>
      <c r="AI78" s="289" t="n"/>
      <c r="AJ78" s="289" t="n"/>
      <c r="AR78" s="289" t="n"/>
    </row>
    <row r="79">
      <c r="A79" s="458" t="inlineStr">
        <is>
          <t>남천동</t>
        </is>
      </c>
      <c r="D79" s="458" t="n">
        <v>114752</v>
      </c>
      <c r="E79" s="114" t="inlineStr">
        <is>
          <t>남천금호어울림더비치</t>
        </is>
      </c>
      <c r="F79" s="458" t="n">
        <v>2019.07</v>
      </c>
      <c r="G79" s="458" t="n">
        <v>421</v>
      </c>
      <c r="H79" s="458">
        <f>2026-F79+1</f>
        <v/>
      </c>
      <c r="J79" s="458" t="n"/>
      <c r="K79" s="458" t="n">
        <v>104</v>
      </c>
      <c r="L79" s="458" t="n"/>
      <c r="M79" s="458" t="inlineStr">
        <is>
          <t>계단식</t>
        </is>
      </c>
      <c r="N79" s="458" t="n">
        <v>4</v>
      </c>
      <c r="O79" s="458" t="n">
        <v>2</v>
      </c>
      <c r="P79" s="458" t="n">
        <v>76</v>
      </c>
      <c r="S79" s="458">
        <f>Q79-R79</f>
        <v/>
      </c>
      <c r="T79" s="323">
        <f>R79/Q79</f>
        <v/>
      </c>
      <c r="U79" s="458" t="n">
        <v>164000</v>
      </c>
      <c r="V79" s="458" t="n">
        <v>112500</v>
      </c>
    </row>
    <row r="80">
      <c r="A80" s="289" t="inlineStr">
        <is>
          <t>남천동</t>
        </is>
      </c>
      <c r="B80" s="289" t="n"/>
      <c r="C80" s="289" t="n"/>
      <c r="D80" s="289" t="n">
        <v>7650</v>
      </c>
      <c r="E80" s="115" t="inlineStr">
        <is>
          <t>남천동원로얄듀크</t>
        </is>
      </c>
      <c r="F80" s="289" t="n">
        <v>2000.05</v>
      </c>
      <c r="G80" s="289" t="n">
        <v>422</v>
      </c>
      <c r="H80" s="289">
        <f>2026-F80+1</f>
        <v/>
      </c>
      <c r="I80" s="289" t="n"/>
      <c r="J80" s="289" t="n">
        <v>135</v>
      </c>
      <c r="K80" s="289" t="n">
        <v>115</v>
      </c>
      <c r="L80" s="289" t="n">
        <v>41</v>
      </c>
      <c r="M80" s="289" t="inlineStr">
        <is>
          <t>계단식</t>
        </is>
      </c>
      <c r="N80" s="289" t="n">
        <v>4</v>
      </c>
      <c r="O80" s="289" t="n">
        <v>2</v>
      </c>
      <c r="P80" s="289" t="n">
        <v>106</v>
      </c>
      <c r="Q80" s="289" t="n"/>
      <c r="R80" s="289" t="n"/>
      <c r="S80" s="458">
        <f>Q80-R80</f>
        <v/>
      </c>
      <c r="T80" s="323">
        <f>R80/Q80</f>
        <v/>
      </c>
      <c r="U80" s="289" t="n">
        <v>82500</v>
      </c>
      <c r="V80" s="289" t="n">
        <v>60500</v>
      </c>
      <c r="W80" s="289" t="n"/>
      <c r="X80" s="289" t="n"/>
      <c r="Y80" s="289" t="n"/>
      <c r="Z80" s="289" t="n"/>
      <c r="AA80" s="289" t="n"/>
      <c r="AB80" s="289" t="n"/>
      <c r="AC80" s="289" t="n"/>
      <c r="AG80" s="289" t="n"/>
      <c r="AH80" s="289" t="n"/>
      <c r="AI80" s="289" t="n"/>
      <c r="AJ80" s="289" t="n"/>
      <c r="AR80" s="289" t="n"/>
    </row>
    <row r="81">
      <c r="A81" s="289" t="inlineStr">
        <is>
          <t>남천동</t>
        </is>
      </c>
      <c r="B81" s="289" t="n"/>
      <c r="C81" s="289" t="n"/>
      <c r="D81" s="289" t="n">
        <v>7650</v>
      </c>
      <c r="E81" s="115" t="inlineStr">
        <is>
          <t>남천동원로얄듀크</t>
        </is>
      </c>
      <c r="F81" s="289" t="n">
        <v>2000.05</v>
      </c>
      <c r="G81" s="289" t="n">
        <v>422</v>
      </c>
      <c r="H81" s="289">
        <f>2026-F81+1</f>
        <v/>
      </c>
      <c r="I81" s="289" t="n"/>
      <c r="J81" s="289" t="n">
        <v>172</v>
      </c>
      <c r="K81" s="289" t="n">
        <v>141</v>
      </c>
      <c r="L81" s="289" t="n">
        <v>52</v>
      </c>
      <c r="M81" s="289" t="inlineStr">
        <is>
          <t>계단식</t>
        </is>
      </c>
      <c r="N81" s="289" t="n">
        <v>4</v>
      </c>
      <c r="O81" s="289" t="n">
        <v>2</v>
      </c>
      <c r="P81" s="289" t="n">
        <v>24</v>
      </c>
      <c r="Q81" s="289" t="n"/>
      <c r="R81" s="289" t="n"/>
      <c r="S81" s="458">
        <f>Q81-R81</f>
        <v/>
      </c>
      <c r="T81" s="323">
        <f>R81/Q81</f>
        <v/>
      </c>
      <c r="U81" s="289" t="n">
        <v>80000</v>
      </c>
      <c r="V81" s="289" t="n">
        <v>80000</v>
      </c>
      <c r="W81" s="289" t="n"/>
      <c r="X81" s="289" t="n"/>
      <c r="Y81" s="289" t="n"/>
      <c r="Z81" s="289" t="n"/>
      <c r="AA81" s="289" t="n"/>
      <c r="AB81" s="289" t="n"/>
      <c r="AC81" s="289" t="n"/>
      <c r="AG81" s="289" t="n"/>
      <c r="AH81" s="289" t="n"/>
      <c r="AI81" s="289" t="n"/>
      <c r="AJ81" s="289" t="n"/>
      <c r="AR81" s="289" t="n"/>
    </row>
    <row r="82">
      <c r="A82" s="289" t="inlineStr">
        <is>
          <t>남천동</t>
        </is>
      </c>
      <c r="B82" s="289" t="n"/>
      <c r="C82" s="289" t="n"/>
      <c r="D82" s="289" t="n">
        <v>7650</v>
      </c>
      <c r="E82" s="115" t="inlineStr">
        <is>
          <t>남천동원로얄듀크</t>
        </is>
      </c>
      <c r="F82" s="289" t="n">
        <v>2000.05</v>
      </c>
      <c r="G82" s="289" t="n">
        <v>422</v>
      </c>
      <c r="H82" s="289">
        <f>2026-F82+1</f>
        <v/>
      </c>
      <c r="I82" s="289" t="n"/>
      <c r="J82" s="289" t="n">
        <v>215</v>
      </c>
      <c r="K82" s="289" t="n">
        <v>182</v>
      </c>
      <c r="L82" s="289" t="n">
        <v>65</v>
      </c>
      <c r="M82" s="289" t="inlineStr">
        <is>
          <t>계단식</t>
        </is>
      </c>
      <c r="N82" s="289" t="n">
        <v>5</v>
      </c>
      <c r="O82" s="289" t="n">
        <v>2</v>
      </c>
      <c r="P82" s="289" t="n">
        <v>126</v>
      </c>
      <c r="Q82" s="289" t="n"/>
      <c r="R82" s="289" t="n"/>
      <c r="S82" s="458">
        <f>Q82-R82</f>
        <v/>
      </c>
      <c r="T82" s="323">
        <f>R82/Q82</f>
        <v/>
      </c>
      <c r="U82" s="289" t="n">
        <v>73000</v>
      </c>
      <c r="V82" s="289" t="n"/>
      <c r="W82" s="289" t="n"/>
      <c r="X82" s="289" t="n"/>
      <c r="Y82" s="289" t="n"/>
      <c r="Z82" s="289" t="n"/>
      <c r="AA82" s="289" t="n"/>
      <c r="AB82" s="289" t="n"/>
      <c r="AC82" s="289" t="n"/>
      <c r="AG82" s="289" t="n"/>
      <c r="AH82" s="289" t="n"/>
      <c r="AI82" s="289" t="n"/>
      <c r="AJ82" s="289" t="n"/>
      <c r="AR82" s="289" t="n"/>
    </row>
    <row r="83">
      <c r="A83" s="458" t="inlineStr">
        <is>
          <t>남천동</t>
        </is>
      </c>
      <c r="B83" s="458" t="n"/>
      <c r="C83" s="458" t="n"/>
      <c r="D83" s="458" t="n">
        <v>154302</v>
      </c>
      <c r="E83" s="114" t="inlineStr">
        <is>
          <t>남천자이</t>
        </is>
      </c>
      <c r="F83" s="458" t="n">
        <v>2023.01</v>
      </c>
      <c r="G83" s="458" t="n">
        <v>913</v>
      </c>
      <c r="H83" s="458">
        <f>2026-F83+1</f>
        <v/>
      </c>
      <c r="I83" s="458" t="n"/>
      <c r="J83" s="458" t="n">
        <v>133</v>
      </c>
      <c r="K83" s="458" t="n">
        <v>101</v>
      </c>
      <c r="L83" s="458" t="n">
        <v>40</v>
      </c>
      <c r="M83" s="458" t="inlineStr">
        <is>
          <t>계단식</t>
        </is>
      </c>
      <c r="N83" s="458" t="n">
        <v>4</v>
      </c>
      <c r="O83" s="458" t="n">
        <v>2</v>
      </c>
      <c r="P83" s="458" t="n">
        <v>66</v>
      </c>
      <c r="Q83" s="458" t="n"/>
      <c r="R83" s="458" t="n"/>
      <c r="S83" s="458">
        <f>Q83-R83</f>
        <v/>
      </c>
      <c r="T83" s="323">
        <f>R83/Q83</f>
        <v/>
      </c>
      <c r="U83" s="458" t="n"/>
      <c r="V83" s="458" t="n">
        <v>220000</v>
      </c>
      <c r="W83" s="458" t="n"/>
      <c r="X83" s="458" t="n"/>
      <c r="Y83" s="458" t="n"/>
      <c r="Z83" s="458" t="n"/>
      <c r="AA83" s="458" t="n"/>
      <c r="AB83" s="458" t="n"/>
      <c r="AC83" s="458" t="n"/>
      <c r="AG83" s="458" t="n"/>
      <c r="AH83" s="458" t="n"/>
      <c r="AI83" s="458" t="n"/>
      <c r="AJ83" s="458" t="n"/>
      <c r="AR83" s="458" t="n"/>
    </row>
    <row r="84">
      <c r="A84" s="458" t="inlineStr">
        <is>
          <t>남천동</t>
        </is>
      </c>
      <c r="B84" s="458" t="n"/>
      <c r="C84" s="458" t="n"/>
      <c r="D84" s="458" t="n">
        <v>154302</v>
      </c>
      <c r="E84" s="114" t="inlineStr">
        <is>
          <t>남천자이</t>
        </is>
      </c>
      <c r="F84" s="458" t="n">
        <v>2023.01</v>
      </c>
      <c r="G84" s="458" t="n">
        <v>913</v>
      </c>
      <c r="H84" s="458">
        <f>2026-F84+1</f>
        <v/>
      </c>
      <c r="I84" s="458" t="n"/>
      <c r="J84" s="458" t="n">
        <v>150</v>
      </c>
      <c r="K84" s="458" t="n">
        <v>115</v>
      </c>
      <c r="L84" s="458" t="n">
        <v>45</v>
      </c>
      <c r="M84" s="458" t="inlineStr">
        <is>
          <t>계단식</t>
        </is>
      </c>
      <c r="N84" s="458" t="n">
        <v>4</v>
      </c>
      <c r="O84" s="458" t="n">
        <v>2</v>
      </c>
      <c r="P84" s="458" t="n">
        <v>32</v>
      </c>
      <c r="Q84" s="458" t="n"/>
      <c r="R84" s="458" t="n"/>
      <c r="S84" s="458">
        <f>Q84-R84</f>
        <v/>
      </c>
      <c r="T84" s="323">
        <f>R84/Q84</f>
        <v/>
      </c>
      <c r="U84" s="458" t="n"/>
      <c r="V84" s="458" t="n"/>
      <c r="W84" s="458" t="n"/>
      <c r="X84" s="458" t="n"/>
      <c r="Y84" s="458" t="n"/>
      <c r="Z84" s="458" t="n"/>
      <c r="AA84" s="458" t="n"/>
      <c r="AB84" s="458" t="n"/>
      <c r="AC84" s="458" t="n"/>
      <c r="AG84" s="458" t="n"/>
      <c r="AH84" s="458" t="n"/>
      <c r="AI84" s="458" t="n"/>
      <c r="AJ84" s="458" t="n"/>
      <c r="AR84" s="458" t="n"/>
    </row>
    <row r="85">
      <c r="A85" s="458" t="inlineStr">
        <is>
          <t>남천동</t>
        </is>
      </c>
      <c r="B85" s="458" t="n"/>
      <c r="C85" s="458" t="n"/>
      <c r="D85" s="458" t="n">
        <v>154302</v>
      </c>
      <c r="E85" s="114" t="inlineStr">
        <is>
          <t>남천자이</t>
        </is>
      </c>
      <c r="F85" s="458" t="n">
        <v>2023.01</v>
      </c>
      <c r="G85" s="458" t="n">
        <v>913</v>
      </c>
      <c r="H85" s="458">
        <f>2026-F85+1</f>
        <v/>
      </c>
      <c r="I85" s="458" t="n"/>
      <c r="J85" s="458" t="n">
        <v>163</v>
      </c>
      <c r="K85" s="458" t="n">
        <v>125</v>
      </c>
      <c r="L85" s="458" t="n">
        <v>49</v>
      </c>
      <c r="M85" s="458" t="inlineStr">
        <is>
          <t>계단식</t>
        </is>
      </c>
      <c r="N85" s="458" t="n">
        <v>4</v>
      </c>
      <c r="O85" s="458" t="n">
        <v>2</v>
      </c>
      <c r="P85" s="458" t="n">
        <v>34</v>
      </c>
      <c r="Q85" s="458" t="n"/>
      <c r="R85" s="458" t="n"/>
      <c r="S85" s="458">
        <f>Q85-R85</f>
        <v/>
      </c>
      <c r="T85" s="323">
        <f>R85/Q85</f>
        <v/>
      </c>
      <c r="U85" s="458" t="n"/>
      <c r="V85" s="458" t="n"/>
      <c r="W85" s="458" t="n"/>
      <c r="X85" s="458" t="n"/>
      <c r="Y85" s="458" t="n"/>
      <c r="Z85" s="458" t="n"/>
      <c r="AA85" s="458" t="n"/>
      <c r="AB85" s="458" t="n"/>
      <c r="AC85" s="458" t="n"/>
      <c r="AG85" s="458" t="n"/>
      <c r="AH85" s="458" t="n"/>
      <c r="AI85" s="458" t="n"/>
      <c r="AJ85" s="458" t="n"/>
      <c r="AR85" s="458" t="n"/>
    </row>
    <row r="86">
      <c r="A86" s="458" t="inlineStr">
        <is>
          <t>남천동</t>
        </is>
      </c>
      <c r="B86" s="458" t="n"/>
      <c r="C86" s="458" t="n"/>
      <c r="D86" s="458" t="n">
        <v>154302</v>
      </c>
      <c r="E86" s="114" t="inlineStr">
        <is>
          <t>남천자이</t>
        </is>
      </c>
      <c r="F86" s="458" t="n">
        <v>2023.01</v>
      </c>
      <c r="G86" s="458" t="n">
        <v>913</v>
      </c>
      <c r="H86" s="458">
        <f>2026-F86+1</f>
        <v/>
      </c>
      <c r="I86" s="458" t="n"/>
      <c r="J86" s="458" t="n">
        <v>189</v>
      </c>
      <c r="K86" s="458" t="n">
        <v>142</v>
      </c>
      <c r="L86" s="458" t="n">
        <v>57</v>
      </c>
      <c r="M86" s="458" t="inlineStr">
        <is>
          <t>계단식</t>
        </is>
      </c>
      <c r="N86" s="458" t="n">
        <v>4</v>
      </c>
      <c r="O86" s="458" t="n">
        <v>3</v>
      </c>
      <c r="P86" s="458" t="n">
        <v>1</v>
      </c>
      <c r="Q86" s="458" t="n"/>
      <c r="R86" s="458" t="n"/>
      <c r="S86" s="458">
        <f>Q86-R86</f>
        <v/>
      </c>
      <c r="T86" s="323">
        <f>R86/Q86</f>
        <v/>
      </c>
      <c r="U86" s="458" t="n"/>
      <c r="V86" s="458" t="n"/>
      <c r="W86" s="458" t="n"/>
      <c r="X86" s="458" t="n"/>
      <c r="Y86" s="458" t="n"/>
      <c r="Z86" s="458" t="n"/>
      <c r="AA86" s="458" t="n"/>
      <c r="AB86" s="458" t="n"/>
      <c r="AC86" s="458" t="n"/>
      <c r="AG86" s="458" t="n"/>
      <c r="AH86" s="458" t="n"/>
      <c r="AI86" s="458" t="n"/>
      <c r="AJ86" s="458" t="n"/>
      <c r="AR86" s="458" t="n"/>
    </row>
    <row r="87">
      <c r="A87" s="458" t="inlineStr">
        <is>
          <t>남천동</t>
        </is>
      </c>
      <c r="D87" s="458" t="n">
        <v>154302</v>
      </c>
      <c r="E87" s="114" t="inlineStr">
        <is>
          <t>남천자이</t>
        </is>
      </c>
      <c r="F87" s="458" t="n">
        <v>2023.01</v>
      </c>
      <c r="G87" s="458" t="n">
        <v>913</v>
      </c>
      <c r="H87" s="458">
        <f>2026-F87+1</f>
        <v/>
      </c>
      <c r="J87" s="458" t="n"/>
      <c r="K87" s="458" t="n">
        <v>145</v>
      </c>
      <c r="L87" s="458" t="n"/>
      <c r="M87" s="458" t="inlineStr">
        <is>
          <t>계단식</t>
        </is>
      </c>
      <c r="N87" s="458" t="n">
        <v>4</v>
      </c>
      <c r="O87" s="458" t="n">
        <v>3</v>
      </c>
      <c r="P87" s="458" t="n">
        <v>3</v>
      </c>
      <c r="S87" s="458">
        <f>Q87-R87</f>
        <v/>
      </c>
      <c r="T87" s="323">
        <f>R87/Q87</f>
        <v/>
      </c>
      <c r="U87" s="458" t="n"/>
      <c r="V87" s="458" t="n"/>
    </row>
    <row r="88">
      <c r="A88" s="458" t="inlineStr">
        <is>
          <t>남천동</t>
        </is>
      </c>
      <c r="D88" s="458" t="n">
        <v>154302</v>
      </c>
      <c r="E88" s="114" t="inlineStr">
        <is>
          <t>남천자이</t>
        </is>
      </c>
      <c r="F88" s="458" t="n">
        <v>2023.01</v>
      </c>
      <c r="G88" s="458" t="n">
        <v>913</v>
      </c>
      <c r="H88" s="458">
        <f>2026-F88+1</f>
        <v/>
      </c>
      <c r="K88" s="458" t="n">
        <v>157</v>
      </c>
      <c r="M88" s="458" t="inlineStr">
        <is>
          <t>계단식</t>
        </is>
      </c>
      <c r="N88" s="458" t="n">
        <v>4</v>
      </c>
      <c r="O88" s="458" t="n">
        <v>3</v>
      </c>
      <c r="P88" s="458" t="n">
        <v>2</v>
      </c>
      <c r="S88" s="458">
        <f>Q88-R88</f>
        <v/>
      </c>
      <c r="T88" s="323">
        <f>R88/Q88</f>
        <v/>
      </c>
      <c r="U88" s="458" t="n"/>
      <c r="V88" s="458" t="n"/>
    </row>
    <row r="89">
      <c r="A89" s="289" t="inlineStr">
        <is>
          <t>남천동</t>
        </is>
      </c>
      <c r="B89" s="289" t="n"/>
      <c r="C89" s="289" t="n"/>
      <c r="D89" s="289" t="n">
        <v>24896</v>
      </c>
      <c r="E89" s="115" t="inlineStr">
        <is>
          <t>남천코오롱하늘채골든비치</t>
        </is>
      </c>
      <c r="F89" s="289" t="n">
        <v>2009.01</v>
      </c>
      <c r="G89" s="289" t="n">
        <v>987</v>
      </c>
      <c r="H89" s="289">
        <f>2026-F89+1</f>
        <v/>
      </c>
      <c r="I89" s="289" t="n"/>
      <c r="J89" s="289" t="n">
        <v>129</v>
      </c>
      <c r="K89" s="289" t="n">
        <v>101</v>
      </c>
      <c r="L89" s="289" t="n">
        <v>39</v>
      </c>
      <c r="M89" s="289" t="inlineStr">
        <is>
          <t>복합식</t>
        </is>
      </c>
      <c r="N89" s="289" t="n">
        <v>3</v>
      </c>
      <c r="O89" s="289" t="n">
        <v>2</v>
      </c>
      <c r="P89" s="289" t="n">
        <v>152</v>
      </c>
      <c r="Q89" s="289" t="n"/>
      <c r="R89" s="289" t="n"/>
      <c r="S89" s="458">
        <f>Q89-R89</f>
        <v/>
      </c>
      <c r="T89" s="323">
        <f>R89/Q89</f>
        <v/>
      </c>
      <c r="U89" s="289" t="n"/>
      <c r="V89" s="289" t="n">
        <v>105000</v>
      </c>
      <c r="W89" s="289" t="n"/>
      <c r="X89" s="289" t="n"/>
      <c r="Y89" s="289" t="n"/>
      <c r="Z89" s="289" t="n"/>
      <c r="AA89" s="289" t="n"/>
      <c r="AB89" s="289" t="n"/>
      <c r="AC89" s="289" t="n"/>
      <c r="AG89" s="289" t="n"/>
      <c r="AH89" s="289" t="n"/>
      <c r="AI89" s="289" t="n"/>
      <c r="AJ89" s="289" t="n"/>
      <c r="AR89" s="289" t="n"/>
    </row>
    <row r="90">
      <c r="A90" s="289" t="inlineStr">
        <is>
          <t>남천동</t>
        </is>
      </c>
      <c r="B90" s="289" t="n"/>
      <c r="C90" s="289" t="n"/>
      <c r="D90" s="289" t="n">
        <v>24896</v>
      </c>
      <c r="E90" s="115" t="inlineStr">
        <is>
          <t>남천코오롱하늘채골든비치</t>
        </is>
      </c>
      <c r="F90" s="289" t="n">
        <v>2009.01</v>
      </c>
      <c r="G90" s="289" t="n">
        <v>987</v>
      </c>
      <c r="H90" s="289">
        <f>2026-F90+1</f>
        <v/>
      </c>
      <c r="I90" s="289" t="n"/>
      <c r="J90" s="289" t="n">
        <v>147</v>
      </c>
      <c r="K90" s="289" t="n">
        <v>118</v>
      </c>
      <c r="L90" s="289" t="n">
        <v>44</v>
      </c>
      <c r="M90" s="289" t="inlineStr">
        <is>
          <t>복합식</t>
        </is>
      </c>
      <c r="N90" s="289" t="n">
        <v>4</v>
      </c>
      <c r="O90" s="289" t="n">
        <v>2</v>
      </c>
      <c r="P90" s="289" t="n">
        <v>116</v>
      </c>
      <c r="Q90" s="289" t="n"/>
      <c r="R90" s="289" t="n"/>
      <c r="S90" s="458">
        <f>Q90-R90</f>
        <v/>
      </c>
      <c r="T90" s="323">
        <f>R90/Q90</f>
        <v/>
      </c>
      <c r="U90" s="289" t="n">
        <v>129000</v>
      </c>
      <c r="V90" s="289" t="n">
        <v>94000</v>
      </c>
      <c r="W90" s="289" t="n"/>
      <c r="X90" s="289" t="n"/>
      <c r="Y90" s="289" t="n"/>
      <c r="Z90" s="289" t="n"/>
      <c r="AA90" s="289" t="n"/>
      <c r="AB90" s="289" t="n"/>
      <c r="AC90" s="289" t="n"/>
      <c r="AG90" s="289" t="n"/>
      <c r="AH90" s="289" t="n"/>
      <c r="AI90" s="289" t="n"/>
      <c r="AJ90" s="289" t="n"/>
      <c r="AR90" s="289" t="n"/>
    </row>
    <row r="91">
      <c r="A91" s="289" t="inlineStr">
        <is>
          <t>남천동</t>
        </is>
      </c>
      <c r="B91" s="289" t="n"/>
      <c r="C91" s="289" t="n"/>
      <c r="D91" s="289" t="n">
        <v>24896</v>
      </c>
      <c r="E91" s="115" t="inlineStr">
        <is>
          <t>남천코오롱하늘채골든비치</t>
        </is>
      </c>
      <c r="F91" s="289" t="n">
        <v>2009.01</v>
      </c>
      <c r="G91" s="289" t="n">
        <v>987</v>
      </c>
      <c r="H91" s="289">
        <f>2026-F91+1</f>
        <v/>
      </c>
      <c r="I91" s="289" t="n"/>
      <c r="J91" s="289" t="n"/>
      <c r="K91" s="289" t="n">
        <v>126</v>
      </c>
      <c r="L91" s="289" t="n"/>
      <c r="M91" s="289" t="inlineStr">
        <is>
          <t>복합식</t>
        </is>
      </c>
      <c r="N91" s="289" t="n">
        <v>4</v>
      </c>
      <c r="O91" s="289" t="n">
        <v>2</v>
      </c>
      <c r="P91" s="289" t="n">
        <v>104</v>
      </c>
      <c r="Q91" s="289" t="n"/>
      <c r="R91" s="289" t="n"/>
      <c r="S91" s="458">
        <f>Q91-R91</f>
        <v/>
      </c>
      <c r="T91" s="323">
        <f>R91/Q91</f>
        <v/>
      </c>
      <c r="U91" s="289" t="n">
        <v>127000</v>
      </c>
      <c r="V91" s="289" t="n">
        <v>86000</v>
      </c>
      <c r="W91" s="289" t="n"/>
      <c r="X91" s="289" t="n"/>
      <c r="Y91" s="289" t="n"/>
      <c r="Z91" s="289" t="n"/>
      <c r="AA91" s="289" t="n"/>
      <c r="AB91" s="289" t="n"/>
      <c r="AC91" s="289" t="n"/>
      <c r="AG91" s="289" t="n"/>
      <c r="AH91" s="289" t="n"/>
      <c r="AI91" s="289" t="n"/>
      <c r="AJ91" s="289" t="n"/>
      <c r="AR91" s="289" t="n"/>
    </row>
    <row r="92">
      <c r="A92" s="289" t="inlineStr">
        <is>
          <t>남천동</t>
        </is>
      </c>
      <c r="B92" s="289" t="n"/>
      <c r="C92" s="289" t="n"/>
      <c r="D92" s="289" t="n">
        <v>24896</v>
      </c>
      <c r="E92" s="115" t="inlineStr">
        <is>
          <t>남천코오롱하늘채골든비치</t>
        </is>
      </c>
      <c r="F92" s="289" t="n">
        <v>2009.01</v>
      </c>
      <c r="G92" s="289" t="n">
        <v>987</v>
      </c>
      <c r="H92" s="289">
        <f>2026-F92+1</f>
        <v/>
      </c>
      <c r="I92" s="289" t="n"/>
      <c r="J92" s="289" t="n"/>
      <c r="K92" s="289" t="n">
        <v>125</v>
      </c>
      <c r="L92" s="289" t="n"/>
      <c r="M92" s="289" t="inlineStr">
        <is>
          <t>복합식</t>
        </is>
      </c>
      <c r="N92" s="289" t="n">
        <v>4</v>
      </c>
      <c r="O92" s="289" t="n">
        <v>2</v>
      </c>
      <c r="P92" s="289" t="n">
        <v>104</v>
      </c>
      <c r="Q92" s="289" t="n"/>
      <c r="R92" s="289" t="n"/>
      <c r="S92" s="458">
        <f>Q92-R92</f>
        <v/>
      </c>
      <c r="T92" s="323">
        <f>R92/Q92</f>
        <v/>
      </c>
      <c r="U92" s="289" t="n">
        <v>127000</v>
      </c>
      <c r="V92" s="289" t="n">
        <v>86000</v>
      </c>
      <c r="W92" s="289" t="n"/>
      <c r="X92" s="289" t="n"/>
      <c r="Y92" s="289" t="n"/>
      <c r="Z92" s="289" t="n"/>
      <c r="AA92" s="289" t="n"/>
      <c r="AB92" s="289" t="n"/>
      <c r="AC92" s="289" t="n"/>
      <c r="AG92" s="289" t="n"/>
      <c r="AH92" s="289" t="n"/>
      <c r="AI92" s="289" t="n"/>
      <c r="AJ92" s="289" t="n"/>
      <c r="AR92" s="289" t="n"/>
    </row>
    <row r="93">
      <c r="A93" s="289" t="inlineStr">
        <is>
          <t>남천동</t>
        </is>
      </c>
      <c r="B93" s="289" t="n"/>
      <c r="C93" s="289" t="n"/>
      <c r="D93" s="289" t="n">
        <v>24896</v>
      </c>
      <c r="E93" s="115" t="inlineStr">
        <is>
          <t>남천코오롱하늘채골든비치</t>
        </is>
      </c>
      <c r="F93" s="289" t="n">
        <v>2009.01</v>
      </c>
      <c r="G93" s="289" t="n">
        <v>987</v>
      </c>
      <c r="H93" s="289">
        <f>2026-F93+1</f>
        <v/>
      </c>
      <c r="I93" s="289" t="n"/>
      <c r="J93" s="289" t="n"/>
      <c r="K93" s="289" t="n">
        <v>129</v>
      </c>
      <c r="L93" s="289" t="n"/>
      <c r="M93" s="289" t="inlineStr">
        <is>
          <t>복합식</t>
        </is>
      </c>
      <c r="N93" s="289" t="n">
        <v>4</v>
      </c>
      <c r="O93" s="289" t="n">
        <v>2</v>
      </c>
      <c r="P93" s="289" t="n">
        <v>64</v>
      </c>
      <c r="Q93" s="289" t="n"/>
      <c r="R93" s="289" t="n"/>
      <c r="S93" s="458">
        <f>Q93-R93</f>
        <v/>
      </c>
      <c r="T93" s="323">
        <f>R93/Q93</f>
        <v/>
      </c>
      <c r="U93" s="289" t="n">
        <v>128000</v>
      </c>
      <c r="V93" s="289" t="n">
        <v>96500</v>
      </c>
      <c r="W93" s="289" t="n"/>
      <c r="X93" s="289" t="n"/>
      <c r="Y93" s="289" t="n"/>
      <c r="Z93" s="289" t="n"/>
      <c r="AA93" s="289" t="n"/>
      <c r="AB93" s="289" t="n"/>
      <c r="AC93" s="289" t="n"/>
      <c r="AG93" s="289" t="n"/>
      <c r="AH93" s="289" t="n"/>
      <c r="AI93" s="289" t="n"/>
      <c r="AJ93" s="289" t="n"/>
      <c r="AR93" s="289" t="n"/>
    </row>
    <row r="94">
      <c r="A94" s="289" t="inlineStr">
        <is>
          <t>남천동</t>
        </is>
      </c>
      <c r="B94" s="289" t="n"/>
      <c r="C94" s="289" t="n"/>
      <c r="D94" s="289" t="n">
        <v>24896</v>
      </c>
      <c r="E94" s="115" t="inlineStr">
        <is>
          <t>남천코오롱하늘채골든비치</t>
        </is>
      </c>
      <c r="F94" s="289" t="n">
        <v>2009.01</v>
      </c>
      <c r="G94" s="289" t="n">
        <v>987</v>
      </c>
      <c r="H94" s="289">
        <f>2026-F94+1</f>
        <v/>
      </c>
      <c r="I94" s="289" t="n"/>
      <c r="J94" s="289" t="n">
        <v>185</v>
      </c>
      <c r="K94" s="289" t="n">
        <v>147</v>
      </c>
      <c r="L94" s="289" t="n">
        <v>56</v>
      </c>
      <c r="M94" s="289" t="inlineStr">
        <is>
          <t>복합식</t>
        </is>
      </c>
      <c r="N94" s="289" t="n">
        <v>4</v>
      </c>
      <c r="O94" s="289" t="n">
        <v>2</v>
      </c>
      <c r="P94" s="289" t="n">
        <v>217</v>
      </c>
      <c r="Q94" s="289" t="n"/>
      <c r="R94" s="289" t="n"/>
      <c r="S94" s="458">
        <f>Q94-R94</f>
        <v/>
      </c>
      <c r="T94" s="323">
        <f>R94/Q94</f>
        <v/>
      </c>
      <c r="U94" s="289" t="n">
        <v>134000</v>
      </c>
      <c r="V94" s="289" t="n">
        <v>99700</v>
      </c>
      <c r="W94" s="289" t="n"/>
      <c r="X94" s="289" t="n"/>
      <c r="Y94" s="289" t="n"/>
      <c r="Z94" s="289" t="n"/>
      <c r="AA94" s="289" t="n"/>
      <c r="AB94" s="289" t="n"/>
      <c r="AC94" s="289" t="n"/>
      <c r="AG94" s="289" t="n"/>
      <c r="AH94" s="289" t="n"/>
      <c r="AI94" s="289" t="n"/>
      <c r="AJ94" s="289" t="n"/>
      <c r="AR94" s="289" t="n"/>
    </row>
    <row r="95">
      <c r="A95" s="289" t="inlineStr">
        <is>
          <t>남천동</t>
        </is>
      </c>
      <c r="B95" s="289" t="n"/>
      <c r="C95" s="289" t="n"/>
      <c r="D95" s="289" t="n">
        <v>24896</v>
      </c>
      <c r="E95" s="115" t="inlineStr">
        <is>
          <t>남천코오롱하늘채골든비치</t>
        </is>
      </c>
      <c r="F95" s="289" t="n">
        <v>2009.01</v>
      </c>
      <c r="G95" s="289" t="n">
        <v>987</v>
      </c>
      <c r="H95" s="289">
        <f>2026-F95+1</f>
        <v/>
      </c>
      <c r="I95" s="289" t="n"/>
      <c r="J95" s="289" t="n">
        <v>210</v>
      </c>
      <c r="K95" s="289" t="n">
        <v>170</v>
      </c>
      <c r="L95" s="289" t="n">
        <v>64</v>
      </c>
      <c r="M95" s="289" t="inlineStr">
        <is>
          <t>복합식</t>
        </is>
      </c>
      <c r="N95" s="289" t="n">
        <v>4</v>
      </c>
      <c r="O95" s="289" t="n">
        <v>2</v>
      </c>
      <c r="P95" s="289" t="n">
        <v>76</v>
      </c>
      <c r="Q95" s="289" t="n"/>
      <c r="R95" s="289" t="n"/>
      <c r="S95" s="458">
        <f>Q95-R95</f>
        <v/>
      </c>
      <c r="T95" s="323">
        <f>R95/Q95</f>
        <v/>
      </c>
      <c r="U95" s="289" t="n"/>
      <c r="V95" s="289" t="n">
        <v>135000</v>
      </c>
      <c r="W95" s="289" t="n"/>
      <c r="X95" s="289" t="n"/>
      <c r="Y95" s="289" t="n"/>
      <c r="Z95" s="289" t="n"/>
      <c r="AA95" s="289" t="n"/>
      <c r="AB95" s="289" t="n"/>
      <c r="AC95" s="289" t="n"/>
      <c r="AG95" s="289" t="n"/>
      <c r="AH95" s="289" t="n"/>
      <c r="AI95" s="289" t="n"/>
      <c r="AJ95" s="289" t="n"/>
      <c r="AR95" s="289" t="n"/>
    </row>
    <row r="96">
      <c r="A96" s="289" t="inlineStr">
        <is>
          <t>남천동</t>
        </is>
      </c>
      <c r="B96" s="289" t="n"/>
      <c r="C96" s="289" t="n"/>
      <c r="D96" s="289" t="n">
        <v>24896</v>
      </c>
      <c r="E96" s="115" t="inlineStr">
        <is>
          <t>남천코오롱하늘채골든비치</t>
        </is>
      </c>
      <c r="F96" s="289" t="n">
        <v>2009.01</v>
      </c>
      <c r="G96" s="289" t="n">
        <v>987</v>
      </c>
      <c r="H96" s="289">
        <f>2026-F96+1</f>
        <v/>
      </c>
      <c r="I96" s="289" t="n"/>
      <c r="J96" s="289" t="n">
        <v>301</v>
      </c>
      <c r="K96" s="289" t="n">
        <v>236</v>
      </c>
      <c r="L96" s="289" t="n">
        <v>91</v>
      </c>
      <c r="M96" s="289" t="inlineStr">
        <is>
          <t>복합식</t>
        </is>
      </c>
      <c r="N96" s="289" t="n">
        <v>4</v>
      </c>
      <c r="O96" s="289" t="n">
        <v>4</v>
      </c>
      <c r="P96" s="289" t="n">
        <v>3</v>
      </c>
      <c r="Q96" s="289" t="n"/>
      <c r="R96" s="289" t="n"/>
      <c r="S96" s="458">
        <f>Q96-R96</f>
        <v/>
      </c>
      <c r="T96" s="323">
        <f>R96/Q96</f>
        <v/>
      </c>
      <c r="U96" s="289" t="n"/>
      <c r="V96" s="289" t="n"/>
      <c r="W96" s="289" t="n"/>
      <c r="X96" s="289" t="n"/>
      <c r="Y96" s="289" t="n"/>
      <c r="Z96" s="289" t="n"/>
      <c r="AA96" s="289" t="n"/>
      <c r="AB96" s="289" t="n"/>
      <c r="AC96" s="289" t="n"/>
      <c r="AG96" s="289" t="n"/>
      <c r="AH96" s="289" t="n"/>
      <c r="AI96" s="289" t="n"/>
      <c r="AJ96" s="289" t="n"/>
      <c r="AR96" s="289" t="n"/>
    </row>
    <row r="97">
      <c r="A97" s="289" t="inlineStr">
        <is>
          <t>남천동</t>
        </is>
      </c>
      <c r="B97" s="289" t="n"/>
      <c r="C97" s="289" t="n"/>
      <c r="D97" s="289" t="n">
        <v>24896</v>
      </c>
      <c r="E97" s="115" t="inlineStr">
        <is>
          <t>남천코오롱하늘채골든비치</t>
        </is>
      </c>
      <c r="F97" s="289" t="n">
        <v>2009.01</v>
      </c>
      <c r="G97" s="289" t="n">
        <v>987</v>
      </c>
      <c r="H97" s="289">
        <f>2026-F97+1</f>
        <v/>
      </c>
      <c r="I97" s="289" t="n"/>
      <c r="J97" s="289" t="n">
        <v>342</v>
      </c>
      <c r="K97" s="289" t="n">
        <v>269</v>
      </c>
      <c r="L97" s="289" t="n">
        <v>103</v>
      </c>
      <c r="M97" s="289" t="inlineStr">
        <is>
          <t>복합식</t>
        </is>
      </c>
      <c r="N97" s="289" t="n">
        <v>4</v>
      </c>
      <c r="O97" s="289" t="n">
        <v>4</v>
      </c>
      <c r="P97" s="289" t="n">
        <v>2</v>
      </c>
      <c r="Q97" s="289" t="n"/>
      <c r="R97" s="289" t="n"/>
      <c r="S97" s="458">
        <f>Q97-R97</f>
        <v/>
      </c>
      <c r="T97" s="323">
        <f>R97/Q97</f>
        <v/>
      </c>
      <c r="U97" s="289" t="n"/>
      <c r="V97" s="289" t="n"/>
      <c r="W97" s="289" t="n"/>
      <c r="X97" s="289" t="n"/>
      <c r="Y97" s="289" t="n"/>
      <c r="Z97" s="289" t="n"/>
      <c r="AA97" s="289" t="n"/>
      <c r="AB97" s="289" t="n"/>
      <c r="AC97" s="289" t="n"/>
      <c r="AG97" s="289" t="n"/>
      <c r="AH97" s="289" t="n"/>
      <c r="AI97" s="289" t="n"/>
      <c r="AJ97" s="289" t="n"/>
      <c r="AR97" s="289" t="n"/>
    </row>
    <row r="98">
      <c r="A98" s="458" t="inlineStr">
        <is>
          <t>남천동</t>
        </is>
      </c>
      <c r="D98" s="458" t="n">
        <v>7717</v>
      </c>
      <c r="E98" s="114" t="inlineStr">
        <is>
          <t>뉴비치</t>
        </is>
      </c>
      <c r="F98" s="458" t="n">
        <v>1986.05</v>
      </c>
      <c r="G98" s="458" t="n">
        <v>990</v>
      </c>
      <c r="H98" s="458">
        <f>2026-F98+1</f>
        <v/>
      </c>
      <c r="J98" s="458" t="n">
        <v>120</v>
      </c>
      <c r="K98" s="458" t="n">
        <v>102</v>
      </c>
      <c r="L98" s="458" t="n">
        <v>36</v>
      </c>
      <c r="M98" s="458" t="inlineStr">
        <is>
          <t>계단식</t>
        </is>
      </c>
      <c r="N98" s="458" t="n">
        <v>4</v>
      </c>
      <c r="O98" s="458" t="n">
        <v>2</v>
      </c>
      <c r="P98" s="458" t="n">
        <v>90</v>
      </c>
      <c r="S98" s="458">
        <f>Q98-R98</f>
        <v/>
      </c>
      <c r="T98" s="323">
        <f>R98/Q98</f>
        <v/>
      </c>
      <c r="U98" s="458" t="n"/>
      <c r="V98" s="458" t="n"/>
    </row>
    <row r="99">
      <c r="A99" s="458" t="inlineStr">
        <is>
          <t>남천동</t>
        </is>
      </c>
      <c r="D99" s="458" t="n">
        <v>7717</v>
      </c>
      <c r="E99" s="114" t="inlineStr">
        <is>
          <t>뉴비치</t>
        </is>
      </c>
      <c r="F99" s="458" t="n">
        <v>1986.05</v>
      </c>
      <c r="G99" s="458" t="n">
        <v>990</v>
      </c>
      <c r="H99" s="458">
        <f>2026-F99+1</f>
        <v/>
      </c>
      <c r="J99" s="458" t="n">
        <v>143</v>
      </c>
      <c r="K99" s="458" t="n">
        <v>123</v>
      </c>
      <c r="L99" s="458" t="n">
        <v>43</v>
      </c>
      <c r="M99" s="458" t="inlineStr">
        <is>
          <t>계단식</t>
        </is>
      </c>
      <c r="N99" s="458" t="n">
        <v>4</v>
      </c>
      <c r="O99" s="458" t="n">
        <v>2</v>
      </c>
      <c r="P99" s="458" t="n">
        <v>90</v>
      </c>
      <c r="S99" s="458">
        <f>Q99-R99</f>
        <v/>
      </c>
      <c r="T99" s="323">
        <f>R99/Q99</f>
        <v/>
      </c>
      <c r="U99" s="458" t="n"/>
      <c r="V99" s="458" t="n">
        <v>110000</v>
      </c>
    </row>
    <row r="100">
      <c r="A100" s="458" t="inlineStr">
        <is>
          <t>남천동</t>
        </is>
      </c>
      <c r="D100" s="458" t="n">
        <v>7717</v>
      </c>
      <c r="E100" s="114" t="inlineStr">
        <is>
          <t>뉴비치</t>
        </is>
      </c>
      <c r="F100" s="458" t="n">
        <v>1986.05</v>
      </c>
      <c r="G100" s="458" t="n">
        <v>990</v>
      </c>
      <c r="H100" s="458">
        <f>2026-F100+1</f>
        <v/>
      </c>
      <c r="J100" s="458" t="n">
        <v>165</v>
      </c>
      <c r="K100" s="458" t="n">
        <v>145</v>
      </c>
      <c r="L100" s="458" t="n">
        <v>50</v>
      </c>
      <c r="M100" s="458" t="inlineStr">
        <is>
          <t>계단식</t>
        </is>
      </c>
      <c r="N100" s="458" t="n">
        <v>4</v>
      </c>
      <c r="O100" s="458" t="n">
        <v>2</v>
      </c>
      <c r="P100" s="458" t="n">
        <v>60</v>
      </c>
      <c r="S100" s="458">
        <f>Q100-R100</f>
        <v/>
      </c>
      <c r="T100" s="323">
        <f>R100/Q100</f>
        <v/>
      </c>
      <c r="U100" s="458" t="n"/>
      <c r="V100" s="458" t="n">
        <v>128000</v>
      </c>
    </row>
    <row r="101">
      <c r="A101" s="458" t="inlineStr">
        <is>
          <t>남천동</t>
        </is>
      </c>
      <c r="D101" s="458" t="n">
        <v>7717</v>
      </c>
      <c r="E101" s="114" t="inlineStr">
        <is>
          <t>뉴비치</t>
        </is>
      </c>
      <c r="F101" s="458" t="n">
        <v>1986.05</v>
      </c>
      <c r="G101" s="458" t="n">
        <v>990</v>
      </c>
      <c r="H101" s="458">
        <f>2026-F101+1</f>
        <v/>
      </c>
      <c r="J101" s="458" t="n">
        <v>207</v>
      </c>
      <c r="K101" s="458" t="n">
        <v>182</v>
      </c>
      <c r="L101" s="458" t="n">
        <v>63</v>
      </c>
      <c r="M101" s="458" t="inlineStr">
        <is>
          <t>계단식</t>
        </is>
      </c>
      <c r="N101" s="458" t="n">
        <v>5</v>
      </c>
      <c r="O101" s="458" t="n">
        <v>2</v>
      </c>
      <c r="P101" s="458" t="n">
        <v>30</v>
      </c>
      <c r="S101" s="458">
        <f>Q101-R101</f>
        <v/>
      </c>
      <c r="T101" s="323">
        <f>R101/Q101</f>
        <v/>
      </c>
      <c r="U101" s="458" t="n">
        <v>182000</v>
      </c>
    </row>
    <row r="102">
      <c r="A102" s="458" t="inlineStr">
        <is>
          <t>남천동</t>
        </is>
      </c>
      <c r="B102" s="458" t="n"/>
      <c r="C102" s="458" t="n"/>
      <c r="D102" s="458" t="n">
        <v>7717</v>
      </c>
      <c r="E102" s="114" t="inlineStr">
        <is>
          <t>뉴비치</t>
        </is>
      </c>
      <c r="F102" s="458" t="n">
        <v>1986.05</v>
      </c>
      <c r="G102" s="458" t="n">
        <v>990</v>
      </c>
      <c r="H102" s="458">
        <f>2026-F102+1</f>
        <v/>
      </c>
      <c r="I102" s="458" t="n"/>
      <c r="J102" s="458" t="n">
        <v>235</v>
      </c>
      <c r="K102" s="458" t="n">
        <v>209</v>
      </c>
      <c r="L102" s="458" t="n">
        <v>71</v>
      </c>
      <c r="M102" s="458" t="inlineStr">
        <is>
          <t>계단식</t>
        </is>
      </c>
      <c r="N102" s="458" t="n">
        <v>6</v>
      </c>
      <c r="O102" s="458" t="n">
        <v>2</v>
      </c>
      <c r="P102" s="458" t="n">
        <v>30</v>
      </c>
      <c r="Q102" s="458" t="n"/>
      <c r="R102" s="458" t="n"/>
      <c r="S102" s="458">
        <f>Q102-R102</f>
        <v/>
      </c>
      <c r="T102" s="323">
        <f>R102/Q102</f>
        <v/>
      </c>
      <c r="U102" s="458" t="n"/>
      <c r="V102" s="458" t="n"/>
      <c r="W102" s="458" t="n"/>
      <c r="X102" s="458" t="n"/>
      <c r="Y102" s="458" t="n"/>
      <c r="Z102" s="458" t="n"/>
      <c r="AA102" s="458" t="n"/>
      <c r="AB102" s="458" t="n"/>
      <c r="AC102" s="458" t="n"/>
      <c r="AG102" s="458" t="n"/>
      <c r="AH102" s="458" t="n"/>
      <c r="AI102" s="458" t="n"/>
      <c r="AJ102" s="458" t="n"/>
      <c r="AR102" s="458" t="n"/>
    </row>
    <row r="103">
      <c r="A103" s="289" t="inlineStr">
        <is>
          <t>남천동</t>
        </is>
      </c>
      <c r="B103" s="289" t="n"/>
      <c r="C103" s="289" t="n"/>
      <c r="D103" s="289" t="n">
        <v>127133</v>
      </c>
      <c r="E103" s="115" t="inlineStr">
        <is>
          <t>더샵남천프레스티지</t>
        </is>
      </c>
      <c r="F103" s="289" t="n">
        <v>2022.09</v>
      </c>
      <c r="G103" s="289" t="n">
        <v>975</v>
      </c>
      <c r="H103" s="289">
        <f>2026-F103+1</f>
        <v/>
      </c>
      <c r="I103" s="289" t="n"/>
      <c r="J103" s="289" t="n">
        <v>125</v>
      </c>
      <c r="K103" s="289" t="n">
        <v>92</v>
      </c>
      <c r="L103" s="289" t="n">
        <v>38</v>
      </c>
      <c r="M103" s="289" t="inlineStr">
        <is>
          <t>계단식</t>
        </is>
      </c>
      <c r="N103" s="289" t="n">
        <v>3</v>
      </c>
      <c r="O103" s="289" t="n">
        <v>2</v>
      </c>
      <c r="P103" s="289" t="n">
        <v>84</v>
      </c>
      <c r="Q103" s="289" t="n"/>
      <c r="R103" s="289" t="n"/>
      <c r="S103" s="458">
        <f>Q103-R103</f>
        <v/>
      </c>
      <c r="T103" s="323">
        <f>R103/Q103</f>
        <v/>
      </c>
      <c r="U103" s="289" t="n"/>
      <c r="V103" s="289" t="n"/>
      <c r="W103" s="289" t="n"/>
      <c r="X103" s="289" t="n"/>
      <c r="Y103" s="289" t="n"/>
      <c r="Z103" s="289" t="n"/>
      <c r="AA103" s="289" t="n"/>
      <c r="AB103" s="289" t="n"/>
      <c r="AC103" s="289" t="n"/>
      <c r="AG103" s="289" t="n"/>
      <c r="AH103" s="289" t="n"/>
      <c r="AI103" s="289" t="n"/>
      <c r="AJ103" s="289" t="n"/>
      <c r="AR103" s="289" t="n"/>
    </row>
    <row r="104">
      <c r="A104" s="289" t="inlineStr">
        <is>
          <t>남천동</t>
        </is>
      </c>
      <c r="B104" s="289" t="n"/>
      <c r="C104" s="289" t="n"/>
      <c r="D104" s="289" t="n">
        <v>127133</v>
      </c>
      <c r="E104" s="115" t="inlineStr">
        <is>
          <t>더샵남천프레스티지</t>
        </is>
      </c>
      <c r="F104" s="289" t="n">
        <v>2022.09</v>
      </c>
      <c r="G104" s="289" t="n">
        <v>975</v>
      </c>
      <c r="H104" s="289">
        <f>2026-F104+1</f>
        <v/>
      </c>
      <c r="I104" s="289" t="n"/>
      <c r="J104" s="289" t="n">
        <v>132</v>
      </c>
      <c r="K104" s="289" t="n">
        <v>93</v>
      </c>
      <c r="L104" s="289" t="n">
        <v>40</v>
      </c>
      <c r="M104" s="289" t="inlineStr">
        <is>
          <t>계단식</t>
        </is>
      </c>
      <c r="N104" s="289" t="n">
        <v>3</v>
      </c>
      <c r="O104" s="289" t="n">
        <v>2</v>
      </c>
      <c r="P104" s="289" t="n">
        <v>56</v>
      </c>
      <c r="Q104" s="289" t="n"/>
      <c r="R104" s="289" t="n"/>
      <c r="S104" s="458">
        <f>Q104-R104</f>
        <v/>
      </c>
      <c r="T104" s="323">
        <f>R104/Q104</f>
        <v/>
      </c>
      <c r="U104" s="289" t="n"/>
      <c r="V104" s="289" t="n"/>
      <c r="W104" s="289" t="n"/>
      <c r="X104" s="289" t="n"/>
      <c r="Y104" s="289" t="n"/>
      <c r="Z104" s="289" t="n"/>
      <c r="AA104" s="289" t="n"/>
      <c r="AB104" s="289" t="n"/>
      <c r="AC104" s="289" t="n"/>
      <c r="AG104" s="289" t="n"/>
      <c r="AH104" s="289" t="n"/>
      <c r="AI104" s="289" t="n"/>
      <c r="AJ104" s="289" t="n"/>
      <c r="AR104" s="289" t="n"/>
    </row>
    <row r="105">
      <c r="A105" s="289" t="inlineStr">
        <is>
          <t>남천동</t>
        </is>
      </c>
      <c r="B105" s="289" t="n"/>
      <c r="C105" s="289" t="n"/>
      <c r="D105" s="289" t="n">
        <v>127133</v>
      </c>
      <c r="E105" s="115" t="inlineStr">
        <is>
          <t>더샵남천프레스티지</t>
        </is>
      </c>
      <c r="F105" s="289" t="n">
        <v>2022.09</v>
      </c>
      <c r="G105" s="289" t="n">
        <v>975</v>
      </c>
      <c r="H105" s="289">
        <f>2026-F105+1</f>
        <v/>
      </c>
      <c r="I105" s="289" t="n"/>
      <c r="J105" s="289" t="n"/>
      <c r="K105" s="289" t="n">
        <v>107</v>
      </c>
      <c r="L105" s="289" t="n"/>
      <c r="M105" s="289" t="inlineStr">
        <is>
          <t>계단식</t>
        </is>
      </c>
      <c r="N105" s="289" t="n">
        <v>4</v>
      </c>
      <c r="O105" s="289" t="n">
        <v>2</v>
      </c>
      <c r="P105" s="289" t="n">
        <v>102</v>
      </c>
      <c r="Q105" s="289" t="n"/>
      <c r="R105" s="289" t="n"/>
      <c r="S105" s="458">
        <f>Q105-R105</f>
        <v/>
      </c>
      <c r="T105" s="323">
        <f>R105/Q105</f>
        <v/>
      </c>
      <c r="U105" s="289" t="n"/>
      <c r="V105" s="289" t="n"/>
      <c r="W105" s="289" t="n"/>
      <c r="X105" s="289" t="n"/>
      <c r="Y105" s="289" t="n"/>
      <c r="Z105" s="289" t="n"/>
      <c r="AA105" s="289" t="n"/>
      <c r="AB105" s="289" t="n"/>
      <c r="AC105" s="289" t="n"/>
      <c r="AG105" s="289" t="n"/>
      <c r="AH105" s="289" t="n"/>
      <c r="AI105" s="289" t="n"/>
      <c r="AJ105" s="289" t="n"/>
      <c r="AR105" s="289" t="n"/>
    </row>
    <row r="106">
      <c r="A106" s="458" t="inlineStr">
        <is>
          <t>남천동</t>
        </is>
      </c>
      <c r="D106" s="458" t="n">
        <v>7770</v>
      </c>
      <c r="E106" s="146" t="inlineStr">
        <is>
          <t>삼익비치타운</t>
        </is>
      </c>
      <c r="F106" s="458" t="n">
        <v>1979.1</v>
      </c>
      <c r="G106" s="458" t="n">
        <v>3060</v>
      </c>
      <c r="H106" s="458">
        <f>2026-F106+1</f>
        <v/>
      </c>
      <c r="J106" s="458" t="n">
        <v>116</v>
      </c>
      <c r="K106" s="458" t="n">
        <v>95</v>
      </c>
      <c r="L106" s="458" t="n">
        <v>35</v>
      </c>
      <c r="M106" s="458" t="inlineStr">
        <is>
          <t>복도식</t>
        </is>
      </c>
      <c r="N106" s="458" t="n">
        <v>4</v>
      </c>
      <c r="O106" s="458" t="n">
        <v>1</v>
      </c>
      <c r="P106" s="458" t="n">
        <v>108</v>
      </c>
      <c r="S106" s="458">
        <f>Q106-R106</f>
        <v/>
      </c>
      <c r="T106" s="323">
        <f>R106/Q106</f>
        <v/>
      </c>
      <c r="U106" s="458" t="n">
        <v>179500</v>
      </c>
      <c r="V106" s="458" t="n">
        <v>120000</v>
      </c>
    </row>
    <row r="107">
      <c r="A107" s="458" t="inlineStr">
        <is>
          <t>남천동</t>
        </is>
      </c>
      <c r="D107" s="458" t="n">
        <v>7770</v>
      </c>
      <c r="E107" s="114" t="inlineStr">
        <is>
          <t>삼익비치타운</t>
        </is>
      </c>
      <c r="F107" s="458" t="n">
        <v>1979.1</v>
      </c>
      <c r="G107" s="458" t="n">
        <v>3060</v>
      </c>
      <c r="H107" s="458">
        <f>2026-F107+1</f>
        <v/>
      </c>
      <c r="J107" s="458" t="n">
        <v>138</v>
      </c>
      <c r="K107" s="458" t="n">
        <v>115</v>
      </c>
      <c r="L107" s="458" t="n">
        <v>42</v>
      </c>
      <c r="M107" s="458" t="inlineStr">
        <is>
          <t>계단식</t>
        </is>
      </c>
      <c r="N107" s="458" t="n">
        <v>4</v>
      </c>
      <c r="O107" s="458" t="n">
        <v>2</v>
      </c>
      <c r="P107" s="458" t="n">
        <v>288</v>
      </c>
      <c r="S107" s="458">
        <f>Q107-R107</f>
        <v/>
      </c>
      <c r="T107" s="323">
        <f>R107/Q107</f>
        <v/>
      </c>
      <c r="U107" s="458" t="n">
        <v>190000</v>
      </c>
      <c r="V107" s="458" t="n">
        <v>131200</v>
      </c>
    </row>
    <row r="108">
      <c r="A108" s="458" t="inlineStr">
        <is>
          <t>남천동</t>
        </is>
      </c>
      <c r="D108" s="458" t="n">
        <v>7770</v>
      </c>
      <c r="E108" s="114" t="inlineStr">
        <is>
          <t>삼익비치타운</t>
        </is>
      </c>
      <c r="F108" s="458" t="n">
        <v>1979.1</v>
      </c>
      <c r="G108" s="458" t="n">
        <v>3060</v>
      </c>
      <c r="H108" s="458">
        <f>2026-F108+1</f>
        <v/>
      </c>
      <c r="J108" s="458" t="n">
        <v>156</v>
      </c>
      <c r="K108" s="458" t="n">
        <v>131</v>
      </c>
      <c r="L108" s="458" t="n">
        <v>47</v>
      </c>
      <c r="M108" s="458" t="inlineStr">
        <is>
          <t>계단식</t>
        </is>
      </c>
      <c r="N108" s="458" t="n">
        <v>4</v>
      </c>
      <c r="O108" s="458" t="n">
        <v>2</v>
      </c>
      <c r="P108" s="458" t="n">
        <v>576</v>
      </c>
      <c r="S108" s="458">
        <f>Q108-R108</f>
        <v/>
      </c>
      <c r="T108" s="323">
        <f>R108/Q108</f>
        <v/>
      </c>
      <c r="U108" s="458" t="n">
        <v>220000</v>
      </c>
      <c r="V108" s="458" t="n">
        <v>149000</v>
      </c>
    </row>
    <row r="109">
      <c r="A109" s="458" t="inlineStr">
        <is>
          <t>남천동</t>
        </is>
      </c>
      <c r="B109" s="458" t="n"/>
      <c r="C109" s="458" t="n"/>
      <c r="D109" s="458" t="n">
        <v>7770</v>
      </c>
      <c r="E109" s="114" t="inlineStr">
        <is>
          <t>삼익비치타운</t>
        </is>
      </c>
      <c r="F109" s="458" t="n">
        <v>1979.1</v>
      </c>
      <c r="G109" s="458" t="n">
        <v>3060</v>
      </c>
      <c r="H109" s="458">
        <f>2026-F109+1</f>
        <v/>
      </c>
      <c r="I109" s="458" t="n"/>
      <c r="J109" s="458" t="n">
        <v>174</v>
      </c>
      <c r="K109" s="458" t="n">
        <v>148</v>
      </c>
      <c r="L109" s="458" t="n">
        <v>53</v>
      </c>
      <c r="M109" s="458" t="inlineStr">
        <is>
          <t>계단식</t>
        </is>
      </c>
      <c r="N109" s="458" t="n">
        <v>5</v>
      </c>
      <c r="O109" s="458" t="n">
        <v>2</v>
      </c>
      <c r="P109" s="458" t="n">
        <v>132</v>
      </c>
      <c r="Q109" s="458" t="n"/>
      <c r="R109" s="458" t="n"/>
      <c r="S109" s="458">
        <f>Q109-R109</f>
        <v/>
      </c>
      <c r="T109" s="323">
        <f>R109/Q109</f>
        <v/>
      </c>
      <c r="U109" s="458" t="n">
        <v>270000</v>
      </c>
      <c r="V109" s="458" t="n">
        <v>195000</v>
      </c>
      <c r="W109" s="458" t="n"/>
      <c r="X109" s="458" t="n"/>
      <c r="Y109" s="458" t="n"/>
      <c r="Z109" s="458" t="n"/>
      <c r="AA109" s="458" t="n"/>
      <c r="AB109" s="458" t="n"/>
      <c r="AC109" s="458" t="n"/>
      <c r="AG109" s="458" t="n"/>
      <c r="AH109" s="458" t="n"/>
      <c r="AI109" s="458" t="n"/>
      <c r="AJ109" s="458" t="n"/>
      <c r="AR109" s="458" t="n"/>
    </row>
    <row r="110">
      <c r="A110" s="289" t="inlineStr">
        <is>
          <t>망미동</t>
        </is>
      </c>
      <c r="B110" s="289" t="n"/>
      <c r="C110" s="289" t="n"/>
      <c r="D110" s="289" t="n">
        <v>19305</v>
      </c>
      <c r="E110" s="133" t="inlineStr">
        <is>
          <t>더샵파크리치</t>
        </is>
      </c>
      <c r="F110" s="289" t="n">
        <v>2007.09</v>
      </c>
      <c r="G110" s="289" t="n">
        <v>862</v>
      </c>
      <c r="H110" s="289">
        <f>2026-F110+1</f>
        <v/>
      </c>
      <c r="I110" s="289" t="n"/>
      <c r="J110" s="289" t="n">
        <v>131</v>
      </c>
      <c r="K110" s="289" t="n">
        <v>101</v>
      </c>
      <c r="L110" s="289" t="n">
        <v>40</v>
      </c>
      <c r="M110" s="289" t="inlineStr">
        <is>
          <t>계단식</t>
        </is>
      </c>
      <c r="N110" s="289" t="n">
        <v>3</v>
      </c>
      <c r="O110" s="289" t="n">
        <v>2</v>
      </c>
      <c r="P110" s="289" t="n">
        <v>141</v>
      </c>
      <c r="Q110" s="289" t="n"/>
      <c r="R110" s="289" t="n"/>
      <c r="S110" s="458">
        <f>Q110-R110</f>
        <v/>
      </c>
      <c r="T110" s="323">
        <f>R110/Q110</f>
        <v/>
      </c>
      <c r="U110" s="289" t="n">
        <v>75000</v>
      </c>
      <c r="V110" s="289" t="n">
        <v>59000</v>
      </c>
      <c r="W110" s="289" t="n"/>
      <c r="X110" s="289" t="n"/>
      <c r="Y110" s="289" t="n"/>
      <c r="Z110" s="289" t="n"/>
      <c r="AA110" s="289" t="n"/>
      <c r="AB110" s="289" t="n"/>
      <c r="AC110" s="289" t="n"/>
      <c r="AG110" s="289" t="n"/>
      <c r="AH110" s="289" t="n"/>
      <c r="AI110" s="289" t="n"/>
      <c r="AJ110" s="289" t="n"/>
      <c r="AR110" s="289" t="n"/>
    </row>
    <row r="111">
      <c r="A111" s="289" t="inlineStr">
        <is>
          <t>망미동</t>
        </is>
      </c>
      <c r="B111" s="289" t="n"/>
      <c r="C111" s="289" t="n"/>
      <c r="D111" s="289" t="n">
        <v>19305</v>
      </c>
      <c r="E111" s="115" t="inlineStr">
        <is>
          <t>더샵파크리치</t>
        </is>
      </c>
      <c r="F111" s="289" t="n">
        <v>2007.09</v>
      </c>
      <c r="G111" s="289" t="n">
        <v>862</v>
      </c>
      <c r="H111" s="289">
        <f>2026-F111+1</f>
        <v/>
      </c>
      <c r="I111" s="289" t="n"/>
      <c r="J111" s="289" t="n">
        <v>149</v>
      </c>
      <c r="K111" s="289" t="n">
        <v>117</v>
      </c>
      <c r="L111" s="289" t="n">
        <v>45</v>
      </c>
      <c r="M111" s="289" t="inlineStr">
        <is>
          <t>계단식</t>
        </is>
      </c>
      <c r="N111" s="289" t="n">
        <v>4</v>
      </c>
      <c r="O111" s="289" t="n">
        <v>2</v>
      </c>
      <c r="P111" s="289" t="n">
        <v>92</v>
      </c>
      <c r="Q111" s="289" t="n"/>
      <c r="R111" s="289" t="n"/>
      <c r="S111" s="458">
        <f>Q111-R111</f>
        <v/>
      </c>
      <c r="T111" s="323">
        <f>R111/Q111</f>
        <v/>
      </c>
      <c r="U111" s="289" t="n">
        <v>85000</v>
      </c>
      <c r="V111" s="289" t="n">
        <v>70000</v>
      </c>
      <c r="W111" s="289" t="n"/>
      <c r="X111" s="289" t="n"/>
      <c r="Y111" s="289" t="n"/>
      <c r="Z111" s="289" t="n"/>
      <c r="AA111" s="289" t="n"/>
      <c r="AB111" s="289" t="n"/>
      <c r="AC111" s="289" t="n"/>
      <c r="AG111" s="289" t="n"/>
      <c r="AH111" s="289" t="n"/>
      <c r="AI111" s="289" t="n"/>
      <c r="AJ111" s="289" t="n"/>
      <c r="AR111" s="289" t="n"/>
    </row>
    <row r="112">
      <c r="A112" s="289" t="inlineStr">
        <is>
          <t>망미동</t>
        </is>
      </c>
      <c r="B112" s="289" t="n"/>
      <c r="C112" s="289" t="n"/>
      <c r="D112" s="289" t="n">
        <v>19305</v>
      </c>
      <c r="E112" s="115" t="inlineStr">
        <is>
          <t>더샵파크리치</t>
        </is>
      </c>
      <c r="F112" s="289" t="n">
        <v>2007.09</v>
      </c>
      <c r="G112" s="289" t="n">
        <v>862</v>
      </c>
      <c r="H112" s="289">
        <f>2026-F112+1</f>
        <v/>
      </c>
      <c r="I112" s="289" t="n"/>
      <c r="J112" s="289" t="n">
        <v>161</v>
      </c>
      <c r="K112" s="289" t="n">
        <v>127</v>
      </c>
      <c r="L112" s="289" t="n">
        <v>49</v>
      </c>
      <c r="M112" s="289" t="inlineStr">
        <is>
          <t>계단식</t>
        </is>
      </c>
      <c r="N112" s="289" t="n">
        <v>4</v>
      </c>
      <c r="O112" s="289" t="n">
        <v>2</v>
      </c>
      <c r="P112" s="289" t="n">
        <v>165</v>
      </c>
      <c r="Q112" s="289" t="n"/>
      <c r="R112" s="289" t="n"/>
      <c r="S112" s="458">
        <f>Q112-R112</f>
        <v/>
      </c>
      <c r="T112" s="323">
        <f>R112/Q112</f>
        <v/>
      </c>
      <c r="U112" s="289" t="n">
        <v>88000</v>
      </c>
      <c r="V112" s="289" t="n">
        <v>88000</v>
      </c>
      <c r="W112" s="289" t="n"/>
      <c r="X112" s="289" t="n"/>
      <c r="Y112" s="289" t="n"/>
      <c r="Z112" s="289" t="n"/>
      <c r="AA112" s="289" t="n"/>
      <c r="AB112" s="289" t="n"/>
      <c r="AC112" s="289" t="n"/>
      <c r="AG112" s="289" t="n"/>
      <c r="AH112" s="289" t="n"/>
      <c r="AI112" s="289" t="n"/>
      <c r="AJ112" s="289" t="n"/>
      <c r="AR112" s="289" t="n"/>
    </row>
    <row r="113">
      <c r="A113" s="289" t="inlineStr">
        <is>
          <t>망미동</t>
        </is>
      </c>
      <c r="B113" s="289" t="n"/>
      <c r="C113" s="289" t="n"/>
      <c r="D113" s="289" t="n">
        <v>19305</v>
      </c>
      <c r="E113" s="115" t="inlineStr">
        <is>
          <t>더샵파크리치</t>
        </is>
      </c>
      <c r="F113" s="289" t="n">
        <v>2007.09</v>
      </c>
      <c r="G113" s="289" t="n">
        <v>862</v>
      </c>
      <c r="H113" s="289">
        <f>2026-F113+1</f>
        <v/>
      </c>
      <c r="I113" s="289" t="n"/>
      <c r="J113" s="289" t="n">
        <v>164</v>
      </c>
      <c r="K113" s="289" t="n">
        <v>129</v>
      </c>
      <c r="L113" s="289" t="n">
        <v>50</v>
      </c>
      <c r="M113" s="289" t="inlineStr">
        <is>
          <t>계단식</t>
        </is>
      </c>
      <c r="N113" s="289" t="n">
        <v>4</v>
      </c>
      <c r="O113" s="289" t="n">
        <v>2</v>
      </c>
      <c r="P113" s="289" t="n">
        <v>204</v>
      </c>
      <c r="Q113" s="289" t="n"/>
      <c r="R113" s="289" t="n"/>
      <c r="S113" s="458">
        <f>Q113-R113</f>
        <v/>
      </c>
      <c r="T113" s="323">
        <f>R113/Q113</f>
        <v/>
      </c>
      <c r="U113" s="289" t="n">
        <v>94000</v>
      </c>
      <c r="V113" s="289" t="n">
        <v>68000</v>
      </c>
      <c r="W113" s="289" t="n"/>
      <c r="X113" s="289" t="n"/>
      <c r="Y113" s="289" t="n"/>
      <c r="Z113" s="289" t="n"/>
      <c r="AA113" s="289" t="n"/>
      <c r="AB113" s="289" t="n"/>
      <c r="AC113" s="289" t="n"/>
      <c r="AG113" s="289" t="n"/>
      <c r="AH113" s="289" t="n"/>
      <c r="AI113" s="289" t="n"/>
      <c r="AJ113" s="289" t="n"/>
      <c r="AR113" s="289" t="n"/>
    </row>
    <row r="114">
      <c r="A114" s="289" t="inlineStr">
        <is>
          <t>망미동</t>
        </is>
      </c>
      <c r="B114" s="289" t="n"/>
      <c r="C114" s="289" t="n"/>
      <c r="D114" s="289" t="n">
        <v>19305</v>
      </c>
      <c r="E114" s="115" t="inlineStr">
        <is>
          <t>더샵파크리치</t>
        </is>
      </c>
      <c r="F114" s="289" t="n">
        <v>2007.09</v>
      </c>
      <c r="G114" s="289" t="n">
        <v>862</v>
      </c>
      <c r="H114" s="289">
        <f>2026-F114+1</f>
        <v/>
      </c>
      <c r="I114" s="289" t="n"/>
      <c r="J114" s="289" t="n">
        <v>190</v>
      </c>
      <c r="K114" s="289" t="n">
        <v>149</v>
      </c>
      <c r="L114" s="289" t="n">
        <v>57</v>
      </c>
      <c r="M114" s="289" t="inlineStr">
        <is>
          <t>계단식</t>
        </is>
      </c>
      <c r="N114" s="289" t="n">
        <v>4</v>
      </c>
      <c r="O114" s="289" t="n">
        <v>2</v>
      </c>
      <c r="P114" s="289" t="n">
        <v>112</v>
      </c>
      <c r="Q114" s="289" t="n"/>
      <c r="R114" s="289" t="n"/>
      <c r="S114" s="458">
        <f>Q114-R114</f>
        <v/>
      </c>
      <c r="T114" s="323">
        <f>R114/Q114</f>
        <v/>
      </c>
      <c r="U114" s="289" t="n"/>
      <c r="V114" s="289" t="n">
        <v>85000</v>
      </c>
      <c r="W114" s="289" t="n"/>
      <c r="X114" s="289" t="n"/>
      <c r="Y114" s="289" t="n"/>
      <c r="Z114" s="289" t="n"/>
      <c r="AA114" s="289" t="n"/>
      <c r="AB114" s="289" t="n"/>
      <c r="AC114" s="289" t="n"/>
      <c r="AG114" s="289" t="n"/>
      <c r="AH114" s="289" t="n"/>
      <c r="AI114" s="289" t="n"/>
      <c r="AJ114" s="289" t="n"/>
      <c r="AR114" s="289" t="n"/>
    </row>
    <row r="115">
      <c r="A115" s="289" t="inlineStr">
        <is>
          <t>망미동</t>
        </is>
      </c>
      <c r="B115" s="289" t="n"/>
      <c r="C115" s="289" t="n"/>
      <c r="D115" s="289" t="n">
        <v>19305</v>
      </c>
      <c r="E115" s="115" t="inlineStr">
        <is>
          <t>더샵파크리치</t>
        </is>
      </c>
      <c r="F115" s="289" t="n">
        <v>2007.09</v>
      </c>
      <c r="G115" s="289" t="n">
        <v>862</v>
      </c>
      <c r="H115" s="289">
        <f>2026-F115+1</f>
        <v/>
      </c>
      <c r="I115" s="289" t="n"/>
      <c r="J115" s="289" t="n">
        <v>221</v>
      </c>
      <c r="K115" s="289" t="n">
        <v>179</v>
      </c>
      <c r="L115" s="289" t="n">
        <v>67</v>
      </c>
      <c r="M115" s="289" t="inlineStr">
        <is>
          <t>계단식</t>
        </is>
      </c>
      <c r="N115" s="289" t="n">
        <v>4</v>
      </c>
      <c r="O115" s="289" t="n">
        <v>3</v>
      </c>
      <c r="P115" s="289" t="n">
        <v>52</v>
      </c>
      <c r="Q115" s="289" t="n"/>
      <c r="R115" s="289" t="n"/>
      <c r="S115" s="458">
        <f>Q115-R115</f>
        <v/>
      </c>
      <c r="T115" s="323">
        <f>R115/Q115</f>
        <v/>
      </c>
      <c r="U115" s="289" t="n">
        <v>115000</v>
      </c>
      <c r="V115" s="289" t="n">
        <v>115000</v>
      </c>
      <c r="W115" s="289" t="n"/>
      <c r="X115" s="289" t="n"/>
      <c r="Y115" s="289" t="n"/>
      <c r="Z115" s="289" t="n"/>
      <c r="AA115" s="289" t="n"/>
      <c r="AB115" s="289" t="n"/>
      <c r="AC115" s="289" t="n"/>
      <c r="AG115" s="289" t="n"/>
      <c r="AH115" s="289" t="n"/>
      <c r="AI115" s="289" t="n"/>
      <c r="AJ115" s="289" t="n"/>
      <c r="AR115" s="289" t="n"/>
    </row>
    <row r="116">
      <c r="A116" s="458" t="inlineStr">
        <is>
          <t>망미동</t>
        </is>
      </c>
      <c r="B116" s="458" t="n"/>
      <c r="C116" s="458" t="n"/>
      <c r="D116" s="458" t="n">
        <v>7878</v>
      </c>
      <c r="E116" s="114" t="inlineStr">
        <is>
          <t>망미로얄베스토피아</t>
        </is>
      </c>
      <c r="F116" s="458" t="n">
        <v>1993.06</v>
      </c>
      <c r="G116" s="458" t="n">
        <v>490</v>
      </c>
      <c r="H116" s="458">
        <f>2026-F116+1</f>
        <v/>
      </c>
      <c r="I116" s="458" t="n"/>
      <c r="J116" s="458" t="n">
        <v>139</v>
      </c>
      <c r="K116" s="458" t="n">
        <v>117</v>
      </c>
      <c r="L116" s="458" t="n">
        <v>42</v>
      </c>
      <c r="M116" s="458" t="inlineStr">
        <is>
          <t>계단식</t>
        </is>
      </c>
      <c r="N116" s="458" t="n">
        <v>4</v>
      </c>
      <c r="O116" s="458" t="n">
        <v>2</v>
      </c>
      <c r="P116" s="458" t="n">
        <v>44</v>
      </c>
      <c r="Q116" s="458" t="n"/>
      <c r="R116" s="458" t="n"/>
      <c r="S116" s="458">
        <f>Q116-R116</f>
        <v/>
      </c>
      <c r="T116" s="323">
        <f>R116/Q116</f>
        <v/>
      </c>
      <c r="U116" s="458" t="n">
        <v>31700</v>
      </c>
      <c r="V116" s="458" t="n">
        <v>28300</v>
      </c>
      <c r="W116" s="458" t="n"/>
      <c r="X116" s="458" t="n"/>
      <c r="Y116" s="458" t="n"/>
      <c r="Z116" s="458" t="n"/>
      <c r="AA116" s="458" t="n"/>
      <c r="AB116" s="458" t="n"/>
      <c r="AC116" s="458" t="n"/>
      <c r="AG116" s="458" t="n"/>
      <c r="AH116" s="458" t="n"/>
      <c r="AI116" s="458" t="n"/>
      <c r="AJ116" s="458" t="n"/>
      <c r="AR116" s="458" t="n"/>
    </row>
    <row r="117">
      <c r="A117" s="458" t="inlineStr">
        <is>
          <t>망미동</t>
        </is>
      </c>
      <c r="B117" s="458" t="n"/>
      <c r="C117" s="458" t="n"/>
      <c r="D117" s="458" t="n">
        <v>7878</v>
      </c>
      <c r="E117" s="114" t="inlineStr">
        <is>
          <t>망미로얄베스토피아</t>
        </is>
      </c>
      <c r="F117" s="458" t="n">
        <v>1993.06</v>
      </c>
      <c r="G117" s="458" t="n">
        <v>490</v>
      </c>
      <c r="H117" s="458">
        <f>2026-F117+1</f>
        <v/>
      </c>
      <c r="I117" s="458" t="n"/>
      <c r="J117" s="458" t="n">
        <v>163</v>
      </c>
      <c r="K117" s="458" t="n">
        <v>139</v>
      </c>
      <c r="L117" s="458" t="n">
        <v>49</v>
      </c>
      <c r="M117" s="458" t="inlineStr">
        <is>
          <t>계단식</t>
        </is>
      </c>
      <c r="N117" s="458" t="n">
        <v>5</v>
      </c>
      <c r="O117" s="458" t="n">
        <v>2</v>
      </c>
      <c r="P117" s="458" t="n">
        <v>22</v>
      </c>
      <c r="Q117" s="458" t="n"/>
      <c r="R117" s="458" t="n"/>
      <c r="S117" s="458">
        <f>Q117-R117</f>
        <v/>
      </c>
      <c r="T117" s="323">
        <f>R117/Q117</f>
        <v/>
      </c>
      <c r="U117" s="458" t="n">
        <v>32500</v>
      </c>
      <c r="V117" s="458" t="n">
        <v>32000</v>
      </c>
      <c r="W117" s="458" t="n"/>
      <c r="X117" s="458" t="n"/>
      <c r="Y117" s="458" t="n"/>
      <c r="Z117" s="458" t="n"/>
      <c r="AA117" s="458" t="n"/>
      <c r="AB117" s="458" t="n"/>
      <c r="AC117" s="458" t="n"/>
      <c r="AG117" s="458" t="n"/>
      <c r="AH117" s="458" t="n"/>
      <c r="AI117" s="458" t="n"/>
      <c r="AJ117" s="458" t="n"/>
      <c r="AR117" s="458" t="n"/>
    </row>
    <row r="118">
      <c r="A118" s="458" t="inlineStr">
        <is>
          <t>망미동</t>
        </is>
      </c>
      <c r="D118" s="458" t="n">
        <v>7878</v>
      </c>
      <c r="E118" s="114" t="inlineStr">
        <is>
          <t>망미로얄베스토피아</t>
        </is>
      </c>
      <c r="F118" s="458" t="n">
        <v>1993.06</v>
      </c>
      <c r="G118" s="458" t="n">
        <v>490</v>
      </c>
      <c r="H118" s="458">
        <f>2026-F118+1</f>
        <v/>
      </c>
      <c r="J118" s="458" t="n">
        <v>200</v>
      </c>
      <c r="K118" s="458" t="n">
        <v>172</v>
      </c>
      <c r="L118" s="458" t="n">
        <v>60</v>
      </c>
      <c r="M118" s="458" t="inlineStr">
        <is>
          <t>계단식</t>
        </is>
      </c>
      <c r="N118" s="458" t="n">
        <v>6</v>
      </c>
      <c r="O118" s="458" t="n">
        <v>2</v>
      </c>
      <c r="P118" s="458" t="n">
        <v>22</v>
      </c>
      <c r="S118" s="458">
        <f>Q118-R118</f>
        <v/>
      </c>
      <c r="T118" s="323">
        <f>R118/Q118</f>
        <v/>
      </c>
      <c r="U118" s="458" t="n">
        <v>37800</v>
      </c>
      <c r="V118" s="458" t="n"/>
    </row>
    <row r="119">
      <c r="A119" s="289" t="inlineStr">
        <is>
          <t>망미동</t>
        </is>
      </c>
      <c r="B119" s="289" t="n"/>
      <c r="C119" s="289" t="n"/>
      <c r="D119" s="289" t="n">
        <v>109225</v>
      </c>
      <c r="E119" s="115" t="inlineStr">
        <is>
          <t>망미이진캐스빌</t>
        </is>
      </c>
      <c r="F119" s="289" t="n">
        <v>2017.08</v>
      </c>
      <c r="G119" s="289" t="n">
        <v>343</v>
      </c>
      <c r="H119" s="289">
        <f>2026-F119+1</f>
        <v/>
      </c>
      <c r="I119" s="289" t="n"/>
      <c r="J119" s="289" t="n">
        <v>92</v>
      </c>
      <c r="K119" s="289" t="n">
        <v>65</v>
      </c>
      <c r="L119" s="289" t="n">
        <v>28</v>
      </c>
      <c r="M119" s="289" t="inlineStr">
        <is>
          <t>계단식</t>
        </is>
      </c>
      <c r="N119" s="289" t="n">
        <v>3</v>
      </c>
      <c r="O119" s="289" t="n">
        <v>2</v>
      </c>
      <c r="P119" s="289" t="n">
        <v>46</v>
      </c>
      <c r="Q119" s="289" t="n"/>
      <c r="R119" s="289" t="n"/>
      <c r="S119" s="458">
        <f>Q119-R119</f>
        <v/>
      </c>
      <c r="T119" s="323">
        <f>R119/Q119</f>
        <v/>
      </c>
      <c r="U119" s="289" t="n">
        <v>46200</v>
      </c>
      <c r="V119" s="289" t="n">
        <v>35000</v>
      </c>
      <c r="W119" s="289" t="n"/>
      <c r="X119" s="289" t="n"/>
      <c r="Y119" s="289" t="n"/>
      <c r="Z119" s="289" t="n"/>
      <c r="AA119" s="289" t="n"/>
      <c r="AB119" s="289" t="n"/>
      <c r="AC119" s="289" t="n"/>
      <c r="AG119" s="289" t="n"/>
      <c r="AH119" s="289" t="n"/>
      <c r="AI119" s="289" t="n"/>
      <c r="AJ119" s="289" t="n"/>
      <c r="AR119" s="289" t="n"/>
    </row>
    <row r="120">
      <c r="A120" s="458" t="inlineStr">
        <is>
          <t>망미동</t>
        </is>
      </c>
      <c r="D120" s="458" t="n">
        <v>7881</v>
      </c>
      <c r="E120" s="114" t="inlineStr">
        <is>
          <t>삼성</t>
        </is>
      </c>
      <c r="F120" s="458" t="n">
        <v>1991.11</v>
      </c>
      <c r="G120" s="458" t="n">
        <v>672</v>
      </c>
      <c r="H120" s="458">
        <f>2026-F120+1</f>
        <v/>
      </c>
      <c r="K120" s="458" t="n">
        <v>84</v>
      </c>
      <c r="M120" s="458" t="inlineStr">
        <is>
          <t>계단식</t>
        </is>
      </c>
      <c r="N120" s="458" t="n">
        <v>3</v>
      </c>
      <c r="O120" s="458" t="n">
        <v>1</v>
      </c>
      <c r="P120" s="458" t="n">
        <v>45</v>
      </c>
      <c r="S120" s="458">
        <f>Q120-R120</f>
        <v/>
      </c>
      <c r="T120" s="323">
        <f>R120/Q120</f>
        <v/>
      </c>
      <c r="U120" s="458" t="n">
        <v>45300</v>
      </c>
      <c r="V120" s="458" t="n">
        <v>26000</v>
      </c>
    </row>
    <row r="121">
      <c r="A121" s="458" t="inlineStr">
        <is>
          <t>망미동</t>
        </is>
      </c>
      <c r="D121" s="458" t="n">
        <v>7881</v>
      </c>
      <c r="E121" s="114" t="inlineStr">
        <is>
          <t>삼성</t>
        </is>
      </c>
      <c r="F121" s="458" t="n">
        <v>1991.11</v>
      </c>
      <c r="G121" s="458" t="n">
        <v>672</v>
      </c>
      <c r="H121" s="458">
        <f>2026-F121+1</f>
        <v/>
      </c>
      <c r="J121" s="458" t="n">
        <v>126</v>
      </c>
      <c r="K121" s="458" t="n">
        <v>115</v>
      </c>
      <c r="L121" s="458" t="n">
        <v>38</v>
      </c>
      <c r="M121" s="458" t="inlineStr">
        <is>
          <t>계단식</t>
        </is>
      </c>
      <c r="N121" s="458" t="n">
        <v>4</v>
      </c>
      <c r="O121" s="458" t="n">
        <v>2</v>
      </c>
      <c r="P121" s="458" t="n">
        <v>90</v>
      </c>
      <c r="S121" s="458">
        <f>Q121-R121</f>
        <v/>
      </c>
      <c r="T121" s="323">
        <f>R121/Q121</f>
        <v/>
      </c>
      <c r="U121" s="458" t="n">
        <v>49500</v>
      </c>
      <c r="V121" s="458" t="n">
        <v>41500</v>
      </c>
    </row>
    <row r="122">
      <c r="A122" s="458" t="inlineStr">
        <is>
          <t>망미동</t>
        </is>
      </c>
      <c r="D122" s="458" t="n">
        <v>7881</v>
      </c>
      <c r="E122" s="114" t="inlineStr">
        <is>
          <t>삼성</t>
        </is>
      </c>
      <c r="F122" s="458" t="n">
        <v>1991.11</v>
      </c>
      <c r="G122" s="458" t="n">
        <v>672</v>
      </c>
      <c r="H122" s="458">
        <f>2026-F122+1</f>
        <v/>
      </c>
      <c r="J122" s="458" t="n">
        <v>145</v>
      </c>
      <c r="K122" s="458" t="n">
        <v>133</v>
      </c>
      <c r="L122" s="458" t="n">
        <v>44</v>
      </c>
      <c r="M122" s="458" t="inlineStr">
        <is>
          <t>계단식</t>
        </is>
      </c>
      <c r="N122" s="458" t="n">
        <v>4</v>
      </c>
      <c r="O122" s="458" t="n">
        <v>2</v>
      </c>
      <c r="P122" s="458" t="n">
        <v>150</v>
      </c>
      <c r="S122" s="458">
        <f>Q122-R122</f>
        <v/>
      </c>
      <c r="T122" s="323">
        <f>R122/Q122</f>
        <v/>
      </c>
      <c r="U122" s="458" t="n">
        <v>59000</v>
      </c>
      <c r="V122" s="458" t="n">
        <v>44500</v>
      </c>
    </row>
    <row r="123">
      <c r="A123" s="458" t="inlineStr">
        <is>
          <t>망미동</t>
        </is>
      </c>
      <c r="B123" s="458" t="n"/>
      <c r="C123" s="458" t="n"/>
      <c r="D123" s="458" t="n">
        <v>7881</v>
      </c>
      <c r="E123" s="114" t="inlineStr">
        <is>
          <t>삼성</t>
        </is>
      </c>
      <c r="F123" s="458" t="n">
        <v>1991.11</v>
      </c>
      <c r="G123" s="458" t="n">
        <v>672</v>
      </c>
      <c r="H123" s="458">
        <f>2026-F123+1</f>
        <v/>
      </c>
      <c r="I123" s="458" t="n"/>
      <c r="J123" s="458" t="n">
        <v>170</v>
      </c>
      <c r="K123" s="458" t="n">
        <v>147</v>
      </c>
      <c r="L123" s="458" t="n">
        <v>51</v>
      </c>
      <c r="M123" s="458" t="inlineStr">
        <is>
          <t>계단식</t>
        </is>
      </c>
      <c r="N123" s="458" t="n">
        <v>5</v>
      </c>
      <c r="O123" s="458" t="n">
        <v>2</v>
      </c>
      <c r="P123" s="458" t="n">
        <v>120</v>
      </c>
      <c r="Q123" s="458" t="n"/>
      <c r="R123" s="458" t="n"/>
      <c r="S123" s="458">
        <f>Q123-R123</f>
        <v/>
      </c>
      <c r="T123" s="323">
        <f>R123/Q123</f>
        <v/>
      </c>
      <c r="U123" s="458" t="n">
        <v>66300</v>
      </c>
      <c r="V123" s="458" t="n">
        <v>45000</v>
      </c>
      <c r="W123" s="458" t="n"/>
      <c r="X123" s="458" t="n"/>
      <c r="Y123" s="458" t="n"/>
      <c r="Z123" s="458" t="n"/>
      <c r="AA123" s="458" t="n"/>
      <c r="AB123" s="458" t="n"/>
      <c r="AC123" s="458" t="n"/>
      <c r="AG123" s="458" t="n"/>
      <c r="AH123" s="458" t="n"/>
      <c r="AI123" s="458" t="n"/>
      <c r="AJ123" s="458" t="n"/>
      <c r="AR123" s="458" t="n"/>
    </row>
    <row r="124">
      <c r="A124" s="458" t="inlineStr">
        <is>
          <t>망미동</t>
        </is>
      </c>
      <c r="B124" s="458" t="n"/>
      <c r="C124" s="458" t="n"/>
      <c r="D124" s="458" t="n">
        <v>7881</v>
      </c>
      <c r="E124" s="114" t="inlineStr">
        <is>
          <t>삼성</t>
        </is>
      </c>
      <c r="F124" s="458" t="n">
        <v>1991.11</v>
      </c>
      <c r="G124" s="458" t="n">
        <v>672</v>
      </c>
      <c r="H124" s="458">
        <f>2026-F124+1</f>
        <v/>
      </c>
      <c r="I124" s="458" t="n"/>
      <c r="J124" s="458" t="n">
        <v>175</v>
      </c>
      <c r="K124" s="458" t="n">
        <v>163</v>
      </c>
      <c r="L124" s="458" t="n">
        <v>53</v>
      </c>
      <c r="M124" s="458" t="inlineStr">
        <is>
          <t>계단식</t>
        </is>
      </c>
      <c r="N124" s="458" t="n">
        <v>4</v>
      </c>
      <c r="O124" s="458" t="n">
        <v>2</v>
      </c>
      <c r="P124" s="458" t="n">
        <v>12</v>
      </c>
      <c r="Q124" s="458" t="n"/>
      <c r="R124" s="458" t="n"/>
      <c r="S124" s="458">
        <f>Q124-R124</f>
        <v/>
      </c>
      <c r="T124" s="323">
        <f>R124/Q124</f>
        <v/>
      </c>
      <c r="U124" s="458" t="n"/>
      <c r="V124" s="458" t="n"/>
      <c r="W124" s="458" t="n"/>
      <c r="X124" s="458" t="n"/>
      <c r="Y124" s="458" t="n"/>
      <c r="Z124" s="458" t="n"/>
      <c r="AA124" s="458" t="n"/>
      <c r="AB124" s="458" t="n"/>
      <c r="AC124" s="458" t="n"/>
      <c r="AG124" s="458" t="n"/>
      <c r="AH124" s="458" t="n"/>
      <c r="AI124" s="458" t="n"/>
      <c r="AJ124" s="458" t="n"/>
      <c r="AR124" s="458" t="n"/>
    </row>
    <row r="125">
      <c r="A125" s="289" t="inlineStr">
        <is>
          <t>망미동</t>
        </is>
      </c>
      <c r="B125" s="289" t="n"/>
      <c r="C125" s="289" t="n"/>
      <c r="D125" s="289" t="n">
        <v>9885</v>
      </c>
      <c r="E125" s="115" t="inlineStr">
        <is>
          <t>센텀수영강변e-편한세상1차</t>
        </is>
      </c>
      <c r="F125" s="289" t="n">
        <v>2004.06</v>
      </c>
      <c r="G125" s="289" t="n">
        <v>480</v>
      </c>
      <c r="H125" s="289">
        <f>2026-F125+1</f>
        <v/>
      </c>
      <c r="I125" s="289" t="n"/>
      <c r="J125" s="289" t="n">
        <v>107</v>
      </c>
      <c r="K125" s="289" t="n">
        <v>84</v>
      </c>
      <c r="L125" s="289" t="n">
        <v>32</v>
      </c>
      <c r="M125" s="289" t="inlineStr">
        <is>
          <t>계단식</t>
        </is>
      </c>
      <c r="N125" s="289" t="n">
        <v>3</v>
      </c>
      <c r="O125" s="289" t="n">
        <v>2</v>
      </c>
      <c r="P125" s="289" t="n">
        <v>480</v>
      </c>
      <c r="Q125" s="289" t="n"/>
      <c r="R125" s="289" t="n"/>
      <c r="S125" s="458">
        <f>Q125-R125</f>
        <v/>
      </c>
      <c r="T125" s="323">
        <f>R125/Q125</f>
        <v/>
      </c>
      <c r="U125" s="289" t="n">
        <v>59000</v>
      </c>
      <c r="V125" s="289" t="n">
        <v>34000</v>
      </c>
      <c r="W125" s="289" t="n"/>
      <c r="X125" s="289" t="n"/>
      <c r="Y125" s="289" t="n"/>
      <c r="Z125" s="289" t="n"/>
      <c r="AA125" s="289" t="n"/>
      <c r="AB125" s="289" t="n"/>
      <c r="AC125" s="289" t="n"/>
      <c r="AG125" s="289" t="n"/>
      <c r="AH125" s="289" t="n"/>
      <c r="AI125" s="289" t="n"/>
      <c r="AJ125" s="289" t="n"/>
      <c r="AR125" s="289" t="n"/>
    </row>
    <row r="126">
      <c r="A126" s="289" t="inlineStr">
        <is>
          <t>망미동</t>
        </is>
      </c>
      <c r="B126" s="289" t="n"/>
      <c r="C126" s="289" t="n"/>
      <c r="D126" s="289" t="n">
        <v>11005</v>
      </c>
      <c r="E126" s="115" t="inlineStr">
        <is>
          <t>센텀수영강변e-편한세상3차</t>
        </is>
      </c>
      <c r="F126" s="289" t="n">
        <v>2005.07</v>
      </c>
      <c r="G126" s="289" t="n">
        <v>530</v>
      </c>
      <c r="H126" s="289">
        <f>2026-F126+1</f>
        <v/>
      </c>
      <c r="I126" s="289" t="n"/>
      <c r="J126" s="289" t="n"/>
      <c r="K126" s="289" t="n">
        <v>84</v>
      </c>
      <c r="L126" s="289" t="n"/>
      <c r="M126" s="289" t="inlineStr">
        <is>
          <t>계단식</t>
        </is>
      </c>
      <c r="N126" s="289" t="n">
        <v>3</v>
      </c>
      <c r="O126" s="289" t="n">
        <v>2</v>
      </c>
      <c r="P126" s="289" t="n">
        <v>530</v>
      </c>
      <c r="Q126" s="289" t="n"/>
      <c r="R126" s="289" t="n"/>
      <c r="S126" s="458">
        <f>Q126-R126</f>
        <v/>
      </c>
      <c r="T126" s="323">
        <f>R126/Q126</f>
        <v/>
      </c>
      <c r="U126" s="289" t="n">
        <v>63300</v>
      </c>
      <c r="V126" s="289" t="n">
        <v>35000</v>
      </c>
      <c r="W126" s="289" t="n"/>
      <c r="X126" s="289" t="n"/>
      <c r="Y126" s="289" t="n"/>
      <c r="Z126" s="289" t="n"/>
      <c r="AA126" s="289" t="n"/>
      <c r="AB126" s="289" t="n"/>
      <c r="AC126" s="289" t="n"/>
      <c r="AG126" s="289" t="n"/>
      <c r="AH126" s="289" t="n"/>
      <c r="AI126" s="289" t="n"/>
      <c r="AJ126" s="289" t="n"/>
      <c r="AR126" s="289" t="n"/>
    </row>
    <row r="127">
      <c r="A127" s="289" t="inlineStr">
        <is>
          <t>망미동</t>
        </is>
      </c>
      <c r="B127" s="289" t="n"/>
      <c r="C127" s="289" t="n"/>
      <c r="D127" s="289" t="n">
        <v>7887</v>
      </c>
      <c r="E127" s="115" t="inlineStr">
        <is>
          <t>현대한누리타운</t>
        </is>
      </c>
      <c r="F127" s="289" t="n">
        <v>1993.11</v>
      </c>
      <c r="G127" s="289" t="n">
        <v>458</v>
      </c>
      <c r="H127" s="289">
        <f>2026-F127+1</f>
        <v/>
      </c>
      <c r="I127" s="289" t="n"/>
      <c r="J127" s="289" t="n">
        <v>75</v>
      </c>
      <c r="K127" s="289" t="n">
        <v>61</v>
      </c>
      <c r="L127" s="289" t="n">
        <v>23</v>
      </c>
      <c r="M127" s="289" t="inlineStr">
        <is>
          <t>계단식</t>
        </is>
      </c>
      <c r="N127" s="289" t="n">
        <v>3</v>
      </c>
      <c r="O127" s="289" t="n">
        <v>1</v>
      </c>
      <c r="P127" s="289" t="n">
        <v>50</v>
      </c>
      <c r="Q127" s="289" t="n"/>
      <c r="R127" s="289" t="n"/>
      <c r="S127" s="458">
        <f>Q127-R127</f>
        <v/>
      </c>
      <c r="T127" s="323">
        <f>R127/Q127</f>
        <v/>
      </c>
      <c r="U127" s="289" t="n">
        <v>23500</v>
      </c>
      <c r="V127" s="289" t="n">
        <v>19500</v>
      </c>
      <c r="W127" s="289" t="n"/>
      <c r="X127" s="289" t="n"/>
      <c r="Y127" s="289" t="n"/>
      <c r="Z127" s="289" t="n"/>
      <c r="AA127" s="289" t="n"/>
      <c r="AB127" s="289" t="n"/>
      <c r="AC127" s="289" t="n"/>
      <c r="AG127" s="289" t="n"/>
      <c r="AH127" s="289" t="n"/>
      <c r="AI127" s="289" t="n"/>
      <c r="AJ127" s="289" t="n"/>
      <c r="AR127" s="289" t="n"/>
    </row>
    <row r="128">
      <c r="A128" s="289" t="inlineStr">
        <is>
          <t>망미동</t>
        </is>
      </c>
      <c r="B128" s="289" t="n"/>
      <c r="C128" s="289" t="n"/>
      <c r="D128" s="289" t="n">
        <v>7887</v>
      </c>
      <c r="E128" s="133" t="inlineStr">
        <is>
          <t>현대한누리타운</t>
        </is>
      </c>
      <c r="F128" s="289" t="n">
        <v>1993.11</v>
      </c>
      <c r="G128" s="289" t="n">
        <v>458</v>
      </c>
      <c r="H128" s="289">
        <f>2026-F128+1</f>
        <v/>
      </c>
      <c r="I128" s="289" t="n"/>
      <c r="J128" s="289" t="n">
        <v>91</v>
      </c>
      <c r="K128" s="289" t="n">
        <v>74</v>
      </c>
      <c r="L128" s="289" t="n">
        <v>28</v>
      </c>
      <c r="M128" s="289" t="inlineStr">
        <is>
          <t>계단식</t>
        </is>
      </c>
      <c r="N128" s="289" t="n">
        <v>3</v>
      </c>
      <c r="O128" s="289" t="n">
        <v>1</v>
      </c>
      <c r="P128" s="289" t="n">
        <v>78</v>
      </c>
      <c r="Q128" s="289" t="n"/>
      <c r="R128" s="289" t="n"/>
      <c r="S128" s="458">
        <f>Q128-R128</f>
        <v/>
      </c>
      <c r="T128" s="323">
        <f>R128/Q128</f>
        <v/>
      </c>
      <c r="U128" s="289" t="n">
        <v>27500</v>
      </c>
      <c r="V128" s="289" t="n">
        <v>20500</v>
      </c>
      <c r="W128" s="289" t="n"/>
      <c r="X128" s="289" t="n"/>
      <c r="Y128" s="289" t="n"/>
      <c r="Z128" s="289" t="n"/>
      <c r="AA128" s="289" t="n"/>
      <c r="AB128" s="289" t="n"/>
      <c r="AC128" s="289" t="n"/>
      <c r="AG128" s="289" t="n"/>
      <c r="AH128" s="289" t="n"/>
      <c r="AI128" s="289" t="n"/>
      <c r="AJ128" s="289" t="n"/>
      <c r="AR128" s="289" t="n"/>
    </row>
    <row r="129">
      <c r="A129" s="289" t="inlineStr">
        <is>
          <t>민락동</t>
        </is>
      </c>
      <c r="B129" s="289" t="n"/>
      <c r="C129" s="289" t="n"/>
      <c r="D129" s="289" t="n">
        <v>117979</v>
      </c>
      <c r="E129" s="115" t="inlineStr">
        <is>
          <t>e편한세상오션테라스3단지</t>
        </is>
      </c>
      <c r="F129" s="289" t="n">
        <v>2020.01</v>
      </c>
      <c r="G129" s="289" t="n">
        <v>316</v>
      </c>
      <c r="H129" s="289">
        <f>2026-F129+1</f>
        <v/>
      </c>
      <c r="I129" s="289" t="n"/>
      <c r="J129" s="289" t="n"/>
      <c r="K129" s="289" t="n">
        <v>91</v>
      </c>
      <c r="L129" s="289" t="n"/>
      <c r="M129" s="289" t="inlineStr">
        <is>
          <t>계단식</t>
        </is>
      </c>
      <c r="N129" s="289" t="n">
        <v>3</v>
      </c>
      <c r="O129" s="289" t="n">
        <v>2</v>
      </c>
      <c r="P129" s="289" t="n">
        <v>78</v>
      </c>
      <c r="Q129" s="289" t="n"/>
      <c r="R129" s="289" t="n"/>
      <c r="S129" s="458">
        <f>Q129-R129</f>
        <v/>
      </c>
      <c r="T129" s="323">
        <f>R129/Q129</f>
        <v/>
      </c>
      <c r="U129" s="289" t="n">
        <v>110000</v>
      </c>
      <c r="V129" s="289" t="n">
        <v>85000</v>
      </c>
      <c r="W129" s="289" t="n"/>
      <c r="X129" s="289" t="n"/>
      <c r="Y129" s="289" t="n"/>
      <c r="Z129" s="289" t="n"/>
      <c r="AA129" s="289" t="n"/>
      <c r="AB129" s="289" t="n"/>
      <c r="AC129" s="289" t="n"/>
      <c r="AG129" s="289" t="n"/>
      <c r="AH129" s="289" t="n"/>
      <c r="AI129" s="289" t="n"/>
      <c r="AJ129" s="289" t="n"/>
      <c r="AR129" s="289" t="n"/>
    </row>
    <row r="130">
      <c r="A130" s="289" t="inlineStr">
        <is>
          <t>민락동</t>
        </is>
      </c>
      <c r="B130" s="289" t="n"/>
      <c r="C130" s="289" t="n"/>
      <c r="D130" s="289" t="n">
        <v>117979</v>
      </c>
      <c r="E130" s="133" t="inlineStr">
        <is>
          <t>e편한세상오션테라스3단지</t>
        </is>
      </c>
      <c r="F130" s="289" t="n">
        <v>2020.01</v>
      </c>
      <c r="G130" s="289" t="n">
        <v>316</v>
      </c>
      <c r="H130" s="289">
        <f>2026-F130+1</f>
        <v/>
      </c>
      <c r="I130" s="289" t="n"/>
      <c r="J130" s="289" t="n"/>
      <c r="K130" s="289" t="n">
        <v>114</v>
      </c>
      <c r="L130" s="289" t="n"/>
      <c r="M130" s="289" t="inlineStr">
        <is>
          <t>계단식</t>
        </is>
      </c>
      <c r="N130" s="289" t="n">
        <v>3</v>
      </c>
      <c r="O130" s="289" t="n">
        <v>2</v>
      </c>
      <c r="P130" s="289" t="n">
        <v>78</v>
      </c>
      <c r="Q130" s="289" t="n"/>
      <c r="R130" s="289" t="n"/>
      <c r="S130" s="458">
        <f>Q130-R130</f>
        <v/>
      </c>
      <c r="T130" s="323">
        <f>R130/Q130</f>
        <v/>
      </c>
      <c r="U130" s="289" t="n"/>
      <c r="V130" s="289" t="n">
        <v>101000</v>
      </c>
      <c r="W130" s="289" t="n"/>
      <c r="X130" s="289" t="n"/>
      <c r="Y130" s="289" t="n"/>
      <c r="Z130" s="289" t="n"/>
      <c r="AA130" s="289" t="n"/>
      <c r="AB130" s="289" t="n"/>
      <c r="AC130" s="289" t="n"/>
      <c r="AG130" s="289" t="n"/>
      <c r="AH130" s="289" t="n"/>
      <c r="AI130" s="289" t="n"/>
      <c r="AJ130" s="289" t="n"/>
      <c r="AR130" s="289" t="n"/>
    </row>
    <row r="131">
      <c r="A131" s="289" t="inlineStr">
        <is>
          <t>민락동</t>
        </is>
      </c>
      <c r="B131" s="289" t="n"/>
      <c r="C131" s="289" t="n"/>
      <c r="D131" s="289" t="n">
        <v>117979</v>
      </c>
      <c r="E131" s="115" t="inlineStr">
        <is>
          <t>e편한세상오션테라스3단지</t>
        </is>
      </c>
      <c r="F131" s="289" t="n">
        <v>2020.01</v>
      </c>
      <c r="G131" s="289" t="n">
        <v>316</v>
      </c>
      <c r="H131" s="289">
        <f>2026-F131+1</f>
        <v/>
      </c>
      <c r="I131" s="289" t="n"/>
      <c r="J131" s="289" t="n"/>
      <c r="K131" s="289" t="n">
        <v>159</v>
      </c>
      <c r="L131" s="289" t="n"/>
      <c r="M131" s="289" t="inlineStr">
        <is>
          <t>계단식</t>
        </is>
      </c>
      <c r="N131" s="289" t="n">
        <v>4</v>
      </c>
      <c r="O131" s="289" t="n">
        <v>3</v>
      </c>
      <c r="P131" s="289" t="n">
        <v>2</v>
      </c>
      <c r="Q131" s="289" t="n"/>
      <c r="R131" s="289" t="n"/>
      <c r="S131" s="458">
        <f>Q131-R131</f>
        <v/>
      </c>
      <c r="T131" s="323">
        <f>R131/Q131</f>
        <v/>
      </c>
      <c r="U131" s="289" t="n">
        <v>238000</v>
      </c>
      <c r="V131" s="289" t="n">
        <v>238000</v>
      </c>
      <c r="W131" s="289" t="n"/>
      <c r="X131" s="289" t="n"/>
      <c r="Y131" s="289" t="n"/>
      <c r="Z131" s="289" t="n"/>
      <c r="AA131" s="289" t="n"/>
      <c r="AB131" s="289" t="n"/>
      <c r="AC131" s="289" t="n"/>
      <c r="AG131" s="289" t="n"/>
      <c r="AH131" s="289" t="n"/>
      <c r="AI131" s="289" t="n"/>
      <c r="AJ131" s="289" t="n"/>
      <c r="AR131" s="289" t="n"/>
    </row>
    <row r="132">
      <c r="A132" s="289" t="inlineStr">
        <is>
          <t>민락동</t>
        </is>
      </c>
      <c r="B132" s="289" t="n"/>
      <c r="C132" s="289" t="n"/>
      <c r="D132" s="289" t="n">
        <v>117979</v>
      </c>
      <c r="E132" s="115" t="inlineStr">
        <is>
          <t>e편한세상오션테라스3단지</t>
        </is>
      </c>
      <c r="F132" s="289" t="n">
        <v>2020.01</v>
      </c>
      <c r="G132" s="289" t="n">
        <v>316</v>
      </c>
      <c r="H132" s="289">
        <f>2026-F132+1</f>
        <v/>
      </c>
      <c r="I132" s="289" t="n"/>
      <c r="J132" s="289" t="n"/>
      <c r="K132" s="289" t="n">
        <v>160</v>
      </c>
      <c r="L132" s="289" t="n"/>
      <c r="M132" s="289" t="inlineStr">
        <is>
          <t>계단식</t>
        </is>
      </c>
      <c r="N132" s="289" t="n">
        <v>4</v>
      </c>
      <c r="O132" s="289" t="n">
        <v>3</v>
      </c>
      <c r="P132" s="289" t="n">
        <v>2</v>
      </c>
      <c r="Q132" s="289" t="n"/>
      <c r="R132" s="289" t="n"/>
      <c r="S132" s="458">
        <f>Q132-R132</f>
        <v/>
      </c>
      <c r="T132" s="323">
        <f>R132/Q132</f>
        <v/>
      </c>
      <c r="U132" s="289" t="n">
        <v>238000</v>
      </c>
      <c r="V132" s="289" t="n">
        <v>238000</v>
      </c>
      <c r="W132" s="289" t="n"/>
      <c r="X132" s="289" t="n"/>
      <c r="Y132" s="289" t="n"/>
      <c r="Z132" s="289" t="n"/>
      <c r="AA132" s="289" t="n"/>
      <c r="AB132" s="289" t="n"/>
      <c r="AC132" s="289" t="n"/>
      <c r="AG132" s="289" t="n"/>
      <c r="AH132" s="289" t="n"/>
      <c r="AI132" s="289" t="n"/>
      <c r="AJ132" s="289" t="n"/>
      <c r="AR132" s="289" t="n"/>
    </row>
    <row r="133">
      <c r="A133" s="458" t="inlineStr">
        <is>
          <t>민락동</t>
        </is>
      </c>
      <c r="B133" s="458" t="n"/>
      <c r="C133" s="458" t="n"/>
      <c r="D133" s="458" t="n">
        <v>117980</v>
      </c>
      <c r="E133" s="114" t="inlineStr">
        <is>
          <t>e편한세상오션테라스4단지</t>
        </is>
      </c>
      <c r="F133" s="458" t="n">
        <v>2020.01</v>
      </c>
      <c r="G133" s="458" t="n">
        <v>308</v>
      </c>
      <c r="H133" s="458">
        <f>2026-F133+1</f>
        <v/>
      </c>
      <c r="I133" s="458" t="n"/>
      <c r="J133" s="458" t="n"/>
      <c r="K133" s="458" t="n">
        <v>91</v>
      </c>
      <c r="L133" s="458" t="n"/>
      <c r="M133" s="458" t="inlineStr">
        <is>
          <t>계단식</t>
        </is>
      </c>
      <c r="N133" s="458" t="n">
        <v>3</v>
      </c>
      <c r="O133" s="458" t="n">
        <v>2</v>
      </c>
      <c r="P133" s="458" t="n">
        <v>76</v>
      </c>
      <c r="Q133" s="458" t="n"/>
      <c r="R133" s="458" t="n"/>
      <c r="S133" s="458">
        <f>Q133-R133</f>
        <v/>
      </c>
      <c r="T133" s="323">
        <f>R133/Q133</f>
        <v/>
      </c>
      <c r="U133" s="458" t="n">
        <v>123000</v>
      </c>
      <c r="V133" s="458" t="n">
        <v>122500</v>
      </c>
      <c r="W133" s="458" t="n"/>
      <c r="X133" s="458" t="n"/>
      <c r="Y133" s="458" t="n"/>
      <c r="Z133" s="458" t="n"/>
      <c r="AA133" s="458" t="n"/>
      <c r="AB133" s="458" t="n"/>
      <c r="AC133" s="458" t="n"/>
      <c r="AG133" s="458" t="n"/>
      <c r="AH133" s="458" t="n"/>
      <c r="AI133" s="458" t="n"/>
      <c r="AJ133" s="458" t="n"/>
      <c r="AR133" s="458" t="n"/>
    </row>
    <row r="134">
      <c r="A134" s="458" t="inlineStr">
        <is>
          <t>민락동</t>
        </is>
      </c>
      <c r="B134" s="458" t="n"/>
      <c r="C134" s="458" t="n"/>
      <c r="D134" s="458" t="n">
        <v>117980</v>
      </c>
      <c r="E134" s="114" t="inlineStr">
        <is>
          <t>e편한세상오션테라스4단지</t>
        </is>
      </c>
      <c r="F134" s="458" t="n">
        <v>2020.01</v>
      </c>
      <c r="G134" s="458" t="n">
        <v>308</v>
      </c>
      <c r="H134" s="458">
        <f>2026-F134+1</f>
        <v/>
      </c>
      <c r="I134" s="458" t="n"/>
      <c r="J134" s="458" t="n"/>
      <c r="K134" s="458" t="n">
        <v>114</v>
      </c>
      <c r="L134" s="458" t="n"/>
      <c r="M134" s="458" t="inlineStr">
        <is>
          <t>계단식</t>
        </is>
      </c>
      <c r="N134" s="458" t="n">
        <v>3</v>
      </c>
      <c r="O134" s="458" t="n">
        <v>2</v>
      </c>
      <c r="P134" s="458" t="n">
        <v>76</v>
      </c>
      <c r="Q134" s="458" t="n"/>
      <c r="R134" s="458" t="n"/>
      <c r="S134" s="458">
        <f>Q134-R134</f>
        <v/>
      </c>
      <c r="T134" s="323">
        <f>R134/Q134</f>
        <v/>
      </c>
      <c r="U134" s="458" t="n"/>
      <c r="V134" s="458" t="n">
        <v>140000</v>
      </c>
      <c r="W134" s="458" t="n"/>
      <c r="X134" s="458" t="n"/>
      <c r="Y134" s="458" t="n"/>
      <c r="Z134" s="458" t="n"/>
      <c r="AA134" s="458" t="n"/>
      <c r="AB134" s="458" t="n"/>
      <c r="AC134" s="458" t="n"/>
      <c r="AG134" s="458" t="n"/>
      <c r="AH134" s="458" t="n"/>
      <c r="AI134" s="458" t="n"/>
      <c r="AJ134" s="458" t="n"/>
      <c r="AR134" s="458" t="n"/>
    </row>
    <row r="135">
      <c r="A135" s="458" t="inlineStr">
        <is>
          <t>민락동</t>
        </is>
      </c>
      <c r="B135" s="458" t="n"/>
      <c r="C135" s="458" t="n"/>
      <c r="D135" s="458" t="n">
        <v>117980</v>
      </c>
      <c r="E135" s="114" t="inlineStr">
        <is>
          <t>e편한세상오션테라스4단지</t>
        </is>
      </c>
      <c r="F135" s="458" t="n">
        <v>2020.01</v>
      </c>
      <c r="G135" s="458" t="n">
        <v>308</v>
      </c>
      <c r="H135" s="458">
        <f>2026-F135+1</f>
        <v/>
      </c>
      <c r="I135" s="458" t="n"/>
      <c r="J135" s="458" t="n"/>
      <c r="K135" s="458" t="n">
        <v>159</v>
      </c>
      <c r="L135" s="458" t="n"/>
      <c r="M135" s="458" t="inlineStr">
        <is>
          <t>계단식</t>
        </is>
      </c>
      <c r="N135" s="458" t="n">
        <v>4</v>
      </c>
      <c r="O135" s="458" t="n">
        <v>3</v>
      </c>
      <c r="P135" s="458" t="n">
        <v>2</v>
      </c>
      <c r="Q135" s="458" t="n"/>
      <c r="R135" s="458" t="n"/>
      <c r="S135" s="458">
        <f>Q135-R135</f>
        <v/>
      </c>
      <c r="T135" s="323">
        <f>R135/Q135</f>
        <v/>
      </c>
      <c r="U135" s="458" t="n">
        <v>238000</v>
      </c>
      <c r="V135" s="458" t="n">
        <v>238000</v>
      </c>
      <c r="W135" s="458" t="n"/>
      <c r="X135" s="458" t="n"/>
      <c r="Y135" s="458" t="n"/>
      <c r="Z135" s="458" t="n"/>
      <c r="AA135" s="458" t="n"/>
      <c r="AB135" s="458" t="n"/>
      <c r="AC135" s="458" t="n"/>
      <c r="AG135" s="458" t="n"/>
      <c r="AH135" s="458" t="n"/>
      <c r="AI135" s="458" t="n"/>
      <c r="AJ135" s="458" t="n"/>
      <c r="AR135" s="458" t="n"/>
    </row>
    <row r="136">
      <c r="A136" s="458" t="inlineStr">
        <is>
          <t>민락동</t>
        </is>
      </c>
      <c r="D136" s="458" t="n">
        <v>117980</v>
      </c>
      <c r="E136" s="114" t="inlineStr">
        <is>
          <t>e편한세상오션테라스4단지</t>
        </is>
      </c>
      <c r="F136" s="458" t="n">
        <v>2020.01</v>
      </c>
      <c r="G136" s="458" t="n">
        <v>308</v>
      </c>
      <c r="H136" s="458">
        <f>2026-F136+1</f>
        <v/>
      </c>
      <c r="K136" s="458" t="n">
        <v>160</v>
      </c>
      <c r="M136" s="458" t="inlineStr">
        <is>
          <t>계단식</t>
        </is>
      </c>
      <c r="N136" s="458" t="n">
        <v>4</v>
      </c>
      <c r="O136" s="458" t="n">
        <v>3</v>
      </c>
      <c r="P136" s="458" t="n">
        <v>2</v>
      </c>
      <c r="S136" s="458">
        <f>Q136-R136</f>
        <v/>
      </c>
      <c r="T136" s="323">
        <f>R136/Q136</f>
        <v/>
      </c>
      <c r="U136" s="458" t="n">
        <v>238000</v>
      </c>
      <c r="V136" s="458" t="n">
        <v>238000</v>
      </c>
    </row>
    <row r="137">
      <c r="A137" s="289" t="inlineStr">
        <is>
          <t>민락동</t>
        </is>
      </c>
      <c r="B137" s="289" t="n"/>
      <c r="C137" s="289" t="n"/>
      <c r="D137" s="289" t="n">
        <v>11792</v>
      </c>
      <c r="E137" s="115" t="inlineStr">
        <is>
          <t>롯데캐슬자이언트</t>
        </is>
      </c>
      <c r="F137" s="289" t="n">
        <v>2003.11</v>
      </c>
      <c r="G137" s="289" t="n">
        <v>591</v>
      </c>
      <c r="H137" s="289">
        <f>2026-F137+1</f>
        <v/>
      </c>
      <c r="I137" s="289" t="n"/>
      <c r="J137" s="289" t="n">
        <v>147</v>
      </c>
      <c r="K137" s="289" t="n">
        <v>121</v>
      </c>
      <c r="L137" s="289" t="n">
        <v>44</v>
      </c>
      <c r="M137" s="289" t="inlineStr">
        <is>
          <t>계단식</t>
        </is>
      </c>
      <c r="N137" s="289" t="n">
        <v>4</v>
      </c>
      <c r="O137" s="289" t="n">
        <v>2</v>
      </c>
      <c r="P137" s="289" t="n">
        <v>192</v>
      </c>
      <c r="Q137" s="289" t="n"/>
      <c r="R137" s="289" t="n"/>
      <c r="S137" s="458">
        <f>Q137-R137</f>
        <v/>
      </c>
      <c r="T137" s="323">
        <f>R137/Q137</f>
        <v/>
      </c>
      <c r="U137" s="289" t="n">
        <v>89800</v>
      </c>
      <c r="V137" s="289" t="n">
        <v>79300</v>
      </c>
      <c r="W137" s="289" t="n"/>
      <c r="X137" s="289" t="n"/>
      <c r="Y137" s="289" t="n"/>
      <c r="Z137" s="289" t="n"/>
      <c r="AA137" s="289" t="n"/>
      <c r="AB137" s="289" t="n"/>
      <c r="AC137" s="289" t="n"/>
      <c r="AG137" s="289" t="n"/>
      <c r="AH137" s="289" t="n"/>
      <c r="AI137" s="289" t="n"/>
      <c r="AJ137" s="289" t="n"/>
      <c r="AR137" s="289" t="n"/>
    </row>
    <row r="138">
      <c r="A138" s="289" t="inlineStr">
        <is>
          <t>민락동</t>
        </is>
      </c>
      <c r="B138" s="289" t="n"/>
      <c r="C138" s="289" t="n"/>
      <c r="D138" s="289" t="n">
        <v>11792</v>
      </c>
      <c r="E138" s="115" t="inlineStr">
        <is>
          <t>롯데캐슬자이언트</t>
        </is>
      </c>
      <c r="F138" s="289" t="n">
        <v>2003.11</v>
      </c>
      <c r="G138" s="289" t="n">
        <v>591</v>
      </c>
      <c r="H138" s="289">
        <f>2026-F138+1</f>
        <v/>
      </c>
      <c r="I138" s="289" t="n"/>
      <c r="J138" s="289" t="n">
        <v>169</v>
      </c>
      <c r="K138" s="289" t="n">
        <v>141</v>
      </c>
      <c r="L138" s="289" t="n">
        <v>51</v>
      </c>
      <c r="M138" s="289" t="inlineStr">
        <is>
          <t>계단식</t>
        </is>
      </c>
      <c r="N138" s="289" t="n">
        <v>4</v>
      </c>
      <c r="O138" s="289" t="n">
        <v>2</v>
      </c>
      <c r="P138" s="289" t="n">
        <v>135</v>
      </c>
      <c r="Q138" s="289" t="n"/>
      <c r="R138" s="289" t="n"/>
      <c r="S138" s="458">
        <f>Q138-R138</f>
        <v/>
      </c>
      <c r="T138" s="323">
        <f>R138/Q138</f>
        <v/>
      </c>
      <c r="U138" s="289" t="n">
        <v>115000</v>
      </c>
      <c r="V138" s="289" t="n">
        <v>110000</v>
      </c>
      <c r="W138" s="289" t="n"/>
      <c r="X138" s="289" t="n"/>
      <c r="Y138" s="289" t="n"/>
      <c r="Z138" s="289" t="n"/>
      <c r="AA138" s="289" t="n"/>
      <c r="AB138" s="289" t="n"/>
      <c r="AC138" s="289" t="n"/>
      <c r="AG138" s="289" t="n"/>
      <c r="AH138" s="289" t="n"/>
      <c r="AI138" s="289" t="n"/>
      <c r="AJ138" s="289" t="n"/>
      <c r="AR138" s="289" t="n"/>
    </row>
    <row r="139">
      <c r="A139" s="289" t="inlineStr">
        <is>
          <t>민락동</t>
        </is>
      </c>
      <c r="B139" s="289" t="n"/>
      <c r="C139" s="289" t="n"/>
      <c r="D139" s="289" t="n">
        <v>11792</v>
      </c>
      <c r="E139" s="115" t="inlineStr">
        <is>
          <t>롯데캐슬자이언트</t>
        </is>
      </c>
      <c r="F139" s="289" t="n">
        <v>2003.11</v>
      </c>
      <c r="G139" s="289" t="n">
        <v>591</v>
      </c>
      <c r="H139" s="289">
        <f>2026-F139+1</f>
        <v/>
      </c>
      <c r="I139" s="289" t="n"/>
      <c r="J139" s="289" t="n">
        <v>198</v>
      </c>
      <c r="K139" s="289" t="n">
        <v>170</v>
      </c>
      <c r="L139" s="289" t="n">
        <v>60</v>
      </c>
      <c r="M139" s="289" t="inlineStr">
        <is>
          <t>계단식</t>
        </is>
      </c>
      <c r="N139" s="289" t="n">
        <v>5</v>
      </c>
      <c r="O139" s="289" t="n">
        <v>3</v>
      </c>
      <c r="P139" s="289" t="n">
        <v>68</v>
      </c>
      <c r="Q139" s="289" t="n"/>
      <c r="R139" s="289" t="n"/>
      <c r="S139" s="458">
        <f>Q139-R139</f>
        <v/>
      </c>
      <c r="T139" s="323">
        <f>R139/Q139</f>
        <v/>
      </c>
      <c r="U139" s="289" t="n">
        <v>158000</v>
      </c>
      <c r="V139" s="289" t="n"/>
      <c r="W139" s="289" t="n"/>
      <c r="X139" s="289" t="n"/>
      <c r="Y139" s="289" t="n"/>
      <c r="Z139" s="289" t="n"/>
      <c r="AA139" s="289" t="n"/>
      <c r="AB139" s="289" t="n"/>
      <c r="AC139" s="289" t="n"/>
      <c r="AG139" s="289" t="n"/>
      <c r="AH139" s="289" t="n"/>
      <c r="AI139" s="289" t="n"/>
      <c r="AJ139" s="289" t="n"/>
      <c r="AR139" s="289" t="n"/>
    </row>
    <row r="140">
      <c r="A140" s="458" t="inlineStr">
        <is>
          <t>민락동</t>
        </is>
      </c>
      <c r="B140" s="458" t="n"/>
      <c r="C140" s="458" t="n"/>
      <c r="D140" s="458" t="n">
        <v>103401</v>
      </c>
      <c r="E140" s="114" t="inlineStr">
        <is>
          <t>부산더샵센텀포레</t>
        </is>
      </c>
      <c r="F140" s="458" t="n">
        <v>2014.07</v>
      </c>
      <c r="G140" s="458" t="n">
        <v>1006</v>
      </c>
      <c r="H140" s="458">
        <f>2026-F140+1</f>
        <v/>
      </c>
      <c r="I140" s="458" t="n"/>
      <c r="J140" s="458" t="n">
        <v>130</v>
      </c>
      <c r="K140" s="458" t="n">
        <v>99</v>
      </c>
      <c r="L140" s="458" t="n">
        <v>39</v>
      </c>
      <c r="M140" s="458" t="inlineStr">
        <is>
          <t>계단식</t>
        </is>
      </c>
      <c r="N140" s="458" t="n">
        <v>3</v>
      </c>
      <c r="O140" s="458" t="n">
        <v>2</v>
      </c>
      <c r="P140" s="458" t="n">
        <v>81</v>
      </c>
      <c r="Q140" s="458" t="n"/>
      <c r="R140" s="458" t="n"/>
      <c r="S140" s="458">
        <f>Q140-R140</f>
        <v/>
      </c>
      <c r="T140" s="323">
        <f>R140/Q140</f>
        <v/>
      </c>
      <c r="U140" s="458" t="n">
        <v>102000</v>
      </c>
      <c r="V140" s="458" t="n">
        <v>74000</v>
      </c>
      <c r="W140" s="458" t="n"/>
      <c r="X140" s="458" t="n"/>
      <c r="Y140" s="458" t="n"/>
      <c r="Z140" s="458" t="n"/>
      <c r="AA140" s="458" t="n"/>
      <c r="AB140" s="458" t="n"/>
      <c r="AC140" s="458" t="n"/>
      <c r="AG140" s="458" t="n"/>
      <c r="AH140" s="458" t="n"/>
      <c r="AI140" s="458" t="n"/>
      <c r="AJ140" s="458" t="n"/>
      <c r="AR140" s="458" t="n"/>
    </row>
    <row r="141">
      <c r="A141" s="458" t="inlineStr">
        <is>
          <t>민락동</t>
        </is>
      </c>
      <c r="B141" s="458" t="n"/>
      <c r="C141" s="458" t="n"/>
      <c r="D141" s="458" t="n">
        <v>103401</v>
      </c>
      <c r="E141" s="114" t="inlineStr">
        <is>
          <t>부산더샵센텀포레</t>
        </is>
      </c>
      <c r="F141" s="458" t="n">
        <v>2014.07</v>
      </c>
      <c r="G141" s="458" t="n">
        <v>1006</v>
      </c>
      <c r="H141" s="458">
        <f>2026-F141+1</f>
        <v/>
      </c>
      <c r="I141" s="458" t="n"/>
      <c r="J141" s="458" t="n"/>
      <c r="K141" s="458" t="n">
        <v>128</v>
      </c>
      <c r="L141" s="458" t="n"/>
      <c r="M141" s="458" t="inlineStr">
        <is>
          <t>계단식</t>
        </is>
      </c>
      <c r="N141" s="458" t="n">
        <v>4</v>
      </c>
      <c r="O141" s="458" t="n">
        <v>2</v>
      </c>
      <c r="P141" s="458" t="n">
        <v>84</v>
      </c>
      <c r="Q141" s="458" t="n"/>
      <c r="R141" s="458" t="n"/>
      <c r="S141" s="458">
        <f>Q141-R141</f>
        <v/>
      </c>
      <c r="T141" s="323">
        <f>R141/Q141</f>
        <v/>
      </c>
      <c r="U141" s="458" t="n">
        <v>140000</v>
      </c>
      <c r="V141" s="458" t="n">
        <v>103000</v>
      </c>
      <c r="W141" s="458" t="n"/>
      <c r="X141" s="458" t="n"/>
      <c r="Y141" s="458" t="n"/>
      <c r="Z141" s="458" t="n"/>
      <c r="AA141" s="458" t="n"/>
      <c r="AB141" s="458" t="n"/>
      <c r="AC141" s="458" t="n"/>
      <c r="AG141" s="458" t="n"/>
      <c r="AH141" s="458" t="n"/>
      <c r="AI141" s="458" t="n"/>
      <c r="AJ141" s="458" t="n"/>
      <c r="AR141" s="458" t="n"/>
    </row>
    <row r="142">
      <c r="A142" s="458" t="inlineStr">
        <is>
          <t>민락동</t>
        </is>
      </c>
      <c r="B142" s="458" t="n"/>
      <c r="C142" s="458" t="n"/>
      <c r="D142" s="458" t="n">
        <v>103401</v>
      </c>
      <c r="E142" s="146" t="inlineStr">
        <is>
          <t>부산더샵센텀포레</t>
        </is>
      </c>
      <c r="F142" s="458" t="n">
        <v>2014.07</v>
      </c>
      <c r="G142" s="458" t="n">
        <v>1006</v>
      </c>
      <c r="H142" s="458">
        <f>2026-F142+1</f>
        <v/>
      </c>
      <c r="I142" s="458" t="n"/>
      <c r="J142" s="458" t="n"/>
      <c r="K142" s="458" t="n">
        <v>129</v>
      </c>
      <c r="L142" s="458" t="n"/>
      <c r="M142" s="458" t="inlineStr">
        <is>
          <t>계단식</t>
        </is>
      </c>
      <c r="N142" s="458" t="n">
        <v>4</v>
      </c>
      <c r="O142" s="458" t="n">
        <v>2</v>
      </c>
      <c r="P142" s="458" t="n">
        <v>46</v>
      </c>
      <c r="Q142" s="458" t="n"/>
      <c r="R142" s="458" t="n"/>
      <c r="S142" s="458">
        <f>Q142-R142</f>
        <v/>
      </c>
      <c r="T142" s="323">
        <f>R142/Q142</f>
        <v/>
      </c>
      <c r="U142" s="458" t="n">
        <v>140000</v>
      </c>
      <c r="V142" s="458" t="n">
        <v>103000</v>
      </c>
      <c r="W142" s="458" t="n"/>
      <c r="X142" s="458" t="n"/>
      <c r="Y142" s="458" t="n"/>
      <c r="Z142" s="458" t="n"/>
      <c r="AA142" s="458" t="n"/>
      <c r="AB142" s="458" t="n"/>
      <c r="AC142" s="458" t="n"/>
      <c r="AG142" s="458" t="n"/>
      <c r="AH142" s="458" t="n"/>
      <c r="AI142" s="458" t="n"/>
      <c r="AJ142" s="458" t="n"/>
      <c r="AR142" s="458" t="n"/>
    </row>
    <row r="143">
      <c r="A143" s="458" t="inlineStr">
        <is>
          <t>민락동</t>
        </is>
      </c>
      <c r="D143" s="458" t="n">
        <v>103401</v>
      </c>
      <c r="E143" s="114" t="inlineStr">
        <is>
          <t>부산더샵센텀포레</t>
        </is>
      </c>
      <c r="F143" s="458" t="n">
        <v>2014.07</v>
      </c>
      <c r="G143" s="458" t="n">
        <v>1006</v>
      </c>
      <c r="H143" s="458">
        <f>2026-F143+1</f>
        <v/>
      </c>
      <c r="J143" s="458" t="n">
        <v>193</v>
      </c>
      <c r="K143" s="458" t="n">
        <v>154</v>
      </c>
      <c r="L143" s="458" t="n">
        <v>58</v>
      </c>
      <c r="M143" s="458" t="inlineStr">
        <is>
          <t>계단식</t>
        </is>
      </c>
      <c r="N143" s="458" t="n">
        <v>4</v>
      </c>
      <c r="O143" s="458" t="n">
        <v>2</v>
      </c>
      <c r="P143" s="458" t="n">
        <v>49</v>
      </c>
      <c r="S143" s="458">
        <f>Q143-R143</f>
        <v/>
      </c>
      <c r="T143" s="323">
        <f>R143/Q143</f>
        <v/>
      </c>
      <c r="U143" s="458" t="n">
        <v>190000</v>
      </c>
      <c r="V143" s="458" t="n">
        <v>175000</v>
      </c>
    </row>
    <row r="144">
      <c r="A144" s="289" t="inlineStr">
        <is>
          <t>민락동</t>
        </is>
      </c>
      <c r="B144" s="289" t="n"/>
      <c r="C144" s="289" t="n"/>
      <c r="D144" s="289" t="n">
        <v>108274</v>
      </c>
      <c r="E144" s="115" t="inlineStr">
        <is>
          <t>센텀비스타동원</t>
        </is>
      </c>
      <c r="F144" s="289" t="n">
        <v>2017.07</v>
      </c>
      <c r="G144" s="289" t="n">
        <v>840</v>
      </c>
      <c r="H144" s="289">
        <f>2026-F144+1</f>
        <v/>
      </c>
      <c r="I144" s="289" t="n"/>
      <c r="J144" s="289" t="n"/>
      <c r="K144" s="289" t="n">
        <v>88</v>
      </c>
      <c r="L144" s="289" t="n"/>
      <c r="M144" s="289" t="inlineStr">
        <is>
          <t>계단식</t>
        </is>
      </c>
      <c r="N144" s="289" t="n">
        <v>3</v>
      </c>
      <c r="O144" s="289" t="n">
        <v>2</v>
      </c>
      <c r="P144" s="289" t="n">
        <v>9</v>
      </c>
      <c r="Q144" s="289" t="n"/>
      <c r="R144" s="289" t="n"/>
      <c r="S144" s="458">
        <f>Q144-R144</f>
        <v/>
      </c>
      <c r="T144" s="323">
        <f>R144/Q144</f>
        <v/>
      </c>
      <c r="U144" s="289" t="n"/>
      <c r="V144" s="289" t="n">
        <v>81000</v>
      </c>
      <c r="W144" s="289" t="n"/>
      <c r="X144" s="289" t="n"/>
      <c r="Y144" s="289" t="n"/>
      <c r="Z144" s="289" t="n"/>
      <c r="AA144" s="289" t="n"/>
      <c r="AB144" s="289" t="n"/>
      <c r="AC144" s="289" t="n"/>
      <c r="AG144" s="289" t="n"/>
      <c r="AH144" s="289" t="n"/>
      <c r="AI144" s="289" t="n"/>
      <c r="AJ144" s="289" t="n"/>
      <c r="AR144" s="289" t="n"/>
    </row>
    <row r="145">
      <c r="A145" s="289" t="inlineStr">
        <is>
          <t>민락동</t>
        </is>
      </c>
      <c r="B145" s="289" t="n"/>
      <c r="C145" s="289" t="n"/>
      <c r="D145" s="289" t="n">
        <v>108274</v>
      </c>
      <c r="E145" s="115" t="inlineStr">
        <is>
          <t>센텀비스타동원</t>
        </is>
      </c>
      <c r="F145" s="289" t="n">
        <v>2017.07</v>
      </c>
      <c r="G145" s="289" t="n">
        <v>840</v>
      </c>
      <c r="H145" s="289">
        <f>2026-F145+1</f>
        <v/>
      </c>
      <c r="I145" s="289" t="n"/>
      <c r="J145" s="289" t="n"/>
      <c r="K145" s="289" t="n">
        <v>109</v>
      </c>
      <c r="L145" s="289" t="n"/>
      <c r="M145" s="289" t="inlineStr">
        <is>
          <t>계단식</t>
        </is>
      </c>
      <c r="N145" s="289" t="n">
        <v>4</v>
      </c>
      <c r="O145" s="289" t="n">
        <v>2</v>
      </c>
      <c r="P145" s="289" t="n">
        <v>170</v>
      </c>
      <c r="Q145" s="289" t="n"/>
      <c r="R145" s="289" t="n"/>
      <c r="S145" s="458">
        <f>Q145-R145</f>
        <v/>
      </c>
      <c r="T145" s="323">
        <f>R145/Q145</f>
        <v/>
      </c>
      <c r="U145" s="289" t="n">
        <v>148000</v>
      </c>
      <c r="V145" s="289" t="n">
        <v>95000</v>
      </c>
      <c r="W145" s="289" t="n"/>
      <c r="X145" s="289" t="n"/>
      <c r="Y145" s="289" t="n"/>
      <c r="Z145" s="289" t="n"/>
      <c r="AA145" s="289" t="n"/>
      <c r="AB145" s="289" t="n"/>
      <c r="AC145" s="289" t="n"/>
      <c r="AG145" s="289" t="n"/>
      <c r="AH145" s="289" t="n"/>
      <c r="AI145" s="289" t="n"/>
      <c r="AJ145" s="289" t="n"/>
      <c r="AR145" s="289" t="n"/>
    </row>
    <row r="146">
      <c r="A146" s="458" t="inlineStr">
        <is>
          <t>민락동</t>
        </is>
      </c>
      <c r="B146" s="458" t="n"/>
      <c r="C146" s="458" t="n"/>
      <c r="D146" s="458" t="n">
        <v>106850</v>
      </c>
      <c r="E146" s="114" t="inlineStr">
        <is>
          <t>센텀비스타동원2차</t>
        </is>
      </c>
      <c r="F146" s="458" t="n">
        <v>2017.03</v>
      </c>
      <c r="G146" s="458" t="n">
        <v>405</v>
      </c>
      <c r="H146" s="458">
        <f>2026-F146+1</f>
        <v/>
      </c>
      <c r="I146" s="458" t="n"/>
      <c r="J146" s="458" t="n"/>
      <c r="K146" s="458" t="n">
        <v>84</v>
      </c>
      <c r="L146" s="458" t="n"/>
      <c r="M146" s="458" t="inlineStr">
        <is>
          <t>계단식</t>
        </is>
      </c>
      <c r="N146" s="458" t="n">
        <v>3</v>
      </c>
      <c r="O146" s="458" t="n">
        <v>2</v>
      </c>
      <c r="P146" s="458" t="n">
        <v>405</v>
      </c>
      <c r="Q146" s="458" t="n"/>
      <c r="R146" s="458" t="n"/>
      <c r="S146" s="458">
        <f>Q146-R146</f>
        <v/>
      </c>
      <c r="T146" s="323">
        <f>R146/Q146</f>
        <v/>
      </c>
      <c r="U146" s="458" t="n">
        <v>110000</v>
      </c>
      <c r="V146" s="458" t="n">
        <v>63000</v>
      </c>
      <c r="W146" s="458" t="n"/>
      <c r="X146" s="458" t="n"/>
      <c r="Y146" s="458" t="n"/>
      <c r="Z146" s="458" t="n"/>
      <c r="AA146" s="458" t="n"/>
      <c r="AB146" s="458" t="n"/>
      <c r="AC146" s="458" t="n"/>
      <c r="AG146" s="458" t="n"/>
      <c r="AH146" s="458" t="n"/>
      <c r="AI146" s="458" t="n"/>
      <c r="AJ146" s="458" t="n"/>
      <c r="AR146" s="458" t="n"/>
    </row>
    <row r="147">
      <c r="A147" s="289" t="inlineStr">
        <is>
          <t>민락동</t>
        </is>
      </c>
      <c r="B147" s="289" t="n"/>
      <c r="C147" s="289" t="n"/>
      <c r="D147" s="289" t="n">
        <v>9904</v>
      </c>
      <c r="E147" s="115" t="inlineStr">
        <is>
          <t>센텀비치푸르지오</t>
        </is>
      </c>
      <c r="F147" s="289" t="n">
        <v>2003.08</v>
      </c>
      <c r="G147" s="289" t="n">
        <v>1082</v>
      </c>
      <c r="H147" s="289">
        <f>2026-F147+1</f>
        <v/>
      </c>
      <c r="I147" s="289" t="n"/>
      <c r="J147" s="289" t="n">
        <v>128</v>
      </c>
      <c r="K147" s="289" t="n">
        <v>98</v>
      </c>
      <c r="L147" s="289" t="n">
        <v>39</v>
      </c>
      <c r="M147" s="289" t="inlineStr">
        <is>
          <t>계단식</t>
        </is>
      </c>
      <c r="N147" s="289" t="n">
        <v>3</v>
      </c>
      <c r="O147" s="289" t="n">
        <v>2</v>
      </c>
      <c r="P147" s="289" t="n">
        <v>120</v>
      </c>
      <c r="Q147" s="289" t="n"/>
      <c r="R147" s="289" t="n"/>
      <c r="S147" s="458">
        <f>Q147-R147</f>
        <v/>
      </c>
      <c r="T147" s="323">
        <f>R147/Q147</f>
        <v/>
      </c>
      <c r="U147" s="289" t="n">
        <v>84300</v>
      </c>
      <c r="V147" s="289" t="n">
        <v>67000</v>
      </c>
      <c r="W147" s="289" t="n"/>
      <c r="X147" s="289" t="n"/>
      <c r="Y147" s="289" t="n"/>
      <c r="Z147" s="289" t="n"/>
      <c r="AA147" s="289" t="n"/>
      <c r="AB147" s="289" t="n"/>
      <c r="AC147" s="289" t="n"/>
      <c r="AG147" s="289" t="n"/>
      <c r="AH147" s="289" t="n"/>
      <c r="AI147" s="289" t="n"/>
      <c r="AJ147" s="289" t="n"/>
      <c r="AR147" s="289" t="n"/>
    </row>
    <row r="148">
      <c r="A148" s="289" t="inlineStr">
        <is>
          <t>민락동</t>
        </is>
      </c>
      <c r="B148" s="289" t="n"/>
      <c r="C148" s="289" t="n"/>
      <c r="D148" s="289" t="n">
        <v>9904</v>
      </c>
      <c r="E148" s="115" t="inlineStr">
        <is>
          <t>센텀비치푸르지오</t>
        </is>
      </c>
      <c r="F148" s="289" t="n">
        <v>2003.08</v>
      </c>
      <c r="G148" s="289" t="n">
        <v>1082</v>
      </c>
      <c r="H148" s="289">
        <f>2026-F148+1</f>
        <v/>
      </c>
      <c r="I148" s="289" t="n"/>
      <c r="J148" s="289" t="n"/>
      <c r="K148" s="289" t="n">
        <v>131</v>
      </c>
      <c r="L148" s="289" t="n"/>
      <c r="M148" s="289" t="inlineStr">
        <is>
          <t>계단식</t>
        </is>
      </c>
      <c r="N148" s="289" t="n">
        <v>4</v>
      </c>
      <c r="O148" s="289" t="n">
        <v>2</v>
      </c>
      <c r="P148" s="289" t="n">
        <v>184</v>
      </c>
      <c r="Q148" s="289" t="n"/>
      <c r="R148" s="289" t="n"/>
      <c r="S148" s="458">
        <f>Q148-R148</f>
        <v/>
      </c>
      <c r="T148" s="323">
        <f>R148/Q148</f>
        <v/>
      </c>
      <c r="U148" s="289" t="n">
        <v>110000</v>
      </c>
      <c r="V148" s="289" t="n">
        <v>52000</v>
      </c>
      <c r="W148" s="289" t="n"/>
      <c r="X148" s="289" t="n"/>
      <c r="Y148" s="289" t="n"/>
      <c r="Z148" s="289" t="n"/>
      <c r="AA148" s="289" t="n"/>
      <c r="AB148" s="289" t="n"/>
      <c r="AC148" s="289" t="n"/>
      <c r="AG148" s="289" t="n"/>
      <c r="AH148" s="289" t="n"/>
      <c r="AI148" s="289" t="n"/>
      <c r="AJ148" s="289" t="n"/>
      <c r="AR148" s="289" t="n"/>
    </row>
    <row r="149">
      <c r="A149" s="289" t="inlineStr">
        <is>
          <t>민락동</t>
        </is>
      </c>
      <c r="B149" s="289" t="n"/>
      <c r="C149" s="289" t="n"/>
      <c r="D149" s="289" t="n">
        <v>9904</v>
      </c>
      <c r="E149" s="115" t="inlineStr">
        <is>
          <t>센텀비치푸르지오</t>
        </is>
      </c>
      <c r="F149" s="289" t="n">
        <v>2003.08</v>
      </c>
      <c r="G149" s="289" t="n">
        <v>1082</v>
      </c>
      <c r="H149" s="289">
        <f>2026-F149+1</f>
        <v/>
      </c>
      <c r="I149" s="289" t="n"/>
      <c r="J149" s="289" t="n"/>
      <c r="K149" s="289" t="n">
        <v>132</v>
      </c>
      <c r="L149" s="289" t="n"/>
      <c r="M149" s="289" t="inlineStr">
        <is>
          <t>계단식</t>
        </is>
      </c>
      <c r="N149" s="289" t="n">
        <v>4</v>
      </c>
      <c r="O149" s="289" t="n">
        <v>2</v>
      </c>
      <c r="P149" s="289" t="n">
        <v>90</v>
      </c>
      <c r="Q149" s="289" t="n"/>
      <c r="R149" s="289" t="n"/>
      <c r="S149" s="458">
        <f>Q149-R149</f>
        <v/>
      </c>
      <c r="T149" s="323">
        <f>R149/Q149</f>
        <v/>
      </c>
      <c r="U149" s="289" t="n">
        <v>110000</v>
      </c>
      <c r="V149" s="289" t="n">
        <v>52000</v>
      </c>
      <c r="W149" s="289" t="n"/>
      <c r="X149" s="289" t="n"/>
      <c r="Y149" s="289" t="n"/>
      <c r="Z149" s="289" t="n"/>
      <c r="AA149" s="289" t="n"/>
      <c r="AB149" s="289" t="n"/>
      <c r="AC149" s="289" t="n"/>
      <c r="AG149" s="289" t="n"/>
      <c r="AH149" s="289" t="n"/>
      <c r="AI149" s="289" t="n"/>
      <c r="AJ149" s="289" t="n"/>
      <c r="AR149" s="289" t="n"/>
    </row>
    <row r="150">
      <c r="A150" s="289" t="inlineStr">
        <is>
          <t>민락동</t>
        </is>
      </c>
      <c r="B150" s="289" t="n"/>
      <c r="C150" s="289" t="n"/>
      <c r="D150" s="289" t="n">
        <v>9904</v>
      </c>
      <c r="E150" s="115" t="inlineStr">
        <is>
          <t>센텀비치푸르지오</t>
        </is>
      </c>
      <c r="F150" s="289" t="n">
        <v>2003.08</v>
      </c>
      <c r="G150" s="289" t="n">
        <v>1082</v>
      </c>
      <c r="H150" s="289">
        <f>2026-F150+1</f>
        <v/>
      </c>
      <c r="I150" s="289" t="n"/>
      <c r="J150" s="289" t="n">
        <v>183</v>
      </c>
      <c r="K150" s="289" t="n">
        <v>150</v>
      </c>
      <c r="L150" s="289" t="n">
        <v>55</v>
      </c>
      <c r="M150" s="289" t="inlineStr">
        <is>
          <t>계단식</t>
        </is>
      </c>
      <c r="N150" s="289" t="n">
        <v>5</v>
      </c>
      <c r="O150" s="289" t="n">
        <v>2</v>
      </c>
      <c r="P150" s="289" t="n">
        <v>124</v>
      </c>
      <c r="Q150" s="289" t="n"/>
      <c r="R150" s="289" t="n"/>
      <c r="S150" s="458">
        <f>Q150-R150</f>
        <v/>
      </c>
      <c r="T150" s="323">
        <f>R150/Q150</f>
        <v/>
      </c>
      <c r="U150" s="289" t="n">
        <v>116000</v>
      </c>
      <c r="V150" s="289" t="n">
        <v>103000</v>
      </c>
      <c r="W150" s="289" t="n"/>
      <c r="X150" s="289" t="n"/>
      <c r="Y150" s="289" t="n"/>
      <c r="Z150" s="289" t="n"/>
      <c r="AA150" s="289" t="n"/>
      <c r="AB150" s="289" t="n"/>
      <c r="AC150" s="289" t="n"/>
      <c r="AG150" s="289" t="n"/>
      <c r="AH150" s="289" t="n"/>
      <c r="AI150" s="289" t="n"/>
      <c r="AJ150" s="289" t="n"/>
      <c r="AR150" s="289" t="n"/>
    </row>
    <row r="151">
      <c r="A151" s="458" t="inlineStr">
        <is>
          <t>민락동</t>
        </is>
      </c>
      <c r="D151" s="458" t="n">
        <v>7888</v>
      </c>
      <c r="E151" s="114" t="inlineStr">
        <is>
          <t>진로비치1단지</t>
        </is>
      </c>
      <c r="F151" s="458" t="n">
        <v>1997.05</v>
      </c>
      <c r="G151" s="458" t="n">
        <v>352</v>
      </c>
      <c r="H151" s="458">
        <f>2026-F151+1</f>
        <v/>
      </c>
      <c r="J151" s="458" t="n">
        <v>158</v>
      </c>
      <c r="K151" s="458" t="n">
        <v>134</v>
      </c>
      <c r="L151" s="458" t="n">
        <v>48</v>
      </c>
      <c r="M151" s="458" t="inlineStr">
        <is>
          <t>계단식</t>
        </is>
      </c>
      <c r="N151" s="458" t="n">
        <v>4</v>
      </c>
      <c r="O151" s="458" t="n">
        <v>2</v>
      </c>
      <c r="P151" s="458" t="n">
        <v>60</v>
      </c>
      <c r="S151" s="458">
        <f>Q151-R151</f>
        <v/>
      </c>
      <c r="T151" s="323">
        <f>R151/Q151</f>
        <v/>
      </c>
      <c r="U151" s="458" t="n"/>
      <c r="V151" s="458" t="n">
        <v>48000</v>
      </c>
    </row>
    <row r="152">
      <c r="A152" s="458" t="inlineStr">
        <is>
          <t>수영동</t>
        </is>
      </c>
      <c r="B152" s="458" t="n"/>
      <c r="C152" s="458" t="n"/>
      <c r="D152" s="458" t="n">
        <v>10383</v>
      </c>
      <c r="E152" s="114" t="inlineStr">
        <is>
          <t>수영협성르네상스타운</t>
        </is>
      </c>
      <c r="F152" s="458" t="n">
        <v>2004.07</v>
      </c>
      <c r="G152" s="458" t="n">
        <v>684</v>
      </c>
      <c r="H152" s="458">
        <f>2026-F152+1</f>
        <v/>
      </c>
      <c r="I152" s="458" t="n"/>
      <c r="J152" s="458" t="n">
        <v>88</v>
      </c>
      <c r="K152" s="458" t="n">
        <v>59</v>
      </c>
      <c r="L152" s="458" t="n">
        <v>27</v>
      </c>
      <c r="M152" s="458" t="inlineStr">
        <is>
          <t>계단식</t>
        </is>
      </c>
      <c r="N152" s="458" t="n">
        <v>3</v>
      </c>
      <c r="O152" s="458" t="n">
        <v>2</v>
      </c>
      <c r="P152" s="458" t="n">
        <v>100</v>
      </c>
      <c r="Q152" s="458" t="n"/>
      <c r="R152" s="458" t="n"/>
      <c r="S152" s="458">
        <f>Q152-R152</f>
        <v/>
      </c>
      <c r="T152" s="323">
        <f>R152/Q152</f>
        <v/>
      </c>
      <c r="U152" s="458" t="n">
        <v>60000</v>
      </c>
      <c r="V152" s="458" t="n">
        <v>52000</v>
      </c>
      <c r="W152" s="458" t="n"/>
      <c r="X152" s="458" t="n"/>
      <c r="Y152" s="458" t="n"/>
      <c r="Z152" s="458" t="n"/>
      <c r="AA152" s="458" t="n"/>
      <c r="AB152" s="458" t="n"/>
      <c r="AC152" s="458" t="n"/>
      <c r="AG152" s="458" t="n"/>
      <c r="AH152" s="458" t="n"/>
      <c r="AI152" s="458" t="n"/>
      <c r="AJ152" s="458" t="n"/>
      <c r="AR152" s="458" t="n"/>
    </row>
    <row r="153">
      <c r="A153" s="458" t="inlineStr">
        <is>
          <t>수영동</t>
        </is>
      </c>
      <c r="B153" s="458" t="n"/>
      <c r="C153" s="458" t="n"/>
      <c r="D153" s="458" t="n">
        <v>10383</v>
      </c>
      <c r="E153" s="146" t="inlineStr">
        <is>
          <t>수영협성르네상스타운</t>
        </is>
      </c>
      <c r="F153" s="458" t="n">
        <v>2004.07</v>
      </c>
      <c r="G153" s="458" t="n">
        <v>684</v>
      </c>
      <c r="H153" s="458">
        <f>2026-F153+1</f>
        <v/>
      </c>
      <c r="I153" s="458" t="n"/>
      <c r="J153" s="458" t="n">
        <v>153</v>
      </c>
      <c r="K153" s="458" t="n">
        <v>126</v>
      </c>
      <c r="L153" s="458" t="n">
        <v>46</v>
      </c>
      <c r="M153" s="458" t="inlineStr">
        <is>
          <t>계단식</t>
        </is>
      </c>
      <c r="N153" s="458" t="n">
        <v>4</v>
      </c>
      <c r="O153" s="458" t="n">
        <v>2</v>
      </c>
      <c r="P153" s="458" t="n">
        <v>150</v>
      </c>
      <c r="Q153" s="458" t="n"/>
      <c r="R153" s="458" t="n"/>
      <c r="S153" s="458">
        <f>Q153-R153</f>
        <v/>
      </c>
      <c r="T153" s="323">
        <f>R153/Q153</f>
        <v/>
      </c>
      <c r="U153" s="458" t="n">
        <v>94500</v>
      </c>
      <c r="V153" s="458" t="n">
        <v>90000</v>
      </c>
      <c r="W153" s="458" t="n"/>
      <c r="X153" s="458" t="n"/>
      <c r="Y153" s="458" t="n"/>
      <c r="Z153" s="458" t="n"/>
      <c r="AA153" s="458" t="n"/>
      <c r="AB153" s="458" t="n"/>
      <c r="AC153" s="458" t="n"/>
      <c r="AG153" s="458" t="n"/>
      <c r="AH153" s="458" t="n"/>
      <c r="AI153" s="458" t="n"/>
      <c r="AJ153" s="458" t="n"/>
      <c r="AR153" s="458" t="n"/>
    </row>
    <row r="154">
      <c r="A154" s="458" t="inlineStr">
        <is>
          <t>수영동</t>
        </is>
      </c>
      <c r="B154" s="458" t="n"/>
      <c r="C154" s="458" t="n"/>
      <c r="D154" s="458" t="n">
        <v>10383</v>
      </c>
      <c r="E154" s="114" t="inlineStr">
        <is>
          <t>수영협성르네상스타운</t>
        </is>
      </c>
      <c r="F154" s="458" t="n">
        <v>2004.07</v>
      </c>
      <c r="G154" s="458" t="n">
        <v>684</v>
      </c>
      <c r="H154" s="458">
        <f>2026-F154+1</f>
        <v/>
      </c>
      <c r="I154" s="458" t="n"/>
      <c r="J154" s="458" t="n">
        <v>183</v>
      </c>
      <c r="K154" s="458" t="n">
        <v>154</v>
      </c>
      <c r="L154" s="458" t="n">
        <v>55</v>
      </c>
      <c r="M154" s="458" t="inlineStr">
        <is>
          <t>계단식</t>
        </is>
      </c>
      <c r="N154" s="458" t="n">
        <v>5</v>
      </c>
      <c r="O154" s="458" t="n">
        <v>2</v>
      </c>
      <c r="P154" s="458" t="n">
        <v>50</v>
      </c>
      <c r="Q154" s="458" t="n"/>
      <c r="R154" s="458" t="n"/>
      <c r="S154" s="458">
        <f>Q154-R154</f>
        <v/>
      </c>
      <c r="T154" s="323">
        <f>R154/Q154</f>
        <v/>
      </c>
      <c r="U154" s="458" t="n">
        <v>112000</v>
      </c>
      <c r="V154" s="458" t="n">
        <v>130000</v>
      </c>
      <c r="W154" s="458" t="n"/>
      <c r="X154" s="458" t="n"/>
      <c r="Y154" s="458" t="n"/>
      <c r="Z154" s="458" t="n"/>
      <c r="AA154" s="458" t="n"/>
      <c r="AB154" s="458" t="n"/>
      <c r="AC154" s="458" t="n"/>
      <c r="AG154" s="458" t="n"/>
      <c r="AH154" s="458" t="n"/>
      <c r="AI154" s="458" t="n"/>
      <c r="AJ154" s="458" t="n"/>
      <c r="AR154" s="458" t="n"/>
    </row>
    <row r="155">
      <c r="A155" s="289" t="inlineStr">
        <is>
          <t>수영동</t>
        </is>
      </c>
      <c r="B155" s="289" t="n"/>
      <c r="C155" s="289" t="n"/>
      <c r="D155" s="289" t="n">
        <v>7914</v>
      </c>
      <c r="E155" s="115" t="inlineStr">
        <is>
          <t>현대</t>
        </is>
      </c>
      <c r="F155" s="289" t="n">
        <v>1988.04</v>
      </c>
      <c r="G155" s="289" t="n">
        <v>1180</v>
      </c>
      <c r="H155" s="289">
        <f>2026-F155+1</f>
        <v/>
      </c>
      <c r="I155" s="289" t="n"/>
      <c r="J155" s="289" t="n">
        <v>82</v>
      </c>
      <c r="K155" s="289" t="n">
        <v>62</v>
      </c>
      <c r="L155" s="289" t="n">
        <v>25</v>
      </c>
      <c r="M155" s="289" t="inlineStr">
        <is>
          <t>계단식</t>
        </is>
      </c>
      <c r="N155" s="289" t="n">
        <v>3</v>
      </c>
      <c r="O155" s="289" t="n">
        <v>1</v>
      </c>
      <c r="P155" s="289" t="n">
        <v>23</v>
      </c>
      <c r="Q155" s="289" t="n"/>
      <c r="R155" s="289" t="n">
        <v>19000</v>
      </c>
      <c r="S155" s="458">
        <f>Q155-R155</f>
        <v/>
      </c>
      <c r="T155" s="323">
        <f>R155/Q155</f>
        <v/>
      </c>
      <c r="U155" s="289" t="n"/>
      <c r="V155" s="289" t="n"/>
      <c r="W155" s="289" t="n"/>
      <c r="X155" s="289" t="n"/>
      <c r="Y155" s="289" t="n"/>
      <c r="Z155" s="289" t="n"/>
      <c r="AA155" s="289" t="n"/>
      <c r="AB155" s="289" t="n"/>
      <c r="AC155" s="289" t="n"/>
      <c r="AG155" s="289" t="n"/>
      <c r="AH155" s="289" t="n"/>
      <c r="AI155" s="289" t="n"/>
      <c r="AJ155" s="289" t="n"/>
      <c r="AR155" s="289" t="n"/>
    </row>
    <row r="156">
      <c r="A156" s="289" t="inlineStr">
        <is>
          <t>수영동</t>
        </is>
      </c>
      <c r="B156" s="289" t="n"/>
      <c r="C156" s="289" t="n"/>
      <c r="D156" s="289" t="n">
        <v>7914</v>
      </c>
      <c r="E156" s="115" t="inlineStr">
        <is>
          <t>현대</t>
        </is>
      </c>
      <c r="F156" s="289" t="n">
        <v>1988.04</v>
      </c>
      <c r="G156" s="289" t="n">
        <v>1180</v>
      </c>
      <c r="H156" s="289">
        <f>2026-F156+1</f>
        <v/>
      </c>
      <c r="I156" s="289" t="n"/>
      <c r="J156" s="289" t="n">
        <v>145</v>
      </c>
      <c r="K156" s="289" t="n">
        <v>125</v>
      </c>
      <c r="L156" s="289" t="n">
        <v>44</v>
      </c>
      <c r="M156" s="289" t="inlineStr">
        <is>
          <t>계단식</t>
        </is>
      </c>
      <c r="N156" s="289" t="n">
        <v>4</v>
      </c>
      <c r="O156" s="289" t="n">
        <v>2</v>
      </c>
      <c r="P156" s="289" t="n">
        <v>120</v>
      </c>
      <c r="Q156" s="289" t="n"/>
      <c r="R156" s="289" t="n"/>
      <c r="S156" s="458">
        <f>Q156-R156</f>
        <v/>
      </c>
      <c r="T156" s="323">
        <f>R156/Q156</f>
        <v/>
      </c>
      <c r="U156" s="289" t="n"/>
      <c r="V156" s="289" t="n"/>
      <c r="W156" s="289" t="n"/>
      <c r="X156" s="289" t="n"/>
      <c r="Y156" s="289" t="n"/>
      <c r="Z156" s="289" t="n"/>
      <c r="AA156" s="289" t="n"/>
      <c r="AB156" s="289" t="n"/>
      <c r="AC156" s="289" t="n"/>
      <c r="AG156" s="289" t="n"/>
      <c r="AH156" s="289" t="n"/>
      <c r="AI156" s="289" t="n"/>
      <c r="AJ156" s="289" t="n"/>
      <c r="AR156" s="289" t="n"/>
    </row>
  </sheetData>
  <autoFilter ref="A4:AR4">
    <sortState ref="A5:AR156">
      <sortCondition descending="1" ref="Q4"/>
    </sortState>
  </autoFilter>
  <mergeCells count="2">
    <mergeCell ref="B3:C3"/>
    <mergeCell ref="AD3:AH3"/>
  </mergeCells>
  <conditionalFormatting sqref="AH1:AH4">
    <cfRule type="dataBar" priority="7">
      <dataBar>
        <cfvo type="min"/>
        <cfvo type="max"/>
        <color rgb="FF63C384"/>
      </dataBar>
    </cfRule>
  </conditionalFormatting>
  <conditionalFormatting sqref="B1">
    <cfRule type="cellIs" priority="5" operator="equal" dxfId="1">
      <formula>"중"</formula>
    </cfRule>
    <cfRule type="cellIs" priority="6" operator="equal" dxfId="0">
      <formula>"상"</formula>
    </cfRule>
  </conditionalFormatting>
  <conditionalFormatting sqref="C1:D1">
    <cfRule type="cellIs" priority="3" operator="equal" dxfId="1">
      <formula>"중"</formula>
    </cfRule>
    <cfRule type="cellIs" priority="4" operator="equal" dxfId="0">
      <formula>"상"</formula>
    </cfRule>
  </conditionalFormatting>
  <conditionalFormatting sqref="B2">
    <cfRule type="cellIs" priority="1" operator="equal" dxfId="1">
      <formula>"중"</formula>
    </cfRule>
    <cfRule type="cellIs" priority="2" operator="equal" dxfId="0">
      <formula>"상"</formula>
    </cfRule>
  </conditionalFormatting>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s>
  <pageMargins left="0.7" right="0.7" top="0.75" bottom="0.75" header="0.3" footer="0.3"/>
  <pageSetup orientation="portrait" paperSize="9" horizontalDpi="360" verticalDpi="360"/>
</worksheet>
</file>

<file path=xl/worksheets/sheet6.xml><?xml version="1.0" encoding="utf-8"?>
<worksheet xmlns="http://schemas.openxmlformats.org/spreadsheetml/2006/main">
  <sheetPr>
    <outlinePr summaryBelow="1" summaryRight="1"/>
    <pageSetUpPr/>
  </sheetPr>
  <dimension ref="A1:AN301"/>
  <sheetViews>
    <sheetView workbookViewId="0">
      <selection activeCell="A1" sqref="A1"/>
    </sheetView>
  </sheetViews>
  <sheetFormatPr baseColWidth="8" defaultRowHeight="14"/>
  <cols>
    <col width="8.7265625" customWidth="1" style="476" min="1" max="1"/>
    <col width="7.81640625" customWidth="1" style="476" min="2" max="2"/>
    <col width="9.453125" customWidth="1" style="476" min="3" max="4"/>
    <col width="33.453125" customWidth="1" style="476" min="5" max="5"/>
    <col width="9.54296875" customWidth="1" style="476" min="6" max="6"/>
    <col width="7.81640625" customWidth="1" style="476" min="7" max="7"/>
    <col width="5.90625" customWidth="1" style="476" min="8" max="8"/>
    <col width="6.7265625" customWidth="1" style="476" min="9" max="9"/>
    <col width="13" customWidth="1" style="476" min="10" max="10"/>
    <col width="5.453125" customWidth="1" style="476" min="11" max="11"/>
    <col width="6.6328125" customWidth="1" style="476" min="12" max="12"/>
    <col width="5.08984375" customWidth="1" style="476" min="13" max="13"/>
    <col width="7.08984375" customWidth="1" style="476" min="14" max="14"/>
    <col width="6.6328125" customWidth="1" style="476" min="15" max="15"/>
    <col width="5" customWidth="1" style="476" min="16" max="16"/>
    <col width="11" customWidth="1" style="476" min="17" max="17"/>
    <col width="13" customWidth="1" style="476" min="18" max="18"/>
    <col width="9.81640625" customWidth="1" style="476" min="19" max="20"/>
    <col width="9.6328125" customWidth="1" style="476" min="21" max="21"/>
    <col width="13" customWidth="1" style="476" min="22" max="22"/>
    <col width="6.90625" customWidth="1" style="476" min="23" max="23"/>
    <col width="3.90625" customWidth="1" style="476" min="24" max="24"/>
    <col width="13" customWidth="1" style="476" min="25" max="25"/>
    <col width="5.7265625" customWidth="1" style="476" min="26" max="26"/>
    <col width="9.81640625" customWidth="1" style="476" min="27" max="27"/>
    <col width="10.26953125" customWidth="1" style="476" min="28" max="28"/>
    <col width="5.90625" customWidth="1" style="476" min="29" max="29"/>
    <col width="9.81640625" customWidth="1" style="476" min="30" max="30"/>
    <col width="13" customWidth="1" style="476" min="31" max="32"/>
    <col width="7.81640625" customWidth="1" style="476" min="33" max="33"/>
    <col width="9.81640625" customWidth="1" style="476" min="34" max="35"/>
    <col width="13" customWidth="1" style="476" min="36" max="36"/>
    <col width="7.81640625" customWidth="1" style="476" min="37" max="37"/>
    <col width="13" customWidth="1" style="476" min="38" max="38"/>
    <col width="8.7265625" customWidth="1" style="476" min="39" max="39"/>
    <col width="11.1796875" customWidth="1" style="476" min="40" max="40"/>
    <col width="8.7265625" customWidth="1" style="476" min="41" max="41"/>
    <col width="13" customWidth="1" style="476" min="42" max="47"/>
    <col width="8.453125" customWidth="1" style="476" min="48" max="48"/>
  </cols>
  <sheetData>
    <row r="1">
      <c r="B1" s="163" t="inlineStr">
        <is>
          <t>상</t>
        </is>
      </c>
      <c r="C1" s="13" t="inlineStr">
        <is>
          <t>중</t>
        </is>
      </c>
      <c r="D1" s="160" t="n"/>
      <c r="AH1" s="231" t="n"/>
      <c r="AM1" s="238" t="n"/>
    </row>
    <row r="2">
      <c r="B2" s="163" t="inlineStr">
        <is>
          <t>하</t>
        </is>
      </c>
      <c r="C2" s="163" t="n"/>
      <c r="AH2" s="231" t="n"/>
      <c r="AM2" s="238" t="n"/>
    </row>
    <row r="3">
      <c r="A3" s="221" t="n">
        <v>84</v>
      </c>
      <c r="B3" s="448" t="inlineStr">
        <is>
          <t>선호도</t>
        </is>
      </c>
      <c r="C3" s="445" t="n"/>
      <c r="D3" s="256" t="n"/>
      <c r="E3" s="257" t="inlineStr">
        <is>
          <t>단지정보 (30평)</t>
        </is>
      </c>
      <c r="F3" s="258" t="n"/>
      <c r="G3" s="258" t="n"/>
      <c r="H3" s="258" t="n"/>
      <c r="I3" s="258" t="n"/>
      <c r="J3" s="258" t="n"/>
      <c r="K3" s="258" t="n"/>
      <c r="L3" s="258" t="n"/>
      <c r="M3" s="258" t="n"/>
      <c r="N3" s="258" t="n"/>
      <c r="O3" s="258" t="n"/>
      <c r="P3" s="258" t="n"/>
      <c r="Q3" s="259" t="n"/>
      <c r="R3" s="259" t="n"/>
      <c r="S3" s="258" t="n"/>
      <c r="T3" s="258" t="n"/>
      <c r="U3" s="258" t="n"/>
      <c r="V3" s="258" t="n"/>
      <c r="W3" s="258" t="n"/>
      <c r="X3" s="258" t="n"/>
      <c r="Y3" s="258" t="n"/>
      <c r="Z3" s="258" t="n"/>
      <c r="AA3" s="258" t="n"/>
      <c r="AB3" s="258" t="n"/>
      <c r="AC3" s="258" t="n"/>
      <c r="AD3" s="258" t="n"/>
      <c r="AE3" s="258" t="n"/>
      <c r="AF3" s="258" t="n"/>
      <c r="AG3" s="258" t="n"/>
      <c r="AH3" s="447" t="inlineStr">
        <is>
          <t>투자결과</t>
        </is>
      </c>
      <c r="AI3" s="443" t="n"/>
      <c r="AJ3" s="443" t="n"/>
      <c r="AK3" s="443" t="n"/>
      <c r="AL3" s="445" t="n"/>
    </row>
    <row r="4" ht="17" customHeight="1" s="476">
      <c r="B4" s="165" t="inlineStr">
        <is>
          <t>생활권</t>
        </is>
      </c>
      <c r="C4" s="166" t="inlineStr">
        <is>
          <t>생활권 내</t>
        </is>
      </c>
      <c r="D4" s="231" t="inlineStr">
        <is>
          <t>단지코드</t>
        </is>
      </c>
      <c r="E4" s="231" t="inlineStr">
        <is>
          <t>단지명</t>
        </is>
      </c>
      <c r="F4" s="231" t="inlineStr">
        <is>
          <t>사용승인일</t>
        </is>
      </c>
      <c r="G4" s="231" t="inlineStr">
        <is>
          <t>총세대수</t>
        </is>
      </c>
      <c r="H4" s="22" t="inlineStr">
        <is>
          <t>나이</t>
        </is>
      </c>
      <c r="I4" s="68" t="inlineStr">
        <is>
          <t>타입</t>
        </is>
      </c>
      <c r="J4" s="68" t="inlineStr">
        <is>
          <t>공급면적</t>
        </is>
      </c>
      <c r="K4" s="167" t="inlineStr">
        <is>
          <t>전용면적</t>
        </is>
      </c>
      <c r="L4" s="167" t="inlineStr">
        <is>
          <t>평형</t>
        </is>
      </c>
      <c r="M4" s="231" t="inlineStr">
        <is>
          <t>구조</t>
        </is>
      </c>
      <c r="N4" s="231" t="inlineStr">
        <is>
          <t>방수</t>
        </is>
      </c>
      <c r="O4" s="231" t="inlineStr">
        <is>
          <t>욕실수</t>
        </is>
      </c>
      <c r="P4" s="231" t="inlineStr">
        <is>
          <t>평형별 세대수</t>
        </is>
      </c>
      <c r="Q4" s="260" t="inlineStr">
        <is>
          <t>매</t>
        </is>
      </c>
      <c r="R4" s="260" t="inlineStr">
        <is>
          <t>전</t>
        </is>
      </c>
      <c r="S4" s="167" t="inlineStr">
        <is>
          <t>차</t>
        </is>
      </c>
      <c r="T4" s="167" t="inlineStr">
        <is>
          <t>전세가율</t>
        </is>
      </c>
      <c r="U4" s="167" t="inlineStr">
        <is>
          <t>전고</t>
        </is>
      </c>
      <c r="V4" s="167" t="inlineStr">
        <is>
          <t>전저</t>
        </is>
      </c>
      <c r="W4" s="57" t="inlineStr">
        <is>
          <t>계/복</t>
        </is>
      </c>
      <c r="X4" s="167" t="inlineStr">
        <is>
          <t>방</t>
        </is>
      </c>
      <c r="Y4" s="167" t="inlineStr">
        <is>
          <t>화</t>
        </is>
      </c>
      <c r="Z4" s="167" t="inlineStr">
        <is>
          <t>면적세대수</t>
        </is>
      </c>
      <c r="AA4" s="221" t="inlineStr">
        <is>
          <t>시기(년)</t>
        </is>
      </c>
      <c r="AB4" s="238" t="inlineStr">
        <is>
          <t>(전세가율80%이상인)기간</t>
        </is>
      </c>
      <c r="AC4" s="221" t="inlineStr">
        <is>
          <t>평형</t>
        </is>
      </c>
      <c r="AD4" s="221" t="inlineStr">
        <is>
          <t>매매가</t>
        </is>
      </c>
      <c r="AE4" s="221" t="inlineStr">
        <is>
          <t>전세가</t>
        </is>
      </c>
      <c r="AF4" s="221" t="inlineStr">
        <is>
          <t>전세가율</t>
        </is>
      </c>
      <c r="AG4" s="24" t="inlineStr">
        <is>
          <t>투자금</t>
        </is>
      </c>
      <c r="AH4" s="165" t="inlineStr">
        <is>
          <t>시기(년)</t>
        </is>
      </c>
      <c r="AI4" s="165" t="inlineStr">
        <is>
          <t>매매가</t>
        </is>
      </c>
      <c r="AJ4" s="165" t="inlineStr">
        <is>
          <t>수익금</t>
        </is>
      </c>
      <c r="AK4" s="261" t="inlineStr">
        <is>
          <t>상승율</t>
        </is>
      </c>
      <c r="AL4" s="262" t="inlineStr">
        <is>
          <t>수익율</t>
        </is>
      </c>
      <c r="AN4" s="14" t="n"/>
    </row>
    <row r="5">
      <c r="A5" s="263" t="inlineStr">
        <is>
          <t>가음동</t>
        </is>
      </c>
      <c r="B5" s="263" t="n"/>
      <c r="C5" s="263" t="n"/>
      <c r="D5" s="263" t="n">
        <v>16761</v>
      </c>
      <c r="E5" s="264" t="inlineStr">
        <is>
          <t>은아</t>
        </is>
      </c>
      <c r="F5" s="263" t="n">
        <v>1987.12</v>
      </c>
      <c r="G5" s="263" t="n">
        <v>500</v>
      </c>
      <c r="H5" s="263">
        <f>2026-F5+1</f>
        <v/>
      </c>
      <c r="I5" s="263" t="n"/>
      <c r="J5" s="263" t="n">
        <v>59</v>
      </c>
      <c r="K5" s="263" t="n">
        <v>49</v>
      </c>
      <c r="L5" s="263" t="n">
        <v>18</v>
      </c>
      <c r="M5" s="263" t="inlineStr">
        <is>
          <t>계단식</t>
        </is>
      </c>
      <c r="N5" s="263" t="n">
        <v>2</v>
      </c>
      <c r="O5" s="263" t="n">
        <v>1</v>
      </c>
      <c r="P5" s="263" t="n">
        <v>500</v>
      </c>
      <c r="Q5" s="263" t="n"/>
      <c r="R5" s="263" t="n"/>
      <c r="S5" s="263" t="n"/>
      <c r="T5" s="263" t="n"/>
      <c r="U5" s="263" t="n">
        <v>2.9</v>
      </c>
      <c r="V5" s="263" t="n">
        <v>1.9</v>
      </c>
      <c r="W5" s="263" t="n"/>
      <c r="X5" s="263" t="n"/>
      <c r="Y5" s="263" t="n"/>
      <c r="Z5" s="263" t="n"/>
      <c r="AA5" s="263" t="n"/>
      <c r="AB5" s="263" t="n"/>
      <c r="AC5" s="263" t="n"/>
      <c r="AD5" s="263" t="n"/>
      <c r="AE5" s="263" t="n"/>
      <c r="AF5" s="263" t="n"/>
      <c r="AG5" s="263" t="n"/>
      <c r="AH5" s="263" t="n"/>
      <c r="AI5" s="263" t="n"/>
      <c r="AJ5" s="263" t="n"/>
      <c r="AK5" s="263" t="n"/>
      <c r="AL5" s="263" t="n"/>
    </row>
    <row r="6">
      <c r="A6" s="458" t="inlineStr">
        <is>
          <t>가음동</t>
        </is>
      </c>
      <c r="D6" s="458" t="n">
        <v>112175</v>
      </c>
      <c r="E6" s="265" t="inlineStr">
        <is>
          <t>창원가음정한림풀에버</t>
        </is>
      </c>
      <c r="F6" s="458" t="n">
        <v>2014.07</v>
      </c>
      <c r="G6" s="458" t="n">
        <v>266</v>
      </c>
      <c r="H6" s="458">
        <f>2026-F6+1</f>
        <v/>
      </c>
      <c r="J6" s="458" t="n">
        <v>90</v>
      </c>
      <c r="K6" s="458" t="n">
        <v>64</v>
      </c>
      <c r="L6" s="458" t="n">
        <v>27</v>
      </c>
      <c r="M6" s="458" t="inlineStr">
        <is>
          <t>계단식</t>
        </is>
      </c>
      <c r="N6" s="458" t="n">
        <v>3</v>
      </c>
      <c r="O6" s="458" t="n">
        <v>2</v>
      </c>
      <c r="P6" s="458" t="n">
        <v>78</v>
      </c>
      <c r="U6" s="458" t="n">
        <v>5.7</v>
      </c>
      <c r="V6" s="458" t="n">
        <v>4.23</v>
      </c>
    </row>
    <row r="7">
      <c r="A7" s="458" t="inlineStr">
        <is>
          <t>가음동</t>
        </is>
      </c>
      <c r="D7" s="458" t="n">
        <v>112175</v>
      </c>
      <c r="E7" s="265" t="inlineStr">
        <is>
          <t>창원가음정한림풀에버</t>
        </is>
      </c>
      <c r="F7" s="458" t="n">
        <v>2014.07</v>
      </c>
      <c r="G7" s="458" t="n">
        <v>266</v>
      </c>
      <c r="H7" s="458">
        <f>2026-F7+1</f>
        <v/>
      </c>
      <c r="J7" s="458" t="n">
        <v>112</v>
      </c>
      <c r="K7" s="458" t="n">
        <v>84</v>
      </c>
      <c r="L7" s="458" t="n">
        <v>34</v>
      </c>
      <c r="M7" s="458" t="inlineStr">
        <is>
          <t>계단식</t>
        </is>
      </c>
      <c r="N7" s="458" t="n">
        <v>3</v>
      </c>
      <c r="O7" s="458" t="n">
        <v>2</v>
      </c>
      <c r="P7" s="458" t="n">
        <v>188</v>
      </c>
      <c r="U7" s="458" t="n">
        <v>6.3</v>
      </c>
      <c r="V7" s="458" t="n">
        <v>5.02</v>
      </c>
    </row>
    <row r="8">
      <c r="A8" s="263" t="inlineStr">
        <is>
          <t>가음동</t>
        </is>
      </c>
      <c r="B8" s="263" t="n"/>
      <c r="C8" s="263" t="n"/>
      <c r="D8" s="263" t="n">
        <v>109672</v>
      </c>
      <c r="E8" s="264" t="inlineStr">
        <is>
          <t>창원가음한화꿈에그린</t>
        </is>
      </c>
      <c r="F8" s="263" t="n">
        <v>2017.07</v>
      </c>
      <c r="G8" s="263" t="n">
        <v>749</v>
      </c>
      <c r="H8" s="263">
        <f>2026-F8+1</f>
        <v/>
      </c>
      <c r="I8" s="263" t="n"/>
      <c r="J8" s="263" t="n">
        <v>79</v>
      </c>
      <c r="K8" s="263" t="n">
        <v>59</v>
      </c>
      <c r="L8" s="263" t="n">
        <v>24</v>
      </c>
      <c r="M8" s="263" t="inlineStr">
        <is>
          <t>계단식</t>
        </is>
      </c>
      <c r="N8" s="263" t="n">
        <v>3</v>
      </c>
      <c r="O8" s="263" t="n">
        <v>2</v>
      </c>
      <c r="P8" s="263" t="n">
        <v>88</v>
      </c>
      <c r="Q8" s="263" t="n"/>
      <c r="R8" s="263" t="n"/>
      <c r="S8" s="263" t="n"/>
      <c r="T8" s="263" t="n"/>
      <c r="U8" s="263" t="n">
        <v>5.9</v>
      </c>
      <c r="V8" s="263" t="n">
        <v>4.28</v>
      </c>
      <c r="W8" s="263" t="n"/>
      <c r="X8" s="263" t="n"/>
      <c r="Y8" s="263" t="n"/>
      <c r="Z8" s="263" t="n"/>
      <c r="AA8" s="263" t="n"/>
      <c r="AB8" s="263" t="n"/>
      <c r="AC8" s="263" t="n"/>
      <c r="AD8" s="263" t="n"/>
      <c r="AE8" s="263" t="n"/>
      <c r="AF8" s="263" t="n"/>
      <c r="AG8" s="263" t="n"/>
      <c r="AH8" s="263" t="n"/>
      <c r="AI8" s="263" t="n"/>
      <c r="AJ8" s="263" t="n"/>
      <c r="AK8" s="263" t="n"/>
      <c r="AL8" s="263" t="n"/>
    </row>
    <row r="9">
      <c r="A9" s="263" t="inlineStr">
        <is>
          <t>가음동</t>
        </is>
      </c>
      <c r="B9" s="263" t="n"/>
      <c r="C9" s="263" t="n"/>
      <c r="D9" s="263" t="n">
        <v>109672</v>
      </c>
      <c r="E9" s="264" t="inlineStr">
        <is>
          <t>창원가음한화꿈에그린</t>
        </is>
      </c>
      <c r="F9" s="263" t="n">
        <v>2017.07</v>
      </c>
      <c r="G9" s="263" t="n">
        <v>749</v>
      </c>
      <c r="H9" s="263">
        <f>2026-F9+1</f>
        <v/>
      </c>
      <c r="I9" s="263" t="n"/>
      <c r="J9" s="263" t="n">
        <v>94</v>
      </c>
      <c r="K9" s="263" t="n">
        <v>70</v>
      </c>
      <c r="L9" s="263" t="n">
        <v>28</v>
      </c>
      <c r="M9" s="263" t="inlineStr">
        <is>
          <t>계단식</t>
        </is>
      </c>
      <c r="N9" s="263" t="n">
        <v>3</v>
      </c>
      <c r="O9" s="263" t="n">
        <v>2</v>
      </c>
      <c r="P9" s="263" t="n">
        <v>54</v>
      </c>
      <c r="Q9" s="263" t="n"/>
      <c r="R9" s="263" t="n"/>
      <c r="S9" s="263" t="n"/>
      <c r="T9" s="263" t="n"/>
      <c r="U9" s="263" t="n">
        <v>5.99</v>
      </c>
      <c r="V9" s="263" t="n">
        <v>4.8</v>
      </c>
      <c r="W9" s="263" t="n"/>
      <c r="X9" s="263" t="n"/>
      <c r="Y9" s="263" t="n"/>
      <c r="Z9" s="263" t="n"/>
      <c r="AA9" s="263" t="n"/>
      <c r="AB9" s="263" t="n"/>
      <c r="AC9" s="263" t="n"/>
      <c r="AD9" s="263" t="n"/>
      <c r="AE9" s="263" t="n"/>
      <c r="AF9" s="263" t="n"/>
      <c r="AG9" s="263" t="n"/>
      <c r="AH9" s="263" t="n"/>
      <c r="AI9" s="263" t="n"/>
      <c r="AJ9" s="263" t="n"/>
      <c r="AK9" s="263" t="n"/>
      <c r="AL9" s="263" t="n"/>
    </row>
    <row r="10">
      <c r="A10" s="263" t="inlineStr">
        <is>
          <t>가음동</t>
        </is>
      </c>
      <c r="B10" s="263" t="n"/>
      <c r="C10" s="263" t="n"/>
      <c r="D10" s="263" t="n">
        <v>109672</v>
      </c>
      <c r="E10" s="264" t="inlineStr">
        <is>
          <t>창원가음한화꿈에그린</t>
        </is>
      </c>
      <c r="F10" s="263" t="n">
        <v>2017.07</v>
      </c>
      <c r="G10" s="263" t="n">
        <v>749</v>
      </c>
      <c r="H10" s="263">
        <f>2026-F10+1</f>
        <v/>
      </c>
      <c r="I10" s="263" t="n"/>
      <c r="J10" s="263" t="n">
        <v>112</v>
      </c>
      <c r="K10" s="263" t="n">
        <v>84</v>
      </c>
      <c r="L10" s="263" t="n">
        <v>34</v>
      </c>
      <c r="M10" s="263" t="inlineStr">
        <is>
          <t>계단식</t>
        </is>
      </c>
      <c r="N10" s="263" t="n">
        <v>3</v>
      </c>
      <c r="O10" s="263" t="n">
        <v>2</v>
      </c>
      <c r="P10" s="263" t="n">
        <v>495</v>
      </c>
      <c r="Q10" s="263" t="n"/>
      <c r="R10" s="263" t="n"/>
      <c r="S10" s="263" t="n"/>
      <c r="T10" s="263" t="n"/>
      <c r="U10" s="263" t="n">
        <v>7.75</v>
      </c>
      <c r="V10" s="263" t="n">
        <v>5.2</v>
      </c>
      <c r="W10" s="263" t="n"/>
      <c r="X10" s="263" t="n"/>
      <c r="Y10" s="263" t="n"/>
      <c r="Z10" s="263" t="n"/>
      <c r="AA10" s="263" t="n"/>
      <c r="AB10" s="263" t="n"/>
      <c r="AC10" s="263" t="n"/>
      <c r="AD10" s="263" t="n"/>
      <c r="AE10" s="263" t="n"/>
      <c r="AF10" s="263" t="n"/>
      <c r="AG10" s="263" t="n"/>
      <c r="AH10" s="263" t="n"/>
      <c r="AI10" s="263" t="n"/>
      <c r="AJ10" s="263" t="n"/>
      <c r="AK10" s="263" t="n"/>
      <c r="AL10" s="263" t="n"/>
    </row>
    <row r="11">
      <c r="A11" s="263" t="inlineStr">
        <is>
          <t>가음동</t>
        </is>
      </c>
      <c r="B11" s="263" t="n"/>
      <c r="C11" s="263" t="n"/>
      <c r="D11" s="263" t="n">
        <v>109672</v>
      </c>
      <c r="E11" s="264" t="inlineStr">
        <is>
          <t>창원가음한화꿈에그린</t>
        </is>
      </c>
      <c r="F11" s="263" t="n">
        <v>2017.07</v>
      </c>
      <c r="G11" s="263" t="n">
        <v>749</v>
      </c>
      <c r="H11" s="263">
        <f>2026-F11+1</f>
        <v/>
      </c>
      <c r="I11" s="263" t="n"/>
      <c r="J11" s="263" t="n">
        <v>131</v>
      </c>
      <c r="K11" s="263" t="n">
        <v>100</v>
      </c>
      <c r="L11" s="263" t="n">
        <v>40</v>
      </c>
      <c r="M11" s="263" t="inlineStr">
        <is>
          <t>계단식</t>
        </is>
      </c>
      <c r="N11" s="263" t="n">
        <v>4</v>
      </c>
      <c r="O11" s="263" t="n">
        <v>2</v>
      </c>
      <c r="P11" s="263" t="n">
        <v>85</v>
      </c>
      <c r="Q11" s="263" t="n"/>
      <c r="R11" s="263" t="n"/>
      <c r="S11" s="263" t="n"/>
      <c r="T11" s="263" t="n"/>
      <c r="U11" s="263" t="n">
        <v>8.6</v>
      </c>
      <c r="V11" s="263" t="n">
        <v>6.25</v>
      </c>
      <c r="W11" s="263" t="n"/>
      <c r="X11" s="263" t="n"/>
      <c r="Y11" s="263" t="n"/>
      <c r="Z11" s="263" t="n"/>
      <c r="AA11" s="263" t="n"/>
      <c r="AB11" s="263" t="n"/>
      <c r="AC11" s="263" t="n"/>
      <c r="AD11" s="263" t="n"/>
      <c r="AE11" s="263" t="n"/>
      <c r="AF11" s="263" t="n"/>
      <c r="AG11" s="263" t="n"/>
      <c r="AH11" s="263" t="n"/>
      <c r="AI11" s="263" t="n"/>
      <c r="AJ11" s="263" t="n"/>
      <c r="AK11" s="263" t="n"/>
      <c r="AL11" s="263" t="n"/>
    </row>
    <row r="12">
      <c r="A12" s="263" t="inlineStr">
        <is>
          <t>가음동</t>
        </is>
      </c>
      <c r="B12" s="263" t="n"/>
      <c r="C12" s="263" t="n"/>
      <c r="D12" s="263" t="n">
        <v>109672</v>
      </c>
      <c r="E12" s="264" t="inlineStr">
        <is>
          <t>창원가음한화꿈에그린</t>
        </is>
      </c>
      <c r="F12" s="263" t="n">
        <v>2017.07</v>
      </c>
      <c r="G12" s="263" t="n">
        <v>749</v>
      </c>
      <c r="H12" s="263">
        <f>2026-F12+1</f>
        <v/>
      </c>
      <c r="I12" s="263" t="n"/>
      <c r="J12" s="263" t="n">
        <v>144</v>
      </c>
      <c r="K12" s="263" t="n">
        <v>110</v>
      </c>
      <c r="L12" s="263" t="n">
        <v>44</v>
      </c>
      <c r="M12" s="263" t="inlineStr">
        <is>
          <t>계단식</t>
        </is>
      </c>
      <c r="N12" s="263" t="n">
        <v>4</v>
      </c>
      <c r="O12" s="263" t="n">
        <v>2</v>
      </c>
      <c r="P12" s="263" t="n">
        <v>27</v>
      </c>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row>
    <row r="13">
      <c r="A13" s="458" t="inlineStr">
        <is>
          <t>가음동</t>
        </is>
      </c>
      <c r="D13" s="458" t="n">
        <v>109271</v>
      </c>
      <c r="E13" s="265" t="inlineStr">
        <is>
          <t>창원더샵센트럴파크1단지</t>
        </is>
      </c>
      <c r="F13" s="458" t="n">
        <v>2017.04</v>
      </c>
      <c r="G13" s="458" t="n">
        <v>386</v>
      </c>
      <c r="H13" s="458">
        <f>2026-F13+1</f>
        <v/>
      </c>
      <c r="J13" s="458" t="n">
        <v>107</v>
      </c>
      <c r="K13" s="458" t="n">
        <v>84</v>
      </c>
      <c r="L13" s="458" t="n">
        <v>32</v>
      </c>
      <c r="M13" s="458" t="inlineStr">
        <is>
          <t>계단식</t>
        </is>
      </c>
      <c r="N13" s="458" t="n">
        <v>3</v>
      </c>
      <c r="O13" s="458" t="n">
        <v>2</v>
      </c>
      <c r="P13" s="458" t="n">
        <v>196</v>
      </c>
      <c r="U13" s="458" t="n">
        <v>7.6</v>
      </c>
      <c r="V13" s="458" t="n">
        <v>5.1</v>
      </c>
    </row>
    <row r="14">
      <c r="A14" s="458" t="inlineStr">
        <is>
          <t>가음동</t>
        </is>
      </c>
      <c r="D14" s="458" t="n">
        <v>109271</v>
      </c>
      <c r="E14" s="265" t="inlineStr">
        <is>
          <t>창원더샵센트럴파크1단지</t>
        </is>
      </c>
      <c r="F14" s="458" t="n">
        <v>2017.04</v>
      </c>
      <c r="G14" s="458" t="n">
        <v>386</v>
      </c>
      <c r="H14" s="458">
        <f>2026-F14+1</f>
        <v/>
      </c>
      <c r="J14" s="458" t="n">
        <v>125</v>
      </c>
      <c r="K14" s="458" t="n">
        <v>98</v>
      </c>
      <c r="L14" s="458" t="n">
        <v>38</v>
      </c>
      <c r="M14" s="458" t="inlineStr">
        <is>
          <t>계단식</t>
        </is>
      </c>
      <c r="N14" s="458" t="n">
        <v>4</v>
      </c>
      <c r="O14" s="458" t="n">
        <v>2</v>
      </c>
      <c r="P14" s="458" t="n">
        <v>98</v>
      </c>
      <c r="U14" s="458" t="n">
        <v>7.8</v>
      </c>
      <c r="V14" s="458" t="n">
        <v>6.06</v>
      </c>
    </row>
    <row r="15">
      <c r="A15" s="458" t="inlineStr">
        <is>
          <t>가음동</t>
        </is>
      </c>
      <c r="D15" s="458" t="n">
        <v>109271</v>
      </c>
      <c r="E15" s="265" t="inlineStr">
        <is>
          <t>창원더샵센트럴파크1단지</t>
        </is>
      </c>
      <c r="F15" s="458" t="n">
        <v>2017.04</v>
      </c>
      <c r="G15" s="458" t="n">
        <v>386</v>
      </c>
      <c r="H15" s="458">
        <f>2026-F15+1</f>
        <v/>
      </c>
      <c r="J15" s="458" t="n">
        <v>147</v>
      </c>
      <c r="K15" s="458" t="n">
        <v>117</v>
      </c>
      <c r="L15" s="458" t="n">
        <v>44</v>
      </c>
      <c r="M15" s="458" t="inlineStr">
        <is>
          <t>계단식</t>
        </is>
      </c>
      <c r="N15" s="458" t="n">
        <v>4</v>
      </c>
      <c r="O15" s="458" t="n">
        <v>2</v>
      </c>
      <c r="P15" s="458" t="n">
        <v>92</v>
      </c>
      <c r="U15" s="458" t="n">
        <v>9</v>
      </c>
      <c r="V15" s="458" t="n">
        <v>7.98</v>
      </c>
    </row>
    <row r="16">
      <c r="A16" s="263" t="inlineStr">
        <is>
          <t>가음동</t>
        </is>
      </c>
      <c r="B16" s="263" t="n"/>
      <c r="C16" s="263" t="n"/>
      <c r="D16" s="263" t="n">
        <v>109272</v>
      </c>
      <c r="E16" s="264" t="inlineStr">
        <is>
          <t>창원더샵센트럴파크2단지</t>
        </is>
      </c>
      <c r="F16" s="263" t="n">
        <v>2017.04</v>
      </c>
      <c r="G16" s="263" t="n">
        <v>624</v>
      </c>
      <c r="H16" s="263">
        <f>2026-F16+1</f>
        <v/>
      </c>
      <c r="I16" s="263" t="n"/>
      <c r="J16" s="263" t="n">
        <v>78</v>
      </c>
      <c r="K16" s="263" t="n">
        <v>59</v>
      </c>
      <c r="L16" s="263" t="n">
        <v>24</v>
      </c>
      <c r="M16" s="263" t="inlineStr">
        <is>
          <t>계단식</t>
        </is>
      </c>
      <c r="N16" s="263" t="n">
        <v>3</v>
      </c>
      <c r="O16" s="263" t="n">
        <v>2</v>
      </c>
      <c r="P16" s="263" t="n">
        <v>100</v>
      </c>
      <c r="Q16" s="263" t="n"/>
      <c r="R16" s="263" t="n"/>
      <c r="S16" s="263" t="n"/>
      <c r="T16" s="263" t="n"/>
      <c r="U16" s="263" t="n">
        <v>5.89</v>
      </c>
      <c r="V16" s="263" t="n">
        <v>4.55</v>
      </c>
      <c r="W16" s="263" t="n"/>
      <c r="X16" s="263" t="n"/>
      <c r="Y16" s="263" t="n"/>
      <c r="Z16" s="263" t="n"/>
      <c r="AA16" s="263" t="n"/>
      <c r="AB16" s="263" t="n"/>
      <c r="AC16" s="263" t="n"/>
      <c r="AD16" s="263" t="n"/>
      <c r="AE16" s="263" t="n"/>
      <c r="AF16" s="263" t="n"/>
      <c r="AG16" s="263" t="n"/>
      <c r="AH16" s="263" t="n"/>
      <c r="AI16" s="263" t="n"/>
      <c r="AJ16" s="263" t="n"/>
      <c r="AK16" s="263" t="n"/>
      <c r="AL16" s="263" t="n"/>
    </row>
    <row r="17">
      <c r="A17" s="263" t="inlineStr">
        <is>
          <t>가음동</t>
        </is>
      </c>
      <c r="B17" s="263" t="n"/>
      <c r="C17" s="263" t="n"/>
      <c r="D17" s="263" t="n">
        <v>109272</v>
      </c>
      <c r="E17" s="264" t="inlineStr">
        <is>
          <t>창원더샵센트럴파크2단지</t>
        </is>
      </c>
      <c r="F17" s="263" t="n">
        <v>2017.04</v>
      </c>
      <c r="G17" s="263" t="n">
        <v>624</v>
      </c>
      <c r="H17" s="263">
        <f>2026-F17+1</f>
        <v/>
      </c>
      <c r="I17" s="263" t="n"/>
      <c r="J17" s="263" t="n">
        <v>110</v>
      </c>
      <c r="K17" s="263" t="n">
        <v>84</v>
      </c>
      <c r="L17" s="263" t="n">
        <v>33</v>
      </c>
      <c r="M17" s="263" t="inlineStr">
        <is>
          <t>계단식</t>
        </is>
      </c>
      <c r="N17" s="263" t="n">
        <v>3</v>
      </c>
      <c r="O17" s="263" t="n">
        <v>2</v>
      </c>
      <c r="P17" s="263" t="n">
        <v>424</v>
      </c>
      <c r="Q17" s="263" t="n"/>
      <c r="R17" s="263" t="n"/>
      <c r="S17" s="263" t="n"/>
      <c r="T17" s="263" t="n"/>
      <c r="U17" s="263" t="n">
        <v>7.75</v>
      </c>
      <c r="V17" s="263" t="n">
        <v>5.4</v>
      </c>
      <c r="W17" s="263" t="n"/>
      <c r="X17" s="263" t="n"/>
      <c r="Y17" s="263" t="n"/>
      <c r="Z17" s="263" t="n"/>
      <c r="AA17" s="263" t="n"/>
      <c r="AB17" s="263" t="n"/>
      <c r="AC17" s="263" t="n"/>
      <c r="AD17" s="263" t="n"/>
      <c r="AE17" s="263" t="n"/>
      <c r="AF17" s="263" t="n"/>
      <c r="AG17" s="263" t="n"/>
      <c r="AH17" s="263" t="n"/>
      <c r="AI17" s="263" t="n"/>
      <c r="AJ17" s="263" t="n"/>
      <c r="AK17" s="263" t="n"/>
      <c r="AL17" s="263" t="n"/>
    </row>
    <row r="18">
      <c r="A18" s="263" t="inlineStr">
        <is>
          <t>가음동</t>
        </is>
      </c>
      <c r="B18" s="263" t="n"/>
      <c r="C18" s="263" t="n"/>
      <c r="D18" s="263" t="n">
        <v>109272</v>
      </c>
      <c r="E18" s="264" t="inlineStr">
        <is>
          <t>창원더샵센트럴파크2단지</t>
        </is>
      </c>
      <c r="F18" s="263" t="n">
        <v>2017.04</v>
      </c>
      <c r="G18" s="263" t="n">
        <v>624</v>
      </c>
      <c r="H18" s="263">
        <f>2026-F18+1</f>
        <v/>
      </c>
      <c r="I18" s="263" t="n"/>
      <c r="J18" s="263" t="n">
        <v>129</v>
      </c>
      <c r="K18" s="263" t="n">
        <v>98</v>
      </c>
      <c r="L18" s="263" t="n">
        <v>39</v>
      </c>
      <c r="M18" s="263" t="inlineStr">
        <is>
          <t>계단식</t>
        </is>
      </c>
      <c r="N18" s="263" t="n">
        <v>4</v>
      </c>
      <c r="O18" s="263" t="n">
        <v>2</v>
      </c>
      <c r="P18" s="263" t="n">
        <v>100</v>
      </c>
      <c r="Q18" s="263" t="n"/>
      <c r="R18" s="263" t="n"/>
      <c r="S18" s="263" t="n"/>
      <c r="T18" s="263" t="n"/>
      <c r="U18" s="263" t="n">
        <v>8.199999999999999</v>
      </c>
      <c r="V18" s="263" t="n">
        <v>6.4</v>
      </c>
      <c r="W18" s="263" t="n"/>
      <c r="X18" s="263" t="n"/>
      <c r="Y18" s="263" t="n"/>
      <c r="Z18" s="263" t="n"/>
      <c r="AA18" s="263" t="n"/>
      <c r="AB18" s="263" t="n"/>
      <c r="AC18" s="263" t="n"/>
      <c r="AD18" s="263" t="n"/>
      <c r="AE18" s="263" t="n"/>
      <c r="AF18" s="263" t="n"/>
      <c r="AG18" s="263" t="n"/>
      <c r="AH18" s="263" t="n"/>
      <c r="AI18" s="263" t="n"/>
      <c r="AJ18" s="263" t="n"/>
      <c r="AK18" s="263" t="n"/>
      <c r="AL18" s="263" t="n"/>
    </row>
    <row r="19">
      <c r="A19" s="458" t="inlineStr">
        <is>
          <t>가음동</t>
        </is>
      </c>
      <c r="D19" s="458" t="n">
        <v>109273</v>
      </c>
      <c r="E19" s="265" t="inlineStr">
        <is>
          <t>창원더샵센트럴파크3단지</t>
        </is>
      </c>
      <c r="F19" s="458" t="n">
        <v>2017.04</v>
      </c>
      <c r="G19" s="458" t="n">
        <v>448</v>
      </c>
      <c r="H19" s="458">
        <f>2026-F19+1</f>
        <v/>
      </c>
      <c r="J19" s="458" t="n">
        <v>93</v>
      </c>
      <c r="K19" s="458" t="n">
        <v>71</v>
      </c>
      <c r="L19" s="458" t="n">
        <v>28</v>
      </c>
      <c r="M19" s="458" t="inlineStr">
        <is>
          <t>계단식</t>
        </is>
      </c>
      <c r="N19" s="458" t="n">
        <v>3</v>
      </c>
      <c r="O19" s="458" t="n">
        <v>2</v>
      </c>
      <c r="P19" s="458" t="n">
        <v>160</v>
      </c>
      <c r="U19" s="458" t="n">
        <v>6.48</v>
      </c>
      <c r="V19" s="458" t="n">
        <v>4.82</v>
      </c>
    </row>
    <row r="20">
      <c r="A20" s="458" t="inlineStr">
        <is>
          <t>가음동</t>
        </is>
      </c>
      <c r="D20" s="458" t="n">
        <v>109273</v>
      </c>
      <c r="E20" s="265" t="inlineStr">
        <is>
          <t>창원더샵센트럴파크3단지</t>
        </is>
      </c>
      <c r="F20" s="458" t="n">
        <v>2017.04</v>
      </c>
      <c r="G20" s="458" t="n">
        <v>448</v>
      </c>
      <c r="H20" s="458">
        <f>2026-F20+1</f>
        <v/>
      </c>
      <c r="J20" s="458" t="n">
        <v>110</v>
      </c>
      <c r="K20" s="458" t="n">
        <v>84</v>
      </c>
      <c r="L20" s="458" t="n">
        <v>33</v>
      </c>
      <c r="M20" s="458" t="inlineStr">
        <is>
          <t>계단식</t>
        </is>
      </c>
      <c r="N20" s="458" t="n">
        <v>3</v>
      </c>
      <c r="O20" s="458" t="n">
        <v>2</v>
      </c>
      <c r="P20" s="458" t="n">
        <v>236</v>
      </c>
      <c r="U20" s="458" t="n">
        <v>7.6</v>
      </c>
      <c r="V20" s="458" t="n">
        <v>5.55</v>
      </c>
    </row>
    <row r="21">
      <c r="A21" s="458" t="inlineStr">
        <is>
          <t>가음동</t>
        </is>
      </c>
      <c r="D21" s="458" t="n">
        <v>109273</v>
      </c>
      <c r="E21" s="265" t="inlineStr">
        <is>
          <t>창원더샵센트럴파크3단지</t>
        </is>
      </c>
      <c r="F21" s="458" t="n">
        <v>2017.04</v>
      </c>
      <c r="G21" s="458" t="n">
        <v>448</v>
      </c>
      <c r="H21" s="458">
        <f>2026-F21+1</f>
        <v/>
      </c>
      <c r="J21" s="458" t="n">
        <v>129</v>
      </c>
      <c r="K21" s="458" t="n">
        <v>98</v>
      </c>
      <c r="L21" s="458" t="n">
        <v>39</v>
      </c>
      <c r="M21" s="458" t="inlineStr">
        <is>
          <t>계단식</t>
        </is>
      </c>
      <c r="N21" s="458" t="n">
        <v>4</v>
      </c>
      <c r="O21" s="458" t="n">
        <v>2</v>
      </c>
      <c r="P21" s="458" t="n">
        <v>52</v>
      </c>
      <c r="U21" s="458" t="n">
        <v>8.199999999999999</v>
      </c>
      <c r="V21" s="458" t="n">
        <v>5.5</v>
      </c>
    </row>
    <row r="22">
      <c r="A22" s="263" t="inlineStr">
        <is>
          <t>가음동</t>
        </is>
      </c>
      <c r="B22" s="263" t="n"/>
      <c r="C22" s="263" t="n"/>
      <c r="D22" s="263" t="n">
        <v>118728</v>
      </c>
      <c r="E22" s="264" t="inlineStr">
        <is>
          <t>창원센텀푸르지오</t>
        </is>
      </c>
      <c r="F22" s="263" t="n">
        <v>2018.01</v>
      </c>
      <c r="G22" s="263" t="n">
        <v>975</v>
      </c>
      <c r="H22" s="263">
        <f>2026-F22+1</f>
        <v/>
      </c>
      <c r="I22" s="263" t="n"/>
      <c r="J22" s="263" t="n">
        <v>84</v>
      </c>
      <c r="K22" s="263" t="n">
        <v>59</v>
      </c>
      <c r="L22" s="263" t="n">
        <v>25</v>
      </c>
      <c r="M22" s="263" t="inlineStr">
        <is>
          <t>계단식</t>
        </is>
      </c>
      <c r="N22" s="263" t="n">
        <v>3</v>
      </c>
      <c r="O22" s="263" t="n">
        <v>2</v>
      </c>
      <c r="P22" s="263" t="n">
        <v>224</v>
      </c>
      <c r="Q22" s="263" t="n"/>
      <c r="R22" s="263" t="n"/>
      <c r="S22" s="263" t="n"/>
      <c r="T22" s="263" t="n"/>
      <c r="U22" s="263" t="n">
        <v>6.15</v>
      </c>
      <c r="V22" s="263" t="n">
        <v>4.2</v>
      </c>
      <c r="W22" s="263" t="n"/>
      <c r="X22" s="263" t="n"/>
      <c r="Y22" s="263" t="n"/>
      <c r="Z22" s="263" t="n"/>
      <c r="AA22" s="263" t="n"/>
      <c r="AB22" s="263" t="n"/>
      <c r="AC22" s="263" t="n"/>
      <c r="AD22" s="263" t="n"/>
      <c r="AE22" s="263" t="n"/>
      <c r="AF22" s="263" t="n"/>
      <c r="AG22" s="263" t="n"/>
      <c r="AH22" s="263" t="n"/>
      <c r="AI22" s="263" t="n"/>
      <c r="AJ22" s="263" t="n"/>
      <c r="AK22" s="263" t="n"/>
      <c r="AL22" s="263" t="n"/>
    </row>
    <row r="23">
      <c r="A23" s="263" t="inlineStr">
        <is>
          <t>가음동</t>
        </is>
      </c>
      <c r="B23" s="263" t="n"/>
      <c r="C23" s="263" t="n"/>
      <c r="D23" s="263" t="n">
        <v>118728</v>
      </c>
      <c r="E23" s="264" t="inlineStr">
        <is>
          <t>창원센텀푸르지오</t>
        </is>
      </c>
      <c r="F23" s="263" t="n">
        <v>2018.01</v>
      </c>
      <c r="G23" s="263" t="n">
        <v>975</v>
      </c>
      <c r="H23" s="263">
        <f>2026-F23+1</f>
        <v/>
      </c>
      <c r="I23" s="263" t="n"/>
      <c r="J23" s="263" t="n">
        <v>98</v>
      </c>
      <c r="K23" s="263" t="n">
        <v>73</v>
      </c>
      <c r="L23" s="263" t="n">
        <v>30</v>
      </c>
      <c r="M23" s="263" t="inlineStr">
        <is>
          <t>계단식</t>
        </is>
      </c>
      <c r="N23" s="263" t="n">
        <v>3</v>
      </c>
      <c r="O23" s="263" t="n">
        <v>2</v>
      </c>
      <c r="P23" s="263" t="n">
        <v>216</v>
      </c>
      <c r="Q23" s="263" t="n"/>
      <c r="R23" s="263" t="n"/>
      <c r="S23" s="263" t="n"/>
      <c r="T23" s="263" t="n"/>
      <c r="U23" s="263" t="n">
        <v>7.1</v>
      </c>
      <c r="V23" s="263" t="n">
        <v>4.9</v>
      </c>
      <c r="W23" s="263" t="n"/>
      <c r="X23" s="263" t="n"/>
      <c r="Y23" s="263" t="n"/>
      <c r="Z23" s="263" t="n"/>
      <c r="AA23" s="263" t="n"/>
      <c r="AB23" s="263" t="n"/>
      <c r="AC23" s="263" t="n"/>
      <c r="AD23" s="263" t="n"/>
      <c r="AE23" s="263" t="n"/>
      <c r="AF23" s="263" t="n"/>
      <c r="AG23" s="263" t="n"/>
      <c r="AH23" s="263" t="n"/>
      <c r="AI23" s="263" t="n"/>
      <c r="AJ23" s="263" t="n"/>
      <c r="AK23" s="263" t="n"/>
      <c r="AL23" s="263" t="n"/>
    </row>
    <row r="24">
      <c r="A24" s="263" t="inlineStr">
        <is>
          <t>가음동</t>
        </is>
      </c>
      <c r="B24" s="263" t="n"/>
      <c r="C24" s="263" t="n"/>
      <c r="D24" s="263" t="n">
        <v>118728</v>
      </c>
      <c r="E24" s="264" t="inlineStr">
        <is>
          <t>창원센텀푸르지오</t>
        </is>
      </c>
      <c r="F24" s="263" t="n">
        <v>2018.01</v>
      </c>
      <c r="G24" s="263" t="n">
        <v>975</v>
      </c>
      <c r="H24" s="263">
        <f>2026-F24+1</f>
        <v/>
      </c>
      <c r="I24" s="263" t="n"/>
      <c r="J24" s="263" t="n">
        <v>111</v>
      </c>
      <c r="K24" s="263" t="n">
        <v>84</v>
      </c>
      <c r="L24" s="263" t="n">
        <v>34</v>
      </c>
      <c r="M24" s="263" t="inlineStr">
        <is>
          <t>계단식</t>
        </is>
      </c>
      <c r="N24" s="263" t="n">
        <v>4</v>
      </c>
      <c r="O24" s="263" t="n">
        <v>2</v>
      </c>
      <c r="P24" s="263" t="n">
        <v>491</v>
      </c>
      <c r="Q24" s="263" t="n"/>
      <c r="R24" s="263" t="n"/>
      <c r="S24" s="263" t="n"/>
      <c r="T24" s="263" t="n"/>
      <c r="U24" s="263" t="n">
        <v>8.199999999999999</v>
      </c>
      <c r="V24" s="263" t="n">
        <v>5.9</v>
      </c>
      <c r="W24" s="263" t="n"/>
      <c r="X24" s="263" t="n"/>
      <c r="Y24" s="263" t="n"/>
      <c r="Z24" s="263" t="n"/>
      <c r="AA24" s="263" t="n"/>
      <c r="AB24" s="263" t="n"/>
      <c r="AC24" s="263" t="n"/>
      <c r="AD24" s="263" t="n"/>
      <c r="AE24" s="263" t="n"/>
      <c r="AF24" s="263" t="n"/>
      <c r="AG24" s="263" t="n"/>
      <c r="AH24" s="263" t="n"/>
      <c r="AI24" s="263" t="n"/>
      <c r="AJ24" s="263" t="n"/>
      <c r="AK24" s="263" t="n"/>
      <c r="AL24" s="263" t="n"/>
    </row>
    <row r="25">
      <c r="A25" s="263" t="inlineStr">
        <is>
          <t>가음동</t>
        </is>
      </c>
      <c r="B25" s="263" t="n"/>
      <c r="C25" s="263" t="n"/>
      <c r="D25" s="263" t="n">
        <v>118728</v>
      </c>
      <c r="E25" s="264" t="inlineStr">
        <is>
          <t>창원센텀푸르지오</t>
        </is>
      </c>
      <c r="F25" s="263" t="n">
        <v>2018.01</v>
      </c>
      <c r="G25" s="263" t="n">
        <v>975</v>
      </c>
      <c r="H25" s="263">
        <f>2026-F25+1</f>
        <v/>
      </c>
      <c r="I25" s="263" t="n"/>
      <c r="J25" s="263" t="n">
        <v>131</v>
      </c>
      <c r="K25" s="263" t="n">
        <v>101</v>
      </c>
      <c r="L25" s="263" t="n">
        <v>40</v>
      </c>
      <c r="M25" s="263" t="inlineStr">
        <is>
          <t>계단식</t>
        </is>
      </c>
      <c r="N25" s="263" t="n">
        <v>4</v>
      </c>
      <c r="O25" s="263" t="n">
        <v>2</v>
      </c>
      <c r="P25" s="263" t="n">
        <v>44</v>
      </c>
      <c r="Q25" s="263" t="n"/>
      <c r="R25" s="263" t="n"/>
      <c r="S25" s="263" t="n"/>
      <c r="T25" s="263" t="n"/>
      <c r="U25" s="263" t="n">
        <v>8.800000000000001</v>
      </c>
      <c r="V25" s="263" t="n">
        <v>7.05</v>
      </c>
      <c r="W25" s="263" t="n"/>
      <c r="X25" s="263" t="n"/>
      <c r="Y25" s="263" t="n"/>
      <c r="Z25" s="263" t="n"/>
      <c r="AA25" s="263" t="n"/>
      <c r="AB25" s="263" t="n"/>
      <c r="AC25" s="263" t="n"/>
      <c r="AD25" s="263" t="n"/>
      <c r="AE25" s="263" t="n"/>
      <c r="AF25" s="263" t="n"/>
      <c r="AG25" s="263" t="n"/>
      <c r="AH25" s="263" t="n"/>
      <c r="AI25" s="263" t="n"/>
      <c r="AJ25" s="263" t="n"/>
      <c r="AK25" s="263" t="n"/>
      <c r="AL25" s="263" t="n"/>
    </row>
    <row r="26">
      <c r="A26" s="458" t="inlineStr">
        <is>
          <t>가음동</t>
        </is>
      </c>
      <c r="D26" s="458" t="n">
        <v>151284</v>
      </c>
      <c r="E26" s="265" t="inlineStr">
        <is>
          <t>창원자이시그니처</t>
        </is>
      </c>
      <c r="F26" s="458" t="n">
        <v>2025.04</v>
      </c>
      <c r="G26" s="458" t="n">
        <v>786</v>
      </c>
      <c r="H26" s="458">
        <f>2026-F26+1</f>
        <v/>
      </c>
      <c r="J26" s="458" t="n">
        <v>81</v>
      </c>
      <c r="K26" s="458" t="n">
        <v>59</v>
      </c>
      <c r="L26" s="458" t="n">
        <v>25</v>
      </c>
      <c r="M26" s="458" t="inlineStr">
        <is>
          <t>계단식</t>
        </is>
      </c>
      <c r="N26" s="458" t="n">
        <v>3</v>
      </c>
      <c r="O26" s="458" t="n">
        <v>2</v>
      </c>
      <c r="P26" s="458" t="n">
        <v>279</v>
      </c>
    </row>
    <row r="27">
      <c r="A27" s="458" t="inlineStr">
        <is>
          <t>가음동</t>
        </is>
      </c>
      <c r="D27" s="458" t="n">
        <v>151284</v>
      </c>
      <c r="E27" s="265" t="inlineStr">
        <is>
          <t>창원자이시그니처</t>
        </is>
      </c>
      <c r="F27" s="458" t="n">
        <v>2025.04</v>
      </c>
      <c r="G27" s="458" t="n">
        <v>786</v>
      </c>
      <c r="H27" s="458">
        <f>2026-F27+1</f>
        <v/>
      </c>
      <c r="J27" s="458" t="n">
        <v>99</v>
      </c>
      <c r="K27" s="458" t="n">
        <v>75</v>
      </c>
      <c r="L27" s="458" t="n">
        <v>30</v>
      </c>
      <c r="M27" s="458" t="inlineStr">
        <is>
          <t>계단식</t>
        </is>
      </c>
      <c r="N27" s="458" t="n">
        <v>3</v>
      </c>
      <c r="O27" s="458" t="n">
        <v>2</v>
      </c>
      <c r="P27" s="458" t="n">
        <v>239</v>
      </c>
    </row>
    <row r="28">
      <c r="A28" s="458" t="inlineStr">
        <is>
          <t>가음동</t>
        </is>
      </c>
      <c r="D28" s="458" t="n">
        <v>151284</v>
      </c>
      <c r="E28" s="265" t="inlineStr">
        <is>
          <t>창원자이시그니처</t>
        </is>
      </c>
      <c r="F28" s="458" t="n">
        <v>2025.04</v>
      </c>
      <c r="G28" s="458" t="n">
        <v>786</v>
      </c>
      <c r="H28" s="458">
        <f>2026-F28+1</f>
        <v/>
      </c>
      <c r="J28" s="458" t="n">
        <v>110</v>
      </c>
      <c r="K28" s="458" t="n">
        <v>84</v>
      </c>
      <c r="L28" s="458" t="n">
        <v>33</v>
      </c>
      <c r="M28" s="458" t="inlineStr">
        <is>
          <t>계단식</t>
        </is>
      </c>
      <c r="N28" s="458" t="n">
        <v>3</v>
      </c>
      <c r="O28" s="458" t="n">
        <v>2</v>
      </c>
      <c r="P28" s="458" t="n">
        <v>268</v>
      </c>
    </row>
    <row r="29">
      <c r="A29" s="263" t="inlineStr">
        <is>
          <t>가음정동</t>
        </is>
      </c>
      <c r="B29" s="263" t="n"/>
      <c r="C29" s="263" t="n"/>
      <c r="D29" s="263" t="n">
        <v>7600</v>
      </c>
      <c r="E29" s="264" t="inlineStr">
        <is>
          <t>소라</t>
        </is>
      </c>
      <c r="F29" s="263" t="n">
        <v>1990.01</v>
      </c>
      <c r="G29" s="263" t="n">
        <v>348</v>
      </c>
      <c r="H29" s="263">
        <f>2026-F29+1</f>
        <v/>
      </c>
      <c r="I29" s="263" t="n"/>
      <c r="J29" s="263" t="n">
        <v>83</v>
      </c>
      <c r="K29" s="263" t="n">
        <v>59</v>
      </c>
      <c r="L29" s="263" t="n">
        <v>25</v>
      </c>
      <c r="M29" s="263" t="inlineStr">
        <is>
          <t>복도식</t>
        </is>
      </c>
      <c r="N29" s="263" t="n">
        <v>3</v>
      </c>
      <c r="O29" s="263" t="n">
        <v>1</v>
      </c>
      <c r="P29" s="263" t="n">
        <v>252</v>
      </c>
      <c r="Q29" s="263" t="n"/>
      <c r="R29" s="263" t="n"/>
      <c r="S29" s="263" t="n"/>
      <c r="T29" s="263" t="n"/>
      <c r="U29" s="263" t="n">
        <v>1.38</v>
      </c>
      <c r="V29" s="263" t="n">
        <v>0.92</v>
      </c>
      <c r="W29" s="263" t="n"/>
      <c r="X29" s="263" t="n"/>
      <c r="Y29" s="263" t="n"/>
      <c r="Z29" s="263" t="n"/>
      <c r="AA29" s="263" t="n"/>
      <c r="AB29" s="263" t="n"/>
      <c r="AC29" s="263" t="n"/>
      <c r="AD29" s="263" t="n"/>
      <c r="AE29" s="263" t="n"/>
      <c r="AF29" s="263" t="n"/>
      <c r="AG29" s="263" t="n"/>
      <c r="AH29" s="263" t="n"/>
      <c r="AI29" s="263" t="n"/>
      <c r="AJ29" s="263" t="n"/>
      <c r="AK29" s="263" t="n"/>
      <c r="AL29" s="263" t="n"/>
    </row>
    <row r="30">
      <c r="A30" s="263" t="inlineStr">
        <is>
          <t>가음정동</t>
        </is>
      </c>
      <c r="B30" s="263" t="n"/>
      <c r="C30" s="263" t="n"/>
      <c r="D30" s="263" t="n">
        <v>7600</v>
      </c>
      <c r="E30" s="264" t="inlineStr">
        <is>
          <t>소라</t>
        </is>
      </c>
      <c r="F30" s="263" t="n">
        <v>1990.01</v>
      </c>
      <c r="G30" s="263" t="n">
        <v>348</v>
      </c>
      <c r="H30" s="263">
        <f>2026-F30+1</f>
        <v/>
      </c>
      <c r="I30" s="263" t="n"/>
      <c r="J30" s="263" t="n">
        <v>102</v>
      </c>
      <c r="K30" s="263" t="n">
        <v>84</v>
      </c>
      <c r="L30" s="263" t="n">
        <v>31</v>
      </c>
      <c r="M30" s="263" t="inlineStr">
        <is>
          <t>계단식</t>
        </is>
      </c>
      <c r="N30" s="263" t="n">
        <v>3</v>
      </c>
      <c r="O30" s="263" t="n">
        <v>2</v>
      </c>
      <c r="P30" s="263" t="n">
        <v>96</v>
      </c>
      <c r="Q30" s="263" t="n"/>
      <c r="R30" s="263" t="n"/>
      <c r="S30" s="263" t="n"/>
      <c r="T30" s="263" t="n"/>
      <c r="U30" s="263" t="n">
        <v>1.83</v>
      </c>
      <c r="V30" s="263" t="n">
        <v>1.75</v>
      </c>
      <c r="W30" s="263" t="n"/>
      <c r="X30" s="263" t="n"/>
      <c r="Y30" s="263" t="n"/>
      <c r="Z30" s="263" t="n"/>
      <c r="AA30" s="263" t="n"/>
      <c r="AB30" s="263" t="n"/>
      <c r="AC30" s="263" t="n"/>
      <c r="AD30" s="263" t="n"/>
      <c r="AE30" s="263" t="n"/>
      <c r="AF30" s="263" t="n"/>
      <c r="AG30" s="263" t="n"/>
      <c r="AH30" s="263" t="n"/>
      <c r="AI30" s="263" t="n"/>
      <c r="AJ30" s="263" t="n"/>
      <c r="AK30" s="263" t="n"/>
      <c r="AL30" s="263" t="n"/>
    </row>
    <row r="31">
      <c r="A31" s="458" t="inlineStr">
        <is>
          <t>남산동</t>
        </is>
      </c>
      <c r="D31" s="458" t="n">
        <v>115783</v>
      </c>
      <c r="E31" s="265" t="inlineStr">
        <is>
          <t>남산효성해링턴플레이스</t>
        </is>
      </c>
      <c r="F31" s="458" t="n">
        <v>2018.06</v>
      </c>
      <c r="G31" s="458" t="n">
        <v>460</v>
      </c>
      <c r="H31" s="458">
        <f>2026-F31+1</f>
        <v/>
      </c>
      <c r="J31" s="458" t="n">
        <v>79</v>
      </c>
      <c r="K31" s="458" t="n">
        <v>59</v>
      </c>
      <c r="L31" s="458" t="n">
        <v>24</v>
      </c>
      <c r="M31" s="458" t="inlineStr">
        <is>
          <t>계단식</t>
        </is>
      </c>
      <c r="N31" s="458" t="n">
        <v>3</v>
      </c>
      <c r="O31" s="458" t="n">
        <v>2</v>
      </c>
      <c r="P31" s="458" t="n">
        <v>222</v>
      </c>
      <c r="U31" s="458" t="n">
        <v>2.7</v>
      </c>
      <c r="V31" s="458" t="n">
        <v>2.32</v>
      </c>
    </row>
    <row r="32">
      <c r="A32" s="458" t="inlineStr">
        <is>
          <t>남산동</t>
        </is>
      </c>
      <c r="D32" s="458" t="n">
        <v>115783</v>
      </c>
      <c r="E32" s="265" t="inlineStr">
        <is>
          <t>남산효성해링턴플레이스</t>
        </is>
      </c>
      <c r="F32" s="458" t="n">
        <v>2018.06</v>
      </c>
      <c r="G32" s="458" t="n">
        <v>460</v>
      </c>
      <c r="H32" s="458">
        <f>2026-F32+1</f>
        <v/>
      </c>
      <c r="J32" s="458" t="n">
        <v>101</v>
      </c>
      <c r="K32" s="458" t="n">
        <v>79</v>
      </c>
      <c r="L32" s="458" t="n">
        <v>31</v>
      </c>
      <c r="M32" s="458" t="inlineStr">
        <is>
          <t>계단식</t>
        </is>
      </c>
      <c r="N32" s="458" t="n">
        <v>3</v>
      </c>
      <c r="O32" s="458" t="n">
        <v>2</v>
      </c>
      <c r="P32" s="458" t="n">
        <v>112</v>
      </c>
      <c r="U32" s="458" t="n">
        <v>3.18</v>
      </c>
      <c r="V32" s="458" t="n">
        <v>2.75</v>
      </c>
    </row>
    <row r="33">
      <c r="A33" s="458" t="inlineStr">
        <is>
          <t>남산동</t>
        </is>
      </c>
      <c r="D33" s="458" t="n">
        <v>115783</v>
      </c>
      <c r="E33" s="265" t="inlineStr">
        <is>
          <t>남산효성해링턴플레이스</t>
        </is>
      </c>
      <c r="F33" s="458" t="n">
        <v>2018.06</v>
      </c>
      <c r="G33" s="458" t="n">
        <v>460</v>
      </c>
      <c r="H33" s="458">
        <f>2026-F33+1</f>
        <v/>
      </c>
      <c r="J33" s="458" t="n">
        <v>108</v>
      </c>
      <c r="K33" s="458" t="n">
        <v>84</v>
      </c>
      <c r="L33" s="458" t="n">
        <v>33</v>
      </c>
      <c r="M33" s="458" t="inlineStr">
        <is>
          <t>계단식</t>
        </is>
      </c>
      <c r="N33" s="458" t="n">
        <v>3</v>
      </c>
      <c r="O33" s="458" t="n">
        <v>2</v>
      </c>
      <c r="P33" s="458" t="n">
        <v>126</v>
      </c>
      <c r="U33" s="458" t="n">
        <v>3.34</v>
      </c>
      <c r="V33" s="458" t="n">
        <v>3</v>
      </c>
    </row>
    <row r="34">
      <c r="A34" s="263" t="inlineStr">
        <is>
          <t>남산동</t>
        </is>
      </c>
      <c r="B34" s="263" t="n"/>
      <c r="C34" s="263" t="n"/>
      <c r="D34" s="263" t="n">
        <v>7616</v>
      </c>
      <c r="E34" s="264" t="inlineStr">
        <is>
          <t>대우1차</t>
        </is>
      </c>
      <c r="F34" s="263" t="n">
        <v>1991.09</v>
      </c>
      <c r="G34" s="263" t="n">
        <v>636</v>
      </c>
      <c r="H34" s="263">
        <f>2026-F34+1</f>
        <v/>
      </c>
      <c r="I34" s="263" t="n"/>
      <c r="J34" s="263" t="n">
        <v>51</v>
      </c>
      <c r="K34" s="263" t="n">
        <v>37</v>
      </c>
      <c r="L34" s="263" t="n">
        <v>15</v>
      </c>
      <c r="M34" s="263" t="inlineStr">
        <is>
          <t>복도식</t>
        </is>
      </c>
      <c r="N34" s="263" t="n">
        <v>2</v>
      </c>
      <c r="O34" s="263" t="n">
        <v>1</v>
      </c>
      <c r="P34" s="263" t="n">
        <v>61</v>
      </c>
      <c r="Q34" s="263" t="n"/>
      <c r="R34" s="263" t="n"/>
      <c r="S34" s="263" t="n"/>
      <c r="T34" s="263" t="n"/>
      <c r="U34" s="263" t="n">
        <v>0.74</v>
      </c>
      <c r="V34" s="263" t="n">
        <v>0.55</v>
      </c>
      <c r="W34" s="263" t="n"/>
      <c r="X34" s="263" t="n"/>
      <c r="Y34" s="263" t="n"/>
      <c r="Z34" s="263" t="n"/>
      <c r="AA34" s="263" t="n"/>
      <c r="AB34" s="263" t="n"/>
      <c r="AC34" s="263" t="n"/>
      <c r="AD34" s="263" t="n"/>
      <c r="AE34" s="263" t="n"/>
      <c r="AF34" s="263" t="n"/>
      <c r="AG34" s="263" t="n"/>
      <c r="AH34" s="263" t="n"/>
      <c r="AI34" s="263" t="n"/>
      <c r="AJ34" s="263" t="n"/>
      <c r="AK34" s="263" t="n"/>
      <c r="AL34" s="263" t="n"/>
    </row>
    <row r="35">
      <c r="A35" s="263" t="inlineStr">
        <is>
          <t>남산동</t>
        </is>
      </c>
      <c r="B35" s="263" t="n"/>
      <c r="C35" s="263" t="n"/>
      <c r="D35" s="263" t="n">
        <v>7616</v>
      </c>
      <c r="E35" s="264" t="inlineStr">
        <is>
          <t>대우1차</t>
        </is>
      </c>
      <c r="F35" s="263" t="n">
        <v>1991.09</v>
      </c>
      <c r="G35" s="263" t="n">
        <v>636</v>
      </c>
      <c r="H35" s="263">
        <f>2026-F35+1</f>
        <v/>
      </c>
      <c r="I35" s="263" t="n"/>
      <c r="J35" s="263" t="n">
        <v>66</v>
      </c>
      <c r="K35" s="263" t="n">
        <v>48</v>
      </c>
      <c r="L35" s="263" t="n">
        <v>20</v>
      </c>
      <c r="M35" s="263" t="inlineStr">
        <is>
          <t>복도식</t>
        </is>
      </c>
      <c r="N35" s="263" t="n">
        <v>3</v>
      </c>
      <c r="O35" s="263" t="n">
        <v>1</v>
      </c>
      <c r="P35" s="263" t="n">
        <v>60</v>
      </c>
      <c r="Q35" s="263" t="n"/>
      <c r="R35" s="263" t="n"/>
      <c r="S35" s="263" t="n"/>
      <c r="T35" s="263" t="n"/>
      <c r="U35" s="263" t="n">
        <v>1.1</v>
      </c>
      <c r="V35" s="263" t="n">
        <v>0.8</v>
      </c>
      <c r="W35" s="263" t="n"/>
      <c r="X35" s="263" t="n"/>
      <c r="Y35" s="263" t="n"/>
      <c r="Z35" s="263" t="n"/>
      <c r="AA35" s="263" t="n"/>
      <c r="AB35" s="263" t="n"/>
      <c r="AC35" s="263" t="n"/>
      <c r="AD35" s="263" t="n"/>
      <c r="AE35" s="263" t="n"/>
      <c r="AF35" s="263" t="n"/>
      <c r="AG35" s="263" t="n"/>
      <c r="AH35" s="263" t="n"/>
      <c r="AI35" s="263" t="n"/>
      <c r="AJ35" s="263" t="n"/>
      <c r="AK35" s="263" t="n"/>
      <c r="AL35" s="263" t="n"/>
    </row>
    <row r="36">
      <c r="A36" s="458" t="inlineStr">
        <is>
          <t>남산동</t>
        </is>
      </c>
      <c r="D36" s="458" t="n">
        <v>7610</v>
      </c>
      <c r="E36" s="265" t="inlineStr">
        <is>
          <t>대우2차</t>
        </is>
      </c>
      <c r="F36" s="458" t="n">
        <v>1991.09</v>
      </c>
      <c r="G36" s="458" t="n">
        <v>408</v>
      </c>
      <c r="H36" s="458">
        <f>2026-F36+1</f>
        <v/>
      </c>
      <c r="J36" s="458" t="n">
        <v>65</v>
      </c>
      <c r="K36" s="458" t="n">
        <v>48</v>
      </c>
      <c r="L36" s="458" t="n">
        <v>20</v>
      </c>
      <c r="M36" s="458" t="inlineStr">
        <is>
          <t>복도식</t>
        </is>
      </c>
      <c r="N36" s="458" t="n">
        <v>2</v>
      </c>
      <c r="O36" s="458" t="n">
        <v>1</v>
      </c>
      <c r="P36" s="458" t="n">
        <v>192</v>
      </c>
      <c r="U36" s="458" t="n">
        <v>1.1</v>
      </c>
      <c r="V36" s="458" t="n">
        <v>0.8</v>
      </c>
    </row>
    <row r="37">
      <c r="A37" s="458" t="inlineStr">
        <is>
          <t>남산동</t>
        </is>
      </c>
      <c r="D37" s="458" t="n">
        <v>7610</v>
      </c>
      <c r="E37" s="265" t="inlineStr">
        <is>
          <t>대우2차</t>
        </is>
      </c>
      <c r="F37" s="458" t="n">
        <v>1991.09</v>
      </c>
      <c r="G37" s="458" t="n">
        <v>408</v>
      </c>
      <c r="H37" s="458">
        <f>2026-F37+1</f>
        <v/>
      </c>
      <c r="J37" s="458" t="n">
        <v>83</v>
      </c>
      <c r="K37" s="458" t="n">
        <v>67</v>
      </c>
      <c r="L37" s="458" t="n">
        <v>25</v>
      </c>
      <c r="M37" s="458" t="inlineStr">
        <is>
          <t>계단식</t>
        </is>
      </c>
      <c r="N37" s="458" t="n">
        <v>3</v>
      </c>
      <c r="O37" s="458" t="n">
        <v>1</v>
      </c>
      <c r="P37" s="458" t="n">
        <v>72</v>
      </c>
      <c r="U37" s="458" t="n">
        <v>1.7</v>
      </c>
      <c r="V37" s="458" t="n">
        <v>1.3</v>
      </c>
    </row>
    <row r="38">
      <c r="A38" s="458" t="inlineStr">
        <is>
          <t>남산동</t>
        </is>
      </c>
      <c r="D38" s="458" t="n">
        <v>7610</v>
      </c>
      <c r="E38" s="265" t="inlineStr">
        <is>
          <t>대우2차</t>
        </is>
      </c>
      <c r="F38" s="458" t="n">
        <v>1991.09</v>
      </c>
      <c r="G38" s="458" t="n">
        <v>408</v>
      </c>
      <c r="H38" s="458">
        <f>2026-F38+1</f>
        <v/>
      </c>
      <c r="J38" s="458" t="n">
        <v>84</v>
      </c>
      <c r="K38" s="458" t="n">
        <v>68</v>
      </c>
      <c r="L38" s="458" t="n">
        <v>25</v>
      </c>
      <c r="M38" s="458" t="inlineStr">
        <is>
          <t>계단식</t>
        </is>
      </c>
      <c r="N38" s="458" t="n">
        <v>3</v>
      </c>
      <c r="O38" s="458" t="n">
        <v>1</v>
      </c>
      <c r="P38" s="458" t="n">
        <v>72</v>
      </c>
      <c r="U38" s="458" t="n">
        <v>1.7</v>
      </c>
      <c r="V38" s="458" t="n">
        <v>1.3</v>
      </c>
    </row>
    <row r="39">
      <c r="A39" s="458" t="inlineStr">
        <is>
          <t>남산동</t>
        </is>
      </c>
      <c r="D39" s="458" t="n">
        <v>7610</v>
      </c>
      <c r="E39" s="265" t="inlineStr">
        <is>
          <t>대우2차</t>
        </is>
      </c>
      <c r="F39" s="458" t="n">
        <v>1991.09</v>
      </c>
      <c r="G39" s="458" t="n">
        <v>408</v>
      </c>
      <c r="H39" s="458">
        <f>2026-F39+1</f>
        <v/>
      </c>
      <c r="J39" s="458" t="n">
        <v>96</v>
      </c>
      <c r="K39" s="458" t="n">
        <v>78</v>
      </c>
      <c r="L39" s="458" t="n">
        <v>29</v>
      </c>
      <c r="M39" s="458" t="inlineStr">
        <is>
          <t>계단식</t>
        </is>
      </c>
      <c r="N39" s="458" t="n">
        <v>3</v>
      </c>
      <c r="O39" s="458" t="n">
        <v>2</v>
      </c>
      <c r="P39" s="458" t="n">
        <v>24</v>
      </c>
    </row>
    <row r="40">
      <c r="A40" s="458" t="inlineStr">
        <is>
          <t>남산동</t>
        </is>
      </c>
      <c r="D40" s="458" t="n">
        <v>7610</v>
      </c>
      <c r="E40" s="265" t="inlineStr">
        <is>
          <t>대우2차</t>
        </is>
      </c>
      <c r="F40" s="458" t="n">
        <v>1991.09</v>
      </c>
      <c r="G40" s="458" t="n">
        <v>408</v>
      </c>
      <c r="H40" s="458">
        <f>2026-F40+1</f>
        <v/>
      </c>
      <c r="J40" s="458" t="n">
        <v>98</v>
      </c>
      <c r="K40" s="458" t="n">
        <v>80</v>
      </c>
      <c r="L40" s="458" t="n">
        <v>30</v>
      </c>
      <c r="M40" s="458" t="inlineStr">
        <is>
          <t>계단식</t>
        </is>
      </c>
      <c r="N40" s="458" t="n">
        <v>3</v>
      </c>
      <c r="O40" s="458" t="n">
        <v>1</v>
      </c>
      <c r="P40" s="458" t="n">
        <v>48</v>
      </c>
      <c r="U40" s="458" t="n">
        <v>1.85</v>
      </c>
      <c r="V40" s="458" t="n">
        <v>1.45</v>
      </c>
    </row>
    <row r="41">
      <c r="A41" s="263" t="inlineStr">
        <is>
          <t>남산동</t>
        </is>
      </c>
      <c r="B41" s="263" t="n"/>
      <c r="C41" s="263" t="n"/>
      <c r="D41" s="263" t="n">
        <v>15723</v>
      </c>
      <c r="E41" s="264" t="inlineStr">
        <is>
          <t>한양</t>
        </is>
      </c>
      <c r="F41" s="263" t="n">
        <v>1986.05</v>
      </c>
      <c r="G41" s="263" t="n">
        <v>332</v>
      </c>
      <c r="H41" s="263">
        <f>2026-F41+1</f>
        <v/>
      </c>
      <c r="I41" s="263" t="n"/>
      <c r="J41" s="263" t="n">
        <v>59</v>
      </c>
      <c r="K41" s="263" t="n">
        <v>43</v>
      </c>
      <c r="L41" s="263" t="n">
        <v>18</v>
      </c>
      <c r="M41" s="263" t="inlineStr">
        <is>
          <t>복도식</t>
        </is>
      </c>
      <c r="N41" s="263" t="n">
        <v>2</v>
      </c>
      <c r="O41" s="263" t="n">
        <v>1</v>
      </c>
      <c r="P41" s="263" t="n">
        <v>70</v>
      </c>
      <c r="Q41" s="263" t="n"/>
      <c r="R41" s="263" t="n"/>
      <c r="S41" s="263" t="n"/>
      <c r="T41" s="263" t="n"/>
      <c r="U41" s="263" t="n"/>
      <c r="V41" s="263" t="n"/>
      <c r="W41" s="263" t="n"/>
      <c r="X41" s="263" t="n"/>
      <c r="Y41" s="263" t="n"/>
      <c r="Z41" s="263" t="n"/>
      <c r="AA41" s="263" t="n"/>
      <c r="AB41" s="263" t="n"/>
      <c r="AC41" s="263" t="n"/>
      <c r="AD41" s="263" t="n"/>
      <c r="AE41" s="263" t="n"/>
      <c r="AF41" s="263" t="n"/>
      <c r="AG41" s="263" t="n"/>
      <c r="AH41" s="263" t="n"/>
      <c r="AI41" s="263" t="n"/>
      <c r="AJ41" s="263" t="n"/>
      <c r="AK41" s="263" t="n"/>
      <c r="AL41" s="263" t="n"/>
    </row>
    <row r="42">
      <c r="A42" s="263" t="inlineStr">
        <is>
          <t>남산동</t>
        </is>
      </c>
      <c r="B42" s="263" t="n"/>
      <c r="C42" s="263" t="n"/>
      <c r="D42" s="263" t="n">
        <v>15723</v>
      </c>
      <c r="E42" s="264" t="inlineStr">
        <is>
          <t>한양</t>
        </is>
      </c>
      <c r="F42" s="263" t="n">
        <v>1986.05</v>
      </c>
      <c r="G42" s="263" t="n">
        <v>332</v>
      </c>
      <c r="H42" s="263">
        <f>2026-F42+1</f>
        <v/>
      </c>
      <c r="I42" s="263" t="n"/>
      <c r="J42" s="263" t="n">
        <v>87</v>
      </c>
      <c r="K42" s="263" t="n">
        <v>63</v>
      </c>
      <c r="L42" s="263" t="n">
        <v>26</v>
      </c>
      <c r="M42" s="263" t="inlineStr">
        <is>
          <t>복도식</t>
        </is>
      </c>
      <c r="N42" s="263" t="n">
        <v>3</v>
      </c>
      <c r="O42" s="263" t="n">
        <v>1</v>
      </c>
      <c r="P42" s="263" t="n">
        <v>48</v>
      </c>
      <c r="Q42" s="263" t="n"/>
      <c r="R42" s="263" t="n"/>
      <c r="S42" s="263" t="n"/>
      <c r="T42" s="263" t="n"/>
      <c r="U42" s="263" t="n"/>
      <c r="V42" s="263" t="n"/>
      <c r="W42" s="263" t="n"/>
      <c r="X42" s="263" t="n"/>
      <c r="Y42" s="263" t="n"/>
      <c r="Z42" s="263" t="n"/>
      <c r="AA42" s="263" t="n"/>
      <c r="AB42" s="263" t="n"/>
      <c r="AC42" s="263" t="n"/>
      <c r="AD42" s="263" t="n"/>
      <c r="AE42" s="263" t="n"/>
      <c r="AF42" s="263" t="n"/>
      <c r="AG42" s="263" t="n"/>
      <c r="AH42" s="263" t="n"/>
      <c r="AI42" s="263" t="n"/>
      <c r="AJ42" s="263" t="n"/>
      <c r="AK42" s="263" t="n"/>
      <c r="AL42" s="263" t="n"/>
    </row>
    <row r="43">
      <c r="A43" s="263" t="inlineStr">
        <is>
          <t>남산동</t>
        </is>
      </c>
      <c r="B43" s="263" t="n"/>
      <c r="C43" s="263" t="n"/>
      <c r="D43" s="263" t="n">
        <v>15723</v>
      </c>
      <c r="E43" s="264" t="inlineStr">
        <is>
          <t>한양</t>
        </is>
      </c>
      <c r="F43" s="263" t="n">
        <v>1986.05</v>
      </c>
      <c r="G43" s="263" t="n">
        <v>332</v>
      </c>
      <c r="H43" s="263">
        <f>2026-F43+1</f>
        <v/>
      </c>
      <c r="I43" s="263" t="n"/>
      <c r="J43" s="263" t="n">
        <v>116</v>
      </c>
      <c r="K43" s="263" t="n">
        <v>84</v>
      </c>
      <c r="L43" s="263" t="n">
        <v>35</v>
      </c>
      <c r="M43" s="263" t="inlineStr">
        <is>
          <t>복도식</t>
        </is>
      </c>
      <c r="N43" s="263" t="n">
        <v>3</v>
      </c>
      <c r="O43" s="263" t="n">
        <v>1</v>
      </c>
      <c r="P43" s="263" t="n">
        <v>48</v>
      </c>
      <c r="Q43" s="263" t="n"/>
      <c r="R43" s="263" t="n"/>
      <c r="S43" s="263" t="n"/>
      <c r="T43" s="263" t="n"/>
      <c r="U43" s="263" t="n"/>
      <c r="V43" s="263" t="n"/>
      <c r="W43" s="263" t="n"/>
      <c r="X43" s="263" t="n"/>
      <c r="Y43" s="263" t="n"/>
      <c r="Z43" s="263" t="n"/>
      <c r="AA43" s="263" t="n"/>
      <c r="AB43" s="263" t="n"/>
      <c r="AC43" s="263" t="n"/>
      <c r="AD43" s="263" t="n"/>
      <c r="AE43" s="263" t="n"/>
      <c r="AF43" s="263" t="n"/>
      <c r="AG43" s="263" t="n"/>
      <c r="AH43" s="263" t="n"/>
      <c r="AI43" s="263" t="n"/>
      <c r="AJ43" s="263" t="n"/>
      <c r="AK43" s="263" t="n"/>
      <c r="AL43" s="263" t="n"/>
    </row>
    <row r="44">
      <c r="A44" s="458" t="inlineStr">
        <is>
          <t>남양동</t>
        </is>
      </c>
      <c r="D44" s="458" t="n">
        <v>7626</v>
      </c>
      <c r="E44" s="265" t="inlineStr">
        <is>
          <t>롯데</t>
        </is>
      </c>
      <c r="F44" s="458" t="n">
        <v>1990.09</v>
      </c>
      <c r="G44" s="458" t="n">
        <v>450</v>
      </c>
      <c r="H44" s="458">
        <f>2026-F44+1</f>
        <v/>
      </c>
      <c r="J44" s="458" t="n">
        <v>87</v>
      </c>
      <c r="K44" s="458" t="n">
        <v>71</v>
      </c>
      <c r="L44" s="458" t="n">
        <v>26</v>
      </c>
      <c r="M44" s="458" t="inlineStr">
        <is>
          <t>계단식</t>
        </is>
      </c>
      <c r="N44" s="458" t="n">
        <v>3</v>
      </c>
      <c r="O44" s="458" t="n">
        <v>1</v>
      </c>
      <c r="P44" s="458" t="n">
        <v>150</v>
      </c>
      <c r="U44" s="458" t="n">
        <v>3.09</v>
      </c>
      <c r="V44" s="458" t="n">
        <v>2.3</v>
      </c>
    </row>
    <row r="45">
      <c r="A45" s="458" t="inlineStr">
        <is>
          <t>남양동</t>
        </is>
      </c>
      <c r="D45" s="458" t="n">
        <v>7626</v>
      </c>
      <c r="E45" s="265" t="inlineStr">
        <is>
          <t>롯데</t>
        </is>
      </c>
      <c r="F45" s="458" t="n">
        <v>1990.09</v>
      </c>
      <c r="G45" s="458" t="n">
        <v>450</v>
      </c>
      <c r="H45" s="458">
        <f>2026-F45+1</f>
        <v/>
      </c>
      <c r="J45" s="458" t="n">
        <v>102</v>
      </c>
      <c r="K45" s="458" t="n">
        <v>84</v>
      </c>
      <c r="L45" s="458" t="n">
        <v>31</v>
      </c>
      <c r="M45" s="458" t="inlineStr">
        <is>
          <t>계단식</t>
        </is>
      </c>
      <c r="N45" s="458" t="n">
        <v>3</v>
      </c>
      <c r="O45" s="458" t="n">
        <v>2</v>
      </c>
      <c r="P45" s="458" t="n">
        <v>180</v>
      </c>
      <c r="U45" s="458" t="n">
        <v>3.17</v>
      </c>
      <c r="V45" s="458" t="n">
        <v>2.5</v>
      </c>
    </row>
    <row r="46">
      <c r="A46" s="458" t="inlineStr">
        <is>
          <t>남양동</t>
        </is>
      </c>
      <c r="D46" s="458" t="n">
        <v>7626</v>
      </c>
      <c r="E46" s="265" t="inlineStr">
        <is>
          <t>롯데</t>
        </is>
      </c>
      <c r="F46" s="458" t="n">
        <v>1990.09</v>
      </c>
      <c r="G46" s="458" t="n">
        <v>450</v>
      </c>
      <c r="H46" s="458">
        <f>2026-F46+1</f>
        <v/>
      </c>
      <c r="J46" s="458" t="n">
        <v>149</v>
      </c>
      <c r="K46" s="458" t="n">
        <v>129</v>
      </c>
      <c r="L46" s="458" t="n">
        <v>45</v>
      </c>
      <c r="M46" s="458" t="inlineStr">
        <is>
          <t>계단식</t>
        </is>
      </c>
      <c r="N46" s="458" t="n">
        <v>4</v>
      </c>
      <c r="O46" s="458" t="n">
        <v>2</v>
      </c>
      <c r="P46" s="458" t="n">
        <v>120</v>
      </c>
      <c r="U46" s="458" t="n">
        <v>4.2</v>
      </c>
      <c r="V46" s="458" t="n">
        <v>3.4</v>
      </c>
    </row>
    <row r="47">
      <c r="A47" s="263" t="inlineStr">
        <is>
          <t>남양동</t>
        </is>
      </c>
      <c r="B47" s="263" t="n"/>
      <c r="C47" s="263" t="n"/>
      <c r="D47" s="263" t="n">
        <v>7624</v>
      </c>
      <c r="E47" s="264" t="inlineStr">
        <is>
          <t>상남동성(남양동성)</t>
        </is>
      </c>
      <c r="F47" s="263" t="n">
        <v>1990.09</v>
      </c>
      <c r="G47" s="263" t="n">
        <v>540</v>
      </c>
      <c r="H47" s="263">
        <f>2026-F47+1</f>
        <v/>
      </c>
      <c r="I47" s="263" t="n"/>
      <c r="J47" s="263" t="n">
        <v>93</v>
      </c>
      <c r="K47" s="263" t="n">
        <v>77</v>
      </c>
      <c r="L47" s="263" t="n">
        <v>28</v>
      </c>
      <c r="M47" s="263" t="inlineStr">
        <is>
          <t>계단식</t>
        </is>
      </c>
      <c r="N47" s="263" t="n">
        <v>3</v>
      </c>
      <c r="O47" s="263" t="n">
        <v>1</v>
      </c>
      <c r="P47" s="263" t="n">
        <v>180</v>
      </c>
      <c r="Q47" s="263" t="n"/>
      <c r="R47" s="263" t="n"/>
      <c r="S47" s="263" t="n"/>
      <c r="T47" s="263" t="n"/>
      <c r="U47" s="263" t="n">
        <v>2.93</v>
      </c>
      <c r="V47" s="263" t="n">
        <v>2</v>
      </c>
      <c r="W47" s="263" t="n"/>
      <c r="X47" s="263" t="n"/>
      <c r="Y47" s="263" t="n"/>
      <c r="Z47" s="263" t="n"/>
      <c r="AA47" s="263" t="n"/>
      <c r="AB47" s="263" t="n"/>
      <c r="AC47" s="263" t="n"/>
      <c r="AD47" s="263" t="n"/>
      <c r="AE47" s="263" t="n"/>
      <c r="AF47" s="263" t="n"/>
      <c r="AG47" s="263" t="n"/>
      <c r="AH47" s="263" t="n"/>
      <c r="AI47" s="263" t="n"/>
      <c r="AJ47" s="263" t="n"/>
      <c r="AK47" s="263" t="n"/>
      <c r="AL47" s="263" t="n"/>
    </row>
    <row r="48">
      <c r="A48" s="263" t="inlineStr">
        <is>
          <t>남양동</t>
        </is>
      </c>
      <c r="B48" s="263" t="n"/>
      <c r="C48" s="263" t="n"/>
      <c r="D48" s="263" t="n">
        <v>7624</v>
      </c>
      <c r="E48" s="264" t="inlineStr">
        <is>
          <t>상남동성(남양동성)</t>
        </is>
      </c>
      <c r="F48" s="263" t="n">
        <v>1990.09</v>
      </c>
      <c r="G48" s="263" t="n">
        <v>540</v>
      </c>
      <c r="H48" s="263">
        <f>2026-F48+1</f>
        <v/>
      </c>
      <c r="I48" s="263" t="n"/>
      <c r="J48" s="263" t="n">
        <v>101</v>
      </c>
      <c r="K48" s="263" t="n">
        <v>84</v>
      </c>
      <c r="L48" s="263" t="n">
        <v>31</v>
      </c>
      <c r="M48" s="263" t="inlineStr">
        <is>
          <t>계단식</t>
        </is>
      </c>
      <c r="N48" s="263" t="n">
        <v>3</v>
      </c>
      <c r="O48" s="263" t="n">
        <v>2</v>
      </c>
      <c r="P48" s="263" t="n">
        <v>180</v>
      </c>
      <c r="Q48" s="263" t="n"/>
      <c r="R48" s="263" t="n"/>
      <c r="S48" s="263" t="n"/>
      <c r="T48" s="263" t="n"/>
      <c r="U48" s="263" t="n">
        <v>3.4</v>
      </c>
      <c r="V48" s="263" t="n">
        <v>2.36</v>
      </c>
      <c r="W48" s="263" t="n"/>
      <c r="X48" s="263" t="n"/>
      <c r="Y48" s="263" t="n"/>
      <c r="Z48" s="263" t="n"/>
      <c r="AA48" s="263" t="n"/>
      <c r="AB48" s="263" t="n"/>
      <c r="AC48" s="263" t="n"/>
      <c r="AD48" s="263" t="n"/>
      <c r="AE48" s="263" t="n"/>
      <c r="AF48" s="263" t="n"/>
      <c r="AG48" s="263" t="n"/>
      <c r="AH48" s="263" t="n"/>
      <c r="AI48" s="263" t="n"/>
      <c r="AJ48" s="263" t="n"/>
      <c r="AK48" s="263" t="n"/>
      <c r="AL48" s="263" t="n"/>
    </row>
    <row r="49">
      <c r="A49" s="263" t="inlineStr">
        <is>
          <t>남양동</t>
        </is>
      </c>
      <c r="B49" s="263" t="n"/>
      <c r="C49" s="263" t="n"/>
      <c r="D49" s="263" t="n">
        <v>7624</v>
      </c>
      <c r="E49" s="264" t="inlineStr">
        <is>
          <t>상남동성(남양동성)</t>
        </is>
      </c>
      <c r="F49" s="263" t="n">
        <v>1990.09</v>
      </c>
      <c r="G49" s="263" t="n">
        <v>540</v>
      </c>
      <c r="H49" s="263">
        <f>2026-F49+1</f>
        <v/>
      </c>
      <c r="I49" s="263" t="n"/>
      <c r="J49" s="263" t="n">
        <v>155</v>
      </c>
      <c r="K49" s="263" t="n">
        <v>135</v>
      </c>
      <c r="L49" s="263" t="n">
        <v>47</v>
      </c>
      <c r="M49" s="263" t="inlineStr">
        <is>
          <t>계단식</t>
        </is>
      </c>
      <c r="N49" s="263" t="n">
        <v>4</v>
      </c>
      <c r="O49" s="263" t="n">
        <v>2</v>
      </c>
      <c r="P49" s="263" t="n">
        <v>180</v>
      </c>
      <c r="Q49" s="263" t="n"/>
      <c r="R49" s="263" t="n"/>
      <c r="S49" s="263" t="n"/>
      <c r="T49" s="263" t="n"/>
      <c r="U49" s="263" t="n">
        <v>4.05</v>
      </c>
      <c r="V49" s="263" t="n">
        <v>3.25</v>
      </c>
      <c r="W49" s="263" t="n"/>
      <c r="X49" s="263" t="n"/>
      <c r="Y49" s="263" t="n"/>
      <c r="Z49" s="263" t="n"/>
      <c r="AA49" s="263" t="n"/>
      <c r="AB49" s="263" t="n"/>
      <c r="AC49" s="263" t="n"/>
      <c r="AD49" s="263" t="n"/>
      <c r="AE49" s="263" t="n"/>
      <c r="AF49" s="263" t="n"/>
      <c r="AG49" s="263" t="n"/>
      <c r="AH49" s="263" t="n"/>
      <c r="AI49" s="263" t="n"/>
      <c r="AJ49" s="263" t="n"/>
      <c r="AK49" s="263" t="n"/>
      <c r="AL49" s="263" t="n"/>
    </row>
    <row r="50">
      <c r="A50" s="458" t="inlineStr">
        <is>
          <t>남양동</t>
        </is>
      </c>
      <c r="D50" s="458" t="n">
        <v>7631</v>
      </c>
      <c r="E50" s="265" t="inlineStr">
        <is>
          <t>성원1차(그랜드타운남산)</t>
        </is>
      </c>
      <c r="F50" s="458" t="n">
        <v>1991.01</v>
      </c>
      <c r="G50" s="458" t="n">
        <v>1350</v>
      </c>
      <c r="H50" s="458">
        <f>2026-F50+1</f>
        <v/>
      </c>
      <c r="J50" s="458" t="n">
        <v>95</v>
      </c>
      <c r="K50" s="458" t="n">
        <v>79</v>
      </c>
      <c r="L50" s="458" t="n">
        <v>29</v>
      </c>
      <c r="M50" s="458" t="inlineStr">
        <is>
          <t>계단식</t>
        </is>
      </c>
      <c r="N50" s="458" t="n">
        <v>3</v>
      </c>
      <c r="O50" s="458" t="n">
        <v>1</v>
      </c>
      <c r="P50" s="458" t="n">
        <v>360</v>
      </c>
      <c r="U50" s="458" t="n">
        <v>3.05</v>
      </c>
      <c r="V50" s="458" t="n">
        <v>2.19</v>
      </c>
    </row>
    <row r="51">
      <c r="A51" s="458" t="inlineStr">
        <is>
          <t>남양동</t>
        </is>
      </c>
      <c r="D51" s="458" t="n">
        <v>7631</v>
      </c>
      <c r="E51" s="265" t="inlineStr">
        <is>
          <t>성원1차(그랜드타운남산)</t>
        </is>
      </c>
      <c r="F51" s="458" t="n">
        <v>1991.01</v>
      </c>
      <c r="G51" s="458" t="n">
        <v>1350</v>
      </c>
      <c r="H51" s="458">
        <f>2026-F51+1</f>
        <v/>
      </c>
      <c r="J51" s="458" t="n">
        <v>102</v>
      </c>
      <c r="K51" s="458" t="n">
        <v>84</v>
      </c>
      <c r="L51" s="458" t="n">
        <v>31</v>
      </c>
      <c r="M51" s="458" t="inlineStr">
        <is>
          <t>계단식</t>
        </is>
      </c>
      <c r="N51" s="458" t="n">
        <v>3</v>
      </c>
      <c r="O51" s="458" t="n">
        <v>2</v>
      </c>
      <c r="P51" s="458" t="n">
        <v>765</v>
      </c>
      <c r="U51" s="458" t="n">
        <v>3.7</v>
      </c>
      <c r="V51" s="458" t="n">
        <v>2.36</v>
      </c>
    </row>
    <row r="52">
      <c r="A52" s="458" t="inlineStr">
        <is>
          <t>남양동</t>
        </is>
      </c>
      <c r="D52" s="458" t="n">
        <v>7631</v>
      </c>
      <c r="E52" s="265" t="inlineStr">
        <is>
          <t>성원1차(그랜드타운남산)</t>
        </is>
      </c>
      <c r="F52" s="458" t="n">
        <v>1991.01</v>
      </c>
      <c r="G52" s="458" t="n">
        <v>1350</v>
      </c>
      <c r="H52" s="458">
        <f>2026-F52+1</f>
        <v/>
      </c>
      <c r="J52" s="458" t="n">
        <v>116</v>
      </c>
      <c r="K52" s="458" t="n">
        <v>96</v>
      </c>
      <c r="L52" s="458" t="n">
        <v>35</v>
      </c>
      <c r="M52" s="458" t="inlineStr">
        <is>
          <t>계단식</t>
        </is>
      </c>
      <c r="N52" s="458" t="n">
        <v>3</v>
      </c>
      <c r="O52" s="458" t="n">
        <v>2</v>
      </c>
      <c r="P52" s="458" t="n">
        <v>15</v>
      </c>
    </row>
    <row r="53">
      <c r="A53" s="458" t="inlineStr">
        <is>
          <t>남양동</t>
        </is>
      </c>
      <c r="D53" s="458" t="n">
        <v>7631</v>
      </c>
      <c r="E53" s="265" t="inlineStr">
        <is>
          <t>성원1차(그랜드타운남산)</t>
        </is>
      </c>
      <c r="F53" s="458" t="n">
        <v>1991.01</v>
      </c>
      <c r="G53" s="458" t="n">
        <v>1350</v>
      </c>
      <c r="H53" s="458">
        <f>2026-F53+1</f>
        <v/>
      </c>
      <c r="J53" s="458" t="n">
        <v>139</v>
      </c>
      <c r="K53" s="458" t="n">
        <v>118</v>
      </c>
      <c r="L53" s="458" t="n">
        <v>42</v>
      </c>
      <c r="M53" s="458" t="inlineStr">
        <is>
          <t>계단식</t>
        </is>
      </c>
      <c r="N53" s="458" t="n">
        <v>4</v>
      </c>
      <c r="O53" s="458" t="n">
        <v>2</v>
      </c>
      <c r="P53" s="458" t="n">
        <v>150</v>
      </c>
      <c r="U53" s="458" t="n">
        <v>4.17</v>
      </c>
      <c r="V53" s="458" t="n">
        <v>3.22</v>
      </c>
    </row>
    <row r="54">
      <c r="A54" s="458" t="inlineStr">
        <is>
          <t>남양동</t>
        </is>
      </c>
      <c r="D54" s="458" t="n">
        <v>7631</v>
      </c>
      <c r="E54" s="265" t="inlineStr">
        <is>
          <t>성원1차(그랜드타운남산)</t>
        </is>
      </c>
      <c r="F54" s="458" t="n">
        <v>1991.01</v>
      </c>
      <c r="G54" s="458" t="n">
        <v>1350</v>
      </c>
      <c r="H54" s="458">
        <f>2026-F54+1</f>
        <v/>
      </c>
      <c r="J54" s="458" t="n">
        <v>163</v>
      </c>
      <c r="K54" s="458" t="n">
        <v>140</v>
      </c>
      <c r="L54" s="458" t="n">
        <v>49</v>
      </c>
      <c r="M54" s="458" t="inlineStr">
        <is>
          <t>계단식</t>
        </is>
      </c>
      <c r="N54" s="458" t="n">
        <v>4</v>
      </c>
      <c r="O54" s="458" t="n">
        <v>2</v>
      </c>
      <c r="P54" s="458" t="n">
        <v>60</v>
      </c>
      <c r="U54" s="458" t="n">
        <v>3.9</v>
      </c>
      <c r="V54" s="458" t="n">
        <v>3.49</v>
      </c>
    </row>
    <row r="55">
      <c r="A55" s="263" t="inlineStr">
        <is>
          <t>남양동</t>
        </is>
      </c>
      <c r="B55" s="263" t="n"/>
      <c r="C55" s="263" t="n"/>
      <c r="D55" s="263" t="n">
        <v>7637</v>
      </c>
      <c r="E55" s="264" t="inlineStr">
        <is>
          <t>성원2차</t>
        </is>
      </c>
      <c r="F55" s="263" t="n">
        <v>1992.02</v>
      </c>
      <c r="G55" s="263" t="n">
        <v>1404</v>
      </c>
      <c r="H55" s="263">
        <f>2026-F55+1</f>
        <v/>
      </c>
      <c r="I55" s="263" t="n"/>
      <c r="J55" s="263" t="n">
        <v>96</v>
      </c>
      <c r="K55" s="263" t="n">
        <v>79</v>
      </c>
      <c r="L55" s="263" t="n">
        <v>29</v>
      </c>
      <c r="M55" s="263" t="inlineStr">
        <is>
          <t>계단식</t>
        </is>
      </c>
      <c r="N55" s="263" t="n">
        <v>3</v>
      </c>
      <c r="O55" s="263" t="n">
        <v>1</v>
      </c>
      <c r="P55" s="263" t="n">
        <v>144</v>
      </c>
      <c r="Q55" s="263" t="n"/>
      <c r="R55" s="263" t="n"/>
      <c r="S55" s="263" t="n"/>
      <c r="T55" s="263" t="n"/>
      <c r="U55" s="263" t="n">
        <v>3.25</v>
      </c>
      <c r="V55" s="263" t="n">
        <v>2.55</v>
      </c>
      <c r="W55" s="263" t="n"/>
      <c r="X55" s="263" t="n"/>
      <c r="Y55" s="263" t="n"/>
      <c r="Z55" s="263" t="n"/>
      <c r="AA55" s="263" t="n"/>
      <c r="AB55" s="263" t="n"/>
      <c r="AC55" s="263" t="n"/>
      <c r="AD55" s="263" t="n"/>
      <c r="AE55" s="263" t="n"/>
      <c r="AF55" s="263" t="n"/>
      <c r="AG55" s="263" t="n"/>
      <c r="AH55" s="263" t="n"/>
      <c r="AI55" s="263" t="n"/>
      <c r="AJ55" s="263" t="n"/>
      <c r="AK55" s="263" t="n"/>
      <c r="AL55" s="263" t="n"/>
    </row>
    <row r="56">
      <c r="A56" s="263" t="inlineStr">
        <is>
          <t>남양동</t>
        </is>
      </c>
      <c r="B56" s="263" t="n"/>
      <c r="C56" s="263" t="n"/>
      <c r="D56" s="263" t="n">
        <v>7637</v>
      </c>
      <c r="E56" s="264" t="inlineStr">
        <is>
          <t>성원2차</t>
        </is>
      </c>
      <c r="F56" s="263" t="n">
        <v>1992.02</v>
      </c>
      <c r="G56" s="263" t="n">
        <v>1404</v>
      </c>
      <c r="H56" s="263">
        <f>2026-F56+1</f>
        <v/>
      </c>
      <c r="I56" s="263" t="n"/>
      <c r="J56" s="263" t="n">
        <v>102</v>
      </c>
      <c r="K56" s="263" t="n">
        <v>84</v>
      </c>
      <c r="L56" s="263" t="n">
        <v>31</v>
      </c>
      <c r="M56" s="263" t="inlineStr">
        <is>
          <t>계단식</t>
        </is>
      </c>
      <c r="N56" s="263" t="n">
        <v>3</v>
      </c>
      <c r="O56" s="263" t="n">
        <v>2</v>
      </c>
      <c r="P56" s="263" t="n">
        <v>1020</v>
      </c>
      <c r="Q56" s="263" t="n"/>
      <c r="R56" s="263" t="n"/>
      <c r="S56" s="263" t="n"/>
      <c r="T56" s="263" t="n"/>
      <c r="U56" s="263" t="n">
        <v>3.45</v>
      </c>
      <c r="V56" s="263" t="n">
        <v>2.3</v>
      </c>
      <c r="W56" s="263" t="n"/>
      <c r="X56" s="263" t="n"/>
      <c r="Y56" s="263" t="n"/>
      <c r="Z56" s="263" t="n"/>
      <c r="AA56" s="263" t="n"/>
      <c r="AB56" s="263" t="n"/>
      <c r="AC56" s="263" t="n"/>
      <c r="AD56" s="263" t="n"/>
      <c r="AE56" s="263" t="n"/>
      <c r="AF56" s="263" t="n"/>
      <c r="AG56" s="263" t="n"/>
      <c r="AH56" s="263" t="n"/>
      <c r="AI56" s="263" t="n"/>
      <c r="AJ56" s="263" t="n"/>
      <c r="AK56" s="263" t="n"/>
      <c r="AL56" s="263" t="n"/>
    </row>
    <row r="57">
      <c r="A57" s="263" t="inlineStr">
        <is>
          <t>남양동</t>
        </is>
      </c>
      <c r="B57" s="263" t="n"/>
      <c r="C57" s="263" t="n"/>
      <c r="D57" s="263" t="n">
        <v>7637</v>
      </c>
      <c r="E57" s="264" t="inlineStr">
        <is>
          <t>성원2차</t>
        </is>
      </c>
      <c r="F57" s="263" t="n">
        <v>1992.02</v>
      </c>
      <c r="G57" s="263" t="n">
        <v>1404</v>
      </c>
      <c r="H57" s="263">
        <f>2026-F57+1</f>
        <v/>
      </c>
      <c r="I57" s="263" t="n"/>
      <c r="J57" s="263" t="n">
        <v>115</v>
      </c>
      <c r="K57" s="263" t="n">
        <v>96</v>
      </c>
      <c r="L57" s="263" t="n">
        <v>35</v>
      </c>
      <c r="M57" s="263" t="inlineStr">
        <is>
          <t>계단식</t>
        </is>
      </c>
      <c r="N57" s="263" t="n">
        <v>3</v>
      </c>
      <c r="O57" s="263" t="n">
        <v>2</v>
      </c>
      <c r="P57" s="263" t="n">
        <v>30</v>
      </c>
      <c r="Q57" s="263" t="n"/>
      <c r="R57" s="263" t="n"/>
      <c r="S57" s="263" t="n"/>
      <c r="T57" s="263" t="n"/>
      <c r="U57" s="263" t="n">
        <v>2.9</v>
      </c>
      <c r="V57" s="263" t="n">
        <v>2.7</v>
      </c>
      <c r="W57" s="263" t="n"/>
      <c r="X57" s="263" t="n"/>
      <c r="Y57" s="263" t="n"/>
      <c r="Z57" s="263" t="n"/>
      <c r="AA57" s="263" t="n"/>
      <c r="AB57" s="263" t="n"/>
      <c r="AC57" s="263" t="n"/>
      <c r="AD57" s="263" t="n"/>
      <c r="AE57" s="263" t="n"/>
      <c r="AF57" s="263" t="n"/>
      <c r="AG57" s="263" t="n"/>
      <c r="AH57" s="263" t="n"/>
      <c r="AI57" s="263" t="n"/>
      <c r="AJ57" s="263" t="n"/>
      <c r="AK57" s="263" t="n"/>
      <c r="AL57" s="263" t="n"/>
    </row>
    <row r="58">
      <c r="A58" s="263" t="inlineStr">
        <is>
          <t>남양동</t>
        </is>
      </c>
      <c r="B58" s="263" t="n"/>
      <c r="C58" s="263" t="n"/>
      <c r="D58" s="263" t="n">
        <v>7637</v>
      </c>
      <c r="E58" s="264" t="inlineStr">
        <is>
          <t>성원2차</t>
        </is>
      </c>
      <c r="F58" s="263" t="n">
        <v>1992.02</v>
      </c>
      <c r="G58" s="263" t="n">
        <v>1404</v>
      </c>
      <c r="H58" s="263">
        <f>2026-F58+1</f>
        <v/>
      </c>
      <c r="I58" s="263" t="n"/>
      <c r="J58" s="263" t="n">
        <v>131</v>
      </c>
      <c r="K58" s="263" t="n">
        <v>112</v>
      </c>
      <c r="L58" s="263" t="n">
        <v>40</v>
      </c>
      <c r="M58" s="263" t="inlineStr">
        <is>
          <t>계단식</t>
        </is>
      </c>
      <c r="N58" s="263" t="n">
        <v>4</v>
      </c>
      <c r="O58" s="263" t="n">
        <v>2</v>
      </c>
      <c r="P58" s="263" t="n">
        <v>30</v>
      </c>
      <c r="Q58" s="263" t="n"/>
      <c r="R58" s="263" t="n"/>
      <c r="S58" s="263" t="n"/>
      <c r="T58" s="263" t="n"/>
      <c r="U58" s="263" t="n"/>
      <c r="V58" s="263" t="n">
        <v>2.95</v>
      </c>
      <c r="W58" s="263" t="n"/>
      <c r="X58" s="263" t="n"/>
      <c r="Y58" s="263" t="n"/>
      <c r="Z58" s="263" t="n"/>
      <c r="AA58" s="263" t="n"/>
      <c r="AB58" s="263" t="n"/>
      <c r="AC58" s="263" t="n"/>
      <c r="AD58" s="263" t="n"/>
      <c r="AE58" s="263" t="n"/>
      <c r="AF58" s="263" t="n"/>
      <c r="AG58" s="263" t="n"/>
      <c r="AH58" s="263" t="n"/>
      <c r="AI58" s="263" t="n"/>
      <c r="AJ58" s="263" t="n"/>
      <c r="AK58" s="263" t="n"/>
      <c r="AL58" s="263" t="n"/>
    </row>
    <row r="59">
      <c r="A59" s="263" t="inlineStr">
        <is>
          <t>남양동</t>
        </is>
      </c>
      <c r="B59" s="263" t="n"/>
      <c r="C59" s="263" t="n"/>
      <c r="D59" s="263" t="n">
        <v>7637</v>
      </c>
      <c r="E59" s="264" t="inlineStr">
        <is>
          <t>성원2차</t>
        </is>
      </c>
      <c r="F59" s="263" t="n">
        <v>1992.02</v>
      </c>
      <c r="G59" s="263" t="n">
        <v>1404</v>
      </c>
      <c r="H59" s="263">
        <f>2026-F59+1</f>
        <v/>
      </c>
      <c r="I59" s="263" t="n"/>
      <c r="J59" s="263" t="n">
        <v>136</v>
      </c>
      <c r="K59" s="263" t="n">
        <v>118</v>
      </c>
      <c r="L59" s="263" t="n">
        <v>41</v>
      </c>
      <c r="M59" s="263" t="inlineStr">
        <is>
          <t>계단식</t>
        </is>
      </c>
      <c r="N59" s="263" t="n">
        <v>4</v>
      </c>
      <c r="O59" s="263" t="n">
        <v>2</v>
      </c>
      <c r="P59" s="263" t="n">
        <v>90</v>
      </c>
      <c r="Q59" s="263" t="n"/>
      <c r="R59" s="263" t="n"/>
      <c r="S59" s="263" t="n"/>
      <c r="T59" s="263" t="n"/>
      <c r="U59" s="263" t="n">
        <v>3.9</v>
      </c>
      <c r="V59" s="263" t="n">
        <v>3</v>
      </c>
      <c r="W59" s="263" t="n"/>
      <c r="X59" s="263" t="n"/>
      <c r="Y59" s="263" t="n"/>
      <c r="Z59" s="263" t="n"/>
      <c r="AA59" s="263" t="n"/>
      <c r="AB59" s="263" t="n"/>
      <c r="AC59" s="263" t="n"/>
      <c r="AD59" s="263" t="n"/>
      <c r="AE59" s="263" t="n"/>
      <c r="AF59" s="263" t="n"/>
      <c r="AG59" s="263" t="n"/>
      <c r="AH59" s="263" t="n"/>
      <c r="AI59" s="263" t="n"/>
      <c r="AJ59" s="263" t="n"/>
      <c r="AK59" s="263" t="n"/>
      <c r="AL59" s="263" t="n"/>
    </row>
    <row r="60">
      <c r="A60" s="263" t="inlineStr">
        <is>
          <t>남양동</t>
        </is>
      </c>
      <c r="B60" s="263" t="n"/>
      <c r="C60" s="263" t="n"/>
      <c r="D60" s="263" t="n">
        <v>7637</v>
      </c>
      <c r="E60" s="264" t="inlineStr">
        <is>
          <t>성원2차</t>
        </is>
      </c>
      <c r="F60" s="263" t="n">
        <v>1992.02</v>
      </c>
      <c r="G60" s="263" t="n">
        <v>1404</v>
      </c>
      <c r="H60" s="263">
        <f>2026-F60+1</f>
        <v/>
      </c>
      <c r="I60" s="263" t="n"/>
      <c r="J60" s="263" t="n">
        <v>175</v>
      </c>
      <c r="K60" s="263" t="n">
        <v>153</v>
      </c>
      <c r="L60" s="263" t="n">
        <v>53</v>
      </c>
      <c r="M60" s="263" t="inlineStr">
        <is>
          <t>계단식</t>
        </is>
      </c>
      <c r="N60" s="263" t="n">
        <v>5</v>
      </c>
      <c r="O60" s="263" t="n">
        <v>2</v>
      </c>
      <c r="P60" s="263" t="n">
        <v>60</v>
      </c>
      <c r="Q60" s="263" t="n"/>
      <c r="R60" s="263" t="n"/>
      <c r="S60" s="263" t="n"/>
      <c r="T60" s="263" t="n"/>
      <c r="U60" s="263" t="n">
        <v>3.8</v>
      </c>
      <c r="V60" s="263" t="n">
        <v>3.3</v>
      </c>
      <c r="W60" s="263" t="n"/>
      <c r="X60" s="263" t="n"/>
      <c r="Y60" s="263" t="n"/>
      <c r="Z60" s="263" t="n"/>
      <c r="AA60" s="263" t="n"/>
      <c r="AB60" s="263" t="n"/>
      <c r="AC60" s="263" t="n"/>
      <c r="AD60" s="263" t="n"/>
      <c r="AE60" s="263" t="n"/>
      <c r="AF60" s="263" t="n"/>
      <c r="AG60" s="263" t="n"/>
      <c r="AH60" s="263" t="n"/>
      <c r="AI60" s="263" t="n"/>
      <c r="AJ60" s="263" t="n"/>
      <c r="AK60" s="263" t="n"/>
      <c r="AL60" s="263" t="n"/>
    </row>
    <row r="61">
      <c r="A61" s="263" t="inlineStr">
        <is>
          <t>남양동</t>
        </is>
      </c>
      <c r="B61" s="263" t="n"/>
      <c r="C61" s="263" t="n"/>
      <c r="D61" s="263" t="n">
        <v>7637</v>
      </c>
      <c r="E61" s="264" t="inlineStr">
        <is>
          <t>성원2차</t>
        </is>
      </c>
      <c r="F61" s="263" t="n">
        <v>1992.02</v>
      </c>
      <c r="G61" s="263" t="n">
        <v>1404</v>
      </c>
      <c r="H61" s="263">
        <f>2026-F61+1</f>
        <v/>
      </c>
      <c r="I61" s="263" t="n"/>
      <c r="J61" s="263" t="n">
        <v>218</v>
      </c>
      <c r="K61" s="263" t="n">
        <v>192</v>
      </c>
      <c r="L61" s="263" t="n">
        <v>66</v>
      </c>
      <c r="M61" s="263" t="inlineStr">
        <is>
          <t>계단식</t>
        </is>
      </c>
      <c r="N61" s="263" t="n">
        <v>6</v>
      </c>
      <c r="O61" s="263" t="n">
        <v>3</v>
      </c>
      <c r="P61" s="263" t="n">
        <v>30</v>
      </c>
      <c r="Q61" s="263" t="n"/>
      <c r="R61" s="263" t="n"/>
      <c r="S61" s="263" t="n"/>
      <c r="T61" s="263" t="n"/>
      <c r="U61" s="263" t="n">
        <v>4.5</v>
      </c>
      <c r="V61" s="263" t="n"/>
      <c r="W61" s="263" t="n"/>
      <c r="X61" s="263" t="n"/>
      <c r="Y61" s="263" t="n"/>
      <c r="Z61" s="263" t="n"/>
      <c r="AA61" s="263" t="n"/>
      <c r="AB61" s="263" t="n"/>
      <c r="AC61" s="263" t="n"/>
      <c r="AD61" s="263" t="n"/>
      <c r="AE61" s="263" t="n"/>
      <c r="AF61" s="263" t="n"/>
      <c r="AG61" s="263" t="n"/>
      <c r="AH61" s="263" t="n"/>
      <c r="AI61" s="263" t="n"/>
      <c r="AJ61" s="263" t="n"/>
      <c r="AK61" s="263" t="n"/>
      <c r="AL61" s="263" t="n"/>
    </row>
    <row r="62">
      <c r="A62" s="458" t="inlineStr">
        <is>
          <t>남양동</t>
        </is>
      </c>
      <c r="D62" s="458" t="n">
        <v>7646</v>
      </c>
      <c r="E62" s="265" t="inlineStr">
        <is>
          <t>우성</t>
        </is>
      </c>
      <c r="F62" s="458" t="n">
        <v>1989.12</v>
      </c>
      <c r="G62" s="458" t="n">
        <v>750</v>
      </c>
      <c r="H62" s="458">
        <f>2026-F62+1</f>
        <v/>
      </c>
      <c r="J62" s="458" t="n">
        <v>83</v>
      </c>
      <c r="K62" s="458" t="n">
        <v>68</v>
      </c>
      <c r="L62" s="458" t="n">
        <v>25</v>
      </c>
      <c r="M62" s="458" t="inlineStr">
        <is>
          <t>계단식</t>
        </is>
      </c>
      <c r="N62" s="458" t="n">
        <v>3</v>
      </c>
      <c r="O62" s="458" t="n">
        <v>1</v>
      </c>
      <c r="P62" s="458" t="n">
        <v>90</v>
      </c>
      <c r="U62" s="458" t="n">
        <v>3.05</v>
      </c>
      <c r="V62" s="458" t="n">
        <v>2.4</v>
      </c>
    </row>
    <row r="63">
      <c r="A63" s="458" t="inlineStr">
        <is>
          <t>남양동</t>
        </is>
      </c>
      <c r="D63" s="458" t="n">
        <v>7646</v>
      </c>
      <c r="E63" s="265" t="inlineStr">
        <is>
          <t>우성</t>
        </is>
      </c>
      <c r="F63" s="458" t="n">
        <v>1989.12</v>
      </c>
      <c r="G63" s="458" t="n">
        <v>750</v>
      </c>
      <c r="H63" s="458">
        <f>2026-F63+1</f>
        <v/>
      </c>
      <c r="J63" s="458" t="n">
        <v>88</v>
      </c>
      <c r="K63" s="458" t="n">
        <v>73</v>
      </c>
      <c r="L63" s="458" t="n">
        <v>27</v>
      </c>
      <c r="M63" s="458" t="inlineStr">
        <is>
          <t>계단식</t>
        </is>
      </c>
      <c r="N63" s="458" t="n">
        <v>3</v>
      </c>
      <c r="O63" s="458" t="n">
        <v>1</v>
      </c>
      <c r="P63" s="458" t="n">
        <v>270</v>
      </c>
      <c r="U63" s="458" t="n">
        <v>3.5</v>
      </c>
      <c r="V63" s="458" t="n">
        <v>2.49</v>
      </c>
    </row>
    <row r="64">
      <c r="A64" s="458" t="inlineStr">
        <is>
          <t>남양동</t>
        </is>
      </c>
      <c r="D64" s="458" t="n">
        <v>7646</v>
      </c>
      <c r="E64" s="265" t="inlineStr">
        <is>
          <t>우성</t>
        </is>
      </c>
      <c r="F64" s="458" t="n">
        <v>1989.12</v>
      </c>
      <c r="G64" s="458" t="n">
        <v>750</v>
      </c>
      <c r="H64" s="458">
        <f>2026-F64+1</f>
        <v/>
      </c>
      <c r="J64" s="458" t="n">
        <v>99</v>
      </c>
      <c r="K64" s="458" t="n">
        <v>83</v>
      </c>
      <c r="L64" s="458" t="n">
        <v>30</v>
      </c>
      <c r="M64" s="458" t="inlineStr">
        <is>
          <t>계단식</t>
        </is>
      </c>
      <c r="N64" s="458" t="n">
        <v>3</v>
      </c>
      <c r="O64" s="458" t="n">
        <v>1</v>
      </c>
      <c r="P64" s="458" t="n">
        <v>390</v>
      </c>
      <c r="U64" s="458" t="n">
        <v>3.99</v>
      </c>
      <c r="V64" s="458" t="n">
        <v>2.5</v>
      </c>
    </row>
    <row r="65">
      <c r="A65" s="263" t="inlineStr">
        <is>
          <t>남양동</t>
        </is>
      </c>
      <c r="B65" s="263" t="n"/>
      <c r="C65" s="263" t="n"/>
      <c r="D65" s="263" t="n">
        <v>22621</v>
      </c>
      <c r="E65" s="264" t="inlineStr">
        <is>
          <t>위드파크</t>
        </is>
      </c>
      <c r="F65" s="263" t="n">
        <v>1998.05</v>
      </c>
      <c r="G65" s="263" t="n">
        <v>960</v>
      </c>
      <c r="H65" s="263">
        <f>2026-F65+1</f>
        <v/>
      </c>
      <c r="I65" s="263" t="n"/>
      <c r="J65" s="263" t="n">
        <v>69</v>
      </c>
      <c r="K65" s="263" t="n">
        <v>51</v>
      </c>
      <c r="L65" s="263" t="n">
        <v>21</v>
      </c>
      <c r="M65" s="263" t="inlineStr">
        <is>
          <t>복도식</t>
        </is>
      </c>
      <c r="N65" s="263" t="n">
        <v>3</v>
      </c>
      <c r="O65" s="263" t="n">
        <v>1</v>
      </c>
      <c r="P65" s="263" t="n">
        <v>120</v>
      </c>
      <c r="Q65" s="263" t="n"/>
      <c r="R65" s="263" t="n"/>
      <c r="S65" s="263" t="n"/>
      <c r="T65" s="263" t="n"/>
      <c r="U65" s="263" t="n">
        <v>2.19</v>
      </c>
      <c r="V65" s="263" t="n">
        <v>1.62</v>
      </c>
      <c r="W65" s="263" t="n"/>
      <c r="X65" s="263" t="n"/>
      <c r="Y65" s="263" t="n"/>
      <c r="Z65" s="263" t="n"/>
      <c r="AA65" s="263" t="n"/>
      <c r="AB65" s="263" t="n"/>
      <c r="AC65" s="263" t="n"/>
      <c r="AD65" s="263" t="n"/>
      <c r="AE65" s="263" t="n"/>
      <c r="AF65" s="263" t="n"/>
      <c r="AG65" s="263" t="n"/>
      <c r="AH65" s="263" t="n"/>
      <c r="AI65" s="263" t="n"/>
      <c r="AJ65" s="263" t="n"/>
      <c r="AK65" s="263" t="n"/>
      <c r="AL65" s="263" t="n"/>
    </row>
    <row r="66">
      <c r="A66" s="263" t="inlineStr">
        <is>
          <t>남양동</t>
        </is>
      </c>
      <c r="B66" s="263" t="n"/>
      <c r="C66" s="263" t="n"/>
      <c r="D66" s="263" t="n">
        <v>22621</v>
      </c>
      <c r="E66" s="264" t="inlineStr">
        <is>
          <t>위드파크</t>
        </is>
      </c>
      <c r="F66" s="263" t="n">
        <v>1998.05</v>
      </c>
      <c r="G66" s="263" t="n">
        <v>960</v>
      </c>
      <c r="H66" s="263">
        <f>2026-F66+1</f>
        <v/>
      </c>
      <c r="I66" s="263" t="n"/>
      <c r="J66" s="263" t="n">
        <v>70</v>
      </c>
      <c r="K66" s="263" t="n">
        <v>53</v>
      </c>
      <c r="L66" s="263" t="n">
        <v>21</v>
      </c>
      <c r="M66" s="263" t="inlineStr">
        <is>
          <t>복도식</t>
        </is>
      </c>
      <c r="N66" s="263" t="n">
        <v>3</v>
      </c>
      <c r="O66" s="263" t="n">
        <v>1</v>
      </c>
      <c r="P66" s="263" t="n">
        <v>390</v>
      </c>
      <c r="Q66" s="263" t="n"/>
      <c r="R66" s="263" t="n"/>
      <c r="S66" s="263" t="n"/>
      <c r="T66" s="263" t="n"/>
      <c r="U66" s="263" t="n">
        <v>2.28</v>
      </c>
      <c r="V66" s="263" t="n">
        <v>1.63</v>
      </c>
      <c r="W66" s="263" t="n"/>
      <c r="X66" s="263" t="n"/>
      <c r="Y66" s="263" t="n"/>
      <c r="Z66" s="263" t="n"/>
      <c r="AA66" s="263" t="n"/>
      <c r="AB66" s="263" t="n"/>
      <c r="AC66" s="263" t="n"/>
      <c r="AD66" s="263" t="n"/>
      <c r="AE66" s="263" t="n"/>
      <c r="AF66" s="263" t="n"/>
      <c r="AG66" s="263" t="n"/>
      <c r="AH66" s="263" t="n"/>
      <c r="AI66" s="263" t="n"/>
      <c r="AJ66" s="263" t="n"/>
      <c r="AK66" s="263" t="n"/>
      <c r="AL66" s="263" t="n"/>
    </row>
    <row r="67">
      <c r="A67" s="263" t="inlineStr">
        <is>
          <t>남양동</t>
        </is>
      </c>
      <c r="B67" s="263" t="n"/>
      <c r="C67" s="263" t="n"/>
      <c r="D67" s="263" t="n">
        <v>22621</v>
      </c>
      <c r="E67" s="264" t="inlineStr">
        <is>
          <t>위드파크</t>
        </is>
      </c>
      <c r="F67" s="263" t="n">
        <v>1998.05</v>
      </c>
      <c r="G67" s="263" t="n">
        <v>960</v>
      </c>
      <c r="H67" s="263">
        <f>2026-F67+1</f>
        <v/>
      </c>
      <c r="I67" s="263" t="n"/>
      <c r="J67" s="263" t="n">
        <v>76</v>
      </c>
      <c r="K67" s="263" t="n">
        <v>58</v>
      </c>
      <c r="L67" s="263" t="n">
        <v>23</v>
      </c>
      <c r="M67" s="263" t="inlineStr">
        <is>
          <t>복도식</t>
        </is>
      </c>
      <c r="N67" s="263" t="n">
        <v>3</v>
      </c>
      <c r="O67" s="263" t="n">
        <v>1</v>
      </c>
      <c r="P67" s="263" t="n">
        <v>360</v>
      </c>
      <c r="Q67" s="263" t="n"/>
      <c r="R67" s="263" t="n"/>
      <c r="S67" s="263" t="n"/>
      <c r="T67" s="263" t="n"/>
      <c r="U67" s="263" t="n">
        <v>2.68</v>
      </c>
      <c r="V67" s="263" t="n">
        <v>1.95</v>
      </c>
      <c r="W67" s="263" t="n"/>
      <c r="X67" s="263" t="n"/>
      <c r="Y67" s="263" t="n"/>
      <c r="Z67" s="263" t="n"/>
      <c r="AA67" s="263" t="n"/>
      <c r="AB67" s="263" t="n"/>
      <c r="AC67" s="263" t="n"/>
      <c r="AD67" s="263" t="n"/>
      <c r="AE67" s="263" t="n"/>
      <c r="AF67" s="263" t="n"/>
      <c r="AG67" s="263" t="n"/>
      <c r="AH67" s="263" t="n"/>
      <c r="AI67" s="263" t="n"/>
      <c r="AJ67" s="263" t="n"/>
      <c r="AK67" s="263" t="n"/>
      <c r="AL67" s="263" t="n"/>
    </row>
    <row r="68">
      <c r="A68" s="263" t="inlineStr">
        <is>
          <t>남양동</t>
        </is>
      </c>
      <c r="B68" s="263" t="n"/>
      <c r="C68" s="263" t="n"/>
      <c r="D68" s="263" t="n">
        <v>22621</v>
      </c>
      <c r="E68" s="264" t="inlineStr">
        <is>
          <t>위드파크</t>
        </is>
      </c>
      <c r="F68" s="263" t="n">
        <v>1998.05</v>
      </c>
      <c r="G68" s="263" t="n">
        <v>960</v>
      </c>
      <c r="H68" s="263">
        <f>2026-F68+1</f>
        <v/>
      </c>
      <c r="I68" s="263" t="n"/>
      <c r="J68" s="263" t="n">
        <v>78</v>
      </c>
      <c r="K68" s="263" t="n">
        <v>59</v>
      </c>
      <c r="L68" s="263" t="n">
        <v>24</v>
      </c>
      <c r="M68" s="263" t="inlineStr">
        <is>
          <t>복도식</t>
        </is>
      </c>
      <c r="N68" s="263" t="n">
        <v>3</v>
      </c>
      <c r="O68" s="263" t="n">
        <v>1</v>
      </c>
      <c r="P68" s="263" t="n">
        <v>90</v>
      </c>
      <c r="Q68" s="263" t="n"/>
      <c r="R68" s="263" t="n"/>
      <c r="S68" s="263" t="n"/>
      <c r="T68" s="263" t="n"/>
      <c r="U68" s="263" t="n">
        <v>2.68</v>
      </c>
      <c r="V68" s="263" t="n">
        <v>1.95</v>
      </c>
      <c r="W68" s="263" t="n"/>
      <c r="X68" s="263" t="n"/>
      <c r="Y68" s="263" t="n"/>
      <c r="Z68" s="263" t="n"/>
      <c r="AA68" s="263" t="n"/>
      <c r="AB68" s="263" t="n"/>
      <c r="AC68" s="263" t="n"/>
      <c r="AD68" s="263" t="n"/>
      <c r="AE68" s="263" t="n"/>
      <c r="AF68" s="263" t="n"/>
      <c r="AG68" s="263" t="n"/>
      <c r="AH68" s="263" t="n"/>
      <c r="AI68" s="263" t="n"/>
      <c r="AJ68" s="263" t="n"/>
      <c r="AK68" s="263" t="n"/>
      <c r="AL68" s="263" t="n"/>
    </row>
    <row r="69">
      <c r="A69" s="458" t="inlineStr">
        <is>
          <t>남양동</t>
        </is>
      </c>
      <c r="D69" s="458" t="n">
        <v>15724</v>
      </c>
      <c r="E69" s="265" t="inlineStr">
        <is>
          <t>피오르빌</t>
        </is>
      </c>
      <c r="F69" s="458" t="n">
        <v>1995.07</v>
      </c>
      <c r="G69" s="458" t="n">
        <v>1560</v>
      </c>
      <c r="H69" s="458">
        <f>2026-F69+1</f>
        <v/>
      </c>
      <c r="J69" s="458" t="n">
        <v>52</v>
      </c>
      <c r="K69" s="458" t="n">
        <v>39</v>
      </c>
      <c r="L69" s="458" t="n">
        <v>16</v>
      </c>
      <c r="M69" s="458" t="inlineStr">
        <is>
          <t>복도식</t>
        </is>
      </c>
      <c r="N69" s="458" t="n">
        <v>2</v>
      </c>
      <c r="O69" s="458" t="n">
        <v>1</v>
      </c>
      <c r="P69" s="458" t="n">
        <v>540</v>
      </c>
      <c r="U69" s="458" t="n">
        <v>1.78</v>
      </c>
      <c r="V69" s="458" t="n">
        <v>1.1</v>
      </c>
    </row>
    <row r="70">
      <c r="A70" s="458" t="inlineStr">
        <is>
          <t>남양동</t>
        </is>
      </c>
      <c r="D70" s="458" t="n">
        <v>15724</v>
      </c>
      <c r="E70" s="265" t="inlineStr">
        <is>
          <t>피오르빌</t>
        </is>
      </c>
      <c r="F70" s="458" t="n">
        <v>1995.07</v>
      </c>
      <c r="G70" s="458" t="n">
        <v>1560</v>
      </c>
      <c r="H70" s="458">
        <f>2026-F70+1</f>
        <v/>
      </c>
      <c r="J70" s="458" t="n">
        <v>66</v>
      </c>
      <c r="K70" s="458" t="n">
        <v>49</v>
      </c>
      <c r="L70" s="458" t="n">
        <v>20</v>
      </c>
      <c r="M70" s="458" t="inlineStr">
        <is>
          <t>복도식</t>
        </is>
      </c>
      <c r="N70" s="458" t="n">
        <v>2</v>
      </c>
      <c r="O70" s="458" t="n">
        <v>1</v>
      </c>
      <c r="P70" s="458" t="n">
        <v>1020</v>
      </c>
      <c r="U70" s="458" t="n">
        <v>2.3</v>
      </c>
      <c r="V70" s="458" t="n">
        <v>1.5</v>
      </c>
    </row>
    <row r="71">
      <c r="A71" s="263" t="inlineStr">
        <is>
          <t>남양동</t>
        </is>
      </c>
      <c r="B71" s="263" t="n"/>
      <c r="C71" s="263" t="n"/>
      <c r="D71" s="263" t="n">
        <v>15726</v>
      </c>
      <c r="E71" s="264" t="inlineStr">
        <is>
          <t>한림엘리시온</t>
        </is>
      </c>
      <c r="F71" s="263" t="n">
        <v>2002.05</v>
      </c>
      <c r="G71" s="263" t="n">
        <v>210</v>
      </c>
      <c r="H71" s="263">
        <f>2026-F71+1</f>
        <v/>
      </c>
      <c r="I71" s="263" t="n"/>
      <c r="J71" s="263" t="n">
        <v>109</v>
      </c>
      <c r="K71" s="263" t="n">
        <v>84</v>
      </c>
      <c r="L71" s="263" t="n">
        <v>33</v>
      </c>
      <c r="M71" s="263" t="inlineStr">
        <is>
          <t>계단식</t>
        </is>
      </c>
      <c r="N71" s="263" t="n">
        <v>3</v>
      </c>
      <c r="O71" s="263" t="n">
        <v>2</v>
      </c>
      <c r="P71" s="263" t="n">
        <v>210</v>
      </c>
      <c r="Q71" s="263" t="n"/>
      <c r="R71" s="263" t="n"/>
      <c r="S71" s="263" t="n"/>
      <c r="T71" s="263" t="n"/>
      <c r="U71" s="263" t="n">
        <v>4.14</v>
      </c>
      <c r="V71" s="263" t="n">
        <v>3.48</v>
      </c>
      <c r="W71" s="263" t="n"/>
      <c r="X71" s="263" t="n"/>
      <c r="Y71" s="263" t="n"/>
      <c r="Z71" s="263" t="n"/>
      <c r="AA71" s="263" t="n"/>
      <c r="AB71" s="263" t="n"/>
      <c r="AC71" s="263" t="n"/>
      <c r="AD71" s="263" t="n"/>
      <c r="AE71" s="263" t="n"/>
      <c r="AF71" s="263" t="n"/>
      <c r="AG71" s="263" t="n"/>
      <c r="AH71" s="263" t="n"/>
      <c r="AI71" s="263" t="n"/>
      <c r="AJ71" s="263" t="n"/>
      <c r="AK71" s="263" t="n"/>
      <c r="AL71" s="263" t="n"/>
    </row>
    <row r="72">
      <c r="A72" s="458" t="inlineStr">
        <is>
          <t>내동</t>
        </is>
      </c>
      <c r="D72" s="458" t="n">
        <v>15736</v>
      </c>
      <c r="E72" s="265" t="inlineStr">
        <is>
          <t>내동주공1단지</t>
        </is>
      </c>
      <c r="F72" s="458" t="n">
        <v>1977.01</v>
      </c>
      <c r="G72" s="458" t="n">
        <v>200</v>
      </c>
      <c r="H72" s="458">
        <f>2026-F72+1</f>
        <v/>
      </c>
      <c r="J72" s="458" t="n">
        <v>50</v>
      </c>
      <c r="K72" s="458" t="n">
        <v>49</v>
      </c>
      <c r="L72" s="458" t="n">
        <v>15</v>
      </c>
      <c r="M72" s="458" t="inlineStr">
        <is>
          <t>복도식</t>
        </is>
      </c>
      <c r="N72" s="458" t="n">
        <v>2</v>
      </c>
      <c r="O72" s="458" t="n">
        <v>1</v>
      </c>
      <c r="P72" s="458" t="n">
        <v>200</v>
      </c>
    </row>
    <row r="73">
      <c r="A73" s="263" t="inlineStr">
        <is>
          <t>내동</t>
        </is>
      </c>
      <c r="B73" s="263" t="n"/>
      <c r="C73" s="263" t="n"/>
      <c r="D73" s="263" t="n">
        <v>15727</v>
      </c>
      <c r="E73" s="264" t="inlineStr">
        <is>
          <t>목련</t>
        </is>
      </c>
      <c r="F73" s="263" t="n">
        <v>1979.09</v>
      </c>
      <c r="G73" s="263" t="n">
        <v>238</v>
      </c>
      <c r="H73" s="263">
        <f>2026-F73+1</f>
        <v/>
      </c>
      <c r="I73" s="263" t="n"/>
      <c r="J73" s="263" t="n">
        <v>52</v>
      </c>
      <c r="K73" s="263" t="n">
        <v>41</v>
      </c>
      <c r="L73" s="263" t="n">
        <v>16</v>
      </c>
      <c r="M73" s="263" t="inlineStr">
        <is>
          <t>복도식</t>
        </is>
      </c>
      <c r="N73" s="263" t="n">
        <v>2</v>
      </c>
      <c r="O73" s="263" t="n">
        <v>1</v>
      </c>
      <c r="P73" s="263" t="n">
        <v>178</v>
      </c>
      <c r="Q73" s="263" t="n"/>
      <c r="R73" s="263" t="n"/>
      <c r="S73" s="263" t="n"/>
      <c r="T73" s="263" t="n"/>
      <c r="U73" s="263" t="n">
        <v>1.3</v>
      </c>
      <c r="V73" s="263" t="n">
        <v>0.9</v>
      </c>
      <c r="W73" s="263" t="n"/>
      <c r="X73" s="263" t="n"/>
      <c r="Y73" s="263" t="n"/>
      <c r="Z73" s="263" t="n"/>
      <c r="AA73" s="263" t="n"/>
      <c r="AB73" s="263" t="n"/>
      <c r="AC73" s="263" t="n"/>
      <c r="AD73" s="263" t="n"/>
      <c r="AE73" s="263" t="n"/>
      <c r="AF73" s="263" t="n"/>
      <c r="AG73" s="263" t="n"/>
      <c r="AH73" s="263" t="n"/>
      <c r="AI73" s="263" t="n"/>
      <c r="AJ73" s="263" t="n"/>
      <c r="AK73" s="263" t="n"/>
      <c r="AL73" s="263" t="n"/>
    </row>
    <row r="74">
      <c r="A74" s="263" t="inlineStr">
        <is>
          <t>내동</t>
        </is>
      </c>
      <c r="B74" s="263" t="n"/>
      <c r="C74" s="263" t="n"/>
      <c r="D74" s="263" t="n">
        <v>15727</v>
      </c>
      <c r="E74" s="264" t="inlineStr">
        <is>
          <t>목련</t>
        </is>
      </c>
      <c r="F74" s="263" t="n">
        <v>1979.09</v>
      </c>
      <c r="G74" s="263" t="n">
        <v>238</v>
      </c>
      <c r="H74" s="263">
        <f>2026-F74+1</f>
        <v/>
      </c>
      <c r="I74" s="263" t="n"/>
      <c r="J74" s="263" t="n">
        <v>76</v>
      </c>
      <c r="K74" s="263" t="n">
        <v>59</v>
      </c>
      <c r="L74" s="263" t="n">
        <v>23</v>
      </c>
      <c r="M74" s="263" t="inlineStr">
        <is>
          <t>복도식</t>
        </is>
      </c>
      <c r="N74" s="263" t="n">
        <v>3</v>
      </c>
      <c r="O74" s="263" t="n">
        <v>1</v>
      </c>
      <c r="P74" s="263" t="n">
        <v>20</v>
      </c>
      <c r="Q74" s="263" t="n"/>
      <c r="R74" s="263" t="n"/>
      <c r="S74" s="263" t="n"/>
      <c r="T74" s="263" t="n"/>
      <c r="U74" s="263" t="n">
        <v>1.7</v>
      </c>
      <c r="V74" s="263" t="n">
        <v>1.43</v>
      </c>
      <c r="W74" s="263" t="n"/>
      <c r="X74" s="263" t="n"/>
      <c r="Y74" s="263" t="n"/>
      <c r="Z74" s="263" t="n"/>
      <c r="AA74" s="263" t="n"/>
      <c r="AB74" s="263" t="n"/>
      <c r="AC74" s="263" t="n"/>
      <c r="AD74" s="263" t="n"/>
      <c r="AE74" s="263" t="n"/>
      <c r="AF74" s="263" t="n"/>
      <c r="AG74" s="263" t="n"/>
      <c r="AH74" s="263" t="n"/>
      <c r="AI74" s="263" t="n"/>
      <c r="AJ74" s="263" t="n"/>
      <c r="AK74" s="263" t="n"/>
      <c r="AL74" s="263" t="n"/>
    </row>
    <row r="75">
      <c r="A75" s="263" t="inlineStr">
        <is>
          <t>내동</t>
        </is>
      </c>
      <c r="B75" s="263" t="n"/>
      <c r="C75" s="263" t="n"/>
      <c r="D75" s="263" t="n">
        <v>15727</v>
      </c>
      <c r="E75" s="264" t="inlineStr">
        <is>
          <t>목련</t>
        </is>
      </c>
      <c r="F75" s="263" t="n">
        <v>1979.09</v>
      </c>
      <c r="G75" s="263" t="n">
        <v>238</v>
      </c>
      <c r="H75" s="263">
        <f>2026-F75+1</f>
        <v/>
      </c>
      <c r="I75" s="263" t="n"/>
      <c r="J75" s="263" t="n">
        <v>82</v>
      </c>
      <c r="K75" s="263" t="n">
        <v>64</v>
      </c>
      <c r="L75" s="263" t="n">
        <v>25</v>
      </c>
      <c r="M75" s="263" t="inlineStr">
        <is>
          <t>복도식</t>
        </is>
      </c>
      <c r="N75" s="263" t="n">
        <v>3</v>
      </c>
      <c r="O75" s="263" t="n">
        <v>1</v>
      </c>
      <c r="P75" s="263" t="n">
        <v>20</v>
      </c>
      <c r="Q75" s="263" t="n"/>
      <c r="R75" s="263" t="n"/>
      <c r="S75" s="263" t="n"/>
      <c r="T75" s="263" t="n"/>
      <c r="U75" s="263" t="n">
        <v>1.82</v>
      </c>
      <c r="V75" s="263" t="n">
        <v>1.3</v>
      </c>
      <c r="W75" s="263" t="n"/>
      <c r="X75" s="263" t="n"/>
      <c r="Y75" s="263" t="n"/>
      <c r="Z75" s="263" t="n"/>
      <c r="AA75" s="263" t="n"/>
      <c r="AB75" s="263" t="n"/>
      <c r="AC75" s="263" t="n"/>
      <c r="AD75" s="263" t="n"/>
      <c r="AE75" s="263" t="n"/>
      <c r="AF75" s="263" t="n"/>
      <c r="AG75" s="263" t="n"/>
      <c r="AH75" s="263" t="n"/>
      <c r="AI75" s="263" t="n"/>
      <c r="AJ75" s="263" t="n"/>
      <c r="AK75" s="263" t="n"/>
      <c r="AL75" s="263" t="n"/>
    </row>
    <row r="76">
      <c r="A76" s="263" t="inlineStr">
        <is>
          <t>내동</t>
        </is>
      </c>
      <c r="B76" s="263" t="n"/>
      <c r="C76" s="263" t="n"/>
      <c r="D76" s="263" t="n">
        <v>15727</v>
      </c>
      <c r="E76" s="264" t="inlineStr">
        <is>
          <t>목련</t>
        </is>
      </c>
      <c r="F76" s="263" t="n">
        <v>1979.09</v>
      </c>
      <c r="G76" s="263" t="n">
        <v>238</v>
      </c>
      <c r="H76" s="263">
        <f>2026-F76+1</f>
        <v/>
      </c>
      <c r="I76" s="263" t="n"/>
      <c r="J76" s="263" t="n">
        <v>102</v>
      </c>
      <c r="K76" s="263" t="n">
        <v>81</v>
      </c>
      <c r="L76" s="263" t="n">
        <v>31</v>
      </c>
      <c r="M76" s="263" t="inlineStr">
        <is>
          <t>복도식</t>
        </is>
      </c>
      <c r="N76" s="263" t="n">
        <v>3</v>
      </c>
      <c r="O76" s="263" t="n">
        <v>1</v>
      </c>
      <c r="P76" s="263" t="n">
        <v>10</v>
      </c>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row>
    <row r="77">
      <c r="A77" s="263" t="inlineStr">
        <is>
          <t>내동</t>
        </is>
      </c>
      <c r="B77" s="263" t="n"/>
      <c r="C77" s="263" t="n"/>
      <c r="D77" s="263" t="n">
        <v>15727</v>
      </c>
      <c r="E77" s="264" t="inlineStr">
        <is>
          <t>목련</t>
        </is>
      </c>
      <c r="F77" s="263" t="n">
        <v>1979.09</v>
      </c>
      <c r="G77" s="263" t="n">
        <v>238</v>
      </c>
      <c r="H77" s="263">
        <f>2026-F77+1</f>
        <v/>
      </c>
      <c r="I77" s="263" t="n"/>
      <c r="J77" s="263" t="n">
        <v>105</v>
      </c>
      <c r="K77" s="263" t="n">
        <v>84</v>
      </c>
      <c r="L77" s="263" t="n">
        <v>32</v>
      </c>
      <c r="M77" s="263" t="inlineStr">
        <is>
          <t>복도식</t>
        </is>
      </c>
      <c r="N77" s="263" t="n">
        <v>3</v>
      </c>
      <c r="O77" s="263" t="n">
        <v>1</v>
      </c>
      <c r="P77" s="263" t="n">
        <v>10</v>
      </c>
      <c r="Q77" s="263" t="n"/>
      <c r="R77" s="263" t="n"/>
      <c r="S77" s="263" t="n"/>
      <c r="T77" s="263" t="n"/>
      <c r="U77" s="263" t="n">
        <v>2.03</v>
      </c>
      <c r="V77" s="263" t="n">
        <v>2.03</v>
      </c>
      <c r="W77" s="263" t="n"/>
      <c r="X77" s="263" t="n"/>
      <c r="Y77" s="263" t="n"/>
      <c r="Z77" s="263" t="n"/>
      <c r="AA77" s="263" t="n"/>
      <c r="AB77" s="263" t="n"/>
      <c r="AC77" s="263" t="n"/>
      <c r="AD77" s="263" t="n"/>
      <c r="AE77" s="263" t="n"/>
      <c r="AF77" s="263" t="n"/>
      <c r="AG77" s="263" t="n"/>
      <c r="AH77" s="263" t="n"/>
      <c r="AI77" s="263" t="n"/>
      <c r="AJ77" s="263" t="n"/>
      <c r="AK77" s="263" t="n"/>
      <c r="AL77" s="263" t="n"/>
    </row>
    <row r="78">
      <c r="A78" s="458" t="inlineStr">
        <is>
          <t>내동</t>
        </is>
      </c>
      <c r="D78" s="458" t="n">
        <v>15735</v>
      </c>
      <c r="E78" s="265" t="inlineStr">
        <is>
          <t>일성그라미</t>
        </is>
      </c>
      <c r="F78" s="458" t="n">
        <v>1990.03</v>
      </c>
      <c r="G78" s="458" t="n">
        <v>240</v>
      </c>
      <c r="H78" s="458">
        <f>2026-F78+1</f>
        <v/>
      </c>
      <c r="J78" s="458" t="n">
        <v>87</v>
      </c>
      <c r="K78" s="458" t="n">
        <v>71</v>
      </c>
      <c r="L78" s="458" t="n">
        <v>26</v>
      </c>
      <c r="M78" s="458" t="inlineStr">
        <is>
          <t>계단식</t>
        </is>
      </c>
      <c r="N78" s="458" t="n">
        <v>3</v>
      </c>
      <c r="O78" s="458" t="n">
        <v>1</v>
      </c>
      <c r="P78" s="458" t="n">
        <v>120</v>
      </c>
      <c r="U78" s="458" t="n">
        <v>1.73</v>
      </c>
      <c r="V78" s="458" t="n">
        <v>1.34</v>
      </c>
    </row>
    <row r="79">
      <c r="A79" s="458" t="inlineStr">
        <is>
          <t>내동</t>
        </is>
      </c>
      <c r="D79" s="458" t="n">
        <v>15735</v>
      </c>
      <c r="E79" s="265" t="inlineStr">
        <is>
          <t>일성그라미</t>
        </is>
      </c>
      <c r="F79" s="458" t="n">
        <v>1990.03</v>
      </c>
      <c r="G79" s="458" t="n">
        <v>240</v>
      </c>
      <c r="H79" s="458">
        <f>2026-F79+1</f>
        <v/>
      </c>
      <c r="J79" s="458" t="n">
        <v>96</v>
      </c>
      <c r="K79" s="458" t="n">
        <v>80</v>
      </c>
      <c r="L79" s="458" t="n">
        <v>29</v>
      </c>
      <c r="M79" s="458" t="inlineStr">
        <is>
          <t>계단식</t>
        </is>
      </c>
      <c r="N79" s="458" t="n">
        <v>3</v>
      </c>
      <c r="O79" s="458" t="n">
        <v>1</v>
      </c>
      <c r="P79" s="458" t="n">
        <v>120</v>
      </c>
      <c r="U79" s="458" t="n">
        <v>1.84</v>
      </c>
      <c r="V79" s="458" t="n">
        <v>1.62</v>
      </c>
    </row>
    <row r="80">
      <c r="A80" s="263" t="inlineStr">
        <is>
          <t>내동</t>
        </is>
      </c>
      <c r="B80" s="263" t="n"/>
      <c r="C80" s="263" t="n"/>
      <c r="D80" s="263" t="n">
        <v>10888</v>
      </c>
      <c r="E80" s="264" t="inlineStr">
        <is>
          <t>창원월드메르디앙웨스턴애비뉴</t>
        </is>
      </c>
      <c r="F80" s="263" t="n">
        <v>2009.02</v>
      </c>
      <c r="G80" s="263" t="n">
        <v>504</v>
      </c>
      <c r="H80" s="263">
        <f>2026-F80+1</f>
        <v/>
      </c>
      <c r="I80" s="263" t="n"/>
      <c r="J80" s="263" t="n">
        <v>77</v>
      </c>
      <c r="K80" s="263" t="n">
        <v>59</v>
      </c>
      <c r="L80" s="263" t="n">
        <v>23</v>
      </c>
      <c r="M80" s="263" t="inlineStr">
        <is>
          <t>계단식</t>
        </is>
      </c>
      <c r="N80" s="263" t="n">
        <v>3</v>
      </c>
      <c r="O80" s="263" t="n">
        <v>2</v>
      </c>
      <c r="P80" s="263" t="n">
        <v>180</v>
      </c>
      <c r="Q80" s="263" t="n"/>
      <c r="R80" s="263" t="n"/>
      <c r="S80" s="263" t="n"/>
      <c r="T80" s="263" t="n"/>
      <c r="U80" s="263" t="n">
        <v>2.26</v>
      </c>
      <c r="V80" s="263" t="n">
        <v>2.14</v>
      </c>
      <c r="W80" s="263" t="n"/>
      <c r="X80" s="263" t="n"/>
      <c r="Y80" s="263" t="n"/>
      <c r="Z80" s="263" t="n"/>
      <c r="AA80" s="263" t="n"/>
      <c r="AB80" s="263" t="n"/>
      <c r="AC80" s="263" t="n"/>
      <c r="AD80" s="263" t="n"/>
      <c r="AE80" s="263" t="n"/>
      <c r="AF80" s="263" t="n"/>
      <c r="AG80" s="263" t="n"/>
      <c r="AH80" s="263" t="n"/>
      <c r="AI80" s="263" t="n"/>
      <c r="AJ80" s="263" t="n"/>
      <c r="AK80" s="263" t="n"/>
      <c r="AL80" s="263" t="n"/>
    </row>
    <row r="81">
      <c r="A81" s="263" t="inlineStr">
        <is>
          <t>내동</t>
        </is>
      </c>
      <c r="B81" s="263" t="n"/>
      <c r="C81" s="263" t="n"/>
      <c r="D81" s="263" t="n">
        <v>10888</v>
      </c>
      <c r="E81" s="264" t="inlineStr">
        <is>
          <t>창원월드메르디앙웨스턴애비뉴</t>
        </is>
      </c>
      <c r="F81" s="263" t="n">
        <v>2009.02</v>
      </c>
      <c r="G81" s="263" t="n">
        <v>504</v>
      </c>
      <c r="H81" s="263">
        <f>2026-F81+1</f>
        <v/>
      </c>
      <c r="I81" s="263" t="n"/>
      <c r="J81" s="263" t="n">
        <v>107</v>
      </c>
      <c r="K81" s="263" t="n">
        <v>84</v>
      </c>
      <c r="L81" s="263" t="n">
        <v>32</v>
      </c>
      <c r="M81" s="263" t="inlineStr">
        <is>
          <t>계단식</t>
        </is>
      </c>
      <c r="N81" s="263" t="n">
        <v>3</v>
      </c>
      <c r="O81" s="263" t="n">
        <v>2</v>
      </c>
      <c r="P81" s="263" t="n">
        <v>272</v>
      </c>
      <c r="Q81" s="263" t="n"/>
      <c r="R81" s="263" t="n"/>
      <c r="S81" s="263" t="n"/>
      <c r="T81" s="263" t="n"/>
      <c r="U81" s="263" t="n">
        <v>3.03</v>
      </c>
      <c r="V81" s="263" t="n">
        <v>2.7</v>
      </c>
      <c r="W81" s="263" t="n"/>
      <c r="X81" s="263" t="n"/>
      <c r="Y81" s="263" t="n"/>
      <c r="Z81" s="263" t="n"/>
      <c r="AA81" s="263" t="n"/>
      <c r="AB81" s="263" t="n"/>
      <c r="AC81" s="263" t="n"/>
      <c r="AD81" s="263" t="n"/>
      <c r="AE81" s="263" t="n"/>
      <c r="AF81" s="263" t="n"/>
      <c r="AG81" s="263" t="n"/>
      <c r="AH81" s="263" t="n"/>
      <c r="AI81" s="263" t="n"/>
      <c r="AJ81" s="263" t="n"/>
      <c r="AK81" s="263" t="n"/>
      <c r="AL81" s="263" t="n"/>
    </row>
    <row r="82">
      <c r="A82" s="263" t="inlineStr">
        <is>
          <t>내동</t>
        </is>
      </c>
      <c r="B82" s="263" t="n"/>
      <c r="C82" s="263" t="n"/>
      <c r="D82" s="263" t="n">
        <v>10888</v>
      </c>
      <c r="E82" s="264" t="inlineStr">
        <is>
          <t>창원월드메르디앙웨스턴애비뉴</t>
        </is>
      </c>
      <c r="F82" s="263" t="n">
        <v>2009.02</v>
      </c>
      <c r="G82" s="263" t="n">
        <v>504</v>
      </c>
      <c r="H82" s="263">
        <f>2026-F82+1</f>
        <v/>
      </c>
      <c r="I82" s="263" t="n"/>
      <c r="J82" s="263" t="n">
        <v>143</v>
      </c>
      <c r="K82" s="263" t="n">
        <v>115</v>
      </c>
      <c r="L82" s="263" t="n">
        <v>43</v>
      </c>
      <c r="M82" s="263" t="inlineStr">
        <is>
          <t>계단식</t>
        </is>
      </c>
      <c r="N82" s="263" t="n">
        <v>4</v>
      </c>
      <c r="O82" s="263" t="n">
        <v>2</v>
      </c>
      <c r="P82" s="263" t="n">
        <v>52</v>
      </c>
      <c r="Q82" s="263" t="n"/>
      <c r="R82" s="263" t="n"/>
      <c r="S82" s="263" t="n"/>
      <c r="T82" s="263" t="n"/>
      <c r="U82" s="263" t="n">
        <v>3.45</v>
      </c>
      <c r="V82" s="263" t="n">
        <v>3</v>
      </c>
      <c r="W82" s="263" t="n"/>
      <c r="X82" s="263" t="n"/>
      <c r="Y82" s="263" t="n"/>
      <c r="Z82" s="263" t="n"/>
      <c r="AA82" s="263" t="n"/>
      <c r="AB82" s="263" t="n"/>
      <c r="AC82" s="263" t="n"/>
      <c r="AD82" s="263" t="n"/>
      <c r="AE82" s="263" t="n"/>
      <c r="AF82" s="263" t="n"/>
      <c r="AG82" s="263" t="n"/>
      <c r="AH82" s="263" t="n"/>
      <c r="AI82" s="263" t="n"/>
      <c r="AJ82" s="263" t="n"/>
      <c r="AK82" s="263" t="n"/>
      <c r="AL82" s="263" t="n"/>
    </row>
    <row r="83">
      <c r="A83" s="458" t="inlineStr">
        <is>
          <t>대방동</t>
        </is>
      </c>
      <c r="D83" s="458" t="n">
        <v>7674</v>
      </c>
      <c r="E83" s="265" t="inlineStr">
        <is>
          <t>대동디지털황토</t>
        </is>
      </c>
      <c r="F83" s="458" t="n">
        <v>2001.09</v>
      </c>
      <c r="G83" s="458" t="n">
        <v>704</v>
      </c>
      <c r="H83" s="458">
        <f>2026-F83+1</f>
        <v/>
      </c>
      <c r="J83" s="458" t="n">
        <v>85</v>
      </c>
      <c r="K83" s="458" t="n">
        <v>59</v>
      </c>
      <c r="L83" s="458" t="n">
        <v>26</v>
      </c>
      <c r="M83" s="458" t="inlineStr">
        <is>
          <t>계단식</t>
        </is>
      </c>
      <c r="N83" s="458" t="n">
        <v>3</v>
      </c>
      <c r="O83" s="458" t="n">
        <v>1</v>
      </c>
      <c r="P83" s="458" t="n">
        <v>228</v>
      </c>
      <c r="U83" s="458" t="n">
        <v>3.48</v>
      </c>
      <c r="V83" s="458" t="n">
        <v>2.4</v>
      </c>
    </row>
    <row r="84">
      <c r="A84" s="458" t="inlineStr">
        <is>
          <t>대방동</t>
        </is>
      </c>
      <c r="D84" s="458" t="n">
        <v>7674</v>
      </c>
      <c r="E84" s="265" t="inlineStr">
        <is>
          <t>대동디지털황토</t>
        </is>
      </c>
      <c r="F84" s="458" t="n">
        <v>2001.09</v>
      </c>
      <c r="G84" s="458" t="n">
        <v>704</v>
      </c>
      <c r="H84" s="458">
        <f>2026-F84+1</f>
        <v/>
      </c>
      <c r="J84" s="458" t="n">
        <v>114</v>
      </c>
      <c r="K84" s="458" t="n">
        <v>84</v>
      </c>
      <c r="L84" s="458" t="n">
        <v>34</v>
      </c>
      <c r="M84" s="458" t="inlineStr">
        <is>
          <t>계단식</t>
        </is>
      </c>
      <c r="N84" s="458" t="n">
        <v>3</v>
      </c>
      <c r="O84" s="458" t="n">
        <v>2</v>
      </c>
      <c r="P84" s="458" t="n">
        <v>356</v>
      </c>
      <c r="U84" s="458" t="n">
        <v>4.45</v>
      </c>
      <c r="V84" s="458" t="n">
        <v>2.75</v>
      </c>
    </row>
    <row r="85">
      <c r="A85" s="458" t="inlineStr">
        <is>
          <t>대방동</t>
        </is>
      </c>
      <c r="D85" s="458" t="n">
        <v>7674</v>
      </c>
      <c r="E85" s="265" t="inlineStr">
        <is>
          <t>대동디지털황토</t>
        </is>
      </c>
      <c r="F85" s="458" t="n">
        <v>2001.09</v>
      </c>
      <c r="G85" s="458" t="n">
        <v>704</v>
      </c>
      <c r="H85" s="458">
        <f>2026-F85+1</f>
        <v/>
      </c>
      <c r="J85" s="458" t="n">
        <v>148</v>
      </c>
      <c r="K85" s="458" t="n">
        <v>114</v>
      </c>
      <c r="L85" s="458" t="n">
        <v>45</v>
      </c>
      <c r="M85" s="458" t="inlineStr">
        <is>
          <t>계단식</t>
        </is>
      </c>
      <c r="N85" s="458" t="n">
        <v>4</v>
      </c>
      <c r="O85" s="458" t="n">
        <v>2</v>
      </c>
      <c r="P85" s="458" t="n">
        <v>120</v>
      </c>
      <c r="U85" s="458" t="n">
        <v>5.13</v>
      </c>
      <c r="V85" s="458" t="n">
        <v>4.55</v>
      </c>
    </row>
    <row r="86">
      <c r="A86" s="263" t="inlineStr">
        <is>
          <t>대방동</t>
        </is>
      </c>
      <c r="B86" s="263" t="n"/>
      <c r="C86" s="263" t="n"/>
      <c r="D86" s="263" t="n">
        <v>7692</v>
      </c>
      <c r="E86" s="264" t="inlineStr">
        <is>
          <t>대방개나리1차</t>
        </is>
      </c>
      <c r="F86" s="263" t="n">
        <v>1992.09</v>
      </c>
      <c r="G86" s="263" t="n">
        <v>1005</v>
      </c>
      <c r="H86" s="263">
        <f>2026-F86+1</f>
        <v/>
      </c>
      <c r="I86" s="263" t="n"/>
      <c r="J86" s="263" t="n">
        <v>58</v>
      </c>
      <c r="K86" s="263" t="n">
        <v>42</v>
      </c>
      <c r="L86" s="263" t="n">
        <v>18</v>
      </c>
      <c r="M86" s="263" t="inlineStr">
        <is>
          <t>복도식</t>
        </is>
      </c>
      <c r="N86" s="263" t="n">
        <v>2</v>
      </c>
      <c r="O86" s="263" t="n">
        <v>1</v>
      </c>
      <c r="P86" s="263" t="n">
        <v>600</v>
      </c>
      <c r="Q86" s="263" t="n"/>
      <c r="R86" s="263" t="n"/>
      <c r="S86" s="263" t="n"/>
      <c r="T86" s="263" t="n"/>
      <c r="U86" s="263" t="n">
        <v>1.78</v>
      </c>
      <c r="V86" s="263" t="n">
        <v>1.21</v>
      </c>
      <c r="W86" s="263" t="n"/>
      <c r="X86" s="263" t="n"/>
      <c r="Y86" s="263" t="n"/>
      <c r="Z86" s="263" t="n"/>
      <c r="AA86" s="263" t="n"/>
      <c r="AB86" s="263" t="n"/>
      <c r="AC86" s="263" t="n"/>
      <c r="AD86" s="263" t="n"/>
      <c r="AE86" s="263" t="n"/>
      <c r="AF86" s="263" t="n"/>
      <c r="AG86" s="263" t="n"/>
      <c r="AH86" s="263" t="n"/>
      <c r="AI86" s="263" t="n"/>
      <c r="AJ86" s="263" t="n"/>
      <c r="AK86" s="263" t="n"/>
      <c r="AL86" s="263" t="n"/>
    </row>
    <row r="87">
      <c r="A87" s="263" t="inlineStr">
        <is>
          <t>대방동</t>
        </is>
      </c>
      <c r="B87" s="263" t="n"/>
      <c r="C87" s="263" t="n"/>
      <c r="D87" s="263" t="n">
        <v>7692</v>
      </c>
      <c r="E87" s="264" t="inlineStr">
        <is>
          <t>대방개나리1차</t>
        </is>
      </c>
      <c r="F87" s="263" t="n">
        <v>1992.09</v>
      </c>
      <c r="G87" s="263" t="n">
        <v>1005</v>
      </c>
      <c r="H87" s="263">
        <f>2026-F87+1</f>
        <v/>
      </c>
      <c r="I87" s="263" t="n"/>
      <c r="J87" s="263" t="n">
        <v>68</v>
      </c>
      <c r="K87" s="263" t="n">
        <v>49</v>
      </c>
      <c r="L87" s="263" t="n">
        <v>21</v>
      </c>
      <c r="M87" s="263" t="inlineStr">
        <is>
          <t>복도식</t>
        </is>
      </c>
      <c r="N87" s="263" t="n">
        <v>3</v>
      </c>
      <c r="O87" s="263" t="n">
        <v>1</v>
      </c>
      <c r="P87" s="263" t="n">
        <v>405</v>
      </c>
      <c r="Q87" s="263" t="n"/>
      <c r="R87" s="263" t="n"/>
      <c r="S87" s="263" t="n"/>
      <c r="T87" s="263" t="n"/>
      <c r="U87" s="263" t="n">
        <v>2</v>
      </c>
      <c r="V87" s="263" t="n">
        <v>1.38</v>
      </c>
      <c r="W87" s="263" t="n"/>
      <c r="X87" s="263" t="n"/>
      <c r="Y87" s="263" t="n"/>
      <c r="Z87" s="263" t="n"/>
      <c r="AA87" s="263" t="n"/>
      <c r="AB87" s="263" t="n"/>
      <c r="AC87" s="263" t="n"/>
      <c r="AD87" s="263" t="n"/>
      <c r="AE87" s="263" t="n"/>
      <c r="AF87" s="263" t="n"/>
      <c r="AG87" s="263" t="n"/>
      <c r="AH87" s="263" t="n"/>
      <c r="AI87" s="263" t="n"/>
      <c r="AJ87" s="263" t="n"/>
      <c r="AK87" s="263" t="n"/>
      <c r="AL87" s="263" t="n"/>
    </row>
    <row r="88">
      <c r="A88" s="458" t="inlineStr">
        <is>
          <t>대방동</t>
        </is>
      </c>
      <c r="D88" s="458" t="n">
        <v>7683</v>
      </c>
      <c r="E88" s="265" t="inlineStr">
        <is>
          <t>대방그린빌</t>
        </is>
      </c>
      <c r="F88" s="458" t="n">
        <v>1996.06</v>
      </c>
      <c r="G88" s="458" t="n">
        <v>834</v>
      </c>
      <c r="H88" s="458">
        <f>2026-F88+1</f>
        <v/>
      </c>
      <c r="J88" s="458" t="n">
        <v>54</v>
      </c>
      <c r="K88" s="458" t="n">
        <v>39</v>
      </c>
      <c r="L88" s="458" t="n">
        <v>16</v>
      </c>
      <c r="M88" s="458" t="inlineStr">
        <is>
          <t>복도식</t>
        </is>
      </c>
      <c r="N88" s="458" t="n">
        <v>2</v>
      </c>
      <c r="O88" s="458" t="n">
        <v>1</v>
      </c>
      <c r="P88" s="458" t="n">
        <v>426</v>
      </c>
      <c r="U88" s="458" t="n">
        <v>1.79</v>
      </c>
      <c r="V88" s="458" t="n">
        <v>1.2</v>
      </c>
    </row>
    <row r="89">
      <c r="A89" s="458" t="inlineStr">
        <is>
          <t>대방동</t>
        </is>
      </c>
      <c r="D89" s="458" t="n">
        <v>7683</v>
      </c>
      <c r="E89" s="265" t="inlineStr">
        <is>
          <t>대방그린빌</t>
        </is>
      </c>
      <c r="F89" s="458" t="n">
        <v>1996.06</v>
      </c>
      <c r="G89" s="458" t="n">
        <v>834</v>
      </c>
      <c r="H89" s="458">
        <f>2026-F89+1</f>
        <v/>
      </c>
      <c r="J89" s="458" t="n">
        <v>68</v>
      </c>
      <c r="K89" s="458" t="n">
        <v>49</v>
      </c>
      <c r="L89" s="458" t="n">
        <v>21</v>
      </c>
      <c r="M89" s="458" t="inlineStr">
        <is>
          <t>복도식</t>
        </is>
      </c>
      <c r="N89" s="458" t="n">
        <v>3</v>
      </c>
      <c r="O89" s="458" t="n">
        <v>1</v>
      </c>
      <c r="P89" s="458" t="n">
        <v>408</v>
      </c>
      <c r="U89" s="458" t="n">
        <v>1.89</v>
      </c>
      <c r="V89" s="458" t="n">
        <v>1.35</v>
      </c>
    </row>
    <row r="90">
      <c r="A90" s="263" t="inlineStr">
        <is>
          <t>대방동</t>
        </is>
      </c>
      <c r="B90" s="263" t="n"/>
      <c r="C90" s="263" t="n"/>
      <c r="D90" s="263" t="n">
        <v>7677</v>
      </c>
      <c r="E90" s="264" t="inlineStr">
        <is>
          <t>대방대동</t>
        </is>
      </c>
      <c r="F90" s="263" t="n">
        <v>1992.09</v>
      </c>
      <c r="G90" s="263" t="n">
        <v>1835</v>
      </c>
      <c r="H90" s="263">
        <f>2026-F90+1</f>
        <v/>
      </c>
      <c r="I90" s="263" t="n"/>
      <c r="J90" s="263" t="n">
        <v>68</v>
      </c>
      <c r="K90" s="263" t="n">
        <v>49</v>
      </c>
      <c r="L90" s="263" t="n">
        <v>21</v>
      </c>
      <c r="M90" s="263" t="inlineStr">
        <is>
          <t>복도식</t>
        </is>
      </c>
      <c r="N90" s="263" t="n">
        <v>2</v>
      </c>
      <c r="O90" s="263" t="n">
        <v>1</v>
      </c>
      <c r="P90" s="263" t="n">
        <v>767</v>
      </c>
      <c r="Q90" s="263" t="n"/>
      <c r="R90" s="263" t="n"/>
      <c r="S90" s="263" t="n"/>
      <c r="T90" s="263" t="n"/>
      <c r="U90" s="263" t="n">
        <v>2.17</v>
      </c>
      <c r="V90" s="263" t="n">
        <v>1.37</v>
      </c>
      <c r="W90" s="263" t="n"/>
      <c r="X90" s="263" t="n"/>
      <c r="Y90" s="263" t="n"/>
      <c r="Z90" s="263" t="n"/>
      <c r="AA90" s="263" t="n"/>
      <c r="AB90" s="263" t="n"/>
      <c r="AC90" s="263" t="n"/>
      <c r="AD90" s="263" t="n"/>
      <c r="AE90" s="263" t="n"/>
      <c r="AF90" s="263" t="n"/>
      <c r="AG90" s="263" t="n"/>
      <c r="AH90" s="263" t="n"/>
      <c r="AI90" s="263" t="n"/>
      <c r="AJ90" s="263" t="n"/>
      <c r="AK90" s="263" t="n"/>
      <c r="AL90" s="263" t="n"/>
    </row>
    <row r="91">
      <c r="A91" s="263" t="inlineStr">
        <is>
          <t>대방동</t>
        </is>
      </c>
      <c r="B91" s="263" t="n"/>
      <c r="C91" s="263" t="n"/>
      <c r="D91" s="263" t="n">
        <v>7677</v>
      </c>
      <c r="E91" s="264" t="inlineStr">
        <is>
          <t>대방대동</t>
        </is>
      </c>
      <c r="F91" s="263" t="n">
        <v>1992.09</v>
      </c>
      <c r="G91" s="263" t="n">
        <v>1835</v>
      </c>
      <c r="H91" s="263">
        <f>2026-F91+1</f>
        <v/>
      </c>
      <c r="I91" s="263" t="n"/>
      <c r="J91" s="263" t="n">
        <v>76</v>
      </c>
      <c r="K91" s="263" t="n">
        <v>59</v>
      </c>
      <c r="L91" s="263" t="n">
        <v>23</v>
      </c>
      <c r="M91" s="263" t="inlineStr">
        <is>
          <t>계단식</t>
        </is>
      </c>
      <c r="N91" s="263" t="n">
        <v>2</v>
      </c>
      <c r="O91" s="263" t="n">
        <v>1</v>
      </c>
      <c r="P91" s="263" t="n">
        <v>408</v>
      </c>
      <c r="Q91" s="263" t="n"/>
      <c r="R91" s="263" t="n"/>
      <c r="S91" s="263" t="n"/>
      <c r="T91" s="263" t="n"/>
      <c r="U91" s="263" t="n">
        <v>2.73</v>
      </c>
      <c r="V91" s="263" t="n">
        <v>1.8</v>
      </c>
      <c r="W91" s="263" t="n"/>
      <c r="X91" s="263" t="n"/>
      <c r="Y91" s="263" t="n"/>
      <c r="Z91" s="263" t="n"/>
      <c r="AA91" s="263" t="n"/>
      <c r="AB91" s="263" t="n"/>
      <c r="AC91" s="263" t="n"/>
      <c r="AD91" s="263" t="n"/>
      <c r="AE91" s="263" t="n"/>
      <c r="AF91" s="263" t="n"/>
      <c r="AG91" s="263" t="n"/>
      <c r="AH91" s="263" t="n"/>
      <c r="AI91" s="263" t="n"/>
      <c r="AJ91" s="263" t="n"/>
      <c r="AK91" s="263" t="n"/>
      <c r="AL91" s="263" t="n"/>
    </row>
    <row r="92">
      <c r="A92" s="263" t="inlineStr">
        <is>
          <t>대방동</t>
        </is>
      </c>
      <c r="B92" s="263" t="n"/>
      <c r="C92" s="263" t="n"/>
      <c r="D92" s="263" t="n">
        <v>7677</v>
      </c>
      <c r="E92" s="264" t="inlineStr">
        <is>
          <t>대방대동</t>
        </is>
      </c>
      <c r="F92" s="263" t="n">
        <v>1992.09</v>
      </c>
      <c r="G92" s="263" t="n">
        <v>1835</v>
      </c>
      <c r="H92" s="263">
        <f>2026-F92+1</f>
        <v/>
      </c>
      <c r="I92" s="263" t="n"/>
      <c r="J92" s="263" t="n">
        <v>100</v>
      </c>
      <c r="K92" s="263" t="n">
        <v>84</v>
      </c>
      <c r="L92" s="263" t="n">
        <v>30</v>
      </c>
      <c r="M92" s="263" t="inlineStr">
        <is>
          <t>계단식</t>
        </is>
      </c>
      <c r="N92" s="263" t="n">
        <v>3</v>
      </c>
      <c r="O92" s="263" t="n">
        <v>2</v>
      </c>
      <c r="P92" s="263" t="n">
        <v>570</v>
      </c>
      <c r="Q92" s="263" t="n"/>
      <c r="R92" s="263" t="n"/>
      <c r="S92" s="263" t="n"/>
      <c r="T92" s="263" t="n"/>
      <c r="U92" s="263" t="n">
        <v>3.77</v>
      </c>
      <c r="V92" s="263" t="n">
        <v>2.65</v>
      </c>
      <c r="W92" s="263" t="n"/>
      <c r="X92" s="263" t="n"/>
      <c r="Y92" s="263" t="n"/>
      <c r="Z92" s="263" t="n"/>
      <c r="AA92" s="263" t="n"/>
      <c r="AB92" s="263" t="n"/>
      <c r="AC92" s="263" t="n"/>
      <c r="AD92" s="263" t="n"/>
      <c r="AE92" s="263" t="n"/>
      <c r="AF92" s="263" t="n"/>
      <c r="AG92" s="263" t="n"/>
      <c r="AH92" s="263" t="n"/>
      <c r="AI92" s="263" t="n"/>
      <c r="AJ92" s="263" t="n"/>
      <c r="AK92" s="263" t="n"/>
      <c r="AL92" s="263" t="n"/>
    </row>
    <row r="93">
      <c r="A93" s="263" t="inlineStr">
        <is>
          <t>대방동</t>
        </is>
      </c>
      <c r="B93" s="263" t="n"/>
      <c r="C93" s="263" t="n"/>
      <c r="D93" s="263" t="n">
        <v>7677</v>
      </c>
      <c r="E93" s="264" t="inlineStr">
        <is>
          <t>대방대동</t>
        </is>
      </c>
      <c r="F93" s="263" t="n">
        <v>1992.09</v>
      </c>
      <c r="G93" s="263" t="n">
        <v>1835</v>
      </c>
      <c r="H93" s="263">
        <f>2026-F93+1</f>
        <v/>
      </c>
      <c r="I93" s="263" t="n"/>
      <c r="J93" s="263" t="n">
        <v>146</v>
      </c>
      <c r="K93" s="263" t="n">
        <v>126</v>
      </c>
      <c r="L93" s="263" t="n">
        <v>44</v>
      </c>
      <c r="M93" s="263" t="inlineStr">
        <is>
          <t>계단식</t>
        </is>
      </c>
      <c r="N93" s="263" t="n">
        <v>4</v>
      </c>
      <c r="O93" s="263" t="n">
        <v>2</v>
      </c>
      <c r="P93" s="263" t="n">
        <v>90</v>
      </c>
      <c r="Q93" s="263" t="n"/>
      <c r="R93" s="263" t="n"/>
      <c r="S93" s="263" t="n"/>
      <c r="T93" s="263" t="n"/>
      <c r="U93" s="263" t="n">
        <v>4.49</v>
      </c>
      <c r="V93" s="263" t="n">
        <v>3.8</v>
      </c>
      <c r="W93" s="263" t="n"/>
      <c r="X93" s="263" t="n"/>
      <c r="Y93" s="263" t="n"/>
      <c r="Z93" s="263" t="n"/>
      <c r="AA93" s="263" t="n"/>
      <c r="AB93" s="263" t="n"/>
      <c r="AC93" s="263" t="n"/>
      <c r="AD93" s="263" t="n"/>
      <c r="AE93" s="263" t="n"/>
      <c r="AF93" s="263" t="n"/>
      <c r="AG93" s="263" t="n"/>
      <c r="AH93" s="263" t="n"/>
      <c r="AI93" s="263" t="n"/>
      <c r="AJ93" s="263" t="n"/>
      <c r="AK93" s="263" t="n"/>
      <c r="AL93" s="263" t="n"/>
    </row>
    <row r="94">
      <c r="A94" s="458" t="inlineStr">
        <is>
          <t>대방동</t>
        </is>
      </c>
      <c r="D94" s="458" t="n">
        <v>100888</v>
      </c>
      <c r="E94" s="265" t="inlineStr">
        <is>
          <t>대방대동황토방</t>
        </is>
      </c>
      <c r="F94" s="458" t="n">
        <v>2001.05</v>
      </c>
      <c r="G94" s="458" t="n">
        <v>708</v>
      </c>
      <c r="H94" s="458">
        <f>2026-F94+1</f>
        <v/>
      </c>
      <c r="J94" s="458" t="n">
        <v>84</v>
      </c>
      <c r="K94" s="458" t="n">
        <v>59</v>
      </c>
      <c r="L94" s="458" t="n">
        <v>25</v>
      </c>
      <c r="M94" s="458" t="inlineStr">
        <is>
          <t>계단식</t>
        </is>
      </c>
      <c r="N94" s="458" t="n">
        <v>3</v>
      </c>
      <c r="O94" s="458" t="n">
        <v>1</v>
      </c>
      <c r="P94" s="458" t="n">
        <v>312</v>
      </c>
      <c r="U94" s="458" t="n">
        <v>3.4</v>
      </c>
      <c r="V94" s="458" t="n">
        <v>2.45</v>
      </c>
    </row>
    <row r="95">
      <c r="A95" s="458" t="inlineStr">
        <is>
          <t>대방동</t>
        </is>
      </c>
      <c r="D95" s="458" t="n">
        <v>100888</v>
      </c>
      <c r="E95" s="265" t="inlineStr">
        <is>
          <t>대방대동황토방</t>
        </is>
      </c>
      <c r="F95" s="458" t="n">
        <v>2001.05</v>
      </c>
      <c r="G95" s="458" t="n">
        <v>708</v>
      </c>
      <c r="H95" s="458">
        <f>2026-F95+1</f>
        <v/>
      </c>
      <c r="J95" s="458" t="n">
        <v>112</v>
      </c>
      <c r="K95" s="458" t="n">
        <v>84</v>
      </c>
      <c r="L95" s="458" t="n">
        <v>34</v>
      </c>
      <c r="M95" s="458" t="inlineStr">
        <is>
          <t>계단식</t>
        </is>
      </c>
      <c r="N95" s="458" t="n">
        <v>3</v>
      </c>
      <c r="O95" s="458" t="n">
        <v>2</v>
      </c>
      <c r="P95" s="458" t="n">
        <v>324</v>
      </c>
      <c r="U95" s="458" t="n">
        <v>4.32</v>
      </c>
      <c r="V95" s="458" t="n">
        <v>3.65</v>
      </c>
    </row>
    <row r="96">
      <c r="A96" s="458" t="inlineStr">
        <is>
          <t>대방동</t>
        </is>
      </c>
      <c r="D96" s="458" t="n">
        <v>100888</v>
      </c>
      <c r="E96" s="265" t="inlineStr">
        <is>
          <t>대방대동황토방</t>
        </is>
      </c>
      <c r="F96" s="458" t="n">
        <v>2001.05</v>
      </c>
      <c r="G96" s="458" t="n">
        <v>708</v>
      </c>
      <c r="H96" s="458">
        <f>2026-F96+1</f>
        <v/>
      </c>
      <c r="J96" s="458" t="n">
        <v>148</v>
      </c>
      <c r="K96" s="458" t="n">
        <v>114</v>
      </c>
      <c r="L96" s="458" t="n">
        <v>45</v>
      </c>
      <c r="M96" s="458" t="inlineStr">
        <is>
          <t>계단식</t>
        </is>
      </c>
      <c r="N96" s="458" t="n">
        <v>4</v>
      </c>
      <c r="O96" s="458" t="n">
        <v>2</v>
      </c>
      <c r="P96" s="458" t="n">
        <v>72</v>
      </c>
      <c r="U96" s="458" t="n">
        <v>4.98</v>
      </c>
      <c r="V96" s="458" t="n">
        <v>3.67</v>
      </c>
    </row>
    <row r="97">
      <c r="A97" s="263" t="inlineStr">
        <is>
          <t>대방동</t>
        </is>
      </c>
      <c r="B97" s="263" t="n"/>
      <c r="C97" s="263" t="n"/>
      <c r="D97" s="263" t="n">
        <v>7695</v>
      </c>
      <c r="E97" s="264" t="inlineStr">
        <is>
          <t>대방덕산타운</t>
        </is>
      </c>
      <c r="F97" s="263" t="n">
        <v>1992.07</v>
      </c>
      <c r="G97" s="263" t="n">
        <v>920</v>
      </c>
      <c r="H97" s="263">
        <f>2026-F97+1</f>
        <v/>
      </c>
      <c r="I97" s="263" t="n"/>
      <c r="J97" s="263" t="n">
        <v>69</v>
      </c>
      <c r="K97" s="263" t="n">
        <v>49</v>
      </c>
      <c r="L97" s="263" t="n">
        <v>21</v>
      </c>
      <c r="M97" s="263" t="inlineStr">
        <is>
          <t>계단식</t>
        </is>
      </c>
      <c r="N97" s="263" t="n">
        <v>3</v>
      </c>
      <c r="O97" s="263" t="n">
        <v>1</v>
      </c>
      <c r="P97" s="263" t="n">
        <v>380</v>
      </c>
      <c r="Q97" s="263" t="n"/>
      <c r="R97" s="263" t="n"/>
      <c r="S97" s="263" t="n"/>
      <c r="T97" s="263" t="n"/>
      <c r="U97" s="263" t="n">
        <v>1.87</v>
      </c>
      <c r="V97" s="263" t="n">
        <v>0.82</v>
      </c>
      <c r="W97" s="263" t="n"/>
      <c r="X97" s="263" t="n"/>
      <c r="Y97" s="263" t="n"/>
      <c r="Z97" s="263" t="n"/>
      <c r="AA97" s="263" t="n"/>
      <c r="AB97" s="263" t="n"/>
      <c r="AC97" s="263" t="n"/>
      <c r="AD97" s="263" t="n"/>
      <c r="AE97" s="263" t="n"/>
      <c r="AF97" s="263" t="n"/>
      <c r="AG97" s="263" t="n"/>
      <c r="AH97" s="263" t="n"/>
      <c r="AI97" s="263" t="n"/>
      <c r="AJ97" s="263" t="n"/>
      <c r="AK97" s="263" t="n"/>
      <c r="AL97" s="263" t="n"/>
    </row>
    <row r="98">
      <c r="A98" s="263" t="inlineStr">
        <is>
          <t>대방동</t>
        </is>
      </c>
      <c r="B98" s="263" t="n"/>
      <c r="C98" s="263" t="n"/>
      <c r="D98" s="263" t="n">
        <v>7695</v>
      </c>
      <c r="E98" s="264" t="inlineStr">
        <is>
          <t>대방덕산타운</t>
        </is>
      </c>
      <c r="F98" s="263" t="n">
        <v>1992.07</v>
      </c>
      <c r="G98" s="263" t="n">
        <v>920</v>
      </c>
      <c r="H98" s="263">
        <f>2026-F98+1</f>
        <v/>
      </c>
      <c r="I98" s="263" t="n"/>
      <c r="J98" s="263" t="n">
        <v>74</v>
      </c>
      <c r="K98" s="263" t="n">
        <v>59</v>
      </c>
      <c r="L98" s="263" t="n">
        <v>22</v>
      </c>
      <c r="M98" s="263" t="inlineStr">
        <is>
          <t>계단식</t>
        </is>
      </c>
      <c r="N98" s="263" t="n">
        <v>3</v>
      </c>
      <c r="O98" s="263" t="n">
        <v>1</v>
      </c>
      <c r="P98" s="263" t="n">
        <v>150</v>
      </c>
      <c r="Q98" s="263" t="n"/>
      <c r="R98" s="263" t="n"/>
      <c r="S98" s="263" t="n"/>
      <c r="T98" s="263" t="n"/>
      <c r="U98" s="263" t="n">
        <v>2.15</v>
      </c>
      <c r="V98" s="263" t="n">
        <v>1.41</v>
      </c>
      <c r="W98" s="263" t="n"/>
      <c r="X98" s="263" t="n"/>
      <c r="Y98" s="263" t="n"/>
      <c r="Z98" s="263" t="n"/>
      <c r="AA98" s="263" t="n"/>
      <c r="AB98" s="263" t="n"/>
      <c r="AC98" s="263" t="n"/>
      <c r="AD98" s="263" t="n"/>
      <c r="AE98" s="263" t="n"/>
      <c r="AF98" s="263" t="n"/>
      <c r="AG98" s="263" t="n"/>
      <c r="AH98" s="263" t="n"/>
      <c r="AI98" s="263" t="n"/>
      <c r="AJ98" s="263" t="n"/>
      <c r="AK98" s="263" t="n"/>
      <c r="AL98" s="263" t="n"/>
    </row>
    <row r="99">
      <c r="A99" s="263" t="inlineStr">
        <is>
          <t>대방동</t>
        </is>
      </c>
      <c r="B99" s="263" t="n"/>
      <c r="C99" s="263" t="n"/>
      <c r="D99" s="263" t="n">
        <v>7695</v>
      </c>
      <c r="E99" s="264" t="inlineStr">
        <is>
          <t>대방덕산타운</t>
        </is>
      </c>
      <c r="F99" s="263" t="n">
        <v>1992.07</v>
      </c>
      <c r="G99" s="263" t="n">
        <v>920</v>
      </c>
      <c r="H99" s="263">
        <f>2026-F99+1</f>
        <v/>
      </c>
      <c r="I99" s="263" t="n"/>
      <c r="J99" s="263" t="n">
        <v>75</v>
      </c>
      <c r="K99" s="263" t="n">
        <v>59</v>
      </c>
      <c r="L99" s="263" t="n">
        <v>23</v>
      </c>
      <c r="M99" s="263" t="inlineStr">
        <is>
          <t>계단식</t>
        </is>
      </c>
      <c r="N99" s="263" t="n">
        <v>2</v>
      </c>
      <c r="O99" s="263" t="n">
        <v>1</v>
      </c>
      <c r="P99" s="263" t="n">
        <v>90</v>
      </c>
      <c r="Q99" s="263" t="n"/>
      <c r="R99" s="263" t="n"/>
      <c r="S99" s="263" t="n"/>
      <c r="T99" s="263" t="n"/>
      <c r="U99" s="263" t="n">
        <v>2.15</v>
      </c>
      <c r="V99" s="263" t="n">
        <v>1.41</v>
      </c>
      <c r="W99" s="263" t="n"/>
      <c r="X99" s="263" t="n"/>
      <c r="Y99" s="263" t="n"/>
      <c r="Z99" s="263" t="n"/>
      <c r="AA99" s="263" t="n"/>
      <c r="AB99" s="263" t="n"/>
      <c r="AC99" s="263" t="n"/>
      <c r="AD99" s="263" t="n"/>
      <c r="AE99" s="263" t="n"/>
      <c r="AF99" s="263" t="n"/>
      <c r="AG99" s="263" t="n"/>
      <c r="AH99" s="263" t="n"/>
      <c r="AI99" s="263" t="n"/>
      <c r="AJ99" s="263" t="n"/>
      <c r="AK99" s="263" t="n"/>
      <c r="AL99" s="263" t="n"/>
    </row>
    <row r="100">
      <c r="A100" s="263" t="inlineStr">
        <is>
          <t>대방동</t>
        </is>
      </c>
      <c r="B100" s="263" t="n"/>
      <c r="C100" s="263" t="n"/>
      <c r="D100" s="263" t="n">
        <v>7695</v>
      </c>
      <c r="E100" s="264" t="inlineStr">
        <is>
          <t>대방덕산타운</t>
        </is>
      </c>
      <c r="F100" s="263" t="n">
        <v>1992.07</v>
      </c>
      <c r="G100" s="263" t="n">
        <v>920</v>
      </c>
      <c r="H100" s="263">
        <f>2026-F100+1</f>
        <v/>
      </c>
      <c r="I100" s="263" t="n"/>
      <c r="J100" s="263" t="n">
        <v>101</v>
      </c>
      <c r="K100" s="263" t="n">
        <v>84</v>
      </c>
      <c r="L100" s="263" t="n">
        <v>31</v>
      </c>
      <c r="M100" s="263" t="inlineStr">
        <is>
          <t>계단식</t>
        </is>
      </c>
      <c r="N100" s="263" t="n">
        <v>3</v>
      </c>
      <c r="O100" s="263" t="n">
        <v>2</v>
      </c>
      <c r="P100" s="263" t="n">
        <v>240</v>
      </c>
      <c r="Q100" s="263" t="n"/>
      <c r="R100" s="263" t="n"/>
      <c r="S100" s="263" t="n"/>
      <c r="T100" s="263" t="n"/>
      <c r="U100" s="263" t="n">
        <v>3.2</v>
      </c>
      <c r="V100" s="263" t="n">
        <v>2.35</v>
      </c>
      <c r="W100" s="263" t="n"/>
      <c r="X100" s="263" t="n"/>
      <c r="Y100" s="263" t="n"/>
      <c r="Z100" s="263" t="n"/>
      <c r="AA100" s="263" t="n"/>
      <c r="AB100" s="263" t="n"/>
      <c r="AC100" s="263" t="n"/>
      <c r="AD100" s="263" t="n"/>
      <c r="AE100" s="263" t="n"/>
      <c r="AF100" s="263" t="n"/>
      <c r="AG100" s="263" t="n"/>
      <c r="AH100" s="263" t="n"/>
      <c r="AI100" s="263" t="n"/>
      <c r="AJ100" s="263" t="n"/>
      <c r="AK100" s="263" t="n"/>
      <c r="AL100" s="263" t="n"/>
    </row>
    <row r="101">
      <c r="A101" s="263" t="inlineStr">
        <is>
          <t>대방동</t>
        </is>
      </c>
      <c r="B101" s="263" t="n"/>
      <c r="C101" s="263" t="n"/>
      <c r="D101" s="263" t="n">
        <v>7695</v>
      </c>
      <c r="E101" s="264" t="inlineStr">
        <is>
          <t>대방덕산타운</t>
        </is>
      </c>
      <c r="F101" s="263" t="n">
        <v>1992.07</v>
      </c>
      <c r="G101" s="263" t="n">
        <v>920</v>
      </c>
      <c r="H101" s="263">
        <f>2026-F101+1</f>
        <v/>
      </c>
      <c r="I101" s="263" t="n"/>
      <c r="J101" s="263" t="n">
        <v>153</v>
      </c>
      <c r="K101" s="263" t="n">
        <v>131</v>
      </c>
      <c r="L101" s="263" t="n">
        <v>46</v>
      </c>
      <c r="M101" s="263" t="inlineStr">
        <is>
          <t>계단식</t>
        </is>
      </c>
      <c r="N101" s="263" t="n">
        <v>4</v>
      </c>
      <c r="O101" s="263" t="n">
        <v>2</v>
      </c>
      <c r="P101" s="263" t="n">
        <v>60</v>
      </c>
      <c r="Q101" s="263" t="n"/>
      <c r="R101" s="263" t="n"/>
      <c r="S101" s="263" t="n"/>
      <c r="T101" s="263" t="n"/>
      <c r="U101" s="263" t="n">
        <v>3.7</v>
      </c>
      <c r="V101" s="263" t="n">
        <v>3.1</v>
      </c>
      <c r="W101" s="263" t="n"/>
      <c r="X101" s="263" t="n"/>
      <c r="Y101" s="263" t="n"/>
      <c r="Z101" s="263" t="n"/>
      <c r="AA101" s="263" t="n"/>
      <c r="AB101" s="263" t="n"/>
      <c r="AC101" s="263" t="n"/>
      <c r="AD101" s="263" t="n"/>
      <c r="AE101" s="263" t="n"/>
      <c r="AF101" s="263" t="n"/>
      <c r="AG101" s="263" t="n"/>
      <c r="AH101" s="263" t="n"/>
      <c r="AI101" s="263" t="n"/>
      <c r="AJ101" s="263" t="n"/>
      <c r="AK101" s="263" t="n"/>
      <c r="AL101" s="263" t="n"/>
    </row>
    <row r="102">
      <c r="A102" s="458" t="inlineStr">
        <is>
          <t>대방동</t>
        </is>
      </c>
      <c r="D102" s="458" t="n">
        <v>7685</v>
      </c>
      <c r="E102" s="265" t="inlineStr">
        <is>
          <t>대방덕산타운2차</t>
        </is>
      </c>
      <c r="F102" s="458" t="n">
        <v>1996.02</v>
      </c>
      <c r="G102" s="458" t="n">
        <v>586</v>
      </c>
      <c r="H102" s="458">
        <f>2026-F102+1</f>
        <v/>
      </c>
      <c r="J102" s="458" t="n">
        <v>78</v>
      </c>
      <c r="K102" s="458" t="n">
        <v>59</v>
      </c>
      <c r="L102" s="458" t="n">
        <v>24</v>
      </c>
      <c r="M102" s="458" t="inlineStr">
        <is>
          <t>계단식</t>
        </is>
      </c>
      <c r="N102" s="458" t="n">
        <v>3</v>
      </c>
      <c r="O102" s="458" t="n">
        <v>1</v>
      </c>
      <c r="P102" s="458" t="n">
        <v>238</v>
      </c>
      <c r="U102" s="458" t="n">
        <v>2.7</v>
      </c>
      <c r="V102" s="458" t="n">
        <v>2.1</v>
      </c>
    </row>
    <row r="103">
      <c r="A103" s="458" t="inlineStr">
        <is>
          <t>대방동</t>
        </is>
      </c>
      <c r="D103" s="458" t="n">
        <v>7685</v>
      </c>
      <c r="E103" s="265" t="inlineStr">
        <is>
          <t>대방덕산타운2차</t>
        </is>
      </c>
      <c r="F103" s="458" t="n">
        <v>1996.02</v>
      </c>
      <c r="G103" s="458" t="n">
        <v>586</v>
      </c>
      <c r="H103" s="458">
        <f>2026-F103+1</f>
        <v/>
      </c>
      <c r="J103" s="458" t="n">
        <v>91</v>
      </c>
      <c r="K103" s="458" t="n">
        <v>71</v>
      </c>
      <c r="L103" s="458" t="n">
        <v>28</v>
      </c>
      <c r="M103" s="458" t="inlineStr">
        <is>
          <t>계단식</t>
        </is>
      </c>
      <c r="N103" s="458" t="n">
        <v>3</v>
      </c>
      <c r="O103" s="458" t="n">
        <v>1</v>
      </c>
      <c r="P103" s="458" t="n">
        <v>120</v>
      </c>
      <c r="U103" s="458" t="n">
        <v>3.05</v>
      </c>
      <c r="V103" s="458" t="n">
        <v>2.73</v>
      </c>
    </row>
    <row r="104">
      <c r="A104" s="458" t="inlineStr">
        <is>
          <t>대방동</t>
        </is>
      </c>
      <c r="D104" s="458" t="n">
        <v>7685</v>
      </c>
      <c r="E104" s="265" t="inlineStr">
        <is>
          <t>대방덕산타운2차</t>
        </is>
      </c>
      <c r="F104" s="458" t="n">
        <v>1996.02</v>
      </c>
      <c r="G104" s="458" t="n">
        <v>586</v>
      </c>
      <c r="H104" s="458">
        <f>2026-F104+1</f>
        <v/>
      </c>
      <c r="J104" s="458" t="n">
        <v>105</v>
      </c>
      <c r="K104" s="458" t="n">
        <v>84</v>
      </c>
      <c r="L104" s="458" t="n">
        <v>32</v>
      </c>
      <c r="M104" s="458" t="inlineStr">
        <is>
          <t>계단식</t>
        </is>
      </c>
      <c r="N104" s="458" t="n">
        <v>3</v>
      </c>
      <c r="O104" s="458" t="n">
        <v>2</v>
      </c>
      <c r="P104" s="458" t="n">
        <v>228</v>
      </c>
      <c r="U104" s="458" t="n">
        <v>3.83</v>
      </c>
      <c r="V104" s="458" t="n">
        <v>3</v>
      </c>
    </row>
    <row r="105">
      <c r="A105" s="263" t="inlineStr">
        <is>
          <t>대방동</t>
        </is>
      </c>
      <c r="B105" s="263" t="n"/>
      <c r="C105" s="263" t="n"/>
      <c r="D105" s="263" t="n">
        <v>7693</v>
      </c>
      <c r="E105" s="264" t="inlineStr">
        <is>
          <t>대방동성</t>
        </is>
      </c>
      <c r="F105" s="263" t="n">
        <v>1996.05</v>
      </c>
      <c r="G105" s="263" t="n">
        <v>556</v>
      </c>
      <c r="H105" s="263">
        <f>2026-F105+1</f>
        <v/>
      </c>
      <c r="I105" s="263" t="n"/>
      <c r="J105" s="263" t="n">
        <v>76</v>
      </c>
      <c r="K105" s="263" t="n">
        <v>60</v>
      </c>
      <c r="L105" s="263" t="n">
        <v>23</v>
      </c>
      <c r="M105" s="263" t="inlineStr">
        <is>
          <t>계단식</t>
        </is>
      </c>
      <c r="N105" s="263" t="n">
        <v>3</v>
      </c>
      <c r="O105" s="263" t="n">
        <v>1</v>
      </c>
      <c r="P105" s="263" t="n">
        <v>238</v>
      </c>
      <c r="Q105" s="263" t="n"/>
      <c r="R105" s="263" t="n"/>
      <c r="S105" s="263" t="n"/>
      <c r="T105" s="263" t="n"/>
      <c r="U105" s="263" t="n">
        <v>2.8</v>
      </c>
      <c r="V105" s="263" t="n">
        <v>2.2</v>
      </c>
      <c r="W105" s="263" t="n"/>
      <c r="X105" s="263" t="n"/>
      <c r="Y105" s="263" t="n"/>
      <c r="Z105" s="263" t="n"/>
      <c r="AA105" s="263" t="n"/>
      <c r="AB105" s="263" t="n"/>
      <c r="AC105" s="263" t="n"/>
      <c r="AD105" s="263" t="n"/>
      <c r="AE105" s="263" t="n"/>
      <c r="AF105" s="263" t="n"/>
      <c r="AG105" s="263" t="n"/>
      <c r="AH105" s="263" t="n"/>
      <c r="AI105" s="263" t="n"/>
      <c r="AJ105" s="263" t="n"/>
      <c r="AK105" s="263" t="n"/>
      <c r="AL105" s="263" t="n"/>
    </row>
    <row r="106">
      <c r="A106" s="263" t="inlineStr">
        <is>
          <t>대방동</t>
        </is>
      </c>
      <c r="B106" s="263" t="n"/>
      <c r="C106" s="263" t="n"/>
      <c r="D106" s="263" t="n">
        <v>7693</v>
      </c>
      <c r="E106" s="264" t="inlineStr">
        <is>
          <t>대방동성</t>
        </is>
      </c>
      <c r="F106" s="263" t="n">
        <v>1996.05</v>
      </c>
      <c r="G106" s="263" t="n">
        <v>556</v>
      </c>
      <c r="H106" s="263">
        <f>2026-F106+1</f>
        <v/>
      </c>
      <c r="I106" s="263" t="n"/>
      <c r="J106" s="263" t="n">
        <v>108</v>
      </c>
      <c r="K106" s="263" t="n">
        <v>84</v>
      </c>
      <c r="L106" s="263" t="n">
        <v>33</v>
      </c>
      <c r="M106" s="263" t="inlineStr">
        <is>
          <t>계단식</t>
        </is>
      </c>
      <c r="N106" s="263" t="n">
        <v>3</v>
      </c>
      <c r="O106" s="263" t="n">
        <v>2</v>
      </c>
      <c r="P106" s="263" t="n">
        <v>198</v>
      </c>
      <c r="Q106" s="263" t="n"/>
      <c r="R106" s="263" t="n"/>
      <c r="S106" s="263" t="n"/>
      <c r="T106" s="263" t="n"/>
      <c r="U106" s="263" t="n">
        <v>3.85</v>
      </c>
      <c r="V106" s="263" t="n">
        <v>3</v>
      </c>
      <c r="W106" s="263" t="n"/>
      <c r="X106" s="263" t="n"/>
      <c r="Y106" s="263" t="n"/>
      <c r="Z106" s="263" t="n"/>
      <c r="AA106" s="263" t="n"/>
      <c r="AB106" s="263" t="n"/>
      <c r="AC106" s="263" t="n"/>
      <c r="AD106" s="263" t="n"/>
      <c r="AE106" s="263" t="n"/>
      <c r="AF106" s="263" t="n"/>
      <c r="AG106" s="263" t="n"/>
      <c r="AH106" s="263" t="n"/>
      <c r="AI106" s="263" t="n"/>
      <c r="AJ106" s="263" t="n"/>
      <c r="AK106" s="263" t="n"/>
      <c r="AL106" s="263" t="n"/>
    </row>
    <row r="107">
      <c r="A107" s="263" t="inlineStr">
        <is>
          <t>대방동</t>
        </is>
      </c>
      <c r="B107" s="263" t="n"/>
      <c r="C107" s="263" t="n"/>
      <c r="D107" s="263" t="n">
        <v>7693</v>
      </c>
      <c r="E107" s="264" t="inlineStr">
        <is>
          <t>대방동성</t>
        </is>
      </c>
      <c r="F107" s="263" t="n">
        <v>1996.05</v>
      </c>
      <c r="G107" s="263" t="n">
        <v>556</v>
      </c>
      <c r="H107" s="263">
        <f>2026-F107+1</f>
        <v/>
      </c>
      <c r="I107" s="263" t="n"/>
      <c r="J107" s="263" t="n">
        <v>129</v>
      </c>
      <c r="K107" s="263" t="n">
        <v>101</v>
      </c>
      <c r="L107" s="263" t="n">
        <v>39</v>
      </c>
      <c r="M107" s="263" t="inlineStr">
        <is>
          <t>계단식</t>
        </is>
      </c>
      <c r="N107" s="263" t="n">
        <v>4</v>
      </c>
      <c r="O107" s="263" t="n">
        <v>2</v>
      </c>
      <c r="P107" s="263" t="n">
        <v>120</v>
      </c>
      <c r="Q107" s="263" t="n"/>
      <c r="R107" s="263" t="n"/>
      <c r="S107" s="263" t="n"/>
      <c r="T107" s="263" t="n"/>
      <c r="U107" s="263" t="n">
        <v>4</v>
      </c>
      <c r="V107" s="263" t="n">
        <v>2.96</v>
      </c>
      <c r="W107" s="263" t="n"/>
      <c r="X107" s="263" t="n"/>
      <c r="Y107" s="263" t="n"/>
      <c r="Z107" s="263" t="n"/>
      <c r="AA107" s="263" t="n"/>
      <c r="AB107" s="263" t="n"/>
      <c r="AC107" s="263" t="n"/>
      <c r="AD107" s="263" t="n"/>
      <c r="AE107" s="263" t="n"/>
      <c r="AF107" s="263" t="n"/>
      <c r="AG107" s="263" t="n"/>
      <c r="AH107" s="263" t="n"/>
      <c r="AI107" s="263" t="n"/>
      <c r="AJ107" s="263" t="n"/>
      <c r="AK107" s="263" t="n"/>
      <c r="AL107" s="263" t="n"/>
    </row>
    <row r="108">
      <c r="A108" s="458" t="inlineStr">
        <is>
          <t>대방동</t>
        </is>
      </c>
      <c r="D108" s="458" t="n">
        <v>106374</v>
      </c>
      <c r="E108" s="265" t="inlineStr">
        <is>
          <t>성원남산3차(301~308동)</t>
        </is>
      </c>
      <c r="F108" s="458" t="n">
        <v>1992.11</v>
      </c>
      <c r="G108" s="458" t="n">
        <v>1397</v>
      </c>
      <c r="H108" s="458">
        <f>2026-F108+1</f>
        <v/>
      </c>
      <c r="J108" s="458" t="n">
        <v>68</v>
      </c>
      <c r="K108" s="458" t="n">
        <v>49</v>
      </c>
      <c r="L108" s="458" t="n">
        <v>21</v>
      </c>
      <c r="M108" s="458" t="inlineStr">
        <is>
          <t>복도식</t>
        </is>
      </c>
      <c r="N108" s="458" t="n">
        <v>3</v>
      </c>
      <c r="O108" s="458" t="n">
        <v>1</v>
      </c>
      <c r="P108" s="458" t="n">
        <v>159</v>
      </c>
      <c r="U108" s="458" t="n">
        <v>1.87</v>
      </c>
      <c r="V108" s="458" t="n">
        <v>0.82</v>
      </c>
    </row>
    <row r="109">
      <c r="A109" s="458" t="inlineStr">
        <is>
          <t>대방동</t>
        </is>
      </c>
      <c r="D109" s="458" t="n">
        <v>106374</v>
      </c>
      <c r="E109" s="265" t="inlineStr">
        <is>
          <t>성원남산3차(301~308동)</t>
        </is>
      </c>
      <c r="F109" s="458" t="n">
        <v>1992.11</v>
      </c>
      <c r="G109" s="458" t="n">
        <v>1397</v>
      </c>
      <c r="H109" s="458">
        <f>2026-F109+1</f>
        <v/>
      </c>
      <c r="J109" s="458" t="n">
        <v>80</v>
      </c>
      <c r="K109" s="458" t="n">
        <v>59</v>
      </c>
      <c r="L109" s="458" t="n">
        <v>24</v>
      </c>
      <c r="M109" s="458" t="inlineStr">
        <is>
          <t>복도식</t>
        </is>
      </c>
      <c r="N109" s="458" t="n">
        <v>3</v>
      </c>
      <c r="O109" s="458" t="n">
        <v>1</v>
      </c>
      <c r="P109" s="458" t="n">
        <v>479</v>
      </c>
      <c r="U109" s="458" t="n">
        <v>2.15</v>
      </c>
      <c r="V109" s="458" t="n">
        <v>1.41</v>
      </c>
    </row>
    <row r="110">
      <c r="A110" s="458" t="inlineStr">
        <is>
          <t>대방동</t>
        </is>
      </c>
      <c r="D110" s="458" t="n">
        <v>106374</v>
      </c>
      <c r="E110" s="265" t="inlineStr">
        <is>
          <t>성원남산3차(301~308동)</t>
        </is>
      </c>
      <c r="F110" s="458" t="n">
        <v>1992.11</v>
      </c>
      <c r="G110" s="458" t="n">
        <v>1397</v>
      </c>
      <c r="H110" s="458">
        <f>2026-F110+1</f>
        <v/>
      </c>
      <c r="J110" s="458" t="n">
        <v>105</v>
      </c>
      <c r="K110" s="458" t="n">
        <v>84</v>
      </c>
      <c r="L110" s="458" t="n">
        <v>32</v>
      </c>
      <c r="M110" s="458" t="inlineStr">
        <is>
          <t>계단식</t>
        </is>
      </c>
      <c r="N110" s="458" t="n">
        <v>3</v>
      </c>
      <c r="O110" s="458" t="n">
        <v>2</v>
      </c>
      <c r="P110" s="458" t="n">
        <v>759</v>
      </c>
      <c r="U110" s="458" t="n">
        <v>3.2</v>
      </c>
      <c r="V110" s="458" t="n">
        <v>2.35</v>
      </c>
    </row>
    <row r="111">
      <c r="A111" s="263" t="inlineStr">
        <is>
          <t>대방동</t>
        </is>
      </c>
      <c r="B111" s="263" t="n"/>
      <c r="C111" s="263" t="n"/>
      <c r="D111" s="263" t="n">
        <v>7688</v>
      </c>
      <c r="E111" s="264" t="inlineStr">
        <is>
          <t>성원남산3차(309~311동)</t>
        </is>
      </c>
      <c r="F111" s="263" t="n">
        <v>1992.11</v>
      </c>
      <c r="G111" s="263" t="n">
        <v>1017</v>
      </c>
      <c r="H111" s="263">
        <f>2026-F111+1</f>
        <v/>
      </c>
      <c r="I111" s="263" t="n"/>
      <c r="J111" s="263" t="n">
        <v>61</v>
      </c>
      <c r="K111" s="263" t="n">
        <v>47</v>
      </c>
      <c r="L111" s="263" t="n">
        <v>18</v>
      </c>
      <c r="M111" s="263" t="inlineStr">
        <is>
          <t>복도식</t>
        </is>
      </c>
      <c r="N111" s="263" t="n">
        <v>2</v>
      </c>
      <c r="O111" s="263" t="n">
        <v>1</v>
      </c>
      <c r="P111" s="263" t="n">
        <v>1017</v>
      </c>
      <c r="Q111" s="263" t="n"/>
      <c r="R111" s="263" t="n"/>
      <c r="S111" s="263" t="n"/>
      <c r="T111" s="263" t="n"/>
      <c r="U111" s="263" t="n">
        <v>1.55</v>
      </c>
      <c r="V111" s="263" t="n">
        <v>0.82</v>
      </c>
      <c r="W111" s="263" t="n"/>
      <c r="X111" s="263" t="n"/>
      <c r="Y111" s="263" t="n"/>
      <c r="Z111" s="263" t="n"/>
      <c r="AA111" s="263" t="n"/>
      <c r="AB111" s="263" t="n"/>
      <c r="AC111" s="263" t="n"/>
      <c r="AD111" s="263" t="n"/>
      <c r="AE111" s="263" t="n"/>
      <c r="AF111" s="263" t="n"/>
      <c r="AG111" s="263" t="n"/>
      <c r="AH111" s="263" t="n"/>
      <c r="AI111" s="263" t="n"/>
      <c r="AJ111" s="263" t="n"/>
      <c r="AK111" s="263" t="n"/>
      <c r="AL111" s="263" t="n"/>
    </row>
    <row r="112">
      <c r="A112" s="458" t="inlineStr">
        <is>
          <t>대원동</t>
        </is>
      </c>
      <c r="D112" s="458" t="n">
        <v>7701</v>
      </c>
      <c r="E112" s="265" t="inlineStr">
        <is>
          <t>대원대동황토방1차</t>
        </is>
      </c>
      <c r="F112" s="458" t="n">
        <v>1999.04</v>
      </c>
      <c r="G112" s="458" t="n">
        <v>486</v>
      </c>
      <c r="H112" s="458">
        <f>2026-F112+1</f>
        <v/>
      </c>
      <c r="J112" s="458" t="n">
        <v>104</v>
      </c>
      <c r="K112" s="458" t="n">
        <v>84</v>
      </c>
      <c r="L112" s="458" t="n">
        <v>31</v>
      </c>
      <c r="M112" s="458" t="inlineStr">
        <is>
          <t>계단식</t>
        </is>
      </c>
      <c r="N112" s="458" t="n">
        <v>3</v>
      </c>
      <c r="O112" s="458" t="n">
        <v>2</v>
      </c>
      <c r="P112" s="458" t="n">
        <v>330</v>
      </c>
      <c r="U112" s="458" t="n">
        <v>2.59</v>
      </c>
      <c r="V112" s="458" t="n">
        <v>2.1</v>
      </c>
    </row>
    <row r="113">
      <c r="A113" s="458" t="inlineStr">
        <is>
          <t>대원동</t>
        </is>
      </c>
      <c r="D113" s="458" t="n">
        <v>7701</v>
      </c>
      <c r="E113" s="265" t="inlineStr">
        <is>
          <t>대원대동황토방1차</t>
        </is>
      </c>
      <c r="F113" s="458" t="n">
        <v>1999.04</v>
      </c>
      <c r="G113" s="458" t="n">
        <v>486</v>
      </c>
      <c r="H113" s="458">
        <f>2026-F113+1</f>
        <v/>
      </c>
      <c r="J113" s="458" t="n">
        <v>143</v>
      </c>
      <c r="K113" s="458" t="n">
        <v>120</v>
      </c>
      <c r="L113" s="458" t="n">
        <v>43</v>
      </c>
      <c r="M113" s="458" t="inlineStr">
        <is>
          <t>계단식</t>
        </is>
      </c>
      <c r="N113" s="458" t="n">
        <v>4</v>
      </c>
      <c r="O113" s="458" t="n">
        <v>2</v>
      </c>
      <c r="P113" s="458" t="n">
        <v>156</v>
      </c>
      <c r="U113" s="458" t="n">
        <v>3</v>
      </c>
      <c r="V113" s="458" t="n">
        <v>2.73</v>
      </c>
    </row>
    <row r="114">
      <c r="A114" s="263" t="inlineStr">
        <is>
          <t>대원동</t>
        </is>
      </c>
      <c r="B114" s="263" t="n"/>
      <c r="C114" s="263" t="n"/>
      <c r="D114" s="263" t="n">
        <v>15745</v>
      </c>
      <c r="E114" s="264" t="inlineStr">
        <is>
          <t>대원파크빌</t>
        </is>
      </c>
      <c r="F114" s="263" t="n">
        <v>1997.12</v>
      </c>
      <c r="G114" s="263" t="n">
        <v>603</v>
      </c>
      <c r="H114" s="263">
        <f>2026-F114+1</f>
        <v/>
      </c>
      <c r="I114" s="263" t="n"/>
      <c r="J114" s="263" t="n">
        <v>64</v>
      </c>
      <c r="K114" s="263" t="n">
        <v>52</v>
      </c>
      <c r="L114" s="263" t="n">
        <v>19</v>
      </c>
      <c r="M114" s="263" t="inlineStr">
        <is>
          <t>복도식</t>
        </is>
      </c>
      <c r="N114" s="263" t="n">
        <v>3</v>
      </c>
      <c r="O114" s="263" t="n">
        <v>1</v>
      </c>
      <c r="P114" s="263" t="n">
        <v>603</v>
      </c>
      <c r="Q114" s="263" t="n"/>
      <c r="R114" s="263" t="n"/>
      <c r="S114" s="263" t="n"/>
      <c r="T114" s="263" t="n"/>
      <c r="U114" s="263" t="n">
        <v>1.35</v>
      </c>
      <c r="V114" s="263" t="n">
        <v>1</v>
      </c>
      <c r="W114" s="263" t="n"/>
      <c r="X114" s="263" t="n"/>
      <c r="Y114" s="263" t="n"/>
      <c r="Z114" s="263" t="n"/>
      <c r="AA114" s="263" t="n"/>
      <c r="AB114" s="263" t="n"/>
      <c r="AC114" s="263" t="n"/>
      <c r="AD114" s="263" t="n"/>
      <c r="AE114" s="263" t="n"/>
      <c r="AF114" s="263" t="n"/>
      <c r="AG114" s="263" t="n"/>
      <c r="AH114" s="263" t="n"/>
      <c r="AI114" s="263" t="n"/>
      <c r="AJ114" s="263" t="n"/>
      <c r="AK114" s="263" t="n"/>
      <c r="AL114" s="263" t="n"/>
    </row>
    <row r="115">
      <c r="A115" s="458" t="inlineStr">
        <is>
          <t>대원동</t>
        </is>
      </c>
      <c r="D115" s="458" t="n">
        <v>153685</v>
      </c>
      <c r="E115" s="265" t="inlineStr">
        <is>
          <t>창원센트럴파크에일린의뜰</t>
        </is>
      </c>
      <c r="F115" s="458" t="n">
        <v>2025.06</v>
      </c>
      <c r="G115" s="458" t="n">
        <v>1470</v>
      </c>
      <c r="H115" s="458">
        <f>2026-F115+1</f>
        <v/>
      </c>
      <c r="J115" s="458" t="n">
        <v>82</v>
      </c>
      <c r="K115" s="458" t="n">
        <v>59</v>
      </c>
      <c r="L115" s="458" t="n">
        <v>25</v>
      </c>
      <c r="M115" s="458" t="inlineStr">
        <is>
          <t>계단식</t>
        </is>
      </c>
      <c r="N115" s="458" t="n">
        <v>3</v>
      </c>
      <c r="O115" s="458" t="n">
        <v>2</v>
      </c>
      <c r="P115" s="458" t="n">
        <v>172</v>
      </c>
    </row>
    <row r="116">
      <c r="A116" s="458" t="inlineStr">
        <is>
          <t>대원동</t>
        </is>
      </c>
      <c r="D116" s="458" t="n">
        <v>153685</v>
      </c>
      <c r="E116" s="265" t="inlineStr">
        <is>
          <t>창원센트럴파크에일린의뜰</t>
        </is>
      </c>
      <c r="F116" s="458" t="n">
        <v>2025.06</v>
      </c>
      <c r="G116" s="458" t="n">
        <v>1470</v>
      </c>
      <c r="H116" s="458">
        <f>2026-F116+1</f>
        <v/>
      </c>
      <c r="J116" s="458" t="n">
        <v>100</v>
      </c>
      <c r="K116" s="458" t="n">
        <v>75</v>
      </c>
      <c r="L116" s="458" t="n">
        <v>30</v>
      </c>
      <c r="M116" s="458" t="inlineStr">
        <is>
          <t>계단식</t>
        </is>
      </c>
      <c r="N116" s="458" t="n">
        <v>3</v>
      </c>
      <c r="O116" s="458" t="n">
        <v>2</v>
      </c>
      <c r="P116" s="458" t="n">
        <v>532</v>
      </c>
    </row>
    <row r="117">
      <c r="A117" s="458" t="inlineStr">
        <is>
          <t>대원동</t>
        </is>
      </c>
      <c r="D117" s="458" t="n">
        <v>153685</v>
      </c>
      <c r="E117" s="265" t="inlineStr">
        <is>
          <t>창원센트럴파크에일린의뜰</t>
        </is>
      </c>
      <c r="F117" s="458" t="n">
        <v>2025.06</v>
      </c>
      <c r="G117" s="458" t="n">
        <v>1470</v>
      </c>
      <c r="H117" s="458">
        <f>2026-F117+1</f>
        <v/>
      </c>
      <c r="J117" s="458" t="n">
        <v>101</v>
      </c>
      <c r="K117" s="458" t="n">
        <v>75</v>
      </c>
      <c r="L117" s="458" t="n">
        <v>31</v>
      </c>
      <c r="M117" s="458" t="inlineStr">
        <is>
          <t>계단식</t>
        </is>
      </c>
      <c r="N117" s="458" t="n">
        <v>4</v>
      </c>
      <c r="O117" s="458" t="n">
        <v>2</v>
      </c>
      <c r="P117" s="458" t="n">
        <v>32</v>
      </c>
    </row>
    <row r="118">
      <c r="A118" s="458" t="inlineStr">
        <is>
          <t>대원동</t>
        </is>
      </c>
      <c r="D118" s="458" t="n">
        <v>153685</v>
      </c>
      <c r="E118" s="265" t="inlineStr">
        <is>
          <t>창원센트럴파크에일린의뜰</t>
        </is>
      </c>
      <c r="F118" s="458" t="n">
        <v>2025.06</v>
      </c>
      <c r="G118" s="458" t="n">
        <v>1470</v>
      </c>
      <c r="H118" s="458">
        <f>2026-F118+1</f>
        <v/>
      </c>
      <c r="J118" s="458" t="n">
        <v>108</v>
      </c>
      <c r="K118" s="458" t="n">
        <v>84</v>
      </c>
      <c r="L118" s="458" t="n">
        <v>33</v>
      </c>
      <c r="M118" s="458" t="inlineStr">
        <is>
          <t>계단식</t>
        </is>
      </c>
      <c r="N118" s="458" t="n">
        <v>3</v>
      </c>
      <c r="O118" s="458" t="n">
        <v>2</v>
      </c>
      <c r="P118" s="458" t="n">
        <v>492</v>
      </c>
    </row>
    <row r="119">
      <c r="A119" s="458" t="inlineStr">
        <is>
          <t>대원동</t>
        </is>
      </c>
      <c r="D119" s="458" t="n">
        <v>153685</v>
      </c>
      <c r="E119" s="265" t="inlineStr">
        <is>
          <t>창원센트럴파크에일린의뜰</t>
        </is>
      </c>
      <c r="F119" s="458" t="n">
        <v>2025.06</v>
      </c>
      <c r="G119" s="458" t="n">
        <v>1470</v>
      </c>
      <c r="H119" s="458">
        <f>2026-F119+1</f>
        <v/>
      </c>
      <c r="J119" s="458" t="n">
        <v>125</v>
      </c>
      <c r="K119" s="458" t="n">
        <v>101</v>
      </c>
      <c r="L119" s="458" t="n">
        <v>38</v>
      </c>
      <c r="M119" s="458" t="inlineStr">
        <is>
          <t>계단식</t>
        </is>
      </c>
      <c r="N119" s="458" t="n">
        <v>3</v>
      </c>
      <c r="O119" s="458" t="n">
        <v>2</v>
      </c>
      <c r="P119" s="458" t="n">
        <v>242</v>
      </c>
    </row>
    <row r="120">
      <c r="A120" s="263" t="inlineStr">
        <is>
          <t>대원동</t>
        </is>
      </c>
      <c r="B120" s="263" t="n"/>
      <c r="C120" s="263" t="n"/>
      <c r="D120" s="263" t="n">
        <v>112657</v>
      </c>
      <c r="E120" s="264" t="inlineStr">
        <is>
          <t>포레나대원</t>
        </is>
      </c>
      <c r="F120" s="263" t="n">
        <v>2018.12</v>
      </c>
      <c r="G120" s="263" t="n">
        <v>1530</v>
      </c>
      <c r="H120" s="263">
        <f>2026-F120+1</f>
        <v/>
      </c>
      <c r="I120" s="263" t="n"/>
      <c r="J120" s="263" t="n">
        <v>82</v>
      </c>
      <c r="K120" s="263" t="n">
        <v>59</v>
      </c>
      <c r="L120" s="263" t="n">
        <v>25</v>
      </c>
      <c r="M120" s="263" t="inlineStr">
        <is>
          <t>계단식</t>
        </is>
      </c>
      <c r="N120" s="263" t="n">
        <v>3</v>
      </c>
      <c r="O120" s="263" t="n">
        <v>2</v>
      </c>
      <c r="P120" s="263" t="n">
        <v>515</v>
      </c>
      <c r="Q120" s="263" t="n"/>
      <c r="R120" s="263" t="n"/>
      <c r="S120" s="263" t="n"/>
      <c r="T120" s="263" t="n"/>
      <c r="U120" s="263" t="n">
        <v>6.25</v>
      </c>
      <c r="V120" s="263" t="n">
        <v>4.3</v>
      </c>
      <c r="W120" s="263" t="n"/>
      <c r="X120" s="263" t="n"/>
      <c r="Y120" s="263" t="n"/>
      <c r="Z120" s="263" t="n"/>
      <c r="AA120" s="263" t="n"/>
      <c r="AB120" s="263" t="n"/>
      <c r="AC120" s="263" t="n"/>
      <c r="AD120" s="263" t="n"/>
      <c r="AE120" s="263" t="n"/>
      <c r="AF120" s="263" t="n"/>
      <c r="AG120" s="263" t="n"/>
      <c r="AH120" s="263" t="n"/>
      <c r="AI120" s="263" t="n"/>
      <c r="AJ120" s="263" t="n"/>
      <c r="AK120" s="263" t="n"/>
      <c r="AL120" s="263" t="n"/>
    </row>
    <row r="121">
      <c r="A121" s="263" t="inlineStr">
        <is>
          <t>대원동</t>
        </is>
      </c>
      <c r="B121" s="263" t="n"/>
      <c r="C121" s="263" t="n"/>
      <c r="D121" s="263" t="n">
        <v>112657</v>
      </c>
      <c r="E121" s="264" t="inlineStr">
        <is>
          <t>포레나대원</t>
        </is>
      </c>
      <c r="F121" s="263" t="n">
        <v>2018.12</v>
      </c>
      <c r="G121" s="263" t="n">
        <v>1530</v>
      </c>
      <c r="H121" s="263">
        <f>2026-F121+1</f>
        <v/>
      </c>
      <c r="I121" s="263" t="n"/>
      <c r="J121" s="263" t="n">
        <v>94</v>
      </c>
      <c r="K121" s="263" t="n">
        <v>68</v>
      </c>
      <c r="L121" s="263" t="n">
        <v>28</v>
      </c>
      <c r="M121" s="263" t="inlineStr">
        <is>
          <t>계단식</t>
        </is>
      </c>
      <c r="N121" s="263" t="n">
        <v>3</v>
      </c>
      <c r="O121" s="263" t="n">
        <v>2</v>
      </c>
      <c r="P121" s="263" t="n">
        <v>365</v>
      </c>
      <c r="Q121" s="263" t="n"/>
      <c r="R121" s="263" t="n"/>
      <c r="S121" s="263" t="n"/>
      <c r="T121" s="263" t="n"/>
      <c r="U121" s="263" t="n">
        <v>7.1</v>
      </c>
      <c r="V121" s="263" t="n">
        <v>5</v>
      </c>
      <c r="W121" s="263" t="n"/>
      <c r="X121" s="263" t="n"/>
      <c r="Y121" s="263" t="n"/>
      <c r="Z121" s="263" t="n"/>
      <c r="AA121" s="263" t="n"/>
      <c r="AB121" s="263" t="n"/>
      <c r="AC121" s="263" t="n"/>
      <c r="AD121" s="263" t="n"/>
      <c r="AE121" s="263" t="n"/>
      <c r="AF121" s="263" t="n"/>
      <c r="AG121" s="263" t="n"/>
      <c r="AH121" s="263" t="n"/>
      <c r="AI121" s="263" t="n"/>
      <c r="AJ121" s="263" t="n"/>
      <c r="AK121" s="263" t="n"/>
      <c r="AL121" s="263" t="n"/>
    </row>
    <row r="122">
      <c r="A122" s="263" t="inlineStr">
        <is>
          <t>대원동</t>
        </is>
      </c>
      <c r="B122" s="263" t="n"/>
      <c r="C122" s="263" t="n"/>
      <c r="D122" s="263" t="n">
        <v>112657</v>
      </c>
      <c r="E122" s="264" t="inlineStr">
        <is>
          <t>포레나대원</t>
        </is>
      </c>
      <c r="F122" s="263" t="n">
        <v>2018.12</v>
      </c>
      <c r="G122" s="263" t="n">
        <v>1530</v>
      </c>
      <c r="H122" s="263">
        <f>2026-F122+1</f>
        <v/>
      </c>
      <c r="I122" s="263" t="n"/>
      <c r="J122" s="263" t="n">
        <v>116</v>
      </c>
      <c r="K122" s="263" t="n">
        <v>84</v>
      </c>
      <c r="L122" s="263" t="n">
        <v>35</v>
      </c>
      <c r="M122" s="263" t="inlineStr">
        <is>
          <t>계단식</t>
        </is>
      </c>
      <c r="N122" s="263" t="n">
        <v>3</v>
      </c>
      <c r="O122" s="263" t="n">
        <v>2</v>
      </c>
      <c r="P122" s="263" t="n">
        <v>602</v>
      </c>
      <c r="Q122" s="263" t="n"/>
      <c r="R122" s="263" t="n"/>
      <c r="S122" s="263" t="n"/>
      <c r="T122" s="263" t="n"/>
      <c r="U122" s="263" t="n">
        <v>8.199999999999999</v>
      </c>
      <c r="V122" s="263" t="n">
        <v>5.35</v>
      </c>
      <c r="W122" s="263" t="n"/>
      <c r="X122" s="263" t="n"/>
      <c r="Y122" s="263" t="n"/>
      <c r="Z122" s="263" t="n"/>
      <c r="AA122" s="263" t="n"/>
      <c r="AB122" s="263" t="n"/>
      <c r="AC122" s="263" t="n"/>
      <c r="AD122" s="263" t="n"/>
      <c r="AE122" s="263" t="n"/>
      <c r="AF122" s="263" t="n"/>
      <c r="AG122" s="263" t="n"/>
      <c r="AH122" s="263" t="n"/>
      <c r="AI122" s="263" t="n"/>
      <c r="AJ122" s="263" t="n"/>
      <c r="AK122" s="263" t="n"/>
      <c r="AL122" s="263" t="n"/>
    </row>
    <row r="123">
      <c r="A123" s="263" t="inlineStr">
        <is>
          <t>대원동</t>
        </is>
      </c>
      <c r="B123" s="263" t="n"/>
      <c r="C123" s="263" t="n"/>
      <c r="D123" s="263" t="n">
        <v>112657</v>
      </c>
      <c r="E123" s="264" t="inlineStr">
        <is>
          <t>포레나대원</t>
        </is>
      </c>
      <c r="F123" s="263" t="n">
        <v>2018.12</v>
      </c>
      <c r="G123" s="263" t="n">
        <v>1530</v>
      </c>
      <c r="H123" s="263">
        <f>2026-F123+1</f>
        <v/>
      </c>
      <c r="I123" s="263" t="n"/>
      <c r="J123" s="263" t="n">
        <v>147</v>
      </c>
      <c r="K123" s="263" t="n">
        <v>108</v>
      </c>
      <c r="L123" s="263" t="n">
        <v>44</v>
      </c>
      <c r="M123" s="263" t="inlineStr">
        <is>
          <t>계단식</t>
        </is>
      </c>
      <c r="N123" s="263" t="n">
        <v>4</v>
      </c>
      <c r="O123" s="263" t="n">
        <v>2</v>
      </c>
      <c r="P123" s="263" t="n">
        <v>48</v>
      </c>
      <c r="Q123" s="263" t="n"/>
      <c r="R123" s="263" t="n"/>
      <c r="S123" s="263" t="n"/>
      <c r="T123" s="263" t="n"/>
      <c r="U123" s="263" t="n">
        <v>10.45</v>
      </c>
      <c r="V123" s="263" t="n">
        <v>7.3</v>
      </c>
      <c r="W123" s="263" t="n"/>
      <c r="X123" s="263" t="n"/>
      <c r="Y123" s="263" t="n"/>
      <c r="Z123" s="263" t="n"/>
      <c r="AA123" s="263" t="n"/>
      <c r="AB123" s="263" t="n"/>
      <c r="AC123" s="263" t="n"/>
      <c r="AD123" s="263" t="n"/>
      <c r="AE123" s="263" t="n"/>
      <c r="AF123" s="263" t="n"/>
      <c r="AG123" s="263" t="n"/>
      <c r="AH123" s="263" t="n"/>
      <c r="AI123" s="263" t="n"/>
      <c r="AJ123" s="263" t="n"/>
      <c r="AK123" s="263" t="n"/>
      <c r="AL123" s="263" t="n"/>
    </row>
    <row r="124">
      <c r="A124" s="458" t="inlineStr">
        <is>
          <t>대원동</t>
        </is>
      </c>
      <c r="D124" s="458" t="n">
        <v>151257</v>
      </c>
      <c r="E124" s="265" t="inlineStr">
        <is>
          <t>힐스테이트마크로엔</t>
        </is>
      </c>
      <c r="F124" s="458" t="n">
        <v>2025.04</v>
      </c>
      <c r="G124" s="458" t="n">
        <v>951</v>
      </c>
      <c r="H124" s="458">
        <f>2026-F124+1</f>
        <v/>
      </c>
      <c r="J124" s="458" t="n">
        <v>85</v>
      </c>
      <c r="K124" s="458" t="n">
        <v>59</v>
      </c>
      <c r="L124" s="458" t="n">
        <v>26</v>
      </c>
      <c r="M124" s="458" t="inlineStr">
        <is>
          <t>계단식</t>
        </is>
      </c>
      <c r="N124" s="458" t="n">
        <v>3</v>
      </c>
      <c r="O124" s="458" t="n">
        <v>2</v>
      </c>
      <c r="P124" s="458" t="n">
        <v>552</v>
      </c>
    </row>
    <row r="125">
      <c r="A125" s="458" t="inlineStr">
        <is>
          <t>대원동</t>
        </is>
      </c>
      <c r="D125" s="458" t="n">
        <v>151257</v>
      </c>
      <c r="E125" s="265" t="inlineStr">
        <is>
          <t>힐스테이트마크로엔</t>
        </is>
      </c>
      <c r="F125" s="458" t="n">
        <v>2025.04</v>
      </c>
      <c r="G125" s="458" t="n">
        <v>951</v>
      </c>
      <c r="H125" s="458">
        <f>2026-F125+1</f>
        <v/>
      </c>
      <c r="J125" s="458" t="n">
        <v>97</v>
      </c>
      <c r="K125" s="458" t="n">
        <v>71</v>
      </c>
      <c r="L125" s="458" t="n">
        <v>29</v>
      </c>
      <c r="M125" s="458" t="inlineStr">
        <is>
          <t>계단식</t>
        </is>
      </c>
      <c r="N125" s="458" t="n">
        <v>3</v>
      </c>
      <c r="O125" s="458" t="n">
        <v>2</v>
      </c>
      <c r="P125" s="458" t="n">
        <v>293</v>
      </c>
    </row>
    <row r="126">
      <c r="A126" s="458" t="inlineStr">
        <is>
          <t>대원동</t>
        </is>
      </c>
      <c r="D126" s="458" t="n">
        <v>151257</v>
      </c>
      <c r="E126" s="265" t="inlineStr">
        <is>
          <t>힐스테이트마크로엔</t>
        </is>
      </c>
      <c r="F126" s="458" t="n">
        <v>2025.04</v>
      </c>
      <c r="G126" s="458" t="n">
        <v>951</v>
      </c>
      <c r="H126" s="458">
        <f>2026-F126+1</f>
        <v/>
      </c>
      <c r="J126" s="458" t="n">
        <v>112</v>
      </c>
      <c r="K126" s="458" t="n">
        <v>84</v>
      </c>
      <c r="L126" s="458" t="n">
        <v>34</v>
      </c>
      <c r="M126" s="458" t="inlineStr">
        <is>
          <t>계단식</t>
        </is>
      </c>
      <c r="N126" s="458" t="n">
        <v>3</v>
      </c>
      <c r="O126" s="458" t="n">
        <v>2</v>
      </c>
      <c r="P126" s="458" t="n">
        <v>106</v>
      </c>
    </row>
    <row r="127">
      <c r="A127" s="263" t="inlineStr">
        <is>
          <t>반림동</t>
        </is>
      </c>
      <c r="B127" s="263" t="n"/>
      <c r="C127" s="263" t="n"/>
      <c r="D127" s="263" t="n">
        <v>25168</v>
      </c>
      <c r="E127" s="264" t="inlineStr">
        <is>
          <t>노블파크</t>
        </is>
      </c>
      <c r="F127" s="263" t="n">
        <v>2007.12</v>
      </c>
      <c r="G127" s="263" t="n">
        <v>2699</v>
      </c>
      <c r="H127" s="263">
        <f>2026-F127+1</f>
        <v/>
      </c>
      <c r="I127" s="263" t="n"/>
      <c r="J127" s="263" t="n">
        <v>69</v>
      </c>
      <c r="K127" s="263" t="n">
        <v>51</v>
      </c>
      <c r="L127" s="263" t="n">
        <v>21</v>
      </c>
      <c r="M127" s="263" t="inlineStr">
        <is>
          <t>계단식</t>
        </is>
      </c>
      <c r="N127" s="263" t="n">
        <v>2</v>
      </c>
      <c r="O127" s="263" t="n">
        <v>1</v>
      </c>
      <c r="P127" s="263" t="n">
        <v>30</v>
      </c>
      <c r="Q127" s="263" t="n"/>
      <c r="R127" s="263" t="n"/>
      <c r="S127" s="263" t="n"/>
      <c r="T127" s="263" t="n"/>
      <c r="U127" s="263" t="n">
        <v>4</v>
      </c>
      <c r="V127" s="263" t="n">
        <v>3.27</v>
      </c>
      <c r="W127" s="263" t="n"/>
      <c r="X127" s="263" t="n"/>
      <c r="Y127" s="263" t="n"/>
      <c r="Z127" s="263" t="n"/>
      <c r="AA127" s="263" t="n"/>
      <c r="AB127" s="263" t="n"/>
      <c r="AC127" s="263" t="n"/>
      <c r="AD127" s="263" t="n"/>
      <c r="AE127" s="263" t="n"/>
      <c r="AF127" s="263" t="n"/>
      <c r="AG127" s="263" t="n"/>
      <c r="AH127" s="263" t="n"/>
      <c r="AI127" s="263" t="n"/>
      <c r="AJ127" s="263" t="n"/>
      <c r="AK127" s="263" t="n"/>
      <c r="AL127" s="263" t="n"/>
    </row>
    <row r="128">
      <c r="A128" s="263" t="inlineStr">
        <is>
          <t>반림동</t>
        </is>
      </c>
      <c r="B128" s="263" t="n"/>
      <c r="C128" s="263" t="n"/>
      <c r="D128" s="263" t="n">
        <v>25168</v>
      </c>
      <c r="E128" s="264" t="inlineStr">
        <is>
          <t>노블파크</t>
        </is>
      </c>
      <c r="F128" s="263" t="n">
        <v>2007.12</v>
      </c>
      <c r="G128" s="263" t="n">
        <v>2699</v>
      </c>
      <c r="H128" s="263">
        <f>2026-F128+1</f>
        <v/>
      </c>
      <c r="I128" s="263" t="n"/>
      <c r="J128" s="263" t="n">
        <v>84</v>
      </c>
      <c r="K128" s="263" t="n">
        <v>59</v>
      </c>
      <c r="L128" s="263" t="n">
        <v>25</v>
      </c>
      <c r="M128" s="263" t="inlineStr">
        <is>
          <t>계단식</t>
        </is>
      </c>
      <c r="N128" s="263" t="n">
        <v>3</v>
      </c>
      <c r="O128" s="263" t="n">
        <v>2</v>
      </c>
      <c r="P128" s="263" t="n">
        <v>164</v>
      </c>
      <c r="Q128" s="263" t="n"/>
      <c r="R128" s="263" t="n"/>
      <c r="S128" s="263" t="n"/>
      <c r="T128" s="263" t="n"/>
      <c r="U128" s="263" t="n">
        <v>5.3</v>
      </c>
      <c r="V128" s="263" t="n">
        <v>4</v>
      </c>
      <c r="W128" s="263" t="n"/>
      <c r="X128" s="263" t="n"/>
      <c r="Y128" s="263" t="n"/>
      <c r="Z128" s="263" t="n"/>
      <c r="AA128" s="263" t="n"/>
      <c r="AB128" s="263" t="n"/>
      <c r="AC128" s="263" t="n"/>
      <c r="AD128" s="263" t="n"/>
      <c r="AE128" s="263" t="n"/>
      <c r="AF128" s="263" t="n"/>
      <c r="AG128" s="263" t="n"/>
      <c r="AH128" s="263" t="n"/>
      <c r="AI128" s="263" t="n"/>
      <c r="AJ128" s="263" t="n"/>
      <c r="AK128" s="263" t="n"/>
      <c r="AL128" s="263" t="n"/>
    </row>
    <row r="129">
      <c r="A129" s="263" t="inlineStr">
        <is>
          <t>반림동</t>
        </is>
      </c>
      <c r="B129" s="263" t="n"/>
      <c r="C129" s="263" t="n"/>
      <c r="D129" s="263" t="n">
        <v>25168</v>
      </c>
      <c r="E129" s="264" t="inlineStr">
        <is>
          <t>노블파크</t>
        </is>
      </c>
      <c r="F129" s="263" t="n">
        <v>2007.12</v>
      </c>
      <c r="G129" s="263" t="n">
        <v>2699</v>
      </c>
      <c r="H129" s="263">
        <f>2026-F129+1</f>
        <v/>
      </c>
      <c r="I129" s="263" t="n"/>
      <c r="J129" s="263" t="n">
        <v>90</v>
      </c>
      <c r="K129" s="263" t="n">
        <v>66</v>
      </c>
      <c r="L129" s="263" t="n">
        <v>27</v>
      </c>
      <c r="M129" s="263" t="inlineStr">
        <is>
          <t>계단식</t>
        </is>
      </c>
      <c r="N129" s="263" t="n">
        <v>2</v>
      </c>
      <c r="O129" s="263" t="n">
        <v>2</v>
      </c>
      <c r="P129" s="263" t="n">
        <v>6</v>
      </c>
      <c r="Q129" s="263" t="n"/>
      <c r="R129" s="263" t="n"/>
      <c r="S129" s="263" t="n"/>
      <c r="T129" s="263" t="n"/>
      <c r="U129" s="263" t="n"/>
      <c r="V129" s="263" t="n">
        <v>3.93</v>
      </c>
      <c r="W129" s="263" t="n"/>
      <c r="X129" s="263" t="n"/>
      <c r="Y129" s="263" t="n"/>
      <c r="Z129" s="263" t="n"/>
      <c r="AA129" s="263" t="n"/>
      <c r="AB129" s="263" t="n"/>
      <c r="AC129" s="263" t="n"/>
      <c r="AD129" s="263" t="n"/>
      <c r="AE129" s="263" t="n"/>
      <c r="AF129" s="263" t="n"/>
      <c r="AG129" s="263" t="n"/>
      <c r="AH129" s="263" t="n"/>
      <c r="AI129" s="263" t="n"/>
      <c r="AJ129" s="263" t="n"/>
      <c r="AK129" s="263" t="n"/>
      <c r="AL129" s="263" t="n"/>
    </row>
    <row r="130">
      <c r="A130" s="263" t="inlineStr">
        <is>
          <t>반림동</t>
        </is>
      </c>
      <c r="B130" s="263" t="n"/>
      <c r="C130" s="263" t="n"/>
      <c r="D130" s="263" t="n">
        <v>25168</v>
      </c>
      <c r="E130" s="264" t="inlineStr">
        <is>
          <t>노블파크</t>
        </is>
      </c>
      <c r="F130" s="263" t="n">
        <v>2007.12</v>
      </c>
      <c r="G130" s="263" t="n">
        <v>2699</v>
      </c>
      <c r="H130" s="263">
        <f>2026-F130+1</f>
        <v/>
      </c>
      <c r="I130" s="263" t="n"/>
      <c r="J130" s="263" t="n">
        <v>102</v>
      </c>
      <c r="K130" s="263" t="n">
        <v>76</v>
      </c>
      <c r="L130" s="263" t="n">
        <v>31</v>
      </c>
      <c r="M130" s="263" t="inlineStr">
        <is>
          <t>계단식</t>
        </is>
      </c>
      <c r="N130" s="263" t="n">
        <v>3</v>
      </c>
      <c r="O130" s="263" t="n">
        <v>2</v>
      </c>
      <c r="P130" s="263" t="n">
        <v>416</v>
      </c>
      <c r="Q130" s="263" t="n"/>
      <c r="R130" s="263" t="n"/>
      <c r="S130" s="263" t="n"/>
      <c r="T130" s="263" t="n"/>
      <c r="U130" s="263" t="n">
        <v>6.25</v>
      </c>
      <c r="V130" s="263" t="n">
        <v>4.4</v>
      </c>
      <c r="W130" s="263" t="n"/>
      <c r="X130" s="263" t="n"/>
      <c r="Y130" s="263" t="n"/>
      <c r="Z130" s="263" t="n"/>
      <c r="AA130" s="263" t="n"/>
      <c r="AB130" s="263" t="n"/>
      <c r="AC130" s="263" t="n"/>
      <c r="AD130" s="263" t="n"/>
      <c r="AE130" s="263" t="n"/>
      <c r="AF130" s="263" t="n"/>
      <c r="AG130" s="263" t="n"/>
      <c r="AH130" s="263" t="n"/>
      <c r="AI130" s="263" t="n"/>
      <c r="AJ130" s="263" t="n"/>
      <c r="AK130" s="263" t="n"/>
      <c r="AL130" s="263" t="n"/>
    </row>
    <row r="131">
      <c r="A131" s="263" t="inlineStr">
        <is>
          <t>반림동</t>
        </is>
      </c>
      <c r="B131" s="263" t="n"/>
      <c r="C131" s="263" t="n"/>
      <c r="D131" s="263" t="n">
        <v>25168</v>
      </c>
      <c r="E131" s="264" t="inlineStr">
        <is>
          <t>노블파크</t>
        </is>
      </c>
      <c r="F131" s="263" t="n">
        <v>2007.12</v>
      </c>
      <c r="G131" s="263" t="n">
        <v>2699</v>
      </c>
      <c r="H131" s="263">
        <f>2026-F131+1</f>
        <v/>
      </c>
      <c r="I131" s="263" t="n"/>
      <c r="J131" s="263" t="n">
        <v>103</v>
      </c>
      <c r="K131" s="263" t="n">
        <v>75</v>
      </c>
      <c r="L131" s="263" t="n">
        <v>31</v>
      </c>
      <c r="M131" s="263" t="inlineStr">
        <is>
          <t>계단식</t>
        </is>
      </c>
      <c r="N131" s="263" t="n">
        <v>3</v>
      </c>
      <c r="O131" s="263" t="n">
        <v>2</v>
      </c>
      <c r="P131" s="263" t="n">
        <v>176</v>
      </c>
      <c r="Q131" s="263" t="n"/>
      <c r="R131" s="263" t="n"/>
      <c r="S131" s="263" t="n"/>
      <c r="T131" s="263" t="n"/>
      <c r="U131" s="263" t="n">
        <v>6.25</v>
      </c>
      <c r="V131" s="263" t="n">
        <v>4.4</v>
      </c>
      <c r="W131" s="263" t="n"/>
      <c r="X131" s="263" t="n"/>
      <c r="Y131" s="263" t="n"/>
      <c r="Z131" s="263" t="n"/>
      <c r="AA131" s="263" t="n"/>
      <c r="AB131" s="263" t="n"/>
      <c r="AC131" s="263" t="n"/>
      <c r="AD131" s="263" t="n"/>
      <c r="AE131" s="263" t="n"/>
      <c r="AF131" s="263" t="n"/>
      <c r="AG131" s="263" t="n"/>
      <c r="AH131" s="263" t="n"/>
      <c r="AI131" s="263" t="n"/>
      <c r="AJ131" s="263" t="n"/>
      <c r="AK131" s="263" t="n"/>
      <c r="AL131" s="263" t="n"/>
    </row>
    <row r="132">
      <c r="A132" s="263" t="inlineStr">
        <is>
          <t>반림동</t>
        </is>
      </c>
      <c r="B132" s="263" t="n"/>
      <c r="C132" s="263" t="n"/>
      <c r="D132" s="263" t="n">
        <v>25168</v>
      </c>
      <c r="E132" s="264" t="inlineStr">
        <is>
          <t>노블파크</t>
        </is>
      </c>
      <c r="F132" s="263" t="n">
        <v>2007.12</v>
      </c>
      <c r="G132" s="263" t="n">
        <v>2699</v>
      </c>
      <c r="H132" s="263">
        <f>2026-F132+1</f>
        <v/>
      </c>
      <c r="I132" s="263" t="n"/>
      <c r="J132" s="263" t="n">
        <v>113</v>
      </c>
      <c r="K132" s="263" t="n">
        <v>84</v>
      </c>
      <c r="L132" s="263" t="n">
        <v>34</v>
      </c>
      <c r="M132" s="263" t="inlineStr">
        <is>
          <t>계단식</t>
        </is>
      </c>
      <c r="N132" s="263" t="n">
        <v>3</v>
      </c>
      <c r="O132" s="263" t="n">
        <v>2</v>
      </c>
      <c r="P132" s="263" t="n">
        <v>1382</v>
      </c>
      <c r="Q132" s="263" t="n"/>
      <c r="R132" s="263" t="n"/>
      <c r="S132" s="263" t="n"/>
      <c r="T132" s="263" t="n"/>
      <c r="U132" s="263" t="n">
        <v>7.1</v>
      </c>
      <c r="V132" s="263" t="n">
        <v>4.28</v>
      </c>
      <c r="W132" s="263" t="n"/>
      <c r="X132" s="263" t="n"/>
      <c r="Y132" s="263" t="n"/>
      <c r="Z132" s="263" t="n"/>
      <c r="AA132" s="263" t="n"/>
      <c r="AB132" s="263" t="n"/>
      <c r="AC132" s="263" t="n"/>
      <c r="AD132" s="263" t="n"/>
      <c r="AE132" s="263" t="n"/>
      <c r="AF132" s="263" t="n"/>
      <c r="AG132" s="263" t="n"/>
      <c r="AH132" s="263" t="n"/>
      <c r="AI132" s="263" t="n"/>
      <c r="AJ132" s="263" t="n"/>
      <c r="AK132" s="263" t="n"/>
      <c r="AL132" s="263" t="n"/>
    </row>
    <row r="133">
      <c r="A133" s="263" t="inlineStr">
        <is>
          <t>반림동</t>
        </is>
      </c>
      <c r="B133" s="263" t="n"/>
      <c r="C133" s="263" t="n"/>
      <c r="D133" s="263" t="n">
        <v>25168</v>
      </c>
      <c r="E133" s="264" t="inlineStr">
        <is>
          <t>노블파크</t>
        </is>
      </c>
      <c r="F133" s="263" t="n">
        <v>2007.12</v>
      </c>
      <c r="G133" s="263" t="n">
        <v>2699</v>
      </c>
      <c r="H133" s="263">
        <f>2026-F133+1</f>
        <v/>
      </c>
      <c r="I133" s="263" t="n"/>
      <c r="J133" s="263" t="n">
        <v>131</v>
      </c>
      <c r="K133" s="263" t="n">
        <v>101</v>
      </c>
      <c r="L133" s="263" t="n">
        <v>40</v>
      </c>
      <c r="M133" s="263" t="inlineStr">
        <is>
          <t>계단식</t>
        </is>
      </c>
      <c r="N133" s="263" t="n">
        <v>3</v>
      </c>
      <c r="O133" s="263" t="n">
        <v>2</v>
      </c>
      <c r="P133" s="263" t="n">
        <v>247</v>
      </c>
      <c r="Q133" s="263" t="n"/>
      <c r="R133" s="263" t="n"/>
      <c r="S133" s="263" t="n"/>
      <c r="T133" s="263" t="n"/>
      <c r="U133" s="263" t="n">
        <v>7.25</v>
      </c>
      <c r="V133" s="263" t="n">
        <v>5.02</v>
      </c>
      <c r="W133" s="263" t="n"/>
      <c r="X133" s="263" t="n"/>
      <c r="Y133" s="263" t="n"/>
      <c r="Z133" s="263" t="n"/>
      <c r="AA133" s="263" t="n"/>
      <c r="AB133" s="263" t="n"/>
      <c r="AC133" s="263" t="n"/>
      <c r="AD133" s="263" t="n"/>
      <c r="AE133" s="263" t="n"/>
      <c r="AF133" s="263" t="n"/>
      <c r="AG133" s="263" t="n"/>
      <c r="AH133" s="263" t="n"/>
      <c r="AI133" s="263" t="n"/>
      <c r="AJ133" s="263" t="n"/>
      <c r="AK133" s="263" t="n"/>
      <c r="AL133" s="263" t="n"/>
    </row>
    <row r="134">
      <c r="A134" s="263" t="inlineStr">
        <is>
          <t>반림동</t>
        </is>
      </c>
      <c r="B134" s="263" t="n"/>
      <c r="C134" s="263" t="n"/>
      <c r="D134" s="263" t="n">
        <v>25168</v>
      </c>
      <c r="E134" s="264" t="inlineStr">
        <is>
          <t>노블파크</t>
        </is>
      </c>
      <c r="F134" s="263" t="n">
        <v>2007.12</v>
      </c>
      <c r="G134" s="263" t="n">
        <v>2699</v>
      </c>
      <c r="H134" s="263">
        <f>2026-F134+1</f>
        <v/>
      </c>
      <c r="I134" s="263" t="n"/>
      <c r="J134" s="263" t="n">
        <v>163</v>
      </c>
      <c r="K134" s="263" t="n">
        <v>129</v>
      </c>
      <c r="L134" s="263" t="n">
        <v>49</v>
      </c>
      <c r="M134" s="263" t="inlineStr">
        <is>
          <t>계단식</t>
        </is>
      </c>
      <c r="N134" s="263" t="n">
        <v>4</v>
      </c>
      <c r="O134" s="263" t="n">
        <v>2</v>
      </c>
      <c r="P134" s="263" t="n">
        <v>158</v>
      </c>
      <c r="Q134" s="263" t="n"/>
      <c r="R134" s="263" t="n"/>
      <c r="S134" s="263" t="n"/>
      <c r="T134" s="263" t="n"/>
      <c r="U134" s="263" t="n">
        <v>9.5</v>
      </c>
      <c r="V134" s="263" t="n">
        <v>7</v>
      </c>
      <c r="W134" s="263" t="n"/>
      <c r="X134" s="263" t="n"/>
      <c r="Y134" s="263" t="n"/>
      <c r="Z134" s="263" t="n"/>
      <c r="AA134" s="263" t="n"/>
      <c r="AB134" s="263" t="n"/>
      <c r="AC134" s="263" t="n"/>
      <c r="AD134" s="263" t="n"/>
      <c r="AE134" s="263" t="n"/>
      <c r="AF134" s="263" t="n"/>
      <c r="AG134" s="263" t="n"/>
      <c r="AH134" s="263" t="n"/>
      <c r="AI134" s="263" t="n"/>
      <c r="AJ134" s="263" t="n"/>
      <c r="AK134" s="263" t="n"/>
      <c r="AL134" s="263" t="n"/>
    </row>
    <row r="135">
      <c r="A135" s="263" t="inlineStr">
        <is>
          <t>반림동</t>
        </is>
      </c>
      <c r="B135" s="263" t="n"/>
      <c r="C135" s="263" t="n"/>
      <c r="D135" s="263" t="n">
        <v>25168</v>
      </c>
      <c r="E135" s="264" t="inlineStr">
        <is>
          <t>노블파크</t>
        </is>
      </c>
      <c r="F135" s="263" t="n">
        <v>2007.12</v>
      </c>
      <c r="G135" s="263" t="n">
        <v>2699</v>
      </c>
      <c r="H135" s="263">
        <f>2026-F135+1</f>
        <v/>
      </c>
      <c r="I135" s="263" t="n"/>
      <c r="J135" s="263" t="n">
        <v>191</v>
      </c>
      <c r="K135" s="263" t="n">
        <v>148</v>
      </c>
      <c r="L135" s="263" t="n">
        <v>58</v>
      </c>
      <c r="M135" s="263" t="inlineStr">
        <is>
          <t>계단식</t>
        </is>
      </c>
      <c r="N135" s="263" t="n">
        <v>4</v>
      </c>
      <c r="O135" s="263" t="n">
        <v>2</v>
      </c>
      <c r="P135" s="263" t="n">
        <v>120</v>
      </c>
      <c r="Q135" s="263" t="n"/>
      <c r="R135" s="263" t="n"/>
      <c r="S135" s="263" t="n"/>
      <c r="T135" s="263" t="n"/>
      <c r="U135" s="263" t="n">
        <v>9.699999999999999</v>
      </c>
      <c r="V135" s="263" t="n">
        <v>8.5</v>
      </c>
      <c r="W135" s="263" t="n"/>
      <c r="X135" s="263" t="n"/>
      <c r="Y135" s="263" t="n"/>
      <c r="Z135" s="263" t="n"/>
      <c r="AA135" s="263" t="n"/>
      <c r="AB135" s="263" t="n"/>
      <c r="AC135" s="263" t="n"/>
      <c r="AD135" s="263" t="n"/>
      <c r="AE135" s="263" t="n"/>
      <c r="AF135" s="263" t="n"/>
      <c r="AG135" s="263" t="n"/>
      <c r="AH135" s="263" t="n"/>
      <c r="AI135" s="263" t="n"/>
      <c r="AJ135" s="263" t="n"/>
      <c r="AK135" s="263" t="n"/>
      <c r="AL135" s="263" t="n"/>
    </row>
    <row r="136">
      <c r="A136" s="458" t="inlineStr">
        <is>
          <t>반림동</t>
        </is>
      </c>
      <c r="D136" s="458" t="n">
        <v>15778</v>
      </c>
      <c r="E136" s="265" t="inlineStr">
        <is>
          <t>반림럭키</t>
        </is>
      </c>
      <c r="F136" s="458" t="n">
        <v>1989.01</v>
      </c>
      <c r="G136" s="458" t="n">
        <v>1620</v>
      </c>
      <c r="H136" s="458">
        <f>2026-F136+1</f>
        <v/>
      </c>
      <c r="J136" s="458" t="n">
        <v>66</v>
      </c>
      <c r="K136" s="458" t="n">
        <v>49</v>
      </c>
      <c r="L136" s="458" t="n">
        <v>20</v>
      </c>
      <c r="M136" s="458" t="inlineStr">
        <is>
          <t>복도식</t>
        </is>
      </c>
      <c r="N136" s="458" t="n">
        <v>2</v>
      </c>
      <c r="O136" s="458" t="n">
        <v>1</v>
      </c>
      <c r="P136" s="458" t="n">
        <v>300</v>
      </c>
      <c r="U136" s="458" t="n">
        <v>2.35</v>
      </c>
      <c r="V136" s="458" t="n">
        <v>1.87</v>
      </c>
    </row>
    <row r="137">
      <c r="A137" s="458" t="inlineStr">
        <is>
          <t>반림동</t>
        </is>
      </c>
      <c r="D137" s="458" t="n">
        <v>15778</v>
      </c>
      <c r="E137" s="265" t="inlineStr">
        <is>
          <t>반림럭키</t>
        </is>
      </c>
      <c r="F137" s="458" t="n">
        <v>1989.01</v>
      </c>
      <c r="G137" s="458" t="n">
        <v>1620</v>
      </c>
      <c r="H137" s="458">
        <f>2026-F137+1</f>
        <v/>
      </c>
      <c r="J137" s="458" t="n">
        <v>79</v>
      </c>
      <c r="K137" s="458" t="n">
        <v>59</v>
      </c>
      <c r="L137" s="458" t="n">
        <v>24</v>
      </c>
      <c r="M137" s="458" t="inlineStr">
        <is>
          <t>복도식</t>
        </is>
      </c>
      <c r="N137" s="458" t="n">
        <v>2</v>
      </c>
      <c r="O137" s="458" t="n">
        <v>1</v>
      </c>
      <c r="P137" s="458" t="n">
        <v>210</v>
      </c>
      <c r="U137" s="458" t="n">
        <v>3</v>
      </c>
      <c r="V137" s="458" t="n">
        <v>1.75</v>
      </c>
    </row>
    <row r="138">
      <c r="A138" s="458" t="inlineStr">
        <is>
          <t>반림동</t>
        </is>
      </c>
      <c r="D138" s="458" t="n">
        <v>15778</v>
      </c>
      <c r="E138" s="265" t="inlineStr">
        <is>
          <t>반림럭키</t>
        </is>
      </c>
      <c r="F138" s="458" t="n">
        <v>1989.01</v>
      </c>
      <c r="G138" s="458" t="n">
        <v>1620</v>
      </c>
      <c r="H138" s="458">
        <f>2026-F138+1</f>
        <v/>
      </c>
      <c r="J138" s="458" t="n">
        <v>93</v>
      </c>
      <c r="K138" s="458" t="n">
        <v>76</v>
      </c>
      <c r="L138" s="458" t="n">
        <v>28</v>
      </c>
      <c r="M138" s="458" t="inlineStr">
        <is>
          <t>계단식</t>
        </is>
      </c>
      <c r="N138" s="458" t="n">
        <v>3</v>
      </c>
      <c r="O138" s="458" t="n">
        <v>1</v>
      </c>
      <c r="P138" s="458" t="n">
        <v>540</v>
      </c>
      <c r="U138" s="458" t="n">
        <v>4.6</v>
      </c>
      <c r="V138" s="458" t="n">
        <v>2.12</v>
      </c>
    </row>
    <row r="139">
      <c r="A139" s="458" t="inlineStr">
        <is>
          <t>반림동</t>
        </is>
      </c>
      <c r="D139" s="458" t="n">
        <v>15778</v>
      </c>
      <c r="E139" s="265" t="inlineStr">
        <is>
          <t>반림럭키</t>
        </is>
      </c>
      <c r="F139" s="458" t="n">
        <v>1989.01</v>
      </c>
      <c r="G139" s="458" t="n">
        <v>1620</v>
      </c>
      <c r="H139" s="458">
        <f>2026-F139+1</f>
        <v/>
      </c>
      <c r="J139" s="458" t="n">
        <v>102</v>
      </c>
      <c r="K139" s="458" t="n">
        <v>84</v>
      </c>
      <c r="L139" s="458" t="n">
        <v>31</v>
      </c>
      <c r="M139" s="458" t="inlineStr">
        <is>
          <t>계단식</t>
        </is>
      </c>
      <c r="N139" s="458" t="n">
        <v>3</v>
      </c>
      <c r="O139" s="458" t="n">
        <v>2</v>
      </c>
      <c r="P139" s="458" t="n">
        <v>570</v>
      </c>
      <c r="U139" s="458" t="n">
        <v>4.45</v>
      </c>
      <c r="V139" s="458" t="n">
        <v>2.42</v>
      </c>
    </row>
    <row r="140">
      <c r="A140" s="263" t="inlineStr">
        <is>
          <t>반림동</t>
        </is>
      </c>
      <c r="B140" s="263" t="n"/>
      <c r="C140" s="263" t="n"/>
      <c r="D140" s="263" t="n">
        <v>19740</v>
      </c>
      <c r="E140" s="264" t="inlineStr">
        <is>
          <t>트리비앙</t>
        </is>
      </c>
      <c r="F140" s="263" t="n">
        <v>2006.1</v>
      </c>
      <c r="G140" s="263" t="n">
        <v>2610</v>
      </c>
      <c r="H140" s="263">
        <f>2026-F140+1</f>
        <v/>
      </c>
      <c r="I140" s="263" t="n"/>
      <c r="J140" s="263" t="n">
        <v>85</v>
      </c>
      <c r="K140" s="263" t="n">
        <v>59</v>
      </c>
      <c r="L140" s="263" t="n">
        <v>26</v>
      </c>
      <c r="M140" s="263" t="inlineStr">
        <is>
          <t>계단식</t>
        </is>
      </c>
      <c r="N140" s="263" t="n">
        <v>3</v>
      </c>
      <c r="O140" s="263" t="n">
        <v>2</v>
      </c>
      <c r="P140" s="263" t="n">
        <v>338</v>
      </c>
      <c r="Q140" s="263" t="n"/>
      <c r="R140" s="263" t="n"/>
      <c r="S140" s="263" t="n"/>
      <c r="T140" s="263" t="n"/>
      <c r="U140" s="263" t="n">
        <v>5.57</v>
      </c>
      <c r="V140" s="263" t="n">
        <v>3.8</v>
      </c>
      <c r="W140" s="263" t="n"/>
      <c r="X140" s="263" t="n"/>
      <c r="Y140" s="263" t="n"/>
      <c r="Z140" s="263" t="n"/>
      <c r="AA140" s="263" t="n"/>
      <c r="AB140" s="263" t="n"/>
      <c r="AC140" s="263" t="n"/>
      <c r="AD140" s="263" t="n"/>
      <c r="AE140" s="263" t="n"/>
      <c r="AF140" s="263" t="n"/>
      <c r="AG140" s="263" t="n"/>
      <c r="AH140" s="263" t="n"/>
      <c r="AI140" s="263" t="n"/>
      <c r="AJ140" s="263" t="n"/>
      <c r="AK140" s="263" t="n"/>
      <c r="AL140" s="263" t="n"/>
    </row>
    <row r="141">
      <c r="A141" s="263" t="inlineStr">
        <is>
          <t>반림동</t>
        </is>
      </c>
      <c r="B141" s="263" t="n"/>
      <c r="C141" s="263" t="n"/>
      <c r="D141" s="263" t="n">
        <v>19740</v>
      </c>
      <c r="E141" s="264" t="inlineStr">
        <is>
          <t>트리비앙</t>
        </is>
      </c>
      <c r="F141" s="263" t="n">
        <v>2006.1</v>
      </c>
      <c r="G141" s="263" t="n">
        <v>2610</v>
      </c>
      <c r="H141" s="263">
        <f>2026-F141+1</f>
        <v/>
      </c>
      <c r="I141" s="263" t="n"/>
      <c r="J141" s="263" t="n">
        <v>89</v>
      </c>
      <c r="K141" s="263" t="n">
        <v>66</v>
      </c>
      <c r="L141" s="263" t="n">
        <v>27</v>
      </c>
      <c r="M141" s="263" t="inlineStr">
        <is>
          <t>계단식</t>
        </is>
      </c>
      <c r="N141" s="263" t="n">
        <v>2</v>
      </c>
      <c r="O141" s="263" t="n">
        <v>2</v>
      </c>
      <c r="P141" s="263" t="n">
        <v>4</v>
      </c>
      <c r="Q141" s="263" t="n"/>
      <c r="R141" s="263" t="n"/>
      <c r="S141" s="263" t="n"/>
      <c r="T141" s="263" t="n"/>
      <c r="U141" s="263" t="n">
        <v>4.75</v>
      </c>
      <c r="V141" s="263" t="n"/>
      <c r="W141" s="263" t="n"/>
      <c r="X141" s="263" t="n"/>
      <c r="Y141" s="263" t="n"/>
      <c r="Z141" s="263" t="n"/>
      <c r="AA141" s="263" t="n"/>
      <c r="AB141" s="263" t="n"/>
      <c r="AC141" s="263" t="n"/>
      <c r="AD141" s="263" t="n"/>
      <c r="AE141" s="263" t="n"/>
      <c r="AF141" s="263" t="n"/>
      <c r="AG141" s="263" t="n"/>
      <c r="AH141" s="263" t="n"/>
      <c r="AI141" s="263" t="n"/>
      <c r="AJ141" s="263" t="n"/>
      <c r="AK141" s="263" t="n"/>
      <c r="AL141" s="263" t="n"/>
    </row>
    <row r="142">
      <c r="A142" s="263" t="inlineStr">
        <is>
          <t>반림동</t>
        </is>
      </c>
      <c r="B142" s="263" t="n"/>
      <c r="C142" s="263" t="n"/>
      <c r="D142" s="263" t="n">
        <v>19740</v>
      </c>
      <c r="E142" s="264" t="inlineStr">
        <is>
          <t>트리비앙</t>
        </is>
      </c>
      <c r="F142" s="263" t="n">
        <v>2006.1</v>
      </c>
      <c r="G142" s="263" t="n">
        <v>2610</v>
      </c>
      <c r="H142" s="263">
        <f>2026-F142+1</f>
        <v/>
      </c>
      <c r="I142" s="263" t="n"/>
      <c r="J142" s="263" t="n">
        <v>98</v>
      </c>
      <c r="K142" s="263" t="n">
        <v>73</v>
      </c>
      <c r="L142" s="263" t="n">
        <v>30</v>
      </c>
      <c r="M142" s="263" t="inlineStr">
        <is>
          <t>계단식</t>
        </is>
      </c>
      <c r="N142" s="263" t="n">
        <v>2</v>
      </c>
      <c r="O142" s="263" t="n">
        <v>2</v>
      </c>
      <c r="P142" s="263" t="n">
        <v>4</v>
      </c>
      <c r="Q142" s="263" t="n"/>
      <c r="R142" s="263" t="n"/>
      <c r="S142" s="263" t="n"/>
      <c r="T142" s="263" t="n"/>
      <c r="U142" s="263" t="n"/>
      <c r="V142" s="263" t="n"/>
      <c r="W142" s="263" t="n"/>
      <c r="X142" s="263" t="n"/>
      <c r="Y142" s="263" t="n"/>
      <c r="Z142" s="263" t="n"/>
      <c r="AA142" s="263" t="n"/>
      <c r="AB142" s="263" t="n"/>
      <c r="AC142" s="263" t="n"/>
      <c r="AD142" s="263" t="n"/>
      <c r="AE142" s="263" t="n"/>
      <c r="AF142" s="263" t="n"/>
      <c r="AG142" s="263" t="n"/>
      <c r="AH142" s="263" t="n"/>
      <c r="AI142" s="263" t="n"/>
      <c r="AJ142" s="263" t="n"/>
      <c r="AK142" s="263" t="n"/>
      <c r="AL142" s="263" t="n"/>
    </row>
    <row r="143">
      <c r="A143" s="263" t="inlineStr">
        <is>
          <t>반림동</t>
        </is>
      </c>
      <c r="B143" s="263" t="n"/>
      <c r="C143" s="263" t="n"/>
      <c r="D143" s="263" t="n">
        <v>19740</v>
      </c>
      <c r="E143" s="264" t="inlineStr">
        <is>
          <t>트리비앙</t>
        </is>
      </c>
      <c r="F143" s="263" t="n">
        <v>2006.1</v>
      </c>
      <c r="G143" s="263" t="n">
        <v>2610</v>
      </c>
      <c r="H143" s="263">
        <f>2026-F143+1</f>
        <v/>
      </c>
      <c r="I143" s="263" t="n"/>
      <c r="J143" s="263" t="n">
        <v>102</v>
      </c>
      <c r="K143" s="263" t="n">
        <v>76</v>
      </c>
      <c r="L143" s="263" t="n">
        <v>31</v>
      </c>
      <c r="M143" s="263" t="inlineStr">
        <is>
          <t>계단식</t>
        </is>
      </c>
      <c r="N143" s="263" t="n">
        <v>3</v>
      </c>
      <c r="O143" s="263" t="n">
        <v>2</v>
      </c>
      <c r="P143" s="263" t="n">
        <v>401</v>
      </c>
      <c r="Q143" s="263" t="n"/>
      <c r="R143" s="263" t="n"/>
      <c r="S143" s="263" t="n"/>
      <c r="T143" s="263" t="n"/>
      <c r="U143" s="263" t="n">
        <v>6.6</v>
      </c>
      <c r="V143" s="263" t="n">
        <v>4.5</v>
      </c>
      <c r="W143" s="263" t="n"/>
      <c r="X143" s="263" t="n"/>
      <c r="Y143" s="263" t="n"/>
      <c r="Z143" s="263" t="n"/>
      <c r="AA143" s="263" t="n"/>
      <c r="AB143" s="263" t="n"/>
      <c r="AC143" s="263" t="n"/>
      <c r="AD143" s="263" t="n"/>
      <c r="AE143" s="263" t="n"/>
      <c r="AF143" s="263" t="n"/>
      <c r="AG143" s="263" t="n"/>
      <c r="AH143" s="263" t="n"/>
      <c r="AI143" s="263" t="n"/>
      <c r="AJ143" s="263" t="n"/>
      <c r="AK143" s="263" t="n"/>
      <c r="AL143" s="263" t="n"/>
    </row>
    <row r="144">
      <c r="A144" s="263" t="inlineStr">
        <is>
          <t>반림동</t>
        </is>
      </c>
      <c r="B144" s="263" t="n"/>
      <c r="C144" s="263" t="n"/>
      <c r="D144" s="263" t="n">
        <v>19740</v>
      </c>
      <c r="E144" s="264" t="inlineStr">
        <is>
          <t>트리비앙</t>
        </is>
      </c>
      <c r="F144" s="263" t="n">
        <v>2006.1</v>
      </c>
      <c r="G144" s="263" t="n">
        <v>2610</v>
      </c>
      <c r="H144" s="263">
        <f>2026-F144+1</f>
        <v/>
      </c>
      <c r="I144" s="263" t="n"/>
      <c r="J144" s="263" t="n">
        <v>102</v>
      </c>
      <c r="K144" s="263" t="n">
        <v>75</v>
      </c>
      <c r="L144" s="263" t="n">
        <v>31</v>
      </c>
      <c r="M144" s="263" t="inlineStr">
        <is>
          <t>계단식</t>
        </is>
      </c>
      <c r="N144" s="263" t="n">
        <v>3</v>
      </c>
      <c r="O144" s="263" t="n">
        <v>2</v>
      </c>
      <c r="P144" s="263" t="n">
        <v>158</v>
      </c>
      <c r="Q144" s="263" t="n"/>
      <c r="R144" s="263" t="n"/>
      <c r="S144" s="263" t="n"/>
      <c r="T144" s="263" t="n"/>
      <c r="U144" s="263" t="n">
        <v>6.6</v>
      </c>
      <c r="V144" s="263" t="n">
        <v>4.5</v>
      </c>
      <c r="W144" s="263" t="n"/>
      <c r="X144" s="263" t="n"/>
      <c r="Y144" s="263" t="n"/>
      <c r="Z144" s="263" t="n"/>
      <c r="AA144" s="263" t="n"/>
      <c r="AB144" s="263" t="n"/>
      <c r="AC144" s="263" t="n"/>
      <c r="AD144" s="263" t="n"/>
      <c r="AE144" s="263" t="n"/>
      <c r="AF144" s="263" t="n"/>
      <c r="AG144" s="263" t="n"/>
      <c r="AH144" s="263" t="n"/>
      <c r="AI144" s="263" t="n"/>
      <c r="AJ144" s="263" t="n"/>
      <c r="AK144" s="263" t="n"/>
      <c r="AL144" s="263" t="n"/>
    </row>
    <row r="145">
      <c r="A145" s="263" t="inlineStr">
        <is>
          <t>반림동</t>
        </is>
      </c>
      <c r="B145" s="263" t="n"/>
      <c r="C145" s="263" t="n"/>
      <c r="D145" s="263" t="n">
        <v>19740</v>
      </c>
      <c r="E145" s="264" t="inlineStr">
        <is>
          <t>트리비앙</t>
        </is>
      </c>
      <c r="F145" s="263" t="n">
        <v>2006.1</v>
      </c>
      <c r="G145" s="263" t="n">
        <v>2610</v>
      </c>
      <c r="H145" s="263">
        <f>2026-F145+1</f>
        <v/>
      </c>
      <c r="I145" s="263" t="n"/>
      <c r="J145" s="263" t="n">
        <v>113</v>
      </c>
      <c r="K145" s="263" t="n">
        <v>84</v>
      </c>
      <c r="L145" s="263" t="n">
        <v>34</v>
      </c>
      <c r="M145" s="263" t="inlineStr">
        <is>
          <t>계단식</t>
        </is>
      </c>
      <c r="N145" s="263" t="n">
        <v>3</v>
      </c>
      <c r="O145" s="263" t="n">
        <v>2</v>
      </c>
      <c r="P145" s="263" t="n">
        <v>1233</v>
      </c>
      <c r="Q145" s="263" t="n"/>
      <c r="R145" s="263" t="n"/>
      <c r="S145" s="263" t="n"/>
      <c r="T145" s="263" t="n"/>
      <c r="U145" s="263" t="n">
        <v>7.1</v>
      </c>
      <c r="V145" s="263" t="n">
        <v>4.5</v>
      </c>
      <c r="W145" s="263" t="n"/>
      <c r="X145" s="263" t="n"/>
      <c r="Y145" s="263" t="n"/>
      <c r="Z145" s="263" t="n"/>
      <c r="AA145" s="263" t="n"/>
      <c r="AB145" s="263" t="n"/>
      <c r="AC145" s="263" t="n"/>
      <c r="AD145" s="263" t="n"/>
      <c r="AE145" s="263" t="n"/>
      <c r="AF145" s="263" t="n"/>
      <c r="AG145" s="263" t="n"/>
      <c r="AH145" s="263" t="n"/>
      <c r="AI145" s="263" t="n"/>
      <c r="AJ145" s="263" t="n"/>
      <c r="AK145" s="263" t="n"/>
      <c r="AL145" s="263" t="n"/>
    </row>
    <row r="146">
      <c r="A146" s="263" t="inlineStr">
        <is>
          <t>반림동</t>
        </is>
      </c>
      <c r="B146" s="263" t="n"/>
      <c r="C146" s="263" t="n"/>
      <c r="D146" s="263" t="n">
        <v>19740</v>
      </c>
      <c r="E146" s="264" t="inlineStr">
        <is>
          <t>트리비앙</t>
        </is>
      </c>
      <c r="F146" s="263" t="n">
        <v>2006.1</v>
      </c>
      <c r="G146" s="263" t="n">
        <v>2610</v>
      </c>
      <c r="H146" s="263">
        <f>2026-F146+1</f>
        <v/>
      </c>
      <c r="I146" s="263" t="n"/>
      <c r="J146" s="263" t="n">
        <v>129</v>
      </c>
      <c r="K146" s="263" t="n">
        <v>101</v>
      </c>
      <c r="L146" s="263" t="n">
        <v>39</v>
      </c>
      <c r="M146" s="263" t="inlineStr">
        <is>
          <t>계단식</t>
        </is>
      </c>
      <c r="N146" s="263" t="n">
        <v>3</v>
      </c>
      <c r="O146" s="263" t="n">
        <v>2</v>
      </c>
      <c r="P146" s="263" t="n">
        <v>235</v>
      </c>
      <c r="Q146" s="263" t="n"/>
      <c r="R146" s="263" t="n"/>
      <c r="S146" s="263" t="n"/>
      <c r="T146" s="263" t="n"/>
      <c r="U146" s="263" t="n">
        <v>7.58</v>
      </c>
      <c r="V146" s="263" t="n">
        <v>5.64</v>
      </c>
      <c r="W146" s="263" t="n"/>
      <c r="X146" s="263" t="n"/>
      <c r="Y146" s="263" t="n"/>
      <c r="Z146" s="263" t="n"/>
      <c r="AA146" s="263" t="n"/>
      <c r="AB146" s="263" t="n"/>
      <c r="AC146" s="263" t="n"/>
      <c r="AD146" s="263" t="n"/>
      <c r="AE146" s="263" t="n"/>
      <c r="AF146" s="263" t="n"/>
      <c r="AG146" s="263" t="n"/>
      <c r="AH146" s="263" t="n"/>
      <c r="AI146" s="263" t="n"/>
      <c r="AJ146" s="263" t="n"/>
      <c r="AK146" s="263" t="n"/>
      <c r="AL146" s="263" t="n"/>
    </row>
    <row r="147">
      <c r="A147" s="263" t="inlineStr">
        <is>
          <t>반림동</t>
        </is>
      </c>
      <c r="B147" s="263" t="n"/>
      <c r="C147" s="263" t="n"/>
      <c r="D147" s="263" t="n">
        <v>19740</v>
      </c>
      <c r="E147" s="264" t="inlineStr">
        <is>
          <t>트리비앙</t>
        </is>
      </c>
      <c r="F147" s="263" t="n">
        <v>2006.1</v>
      </c>
      <c r="G147" s="263" t="n">
        <v>2610</v>
      </c>
      <c r="H147" s="263">
        <f>2026-F147+1</f>
        <v/>
      </c>
      <c r="I147" s="263" t="n"/>
      <c r="J147" s="263" t="n">
        <v>164</v>
      </c>
      <c r="K147" s="263" t="n">
        <v>129</v>
      </c>
      <c r="L147" s="263" t="n">
        <v>50</v>
      </c>
      <c r="M147" s="263" t="inlineStr">
        <is>
          <t>계단식</t>
        </is>
      </c>
      <c r="N147" s="263" t="n">
        <v>4</v>
      </c>
      <c r="O147" s="263" t="n">
        <v>2</v>
      </c>
      <c r="P147" s="263" t="n">
        <v>147</v>
      </c>
      <c r="Q147" s="263" t="n"/>
      <c r="R147" s="263" t="n"/>
      <c r="S147" s="263" t="n"/>
      <c r="T147" s="263" t="n"/>
      <c r="U147" s="263" t="n">
        <v>9.300000000000001</v>
      </c>
      <c r="V147" s="263" t="n">
        <v>7</v>
      </c>
      <c r="W147" s="263" t="n"/>
      <c r="X147" s="263" t="n"/>
      <c r="Y147" s="263" t="n"/>
      <c r="Z147" s="263" t="n"/>
      <c r="AA147" s="263" t="n"/>
      <c r="AB147" s="263" t="n"/>
      <c r="AC147" s="263" t="n"/>
      <c r="AD147" s="263" t="n"/>
      <c r="AE147" s="263" t="n"/>
      <c r="AF147" s="263" t="n"/>
      <c r="AG147" s="263" t="n"/>
      <c r="AH147" s="263" t="n"/>
      <c r="AI147" s="263" t="n"/>
      <c r="AJ147" s="263" t="n"/>
      <c r="AK147" s="263" t="n"/>
      <c r="AL147" s="263" t="n"/>
    </row>
    <row r="148">
      <c r="A148" s="263" t="inlineStr">
        <is>
          <t>반림동</t>
        </is>
      </c>
      <c r="B148" s="263" t="n"/>
      <c r="C148" s="263" t="n"/>
      <c r="D148" s="263" t="n">
        <v>19740</v>
      </c>
      <c r="E148" s="264" t="inlineStr">
        <is>
          <t>트리비앙</t>
        </is>
      </c>
      <c r="F148" s="263" t="n">
        <v>2006.1</v>
      </c>
      <c r="G148" s="263" t="n">
        <v>2610</v>
      </c>
      <c r="H148" s="263">
        <f>2026-F148+1</f>
        <v/>
      </c>
      <c r="I148" s="263" t="n"/>
      <c r="J148" s="263" t="n">
        <v>188</v>
      </c>
      <c r="K148" s="263" t="n">
        <v>148</v>
      </c>
      <c r="L148" s="263" t="n">
        <v>57</v>
      </c>
      <c r="M148" s="263" t="inlineStr">
        <is>
          <t>계단식</t>
        </is>
      </c>
      <c r="N148" s="263" t="n">
        <v>4</v>
      </c>
      <c r="O148" s="263" t="n">
        <v>2</v>
      </c>
      <c r="P148" s="263" t="n">
        <v>90</v>
      </c>
      <c r="Q148" s="263" t="n"/>
      <c r="R148" s="263" t="n"/>
      <c r="S148" s="263" t="n"/>
      <c r="T148" s="263" t="n"/>
      <c r="U148" s="263" t="n">
        <v>9.800000000000001</v>
      </c>
      <c r="V148" s="263" t="n">
        <v>8.449999999999999</v>
      </c>
      <c r="W148" s="263" t="n"/>
      <c r="X148" s="263" t="n"/>
      <c r="Y148" s="263" t="n"/>
      <c r="Z148" s="263" t="n"/>
      <c r="AA148" s="263" t="n"/>
      <c r="AB148" s="263" t="n"/>
      <c r="AC148" s="263" t="n"/>
      <c r="AD148" s="263" t="n"/>
      <c r="AE148" s="263" t="n"/>
      <c r="AF148" s="263" t="n"/>
      <c r="AG148" s="263" t="n"/>
      <c r="AH148" s="263" t="n"/>
      <c r="AI148" s="263" t="n"/>
      <c r="AJ148" s="263" t="n"/>
      <c r="AK148" s="263" t="n"/>
      <c r="AL148" s="263" t="n"/>
    </row>
    <row r="149">
      <c r="A149" s="458" t="inlineStr">
        <is>
          <t>반림동</t>
        </is>
      </c>
      <c r="D149" s="458" t="n">
        <v>7743</v>
      </c>
      <c r="E149" s="265" t="inlineStr">
        <is>
          <t>현대</t>
        </is>
      </c>
      <c r="F149" s="458" t="n">
        <v>1989.04</v>
      </c>
      <c r="G149" s="458" t="n">
        <v>1200</v>
      </c>
      <c r="H149" s="458">
        <f>2026-F149+1</f>
        <v/>
      </c>
      <c r="J149" s="458" t="n">
        <v>84</v>
      </c>
      <c r="K149" s="458" t="n">
        <v>68</v>
      </c>
      <c r="L149" s="458" t="n">
        <v>25</v>
      </c>
      <c r="M149" s="458" t="inlineStr">
        <is>
          <t>계단식</t>
        </is>
      </c>
      <c r="N149" s="458" t="n">
        <v>3</v>
      </c>
      <c r="O149" s="458" t="n">
        <v>1</v>
      </c>
      <c r="P149" s="458" t="n">
        <v>390</v>
      </c>
      <c r="U149" s="458" t="n">
        <v>4.05</v>
      </c>
      <c r="V149" s="458" t="n">
        <v>2.7</v>
      </c>
    </row>
    <row r="150">
      <c r="A150" s="458" t="inlineStr">
        <is>
          <t>반림동</t>
        </is>
      </c>
      <c r="D150" s="458" t="n">
        <v>7743</v>
      </c>
      <c r="E150" s="265" t="inlineStr">
        <is>
          <t>현대</t>
        </is>
      </c>
      <c r="F150" s="458" t="n">
        <v>1989.04</v>
      </c>
      <c r="G150" s="458" t="n">
        <v>1200</v>
      </c>
      <c r="H150" s="458">
        <f>2026-F150+1</f>
        <v/>
      </c>
      <c r="J150" s="458" t="n">
        <v>85</v>
      </c>
      <c r="K150" s="458" t="n">
        <v>68</v>
      </c>
      <c r="L150" s="458" t="n">
        <v>26</v>
      </c>
      <c r="M150" s="458" t="inlineStr">
        <is>
          <t>계단식</t>
        </is>
      </c>
      <c r="N150" s="458" t="n">
        <v>3</v>
      </c>
      <c r="O150" s="458" t="n">
        <v>2</v>
      </c>
      <c r="P150" s="458" t="n">
        <v>90</v>
      </c>
      <c r="U150" s="458" t="n">
        <v>4.05</v>
      </c>
      <c r="V150" s="458" t="n">
        <v>2.7</v>
      </c>
    </row>
    <row r="151">
      <c r="A151" s="458" t="inlineStr">
        <is>
          <t>반림동</t>
        </is>
      </c>
      <c r="D151" s="458" t="n">
        <v>7743</v>
      </c>
      <c r="E151" s="265" t="inlineStr">
        <is>
          <t>현대</t>
        </is>
      </c>
      <c r="F151" s="458" t="n">
        <v>1989.04</v>
      </c>
      <c r="G151" s="458" t="n">
        <v>1200</v>
      </c>
      <c r="H151" s="458">
        <f>2026-F151+1</f>
        <v/>
      </c>
      <c r="J151" s="458" t="n">
        <v>102</v>
      </c>
      <c r="K151" s="458" t="n">
        <v>84</v>
      </c>
      <c r="L151" s="458" t="n">
        <v>31</v>
      </c>
      <c r="M151" s="458" t="inlineStr">
        <is>
          <t>계단식</t>
        </is>
      </c>
      <c r="N151" s="458" t="n">
        <v>3</v>
      </c>
      <c r="O151" s="458" t="n">
        <v>2</v>
      </c>
      <c r="P151" s="458" t="n">
        <v>480</v>
      </c>
      <c r="U151" s="458" t="n">
        <v>4.9</v>
      </c>
      <c r="V151" s="458" t="n">
        <v>3.7</v>
      </c>
    </row>
    <row r="152">
      <c r="A152" s="458" t="inlineStr">
        <is>
          <t>반림동</t>
        </is>
      </c>
      <c r="D152" s="458" t="n">
        <v>7743</v>
      </c>
      <c r="E152" s="265" t="inlineStr">
        <is>
          <t>현대</t>
        </is>
      </c>
      <c r="F152" s="458" t="n">
        <v>1989.04</v>
      </c>
      <c r="G152" s="458" t="n">
        <v>1200</v>
      </c>
      <c r="H152" s="458">
        <f>2026-F152+1</f>
        <v/>
      </c>
      <c r="J152" s="458" t="n">
        <v>124</v>
      </c>
      <c r="K152" s="458" t="n">
        <v>106</v>
      </c>
      <c r="L152" s="458" t="n">
        <v>38</v>
      </c>
      <c r="M152" s="458" t="inlineStr">
        <is>
          <t>계단식</t>
        </is>
      </c>
      <c r="N152" s="458" t="n">
        <v>4</v>
      </c>
      <c r="O152" s="458" t="n">
        <v>2</v>
      </c>
      <c r="P152" s="458" t="n">
        <v>120</v>
      </c>
      <c r="U152" s="458" t="n">
        <v>5.6</v>
      </c>
      <c r="V152" s="458" t="n">
        <v>4.5</v>
      </c>
    </row>
    <row r="153">
      <c r="A153" s="458" t="inlineStr">
        <is>
          <t>반림동</t>
        </is>
      </c>
      <c r="D153" s="458" t="n">
        <v>7743</v>
      </c>
      <c r="E153" s="265" t="inlineStr">
        <is>
          <t>현대</t>
        </is>
      </c>
      <c r="F153" s="458" t="n">
        <v>1989.04</v>
      </c>
      <c r="G153" s="458" t="n">
        <v>1200</v>
      </c>
      <c r="H153" s="458">
        <f>2026-F153+1</f>
        <v/>
      </c>
      <c r="J153" s="458" t="n">
        <v>145</v>
      </c>
      <c r="K153" s="458" t="n">
        <v>125</v>
      </c>
      <c r="L153" s="458" t="n">
        <v>44</v>
      </c>
      <c r="M153" s="458" t="inlineStr">
        <is>
          <t>계단식</t>
        </is>
      </c>
      <c r="N153" s="458" t="n">
        <v>4</v>
      </c>
      <c r="O153" s="458" t="n">
        <v>2</v>
      </c>
      <c r="P153" s="458" t="n">
        <v>60</v>
      </c>
      <c r="U153" s="458" t="n">
        <v>5.8</v>
      </c>
      <c r="V153" s="458" t="n">
        <v>4.1</v>
      </c>
    </row>
    <row r="154">
      <c r="A154" s="458" t="inlineStr">
        <is>
          <t>반림동</t>
        </is>
      </c>
      <c r="D154" s="458" t="n">
        <v>7743</v>
      </c>
      <c r="E154" s="265" t="inlineStr">
        <is>
          <t>현대</t>
        </is>
      </c>
      <c r="F154" s="458" t="n">
        <v>1989.04</v>
      </c>
      <c r="G154" s="458" t="n">
        <v>1200</v>
      </c>
      <c r="H154" s="458">
        <f>2026-F154+1</f>
        <v/>
      </c>
      <c r="J154" s="458" t="n">
        <v>147</v>
      </c>
      <c r="K154" s="458" t="n">
        <v>126</v>
      </c>
      <c r="L154" s="458" t="n">
        <v>44</v>
      </c>
      <c r="M154" s="458" t="inlineStr">
        <is>
          <t>계단식</t>
        </is>
      </c>
      <c r="N154" s="458" t="n">
        <v>4</v>
      </c>
      <c r="O154" s="458" t="n">
        <v>2</v>
      </c>
      <c r="P154" s="458" t="n">
        <v>60</v>
      </c>
      <c r="U154" s="458" t="n">
        <v>6.3</v>
      </c>
      <c r="V154" s="458" t="n">
        <v>4.1</v>
      </c>
    </row>
    <row r="155">
      <c r="A155" s="263" t="inlineStr">
        <is>
          <t>반림동</t>
        </is>
      </c>
      <c r="B155" s="263" t="n"/>
      <c r="C155" s="263" t="n"/>
      <c r="D155" s="263" t="n">
        <v>100902</v>
      </c>
      <c r="E155" s="264" t="inlineStr">
        <is>
          <t>현대2차</t>
        </is>
      </c>
      <c r="F155" s="263" t="n">
        <v>1989.07</v>
      </c>
      <c r="G155" s="263" t="n">
        <v>1395</v>
      </c>
      <c r="H155" s="263">
        <f>2026-F155+1</f>
        <v/>
      </c>
      <c r="I155" s="263" t="n"/>
      <c r="J155" s="263" t="n">
        <v>57</v>
      </c>
      <c r="K155" s="263" t="n">
        <v>44</v>
      </c>
      <c r="L155" s="263" t="n">
        <v>17</v>
      </c>
      <c r="M155" s="263" t="inlineStr">
        <is>
          <t>복도식</t>
        </is>
      </c>
      <c r="N155" s="263" t="n">
        <v>2</v>
      </c>
      <c r="O155" s="263" t="n">
        <v>1</v>
      </c>
      <c r="P155" s="263" t="n">
        <v>135</v>
      </c>
      <c r="Q155" s="263" t="n"/>
      <c r="R155" s="263" t="n"/>
      <c r="S155" s="263" t="n"/>
      <c r="T155" s="263" t="n"/>
      <c r="U155" s="263" t="n">
        <v>2.3</v>
      </c>
      <c r="V155" s="263" t="n">
        <v>1.82</v>
      </c>
      <c r="W155" s="263" t="n"/>
      <c r="X155" s="263" t="n"/>
      <c r="Y155" s="263" t="n"/>
      <c r="Z155" s="263" t="n"/>
      <c r="AA155" s="263" t="n"/>
      <c r="AB155" s="263" t="n"/>
      <c r="AC155" s="263" t="n"/>
      <c r="AD155" s="263" t="n"/>
      <c r="AE155" s="263" t="n"/>
      <c r="AF155" s="263" t="n"/>
      <c r="AG155" s="263" t="n"/>
      <c r="AH155" s="263" t="n"/>
      <c r="AI155" s="263" t="n"/>
      <c r="AJ155" s="263" t="n"/>
      <c r="AK155" s="263" t="n"/>
      <c r="AL155" s="263" t="n"/>
    </row>
    <row r="156">
      <c r="A156" s="263" t="inlineStr">
        <is>
          <t>반림동</t>
        </is>
      </c>
      <c r="B156" s="263" t="n"/>
      <c r="C156" s="263" t="n"/>
      <c r="D156" s="263" t="n">
        <v>100902</v>
      </c>
      <c r="E156" s="264" t="inlineStr">
        <is>
          <t>현대2차</t>
        </is>
      </c>
      <c r="F156" s="263" t="n">
        <v>1989.07</v>
      </c>
      <c r="G156" s="263" t="n">
        <v>1395</v>
      </c>
      <c r="H156" s="263">
        <f>2026-F156+1</f>
        <v/>
      </c>
      <c r="I156" s="263" t="n"/>
      <c r="J156" s="263" t="n">
        <v>86</v>
      </c>
      <c r="K156" s="263" t="n">
        <v>69</v>
      </c>
      <c r="L156" s="263" t="n">
        <v>26</v>
      </c>
      <c r="M156" s="263" t="inlineStr">
        <is>
          <t>계단식</t>
        </is>
      </c>
      <c r="N156" s="263" t="n">
        <v>3</v>
      </c>
      <c r="O156" s="263" t="n">
        <v>1</v>
      </c>
      <c r="P156" s="263" t="n">
        <v>510</v>
      </c>
      <c r="Q156" s="263" t="n"/>
      <c r="R156" s="263" t="n"/>
      <c r="S156" s="263" t="n"/>
      <c r="T156" s="263" t="n"/>
      <c r="U156" s="263" t="n">
        <v>4.08</v>
      </c>
      <c r="V156" s="263" t="n">
        <v>2.7</v>
      </c>
      <c r="W156" s="263" t="n"/>
      <c r="X156" s="263" t="n"/>
      <c r="Y156" s="263" t="n"/>
      <c r="Z156" s="263" t="n"/>
      <c r="AA156" s="263" t="n"/>
      <c r="AB156" s="263" t="n"/>
      <c r="AC156" s="263" t="n"/>
      <c r="AD156" s="263" t="n"/>
      <c r="AE156" s="263" t="n"/>
      <c r="AF156" s="263" t="n"/>
      <c r="AG156" s="263" t="n"/>
      <c r="AH156" s="263" t="n"/>
      <c r="AI156" s="263" t="n"/>
      <c r="AJ156" s="263" t="n"/>
      <c r="AK156" s="263" t="n"/>
      <c r="AL156" s="263" t="n"/>
    </row>
    <row r="157">
      <c r="A157" s="263" t="inlineStr">
        <is>
          <t>반림동</t>
        </is>
      </c>
      <c r="B157" s="263" t="n"/>
      <c r="C157" s="263" t="n"/>
      <c r="D157" s="263" t="n">
        <v>100902</v>
      </c>
      <c r="E157" s="264" t="inlineStr">
        <is>
          <t>현대2차</t>
        </is>
      </c>
      <c r="F157" s="263" t="n">
        <v>1989.07</v>
      </c>
      <c r="G157" s="263" t="n">
        <v>1395</v>
      </c>
      <c r="H157" s="263">
        <f>2026-F157+1</f>
        <v/>
      </c>
      <c r="I157" s="263" t="n"/>
      <c r="J157" s="263" t="n">
        <v>101</v>
      </c>
      <c r="K157" s="263" t="n">
        <v>84</v>
      </c>
      <c r="L157" s="263" t="n">
        <v>31</v>
      </c>
      <c r="M157" s="263" t="inlineStr">
        <is>
          <t>계단식</t>
        </is>
      </c>
      <c r="N157" s="263" t="n">
        <v>3</v>
      </c>
      <c r="O157" s="263" t="n">
        <v>2</v>
      </c>
      <c r="P157" s="263" t="n">
        <v>690</v>
      </c>
      <c r="Q157" s="263" t="n"/>
      <c r="R157" s="263" t="n"/>
      <c r="S157" s="263" t="n"/>
      <c r="T157" s="263" t="n"/>
      <c r="U157" s="263" t="n">
        <v>4.9</v>
      </c>
      <c r="V157" s="263" t="n">
        <v>3.7</v>
      </c>
      <c r="W157" s="263" t="n"/>
      <c r="X157" s="263" t="n"/>
      <c r="Y157" s="263" t="n"/>
      <c r="Z157" s="263" t="n"/>
      <c r="AA157" s="263" t="n"/>
      <c r="AB157" s="263" t="n"/>
      <c r="AC157" s="263" t="n"/>
      <c r="AD157" s="263" t="n"/>
      <c r="AE157" s="263" t="n"/>
      <c r="AF157" s="263" t="n"/>
      <c r="AG157" s="263" t="n"/>
      <c r="AH157" s="263" t="n"/>
      <c r="AI157" s="263" t="n"/>
      <c r="AJ157" s="263" t="n"/>
      <c r="AK157" s="263" t="n"/>
      <c r="AL157" s="263" t="n"/>
    </row>
    <row r="158">
      <c r="A158" s="263" t="inlineStr">
        <is>
          <t>반림동</t>
        </is>
      </c>
      <c r="B158" s="263" t="n"/>
      <c r="C158" s="263" t="n"/>
      <c r="D158" s="263" t="n">
        <v>100902</v>
      </c>
      <c r="E158" s="264" t="inlineStr">
        <is>
          <t>현대2차</t>
        </is>
      </c>
      <c r="F158" s="263" t="n">
        <v>1989.07</v>
      </c>
      <c r="G158" s="263" t="n">
        <v>1395</v>
      </c>
      <c r="H158" s="263">
        <f>2026-F158+1</f>
        <v/>
      </c>
      <c r="I158" s="263" t="n"/>
      <c r="J158" s="263" t="n">
        <v>153</v>
      </c>
      <c r="K158" s="263" t="n">
        <v>132</v>
      </c>
      <c r="L158" s="263" t="n">
        <v>46</v>
      </c>
      <c r="M158" s="263" t="inlineStr">
        <is>
          <t>계단식</t>
        </is>
      </c>
      <c r="N158" s="263" t="n">
        <v>4</v>
      </c>
      <c r="O158" s="263" t="n">
        <v>2</v>
      </c>
      <c r="P158" s="263" t="n">
        <v>60</v>
      </c>
      <c r="Q158" s="263" t="n"/>
      <c r="R158" s="263" t="n"/>
      <c r="S158" s="263" t="n"/>
      <c r="T158" s="263" t="n"/>
      <c r="U158" s="263" t="n">
        <v>6.05</v>
      </c>
      <c r="V158" s="263" t="n">
        <v>6</v>
      </c>
      <c r="W158" s="263" t="n"/>
      <c r="X158" s="263" t="n"/>
      <c r="Y158" s="263" t="n"/>
      <c r="Z158" s="263" t="n"/>
      <c r="AA158" s="263" t="n"/>
      <c r="AB158" s="263" t="n"/>
      <c r="AC158" s="263" t="n"/>
      <c r="AD158" s="263" t="n"/>
      <c r="AE158" s="263" t="n"/>
      <c r="AF158" s="263" t="n"/>
      <c r="AG158" s="263" t="n"/>
      <c r="AH158" s="263" t="n"/>
      <c r="AI158" s="263" t="n"/>
      <c r="AJ158" s="263" t="n"/>
      <c r="AK158" s="263" t="n"/>
      <c r="AL158" s="263" t="n"/>
    </row>
    <row r="159">
      <c r="A159" s="458" t="inlineStr">
        <is>
          <t>반지동</t>
        </is>
      </c>
      <c r="D159" s="458" t="n">
        <v>7751</v>
      </c>
      <c r="E159" s="265" t="inlineStr">
        <is>
          <t>까치1차</t>
        </is>
      </c>
      <c r="F159" s="458" t="n">
        <v>1990.09</v>
      </c>
      <c r="G159" s="458" t="n">
        <v>500</v>
      </c>
      <c r="H159" s="458">
        <f>2026-F159+1</f>
        <v/>
      </c>
      <c r="J159" s="458" t="n">
        <v>38</v>
      </c>
      <c r="K159" s="458" t="n">
        <v>30</v>
      </c>
      <c r="L159" s="458" t="n">
        <v>11</v>
      </c>
      <c r="M159" s="458" t="inlineStr">
        <is>
          <t>계단식</t>
        </is>
      </c>
      <c r="N159" s="458" t="n">
        <v>2</v>
      </c>
      <c r="O159" s="458" t="n">
        <v>1</v>
      </c>
      <c r="P159" s="458" t="n">
        <v>50</v>
      </c>
      <c r="U159" s="458" t="n">
        <v>2.35</v>
      </c>
      <c r="V159" s="458" t="n">
        <v>1.4</v>
      </c>
    </row>
    <row r="160">
      <c r="A160" s="458" t="inlineStr">
        <is>
          <t>반지동</t>
        </is>
      </c>
      <c r="D160" s="458" t="n">
        <v>7751</v>
      </c>
      <c r="E160" s="265" t="inlineStr">
        <is>
          <t>까치1차</t>
        </is>
      </c>
      <c r="F160" s="458" t="n">
        <v>1990.09</v>
      </c>
      <c r="G160" s="458" t="n">
        <v>500</v>
      </c>
      <c r="H160" s="458">
        <f>2026-F160+1</f>
        <v/>
      </c>
      <c r="J160" s="458" t="n">
        <v>39</v>
      </c>
      <c r="K160" s="458" t="n">
        <v>31</v>
      </c>
      <c r="L160" s="458" t="n">
        <v>12</v>
      </c>
      <c r="M160" s="458" t="inlineStr">
        <is>
          <t>계단식</t>
        </is>
      </c>
      <c r="N160" s="458" t="n">
        <v>2</v>
      </c>
      <c r="O160" s="458" t="n">
        <v>1</v>
      </c>
      <c r="P160" s="458" t="n">
        <v>450</v>
      </c>
      <c r="U160" s="458" t="n">
        <v>2.35</v>
      </c>
      <c r="V160" s="458" t="n">
        <v>1.4</v>
      </c>
    </row>
    <row r="161">
      <c r="A161" s="263" t="inlineStr">
        <is>
          <t>반지동</t>
        </is>
      </c>
      <c r="B161" s="263" t="n"/>
      <c r="C161" s="263" t="n"/>
      <c r="D161" s="263" t="n">
        <v>7752</v>
      </c>
      <c r="E161" s="264" t="inlineStr">
        <is>
          <t>까치2차</t>
        </is>
      </c>
      <c r="F161" s="263" t="n">
        <v>1991.06</v>
      </c>
      <c r="G161" s="263" t="n">
        <v>416</v>
      </c>
      <c r="H161" s="263">
        <f>2026-F161+1</f>
        <v/>
      </c>
      <c r="I161" s="263" t="n"/>
      <c r="J161" s="263" t="n">
        <v>74</v>
      </c>
      <c r="K161" s="263" t="n">
        <v>54</v>
      </c>
      <c r="L161" s="263" t="n">
        <v>22</v>
      </c>
      <c r="M161" s="263" t="inlineStr">
        <is>
          <t>복도식</t>
        </is>
      </c>
      <c r="N161" s="263" t="n">
        <v>2</v>
      </c>
      <c r="O161" s="263" t="n">
        <v>1</v>
      </c>
      <c r="P161" s="263" t="n">
        <v>416</v>
      </c>
      <c r="Q161" s="263" t="n"/>
      <c r="R161" s="263" t="n"/>
      <c r="S161" s="263" t="n"/>
      <c r="T161" s="263" t="n"/>
      <c r="U161" s="263" t="n">
        <v>1.83</v>
      </c>
      <c r="V161" s="263" t="n">
        <v>1.3</v>
      </c>
      <c r="W161" s="263" t="n"/>
      <c r="X161" s="263" t="n"/>
      <c r="Y161" s="263" t="n"/>
      <c r="Z161" s="263" t="n"/>
      <c r="AA161" s="263" t="n"/>
      <c r="AB161" s="263" t="n"/>
      <c r="AC161" s="263" t="n"/>
      <c r="AD161" s="263" t="n"/>
      <c r="AE161" s="263" t="n"/>
      <c r="AF161" s="263" t="n"/>
      <c r="AG161" s="263" t="n"/>
      <c r="AH161" s="263" t="n"/>
      <c r="AI161" s="263" t="n"/>
      <c r="AJ161" s="263" t="n"/>
      <c r="AK161" s="263" t="n"/>
      <c r="AL161" s="263" t="n"/>
    </row>
    <row r="162">
      <c r="A162" s="458" t="inlineStr">
        <is>
          <t>반지동</t>
        </is>
      </c>
      <c r="D162" s="458" t="n">
        <v>7754</v>
      </c>
      <c r="E162" s="265" t="inlineStr">
        <is>
          <t>반송대동</t>
        </is>
      </c>
      <c r="F162" s="458" t="n">
        <v>1990.12</v>
      </c>
      <c r="G162" s="458" t="n">
        <v>1292</v>
      </c>
      <c r="H162" s="458">
        <f>2026-F162+1</f>
        <v/>
      </c>
      <c r="J162" s="458" t="n">
        <v>83</v>
      </c>
      <c r="K162" s="458" t="n">
        <v>70</v>
      </c>
      <c r="L162" s="458" t="n">
        <v>25</v>
      </c>
      <c r="M162" s="458" t="inlineStr">
        <is>
          <t>계단식</t>
        </is>
      </c>
      <c r="N162" s="458" t="n">
        <v>3</v>
      </c>
      <c r="O162" s="458" t="n">
        <v>1</v>
      </c>
      <c r="P162" s="458" t="n">
        <v>408</v>
      </c>
      <c r="U162" s="458" t="n">
        <v>2.78</v>
      </c>
      <c r="V162" s="458" t="n">
        <v>2.2</v>
      </c>
    </row>
    <row r="163">
      <c r="A163" s="458" t="inlineStr">
        <is>
          <t>반지동</t>
        </is>
      </c>
      <c r="D163" s="458" t="n">
        <v>7754</v>
      </c>
      <c r="E163" s="265" t="inlineStr">
        <is>
          <t>반송대동</t>
        </is>
      </c>
      <c r="F163" s="458" t="n">
        <v>1990.12</v>
      </c>
      <c r="G163" s="458" t="n">
        <v>1292</v>
      </c>
      <c r="H163" s="458">
        <f>2026-F163+1</f>
        <v/>
      </c>
      <c r="J163" s="458" t="n">
        <v>100</v>
      </c>
      <c r="K163" s="458" t="n">
        <v>84</v>
      </c>
      <c r="L163" s="458" t="n">
        <v>30</v>
      </c>
      <c r="M163" s="458" t="inlineStr">
        <is>
          <t>계단식</t>
        </is>
      </c>
      <c r="N163" s="458" t="n">
        <v>3</v>
      </c>
      <c r="O163" s="458" t="n">
        <v>2</v>
      </c>
      <c r="P163" s="458" t="n">
        <v>734</v>
      </c>
      <c r="U163" s="458" t="n">
        <v>3.04</v>
      </c>
      <c r="V163" s="458" t="n">
        <v>2.45</v>
      </c>
    </row>
    <row r="164">
      <c r="A164" s="458" t="inlineStr">
        <is>
          <t>반지동</t>
        </is>
      </c>
      <c r="D164" s="458" t="n">
        <v>7754</v>
      </c>
      <c r="E164" s="265" t="inlineStr">
        <is>
          <t>반송대동</t>
        </is>
      </c>
      <c r="F164" s="458" t="n">
        <v>1990.12</v>
      </c>
      <c r="G164" s="458" t="n">
        <v>1292</v>
      </c>
      <c r="H164" s="458">
        <f>2026-F164+1</f>
        <v/>
      </c>
      <c r="J164" s="458" t="n">
        <v>143</v>
      </c>
      <c r="K164" s="458" t="n">
        <v>120</v>
      </c>
      <c r="L164" s="458" t="n">
        <v>43</v>
      </c>
      <c r="M164" s="458" t="inlineStr">
        <is>
          <t>계단식</t>
        </is>
      </c>
      <c r="N164" s="458" t="n">
        <v>4</v>
      </c>
      <c r="O164" s="458" t="n">
        <v>2</v>
      </c>
      <c r="P164" s="458" t="n">
        <v>60</v>
      </c>
      <c r="U164" s="458" t="n">
        <v>3.4</v>
      </c>
      <c r="V164" s="458" t="n">
        <v>3.3</v>
      </c>
    </row>
    <row r="165">
      <c r="A165" s="458" t="inlineStr">
        <is>
          <t>반지동</t>
        </is>
      </c>
      <c r="D165" s="458" t="n">
        <v>7754</v>
      </c>
      <c r="E165" s="265" t="inlineStr">
        <is>
          <t>반송대동</t>
        </is>
      </c>
      <c r="F165" s="458" t="n">
        <v>1990.12</v>
      </c>
      <c r="G165" s="458" t="n">
        <v>1292</v>
      </c>
      <c r="H165" s="458">
        <f>2026-F165+1</f>
        <v/>
      </c>
      <c r="J165" s="458" t="n">
        <v>147</v>
      </c>
      <c r="K165" s="458" t="n">
        <v>123</v>
      </c>
      <c r="L165" s="458" t="n">
        <v>44</v>
      </c>
      <c r="M165" s="458" t="inlineStr">
        <is>
          <t>계단식</t>
        </is>
      </c>
      <c r="N165" s="458" t="n">
        <v>4</v>
      </c>
      <c r="O165" s="458" t="n">
        <v>2</v>
      </c>
      <c r="P165" s="458" t="n">
        <v>90</v>
      </c>
      <c r="U165" s="458" t="n">
        <v>3.95</v>
      </c>
      <c r="V165" s="458" t="n">
        <v>3.1</v>
      </c>
    </row>
    <row r="166">
      <c r="A166" s="263" t="inlineStr">
        <is>
          <t>사파동</t>
        </is>
      </c>
      <c r="B166" s="263" t="n"/>
      <c r="C166" s="263" t="n"/>
      <c r="D166" s="263" t="n">
        <v>7768</v>
      </c>
      <c r="E166" s="264" t="inlineStr">
        <is>
          <t>대동1차</t>
        </is>
      </c>
      <c r="F166" s="263" t="n">
        <v>1988.06</v>
      </c>
      <c r="G166" s="263" t="n">
        <v>400</v>
      </c>
      <c r="H166" s="263">
        <f>2026-F166+1</f>
        <v/>
      </c>
      <c r="I166" s="263" t="n"/>
      <c r="J166" s="263" t="n">
        <v>55</v>
      </c>
      <c r="K166" s="263" t="n">
        <v>45</v>
      </c>
      <c r="L166" s="263" t="n">
        <v>17</v>
      </c>
      <c r="M166" s="263" t="inlineStr">
        <is>
          <t>계단식</t>
        </is>
      </c>
      <c r="N166" s="263" t="n">
        <v>2</v>
      </c>
      <c r="O166" s="263" t="n">
        <v>1</v>
      </c>
      <c r="P166" s="263" t="n">
        <v>110</v>
      </c>
      <c r="Q166" s="263" t="n"/>
      <c r="R166" s="263" t="n"/>
      <c r="S166" s="263" t="n"/>
      <c r="T166" s="263" t="n"/>
      <c r="U166" s="263" t="n">
        <v>3.1</v>
      </c>
      <c r="V166" s="263" t="n">
        <v>2.29</v>
      </c>
      <c r="W166" s="263" t="n"/>
      <c r="X166" s="263" t="n"/>
      <c r="Y166" s="263" t="n"/>
      <c r="Z166" s="263" t="n"/>
      <c r="AA166" s="263" t="n"/>
      <c r="AB166" s="263" t="n"/>
      <c r="AC166" s="263" t="n"/>
      <c r="AD166" s="263" t="n"/>
      <c r="AE166" s="263" t="n"/>
      <c r="AF166" s="263" t="n"/>
      <c r="AG166" s="263" t="n"/>
      <c r="AH166" s="263" t="n"/>
      <c r="AI166" s="263" t="n"/>
      <c r="AJ166" s="263" t="n"/>
      <c r="AK166" s="263" t="n"/>
      <c r="AL166" s="263" t="n"/>
    </row>
    <row r="167">
      <c r="A167" s="263" t="inlineStr">
        <is>
          <t>사파동</t>
        </is>
      </c>
      <c r="B167" s="263" t="n"/>
      <c r="C167" s="263" t="n"/>
      <c r="D167" s="263" t="n">
        <v>7768</v>
      </c>
      <c r="E167" s="264" t="inlineStr">
        <is>
          <t>대동1차</t>
        </is>
      </c>
      <c r="F167" s="263" t="n">
        <v>1988.06</v>
      </c>
      <c r="G167" s="263" t="n">
        <v>400</v>
      </c>
      <c r="H167" s="263">
        <f>2026-F167+1</f>
        <v/>
      </c>
      <c r="I167" s="263" t="n"/>
      <c r="J167" s="263" t="n">
        <v>60</v>
      </c>
      <c r="K167" s="263" t="n">
        <v>50</v>
      </c>
      <c r="L167" s="263" t="n">
        <v>18</v>
      </c>
      <c r="M167" s="263" t="inlineStr">
        <is>
          <t>계단식</t>
        </is>
      </c>
      <c r="N167" s="263" t="n">
        <v>3</v>
      </c>
      <c r="O167" s="263" t="n">
        <v>1</v>
      </c>
      <c r="P167" s="263" t="n">
        <v>172</v>
      </c>
      <c r="Q167" s="263" t="n"/>
      <c r="R167" s="263" t="n"/>
      <c r="S167" s="263" t="n"/>
      <c r="T167" s="263" t="n"/>
      <c r="U167" s="263" t="n">
        <v>3.57</v>
      </c>
      <c r="V167" s="263" t="n">
        <v>2.6</v>
      </c>
      <c r="W167" s="263" t="n"/>
      <c r="X167" s="263" t="n"/>
      <c r="Y167" s="263" t="n"/>
      <c r="Z167" s="263" t="n"/>
      <c r="AA167" s="263" t="n"/>
      <c r="AB167" s="263" t="n"/>
      <c r="AC167" s="263" t="n"/>
      <c r="AD167" s="263" t="n"/>
      <c r="AE167" s="263" t="n"/>
      <c r="AF167" s="263" t="n"/>
      <c r="AG167" s="263" t="n"/>
      <c r="AH167" s="263" t="n"/>
      <c r="AI167" s="263" t="n"/>
      <c r="AJ167" s="263" t="n"/>
      <c r="AK167" s="263" t="n"/>
      <c r="AL167" s="263" t="n"/>
    </row>
    <row r="168">
      <c r="A168" s="263" t="inlineStr">
        <is>
          <t>사파동</t>
        </is>
      </c>
      <c r="B168" s="263" t="n"/>
      <c r="C168" s="263" t="n"/>
      <c r="D168" s="263" t="n">
        <v>7768</v>
      </c>
      <c r="E168" s="264" t="inlineStr">
        <is>
          <t>대동1차</t>
        </is>
      </c>
      <c r="F168" s="263" t="n">
        <v>1988.06</v>
      </c>
      <c r="G168" s="263" t="n">
        <v>400</v>
      </c>
      <c r="H168" s="263">
        <f>2026-F168+1</f>
        <v/>
      </c>
      <c r="I168" s="263" t="n"/>
      <c r="J168" s="263" t="n">
        <v>63</v>
      </c>
      <c r="K168" s="263" t="n">
        <v>52</v>
      </c>
      <c r="L168" s="263" t="n">
        <v>19</v>
      </c>
      <c r="M168" s="263" t="inlineStr">
        <is>
          <t>계단식</t>
        </is>
      </c>
      <c r="N168" s="263" t="n">
        <v>3</v>
      </c>
      <c r="O168" s="263" t="n">
        <v>1</v>
      </c>
      <c r="P168" s="263" t="n">
        <v>118</v>
      </c>
      <c r="Q168" s="263" t="n"/>
      <c r="R168" s="263" t="n"/>
      <c r="S168" s="263" t="n"/>
      <c r="T168" s="263" t="n"/>
      <c r="U168" s="263" t="n">
        <v>3.9</v>
      </c>
      <c r="V168" s="263" t="n">
        <v>2.73</v>
      </c>
      <c r="W168" s="263" t="n"/>
      <c r="X168" s="263" t="n"/>
      <c r="Y168" s="263" t="n"/>
      <c r="Z168" s="263" t="n"/>
      <c r="AA168" s="263" t="n"/>
      <c r="AB168" s="263" t="n"/>
      <c r="AC168" s="263" t="n"/>
      <c r="AD168" s="263" t="n"/>
      <c r="AE168" s="263" t="n"/>
      <c r="AF168" s="263" t="n"/>
      <c r="AG168" s="263" t="n"/>
      <c r="AH168" s="263" t="n"/>
      <c r="AI168" s="263" t="n"/>
      <c r="AJ168" s="263" t="n"/>
      <c r="AK168" s="263" t="n"/>
      <c r="AL168" s="263" t="n"/>
    </row>
    <row r="169">
      <c r="A169" s="458" t="inlineStr">
        <is>
          <t>사파동</t>
        </is>
      </c>
      <c r="D169" s="458" t="n">
        <v>7771</v>
      </c>
      <c r="E169" s="265" t="inlineStr">
        <is>
          <t>대동2차</t>
        </is>
      </c>
      <c r="F169" s="458" t="n">
        <v>1989.05</v>
      </c>
      <c r="G169" s="458" t="n">
        <v>470</v>
      </c>
      <c r="H169" s="458">
        <f>2026-F169+1</f>
        <v/>
      </c>
      <c r="J169" s="458" t="n">
        <v>54</v>
      </c>
      <c r="K169" s="458" t="n">
        <v>44</v>
      </c>
      <c r="L169" s="458" t="n">
        <v>16</v>
      </c>
      <c r="M169" s="458" t="inlineStr">
        <is>
          <t>계단식</t>
        </is>
      </c>
      <c r="N169" s="458" t="n">
        <v>2</v>
      </c>
      <c r="O169" s="458" t="n">
        <v>1</v>
      </c>
      <c r="P169" s="458" t="n">
        <v>50</v>
      </c>
    </row>
    <row r="170">
      <c r="A170" s="458" t="inlineStr">
        <is>
          <t>사파동</t>
        </is>
      </c>
      <c r="D170" s="458" t="n">
        <v>7771</v>
      </c>
      <c r="E170" s="265" t="inlineStr">
        <is>
          <t>대동2차</t>
        </is>
      </c>
      <c r="F170" s="458" t="n">
        <v>1989.05</v>
      </c>
      <c r="G170" s="458" t="n">
        <v>470</v>
      </c>
      <c r="H170" s="458">
        <f>2026-F170+1</f>
        <v/>
      </c>
      <c r="J170" s="458" t="n">
        <v>61</v>
      </c>
      <c r="K170" s="458" t="n">
        <v>50</v>
      </c>
      <c r="L170" s="458" t="n">
        <v>18</v>
      </c>
      <c r="M170" s="458" t="inlineStr">
        <is>
          <t>계단식</t>
        </is>
      </c>
      <c r="N170" s="458" t="n">
        <v>3</v>
      </c>
      <c r="O170" s="458" t="n">
        <v>1</v>
      </c>
      <c r="P170" s="458" t="n">
        <v>50</v>
      </c>
    </row>
    <row r="171">
      <c r="A171" s="458" t="inlineStr">
        <is>
          <t>사파동</t>
        </is>
      </c>
      <c r="D171" s="458" t="n">
        <v>7771</v>
      </c>
      <c r="E171" s="265" t="inlineStr">
        <is>
          <t>대동2차</t>
        </is>
      </c>
      <c r="F171" s="458" t="n">
        <v>1989.05</v>
      </c>
      <c r="G171" s="458" t="n">
        <v>470</v>
      </c>
      <c r="H171" s="458">
        <f>2026-F171+1</f>
        <v/>
      </c>
      <c r="J171" s="458" t="n">
        <v>82</v>
      </c>
      <c r="K171" s="458" t="n">
        <v>69</v>
      </c>
      <c r="L171" s="458" t="n">
        <v>25</v>
      </c>
      <c r="M171" s="458" t="inlineStr">
        <is>
          <t>계단식</t>
        </is>
      </c>
      <c r="N171" s="458" t="n">
        <v>3</v>
      </c>
      <c r="O171" s="458" t="n">
        <v>1</v>
      </c>
      <c r="P171" s="458" t="n">
        <v>130</v>
      </c>
    </row>
    <row r="172">
      <c r="A172" s="458" t="inlineStr">
        <is>
          <t>사파동</t>
        </is>
      </c>
      <c r="D172" s="458" t="n">
        <v>7771</v>
      </c>
      <c r="E172" s="265" t="inlineStr">
        <is>
          <t>대동2차</t>
        </is>
      </c>
      <c r="F172" s="458" t="n">
        <v>1989.05</v>
      </c>
      <c r="G172" s="458" t="n">
        <v>470</v>
      </c>
      <c r="H172" s="458">
        <f>2026-F172+1</f>
        <v/>
      </c>
      <c r="J172" s="458" t="n">
        <v>85</v>
      </c>
      <c r="K172" s="458" t="n">
        <v>70</v>
      </c>
      <c r="L172" s="458" t="n">
        <v>26</v>
      </c>
      <c r="M172" s="458" t="inlineStr">
        <is>
          <t>계단식</t>
        </is>
      </c>
      <c r="N172" s="458" t="n">
        <v>3</v>
      </c>
      <c r="O172" s="458" t="n">
        <v>1</v>
      </c>
      <c r="P172" s="458" t="n">
        <v>40</v>
      </c>
    </row>
    <row r="173">
      <c r="A173" s="458" t="inlineStr">
        <is>
          <t>사파동</t>
        </is>
      </c>
      <c r="D173" s="458" t="n">
        <v>7771</v>
      </c>
      <c r="E173" s="265" t="inlineStr">
        <is>
          <t>대동2차</t>
        </is>
      </c>
      <c r="F173" s="458" t="n">
        <v>1989.05</v>
      </c>
      <c r="G173" s="458" t="n">
        <v>470</v>
      </c>
      <c r="H173" s="458">
        <f>2026-F173+1</f>
        <v/>
      </c>
      <c r="J173" s="458" t="n">
        <v>91</v>
      </c>
      <c r="K173" s="458" t="n">
        <v>75</v>
      </c>
      <c r="L173" s="458" t="n">
        <v>28</v>
      </c>
      <c r="M173" s="458" t="inlineStr">
        <is>
          <t>계단식</t>
        </is>
      </c>
      <c r="N173" s="458" t="n">
        <v>3</v>
      </c>
      <c r="O173" s="458" t="n">
        <v>1</v>
      </c>
      <c r="P173" s="458" t="n">
        <v>40</v>
      </c>
    </row>
    <row r="174">
      <c r="A174" s="458" t="inlineStr">
        <is>
          <t>사파동</t>
        </is>
      </c>
      <c r="D174" s="458" t="n">
        <v>7771</v>
      </c>
      <c r="E174" s="265" t="inlineStr">
        <is>
          <t>대동2차</t>
        </is>
      </c>
      <c r="F174" s="458" t="n">
        <v>1989.05</v>
      </c>
      <c r="G174" s="458" t="n">
        <v>470</v>
      </c>
      <c r="H174" s="458">
        <f>2026-F174+1</f>
        <v/>
      </c>
      <c r="J174" s="458" t="n">
        <v>96</v>
      </c>
      <c r="K174" s="458" t="n">
        <v>81</v>
      </c>
      <c r="L174" s="458" t="n">
        <v>29</v>
      </c>
      <c r="M174" s="458" t="inlineStr">
        <is>
          <t>계단식</t>
        </is>
      </c>
      <c r="N174" s="458" t="n">
        <v>3</v>
      </c>
      <c r="O174" s="458" t="n">
        <v>1</v>
      </c>
      <c r="P174" s="458" t="n">
        <v>160</v>
      </c>
    </row>
    <row r="175">
      <c r="A175" s="263" t="inlineStr">
        <is>
          <t>사파동</t>
        </is>
      </c>
      <c r="B175" s="263" t="n"/>
      <c r="C175" s="263" t="n"/>
      <c r="D175" s="263" t="n">
        <v>7781</v>
      </c>
      <c r="E175" s="264" t="inlineStr">
        <is>
          <t>동양무궁화</t>
        </is>
      </c>
      <c r="F175" s="263" t="n">
        <v>1988.02</v>
      </c>
      <c r="G175" s="263" t="n">
        <v>770</v>
      </c>
      <c r="H175" s="263">
        <f>2026-F175+1</f>
        <v/>
      </c>
      <c r="I175" s="263" t="n"/>
      <c r="J175" s="263" t="n">
        <v>61</v>
      </c>
      <c r="K175" s="263" t="n">
        <v>51</v>
      </c>
      <c r="L175" s="263" t="n">
        <v>18</v>
      </c>
      <c r="M175" s="263" t="inlineStr">
        <is>
          <t>계단식</t>
        </is>
      </c>
      <c r="N175" s="263" t="n">
        <v>2</v>
      </c>
      <c r="O175" s="263" t="n">
        <v>1</v>
      </c>
      <c r="P175" s="263" t="n">
        <v>550</v>
      </c>
      <c r="Q175" s="263" t="n"/>
      <c r="R175" s="263" t="n"/>
      <c r="S175" s="263" t="n"/>
      <c r="T175" s="263" t="n"/>
      <c r="U175" s="263" t="n">
        <v>3.79</v>
      </c>
      <c r="V175" s="263" t="n">
        <v>2.29</v>
      </c>
      <c r="W175" s="263" t="n"/>
      <c r="X175" s="263" t="n"/>
      <c r="Y175" s="263" t="n"/>
      <c r="Z175" s="263" t="n"/>
      <c r="AA175" s="263" t="n"/>
      <c r="AB175" s="263" t="n"/>
      <c r="AC175" s="263" t="n"/>
      <c r="AD175" s="263" t="n"/>
      <c r="AE175" s="263" t="n"/>
      <c r="AF175" s="263" t="n"/>
      <c r="AG175" s="263" t="n"/>
      <c r="AH175" s="263" t="n"/>
      <c r="AI175" s="263" t="n"/>
      <c r="AJ175" s="263" t="n"/>
      <c r="AK175" s="263" t="n"/>
      <c r="AL175" s="263" t="n"/>
    </row>
    <row r="176">
      <c r="A176" s="263" t="inlineStr">
        <is>
          <t>사파동</t>
        </is>
      </c>
      <c r="B176" s="263" t="n"/>
      <c r="C176" s="263" t="n"/>
      <c r="D176" s="263" t="n">
        <v>7781</v>
      </c>
      <c r="E176" s="264" t="inlineStr">
        <is>
          <t>동양무궁화</t>
        </is>
      </c>
      <c r="F176" s="263" t="n">
        <v>1988.02</v>
      </c>
      <c r="G176" s="263" t="n">
        <v>770</v>
      </c>
      <c r="H176" s="263">
        <f>2026-F176+1</f>
        <v/>
      </c>
      <c r="I176" s="263" t="n"/>
      <c r="J176" s="263" t="n">
        <v>68</v>
      </c>
      <c r="K176" s="263" t="n">
        <v>59</v>
      </c>
      <c r="L176" s="263" t="n">
        <v>21</v>
      </c>
      <c r="M176" s="263" t="inlineStr">
        <is>
          <t>계단식</t>
        </is>
      </c>
      <c r="N176" s="263" t="n">
        <v>3</v>
      </c>
      <c r="O176" s="263" t="n">
        <v>1</v>
      </c>
      <c r="P176" s="263" t="n">
        <v>220</v>
      </c>
      <c r="Q176" s="263" t="n"/>
      <c r="R176" s="263" t="n"/>
      <c r="S176" s="263" t="n"/>
      <c r="T176" s="263" t="n"/>
      <c r="U176" s="263" t="n">
        <v>4.3</v>
      </c>
      <c r="V176" s="263" t="n">
        <v>3.1</v>
      </c>
      <c r="W176" s="263" t="n"/>
      <c r="X176" s="263" t="n"/>
      <c r="Y176" s="263" t="n"/>
      <c r="Z176" s="263" t="n"/>
      <c r="AA176" s="263" t="n"/>
      <c r="AB176" s="263" t="n"/>
      <c r="AC176" s="263" t="n"/>
      <c r="AD176" s="263" t="n"/>
      <c r="AE176" s="263" t="n"/>
      <c r="AF176" s="263" t="n"/>
      <c r="AG176" s="263" t="n"/>
      <c r="AH176" s="263" t="n"/>
      <c r="AI176" s="263" t="n"/>
      <c r="AJ176" s="263" t="n"/>
      <c r="AK176" s="263" t="n"/>
      <c r="AL176" s="263" t="n"/>
    </row>
    <row r="177">
      <c r="A177" s="458" t="inlineStr">
        <is>
          <t>사파동</t>
        </is>
      </c>
      <c r="D177" s="458" t="n">
        <v>7779</v>
      </c>
      <c r="E177" s="265" t="inlineStr">
        <is>
          <t>사파동성</t>
        </is>
      </c>
      <c r="F177" s="458" t="n">
        <v>1992.11</v>
      </c>
      <c r="G177" s="458" t="n">
        <v>1986</v>
      </c>
      <c r="H177" s="458">
        <f>2026-F177+1</f>
        <v/>
      </c>
      <c r="J177" s="458" t="n">
        <v>71</v>
      </c>
      <c r="K177" s="458" t="n">
        <v>49</v>
      </c>
      <c r="L177" s="458" t="n">
        <v>21</v>
      </c>
      <c r="M177" s="458" t="inlineStr">
        <is>
          <t>복도식</t>
        </is>
      </c>
      <c r="N177" s="458" t="n">
        <v>2</v>
      </c>
      <c r="O177" s="458" t="n">
        <v>1</v>
      </c>
      <c r="P177" s="458" t="n">
        <v>902</v>
      </c>
      <c r="U177" s="458" t="n">
        <v>2.25</v>
      </c>
      <c r="V177" s="458" t="n">
        <v>1.4</v>
      </c>
    </row>
    <row r="178">
      <c r="A178" s="458" t="inlineStr">
        <is>
          <t>사파동</t>
        </is>
      </c>
      <c r="D178" s="458" t="n">
        <v>7779</v>
      </c>
      <c r="E178" s="265" t="inlineStr">
        <is>
          <t>사파동성</t>
        </is>
      </c>
      <c r="F178" s="458" t="n">
        <v>1992.11</v>
      </c>
      <c r="G178" s="458" t="n">
        <v>1986</v>
      </c>
      <c r="H178" s="458">
        <f>2026-F178+1</f>
        <v/>
      </c>
      <c r="J178" s="458" t="n">
        <v>75</v>
      </c>
      <c r="K178" s="458" t="n">
        <v>59</v>
      </c>
      <c r="L178" s="458" t="n">
        <v>23</v>
      </c>
      <c r="M178" s="458" t="inlineStr">
        <is>
          <t>계단식</t>
        </is>
      </c>
      <c r="N178" s="458" t="n">
        <v>3</v>
      </c>
      <c r="O178" s="458" t="n">
        <v>1</v>
      </c>
      <c r="P178" s="458" t="n">
        <v>370</v>
      </c>
      <c r="U178" s="458" t="n">
        <v>2.63</v>
      </c>
      <c r="V178" s="458" t="n">
        <v>2</v>
      </c>
    </row>
    <row r="179">
      <c r="A179" s="458" t="inlineStr">
        <is>
          <t>사파동</t>
        </is>
      </c>
      <c r="D179" s="458" t="n">
        <v>7779</v>
      </c>
      <c r="E179" s="265" t="inlineStr">
        <is>
          <t>사파동성</t>
        </is>
      </c>
      <c r="F179" s="458" t="n">
        <v>1992.11</v>
      </c>
      <c r="G179" s="458" t="n">
        <v>1986</v>
      </c>
      <c r="H179" s="458">
        <f>2026-F179+1</f>
        <v/>
      </c>
      <c r="J179" s="458" t="n">
        <v>102</v>
      </c>
      <c r="K179" s="458" t="n">
        <v>84</v>
      </c>
      <c r="L179" s="458" t="n">
        <v>31</v>
      </c>
      <c r="M179" s="458" t="inlineStr">
        <is>
          <t>계단식</t>
        </is>
      </c>
      <c r="N179" s="458" t="n">
        <v>3</v>
      </c>
      <c r="O179" s="458" t="n">
        <v>2</v>
      </c>
      <c r="P179" s="458" t="n">
        <v>504</v>
      </c>
      <c r="U179" s="458" t="n">
        <v>3.7</v>
      </c>
      <c r="V179" s="458" t="n">
        <v>2.8</v>
      </c>
    </row>
    <row r="180">
      <c r="A180" s="458" t="inlineStr">
        <is>
          <t>사파동</t>
        </is>
      </c>
      <c r="D180" s="458" t="n">
        <v>7779</v>
      </c>
      <c r="E180" s="265" t="inlineStr">
        <is>
          <t>사파동성</t>
        </is>
      </c>
      <c r="F180" s="458" t="n">
        <v>1992.11</v>
      </c>
      <c r="G180" s="458" t="n">
        <v>1986</v>
      </c>
      <c r="H180" s="458">
        <f>2026-F180+1</f>
        <v/>
      </c>
      <c r="J180" s="458" t="n">
        <v>154</v>
      </c>
      <c r="K180" s="458" t="n">
        <v>133</v>
      </c>
      <c r="L180" s="458" t="n">
        <v>47</v>
      </c>
      <c r="M180" s="458" t="inlineStr">
        <is>
          <t>계단식</t>
        </is>
      </c>
      <c r="N180" s="458" t="n">
        <v>4</v>
      </c>
      <c r="O180" s="458" t="n">
        <v>2</v>
      </c>
      <c r="P180" s="458" t="n">
        <v>210</v>
      </c>
      <c r="U180" s="458" t="n">
        <v>4</v>
      </c>
      <c r="V180" s="458" t="n">
        <v>3.3</v>
      </c>
    </row>
    <row r="181">
      <c r="A181" s="263" t="inlineStr">
        <is>
          <t>사파동</t>
        </is>
      </c>
      <c r="B181" s="263" t="n"/>
      <c r="C181" s="263" t="n"/>
      <c r="D181" s="263" t="n">
        <v>7783</v>
      </c>
      <c r="E181" s="264" t="inlineStr">
        <is>
          <t>삼익1차</t>
        </is>
      </c>
      <c r="F181" s="263" t="n">
        <v>1988.09</v>
      </c>
      <c r="G181" s="263" t="n">
        <v>570</v>
      </c>
      <c r="H181" s="263">
        <f>2026-F181+1</f>
        <v/>
      </c>
      <c r="I181" s="263" t="n"/>
      <c r="J181" s="263" t="n">
        <v>48</v>
      </c>
      <c r="K181" s="263" t="n">
        <v>39</v>
      </c>
      <c r="L181" s="263" t="n">
        <v>15</v>
      </c>
      <c r="M181" s="263" t="inlineStr">
        <is>
          <t>계단식</t>
        </is>
      </c>
      <c r="N181" s="263" t="n">
        <v>2</v>
      </c>
      <c r="O181" s="263" t="n">
        <v>1</v>
      </c>
      <c r="P181" s="263" t="n">
        <v>120</v>
      </c>
      <c r="Q181" s="263" t="n"/>
      <c r="R181" s="263" t="n"/>
      <c r="S181" s="263" t="n"/>
      <c r="T181" s="263" t="n"/>
      <c r="U181" s="263" t="n">
        <v>3.1</v>
      </c>
      <c r="V181" s="263" t="n">
        <v>2.45</v>
      </c>
      <c r="W181" s="263" t="n"/>
      <c r="X181" s="263" t="n"/>
      <c r="Y181" s="263" t="n"/>
      <c r="Z181" s="263" t="n"/>
      <c r="AA181" s="263" t="n"/>
      <c r="AB181" s="263" t="n"/>
      <c r="AC181" s="263" t="n"/>
      <c r="AD181" s="263" t="n"/>
      <c r="AE181" s="263" t="n"/>
      <c r="AF181" s="263" t="n"/>
      <c r="AG181" s="263" t="n"/>
      <c r="AH181" s="263" t="n"/>
      <c r="AI181" s="263" t="n"/>
      <c r="AJ181" s="263" t="n"/>
      <c r="AK181" s="263" t="n"/>
      <c r="AL181" s="263" t="n"/>
    </row>
    <row r="182">
      <c r="A182" s="263" t="inlineStr">
        <is>
          <t>사파동</t>
        </is>
      </c>
      <c r="B182" s="263" t="n"/>
      <c r="C182" s="263" t="n"/>
      <c r="D182" s="263" t="n">
        <v>7783</v>
      </c>
      <c r="E182" s="264" t="inlineStr">
        <is>
          <t>삼익1차</t>
        </is>
      </c>
      <c r="F182" s="263" t="n">
        <v>1988.09</v>
      </c>
      <c r="G182" s="263" t="n">
        <v>570</v>
      </c>
      <c r="H182" s="263">
        <f>2026-F182+1</f>
        <v/>
      </c>
      <c r="I182" s="263" t="n"/>
      <c r="J182" s="263" t="n">
        <v>59</v>
      </c>
      <c r="K182" s="263" t="n">
        <v>49</v>
      </c>
      <c r="L182" s="263" t="n">
        <v>18</v>
      </c>
      <c r="M182" s="263" t="inlineStr">
        <is>
          <t>계단식</t>
        </is>
      </c>
      <c r="N182" s="263" t="n">
        <v>3</v>
      </c>
      <c r="O182" s="263" t="n">
        <v>1</v>
      </c>
      <c r="P182" s="263" t="n">
        <v>200</v>
      </c>
      <c r="Q182" s="263" t="n"/>
      <c r="R182" s="263" t="n"/>
      <c r="S182" s="263" t="n"/>
      <c r="T182" s="263" t="n"/>
      <c r="U182" s="263" t="n">
        <v>4.05</v>
      </c>
      <c r="V182" s="263" t="n">
        <v>2.72</v>
      </c>
      <c r="W182" s="263" t="n"/>
      <c r="X182" s="263" t="n"/>
      <c r="Y182" s="263" t="n"/>
      <c r="Z182" s="263" t="n"/>
      <c r="AA182" s="263" t="n"/>
      <c r="AB182" s="263" t="n"/>
      <c r="AC182" s="263" t="n"/>
      <c r="AD182" s="263" t="n"/>
      <c r="AE182" s="263" t="n"/>
      <c r="AF182" s="263" t="n"/>
      <c r="AG182" s="263" t="n"/>
      <c r="AH182" s="263" t="n"/>
      <c r="AI182" s="263" t="n"/>
      <c r="AJ182" s="263" t="n"/>
      <c r="AK182" s="263" t="n"/>
      <c r="AL182" s="263" t="n"/>
    </row>
    <row r="183">
      <c r="A183" s="263" t="inlineStr">
        <is>
          <t>사파동</t>
        </is>
      </c>
      <c r="B183" s="263" t="n"/>
      <c r="C183" s="263" t="n"/>
      <c r="D183" s="263" t="n">
        <v>7783</v>
      </c>
      <c r="E183" s="264" t="inlineStr">
        <is>
          <t>삼익1차</t>
        </is>
      </c>
      <c r="F183" s="263" t="n">
        <v>1988.09</v>
      </c>
      <c r="G183" s="263" t="n">
        <v>570</v>
      </c>
      <c r="H183" s="263">
        <f>2026-F183+1</f>
        <v/>
      </c>
      <c r="I183" s="263" t="n"/>
      <c r="J183" s="263" t="n">
        <v>70</v>
      </c>
      <c r="K183" s="263" t="n">
        <v>59</v>
      </c>
      <c r="L183" s="263" t="n">
        <v>21</v>
      </c>
      <c r="M183" s="263" t="inlineStr">
        <is>
          <t>계단식</t>
        </is>
      </c>
      <c r="N183" s="263" t="n">
        <v>3</v>
      </c>
      <c r="O183" s="263" t="n">
        <v>1</v>
      </c>
      <c r="P183" s="263" t="n">
        <v>250</v>
      </c>
      <c r="Q183" s="263" t="n"/>
      <c r="R183" s="263" t="n"/>
      <c r="S183" s="263" t="n"/>
      <c r="T183" s="263" t="n"/>
      <c r="U183" s="263" t="n">
        <v>5.04</v>
      </c>
      <c r="V183" s="263" t="n">
        <v>3.35</v>
      </c>
      <c r="W183" s="263" t="n"/>
      <c r="X183" s="263" t="n"/>
      <c r="Y183" s="263" t="n"/>
      <c r="Z183" s="263" t="n"/>
      <c r="AA183" s="263" t="n"/>
      <c r="AB183" s="263" t="n"/>
      <c r="AC183" s="263" t="n"/>
      <c r="AD183" s="263" t="n"/>
      <c r="AE183" s="263" t="n"/>
      <c r="AF183" s="263" t="n"/>
      <c r="AG183" s="263" t="n"/>
      <c r="AH183" s="263" t="n"/>
      <c r="AI183" s="263" t="n"/>
      <c r="AJ183" s="263" t="n"/>
      <c r="AK183" s="263" t="n"/>
      <c r="AL183" s="263" t="n"/>
    </row>
    <row r="184">
      <c r="A184" s="458" t="inlineStr">
        <is>
          <t>사파동</t>
        </is>
      </c>
      <c r="D184" s="458" t="n">
        <v>7786</v>
      </c>
      <c r="E184" s="265" t="inlineStr">
        <is>
          <t>삼익2차</t>
        </is>
      </c>
      <c r="F184" s="458" t="n">
        <v>1989.01</v>
      </c>
      <c r="G184" s="458" t="n">
        <v>400</v>
      </c>
      <c r="H184" s="458">
        <f>2026-F184+1</f>
        <v/>
      </c>
      <c r="J184" s="458" t="n">
        <v>50</v>
      </c>
      <c r="K184" s="458" t="n">
        <v>41</v>
      </c>
      <c r="L184" s="458" t="n">
        <v>15</v>
      </c>
      <c r="M184" s="458" t="inlineStr">
        <is>
          <t>계단식</t>
        </is>
      </c>
      <c r="N184" s="458" t="n">
        <v>2</v>
      </c>
      <c r="O184" s="458" t="n">
        <v>1</v>
      </c>
      <c r="P184" s="458" t="n">
        <v>20</v>
      </c>
      <c r="U184" s="458" t="n">
        <v>3.25</v>
      </c>
      <c r="V184" s="458" t="n">
        <v>2.2</v>
      </c>
    </row>
    <row r="185">
      <c r="A185" s="458" t="inlineStr">
        <is>
          <t>사파동</t>
        </is>
      </c>
      <c r="D185" s="458" t="n">
        <v>7786</v>
      </c>
      <c r="E185" s="265" t="inlineStr">
        <is>
          <t>삼익2차</t>
        </is>
      </c>
      <c r="F185" s="458" t="n">
        <v>1989.01</v>
      </c>
      <c r="G185" s="458" t="n">
        <v>400</v>
      </c>
      <c r="H185" s="458">
        <f>2026-F185+1</f>
        <v/>
      </c>
      <c r="J185" s="458" t="n">
        <v>79</v>
      </c>
      <c r="K185" s="458" t="n">
        <v>68</v>
      </c>
      <c r="L185" s="458" t="n">
        <v>24</v>
      </c>
      <c r="M185" s="458" t="inlineStr">
        <is>
          <t>계단식</t>
        </is>
      </c>
      <c r="N185" s="458" t="n">
        <v>3</v>
      </c>
      <c r="O185" s="458" t="n">
        <v>1</v>
      </c>
      <c r="P185" s="458" t="n">
        <v>140</v>
      </c>
    </row>
    <row r="186">
      <c r="A186" s="458" t="inlineStr">
        <is>
          <t>사파동</t>
        </is>
      </c>
      <c r="D186" s="458" t="n">
        <v>7786</v>
      </c>
      <c r="E186" s="265" t="inlineStr">
        <is>
          <t>삼익2차</t>
        </is>
      </c>
      <c r="F186" s="458" t="n">
        <v>1989.01</v>
      </c>
      <c r="G186" s="458" t="n">
        <v>400</v>
      </c>
      <c r="H186" s="458">
        <f>2026-F186+1</f>
        <v/>
      </c>
      <c r="J186" s="458" t="n">
        <v>91</v>
      </c>
      <c r="K186" s="458" t="n">
        <v>79</v>
      </c>
      <c r="L186" s="458" t="n">
        <v>28</v>
      </c>
      <c r="M186" s="458" t="inlineStr">
        <is>
          <t>계단식</t>
        </is>
      </c>
      <c r="N186" s="458" t="n">
        <v>3</v>
      </c>
      <c r="O186" s="458" t="n">
        <v>1</v>
      </c>
      <c r="P186" s="458" t="n">
        <v>200</v>
      </c>
    </row>
    <row r="187">
      <c r="A187" s="458" t="inlineStr">
        <is>
          <t>사파동</t>
        </is>
      </c>
      <c r="D187" s="458" t="n">
        <v>7786</v>
      </c>
      <c r="E187" s="265" t="inlineStr">
        <is>
          <t>삼익2차</t>
        </is>
      </c>
      <c r="F187" s="458" t="n">
        <v>1989.01</v>
      </c>
      <c r="G187" s="458" t="n">
        <v>400</v>
      </c>
      <c r="H187" s="458">
        <f>2026-F187+1</f>
        <v/>
      </c>
      <c r="J187" s="458" t="n">
        <v>129</v>
      </c>
      <c r="K187" s="458" t="n">
        <v>114</v>
      </c>
      <c r="L187" s="458" t="n">
        <v>39</v>
      </c>
      <c r="M187" s="458" t="inlineStr">
        <is>
          <t>계단식</t>
        </is>
      </c>
      <c r="N187" s="458" t="n">
        <v>4</v>
      </c>
      <c r="O187" s="458" t="n">
        <v>2</v>
      </c>
      <c r="P187" s="458" t="n">
        <v>40</v>
      </c>
    </row>
    <row r="188">
      <c r="A188" s="263" t="inlineStr">
        <is>
          <t>사파정동</t>
        </is>
      </c>
      <c r="B188" s="263" t="n"/>
      <c r="C188" s="263" t="n"/>
      <c r="D188" s="263" t="n">
        <v>132290</v>
      </c>
      <c r="E188" s="264" t="inlineStr">
        <is>
          <t>성산반도유보라아이비파크</t>
        </is>
      </c>
      <c r="F188" s="263" t="n">
        <v>2022.03</v>
      </c>
      <c r="G188" s="263" t="n">
        <v>1045</v>
      </c>
      <c r="H188" s="263">
        <f>2026-F188+1</f>
        <v/>
      </c>
      <c r="I188" s="263" t="n"/>
      <c r="J188" s="263" t="n">
        <v>74</v>
      </c>
      <c r="K188" s="263" t="n">
        <v>55</v>
      </c>
      <c r="L188" s="263" t="n">
        <v>22</v>
      </c>
      <c r="M188" s="263" t="inlineStr">
        <is>
          <t>계단식</t>
        </is>
      </c>
      <c r="N188" s="263" t="n">
        <v>3</v>
      </c>
      <c r="O188" s="263" t="n">
        <v>2</v>
      </c>
      <c r="P188" s="263" t="n">
        <v>350</v>
      </c>
      <c r="Q188" s="263" t="n"/>
      <c r="R188" s="263" t="n"/>
      <c r="S188" s="263" t="n"/>
      <c r="T188" s="263" t="n"/>
      <c r="U188" s="263" t="n"/>
      <c r="V188" s="263" t="n"/>
      <c r="W188" s="263" t="n"/>
      <c r="X188" s="263" t="n"/>
      <c r="Y188" s="263" t="n"/>
      <c r="Z188" s="263" t="n"/>
      <c r="AA188" s="263" t="n"/>
      <c r="AB188" s="263" t="n"/>
      <c r="AC188" s="263" t="n"/>
      <c r="AD188" s="263" t="n"/>
      <c r="AE188" s="263" t="n"/>
      <c r="AF188" s="263" t="n"/>
      <c r="AG188" s="263" t="n"/>
      <c r="AH188" s="263" t="n"/>
      <c r="AI188" s="263" t="n"/>
      <c r="AJ188" s="263" t="n"/>
      <c r="AK188" s="263" t="n"/>
      <c r="AL188" s="263" t="n"/>
    </row>
    <row r="189">
      <c r="A189" s="263" t="inlineStr">
        <is>
          <t>사파정동</t>
        </is>
      </c>
      <c r="B189" s="263" t="n"/>
      <c r="C189" s="263" t="n"/>
      <c r="D189" s="263" t="n">
        <v>132290</v>
      </c>
      <c r="E189" s="264" t="inlineStr">
        <is>
          <t>성산반도유보라아이비파크</t>
        </is>
      </c>
      <c r="F189" s="263" t="n">
        <v>2022.03</v>
      </c>
      <c r="G189" s="263" t="n">
        <v>1045</v>
      </c>
      <c r="H189" s="263">
        <f>2026-F189+1</f>
        <v/>
      </c>
      <c r="I189" s="263" t="n"/>
      <c r="J189" s="263" t="n">
        <v>75</v>
      </c>
      <c r="K189" s="263" t="n">
        <v>56</v>
      </c>
      <c r="L189" s="263" t="n">
        <v>23</v>
      </c>
      <c r="M189" s="263" t="inlineStr">
        <is>
          <t>계단식</t>
        </is>
      </c>
      <c r="N189" s="263" t="n">
        <v>3</v>
      </c>
      <c r="O189" s="263" t="n">
        <v>2</v>
      </c>
      <c r="P189" s="263" t="n">
        <v>30</v>
      </c>
      <c r="Q189" s="263" t="n"/>
      <c r="R189" s="263" t="n"/>
      <c r="S189" s="263" t="n"/>
      <c r="T189" s="263" t="n"/>
      <c r="U189" s="263" t="n"/>
      <c r="V189" s="263" t="n"/>
      <c r="W189" s="263" t="n"/>
      <c r="X189" s="263" t="n"/>
      <c r="Y189" s="263" t="n"/>
      <c r="Z189" s="263" t="n"/>
      <c r="AA189" s="263" t="n"/>
      <c r="AB189" s="263" t="n"/>
      <c r="AC189" s="263" t="n"/>
      <c r="AD189" s="263" t="n"/>
      <c r="AE189" s="263" t="n"/>
      <c r="AF189" s="263" t="n"/>
      <c r="AG189" s="263" t="n"/>
      <c r="AH189" s="263" t="n"/>
      <c r="AI189" s="263" t="n"/>
      <c r="AJ189" s="263" t="n"/>
      <c r="AK189" s="263" t="n"/>
      <c r="AL189" s="263" t="n"/>
    </row>
    <row r="190">
      <c r="A190" s="263" t="inlineStr">
        <is>
          <t>사파정동</t>
        </is>
      </c>
      <c r="B190" s="263" t="n"/>
      <c r="C190" s="263" t="n"/>
      <c r="D190" s="263" t="n">
        <v>132290</v>
      </c>
      <c r="E190" s="264" t="inlineStr">
        <is>
          <t>성산반도유보라아이비파크</t>
        </is>
      </c>
      <c r="F190" s="263" t="n">
        <v>2022.03</v>
      </c>
      <c r="G190" s="263" t="n">
        <v>1045</v>
      </c>
      <c r="H190" s="263">
        <f>2026-F190+1</f>
        <v/>
      </c>
      <c r="I190" s="263" t="n"/>
      <c r="J190" s="263" t="n">
        <v>84</v>
      </c>
      <c r="K190" s="263" t="n">
        <v>64</v>
      </c>
      <c r="L190" s="263" t="n">
        <v>25</v>
      </c>
      <c r="M190" s="263" t="inlineStr">
        <is>
          <t>계단식</t>
        </is>
      </c>
      <c r="N190" s="263" t="n">
        <v>3</v>
      </c>
      <c r="O190" s="263" t="n">
        <v>2</v>
      </c>
      <c r="P190" s="263" t="n">
        <v>218</v>
      </c>
      <c r="Q190" s="263" t="n"/>
      <c r="R190" s="263" t="n"/>
      <c r="S190" s="263" t="n"/>
      <c r="T190" s="263" t="n"/>
      <c r="U190" s="263" t="n">
        <v>4.24</v>
      </c>
      <c r="V190" s="263" t="n">
        <v>3.98</v>
      </c>
      <c r="W190" s="263" t="n"/>
      <c r="X190" s="263" t="n"/>
      <c r="Y190" s="263" t="n"/>
      <c r="Z190" s="263" t="n"/>
      <c r="AA190" s="263" t="n"/>
      <c r="AB190" s="263" t="n"/>
      <c r="AC190" s="263" t="n"/>
      <c r="AD190" s="263" t="n"/>
      <c r="AE190" s="263" t="n"/>
      <c r="AF190" s="263" t="n"/>
      <c r="AG190" s="263" t="n"/>
      <c r="AH190" s="263" t="n"/>
      <c r="AI190" s="263" t="n"/>
      <c r="AJ190" s="263" t="n"/>
      <c r="AK190" s="263" t="n"/>
      <c r="AL190" s="263" t="n"/>
    </row>
    <row r="191">
      <c r="A191" s="263" t="inlineStr">
        <is>
          <t>사파정동</t>
        </is>
      </c>
      <c r="B191" s="263" t="n"/>
      <c r="C191" s="263" t="n"/>
      <c r="D191" s="263" t="n">
        <v>132290</v>
      </c>
      <c r="E191" s="264" t="inlineStr">
        <is>
          <t>성산반도유보라아이비파크</t>
        </is>
      </c>
      <c r="F191" s="263" t="n">
        <v>2022.03</v>
      </c>
      <c r="G191" s="263" t="n">
        <v>1045</v>
      </c>
      <c r="H191" s="263">
        <f>2026-F191+1</f>
        <v/>
      </c>
      <c r="I191" s="263" t="n"/>
      <c r="J191" s="263" t="n">
        <v>102</v>
      </c>
      <c r="K191" s="263" t="n">
        <v>78</v>
      </c>
      <c r="L191" s="263" t="n">
        <v>31</v>
      </c>
      <c r="M191" s="263" t="inlineStr">
        <is>
          <t>계단식</t>
        </is>
      </c>
      <c r="N191" s="263" t="n">
        <v>3</v>
      </c>
      <c r="O191" s="263" t="n">
        <v>2</v>
      </c>
      <c r="P191" s="263" t="n">
        <v>426</v>
      </c>
      <c r="Q191" s="263" t="n"/>
      <c r="R191" s="263" t="n"/>
      <c r="S191" s="263" t="n"/>
      <c r="T191" s="263" t="n"/>
      <c r="U191" s="263" t="n">
        <v>5</v>
      </c>
      <c r="V191" s="263" t="n">
        <v>4.58</v>
      </c>
      <c r="W191" s="263" t="n"/>
      <c r="X191" s="263" t="n"/>
      <c r="Y191" s="263" t="n"/>
      <c r="Z191" s="263" t="n"/>
      <c r="AA191" s="263" t="n"/>
      <c r="AB191" s="263" t="n"/>
      <c r="AC191" s="263" t="n"/>
      <c r="AD191" s="263" t="n"/>
      <c r="AE191" s="263" t="n"/>
      <c r="AF191" s="263" t="n"/>
      <c r="AG191" s="263" t="n"/>
      <c r="AH191" s="263" t="n"/>
      <c r="AI191" s="263" t="n"/>
      <c r="AJ191" s="263" t="n"/>
      <c r="AK191" s="263" t="n"/>
      <c r="AL191" s="263" t="n"/>
    </row>
    <row r="192">
      <c r="A192" s="263" t="inlineStr">
        <is>
          <t>사파정동</t>
        </is>
      </c>
      <c r="B192" s="263" t="n"/>
      <c r="C192" s="263" t="n"/>
      <c r="D192" s="263" t="n">
        <v>132290</v>
      </c>
      <c r="E192" s="264" t="inlineStr">
        <is>
          <t>성산반도유보라아이비파크</t>
        </is>
      </c>
      <c r="F192" s="263" t="n">
        <v>2022.03</v>
      </c>
      <c r="G192" s="263" t="n">
        <v>1045</v>
      </c>
      <c r="H192" s="263">
        <f>2026-F192+1</f>
        <v/>
      </c>
      <c r="I192" s="263" t="n"/>
      <c r="J192" s="263" t="n">
        <v>116</v>
      </c>
      <c r="K192" s="263" t="n">
        <v>86</v>
      </c>
      <c r="L192" s="263" t="n">
        <v>35</v>
      </c>
      <c r="M192" s="263" t="inlineStr">
        <is>
          <t>계단식</t>
        </is>
      </c>
      <c r="N192" s="263" t="n">
        <v>3</v>
      </c>
      <c r="O192" s="263" t="n">
        <v>2</v>
      </c>
      <c r="P192" s="263" t="n">
        <v>21</v>
      </c>
      <c r="Q192" s="263" t="n"/>
      <c r="R192" s="263" t="n"/>
      <c r="S192" s="263" t="n"/>
      <c r="T192" s="263" t="n"/>
      <c r="U192" s="263" t="n">
        <v>6.5</v>
      </c>
      <c r="V192" s="263" t="n">
        <v>6.5</v>
      </c>
      <c r="W192" s="263" t="n"/>
      <c r="X192" s="263" t="n"/>
      <c r="Y192" s="263" t="n"/>
      <c r="Z192" s="263" t="n"/>
      <c r="AA192" s="263" t="n"/>
      <c r="AB192" s="263" t="n"/>
      <c r="AC192" s="263" t="n"/>
      <c r="AD192" s="263" t="n"/>
      <c r="AE192" s="263" t="n"/>
      <c r="AF192" s="263" t="n"/>
      <c r="AG192" s="263" t="n"/>
      <c r="AH192" s="263" t="n"/>
      <c r="AI192" s="263" t="n"/>
      <c r="AJ192" s="263" t="n"/>
      <c r="AK192" s="263" t="n"/>
      <c r="AL192" s="263" t="n"/>
    </row>
    <row r="193">
      <c r="A193" s="458" t="inlineStr">
        <is>
          <t>상남동</t>
        </is>
      </c>
      <c r="D193" s="458" t="n">
        <v>7799</v>
      </c>
      <c r="E193" s="265" t="inlineStr">
        <is>
          <t>대동</t>
        </is>
      </c>
      <c r="F193" s="458" t="n">
        <v>1994.12</v>
      </c>
      <c r="G193" s="458" t="n">
        <v>2810</v>
      </c>
      <c r="H193" s="458">
        <f>2026-F193+1</f>
        <v/>
      </c>
      <c r="J193" s="458" t="n">
        <v>67</v>
      </c>
      <c r="K193" s="458" t="n">
        <v>49</v>
      </c>
      <c r="L193" s="458" t="n">
        <v>20</v>
      </c>
      <c r="M193" s="458" t="inlineStr">
        <is>
          <t>복도식</t>
        </is>
      </c>
      <c r="N193" s="458" t="n">
        <v>3</v>
      </c>
      <c r="O193" s="458" t="n">
        <v>1</v>
      </c>
      <c r="P193" s="458" t="n">
        <v>452</v>
      </c>
      <c r="U193" s="458" t="n">
        <v>2.77</v>
      </c>
      <c r="V193" s="458" t="n">
        <v>1.8</v>
      </c>
    </row>
    <row r="194">
      <c r="A194" s="458" t="inlineStr">
        <is>
          <t>상남동</t>
        </is>
      </c>
      <c r="D194" s="458" t="n">
        <v>7799</v>
      </c>
      <c r="E194" s="265" t="inlineStr">
        <is>
          <t>대동</t>
        </is>
      </c>
      <c r="F194" s="458" t="n">
        <v>1994.12</v>
      </c>
      <c r="G194" s="458" t="n">
        <v>2810</v>
      </c>
      <c r="H194" s="458">
        <f>2026-F194+1</f>
        <v/>
      </c>
      <c r="J194" s="458" t="n">
        <v>77</v>
      </c>
      <c r="K194" s="458" t="n">
        <v>59</v>
      </c>
      <c r="L194" s="458" t="n">
        <v>23</v>
      </c>
      <c r="M194" s="458" t="inlineStr">
        <is>
          <t>계단식</t>
        </is>
      </c>
      <c r="N194" s="458" t="n">
        <v>2</v>
      </c>
      <c r="O194" s="458" t="n">
        <v>1</v>
      </c>
      <c r="P194" s="458" t="n">
        <v>662</v>
      </c>
      <c r="U194" s="458" t="n">
        <v>3.79</v>
      </c>
      <c r="V194" s="458" t="n">
        <v>2.5</v>
      </c>
    </row>
    <row r="195">
      <c r="A195" s="458" t="inlineStr">
        <is>
          <t>상남동</t>
        </is>
      </c>
      <c r="D195" s="458" t="n">
        <v>7799</v>
      </c>
      <c r="E195" s="265" t="inlineStr">
        <is>
          <t>대동</t>
        </is>
      </c>
      <c r="F195" s="458" t="n">
        <v>1994.12</v>
      </c>
      <c r="G195" s="458" t="n">
        <v>2810</v>
      </c>
      <c r="H195" s="458">
        <f>2026-F195+1</f>
        <v/>
      </c>
      <c r="J195" s="458" t="n">
        <v>105</v>
      </c>
      <c r="K195" s="458" t="n">
        <v>84</v>
      </c>
      <c r="L195" s="458" t="n">
        <v>32</v>
      </c>
      <c r="M195" s="458" t="inlineStr">
        <is>
          <t>계단식</t>
        </is>
      </c>
      <c r="N195" s="458" t="n">
        <v>3</v>
      </c>
      <c r="O195" s="458" t="n">
        <v>2</v>
      </c>
      <c r="P195" s="458" t="n">
        <v>890</v>
      </c>
      <c r="U195" s="458" t="n">
        <v>4.75</v>
      </c>
      <c r="V195" s="458" t="n">
        <v>3.5</v>
      </c>
    </row>
    <row r="196">
      <c r="A196" s="458" t="inlineStr">
        <is>
          <t>상남동</t>
        </is>
      </c>
      <c r="D196" s="458" t="n">
        <v>7799</v>
      </c>
      <c r="E196" s="265" t="inlineStr">
        <is>
          <t>대동</t>
        </is>
      </c>
      <c r="F196" s="458" t="n">
        <v>1994.12</v>
      </c>
      <c r="G196" s="458" t="n">
        <v>2810</v>
      </c>
      <c r="H196" s="458">
        <f>2026-F196+1</f>
        <v/>
      </c>
      <c r="J196" s="458" t="n">
        <v>138</v>
      </c>
      <c r="K196" s="458" t="n">
        <v>115</v>
      </c>
      <c r="L196" s="458" t="n">
        <v>42</v>
      </c>
      <c r="M196" s="458" t="inlineStr">
        <is>
          <t>계단식</t>
        </is>
      </c>
      <c r="N196" s="458" t="n">
        <v>4</v>
      </c>
      <c r="O196" s="458" t="n">
        <v>2</v>
      </c>
      <c r="P196" s="458" t="n">
        <v>366</v>
      </c>
      <c r="U196" s="458" t="n">
        <v>5.65</v>
      </c>
      <c r="V196" s="458" t="n">
        <v>4</v>
      </c>
    </row>
    <row r="197">
      <c r="A197" s="458" t="inlineStr">
        <is>
          <t>상남동</t>
        </is>
      </c>
      <c r="D197" s="458" t="n">
        <v>7799</v>
      </c>
      <c r="E197" s="265" t="inlineStr">
        <is>
          <t>대동</t>
        </is>
      </c>
      <c r="F197" s="458" t="n">
        <v>1994.12</v>
      </c>
      <c r="G197" s="458" t="n">
        <v>2810</v>
      </c>
      <c r="H197" s="458">
        <f>2026-F197+1</f>
        <v/>
      </c>
      <c r="J197" s="458" t="n">
        <v>140</v>
      </c>
      <c r="K197" s="458" t="n">
        <v>116</v>
      </c>
      <c r="L197" s="458" t="n">
        <v>42</v>
      </c>
      <c r="M197" s="458" t="inlineStr">
        <is>
          <t>계단식</t>
        </is>
      </c>
      <c r="N197" s="458" t="n">
        <v>4</v>
      </c>
      <c r="O197" s="458" t="n">
        <v>2</v>
      </c>
      <c r="P197" s="458" t="n">
        <v>110</v>
      </c>
      <c r="U197" s="458" t="n">
        <v>5.65</v>
      </c>
      <c r="V197" s="458" t="n">
        <v>3.9</v>
      </c>
    </row>
    <row r="198">
      <c r="A198" s="458" t="inlineStr">
        <is>
          <t>상남동</t>
        </is>
      </c>
      <c r="D198" s="458" t="n">
        <v>7799</v>
      </c>
      <c r="E198" s="265" t="inlineStr">
        <is>
          <t>대동</t>
        </is>
      </c>
      <c r="F198" s="458" t="n">
        <v>1994.12</v>
      </c>
      <c r="G198" s="458" t="n">
        <v>2810</v>
      </c>
      <c r="H198" s="458">
        <f>2026-F198+1</f>
        <v/>
      </c>
      <c r="J198" s="458" t="n">
        <v>157</v>
      </c>
      <c r="K198" s="458" t="n">
        <v>132</v>
      </c>
      <c r="L198" s="458" t="n">
        <v>47</v>
      </c>
      <c r="M198" s="458" t="inlineStr">
        <is>
          <t>계단식</t>
        </is>
      </c>
      <c r="N198" s="458" t="n">
        <v>4</v>
      </c>
      <c r="O198" s="458" t="n">
        <v>2</v>
      </c>
      <c r="P198" s="458" t="n">
        <v>230</v>
      </c>
      <c r="U198" s="458" t="n">
        <v>5.88</v>
      </c>
      <c r="V198" s="458" t="n">
        <v>4.5</v>
      </c>
    </row>
    <row r="199">
      <c r="A199" s="458" t="inlineStr">
        <is>
          <t>상남동</t>
        </is>
      </c>
      <c r="D199" s="458" t="n">
        <v>7799</v>
      </c>
      <c r="E199" s="265" t="inlineStr">
        <is>
          <t>대동</t>
        </is>
      </c>
      <c r="F199" s="458" t="n">
        <v>1994.12</v>
      </c>
      <c r="G199" s="458" t="n">
        <v>2810</v>
      </c>
      <c r="H199" s="458">
        <f>2026-F199+1</f>
        <v/>
      </c>
      <c r="J199" s="458" t="n">
        <v>192</v>
      </c>
      <c r="K199" s="458" t="n">
        <v>164</v>
      </c>
      <c r="L199" s="458" t="n">
        <v>58</v>
      </c>
      <c r="M199" s="458" t="inlineStr">
        <is>
          <t>계단식</t>
        </is>
      </c>
      <c r="N199" s="458" t="n">
        <v>5</v>
      </c>
      <c r="O199" s="458" t="n">
        <v>2</v>
      </c>
      <c r="P199" s="458" t="n">
        <v>100</v>
      </c>
      <c r="U199" s="458" t="n">
        <v>6.3</v>
      </c>
      <c r="V199" s="458" t="n">
        <v>4.6</v>
      </c>
    </row>
    <row r="200">
      <c r="A200" s="263" t="inlineStr">
        <is>
          <t>상남동</t>
        </is>
      </c>
      <c r="B200" s="263" t="n"/>
      <c r="C200" s="263" t="n"/>
      <c r="D200" s="263" t="n">
        <v>7789</v>
      </c>
      <c r="E200" s="264" t="inlineStr">
        <is>
          <t>대우</t>
        </is>
      </c>
      <c r="F200" s="263" t="n">
        <v>1985.12</v>
      </c>
      <c r="G200" s="263" t="n">
        <v>680</v>
      </c>
      <c r="H200" s="263">
        <f>2026-F200+1</f>
        <v/>
      </c>
      <c r="I200" s="263" t="n"/>
      <c r="J200" s="263" t="n">
        <v>44</v>
      </c>
      <c r="K200" s="263" t="n">
        <v>35</v>
      </c>
      <c r="L200" s="263" t="n">
        <v>13</v>
      </c>
      <c r="M200" s="263" t="inlineStr">
        <is>
          <t>계단식</t>
        </is>
      </c>
      <c r="N200" s="263" t="n">
        <v>1</v>
      </c>
      <c r="O200" s="263" t="n">
        <v>1</v>
      </c>
      <c r="P200" s="263" t="n">
        <v>80</v>
      </c>
      <c r="Q200" s="263" t="n"/>
      <c r="R200" s="263" t="n"/>
      <c r="S200" s="263" t="n"/>
      <c r="T200" s="263" t="n"/>
      <c r="U200" s="263" t="n">
        <v>3.35</v>
      </c>
      <c r="V200" s="263" t="n">
        <v>2.05</v>
      </c>
      <c r="W200" s="263" t="n"/>
      <c r="X200" s="263" t="n"/>
      <c r="Y200" s="263" t="n"/>
      <c r="Z200" s="263" t="n"/>
      <c r="AA200" s="263" t="n"/>
      <c r="AB200" s="263" t="n"/>
      <c r="AC200" s="263" t="n"/>
      <c r="AD200" s="263" t="n"/>
      <c r="AE200" s="263" t="n"/>
      <c r="AF200" s="263" t="n"/>
      <c r="AG200" s="263" t="n"/>
      <c r="AH200" s="263" t="n"/>
      <c r="AI200" s="263" t="n"/>
      <c r="AJ200" s="263" t="n"/>
      <c r="AK200" s="263" t="n"/>
      <c r="AL200" s="263" t="n"/>
    </row>
    <row r="201">
      <c r="A201" s="263" t="inlineStr">
        <is>
          <t>상남동</t>
        </is>
      </c>
      <c r="B201" s="263" t="n"/>
      <c r="C201" s="263" t="n"/>
      <c r="D201" s="263" t="n">
        <v>7789</v>
      </c>
      <c r="E201" s="264" t="inlineStr">
        <is>
          <t>대우</t>
        </is>
      </c>
      <c r="F201" s="263" t="n">
        <v>1985.12</v>
      </c>
      <c r="G201" s="263" t="n">
        <v>680</v>
      </c>
      <c r="H201" s="263">
        <f>2026-F201+1</f>
        <v/>
      </c>
      <c r="I201" s="263" t="n"/>
      <c r="J201" s="263" t="n">
        <v>51</v>
      </c>
      <c r="K201" s="263" t="n">
        <v>42</v>
      </c>
      <c r="L201" s="263" t="n">
        <v>15</v>
      </c>
      <c r="M201" s="263" t="inlineStr">
        <is>
          <t>계단식</t>
        </is>
      </c>
      <c r="N201" s="263" t="n">
        <v>2</v>
      </c>
      <c r="O201" s="263" t="n">
        <v>1</v>
      </c>
      <c r="P201" s="263" t="n">
        <v>160</v>
      </c>
      <c r="Q201" s="263" t="n"/>
      <c r="R201" s="263" t="n"/>
      <c r="S201" s="263" t="n"/>
      <c r="T201" s="263" t="n"/>
      <c r="U201" s="263" t="n">
        <v>3.8</v>
      </c>
      <c r="V201" s="263" t="n">
        <v>1.9</v>
      </c>
      <c r="W201" s="263" t="n"/>
      <c r="X201" s="263" t="n"/>
      <c r="Y201" s="263" t="n"/>
      <c r="Z201" s="263" t="n"/>
      <c r="AA201" s="263" t="n"/>
      <c r="AB201" s="263" t="n"/>
      <c r="AC201" s="263" t="n"/>
      <c r="AD201" s="263" t="n"/>
      <c r="AE201" s="263" t="n"/>
      <c r="AF201" s="263" t="n"/>
      <c r="AG201" s="263" t="n"/>
      <c r="AH201" s="263" t="n"/>
      <c r="AI201" s="263" t="n"/>
      <c r="AJ201" s="263" t="n"/>
      <c r="AK201" s="263" t="n"/>
      <c r="AL201" s="263" t="n"/>
    </row>
    <row r="202">
      <c r="A202" s="263" t="inlineStr">
        <is>
          <t>상남동</t>
        </is>
      </c>
      <c r="B202" s="263" t="n"/>
      <c r="C202" s="263" t="n"/>
      <c r="D202" s="263" t="n">
        <v>7789</v>
      </c>
      <c r="E202" s="264" t="inlineStr">
        <is>
          <t>대우</t>
        </is>
      </c>
      <c r="F202" s="263" t="n">
        <v>1985.12</v>
      </c>
      <c r="G202" s="263" t="n">
        <v>680</v>
      </c>
      <c r="H202" s="263">
        <f>2026-F202+1</f>
        <v/>
      </c>
      <c r="I202" s="263" t="n"/>
      <c r="J202" s="263" t="n">
        <v>56</v>
      </c>
      <c r="K202" s="263" t="n">
        <v>49</v>
      </c>
      <c r="L202" s="263" t="n">
        <v>17</v>
      </c>
      <c r="M202" s="263" t="inlineStr">
        <is>
          <t>계단식</t>
        </is>
      </c>
      <c r="N202" s="263" t="n">
        <v>2</v>
      </c>
      <c r="O202" s="263" t="n">
        <v>1</v>
      </c>
      <c r="P202" s="263" t="n">
        <v>300</v>
      </c>
      <c r="Q202" s="263" t="n"/>
      <c r="R202" s="263" t="n"/>
      <c r="S202" s="263" t="n"/>
      <c r="T202" s="263" t="n"/>
      <c r="U202" s="263" t="n">
        <v>4.7</v>
      </c>
      <c r="V202" s="263" t="n">
        <v>2.3</v>
      </c>
      <c r="W202" s="263" t="n"/>
      <c r="X202" s="263" t="n"/>
      <c r="Y202" s="263" t="n"/>
      <c r="Z202" s="263" t="n"/>
      <c r="AA202" s="263" t="n"/>
      <c r="AB202" s="263" t="n"/>
      <c r="AC202" s="263" t="n"/>
      <c r="AD202" s="263" t="n"/>
      <c r="AE202" s="263" t="n"/>
      <c r="AF202" s="263" t="n"/>
      <c r="AG202" s="263" t="n"/>
      <c r="AH202" s="263" t="n"/>
      <c r="AI202" s="263" t="n"/>
      <c r="AJ202" s="263" t="n"/>
      <c r="AK202" s="263" t="n"/>
      <c r="AL202" s="263" t="n"/>
    </row>
    <row r="203">
      <c r="A203" s="263" t="inlineStr">
        <is>
          <t>상남동</t>
        </is>
      </c>
      <c r="B203" s="263" t="n"/>
      <c r="C203" s="263" t="n"/>
      <c r="D203" s="263" t="n">
        <v>7789</v>
      </c>
      <c r="E203" s="264" t="inlineStr">
        <is>
          <t>대우</t>
        </is>
      </c>
      <c r="F203" s="263" t="n">
        <v>1985.12</v>
      </c>
      <c r="G203" s="263" t="n">
        <v>680</v>
      </c>
      <c r="H203" s="263">
        <f>2026-F203+1</f>
        <v/>
      </c>
      <c r="I203" s="263" t="n"/>
      <c r="J203" s="263" t="n">
        <v>66</v>
      </c>
      <c r="K203" s="263" t="n">
        <v>58</v>
      </c>
      <c r="L203" s="263" t="n">
        <v>20</v>
      </c>
      <c r="M203" s="263" t="inlineStr">
        <is>
          <t>계단식</t>
        </is>
      </c>
      <c r="N203" s="263" t="n">
        <v>3</v>
      </c>
      <c r="O203" s="263" t="n">
        <v>1</v>
      </c>
      <c r="P203" s="263" t="n">
        <v>100</v>
      </c>
      <c r="Q203" s="263" t="n"/>
      <c r="R203" s="263" t="n"/>
      <c r="S203" s="263" t="n"/>
      <c r="T203" s="263" t="n"/>
      <c r="U203" s="263" t="n">
        <v>5.3</v>
      </c>
      <c r="V203" s="263" t="n">
        <v>3.7</v>
      </c>
      <c r="W203" s="263" t="n"/>
      <c r="X203" s="263" t="n"/>
      <c r="Y203" s="263" t="n"/>
      <c r="Z203" s="263" t="n"/>
      <c r="AA203" s="263" t="n"/>
      <c r="AB203" s="263" t="n"/>
      <c r="AC203" s="263" t="n"/>
      <c r="AD203" s="263" t="n"/>
      <c r="AE203" s="263" t="n"/>
      <c r="AF203" s="263" t="n"/>
      <c r="AG203" s="263" t="n"/>
      <c r="AH203" s="263" t="n"/>
      <c r="AI203" s="263" t="n"/>
      <c r="AJ203" s="263" t="n"/>
      <c r="AK203" s="263" t="n"/>
      <c r="AL203" s="263" t="n"/>
    </row>
    <row r="204">
      <c r="A204" s="263" t="inlineStr">
        <is>
          <t>상남동</t>
        </is>
      </c>
      <c r="B204" s="263" t="n"/>
      <c r="C204" s="263" t="n"/>
      <c r="D204" s="263" t="n">
        <v>7789</v>
      </c>
      <c r="E204" s="264" t="inlineStr">
        <is>
          <t>대우</t>
        </is>
      </c>
      <c r="F204" s="263" t="n">
        <v>1985.12</v>
      </c>
      <c r="G204" s="263" t="n">
        <v>680</v>
      </c>
      <c r="H204" s="263">
        <f>2026-F204+1</f>
        <v/>
      </c>
      <c r="I204" s="263" t="n"/>
      <c r="J204" s="263" t="n">
        <v>82</v>
      </c>
      <c r="K204" s="263" t="n">
        <v>73</v>
      </c>
      <c r="L204" s="263" t="n">
        <v>25</v>
      </c>
      <c r="M204" s="263" t="inlineStr">
        <is>
          <t>계단식</t>
        </is>
      </c>
      <c r="N204" s="263" t="n">
        <v>3</v>
      </c>
      <c r="O204" s="263" t="n">
        <v>1</v>
      </c>
      <c r="P204" s="263" t="n">
        <v>30</v>
      </c>
      <c r="Q204" s="263" t="n"/>
      <c r="R204" s="263" t="n"/>
      <c r="S204" s="263" t="n"/>
      <c r="T204" s="263" t="n"/>
      <c r="U204" s="263" t="n"/>
      <c r="V204" s="263" t="n"/>
      <c r="W204" s="263" t="n"/>
      <c r="X204" s="263" t="n"/>
      <c r="Y204" s="263" t="n"/>
      <c r="Z204" s="263" t="n"/>
      <c r="AA204" s="263" t="n"/>
      <c r="AB204" s="263" t="n"/>
      <c r="AC204" s="263" t="n"/>
      <c r="AD204" s="263" t="n"/>
      <c r="AE204" s="263" t="n"/>
      <c r="AF204" s="263" t="n"/>
      <c r="AG204" s="263" t="n"/>
      <c r="AH204" s="263" t="n"/>
      <c r="AI204" s="263" t="n"/>
      <c r="AJ204" s="263" t="n"/>
      <c r="AK204" s="263" t="n"/>
      <c r="AL204" s="263" t="n"/>
    </row>
    <row r="205">
      <c r="A205" s="263" t="inlineStr">
        <is>
          <t>상남동</t>
        </is>
      </c>
      <c r="B205" s="263" t="n"/>
      <c r="C205" s="263" t="n"/>
      <c r="D205" s="263" t="n">
        <v>7789</v>
      </c>
      <c r="E205" s="264" t="inlineStr">
        <is>
          <t>대우</t>
        </is>
      </c>
      <c r="F205" s="263" t="n">
        <v>1985.12</v>
      </c>
      <c r="G205" s="263" t="n">
        <v>680</v>
      </c>
      <c r="H205" s="263">
        <f>2026-F205+1</f>
        <v/>
      </c>
      <c r="I205" s="263" t="n"/>
      <c r="J205" s="263" t="n">
        <v>130</v>
      </c>
      <c r="K205" s="263" t="n">
        <v>120</v>
      </c>
      <c r="L205" s="263" t="n">
        <v>39</v>
      </c>
      <c r="M205" s="263" t="inlineStr">
        <is>
          <t>계단식</t>
        </is>
      </c>
      <c r="N205" s="263" t="n">
        <v>4</v>
      </c>
      <c r="O205" s="263" t="n">
        <v>2</v>
      </c>
      <c r="P205" s="263" t="n">
        <v>10</v>
      </c>
      <c r="Q205" s="263" t="n"/>
      <c r="R205" s="263" t="n"/>
      <c r="S205" s="263" t="n"/>
      <c r="T205" s="263" t="n"/>
      <c r="U205" s="263" t="n">
        <v>10.34</v>
      </c>
      <c r="V205" s="263" t="n">
        <v>10.34</v>
      </c>
      <c r="W205" s="263" t="n"/>
      <c r="X205" s="263" t="n"/>
      <c r="Y205" s="263" t="n"/>
      <c r="Z205" s="263" t="n"/>
      <c r="AA205" s="263" t="n"/>
      <c r="AB205" s="263" t="n"/>
      <c r="AC205" s="263" t="n"/>
      <c r="AD205" s="263" t="n"/>
      <c r="AE205" s="263" t="n"/>
      <c r="AF205" s="263" t="n"/>
      <c r="AG205" s="263" t="n"/>
      <c r="AH205" s="263" t="n"/>
      <c r="AI205" s="263" t="n"/>
      <c r="AJ205" s="263" t="n"/>
      <c r="AK205" s="263" t="n"/>
      <c r="AL205" s="263" t="n"/>
    </row>
    <row r="206">
      <c r="A206" s="458" t="inlineStr">
        <is>
          <t>상남동</t>
        </is>
      </c>
      <c r="D206" s="458" t="n">
        <v>105570</v>
      </c>
      <c r="E206" s="265" t="inlineStr">
        <is>
          <t>상남꿈에그린</t>
        </is>
      </c>
      <c r="F206" s="458" t="n">
        <v>2014.09</v>
      </c>
      <c r="G206" s="458" t="n">
        <v>812</v>
      </c>
      <c r="H206" s="458">
        <f>2026-F206+1</f>
        <v/>
      </c>
      <c r="J206" s="458" t="n">
        <v>100</v>
      </c>
      <c r="K206" s="458" t="n">
        <v>72</v>
      </c>
      <c r="L206" s="458" t="n">
        <v>30</v>
      </c>
      <c r="M206" s="458" t="inlineStr">
        <is>
          <t>계단식</t>
        </is>
      </c>
      <c r="N206" s="458" t="n">
        <v>3</v>
      </c>
      <c r="O206" s="458" t="n">
        <v>2</v>
      </c>
      <c r="P206" s="458" t="n">
        <v>86</v>
      </c>
      <c r="U206" s="458" t="n">
        <v>6.2</v>
      </c>
      <c r="V206" s="458" t="n">
        <v>4.99</v>
      </c>
    </row>
    <row r="207">
      <c r="A207" s="458" t="inlineStr">
        <is>
          <t>상남동</t>
        </is>
      </c>
      <c r="D207" s="458" t="n">
        <v>105570</v>
      </c>
      <c r="E207" s="265" t="inlineStr">
        <is>
          <t>상남꿈에그린</t>
        </is>
      </c>
      <c r="F207" s="458" t="n">
        <v>2014.09</v>
      </c>
      <c r="G207" s="458" t="n">
        <v>812</v>
      </c>
      <c r="H207" s="458">
        <f>2026-F207+1</f>
        <v/>
      </c>
      <c r="J207" s="458" t="n">
        <v>113</v>
      </c>
      <c r="K207" s="458" t="n">
        <v>84</v>
      </c>
      <c r="L207" s="458" t="n">
        <v>34</v>
      </c>
      <c r="M207" s="458" t="inlineStr">
        <is>
          <t>계단식</t>
        </is>
      </c>
      <c r="N207" s="458" t="n">
        <v>3</v>
      </c>
      <c r="O207" s="458" t="n">
        <v>2</v>
      </c>
      <c r="P207" s="458" t="n">
        <v>538</v>
      </c>
      <c r="U207" s="458" t="n">
        <v>7.2</v>
      </c>
      <c r="V207" s="458" t="n">
        <v>4.6</v>
      </c>
    </row>
    <row r="208">
      <c r="A208" s="458" t="inlineStr">
        <is>
          <t>상남동</t>
        </is>
      </c>
      <c r="D208" s="458" t="n">
        <v>105570</v>
      </c>
      <c r="E208" s="265" t="inlineStr">
        <is>
          <t>상남꿈에그린</t>
        </is>
      </c>
      <c r="F208" s="458" t="n">
        <v>2014.09</v>
      </c>
      <c r="G208" s="458" t="n">
        <v>812</v>
      </c>
      <c r="H208" s="458">
        <f>2026-F208+1</f>
        <v/>
      </c>
      <c r="J208" s="458" t="n">
        <v>129</v>
      </c>
      <c r="K208" s="458" t="n">
        <v>101</v>
      </c>
      <c r="L208" s="458" t="n">
        <v>39</v>
      </c>
      <c r="M208" s="458" t="inlineStr">
        <is>
          <t>계단식</t>
        </is>
      </c>
      <c r="N208" s="458" t="n">
        <v>4</v>
      </c>
      <c r="O208" s="458" t="n">
        <v>2</v>
      </c>
      <c r="P208" s="458" t="n">
        <v>88</v>
      </c>
      <c r="U208" s="458" t="n">
        <v>8.199999999999999</v>
      </c>
      <c r="V208" s="458" t="n">
        <v>5.2</v>
      </c>
    </row>
    <row r="209">
      <c r="A209" s="458" t="inlineStr">
        <is>
          <t>상남동</t>
        </is>
      </c>
      <c r="D209" s="458" t="n">
        <v>105570</v>
      </c>
      <c r="E209" s="265" t="inlineStr">
        <is>
          <t>상남꿈에그린</t>
        </is>
      </c>
      <c r="F209" s="458" t="n">
        <v>2014.09</v>
      </c>
      <c r="G209" s="458" t="n">
        <v>812</v>
      </c>
      <c r="H209" s="458">
        <f>2026-F209+1</f>
        <v/>
      </c>
      <c r="J209" s="458" t="n">
        <v>156</v>
      </c>
      <c r="K209" s="458" t="n">
        <v>124</v>
      </c>
      <c r="L209" s="458" t="n">
        <v>47</v>
      </c>
      <c r="M209" s="458" t="inlineStr">
        <is>
          <t>계단식</t>
        </is>
      </c>
      <c r="N209" s="458" t="n">
        <v>4</v>
      </c>
      <c r="O209" s="458" t="n">
        <v>2</v>
      </c>
      <c r="P209" s="458" t="n">
        <v>100</v>
      </c>
      <c r="U209" s="458" t="n">
        <v>9.4</v>
      </c>
      <c r="V209" s="458" t="n">
        <v>7.3</v>
      </c>
    </row>
    <row r="210">
      <c r="A210" s="263" t="inlineStr">
        <is>
          <t>상남동</t>
        </is>
      </c>
      <c r="B210" s="263" t="n"/>
      <c r="C210" s="263" t="n"/>
      <c r="D210" s="263" t="n">
        <v>7810</v>
      </c>
      <c r="E210" s="264" t="inlineStr">
        <is>
          <t>성원(토월그랜드타운)</t>
        </is>
      </c>
      <c r="F210" s="263" t="n">
        <v>1994.06</v>
      </c>
      <c r="G210" s="263" t="n">
        <v>6252</v>
      </c>
      <c r="H210" s="263">
        <f>2026-F210+1</f>
        <v/>
      </c>
      <c r="I210" s="263" t="n"/>
      <c r="J210" s="263" t="n">
        <v>71</v>
      </c>
      <c r="K210" s="263" t="n">
        <v>49</v>
      </c>
      <c r="L210" s="263" t="n">
        <v>21</v>
      </c>
      <c r="M210" s="263" t="inlineStr">
        <is>
          <t>복도식</t>
        </is>
      </c>
      <c r="N210" s="263" t="n">
        <v>2</v>
      </c>
      <c r="O210" s="263" t="n">
        <v>1</v>
      </c>
      <c r="P210" s="263" t="n">
        <v>920</v>
      </c>
      <c r="Q210" s="263" t="n"/>
      <c r="R210" s="263" t="n"/>
      <c r="S210" s="263" t="n"/>
      <c r="T210" s="263" t="n"/>
      <c r="U210" s="263" t="n">
        <v>2.7</v>
      </c>
      <c r="V210" s="263" t="n">
        <v>1.44</v>
      </c>
      <c r="W210" s="263" t="n"/>
      <c r="X210" s="263" t="n"/>
      <c r="Y210" s="263" t="n"/>
      <c r="Z210" s="263" t="n"/>
      <c r="AA210" s="263" t="n"/>
      <c r="AB210" s="263" t="n"/>
      <c r="AC210" s="263" t="n"/>
      <c r="AD210" s="263" t="n"/>
      <c r="AE210" s="263" t="n"/>
      <c r="AF210" s="263" t="n"/>
      <c r="AG210" s="263" t="n"/>
      <c r="AH210" s="263" t="n"/>
      <c r="AI210" s="263" t="n"/>
      <c r="AJ210" s="263" t="n"/>
      <c r="AK210" s="263" t="n"/>
      <c r="AL210" s="263" t="n"/>
    </row>
    <row r="211">
      <c r="A211" s="263" t="inlineStr">
        <is>
          <t>상남동</t>
        </is>
      </c>
      <c r="B211" s="263" t="n"/>
      <c r="C211" s="263" t="n"/>
      <c r="D211" s="263" t="n">
        <v>7810</v>
      </c>
      <c r="E211" s="264" t="inlineStr">
        <is>
          <t>성원(토월그랜드타운)</t>
        </is>
      </c>
      <c r="F211" s="263" t="n">
        <v>1994.06</v>
      </c>
      <c r="G211" s="263" t="n">
        <v>6252</v>
      </c>
      <c r="H211" s="263">
        <f>2026-F211+1</f>
        <v/>
      </c>
      <c r="I211" s="263" t="n"/>
      <c r="J211" s="263" t="n">
        <v>86</v>
      </c>
      <c r="K211" s="263" t="n">
        <v>59</v>
      </c>
      <c r="L211" s="263" t="n">
        <v>26</v>
      </c>
      <c r="M211" s="263" t="inlineStr">
        <is>
          <t>복도식</t>
        </is>
      </c>
      <c r="N211" s="263" t="n">
        <v>3</v>
      </c>
      <c r="O211" s="263" t="n">
        <v>1</v>
      </c>
      <c r="P211" s="263" t="n">
        <v>1500</v>
      </c>
      <c r="Q211" s="263" t="n"/>
      <c r="R211" s="263" t="n"/>
      <c r="S211" s="263" t="n"/>
      <c r="T211" s="263" t="n"/>
      <c r="U211" s="263" t="n">
        <v>3.21</v>
      </c>
      <c r="V211" s="263" t="n">
        <v>1.73</v>
      </c>
      <c r="W211" s="263" t="n"/>
      <c r="X211" s="263" t="n"/>
      <c r="Y211" s="263" t="n"/>
      <c r="Z211" s="263" t="n"/>
      <c r="AA211" s="263" t="n"/>
      <c r="AB211" s="263" t="n"/>
      <c r="AC211" s="263" t="n"/>
      <c r="AD211" s="263" t="n"/>
      <c r="AE211" s="263" t="n"/>
      <c r="AF211" s="263" t="n"/>
      <c r="AG211" s="263" t="n"/>
      <c r="AH211" s="263" t="n"/>
      <c r="AI211" s="263" t="n"/>
      <c r="AJ211" s="263" t="n"/>
      <c r="AK211" s="263" t="n"/>
      <c r="AL211" s="263" t="n"/>
    </row>
    <row r="212">
      <c r="A212" s="263" t="inlineStr">
        <is>
          <t>상남동</t>
        </is>
      </c>
      <c r="B212" s="263" t="n"/>
      <c r="C212" s="263" t="n"/>
      <c r="D212" s="263" t="n">
        <v>7810</v>
      </c>
      <c r="E212" s="264" t="inlineStr">
        <is>
          <t>성원(토월그랜드타운)</t>
        </is>
      </c>
      <c r="F212" s="263" t="n">
        <v>1994.06</v>
      </c>
      <c r="G212" s="263" t="n">
        <v>6252</v>
      </c>
      <c r="H212" s="263">
        <f>2026-F212+1</f>
        <v/>
      </c>
      <c r="I212" s="263" t="n"/>
      <c r="J212" s="263" t="n">
        <v>107</v>
      </c>
      <c r="K212" s="263" t="n">
        <v>84</v>
      </c>
      <c r="L212" s="263" t="n">
        <v>32</v>
      </c>
      <c r="M212" s="263" t="inlineStr">
        <is>
          <t>계단식</t>
        </is>
      </c>
      <c r="N212" s="263" t="n">
        <v>3</v>
      </c>
      <c r="O212" s="263" t="n">
        <v>2</v>
      </c>
      <c r="P212" s="263" t="n">
        <v>2782</v>
      </c>
      <c r="Q212" s="263" t="n"/>
      <c r="R212" s="263" t="n"/>
      <c r="S212" s="263" t="n"/>
      <c r="T212" s="263" t="n"/>
      <c r="U212" s="263" t="n">
        <v>5</v>
      </c>
      <c r="V212" s="263" t="n">
        <v>2.7</v>
      </c>
      <c r="W212" s="263" t="n"/>
      <c r="X212" s="263" t="n"/>
      <c r="Y212" s="263" t="n"/>
      <c r="Z212" s="263" t="n"/>
      <c r="AA212" s="263" t="n"/>
      <c r="AB212" s="263" t="n"/>
      <c r="AC212" s="263" t="n"/>
      <c r="AD212" s="263" t="n"/>
      <c r="AE212" s="263" t="n"/>
      <c r="AF212" s="263" t="n"/>
      <c r="AG212" s="263" t="n"/>
      <c r="AH212" s="263" t="n"/>
      <c r="AI212" s="263" t="n"/>
      <c r="AJ212" s="263" t="n"/>
      <c r="AK212" s="263" t="n"/>
      <c r="AL212" s="263" t="n"/>
    </row>
    <row r="213">
      <c r="A213" s="263" t="inlineStr">
        <is>
          <t>상남동</t>
        </is>
      </c>
      <c r="B213" s="263" t="n"/>
      <c r="C213" s="263" t="n"/>
      <c r="D213" s="263" t="n">
        <v>7810</v>
      </c>
      <c r="E213" s="264" t="inlineStr">
        <is>
          <t>성원(토월그랜드타운)</t>
        </is>
      </c>
      <c r="F213" s="263" t="n">
        <v>1994.06</v>
      </c>
      <c r="G213" s="263" t="n">
        <v>6252</v>
      </c>
      <c r="H213" s="263">
        <f>2026-F213+1</f>
        <v/>
      </c>
      <c r="I213" s="263" t="n"/>
      <c r="J213" s="263" t="n">
        <v>132</v>
      </c>
      <c r="K213" s="263" t="n">
        <v>108</v>
      </c>
      <c r="L213" s="263" t="n">
        <v>40</v>
      </c>
      <c r="M213" s="263" t="inlineStr">
        <is>
          <t>계단식</t>
        </is>
      </c>
      <c r="N213" s="263" t="n">
        <v>4</v>
      </c>
      <c r="O213" s="263" t="n">
        <v>2</v>
      </c>
      <c r="P213" s="263" t="n">
        <v>700</v>
      </c>
      <c r="Q213" s="263" t="n"/>
      <c r="R213" s="263" t="n"/>
      <c r="S213" s="263" t="n"/>
      <c r="T213" s="263" t="n"/>
      <c r="U213" s="263" t="n">
        <v>5.8</v>
      </c>
      <c r="V213" s="263" t="n">
        <v>3.5</v>
      </c>
      <c r="W213" s="263" t="n"/>
      <c r="X213" s="263" t="n"/>
      <c r="Y213" s="263" t="n"/>
      <c r="Z213" s="263" t="n"/>
      <c r="AA213" s="263" t="n"/>
      <c r="AB213" s="263" t="n"/>
      <c r="AC213" s="263" t="n"/>
      <c r="AD213" s="263" t="n"/>
      <c r="AE213" s="263" t="n"/>
      <c r="AF213" s="263" t="n"/>
      <c r="AG213" s="263" t="n"/>
      <c r="AH213" s="263" t="n"/>
      <c r="AI213" s="263" t="n"/>
      <c r="AJ213" s="263" t="n"/>
      <c r="AK213" s="263" t="n"/>
      <c r="AL213" s="263" t="n"/>
    </row>
    <row r="214">
      <c r="A214" s="263" t="inlineStr">
        <is>
          <t>상남동</t>
        </is>
      </c>
      <c r="B214" s="263" t="n"/>
      <c r="C214" s="263" t="n"/>
      <c r="D214" s="263" t="n">
        <v>7810</v>
      </c>
      <c r="E214" s="264" t="inlineStr">
        <is>
          <t>성원(토월그랜드타운)</t>
        </is>
      </c>
      <c r="F214" s="263" t="n">
        <v>1994.06</v>
      </c>
      <c r="G214" s="263" t="n">
        <v>6252</v>
      </c>
      <c r="H214" s="263">
        <f>2026-F214+1</f>
        <v/>
      </c>
      <c r="I214" s="263" t="n"/>
      <c r="J214" s="263" t="n">
        <v>164</v>
      </c>
      <c r="K214" s="263" t="n">
        <v>136</v>
      </c>
      <c r="L214" s="263" t="n">
        <v>50</v>
      </c>
      <c r="M214" s="263" t="inlineStr">
        <is>
          <t>계단식</t>
        </is>
      </c>
      <c r="N214" s="263" t="n">
        <v>4</v>
      </c>
      <c r="O214" s="263" t="n">
        <v>2</v>
      </c>
      <c r="P214" s="263" t="n">
        <v>200</v>
      </c>
      <c r="Q214" s="263" t="n"/>
      <c r="R214" s="263" t="n"/>
      <c r="S214" s="263" t="n"/>
      <c r="T214" s="263" t="n"/>
      <c r="U214" s="263" t="n">
        <v>6.5</v>
      </c>
      <c r="V214" s="263" t="n">
        <v>4.6</v>
      </c>
      <c r="W214" s="263" t="n"/>
      <c r="X214" s="263" t="n"/>
      <c r="Y214" s="263" t="n"/>
      <c r="Z214" s="263" t="n"/>
      <c r="AA214" s="263" t="n"/>
      <c r="AB214" s="263" t="n"/>
      <c r="AC214" s="263" t="n"/>
      <c r="AD214" s="263" t="n"/>
      <c r="AE214" s="263" t="n"/>
      <c r="AF214" s="263" t="n"/>
      <c r="AG214" s="263" t="n"/>
      <c r="AH214" s="263" t="n"/>
      <c r="AI214" s="263" t="n"/>
      <c r="AJ214" s="263" t="n"/>
      <c r="AK214" s="263" t="n"/>
      <c r="AL214" s="263" t="n"/>
    </row>
    <row r="215">
      <c r="A215" s="263" t="inlineStr">
        <is>
          <t>상남동</t>
        </is>
      </c>
      <c r="B215" s="263" t="n"/>
      <c r="C215" s="263" t="n"/>
      <c r="D215" s="263" t="n">
        <v>7810</v>
      </c>
      <c r="E215" s="264" t="inlineStr">
        <is>
          <t>성원(토월그랜드타운)</t>
        </is>
      </c>
      <c r="F215" s="263" t="n">
        <v>1994.06</v>
      </c>
      <c r="G215" s="263" t="n">
        <v>6252</v>
      </c>
      <c r="H215" s="263">
        <f>2026-F215+1</f>
        <v/>
      </c>
      <c r="I215" s="263" t="n"/>
      <c r="J215" s="263" t="n">
        <v>198</v>
      </c>
      <c r="K215" s="263" t="n">
        <v>167</v>
      </c>
      <c r="L215" s="263" t="n">
        <v>60</v>
      </c>
      <c r="M215" s="263" t="inlineStr">
        <is>
          <t>계단식</t>
        </is>
      </c>
      <c r="N215" s="263" t="n">
        <v>6</v>
      </c>
      <c r="O215" s="263" t="n">
        <v>2</v>
      </c>
      <c r="P215" s="263" t="n">
        <v>150</v>
      </c>
      <c r="Q215" s="263" t="n"/>
      <c r="R215" s="263" t="n"/>
      <c r="S215" s="263" t="n"/>
      <c r="T215" s="263" t="n"/>
      <c r="U215" s="263" t="n">
        <v>6.5</v>
      </c>
      <c r="V215" s="263" t="n">
        <v>5.05</v>
      </c>
      <c r="W215" s="263" t="n"/>
      <c r="X215" s="263" t="n"/>
      <c r="Y215" s="263" t="n"/>
      <c r="Z215" s="263" t="n"/>
      <c r="AA215" s="263" t="n"/>
      <c r="AB215" s="263" t="n"/>
      <c r="AC215" s="263" t="n"/>
      <c r="AD215" s="263" t="n"/>
      <c r="AE215" s="263" t="n"/>
      <c r="AF215" s="263" t="n"/>
      <c r="AG215" s="263" t="n"/>
      <c r="AH215" s="263" t="n"/>
      <c r="AI215" s="263" t="n"/>
      <c r="AJ215" s="263" t="n"/>
      <c r="AK215" s="263" t="n"/>
      <c r="AL215" s="263" t="n"/>
    </row>
    <row r="216">
      <c r="A216" s="458" t="inlineStr">
        <is>
          <t>성주동</t>
        </is>
      </c>
      <c r="D216" s="458" t="n">
        <v>105107</v>
      </c>
      <c r="E216" s="265" t="inlineStr">
        <is>
          <t>성주효성해링턴코트</t>
        </is>
      </c>
      <c r="F216" s="458" t="n">
        <v>2013.12</v>
      </c>
      <c r="G216" s="458" t="n">
        <v>365</v>
      </c>
      <c r="H216" s="458">
        <f>2026-F216+1</f>
        <v/>
      </c>
      <c r="J216" s="458" t="n">
        <v>109</v>
      </c>
      <c r="K216" s="458" t="n">
        <v>84</v>
      </c>
      <c r="L216" s="458" t="n">
        <v>33</v>
      </c>
      <c r="M216" s="458" t="inlineStr">
        <is>
          <t>계단식</t>
        </is>
      </c>
      <c r="N216" s="458" t="n">
        <v>3</v>
      </c>
      <c r="O216" s="458" t="n">
        <v>2</v>
      </c>
      <c r="P216" s="458" t="n">
        <v>272</v>
      </c>
    </row>
    <row r="217">
      <c r="A217" s="458" t="inlineStr">
        <is>
          <t>성주동</t>
        </is>
      </c>
      <c r="D217" s="458" t="n">
        <v>105107</v>
      </c>
      <c r="E217" s="265" t="inlineStr">
        <is>
          <t>성주효성해링턴코트</t>
        </is>
      </c>
      <c r="F217" s="458" t="n">
        <v>2013.12</v>
      </c>
      <c r="G217" s="458" t="n">
        <v>365</v>
      </c>
      <c r="H217" s="458">
        <f>2026-F217+1</f>
        <v/>
      </c>
      <c r="J217" s="458" t="n">
        <v>129</v>
      </c>
      <c r="K217" s="458" t="n">
        <v>100</v>
      </c>
      <c r="L217" s="458" t="n">
        <v>39</v>
      </c>
      <c r="M217" s="458" t="inlineStr">
        <is>
          <t>계단식</t>
        </is>
      </c>
      <c r="N217" s="458" t="n">
        <v>3</v>
      </c>
      <c r="O217" s="458" t="n">
        <v>2</v>
      </c>
      <c r="P217" s="458" t="n">
        <v>76</v>
      </c>
    </row>
    <row r="218">
      <c r="A218" s="458" t="inlineStr">
        <is>
          <t>성주동</t>
        </is>
      </c>
      <c r="D218" s="458" t="n">
        <v>105107</v>
      </c>
      <c r="E218" s="265" t="inlineStr">
        <is>
          <t>성주효성해링턴코트</t>
        </is>
      </c>
      <c r="F218" s="458" t="n">
        <v>2013.12</v>
      </c>
      <c r="G218" s="458" t="n">
        <v>365</v>
      </c>
      <c r="H218" s="458">
        <f>2026-F218+1</f>
        <v/>
      </c>
      <c r="J218" s="458" t="n">
        <v>151</v>
      </c>
      <c r="K218" s="458" t="n">
        <v>118</v>
      </c>
      <c r="L218" s="458" t="n">
        <v>46</v>
      </c>
      <c r="M218" s="458" t="inlineStr">
        <is>
          <t>계단식</t>
        </is>
      </c>
      <c r="N218" s="458" t="n">
        <v>4</v>
      </c>
      <c r="O218" s="458" t="n">
        <v>2</v>
      </c>
      <c r="P218" s="458" t="n">
        <v>17</v>
      </c>
    </row>
    <row r="219">
      <c r="A219" s="263" t="inlineStr">
        <is>
          <t>성주동</t>
        </is>
      </c>
      <c r="B219" s="263" t="n"/>
      <c r="C219" s="263" t="n"/>
      <c r="D219" s="263" t="n">
        <v>17375</v>
      </c>
      <c r="E219" s="264" t="inlineStr">
        <is>
          <t>유니온빌리지</t>
        </is>
      </c>
      <c r="F219" s="263" t="n">
        <v>2005.1</v>
      </c>
      <c r="G219" s="263" t="n">
        <v>1360</v>
      </c>
      <c r="H219" s="263">
        <f>2026-F219+1</f>
        <v/>
      </c>
      <c r="I219" s="263" t="n"/>
      <c r="J219" s="263" t="n">
        <v>107</v>
      </c>
      <c r="K219" s="263" t="n">
        <v>84</v>
      </c>
      <c r="L219" s="263" t="n">
        <v>32</v>
      </c>
      <c r="M219" s="263" t="inlineStr">
        <is>
          <t>계단식</t>
        </is>
      </c>
      <c r="N219" s="263" t="n">
        <v>3</v>
      </c>
      <c r="O219" s="263" t="n">
        <v>2</v>
      </c>
      <c r="P219" s="263" t="n">
        <v>683</v>
      </c>
      <c r="Q219" s="263" t="n"/>
      <c r="R219" s="263" t="n"/>
      <c r="S219" s="263" t="n"/>
      <c r="T219" s="263" t="n"/>
      <c r="U219" s="263" t="n">
        <v>4.78</v>
      </c>
      <c r="V219" s="263" t="n">
        <v>3.3</v>
      </c>
      <c r="W219" s="263" t="n"/>
      <c r="X219" s="263" t="n"/>
      <c r="Y219" s="263" t="n"/>
      <c r="Z219" s="263" t="n"/>
      <c r="AA219" s="263" t="n"/>
      <c r="AB219" s="263" t="n"/>
      <c r="AC219" s="263" t="n"/>
      <c r="AD219" s="263" t="n"/>
      <c r="AE219" s="263" t="n"/>
      <c r="AF219" s="263" t="n"/>
      <c r="AG219" s="263" t="n"/>
      <c r="AH219" s="263" t="n"/>
      <c r="AI219" s="263" t="n"/>
      <c r="AJ219" s="263" t="n"/>
      <c r="AK219" s="263" t="n"/>
      <c r="AL219" s="263" t="n"/>
    </row>
    <row r="220">
      <c r="A220" s="263" t="inlineStr">
        <is>
          <t>성주동</t>
        </is>
      </c>
      <c r="B220" s="263" t="n"/>
      <c r="C220" s="263" t="n"/>
      <c r="D220" s="263" t="n">
        <v>17375</v>
      </c>
      <c r="E220" s="264" t="inlineStr">
        <is>
          <t>유니온빌리지</t>
        </is>
      </c>
      <c r="F220" s="263" t="n">
        <v>2005.1</v>
      </c>
      <c r="G220" s="263" t="n">
        <v>1360</v>
      </c>
      <c r="H220" s="263">
        <f>2026-F220+1</f>
        <v/>
      </c>
      <c r="I220" s="263" t="n"/>
      <c r="J220" s="263" t="n">
        <v>133</v>
      </c>
      <c r="K220" s="263" t="n">
        <v>101</v>
      </c>
      <c r="L220" s="263" t="n">
        <v>40</v>
      </c>
      <c r="M220" s="263" t="inlineStr">
        <is>
          <t>계단식</t>
        </is>
      </c>
      <c r="N220" s="263" t="n">
        <v>3</v>
      </c>
      <c r="O220" s="263" t="n">
        <v>2</v>
      </c>
      <c r="P220" s="263" t="n">
        <v>327</v>
      </c>
      <c r="Q220" s="263" t="n"/>
      <c r="R220" s="263" t="n"/>
      <c r="S220" s="263" t="n"/>
      <c r="T220" s="263" t="n"/>
      <c r="U220" s="263" t="n">
        <v>5.48</v>
      </c>
      <c r="V220" s="263" t="n">
        <v>4.2</v>
      </c>
      <c r="W220" s="263" t="n"/>
      <c r="X220" s="263" t="n"/>
      <c r="Y220" s="263" t="n"/>
      <c r="Z220" s="263" t="n"/>
      <c r="AA220" s="263" t="n"/>
      <c r="AB220" s="263" t="n"/>
      <c r="AC220" s="263" t="n"/>
      <c r="AD220" s="263" t="n"/>
      <c r="AE220" s="263" t="n"/>
      <c r="AF220" s="263" t="n"/>
      <c r="AG220" s="263" t="n"/>
      <c r="AH220" s="263" t="n"/>
      <c r="AI220" s="263" t="n"/>
      <c r="AJ220" s="263" t="n"/>
      <c r="AK220" s="263" t="n"/>
      <c r="AL220" s="263" t="n"/>
    </row>
    <row r="221">
      <c r="A221" s="263" t="inlineStr">
        <is>
          <t>성주동</t>
        </is>
      </c>
      <c r="B221" s="263" t="n"/>
      <c r="C221" s="263" t="n"/>
      <c r="D221" s="263" t="n">
        <v>17375</v>
      </c>
      <c r="E221" s="264" t="inlineStr">
        <is>
          <t>유니온빌리지</t>
        </is>
      </c>
      <c r="F221" s="263" t="n">
        <v>2005.1</v>
      </c>
      <c r="G221" s="263" t="n">
        <v>1360</v>
      </c>
      <c r="H221" s="263">
        <f>2026-F221+1</f>
        <v/>
      </c>
      <c r="I221" s="263" t="n"/>
      <c r="J221" s="263" t="n">
        <v>163</v>
      </c>
      <c r="K221" s="263" t="n">
        <v>130</v>
      </c>
      <c r="L221" s="263" t="n">
        <v>49</v>
      </c>
      <c r="M221" s="263" t="inlineStr">
        <is>
          <t>계단식</t>
        </is>
      </c>
      <c r="N221" s="263" t="n">
        <v>4</v>
      </c>
      <c r="O221" s="263" t="n">
        <v>2</v>
      </c>
      <c r="P221" s="263" t="n">
        <v>118</v>
      </c>
      <c r="Q221" s="263" t="n"/>
      <c r="R221" s="263" t="n"/>
      <c r="S221" s="263" t="n"/>
      <c r="T221" s="263" t="n"/>
      <c r="U221" s="263" t="n">
        <v>6.2</v>
      </c>
      <c r="V221" s="263" t="n">
        <v>4.98</v>
      </c>
      <c r="W221" s="263" t="n"/>
      <c r="X221" s="263" t="n"/>
      <c r="Y221" s="263" t="n"/>
      <c r="Z221" s="263" t="n"/>
      <c r="AA221" s="263" t="n"/>
      <c r="AB221" s="263" t="n"/>
      <c r="AC221" s="263" t="n"/>
      <c r="AD221" s="263" t="n"/>
      <c r="AE221" s="263" t="n"/>
      <c r="AF221" s="263" t="n"/>
      <c r="AG221" s="263" t="n"/>
      <c r="AH221" s="263" t="n"/>
      <c r="AI221" s="263" t="n"/>
      <c r="AJ221" s="263" t="n"/>
      <c r="AK221" s="263" t="n"/>
      <c r="AL221" s="263" t="n"/>
    </row>
    <row r="222">
      <c r="A222" s="263" t="inlineStr">
        <is>
          <t>성주동</t>
        </is>
      </c>
      <c r="B222" s="263" t="n"/>
      <c r="C222" s="263" t="n"/>
      <c r="D222" s="263" t="n">
        <v>17375</v>
      </c>
      <c r="E222" s="264" t="inlineStr">
        <is>
          <t>유니온빌리지</t>
        </is>
      </c>
      <c r="F222" s="263" t="n">
        <v>2005.1</v>
      </c>
      <c r="G222" s="263" t="n">
        <v>1360</v>
      </c>
      <c r="H222" s="263">
        <f>2026-F222+1</f>
        <v/>
      </c>
      <c r="I222" s="263" t="n"/>
      <c r="J222" s="263" t="n">
        <v>184</v>
      </c>
      <c r="K222" s="263" t="n">
        <v>147</v>
      </c>
      <c r="L222" s="263" t="n">
        <v>56</v>
      </c>
      <c r="M222" s="263" t="inlineStr">
        <is>
          <t>계단식</t>
        </is>
      </c>
      <c r="N222" s="263" t="n">
        <v>4</v>
      </c>
      <c r="O222" s="263" t="n">
        <v>2</v>
      </c>
      <c r="P222" s="263" t="n">
        <v>152</v>
      </c>
      <c r="Q222" s="263" t="n"/>
      <c r="R222" s="263" t="n"/>
      <c r="S222" s="263" t="n"/>
      <c r="T222" s="263" t="n"/>
      <c r="U222" s="263" t="n">
        <v>6.4</v>
      </c>
      <c r="V222" s="263" t="n">
        <v>5</v>
      </c>
      <c r="W222" s="263" t="n"/>
      <c r="X222" s="263" t="n"/>
      <c r="Y222" s="263" t="n"/>
      <c r="Z222" s="263" t="n"/>
      <c r="AA222" s="263" t="n"/>
      <c r="AB222" s="263" t="n"/>
      <c r="AC222" s="263" t="n"/>
      <c r="AD222" s="263" t="n"/>
      <c r="AE222" s="263" t="n"/>
      <c r="AF222" s="263" t="n"/>
      <c r="AG222" s="263" t="n"/>
      <c r="AH222" s="263" t="n"/>
      <c r="AI222" s="263" t="n"/>
      <c r="AJ222" s="263" t="n"/>
      <c r="AK222" s="263" t="n"/>
      <c r="AL222" s="263" t="n"/>
    </row>
    <row r="223">
      <c r="A223" s="263" t="inlineStr">
        <is>
          <t>성주동</t>
        </is>
      </c>
      <c r="B223" s="263" t="n"/>
      <c r="C223" s="263" t="n"/>
      <c r="D223" s="263" t="n">
        <v>17375</v>
      </c>
      <c r="E223" s="264" t="inlineStr">
        <is>
          <t>유니온빌리지</t>
        </is>
      </c>
      <c r="F223" s="263" t="n">
        <v>2005.1</v>
      </c>
      <c r="G223" s="263" t="n">
        <v>1360</v>
      </c>
      <c r="H223" s="263">
        <f>2026-F223+1</f>
        <v/>
      </c>
      <c r="I223" s="263" t="n"/>
      <c r="J223" s="263" t="n">
        <v>221</v>
      </c>
      <c r="K223" s="263" t="n">
        <v>181</v>
      </c>
      <c r="L223" s="263" t="n">
        <v>67</v>
      </c>
      <c r="M223" s="263" t="inlineStr">
        <is>
          <t>계단식</t>
        </is>
      </c>
      <c r="N223" s="263" t="n">
        <v>5</v>
      </c>
      <c r="O223" s="263" t="n">
        <v>2</v>
      </c>
      <c r="P223" s="263" t="n">
        <v>80</v>
      </c>
      <c r="Q223" s="263" t="n"/>
      <c r="R223" s="263" t="n"/>
      <c r="S223" s="263" t="n"/>
      <c r="T223" s="263" t="n"/>
      <c r="U223" s="263" t="n">
        <v>8.5</v>
      </c>
      <c r="V223" s="263" t="n">
        <v>8.5</v>
      </c>
      <c r="W223" s="263" t="n"/>
      <c r="X223" s="263" t="n"/>
      <c r="Y223" s="263" t="n"/>
      <c r="Z223" s="263" t="n"/>
      <c r="AA223" s="263" t="n"/>
      <c r="AB223" s="263" t="n"/>
      <c r="AC223" s="263" t="n"/>
      <c r="AD223" s="263" t="n"/>
      <c r="AE223" s="263" t="n"/>
      <c r="AF223" s="263" t="n"/>
      <c r="AG223" s="263" t="n"/>
      <c r="AH223" s="263" t="n"/>
      <c r="AI223" s="263" t="n"/>
      <c r="AJ223" s="263" t="n"/>
      <c r="AK223" s="263" t="n"/>
      <c r="AL223" s="263" t="n"/>
    </row>
    <row r="224">
      <c r="A224" s="458" t="inlineStr">
        <is>
          <t>성주동</t>
        </is>
      </c>
      <c r="D224" s="458" t="n">
        <v>101107</v>
      </c>
      <c r="E224" s="265" t="inlineStr">
        <is>
          <t>프리빌리지</t>
        </is>
      </c>
      <c r="F224" s="458" t="n">
        <v>2003.1</v>
      </c>
      <c r="G224" s="458" t="n">
        <v>1062</v>
      </c>
      <c r="H224" s="458">
        <f>2026-F224+1</f>
        <v/>
      </c>
      <c r="J224" s="458" t="n">
        <v>110</v>
      </c>
      <c r="K224" s="458" t="n">
        <v>84</v>
      </c>
      <c r="L224" s="458" t="n">
        <v>33</v>
      </c>
      <c r="M224" s="458" t="inlineStr">
        <is>
          <t>계단식</t>
        </is>
      </c>
      <c r="N224" s="458" t="n">
        <v>3</v>
      </c>
      <c r="O224" s="458" t="n">
        <v>2</v>
      </c>
      <c r="P224" s="458" t="n">
        <v>554</v>
      </c>
      <c r="U224" s="458" t="n">
        <v>5.35</v>
      </c>
      <c r="V224" s="458" t="n">
        <v>3.95</v>
      </c>
    </row>
    <row r="225">
      <c r="A225" s="458" t="inlineStr">
        <is>
          <t>성주동</t>
        </is>
      </c>
      <c r="D225" s="458" t="n">
        <v>101107</v>
      </c>
      <c r="E225" s="265" t="inlineStr">
        <is>
          <t>프리빌리지</t>
        </is>
      </c>
      <c r="F225" s="458" t="n">
        <v>2003.1</v>
      </c>
      <c r="G225" s="458" t="n">
        <v>1062</v>
      </c>
      <c r="H225" s="458">
        <f>2026-F225+1</f>
        <v/>
      </c>
      <c r="J225" s="458" t="n">
        <v>128</v>
      </c>
      <c r="K225" s="458" t="n">
        <v>101</v>
      </c>
      <c r="L225" s="458" t="n">
        <v>39</v>
      </c>
      <c r="M225" s="458" t="inlineStr">
        <is>
          <t>계단식</t>
        </is>
      </c>
      <c r="N225" s="458" t="n">
        <v>3</v>
      </c>
      <c r="O225" s="458" t="n">
        <v>2</v>
      </c>
      <c r="P225" s="458" t="n">
        <v>240</v>
      </c>
      <c r="U225" s="458" t="n">
        <v>5.7</v>
      </c>
      <c r="V225" s="458" t="n">
        <v>4.35</v>
      </c>
    </row>
    <row r="226">
      <c r="A226" s="458" t="inlineStr">
        <is>
          <t>성주동</t>
        </is>
      </c>
      <c r="D226" s="458" t="n">
        <v>101107</v>
      </c>
      <c r="E226" s="265" t="inlineStr">
        <is>
          <t>프리빌리지</t>
        </is>
      </c>
      <c r="F226" s="458" t="n">
        <v>2003.1</v>
      </c>
      <c r="G226" s="458" t="n">
        <v>1062</v>
      </c>
      <c r="H226" s="458">
        <f>2026-F226+1</f>
        <v/>
      </c>
      <c r="J226" s="458" t="n">
        <v>150</v>
      </c>
      <c r="K226" s="458" t="n">
        <v>124</v>
      </c>
      <c r="L226" s="458" t="n">
        <v>45</v>
      </c>
      <c r="M226" s="458" t="inlineStr">
        <is>
          <t>계단식</t>
        </is>
      </c>
      <c r="N226" s="458" t="n">
        <v>3</v>
      </c>
      <c r="O226" s="458" t="n">
        <v>2</v>
      </c>
      <c r="P226" s="458" t="n">
        <v>40</v>
      </c>
      <c r="U226" s="458" t="n">
        <v>5.67</v>
      </c>
    </row>
    <row r="227">
      <c r="A227" s="458" t="inlineStr">
        <is>
          <t>성주동</t>
        </is>
      </c>
      <c r="D227" s="458" t="n">
        <v>101107</v>
      </c>
      <c r="E227" s="265" t="inlineStr">
        <is>
          <t>프리빌리지</t>
        </is>
      </c>
      <c r="F227" s="458" t="n">
        <v>2003.1</v>
      </c>
      <c r="G227" s="458" t="n">
        <v>1062</v>
      </c>
      <c r="H227" s="458">
        <f>2026-F227+1</f>
        <v/>
      </c>
      <c r="J227" s="458" t="n">
        <v>165</v>
      </c>
      <c r="K227" s="458" t="n">
        <v>134</v>
      </c>
      <c r="L227" s="458" t="n">
        <v>50</v>
      </c>
      <c r="M227" s="458" t="inlineStr">
        <is>
          <t>계단식</t>
        </is>
      </c>
      <c r="N227" s="458" t="n">
        <v>4</v>
      </c>
      <c r="O227" s="458" t="n">
        <v>2</v>
      </c>
      <c r="P227" s="458" t="n">
        <v>188</v>
      </c>
      <c r="U227" s="458" t="n">
        <v>6.7</v>
      </c>
      <c r="V227" s="458" t="n">
        <v>4.7</v>
      </c>
    </row>
    <row r="228">
      <c r="A228" s="458" t="inlineStr">
        <is>
          <t>성주동</t>
        </is>
      </c>
      <c r="D228" s="458" t="n">
        <v>101107</v>
      </c>
      <c r="E228" s="265" t="inlineStr">
        <is>
          <t>프리빌리지</t>
        </is>
      </c>
      <c r="F228" s="458" t="n">
        <v>2003.1</v>
      </c>
      <c r="G228" s="458" t="n">
        <v>1062</v>
      </c>
      <c r="H228" s="458">
        <f>2026-F228+1</f>
        <v/>
      </c>
      <c r="J228" s="458" t="n">
        <v>195</v>
      </c>
      <c r="K228" s="458" t="n">
        <v>160</v>
      </c>
      <c r="L228" s="458" t="n">
        <v>59</v>
      </c>
      <c r="M228" s="458" t="inlineStr">
        <is>
          <t>계단식</t>
        </is>
      </c>
      <c r="N228" s="458" t="n">
        <v>5</v>
      </c>
      <c r="O228" s="458" t="n">
        <v>2</v>
      </c>
      <c r="P228" s="458" t="n">
        <v>40</v>
      </c>
      <c r="U228" s="458" t="n">
        <v>6.9</v>
      </c>
      <c r="V228" s="458" t="n">
        <v>7.5</v>
      </c>
    </row>
    <row r="229">
      <c r="A229" s="263" t="inlineStr">
        <is>
          <t>성주동</t>
        </is>
      </c>
      <c r="B229" s="263" t="n"/>
      <c r="C229" s="263" t="n"/>
      <c r="D229" s="263" t="n">
        <v>106792</v>
      </c>
      <c r="E229" s="264" t="inlineStr">
        <is>
          <t>프리빌리지2차</t>
        </is>
      </c>
      <c r="F229" s="263" t="n">
        <v>2010.12</v>
      </c>
      <c r="G229" s="263" t="n">
        <v>672</v>
      </c>
      <c r="H229" s="263">
        <f>2026-F229+1</f>
        <v/>
      </c>
      <c r="I229" s="263" t="n"/>
      <c r="J229" s="263" t="n">
        <v>111</v>
      </c>
      <c r="K229" s="263" t="n">
        <v>84</v>
      </c>
      <c r="L229" s="263" t="n">
        <v>34</v>
      </c>
      <c r="M229" s="263" t="inlineStr">
        <is>
          <t>계단식</t>
        </is>
      </c>
      <c r="N229" s="263" t="n">
        <v>3</v>
      </c>
      <c r="O229" s="263" t="n">
        <v>2</v>
      </c>
      <c r="P229" s="263" t="n">
        <v>286</v>
      </c>
      <c r="Q229" s="263" t="n"/>
      <c r="R229" s="263" t="n"/>
      <c r="S229" s="263" t="n"/>
      <c r="T229" s="263" t="n"/>
      <c r="U229" s="263" t="n">
        <v>5.54</v>
      </c>
      <c r="V229" s="263" t="n">
        <v>4.1</v>
      </c>
      <c r="W229" s="263" t="n"/>
      <c r="X229" s="263" t="n"/>
      <c r="Y229" s="263" t="n"/>
      <c r="Z229" s="263" t="n"/>
      <c r="AA229" s="263" t="n"/>
      <c r="AB229" s="263" t="n"/>
      <c r="AC229" s="263" t="n"/>
      <c r="AD229" s="263" t="n"/>
      <c r="AE229" s="263" t="n"/>
      <c r="AF229" s="263" t="n"/>
      <c r="AG229" s="263" t="n"/>
      <c r="AH229" s="263" t="n"/>
      <c r="AI229" s="263" t="n"/>
      <c r="AJ229" s="263" t="n"/>
      <c r="AK229" s="263" t="n"/>
      <c r="AL229" s="263" t="n"/>
    </row>
    <row r="230">
      <c r="A230" s="263" t="inlineStr">
        <is>
          <t>성주동</t>
        </is>
      </c>
      <c r="B230" s="263" t="n"/>
      <c r="C230" s="263" t="n"/>
      <c r="D230" s="263" t="n">
        <v>106792</v>
      </c>
      <c r="E230" s="264" t="inlineStr">
        <is>
          <t>프리빌리지2차</t>
        </is>
      </c>
      <c r="F230" s="263" t="n">
        <v>2010.12</v>
      </c>
      <c r="G230" s="263" t="n">
        <v>672</v>
      </c>
      <c r="H230" s="263">
        <f>2026-F230+1</f>
        <v/>
      </c>
      <c r="I230" s="263" t="n"/>
      <c r="J230" s="263" t="n">
        <v>132</v>
      </c>
      <c r="K230" s="263" t="n">
        <v>101</v>
      </c>
      <c r="L230" s="263" t="n">
        <v>40</v>
      </c>
      <c r="M230" s="263" t="inlineStr">
        <is>
          <t>계단식</t>
        </is>
      </c>
      <c r="N230" s="263" t="n">
        <v>3</v>
      </c>
      <c r="O230" s="263" t="n">
        <v>2</v>
      </c>
      <c r="P230" s="263" t="n">
        <v>96</v>
      </c>
      <c r="Q230" s="263" t="n"/>
      <c r="R230" s="263" t="n"/>
      <c r="S230" s="263" t="n"/>
      <c r="T230" s="263" t="n"/>
      <c r="U230" s="263" t="n">
        <v>5.95</v>
      </c>
      <c r="V230" s="263" t="n">
        <v>4.5</v>
      </c>
      <c r="W230" s="263" t="n"/>
      <c r="X230" s="263" t="n"/>
      <c r="Y230" s="263" t="n"/>
      <c r="Z230" s="263" t="n"/>
      <c r="AA230" s="263" t="n"/>
      <c r="AB230" s="263" t="n"/>
      <c r="AC230" s="263" t="n"/>
      <c r="AD230" s="263" t="n"/>
      <c r="AE230" s="263" t="n"/>
      <c r="AF230" s="263" t="n"/>
      <c r="AG230" s="263" t="n"/>
      <c r="AH230" s="263" t="n"/>
      <c r="AI230" s="263" t="n"/>
      <c r="AJ230" s="263" t="n"/>
      <c r="AK230" s="263" t="n"/>
      <c r="AL230" s="263" t="n"/>
    </row>
    <row r="231">
      <c r="A231" s="263" t="inlineStr">
        <is>
          <t>성주동</t>
        </is>
      </c>
      <c r="B231" s="263" t="n"/>
      <c r="C231" s="263" t="n"/>
      <c r="D231" s="263" t="n">
        <v>106792</v>
      </c>
      <c r="E231" s="264" t="inlineStr">
        <is>
          <t>프리빌리지2차</t>
        </is>
      </c>
      <c r="F231" s="263" t="n">
        <v>2010.12</v>
      </c>
      <c r="G231" s="263" t="n">
        <v>672</v>
      </c>
      <c r="H231" s="263">
        <f>2026-F231+1</f>
        <v/>
      </c>
      <c r="I231" s="263" t="n"/>
      <c r="J231" s="263" t="n">
        <v>152</v>
      </c>
      <c r="K231" s="263" t="n">
        <v>124</v>
      </c>
      <c r="L231" s="263" t="n">
        <v>46</v>
      </c>
      <c r="M231" s="263" t="inlineStr">
        <is>
          <t>계단식</t>
        </is>
      </c>
      <c r="N231" s="263" t="n">
        <v>4</v>
      </c>
      <c r="O231" s="263" t="n">
        <v>2</v>
      </c>
      <c r="P231" s="263" t="n">
        <v>142</v>
      </c>
      <c r="Q231" s="263" t="n"/>
      <c r="R231" s="263" t="n"/>
      <c r="S231" s="263" t="n"/>
      <c r="T231" s="263" t="n"/>
      <c r="U231" s="263" t="n">
        <v>6.4</v>
      </c>
      <c r="V231" s="263" t="n">
        <v>5.4</v>
      </c>
      <c r="W231" s="263" t="n"/>
      <c r="X231" s="263" t="n"/>
      <c r="Y231" s="263" t="n"/>
      <c r="Z231" s="263" t="n"/>
      <c r="AA231" s="263" t="n"/>
      <c r="AB231" s="263" t="n"/>
      <c r="AC231" s="263" t="n"/>
      <c r="AD231" s="263" t="n"/>
      <c r="AE231" s="263" t="n"/>
      <c r="AF231" s="263" t="n"/>
      <c r="AG231" s="263" t="n"/>
      <c r="AH231" s="263" t="n"/>
      <c r="AI231" s="263" t="n"/>
      <c r="AJ231" s="263" t="n"/>
      <c r="AK231" s="263" t="n"/>
      <c r="AL231" s="263" t="n"/>
    </row>
    <row r="232">
      <c r="A232" s="263" t="inlineStr">
        <is>
          <t>성주동</t>
        </is>
      </c>
      <c r="B232" s="263" t="n"/>
      <c r="C232" s="263" t="n"/>
      <c r="D232" s="263" t="n">
        <v>106792</v>
      </c>
      <c r="E232" s="264" t="inlineStr">
        <is>
          <t>프리빌리지2차</t>
        </is>
      </c>
      <c r="F232" s="263" t="n">
        <v>2010.12</v>
      </c>
      <c r="G232" s="263" t="n">
        <v>672</v>
      </c>
      <c r="H232" s="263">
        <f>2026-F232+1</f>
        <v/>
      </c>
      <c r="I232" s="263" t="n"/>
      <c r="J232" s="263" t="n">
        <v>196</v>
      </c>
      <c r="K232" s="263" t="n">
        <v>161</v>
      </c>
      <c r="L232" s="263" t="n">
        <v>59</v>
      </c>
      <c r="M232" s="263" t="inlineStr">
        <is>
          <t>계단식</t>
        </is>
      </c>
      <c r="N232" s="263" t="n">
        <v>4</v>
      </c>
      <c r="O232" s="263" t="n">
        <v>2</v>
      </c>
      <c r="P232" s="263" t="n">
        <v>148</v>
      </c>
      <c r="Q232" s="263" t="n"/>
      <c r="R232" s="263" t="n"/>
      <c r="S232" s="263" t="n"/>
      <c r="T232" s="263" t="n"/>
      <c r="U232" s="263" t="n">
        <v>6.95</v>
      </c>
      <c r="V232" s="263" t="n">
        <v>5.9</v>
      </c>
      <c r="W232" s="263" t="n"/>
      <c r="X232" s="263" t="n"/>
      <c r="Y232" s="263" t="n"/>
      <c r="Z232" s="263" t="n"/>
      <c r="AA232" s="263" t="n"/>
      <c r="AB232" s="263" t="n"/>
      <c r="AC232" s="263" t="n"/>
      <c r="AD232" s="263" t="n"/>
      <c r="AE232" s="263" t="n"/>
      <c r="AF232" s="263" t="n"/>
      <c r="AG232" s="263" t="n"/>
      <c r="AH232" s="263" t="n"/>
      <c r="AI232" s="263" t="n"/>
      <c r="AJ232" s="263" t="n"/>
      <c r="AK232" s="263" t="n"/>
      <c r="AL232" s="263" t="n"/>
    </row>
    <row r="233">
      <c r="A233" s="458" t="inlineStr">
        <is>
          <t>성주동</t>
        </is>
      </c>
      <c r="D233" s="458" t="n">
        <v>17376</v>
      </c>
      <c r="E233" s="265" t="inlineStr">
        <is>
          <t>한림푸르지오</t>
        </is>
      </c>
      <c r="F233" s="458" t="n">
        <v>2003.12</v>
      </c>
      <c r="G233" s="458" t="n">
        <v>520</v>
      </c>
      <c r="H233" s="458">
        <f>2026-F233+1</f>
        <v/>
      </c>
      <c r="J233" s="458" t="n">
        <v>110</v>
      </c>
      <c r="K233" s="458" t="n">
        <v>84</v>
      </c>
      <c r="L233" s="458" t="n">
        <v>33</v>
      </c>
      <c r="M233" s="458" t="inlineStr">
        <is>
          <t>계단식</t>
        </is>
      </c>
      <c r="N233" s="458" t="n">
        <v>3</v>
      </c>
      <c r="O233" s="458" t="n">
        <v>2</v>
      </c>
      <c r="P233" s="458" t="n">
        <v>280</v>
      </c>
      <c r="U233" s="458" t="n">
        <v>5.53</v>
      </c>
      <c r="V233" s="458" t="n">
        <v>3.98</v>
      </c>
    </row>
    <row r="234">
      <c r="A234" s="458" t="inlineStr">
        <is>
          <t>성주동</t>
        </is>
      </c>
      <c r="D234" s="458" t="n">
        <v>17376</v>
      </c>
      <c r="E234" s="265" t="inlineStr">
        <is>
          <t>한림푸르지오</t>
        </is>
      </c>
      <c r="F234" s="458" t="n">
        <v>2003.12</v>
      </c>
      <c r="G234" s="458" t="n">
        <v>520</v>
      </c>
      <c r="H234" s="458">
        <f>2026-F234+1</f>
        <v/>
      </c>
      <c r="J234" s="458" t="n">
        <v>126</v>
      </c>
      <c r="K234" s="458" t="n">
        <v>101</v>
      </c>
      <c r="L234" s="458" t="n">
        <v>38</v>
      </c>
      <c r="M234" s="458" t="inlineStr">
        <is>
          <t>계단식</t>
        </is>
      </c>
      <c r="N234" s="458" t="n">
        <v>3</v>
      </c>
      <c r="O234" s="458" t="n">
        <v>2</v>
      </c>
      <c r="P234" s="458" t="n">
        <v>120</v>
      </c>
      <c r="U234" s="458" t="n">
        <v>5.85</v>
      </c>
      <c r="V234" s="458" t="n">
        <v>4.91</v>
      </c>
    </row>
    <row r="235">
      <c r="A235" s="458" t="inlineStr">
        <is>
          <t>성주동</t>
        </is>
      </c>
      <c r="D235" s="458" t="n">
        <v>17376</v>
      </c>
      <c r="E235" s="265" t="inlineStr">
        <is>
          <t>한림푸르지오</t>
        </is>
      </c>
      <c r="F235" s="458" t="n">
        <v>2003.12</v>
      </c>
      <c r="G235" s="458" t="n">
        <v>520</v>
      </c>
      <c r="H235" s="458">
        <f>2026-F235+1</f>
        <v/>
      </c>
      <c r="J235" s="458" t="n">
        <v>169</v>
      </c>
      <c r="K235" s="458" t="n">
        <v>140</v>
      </c>
      <c r="L235" s="458" t="n">
        <v>51</v>
      </c>
      <c r="M235" s="458" t="inlineStr">
        <is>
          <t>계단식</t>
        </is>
      </c>
      <c r="N235" s="458" t="n">
        <v>4</v>
      </c>
      <c r="O235" s="458" t="n">
        <v>2</v>
      </c>
      <c r="P235" s="458" t="n">
        <v>80</v>
      </c>
      <c r="U235" s="458" t="n">
        <v>8.33</v>
      </c>
      <c r="V235" s="458" t="n">
        <v>6.9</v>
      </c>
    </row>
    <row r="236">
      <c r="A236" s="458" t="inlineStr">
        <is>
          <t>성주동</t>
        </is>
      </c>
      <c r="D236" s="458" t="n">
        <v>17376</v>
      </c>
      <c r="E236" s="265" t="inlineStr">
        <is>
          <t>한림푸르지오</t>
        </is>
      </c>
      <c r="F236" s="458" t="n">
        <v>2003.12</v>
      </c>
      <c r="G236" s="458" t="n">
        <v>520</v>
      </c>
      <c r="H236" s="458">
        <f>2026-F236+1</f>
        <v/>
      </c>
      <c r="J236" s="458" t="n">
        <v>216</v>
      </c>
      <c r="K236" s="458" t="n">
        <v>186</v>
      </c>
      <c r="L236" s="458" t="n">
        <v>65</v>
      </c>
      <c r="M236" s="458" t="inlineStr">
        <is>
          <t>계단식</t>
        </is>
      </c>
      <c r="N236" s="458" t="n">
        <v>5</v>
      </c>
      <c r="O236" s="458" t="n">
        <v>2</v>
      </c>
      <c r="P236" s="458" t="n">
        <v>40</v>
      </c>
      <c r="U236" s="458" t="n">
        <v>9.300000000000001</v>
      </c>
      <c r="V236" s="458" t="n">
        <v>9.1</v>
      </c>
    </row>
    <row r="237">
      <c r="A237" s="263" t="inlineStr">
        <is>
          <t>신월동</t>
        </is>
      </c>
      <c r="B237" s="263" t="n"/>
      <c r="C237" s="263" t="n"/>
      <c r="D237" s="263" t="n">
        <v>7847</v>
      </c>
      <c r="E237" s="264" t="inlineStr">
        <is>
          <t>은아</t>
        </is>
      </c>
      <c r="F237" s="263" t="n">
        <v>1988.07</v>
      </c>
      <c r="G237" s="263" t="n">
        <v>1550</v>
      </c>
      <c r="H237" s="263">
        <f>2026-F237+1</f>
        <v/>
      </c>
      <c r="I237" s="263" t="n"/>
      <c r="J237" s="263" t="n">
        <v>68</v>
      </c>
      <c r="K237" s="263" t="n">
        <v>58</v>
      </c>
      <c r="L237" s="263" t="n">
        <v>21</v>
      </c>
      <c r="M237" s="263" t="inlineStr">
        <is>
          <t>계단식</t>
        </is>
      </c>
      <c r="N237" s="263" t="n">
        <v>2</v>
      </c>
      <c r="O237" s="263" t="n">
        <v>1</v>
      </c>
      <c r="P237" s="263" t="n">
        <v>50</v>
      </c>
      <c r="Q237" s="263" t="n"/>
      <c r="R237" s="263" t="n"/>
      <c r="S237" s="263" t="n"/>
      <c r="T237" s="263" t="n"/>
      <c r="U237" s="263" t="n"/>
      <c r="V237" s="263" t="n"/>
      <c r="W237" s="263" t="n"/>
      <c r="X237" s="263" t="n"/>
      <c r="Y237" s="263" t="n"/>
      <c r="Z237" s="263" t="n"/>
      <c r="AA237" s="263" t="n"/>
      <c r="AB237" s="263" t="n"/>
      <c r="AC237" s="263" t="n"/>
      <c r="AD237" s="263" t="n"/>
      <c r="AE237" s="263" t="n"/>
      <c r="AF237" s="263" t="n"/>
      <c r="AG237" s="263" t="n"/>
      <c r="AH237" s="263" t="n"/>
      <c r="AI237" s="263" t="n"/>
      <c r="AJ237" s="263" t="n"/>
      <c r="AK237" s="263" t="n"/>
      <c r="AL237" s="263" t="n"/>
    </row>
    <row r="238">
      <c r="A238" s="263" t="inlineStr">
        <is>
          <t>신월동</t>
        </is>
      </c>
      <c r="B238" s="263" t="n"/>
      <c r="C238" s="263" t="n"/>
      <c r="D238" s="263" t="n">
        <v>7847</v>
      </c>
      <c r="E238" s="264" t="inlineStr">
        <is>
          <t>은아</t>
        </is>
      </c>
      <c r="F238" s="263" t="n">
        <v>1988.07</v>
      </c>
      <c r="G238" s="263" t="n">
        <v>1550</v>
      </c>
      <c r="H238" s="263">
        <f>2026-F238+1</f>
        <v/>
      </c>
      <c r="I238" s="263" t="n"/>
      <c r="J238" s="263" t="n">
        <v>70</v>
      </c>
      <c r="K238" s="263" t="n">
        <v>60</v>
      </c>
      <c r="L238" s="263" t="n">
        <v>21</v>
      </c>
      <c r="M238" s="263" t="inlineStr">
        <is>
          <t>계단식</t>
        </is>
      </c>
      <c r="N238" s="263" t="n">
        <v>2</v>
      </c>
      <c r="O238" s="263" t="n">
        <v>1</v>
      </c>
      <c r="P238" s="263" t="n">
        <v>240</v>
      </c>
      <c r="Q238" s="263" t="n"/>
      <c r="R238" s="263" t="n"/>
      <c r="S238" s="263" t="n"/>
      <c r="T238" s="263" t="n"/>
      <c r="U238" s="263" t="n">
        <v>5.83</v>
      </c>
      <c r="V238" s="263" t="n">
        <v>2.8</v>
      </c>
      <c r="W238" s="263" t="n"/>
      <c r="X238" s="263" t="n"/>
      <c r="Y238" s="263" t="n"/>
      <c r="Z238" s="263" t="n"/>
      <c r="AA238" s="263" t="n"/>
      <c r="AB238" s="263" t="n"/>
      <c r="AC238" s="263" t="n"/>
      <c r="AD238" s="263" t="n"/>
      <c r="AE238" s="263" t="n"/>
      <c r="AF238" s="263" t="n"/>
      <c r="AG238" s="263" t="n"/>
      <c r="AH238" s="263" t="n"/>
      <c r="AI238" s="263" t="n"/>
      <c r="AJ238" s="263" t="n"/>
      <c r="AK238" s="263" t="n"/>
      <c r="AL238" s="263" t="n"/>
    </row>
    <row r="239">
      <c r="A239" s="263" t="inlineStr">
        <is>
          <t>신월동</t>
        </is>
      </c>
      <c r="B239" s="263" t="n"/>
      <c r="C239" s="263" t="n"/>
      <c r="D239" s="263" t="n">
        <v>7847</v>
      </c>
      <c r="E239" s="264" t="inlineStr">
        <is>
          <t>은아</t>
        </is>
      </c>
      <c r="F239" s="263" t="n">
        <v>1988.07</v>
      </c>
      <c r="G239" s="263" t="n">
        <v>1550</v>
      </c>
      <c r="H239" s="263">
        <f>2026-F239+1</f>
        <v/>
      </c>
      <c r="I239" s="263" t="n"/>
      <c r="J239" s="263" t="n">
        <v>84</v>
      </c>
      <c r="K239" s="263" t="n">
        <v>74</v>
      </c>
      <c r="L239" s="263" t="n">
        <v>25</v>
      </c>
      <c r="M239" s="263" t="inlineStr">
        <is>
          <t>계단식</t>
        </is>
      </c>
      <c r="N239" s="263" t="n">
        <v>3</v>
      </c>
      <c r="O239" s="263" t="n">
        <v>1</v>
      </c>
      <c r="P239" s="263" t="n">
        <v>220</v>
      </c>
      <c r="Q239" s="263" t="n"/>
      <c r="R239" s="263" t="n"/>
      <c r="S239" s="263" t="n"/>
      <c r="T239" s="263" t="n"/>
      <c r="U239" s="263" t="n">
        <v>6.63</v>
      </c>
      <c r="V239" s="263" t="n">
        <v>4.6</v>
      </c>
      <c r="W239" s="263" t="n"/>
      <c r="X239" s="263" t="n"/>
      <c r="Y239" s="263" t="n"/>
      <c r="Z239" s="263" t="n"/>
      <c r="AA239" s="263" t="n"/>
      <c r="AB239" s="263" t="n"/>
      <c r="AC239" s="263" t="n"/>
      <c r="AD239" s="263" t="n"/>
      <c r="AE239" s="263" t="n"/>
      <c r="AF239" s="263" t="n"/>
      <c r="AG239" s="263" t="n"/>
      <c r="AH239" s="263" t="n"/>
      <c r="AI239" s="263" t="n"/>
      <c r="AJ239" s="263" t="n"/>
      <c r="AK239" s="263" t="n"/>
      <c r="AL239" s="263" t="n"/>
    </row>
    <row r="240">
      <c r="A240" s="263" t="inlineStr">
        <is>
          <t>신월동</t>
        </is>
      </c>
      <c r="B240" s="263" t="n"/>
      <c r="C240" s="263" t="n"/>
      <c r="D240" s="263" t="n">
        <v>7847</v>
      </c>
      <c r="E240" s="264" t="inlineStr">
        <is>
          <t>은아</t>
        </is>
      </c>
      <c r="F240" s="263" t="n">
        <v>1988.07</v>
      </c>
      <c r="G240" s="263" t="n">
        <v>1550</v>
      </c>
      <c r="H240" s="263">
        <f>2026-F240+1</f>
        <v/>
      </c>
      <c r="I240" s="263" t="n"/>
      <c r="J240" s="263" t="n">
        <v>90</v>
      </c>
      <c r="K240" s="263" t="n">
        <v>79</v>
      </c>
      <c r="L240" s="263" t="n">
        <v>27</v>
      </c>
      <c r="M240" s="263" t="inlineStr">
        <is>
          <t>계단식</t>
        </is>
      </c>
      <c r="N240" s="263" t="n">
        <v>3</v>
      </c>
      <c r="O240" s="263" t="n">
        <v>1</v>
      </c>
      <c r="P240" s="263" t="n">
        <v>230</v>
      </c>
      <c r="Q240" s="263" t="n"/>
      <c r="R240" s="263" t="n"/>
      <c r="S240" s="263" t="n"/>
      <c r="T240" s="263" t="n"/>
      <c r="U240" s="263" t="n">
        <v>7.4</v>
      </c>
      <c r="V240" s="263" t="n">
        <v>5.1</v>
      </c>
      <c r="W240" s="263" t="n"/>
      <c r="X240" s="263" t="n"/>
      <c r="Y240" s="263" t="n"/>
      <c r="Z240" s="263" t="n"/>
      <c r="AA240" s="263" t="n"/>
      <c r="AB240" s="263" t="n"/>
      <c r="AC240" s="263" t="n"/>
      <c r="AD240" s="263" t="n"/>
      <c r="AE240" s="263" t="n"/>
      <c r="AF240" s="263" t="n"/>
      <c r="AG240" s="263" t="n"/>
      <c r="AH240" s="263" t="n"/>
      <c r="AI240" s="263" t="n"/>
      <c r="AJ240" s="263" t="n"/>
      <c r="AK240" s="263" t="n"/>
      <c r="AL240" s="263" t="n"/>
    </row>
    <row r="241">
      <c r="A241" s="263" t="inlineStr">
        <is>
          <t>신월동</t>
        </is>
      </c>
      <c r="B241" s="263" t="n"/>
      <c r="C241" s="263" t="n"/>
      <c r="D241" s="263" t="n">
        <v>7847</v>
      </c>
      <c r="E241" s="264" t="inlineStr">
        <is>
          <t>은아</t>
        </is>
      </c>
      <c r="F241" s="263" t="n">
        <v>1988.07</v>
      </c>
      <c r="G241" s="263" t="n">
        <v>1550</v>
      </c>
      <c r="H241" s="263">
        <f>2026-F241+1</f>
        <v/>
      </c>
      <c r="I241" s="263" t="n"/>
      <c r="J241" s="263" t="n">
        <v>96</v>
      </c>
      <c r="K241" s="263" t="n">
        <v>84</v>
      </c>
      <c r="L241" s="263" t="n">
        <v>29</v>
      </c>
      <c r="M241" s="263" t="inlineStr">
        <is>
          <t>계단식</t>
        </is>
      </c>
      <c r="N241" s="263" t="n">
        <v>3</v>
      </c>
      <c r="O241" s="263" t="n">
        <v>1</v>
      </c>
      <c r="P241" s="263" t="n">
        <v>580</v>
      </c>
      <c r="Q241" s="263" t="n"/>
      <c r="R241" s="263" t="n"/>
      <c r="S241" s="263" t="n"/>
      <c r="T241" s="263" t="n"/>
      <c r="U241" s="263" t="n">
        <v>8.1</v>
      </c>
      <c r="V241" s="263" t="n">
        <v>5.8</v>
      </c>
      <c r="W241" s="263" t="n"/>
      <c r="X241" s="263" t="n"/>
      <c r="Y241" s="263" t="n"/>
      <c r="Z241" s="263" t="n"/>
      <c r="AA241" s="263" t="n"/>
      <c r="AB241" s="263" t="n"/>
      <c r="AC241" s="263" t="n"/>
      <c r="AD241" s="263" t="n"/>
      <c r="AE241" s="263" t="n"/>
      <c r="AF241" s="263" t="n"/>
      <c r="AG241" s="263" t="n"/>
      <c r="AH241" s="263" t="n"/>
      <c r="AI241" s="263" t="n"/>
      <c r="AJ241" s="263" t="n"/>
      <c r="AK241" s="263" t="n"/>
      <c r="AL241" s="263" t="n"/>
    </row>
    <row r="242">
      <c r="A242" s="263" t="inlineStr">
        <is>
          <t>신월동</t>
        </is>
      </c>
      <c r="B242" s="263" t="n"/>
      <c r="C242" s="263" t="n"/>
      <c r="D242" s="263" t="n">
        <v>7847</v>
      </c>
      <c r="E242" s="264" t="inlineStr">
        <is>
          <t>은아</t>
        </is>
      </c>
      <c r="F242" s="263" t="n">
        <v>1988.07</v>
      </c>
      <c r="G242" s="263" t="n">
        <v>1550</v>
      </c>
      <c r="H242" s="263">
        <f>2026-F242+1</f>
        <v/>
      </c>
      <c r="I242" s="263" t="n"/>
      <c r="J242" s="263" t="n">
        <v>125</v>
      </c>
      <c r="K242" s="263" t="n">
        <v>111</v>
      </c>
      <c r="L242" s="263" t="n">
        <v>38</v>
      </c>
      <c r="M242" s="263" t="inlineStr">
        <is>
          <t>계단식</t>
        </is>
      </c>
      <c r="N242" s="263" t="n">
        <v>4</v>
      </c>
      <c r="O242" s="263" t="n">
        <v>2</v>
      </c>
      <c r="P242" s="263" t="n">
        <v>160</v>
      </c>
      <c r="Q242" s="263" t="n"/>
      <c r="R242" s="263" t="n"/>
      <c r="S242" s="263" t="n"/>
      <c r="T242" s="263" t="n"/>
      <c r="U242" s="263" t="n">
        <v>10</v>
      </c>
      <c r="V242" s="263" t="n">
        <v>6.98</v>
      </c>
      <c r="W242" s="263" t="n"/>
      <c r="X242" s="263" t="n"/>
      <c r="Y242" s="263" t="n"/>
      <c r="Z242" s="263" t="n"/>
      <c r="AA242" s="263" t="n"/>
      <c r="AB242" s="263" t="n"/>
      <c r="AC242" s="263" t="n"/>
      <c r="AD242" s="263" t="n"/>
      <c r="AE242" s="263" t="n"/>
      <c r="AF242" s="263" t="n"/>
      <c r="AG242" s="263" t="n"/>
      <c r="AH242" s="263" t="n"/>
      <c r="AI242" s="263" t="n"/>
      <c r="AJ242" s="263" t="n"/>
      <c r="AK242" s="263" t="n"/>
      <c r="AL242" s="263" t="n"/>
    </row>
    <row r="243">
      <c r="A243" s="263" t="inlineStr">
        <is>
          <t>신월동</t>
        </is>
      </c>
      <c r="B243" s="263" t="n"/>
      <c r="C243" s="263" t="n"/>
      <c r="D243" s="263" t="n">
        <v>7847</v>
      </c>
      <c r="E243" s="264" t="inlineStr">
        <is>
          <t>은아</t>
        </is>
      </c>
      <c r="F243" s="263" t="n">
        <v>1988.07</v>
      </c>
      <c r="G243" s="263" t="n">
        <v>1550</v>
      </c>
      <c r="H243" s="263">
        <f>2026-F243+1</f>
        <v/>
      </c>
      <c r="I243" s="263" t="n"/>
      <c r="J243" s="263" t="n">
        <v>150</v>
      </c>
      <c r="K243" s="263" t="n">
        <v>134</v>
      </c>
      <c r="L243" s="263" t="n">
        <v>45</v>
      </c>
      <c r="M243" s="263" t="inlineStr">
        <is>
          <t>계단식</t>
        </is>
      </c>
      <c r="N243" s="263" t="n">
        <v>4</v>
      </c>
      <c r="O243" s="263" t="n">
        <v>2</v>
      </c>
      <c r="P243" s="263" t="n">
        <v>50</v>
      </c>
      <c r="Q243" s="263" t="n"/>
      <c r="R243" s="263" t="n"/>
      <c r="S243" s="263" t="n"/>
      <c r="T243" s="263" t="n"/>
      <c r="U243" s="263" t="n">
        <v>9.699999999999999</v>
      </c>
      <c r="V243" s="263" t="n">
        <v>9.699999999999999</v>
      </c>
      <c r="W243" s="263" t="n"/>
      <c r="X243" s="263" t="n"/>
      <c r="Y243" s="263" t="n"/>
      <c r="Z243" s="263" t="n"/>
      <c r="AA243" s="263" t="n"/>
      <c r="AB243" s="263" t="n"/>
      <c r="AC243" s="263" t="n"/>
      <c r="AD243" s="263" t="n"/>
      <c r="AE243" s="263" t="n"/>
      <c r="AF243" s="263" t="n"/>
      <c r="AG243" s="263" t="n"/>
      <c r="AH243" s="263" t="n"/>
      <c r="AI243" s="263" t="n"/>
      <c r="AJ243" s="263" t="n"/>
      <c r="AK243" s="263" t="n"/>
      <c r="AL243" s="263" t="n"/>
    </row>
    <row r="244">
      <c r="A244" s="263" t="inlineStr">
        <is>
          <t>신월동</t>
        </is>
      </c>
      <c r="B244" s="263" t="n"/>
      <c r="C244" s="263" t="n"/>
      <c r="D244" s="263" t="n">
        <v>7847</v>
      </c>
      <c r="E244" s="264" t="inlineStr">
        <is>
          <t>은아</t>
        </is>
      </c>
      <c r="F244" s="263" t="n">
        <v>1988.07</v>
      </c>
      <c r="G244" s="263" t="n">
        <v>1550</v>
      </c>
      <c r="H244" s="263">
        <f>2026-F244+1</f>
        <v/>
      </c>
      <c r="I244" s="263" t="n"/>
      <c r="J244" s="263" t="n">
        <v>189</v>
      </c>
      <c r="K244" s="263" t="n">
        <v>170</v>
      </c>
      <c r="L244" s="263" t="n">
        <v>57</v>
      </c>
      <c r="M244" s="263" t="inlineStr">
        <is>
          <t>계단식</t>
        </is>
      </c>
      <c r="N244" s="263" t="n">
        <v>5</v>
      </c>
      <c r="O244" s="263" t="n">
        <v>2</v>
      </c>
      <c r="P244" s="263" t="n">
        <v>20</v>
      </c>
      <c r="Q244" s="263" t="n"/>
      <c r="R244" s="263" t="n"/>
      <c r="S244" s="263" t="n"/>
      <c r="T244" s="263" t="n"/>
      <c r="U244" s="263" t="n"/>
      <c r="V244" s="263" t="n"/>
      <c r="W244" s="263" t="n"/>
      <c r="X244" s="263" t="n"/>
      <c r="Y244" s="263" t="n"/>
      <c r="Z244" s="263" t="n"/>
      <c r="AA244" s="263" t="n"/>
      <c r="AB244" s="263" t="n"/>
      <c r="AC244" s="263" t="n"/>
      <c r="AD244" s="263" t="n"/>
      <c r="AE244" s="263" t="n"/>
      <c r="AF244" s="263" t="n"/>
      <c r="AG244" s="263" t="n"/>
      <c r="AH244" s="263" t="n"/>
      <c r="AI244" s="263" t="n"/>
      <c r="AJ244" s="263" t="n"/>
      <c r="AK244" s="263" t="n"/>
      <c r="AL244" s="263" t="n"/>
    </row>
    <row r="245">
      <c r="A245" s="458" t="inlineStr">
        <is>
          <t>신촌동</t>
        </is>
      </c>
      <c r="D245" s="458" t="n">
        <v>7853</v>
      </c>
      <c r="E245" s="265" t="inlineStr">
        <is>
          <t>동성1차</t>
        </is>
      </c>
      <c r="F245" s="458" t="n">
        <v>1986.1</v>
      </c>
      <c r="G245" s="458" t="n">
        <v>240</v>
      </c>
      <c r="H245" s="458">
        <f>2026-F245+1</f>
        <v/>
      </c>
      <c r="J245" s="458" t="n">
        <v>69</v>
      </c>
      <c r="K245" s="458" t="n">
        <v>59</v>
      </c>
      <c r="L245" s="458" t="n">
        <v>21</v>
      </c>
      <c r="M245" s="458" t="inlineStr">
        <is>
          <t>계단식</t>
        </is>
      </c>
      <c r="N245" s="458" t="n">
        <v>3</v>
      </c>
      <c r="O245" s="458" t="n">
        <v>1</v>
      </c>
      <c r="P245" s="458" t="n">
        <v>240</v>
      </c>
      <c r="U245" s="458" t="n">
        <v>1.39</v>
      </c>
      <c r="V245" s="458" t="n">
        <v>0.9</v>
      </c>
    </row>
    <row r="246">
      <c r="A246" s="263" t="inlineStr">
        <is>
          <t>신촌동</t>
        </is>
      </c>
      <c r="B246" s="263" t="n"/>
      <c r="C246" s="263" t="n"/>
      <c r="D246" s="263" t="n">
        <v>7854</v>
      </c>
      <c r="E246" s="264" t="inlineStr">
        <is>
          <t>동성2차(21-6)</t>
        </is>
      </c>
      <c r="F246" s="263" t="n">
        <v>1987.08</v>
      </c>
      <c r="G246" s="263" t="n">
        <v>300</v>
      </c>
      <c r="H246" s="263">
        <f>2026-F246+1</f>
        <v/>
      </c>
      <c r="I246" s="263" t="n"/>
      <c r="J246" s="263" t="n">
        <v>66</v>
      </c>
      <c r="K246" s="263" t="n">
        <v>59</v>
      </c>
      <c r="L246" s="263" t="n">
        <v>20</v>
      </c>
      <c r="M246" s="263" t="inlineStr">
        <is>
          <t>계단식</t>
        </is>
      </c>
      <c r="N246" s="263" t="n">
        <v>3</v>
      </c>
      <c r="O246" s="263" t="n">
        <v>1</v>
      </c>
      <c r="P246" s="263" t="n">
        <v>250</v>
      </c>
      <c r="Q246" s="263" t="n"/>
      <c r="R246" s="263" t="n"/>
      <c r="S246" s="263" t="n"/>
      <c r="T246" s="263" t="n"/>
      <c r="U246" s="263" t="n">
        <v>1.4</v>
      </c>
      <c r="V246" s="263" t="n">
        <v>0.9</v>
      </c>
      <c r="W246" s="263" t="n"/>
      <c r="X246" s="263" t="n"/>
      <c r="Y246" s="263" t="n"/>
      <c r="Z246" s="263" t="n"/>
      <c r="AA246" s="263" t="n"/>
      <c r="AB246" s="263" t="n"/>
      <c r="AC246" s="263" t="n"/>
      <c r="AD246" s="263" t="n"/>
      <c r="AE246" s="263" t="n"/>
      <c r="AF246" s="263" t="n"/>
      <c r="AG246" s="263" t="n"/>
      <c r="AH246" s="263" t="n"/>
      <c r="AI246" s="263" t="n"/>
      <c r="AJ246" s="263" t="n"/>
      <c r="AK246" s="263" t="n"/>
      <c r="AL246" s="263" t="n"/>
    </row>
    <row r="247">
      <c r="A247" s="263" t="inlineStr">
        <is>
          <t>신촌동</t>
        </is>
      </c>
      <c r="B247" s="263" t="n"/>
      <c r="C247" s="263" t="n"/>
      <c r="D247" s="263" t="n">
        <v>7854</v>
      </c>
      <c r="E247" s="264" t="inlineStr">
        <is>
          <t>동성2차(21-6)</t>
        </is>
      </c>
      <c r="F247" s="263" t="n">
        <v>1987.08</v>
      </c>
      <c r="G247" s="263" t="n">
        <v>300</v>
      </c>
      <c r="H247" s="263">
        <f>2026-F247+1</f>
        <v/>
      </c>
      <c r="I247" s="263" t="n"/>
      <c r="J247" s="263" t="n">
        <v>66</v>
      </c>
      <c r="K247" s="263" t="n">
        <v>59</v>
      </c>
      <c r="L247" s="263" t="n">
        <v>20</v>
      </c>
      <c r="M247" s="263" t="inlineStr">
        <is>
          <t>계단식</t>
        </is>
      </c>
      <c r="N247" s="263" t="n">
        <v>2</v>
      </c>
      <c r="O247" s="263" t="n">
        <v>1</v>
      </c>
      <c r="P247" s="263" t="n">
        <v>50</v>
      </c>
      <c r="Q247" s="263" t="n"/>
      <c r="R247" s="263" t="n"/>
      <c r="S247" s="263" t="n"/>
      <c r="T247" s="263" t="n"/>
      <c r="U247" s="263" t="n">
        <v>1.4</v>
      </c>
      <c r="V247" s="263" t="n">
        <v>0.9</v>
      </c>
      <c r="W247" s="263" t="n"/>
      <c r="X247" s="263" t="n"/>
      <c r="Y247" s="263" t="n"/>
      <c r="Z247" s="263" t="n"/>
      <c r="AA247" s="263" t="n"/>
      <c r="AB247" s="263" t="n"/>
      <c r="AC247" s="263" t="n"/>
      <c r="AD247" s="263" t="n"/>
      <c r="AE247" s="263" t="n"/>
      <c r="AF247" s="263" t="n"/>
      <c r="AG247" s="263" t="n"/>
      <c r="AH247" s="263" t="n"/>
      <c r="AI247" s="263" t="n"/>
      <c r="AJ247" s="263" t="n"/>
      <c r="AK247" s="263" t="n"/>
      <c r="AL247" s="263" t="n"/>
    </row>
    <row r="248">
      <c r="A248" s="458" t="inlineStr">
        <is>
          <t>신촌동</t>
        </is>
      </c>
      <c r="D248" s="458" t="n">
        <v>16828</v>
      </c>
      <c r="E248" s="265" t="inlineStr">
        <is>
          <t>성원</t>
        </is>
      </c>
      <c r="F248" s="458" t="n">
        <v>1987.06</v>
      </c>
      <c r="G248" s="458" t="n">
        <v>410</v>
      </c>
      <c r="H248" s="458">
        <f>2026-F248+1</f>
        <v/>
      </c>
      <c r="J248" s="458" t="n">
        <v>56</v>
      </c>
      <c r="K248" s="458" t="n">
        <v>50</v>
      </c>
      <c r="L248" s="458" t="n">
        <v>17</v>
      </c>
      <c r="M248" s="458" t="inlineStr">
        <is>
          <t>계단식</t>
        </is>
      </c>
      <c r="N248" s="458" t="n">
        <v>2</v>
      </c>
      <c r="O248" s="458" t="n">
        <v>1</v>
      </c>
      <c r="P248" s="458" t="n">
        <v>90</v>
      </c>
      <c r="U248" s="458" t="n">
        <v>1.24</v>
      </c>
      <c r="V248" s="458" t="n">
        <v>0.85</v>
      </c>
    </row>
    <row r="249">
      <c r="A249" s="458" t="inlineStr">
        <is>
          <t>신촌동</t>
        </is>
      </c>
      <c r="D249" s="458" t="n">
        <v>16828</v>
      </c>
      <c r="E249" s="265" t="inlineStr">
        <is>
          <t>성원</t>
        </is>
      </c>
      <c r="F249" s="458" t="n">
        <v>1987.06</v>
      </c>
      <c r="G249" s="458" t="n">
        <v>410</v>
      </c>
      <c r="H249" s="458">
        <f>2026-F249+1</f>
        <v/>
      </c>
      <c r="J249" s="458" t="n">
        <v>57</v>
      </c>
      <c r="K249" s="458" t="n">
        <v>51</v>
      </c>
      <c r="L249" s="458" t="n">
        <v>17</v>
      </c>
      <c r="M249" s="458" t="inlineStr">
        <is>
          <t>계단식</t>
        </is>
      </c>
      <c r="N249" s="458" t="n">
        <v>2</v>
      </c>
      <c r="O249" s="458" t="n">
        <v>1</v>
      </c>
      <c r="P249" s="458" t="n">
        <v>90</v>
      </c>
      <c r="U249" s="458" t="n">
        <v>1.24</v>
      </c>
      <c r="V249" s="458" t="n">
        <v>0.85</v>
      </c>
    </row>
    <row r="250">
      <c r="A250" s="458" t="inlineStr">
        <is>
          <t>신촌동</t>
        </is>
      </c>
      <c r="D250" s="458" t="n">
        <v>16828</v>
      </c>
      <c r="E250" s="265" t="inlineStr">
        <is>
          <t>성원</t>
        </is>
      </c>
      <c r="F250" s="458" t="n">
        <v>1987.06</v>
      </c>
      <c r="G250" s="458" t="n">
        <v>410</v>
      </c>
      <c r="H250" s="458">
        <f>2026-F250+1</f>
        <v/>
      </c>
      <c r="J250" s="458" t="n">
        <v>59</v>
      </c>
      <c r="K250" s="458" t="n">
        <v>52</v>
      </c>
      <c r="L250" s="458" t="n">
        <v>18</v>
      </c>
      <c r="M250" s="458" t="inlineStr">
        <is>
          <t>계단식</t>
        </is>
      </c>
      <c r="N250" s="458" t="n">
        <v>2</v>
      </c>
      <c r="O250" s="458" t="n">
        <v>1</v>
      </c>
      <c r="P250" s="458" t="n">
        <v>90</v>
      </c>
      <c r="U250" s="458" t="n">
        <v>1.24</v>
      </c>
      <c r="V250" s="458" t="n">
        <v>0.8</v>
      </c>
    </row>
    <row r="251">
      <c r="A251" s="458" t="inlineStr">
        <is>
          <t>신촌동</t>
        </is>
      </c>
      <c r="D251" s="458" t="n">
        <v>16828</v>
      </c>
      <c r="E251" s="265" t="inlineStr">
        <is>
          <t>성원</t>
        </is>
      </c>
      <c r="F251" s="458" t="n">
        <v>1987.06</v>
      </c>
      <c r="G251" s="458" t="n">
        <v>410</v>
      </c>
      <c r="H251" s="458">
        <f>2026-F251+1</f>
        <v/>
      </c>
      <c r="J251" s="458" t="n">
        <v>65</v>
      </c>
      <c r="K251" s="458" t="n">
        <v>59</v>
      </c>
      <c r="L251" s="458" t="n">
        <v>20</v>
      </c>
      <c r="M251" s="458" t="inlineStr">
        <is>
          <t>계단식</t>
        </is>
      </c>
      <c r="N251" s="458" t="n">
        <v>3</v>
      </c>
      <c r="O251" s="458" t="n">
        <v>1</v>
      </c>
      <c r="P251" s="458" t="n">
        <v>140</v>
      </c>
      <c r="U251" s="458" t="n">
        <v>1.3</v>
      </c>
      <c r="V251" s="458" t="n">
        <v>1</v>
      </c>
    </row>
    <row r="252">
      <c r="A252" s="263" t="inlineStr">
        <is>
          <t>신촌동</t>
        </is>
      </c>
      <c r="B252" s="263" t="n"/>
      <c r="C252" s="263" t="n"/>
      <c r="D252" s="263" t="n">
        <v>7856</v>
      </c>
      <c r="E252" s="264" t="inlineStr">
        <is>
          <t>양곡상가(주상복합)</t>
        </is>
      </c>
      <c r="F252" s="263" t="n">
        <v>1979.09</v>
      </c>
      <c r="G252" s="263" t="n">
        <v>330</v>
      </c>
      <c r="H252" s="263">
        <f>2026-F252+1</f>
        <v/>
      </c>
      <c r="I252" s="263" t="n"/>
      <c r="J252" s="263" t="n">
        <v>82</v>
      </c>
      <c r="K252" s="263" t="n">
        <v>62</v>
      </c>
      <c r="L252" s="263" t="n">
        <v>25</v>
      </c>
      <c r="M252" s="263" t="inlineStr">
        <is>
          <t>복도식</t>
        </is>
      </c>
      <c r="N252" s="263" t="n">
        <v>2</v>
      </c>
      <c r="O252" s="263" t="n">
        <v>1</v>
      </c>
      <c r="P252" s="263" t="n">
        <v>264</v>
      </c>
      <c r="Q252" s="263" t="n"/>
      <c r="R252" s="263" t="n"/>
      <c r="S252" s="263" t="n"/>
      <c r="T252" s="263" t="n"/>
      <c r="U252" s="263" t="n">
        <v>0.83</v>
      </c>
      <c r="V252" s="263" t="n">
        <v>0.57</v>
      </c>
      <c r="W252" s="263" t="n"/>
      <c r="X252" s="263" t="n"/>
      <c r="Y252" s="263" t="n"/>
      <c r="Z252" s="263" t="n"/>
      <c r="AA252" s="263" t="n"/>
      <c r="AB252" s="263" t="n"/>
      <c r="AC252" s="263" t="n"/>
      <c r="AD252" s="263" t="n"/>
      <c r="AE252" s="263" t="n"/>
      <c r="AF252" s="263" t="n"/>
      <c r="AG252" s="263" t="n"/>
      <c r="AH252" s="263" t="n"/>
      <c r="AI252" s="263" t="n"/>
      <c r="AJ252" s="263" t="n"/>
      <c r="AK252" s="263" t="n"/>
      <c r="AL252" s="263" t="n"/>
    </row>
    <row r="253">
      <c r="A253" s="263" t="inlineStr">
        <is>
          <t>신촌동</t>
        </is>
      </c>
      <c r="B253" s="263" t="n"/>
      <c r="C253" s="263" t="n"/>
      <c r="D253" s="263" t="n">
        <v>7856</v>
      </c>
      <c r="E253" s="264" t="inlineStr">
        <is>
          <t>양곡상가(주상복합)</t>
        </is>
      </c>
      <c r="F253" s="263" t="n">
        <v>1979.09</v>
      </c>
      <c r="G253" s="263" t="n">
        <v>330</v>
      </c>
      <c r="H253" s="263">
        <f>2026-F253+1</f>
        <v/>
      </c>
      <c r="I253" s="263" t="n"/>
      <c r="J253" s="263" t="n">
        <v>105</v>
      </c>
      <c r="K253" s="263" t="n">
        <v>82</v>
      </c>
      <c r="L253" s="263" t="n">
        <v>32</v>
      </c>
      <c r="M253" s="263" t="inlineStr">
        <is>
          <t>복도식</t>
        </is>
      </c>
      <c r="N253" s="263" t="n">
        <v>3</v>
      </c>
      <c r="O253" s="263" t="n">
        <v>1</v>
      </c>
      <c r="P253" s="263" t="n">
        <v>66</v>
      </c>
      <c r="Q253" s="263" t="n"/>
      <c r="R253" s="263" t="n"/>
      <c r="S253" s="263" t="n"/>
      <c r="T253" s="263" t="n"/>
      <c r="U253" s="263" t="n">
        <v>1.08</v>
      </c>
      <c r="V253" s="263" t="n">
        <v>0.85</v>
      </c>
      <c r="W253" s="263" t="n"/>
      <c r="X253" s="263" t="n"/>
      <c r="Y253" s="263" t="n"/>
      <c r="Z253" s="263" t="n"/>
      <c r="AA253" s="263" t="n"/>
      <c r="AB253" s="263" t="n"/>
      <c r="AC253" s="263" t="n"/>
      <c r="AD253" s="263" t="n"/>
      <c r="AE253" s="263" t="n"/>
      <c r="AF253" s="263" t="n"/>
      <c r="AG253" s="263" t="n"/>
      <c r="AH253" s="263" t="n"/>
      <c r="AI253" s="263" t="n"/>
      <c r="AJ253" s="263" t="n"/>
      <c r="AK253" s="263" t="n"/>
      <c r="AL253" s="263" t="n"/>
    </row>
    <row r="254">
      <c r="A254" s="458" t="inlineStr">
        <is>
          <t>신촌동</t>
        </is>
      </c>
      <c r="D254" s="458" t="n">
        <v>27288</v>
      </c>
      <c r="E254" s="265" t="inlineStr">
        <is>
          <t>창원신촌동원로얄듀크</t>
        </is>
      </c>
      <c r="F254" s="458" t="n">
        <v>2008.1</v>
      </c>
      <c r="G254" s="458" t="n">
        <v>225</v>
      </c>
      <c r="H254" s="458">
        <f>2026-F254+1</f>
        <v/>
      </c>
      <c r="J254" s="458" t="n">
        <v>110</v>
      </c>
      <c r="K254" s="458" t="n">
        <v>84</v>
      </c>
      <c r="L254" s="458" t="n">
        <v>33</v>
      </c>
      <c r="M254" s="458" t="inlineStr">
        <is>
          <t>복합식</t>
        </is>
      </c>
      <c r="N254" s="458" t="n">
        <v>3</v>
      </c>
      <c r="O254" s="458" t="n">
        <v>2</v>
      </c>
      <c r="P254" s="458" t="n">
        <v>145</v>
      </c>
      <c r="U254" s="458" t="n">
        <v>3.1</v>
      </c>
      <c r="V254" s="458" t="n">
        <v>2.55</v>
      </c>
    </row>
    <row r="255">
      <c r="A255" s="458" t="inlineStr">
        <is>
          <t>신촌동</t>
        </is>
      </c>
      <c r="D255" s="458" t="n">
        <v>27288</v>
      </c>
      <c r="E255" s="265" t="inlineStr">
        <is>
          <t>창원신촌동원로얄듀크</t>
        </is>
      </c>
      <c r="F255" s="458" t="n">
        <v>2008.1</v>
      </c>
      <c r="G255" s="458" t="n">
        <v>225</v>
      </c>
      <c r="H255" s="458">
        <f>2026-F255+1</f>
        <v/>
      </c>
      <c r="J255" s="458" t="n">
        <v>148</v>
      </c>
      <c r="K255" s="458" t="n">
        <v>121</v>
      </c>
      <c r="L255" s="458" t="n">
        <v>45</v>
      </c>
      <c r="M255" s="458" t="inlineStr">
        <is>
          <t>복합식</t>
        </is>
      </c>
      <c r="N255" s="458" t="n">
        <v>4</v>
      </c>
      <c r="O255" s="458" t="n">
        <v>2</v>
      </c>
      <c r="P255" s="458" t="n">
        <v>80</v>
      </c>
      <c r="U255" s="458" t="n">
        <v>3.9</v>
      </c>
      <c r="V255" s="458" t="n">
        <v>3</v>
      </c>
    </row>
    <row r="256">
      <c r="A256" s="263" t="inlineStr">
        <is>
          <t>안민동</t>
        </is>
      </c>
      <c r="B256" s="263" t="n"/>
      <c r="C256" s="263" t="n"/>
      <c r="D256" s="263" t="n">
        <v>15802</v>
      </c>
      <c r="E256" s="264" t="inlineStr">
        <is>
          <t>동부산아이존빌</t>
        </is>
      </c>
      <c r="F256" s="263" t="n">
        <v>2002.03</v>
      </c>
      <c r="G256" s="263" t="n">
        <v>262</v>
      </c>
      <c r="H256" s="263">
        <f>2026-F256+1</f>
        <v/>
      </c>
      <c r="I256" s="263" t="n"/>
      <c r="J256" s="263" t="n">
        <v>81</v>
      </c>
      <c r="K256" s="263" t="n">
        <v>59</v>
      </c>
      <c r="L256" s="263" t="n">
        <v>25</v>
      </c>
      <c r="M256" s="263" t="inlineStr">
        <is>
          <t>계단식</t>
        </is>
      </c>
      <c r="N256" s="263" t="n">
        <v>2</v>
      </c>
      <c r="O256" s="263" t="n">
        <v>1</v>
      </c>
      <c r="P256" s="263" t="n">
        <v>55</v>
      </c>
      <c r="Q256" s="263" t="n"/>
      <c r="R256" s="263" t="n"/>
      <c r="S256" s="263" t="n"/>
      <c r="T256" s="263" t="n"/>
      <c r="U256" s="263" t="n">
        <v>2</v>
      </c>
      <c r="V256" s="263" t="n">
        <v>1.48</v>
      </c>
      <c r="W256" s="263" t="n"/>
      <c r="X256" s="263" t="n"/>
      <c r="Y256" s="263" t="n"/>
      <c r="Z256" s="263" t="n"/>
      <c r="AA256" s="263" t="n"/>
      <c r="AB256" s="263" t="n"/>
      <c r="AC256" s="263" t="n"/>
      <c r="AD256" s="263" t="n"/>
      <c r="AE256" s="263" t="n"/>
      <c r="AF256" s="263" t="n"/>
      <c r="AG256" s="263" t="n"/>
      <c r="AH256" s="263" t="n"/>
      <c r="AI256" s="263" t="n"/>
      <c r="AJ256" s="263" t="n"/>
      <c r="AK256" s="263" t="n"/>
      <c r="AL256" s="263" t="n"/>
    </row>
    <row r="257">
      <c r="A257" s="263" t="inlineStr">
        <is>
          <t>안민동</t>
        </is>
      </c>
      <c r="B257" s="263" t="n"/>
      <c r="C257" s="263" t="n"/>
      <c r="D257" s="263" t="n">
        <v>15802</v>
      </c>
      <c r="E257" s="264" t="inlineStr">
        <is>
          <t>동부산아이존빌</t>
        </is>
      </c>
      <c r="F257" s="263" t="n">
        <v>2002.03</v>
      </c>
      <c r="G257" s="263" t="n">
        <v>262</v>
      </c>
      <c r="H257" s="263">
        <f>2026-F257+1</f>
        <v/>
      </c>
      <c r="I257" s="263" t="n"/>
      <c r="J257" s="263" t="n">
        <v>82</v>
      </c>
      <c r="K257" s="263" t="n">
        <v>59</v>
      </c>
      <c r="L257" s="263" t="n">
        <v>25</v>
      </c>
      <c r="M257" s="263" t="inlineStr">
        <is>
          <t>계단식</t>
        </is>
      </c>
      <c r="N257" s="263" t="n">
        <v>3</v>
      </c>
      <c r="O257" s="263" t="n">
        <v>2</v>
      </c>
      <c r="P257" s="263" t="n">
        <v>115</v>
      </c>
      <c r="Q257" s="263" t="n"/>
      <c r="R257" s="263" t="n"/>
      <c r="S257" s="263" t="n"/>
      <c r="T257" s="263" t="n"/>
      <c r="U257" s="263" t="n">
        <v>2</v>
      </c>
      <c r="V257" s="263" t="n">
        <v>1.48</v>
      </c>
      <c r="W257" s="263" t="n"/>
      <c r="X257" s="263" t="n"/>
      <c r="Y257" s="263" t="n"/>
      <c r="Z257" s="263" t="n"/>
      <c r="AA257" s="263" t="n"/>
      <c r="AB257" s="263" t="n"/>
      <c r="AC257" s="263" t="n"/>
      <c r="AD257" s="263" t="n"/>
      <c r="AE257" s="263" t="n"/>
      <c r="AF257" s="263" t="n"/>
      <c r="AG257" s="263" t="n"/>
      <c r="AH257" s="263" t="n"/>
      <c r="AI257" s="263" t="n"/>
      <c r="AJ257" s="263" t="n"/>
      <c r="AK257" s="263" t="n"/>
      <c r="AL257" s="263" t="n"/>
    </row>
    <row r="258">
      <c r="A258" s="263" t="inlineStr">
        <is>
          <t>안민동</t>
        </is>
      </c>
      <c r="B258" s="263" t="n"/>
      <c r="C258" s="263" t="n"/>
      <c r="D258" s="263" t="n">
        <v>15802</v>
      </c>
      <c r="E258" s="264" t="inlineStr">
        <is>
          <t>동부산아이존빌</t>
        </is>
      </c>
      <c r="F258" s="263" t="n">
        <v>2002.03</v>
      </c>
      <c r="G258" s="263" t="n">
        <v>262</v>
      </c>
      <c r="H258" s="263">
        <f>2026-F258+1</f>
        <v/>
      </c>
      <c r="I258" s="263" t="n"/>
      <c r="J258" s="263" t="n">
        <v>114</v>
      </c>
      <c r="K258" s="263" t="n">
        <v>84</v>
      </c>
      <c r="L258" s="263" t="n">
        <v>34</v>
      </c>
      <c r="M258" s="263" t="inlineStr">
        <is>
          <t>계단식</t>
        </is>
      </c>
      <c r="N258" s="263" t="n">
        <v>3</v>
      </c>
      <c r="O258" s="263" t="n">
        <v>2</v>
      </c>
      <c r="P258" s="263" t="n">
        <v>92</v>
      </c>
      <c r="Q258" s="263" t="n"/>
      <c r="R258" s="263" t="n"/>
      <c r="S258" s="263" t="n"/>
      <c r="T258" s="263" t="n"/>
      <c r="U258" s="263" t="n">
        <v>2.7</v>
      </c>
      <c r="V258" s="263" t="n">
        <v>2</v>
      </c>
      <c r="W258" s="263" t="n"/>
      <c r="X258" s="263" t="n"/>
      <c r="Y258" s="263" t="n"/>
      <c r="Z258" s="263" t="n"/>
      <c r="AA258" s="263" t="n"/>
      <c r="AB258" s="263" t="n"/>
      <c r="AC258" s="263" t="n"/>
      <c r="AD258" s="263" t="n"/>
      <c r="AE258" s="263" t="n"/>
      <c r="AF258" s="263" t="n"/>
      <c r="AG258" s="263" t="n"/>
      <c r="AH258" s="263" t="n"/>
      <c r="AI258" s="263" t="n"/>
      <c r="AJ258" s="263" t="n"/>
      <c r="AK258" s="263" t="n"/>
      <c r="AL258" s="263" t="n"/>
    </row>
    <row r="259">
      <c r="A259" s="458" t="inlineStr">
        <is>
          <t>안민동</t>
        </is>
      </c>
      <c r="D259" s="458" t="n">
        <v>141478</v>
      </c>
      <c r="E259" s="265" t="inlineStr">
        <is>
          <t>성산삼정그린코아포레스트1단지</t>
        </is>
      </c>
      <c r="F259" s="458" t="n">
        <v>2024.05</v>
      </c>
      <c r="G259" s="458" t="n">
        <v>401</v>
      </c>
      <c r="H259" s="458">
        <f>2026-F259+1</f>
        <v/>
      </c>
      <c r="J259" s="458" t="n">
        <v>100</v>
      </c>
      <c r="K259" s="458" t="n">
        <v>75</v>
      </c>
      <c r="L259" s="458" t="n">
        <v>30</v>
      </c>
      <c r="M259" s="458" t="inlineStr">
        <is>
          <t>계단식</t>
        </is>
      </c>
      <c r="N259" s="458" t="n">
        <v>3</v>
      </c>
      <c r="O259" s="458" t="n">
        <v>2</v>
      </c>
      <c r="P259" s="458" t="n">
        <v>195</v>
      </c>
    </row>
    <row r="260">
      <c r="A260" s="458" t="inlineStr">
        <is>
          <t>안민동</t>
        </is>
      </c>
      <c r="D260" s="458" t="n">
        <v>141478</v>
      </c>
      <c r="E260" s="265" t="inlineStr">
        <is>
          <t>성산삼정그린코아포레스트1단지</t>
        </is>
      </c>
      <c r="F260" s="458" t="n">
        <v>2024.05</v>
      </c>
      <c r="G260" s="458" t="n">
        <v>401</v>
      </c>
      <c r="H260" s="458">
        <f>2026-F260+1</f>
        <v/>
      </c>
      <c r="J260" s="458" t="n">
        <v>108</v>
      </c>
      <c r="K260" s="458" t="n">
        <v>84</v>
      </c>
      <c r="L260" s="458" t="n">
        <v>33</v>
      </c>
      <c r="M260" s="458" t="inlineStr">
        <is>
          <t>계단식</t>
        </is>
      </c>
      <c r="N260" s="458" t="n">
        <v>3</v>
      </c>
      <c r="O260" s="458" t="n">
        <v>2</v>
      </c>
      <c r="P260" s="458" t="n">
        <v>206</v>
      </c>
    </row>
    <row r="261">
      <c r="A261" s="263" t="inlineStr">
        <is>
          <t>안민동</t>
        </is>
      </c>
      <c r="B261" s="263" t="n"/>
      <c r="C261" s="263" t="n"/>
      <c r="D261" s="263" t="n">
        <v>7858</v>
      </c>
      <c r="E261" s="264" t="inlineStr">
        <is>
          <t>안민청솔마을대동</t>
        </is>
      </c>
      <c r="F261" s="263" t="n">
        <v>1999.06</v>
      </c>
      <c r="G261" s="263" t="n">
        <v>920</v>
      </c>
      <c r="H261" s="263">
        <f>2026-F261+1</f>
        <v/>
      </c>
      <c r="I261" s="263" t="n"/>
      <c r="J261" s="263" t="n">
        <v>79</v>
      </c>
      <c r="K261" s="263" t="n">
        <v>59</v>
      </c>
      <c r="L261" s="263" t="n">
        <v>24</v>
      </c>
      <c r="M261" s="263" t="inlineStr">
        <is>
          <t>계단식</t>
        </is>
      </c>
      <c r="N261" s="263" t="n">
        <v>2</v>
      </c>
      <c r="O261" s="263" t="n">
        <v>1</v>
      </c>
      <c r="P261" s="263" t="n">
        <v>217</v>
      </c>
      <c r="Q261" s="263" t="n"/>
      <c r="R261" s="263" t="n"/>
      <c r="S261" s="263" t="n"/>
      <c r="T261" s="263" t="n"/>
      <c r="U261" s="263" t="n">
        <v>1.82</v>
      </c>
      <c r="V261" s="263" t="n">
        <v>1.35</v>
      </c>
      <c r="W261" s="263" t="n"/>
      <c r="X261" s="263" t="n"/>
      <c r="Y261" s="263" t="n"/>
      <c r="Z261" s="263" t="n"/>
      <c r="AA261" s="263" t="n"/>
      <c r="AB261" s="263" t="n"/>
      <c r="AC261" s="263" t="n"/>
      <c r="AD261" s="263" t="n"/>
      <c r="AE261" s="263" t="n"/>
      <c r="AF261" s="263" t="n"/>
      <c r="AG261" s="263" t="n"/>
      <c r="AH261" s="263" t="n"/>
      <c r="AI261" s="263" t="n"/>
      <c r="AJ261" s="263" t="n"/>
      <c r="AK261" s="263" t="n"/>
      <c r="AL261" s="263" t="n"/>
    </row>
    <row r="262">
      <c r="A262" s="263" t="inlineStr">
        <is>
          <t>안민동</t>
        </is>
      </c>
      <c r="B262" s="263" t="n"/>
      <c r="C262" s="263" t="n"/>
      <c r="D262" s="263" t="n">
        <v>7858</v>
      </c>
      <c r="E262" s="264" t="inlineStr">
        <is>
          <t>안민청솔마을대동</t>
        </is>
      </c>
      <c r="F262" s="263" t="n">
        <v>1999.06</v>
      </c>
      <c r="G262" s="263" t="n">
        <v>920</v>
      </c>
      <c r="H262" s="263">
        <f>2026-F262+1</f>
        <v/>
      </c>
      <c r="I262" s="263" t="n"/>
      <c r="J262" s="263" t="n">
        <v>107</v>
      </c>
      <c r="K262" s="263" t="n">
        <v>85</v>
      </c>
      <c r="L262" s="263" t="n">
        <v>32</v>
      </c>
      <c r="M262" s="263" t="inlineStr">
        <is>
          <t>계단식</t>
        </is>
      </c>
      <c r="N262" s="263" t="n">
        <v>3</v>
      </c>
      <c r="O262" s="263" t="n">
        <v>2</v>
      </c>
      <c r="P262" s="263" t="n">
        <v>537</v>
      </c>
      <c r="Q262" s="263" t="n"/>
      <c r="R262" s="263" t="n"/>
      <c r="S262" s="263" t="n"/>
      <c r="T262" s="263" t="n"/>
      <c r="U262" s="263" t="n">
        <v>2.58</v>
      </c>
      <c r="V262" s="263" t="n">
        <v>1.55</v>
      </c>
      <c r="W262" s="263" t="n"/>
      <c r="X262" s="263" t="n"/>
      <c r="Y262" s="263" t="n"/>
      <c r="Z262" s="263" t="n"/>
      <c r="AA262" s="263" t="n"/>
      <c r="AB262" s="263" t="n"/>
      <c r="AC262" s="263" t="n"/>
      <c r="AD262" s="263" t="n"/>
      <c r="AE262" s="263" t="n"/>
      <c r="AF262" s="263" t="n"/>
      <c r="AG262" s="263" t="n"/>
      <c r="AH262" s="263" t="n"/>
      <c r="AI262" s="263" t="n"/>
      <c r="AJ262" s="263" t="n"/>
      <c r="AK262" s="263" t="n"/>
      <c r="AL262" s="263" t="n"/>
    </row>
    <row r="263">
      <c r="A263" s="263" t="inlineStr">
        <is>
          <t>안민동</t>
        </is>
      </c>
      <c r="B263" s="263" t="n"/>
      <c r="C263" s="263" t="n"/>
      <c r="D263" s="263" t="n">
        <v>7858</v>
      </c>
      <c r="E263" s="264" t="inlineStr">
        <is>
          <t>안민청솔마을대동</t>
        </is>
      </c>
      <c r="F263" s="263" t="n">
        <v>1999.06</v>
      </c>
      <c r="G263" s="263" t="n">
        <v>920</v>
      </c>
      <c r="H263" s="263">
        <f>2026-F263+1</f>
        <v/>
      </c>
      <c r="I263" s="263" t="n"/>
      <c r="J263" s="263" t="n">
        <v>147</v>
      </c>
      <c r="K263" s="263" t="n">
        <v>119</v>
      </c>
      <c r="L263" s="263" t="n">
        <v>44</v>
      </c>
      <c r="M263" s="263" t="inlineStr">
        <is>
          <t>계단식</t>
        </is>
      </c>
      <c r="N263" s="263" t="n">
        <v>3</v>
      </c>
      <c r="O263" s="263" t="n">
        <v>2</v>
      </c>
      <c r="P263" s="263" t="n">
        <v>68</v>
      </c>
      <c r="Q263" s="263" t="n"/>
      <c r="R263" s="263" t="n"/>
      <c r="S263" s="263" t="n"/>
      <c r="T263" s="263" t="n"/>
      <c r="U263" s="263" t="n">
        <v>3.6</v>
      </c>
      <c r="V263" s="263" t="n">
        <v>2.65</v>
      </c>
      <c r="W263" s="263" t="n"/>
      <c r="X263" s="263" t="n"/>
      <c r="Y263" s="263" t="n"/>
      <c r="Z263" s="263" t="n"/>
      <c r="AA263" s="263" t="n"/>
      <c r="AB263" s="263" t="n"/>
      <c r="AC263" s="263" t="n"/>
      <c r="AD263" s="263" t="n"/>
      <c r="AE263" s="263" t="n"/>
      <c r="AF263" s="263" t="n"/>
      <c r="AG263" s="263" t="n"/>
      <c r="AH263" s="263" t="n"/>
      <c r="AI263" s="263" t="n"/>
      <c r="AJ263" s="263" t="n"/>
      <c r="AK263" s="263" t="n"/>
      <c r="AL263" s="263" t="n"/>
    </row>
    <row r="264">
      <c r="A264" s="263" t="inlineStr">
        <is>
          <t>안민동</t>
        </is>
      </c>
      <c r="B264" s="263" t="n"/>
      <c r="C264" s="263" t="n"/>
      <c r="D264" s="263" t="n">
        <v>7858</v>
      </c>
      <c r="E264" s="264" t="inlineStr">
        <is>
          <t>안민청솔마을대동</t>
        </is>
      </c>
      <c r="F264" s="263" t="n">
        <v>1999.06</v>
      </c>
      <c r="G264" s="263" t="n">
        <v>920</v>
      </c>
      <c r="H264" s="263">
        <f>2026-F264+1</f>
        <v/>
      </c>
      <c r="I264" s="263" t="n"/>
      <c r="J264" s="263" t="n">
        <v>181</v>
      </c>
      <c r="K264" s="263" t="n">
        <v>149</v>
      </c>
      <c r="L264" s="263" t="n">
        <v>55</v>
      </c>
      <c r="M264" s="263" t="inlineStr">
        <is>
          <t>계단식</t>
        </is>
      </c>
      <c r="N264" s="263" t="n">
        <v>4</v>
      </c>
      <c r="O264" s="263" t="n">
        <v>2</v>
      </c>
      <c r="P264" s="263" t="n">
        <v>98</v>
      </c>
      <c r="Q264" s="263" t="n"/>
      <c r="R264" s="263" t="n"/>
      <c r="S264" s="263" t="n"/>
      <c r="T264" s="263" t="n"/>
      <c r="U264" s="263" t="n">
        <v>3.25</v>
      </c>
      <c r="V264" s="263" t="n">
        <v>2.89</v>
      </c>
      <c r="W264" s="263" t="n"/>
      <c r="X264" s="263" t="n"/>
      <c r="Y264" s="263" t="n"/>
      <c r="Z264" s="263" t="n"/>
      <c r="AA264" s="263" t="n"/>
      <c r="AB264" s="263" t="n"/>
      <c r="AC264" s="263" t="n"/>
      <c r="AD264" s="263" t="n"/>
      <c r="AE264" s="263" t="n"/>
      <c r="AF264" s="263" t="n"/>
      <c r="AG264" s="263" t="n"/>
      <c r="AH264" s="263" t="n"/>
      <c r="AI264" s="263" t="n"/>
      <c r="AJ264" s="263" t="n"/>
      <c r="AK264" s="263" t="n"/>
      <c r="AL264" s="263" t="n"/>
    </row>
    <row r="265">
      <c r="A265" s="458" t="inlineStr">
        <is>
          <t>안민동</t>
        </is>
      </c>
      <c r="D265" s="458" t="n">
        <v>7862</v>
      </c>
      <c r="E265" s="265" t="inlineStr">
        <is>
          <t>한솔마을대동</t>
        </is>
      </c>
      <c r="F265" s="458" t="n">
        <v>1999.05</v>
      </c>
      <c r="G265" s="458" t="n">
        <v>640</v>
      </c>
      <c r="H265" s="458">
        <f>2026-F265+1</f>
        <v/>
      </c>
      <c r="J265" s="458" t="n">
        <v>75</v>
      </c>
      <c r="K265" s="458" t="n">
        <v>59</v>
      </c>
      <c r="L265" s="458" t="n">
        <v>23</v>
      </c>
      <c r="M265" s="458" t="inlineStr">
        <is>
          <t>계단식</t>
        </is>
      </c>
      <c r="N265" s="458" t="n">
        <v>3</v>
      </c>
      <c r="O265" s="458" t="n">
        <v>1</v>
      </c>
      <c r="P265" s="458" t="n">
        <v>140</v>
      </c>
      <c r="U265" s="458" t="n">
        <v>1.82</v>
      </c>
      <c r="V265" s="458" t="n">
        <v>1.35</v>
      </c>
    </row>
    <row r="266">
      <c r="A266" s="458" t="inlineStr">
        <is>
          <t>안민동</t>
        </is>
      </c>
      <c r="D266" s="458" t="n">
        <v>7862</v>
      </c>
      <c r="E266" s="265" t="inlineStr">
        <is>
          <t>한솔마을대동</t>
        </is>
      </c>
      <c r="F266" s="458" t="n">
        <v>1999.05</v>
      </c>
      <c r="G266" s="458" t="n">
        <v>640</v>
      </c>
      <c r="H266" s="458">
        <f>2026-F266+1</f>
        <v/>
      </c>
      <c r="J266" s="458" t="n">
        <v>108</v>
      </c>
      <c r="K266" s="458" t="n">
        <v>84</v>
      </c>
      <c r="L266" s="458" t="n">
        <v>33</v>
      </c>
      <c r="M266" s="458" t="inlineStr">
        <is>
          <t>계단식</t>
        </is>
      </c>
      <c r="N266" s="458" t="n">
        <v>3</v>
      </c>
      <c r="O266" s="458" t="n">
        <v>2</v>
      </c>
      <c r="P266" s="458" t="n">
        <v>500</v>
      </c>
      <c r="U266" s="458" t="n">
        <v>2.58</v>
      </c>
      <c r="V266" s="458" t="n">
        <v>1.55</v>
      </c>
    </row>
    <row r="267">
      <c r="A267" s="263" t="inlineStr">
        <is>
          <t>외동</t>
        </is>
      </c>
      <c r="B267" s="263" t="n"/>
      <c r="C267" s="263" t="n"/>
      <c r="D267" s="263" t="n">
        <v>101485</v>
      </c>
      <c r="E267" s="264" t="inlineStr">
        <is>
          <t>월드메르디앙이스턴애비뉴</t>
        </is>
      </c>
      <c r="F267" s="263" t="n">
        <v>2009.01</v>
      </c>
      <c r="G267" s="263" t="n">
        <v>439</v>
      </c>
      <c r="H267" s="263">
        <f>2026-F267+1</f>
        <v/>
      </c>
      <c r="I267" s="263" t="n"/>
      <c r="J267" s="263" t="n">
        <v>77</v>
      </c>
      <c r="K267" s="263" t="n">
        <v>59</v>
      </c>
      <c r="L267" s="263" t="n">
        <v>23</v>
      </c>
      <c r="M267" s="263" t="inlineStr">
        <is>
          <t>계단식</t>
        </is>
      </c>
      <c r="N267" s="263" t="n">
        <v>3</v>
      </c>
      <c r="O267" s="263" t="n">
        <v>2</v>
      </c>
      <c r="P267" s="263" t="n">
        <v>150</v>
      </c>
      <c r="Q267" s="263" t="n"/>
      <c r="R267" s="263" t="n"/>
      <c r="S267" s="263" t="n"/>
      <c r="T267" s="263" t="n"/>
      <c r="U267" s="263" t="n">
        <v>2.47</v>
      </c>
      <c r="V267" s="263" t="n">
        <v>2</v>
      </c>
      <c r="W267" s="263" t="n"/>
      <c r="X267" s="263" t="n"/>
      <c r="Y267" s="263" t="n"/>
      <c r="Z267" s="263" t="n"/>
      <c r="AA267" s="263" t="n"/>
      <c r="AB267" s="263" t="n"/>
      <c r="AC267" s="263" t="n"/>
      <c r="AD267" s="263" t="n"/>
      <c r="AE267" s="263" t="n"/>
      <c r="AF267" s="263" t="n"/>
      <c r="AG267" s="263" t="n"/>
      <c r="AH267" s="263" t="n"/>
      <c r="AI267" s="263" t="n"/>
      <c r="AJ267" s="263" t="n"/>
      <c r="AK267" s="263" t="n"/>
      <c r="AL267" s="263" t="n"/>
    </row>
    <row r="268">
      <c r="A268" s="263" t="inlineStr">
        <is>
          <t>외동</t>
        </is>
      </c>
      <c r="B268" s="263" t="n"/>
      <c r="C268" s="263" t="n"/>
      <c r="D268" s="263" t="n">
        <v>101485</v>
      </c>
      <c r="E268" s="264" t="inlineStr">
        <is>
          <t>월드메르디앙이스턴애비뉴</t>
        </is>
      </c>
      <c r="F268" s="263" t="n">
        <v>2009.01</v>
      </c>
      <c r="G268" s="263" t="n">
        <v>439</v>
      </c>
      <c r="H268" s="263">
        <f>2026-F268+1</f>
        <v/>
      </c>
      <c r="I268" s="263" t="n"/>
      <c r="J268" s="263" t="n">
        <v>107</v>
      </c>
      <c r="K268" s="263" t="n">
        <v>84</v>
      </c>
      <c r="L268" s="263" t="n">
        <v>32</v>
      </c>
      <c r="M268" s="263" t="inlineStr">
        <is>
          <t>계단식</t>
        </is>
      </c>
      <c r="N268" s="263" t="n">
        <v>3</v>
      </c>
      <c r="O268" s="263" t="n">
        <v>2</v>
      </c>
      <c r="P268" s="263" t="n">
        <v>205</v>
      </c>
      <c r="Q268" s="263" t="n"/>
      <c r="R268" s="263" t="n"/>
      <c r="S268" s="263" t="n"/>
      <c r="T268" s="263" t="n"/>
      <c r="U268" s="263" t="n">
        <v>3.22</v>
      </c>
      <c r="V268" s="263" t="n">
        <v>2.7</v>
      </c>
      <c r="W268" s="263" t="n"/>
      <c r="X268" s="263" t="n"/>
      <c r="Y268" s="263" t="n"/>
      <c r="Z268" s="263" t="n"/>
      <c r="AA268" s="263" t="n"/>
      <c r="AB268" s="263" t="n"/>
      <c r="AC268" s="263" t="n"/>
      <c r="AD268" s="263" t="n"/>
      <c r="AE268" s="263" t="n"/>
      <c r="AF268" s="263" t="n"/>
      <c r="AG268" s="263" t="n"/>
      <c r="AH268" s="263" t="n"/>
      <c r="AI268" s="263" t="n"/>
      <c r="AJ268" s="263" t="n"/>
      <c r="AK268" s="263" t="n"/>
      <c r="AL268" s="263" t="n"/>
    </row>
    <row r="269">
      <c r="A269" s="263" t="inlineStr">
        <is>
          <t>외동</t>
        </is>
      </c>
      <c r="B269" s="263" t="n"/>
      <c r="C269" s="263" t="n"/>
      <c r="D269" s="263" t="n">
        <v>101485</v>
      </c>
      <c r="E269" s="264" t="inlineStr">
        <is>
          <t>월드메르디앙이스턴애비뉴</t>
        </is>
      </c>
      <c r="F269" s="263" t="n">
        <v>2009.01</v>
      </c>
      <c r="G269" s="263" t="n">
        <v>439</v>
      </c>
      <c r="H269" s="263">
        <f>2026-F269+1</f>
        <v/>
      </c>
      <c r="I269" s="263" t="n"/>
      <c r="J269" s="263" t="n">
        <v>143</v>
      </c>
      <c r="K269" s="263" t="n">
        <v>115</v>
      </c>
      <c r="L269" s="263" t="n">
        <v>43</v>
      </c>
      <c r="M269" s="263" t="inlineStr">
        <is>
          <t>계단식</t>
        </is>
      </c>
      <c r="N269" s="263" t="n">
        <v>4</v>
      </c>
      <c r="O269" s="263" t="n">
        <v>2</v>
      </c>
      <c r="P269" s="263" t="n">
        <v>84</v>
      </c>
      <c r="Q269" s="263" t="n"/>
      <c r="R269" s="263" t="n"/>
      <c r="S269" s="263" t="n"/>
      <c r="T269" s="263" t="n"/>
      <c r="U269" s="263" t="n">
        <v>3.46</v>
      </c>
      <c r="V269" s="263" t="n">
        <v>3.43</v>
      </c>
      <c r="W269" s="263" t="n"/>
      <c r="X269" s="263" t="n"/>
      <c r="Y269" s="263" t="n"/>
      <c r="Z269" s="263" t="n"/>
      <c r="AA269" s="263" t="n"/>
      <c r="AB269" s="263" t="n"/>
      <c r="AC269" s="263" t="n"/>
      <c r="AD269" s="263" t="n"/>
      <c r="AE269" s="263" t="n"/>
      <c r="AF269" s="263" t="n"/>
      <c r="AG269" s="263" t="n"/>
      <c r="AH269" s="263" t="n"/>
      <c r="AI269" s="263" t="n"/>
      <c r="AJ269" s="263" t="n"/>
      <c r="AK269" s="263" t="n"/>
      <c r="AL269" s="263" t="n"/>
    </row>
    <row r="270">
      <c r="A270" s="458" t="inlineStr">
        <is>
          <t>용호동</t>
        </is>
      </c>
      <c r="D270" s="458" t="n">
        <v>14858</v>
      </c>
      <c r="E270" s="265" t="inlineStr">
        <is>
          <t>롯데맨션1단지</t>
        </is>
      </c>
      <c r="F270" s="458" t="n">
        <v>1984.11</v>
      </c>
      <c r="G270" s="458" t="n">
        <v>600</v>
      </c>
      <c r="H270" s="458">
        <f>2026-F270+1</f>
        <v/>
      </c>
      <c r="J270" s="458" t="n">
        <v>74</v>
      </c>
      <c r="K270" s="458" t="n">
        <v>67</v>
      </c>
      <c r="L270" s="458" t="n">
        <v>22</v>
      </c>
      <c r="M270" s="458" t="inlineStr">
        <is>
          <t>계단식</t>
        </is>
      </c>
      <c r="N270" s="458" t="n">
        <v>3</v>
      </c>
      <c r="O270" s="458" t="n">
        <v>1</v>
      </c>
      <c r="P270" s="458" t="n">
        <v>160</v>
      </c>
      <c r="U270" s="458" t="n">
        <v>6.9</v>
      </c>
      <c r="V270" s="458" t="n">
        <v>5.6</v>
      </c>
    </row>
    <row r="271">
      <c r="A271" s="458" t="inlineStr">
        <is>
          <t>용호동</t>
        </is>
      </c>
      <c r="D271" s="458" t="n">
        <v>14858</v>
      </c>
      <c r="E271" s="265" t="inlineStr">
        <is>
          <t>롯데맨션1단지</t>
        </is>
      </c>
      <c r="F271" s="458" t="n">
        <v>1984.11</v>
      </c>
      <c r="G271" s="458" t="n">
        <v>600</v>
      </c>
      <c r="H271" s="458">
        <f>2026-F271+1</f>
        <v/>
      </c>
      <c r="J271" s="458" t="n">
        <v>86</v>
      </c>
      <c r="K271" s="458" t="n">
        <v>79</v>
      </c>
      <c r="L271" s="458" t="n">
        <v>26</v>
      </c>
      <c r="M271" s="458" t="inlineStr">
        <is>
          <t>계단식</t>
        </is>
      </c>
      <c r="N271" s="458" t="n">
        <v>3</v>
      </c>
      <c r="O271" s="458" t="n">
        <v>1</v>
      </c>
      <c r="P271" s="458" t="n">
        <v>210</v>
      </c>
      <c r="U271" s="458" t="n">
        <v>7.9</v>
      </c>
      <c r="V271" s="458" t="n">
        <v>6.4</v>
      </c>
    </row>
    <row r="272">
      <c r="A272" s="458" t="inlineStr">
        <is>
          <t>용호동</t>
        </is>
      </c>
      <c r="D272" s="458" t="n">
        <v>14858</v>
      </c>
      <c r="E272" s="265" t="inlineStr">
        <is>
          <t>롯데맨션1단지</t>
        </is>
      </c>
      <c r="F272" s="458" t="n">
        <v>1984.11</v>
      </c>
      <c r="G272" s="458" t="n">
        <v>600</v>
      </c>
      <c r="H272" s="458">
        <f>2026-F272+1</f>
        <v/>
      </c>
      <c r="J272" s="458" t="n">
        <v>86</v>
      </c>
      <c r="K272" s="458" t="n">
        <v>82</v>
      </c>
      <c r="L272" s="458" t="n">
        <v>26</v>
      </c>
      <c r="M272" s="458" t="inlineStr">
        <is>
          <t>계단식</t>
        </is>
      </c>
      <c r="N272" s="458" t="n">
        <v>3</v>
      </c>
      <c r="O272" s="458" t="n">
        <v>1</v>
      </c>
      <c r="P272" s="458" t="n">
        <v>80</v>
      </c>
      <c r="U272" s="458" t="n">
        <v>7.98</v>
      </c>
      <c r="V272" s="458" t="n">
        <v>5.85</v>
      </c>
    </row>
    <row r="273">
      <c r="A273" s="458" t="inlineStr">
        <is>
          <t>용호동</t>
        </is>
      </c>
      <c r="D273" s="458" t="n">
        <v>14858</v>
      </c>
      <c r="E273" s="265" t="inlineStr">
        <is>
          <t>롯데맨션1단지</t>
        </is>
      </c>
      <c r="F273" s="458" t="n">
        <v>1984.11</v>
      </c>
      <c r="G273" s="458" t="n">
        <v>600</v>
      </c>
      <c r="H273" s="458">
        <f>2026-F273+1</f>
        <v/>
      </c>
      <c r="J273" s="458" t="n">
        <v>105</v>
      </c>
      <c r="K273" s="458" t="n">
        <v>99</v>
      </c>
      <c r="L273" s="458" t="n">
        <v>32</v>
      </c>
      <c r="M273" s="458" t="inlineStr">
        <is>
          <t>계단식</t>
        </is>
      </c>
      <c r="N273" s="458" t="n">
        <v>4</v>
      </c>
      <c r="O273" s="458" t="n">
        <v>1</v>
      </c>
      <c r="P273" s="458" t="n">
        <v>30</v>
      </c>
      <c r="U273" s="458" t="n">
        <v>8.35</v>
      </c>
    </row>
    <row r="274">
      <c r="A274" s="458" t="inlineStr">
        <is>
          <t>용호동</t>
        </is>
      </c>
      <c r="D274" s="458" t="n">
        <v>14858</v>
      </c>
      <c r="E274" s="265" t="inlineStr">
        <is>
          <t>롯데맨션1단지</t>
        </is>
      </c>
      <c r="F274" s="458" t="n">
        <v>1984.11</v>
      </c>
      <c r="G274" s="458" t="n">
        <v>600</v>
      </c>
      <c r="H274" s="458">
        <f>2026-F274+1</f>
        <v/>
      </c>
      <c r="J274" s="458" t="n">
        <v>120</v>
      </c>
      <c r="K274" s="458" t="n">
        <v>113</v>
      </c>
      <c r="L274" s="458" t="n">
        <v>36</v>
      </c>
      <c r="M274" s="458" t="inlineStr">
        <is>
          <t>계단식</t>
        </is>
      </c>
      <c r="N274" s="458" t="n">
        <v>4</v>
      </c>
      <c r="O274" s="458" t="n">
        <v>2</v>
      </c>
      <c r="P274" s="458" t="n">
        <v>30</v>
      </c>
      <c r="U274" s="458" t="n">
        <v>9.5</v>
      </c>
    </row>
    <row r="275">
      <c r="A275" s="458" t="inlineStr">
        <is>
          <t>용호동</t>
        </is>
      </c>
      <c r="D275" s="458" t="n">
        <v>14858</v>
      </c>
      <c r="E275" s="265" t="inlineStr">
        <is>
          <t>롯데맨션1단지</t>
        </is>
      </c>
      <c r="F275" s="458" t="n">
        <v>1984.11</v>
      </c>
      <c r="G275" s="458" t="n">
        <v>600</v>
      </c>
      <c r="H275" s="458">
        <f>2026-F275+1</f>
        <v/>
      </c>
      <c r="J275" s="458" t="n">
        <v>120</v>
      </c>
      <c r="K275" s="458" t="n">
        <v>112</v>
      </c>
      <c r="L275" s="458" t="n">
        <v>36</v>
      </c>
      <c r="M275" s="458" t="inlineStr">
        <is>
          <t>계단식</t>
        </is>
      </c>
      <c r="N275" s="458" t="n">
        <v>3</v>
      </c>
      <c r="O275" s="458" t="n">
        <v>2</v>
      </c>
      <c r="P275" s="458" t="n">
        <v>30</v>
      </c>
      <c r="U275" s="458" t="n">
        <v>9.5</v>
      </c>
    </row>
    <row r="276">
      <c r="A276" s="458" t="inlineStr">
        <is>
          <t>용호동</t>
        </is>
      </c>
      <c r="D276" s="458" t="n">
        <v>14858</v>
      </c>
      <c r="E276" s="265" t="inlineStr">
        <is>
          <t>롯데맨션1단지</t>
        </is>
      </c>
      <c r="F276" s="458" t="n">
        <v>1984.11</v>
      </c>
      <c r="G276" s="458" t="n">
        <v>600</v>
      </c>
      <c r="H276" s="458">
        <f>2026-F276+1</f>
        <v/>
      </c>
      <c r="J276" s="458" t="n">
        <v>139</v>
      </c>
      <c r="K276" s="458" t="n">
        <v>132</v>
      </c>
      <c r="L276" s="458" t="n">
        <v>42</v>
      </c>
      <c r="M276" s="458" t="inlineStr">
        <is>
          <t>계단식</t>
        </is>
      </c>
      <c r="N276" s="458" t="n">
        <v>4</v>
      </c>
      <c r="O276" s="458" t="n">
        <v>2</v>
      </c>
      <c r="P276" s="458" t="n">
        <v>30</v>
      </c>
      <c r="V276" s="458" t="n">
        <v>9.5</v>
      </c>
    </row>
    <row r="277">
      <c r="A277" s="458" t="inlineStr">
        <is>
          <t>용호동</t>
        </is>
      </c>
      <c r="D277" s="458" t="n">
        <v>14858</v>
      </c>
      <c r="E277" s="265" t="inlineStr">
        <is>
          <t>롯데맨션1단지</t>
        </is>
      </c>
      <c r="F277" s="458" t="n">
        <v>1984.11</v>
      </c>
      <c r="G277" s="458" t="n">
        <v>600</v>
      </c>
      <c r="H277" s="458">
        <f>2026-F277+1</f>
        <v/>
      </c>
      <c r="J277" s="458" t="n">
        <v>148</v>
      </c>
      <c r="K277" s="458" t="n">
        <v>141</v>
      </c>
      <c r="L277" s="458" t="n">
        <v>45</v>
      </c>
      <c r="M277" s="458" t="inlineStr">
        <is>
          <t>계단식</t>
        </is>
      </c>
      <c r="N277" s="458" t="n">
        <v>3</v>
      </c>
      <c r="O277" s="458" t="n">
        <v>2</v>
      </c>
      <c r="P277" s="458" t="n">
        <v>30</v>
      </c>
      <c r="V277" s="458" t="n">
        <v>11.8</v>
      </c>
    </row>
    <row r="278">
      <c r="A278" s="263" t="inlineStr">
        <is>
          <t>용호동</t>
        </is>
      </c>
      <c r="B278" s="263" t="n"/>
      <c r="C278" s="263" t="n"/>
      <c r="D278" s="263" t="n">
        <v>141629</v>
      </c>
      <c r="E278" s="264" t="inlineStr">
        <is>
          <t>롯데맨션2단지</t>
        </is>
      </c>
      <c r="F278" s="263" t="n">
        <v>1988.09</v>
      </c>
      <c r="G278" s="263" t="n">
        <v>320</v>
      </c>
      <c r="H278" s="263">
        <f>2026-F278+1</f>
        <v/>
      </c>
      <c r="I278" s="263" t="n"/>
      <c r="J278" s="263" t="n">
        <v>60</v>
      </c>
      <c r="K278" s="263" t="n">
        <v>55</v>
      </c>
      <c r="L278" s="263" t="n">
        <v>18</v>
      </c>
      <c r="M278" s="263" t="inlineStr">
        <is>
          <t>계단식</t>
        </is>
      </c>
      <c r="N278" s="263" t="n">
        <v>3</v>
      </c>
      <c r="O278" s="263" t="n">
        <v>2</v>
      </c>
      <c r="P278" s="263" t="n">
        <v>90</v>
      </c>
      <c r="Q278" s="263" t="n"/>
      <c r="R278" s="263" t="n"/>
      <c r="S278" s="263" t="n"/>
      <c r="T278" s="263" t="n"/>
      <c r="U278" s="263" t="n"/>
      <c r="V278" s="263" t="n"/>
      <c r="W278" s="263" t="n"/>
      <c r="X278" s="263" t="n"/>
      <c r="Y278" s="263" t="n"/>
      <c r="Z278" s="263" t="n"/>
      <c r="AA278" s="263" t="n"/>
      <c r="AB278" s="263" t="n"/>
      <c r="AC278" s="263" t="n"/>
      <c r="AD278" s="263" t="n"/>
      <c r="AE278" s="263" t="n"/>
      <c r="AF278" s="263" t="n"/>
      <c r="AG278" s="263" t="n"/>
      <c r="AH278" s="263" t="n"/>
      <c r="AI278" s="263" t="n"/>
      <c r="AJ278" s="263" t="n"/>
      <c r="AK278" s="263" t="n"/>
      <c r="AL278" s="263" t="n"/>
    </row>
    <row r="279">
      <c r="A279" s="263" t="inlineStr">
        <is>
          <t>용호동</t>
        </is>
      </c>
      <c r="B279" s="263" t="n"/>
      <c r="C279" s="263" t="n"/>
      <c r="D279" s="263" t="n">
        <v>141629</v>
      </c>
      <c r="E279" s="264" t="inlineStr">
        <is>
          <t>롯데맨션2단지</t>
        </is>
      </c>
      <c r="F279" s="263" t="n">
        <v>1988.09</v>
      </c>
      <c r="G279" s="263" t="n">
        <v>320</v>
      </c>
      <c r="H279" s="263">
        <f>2026-F279+1</f>
        <v/>
      </c>
      <c r="I279" s="263" t="n"/>
      <c r="J279" s="263" t="n">
        <v>75</v>
      </c>
      <c r="K279" s="263" t="n">
        <v>68</v>
      </c>
      <c r="L279" s="263" t="n">
        <v>23</v>
      </c>
      <c r="M279" s="263" t="inlineStr">
        <is>
          <t>계단식</t>
        </is>
      </c>
      <c r="N279" s="263" t="n">
        <v>3</v>
      </c>
      <c r="O279" s="263" t="n">
        <v>2</v>
      </c>
      <c r="P279" s="263" t="n">
        <v>50</v>
      </c>
      <c r="Q279" s="263" t="n"/>
      <c r="R279" s="263" t="n"/>
      <c r="S279" s="263" t="n"/>
      <c r="T279" s="263" t="n"/>
      <c r="U279" s="263" t="n"/>
      <c r="V279" s="263" t="n"/>
      <c r="W279" s="263" t="n"/>
      <c r="X279" s="263" t="n"/>
      <c r="Y279" s="263" t="n"/>
      <c r="Z279" s="263" t="n"/>
      <c r="AA279" s="263" t="n"/>
      <c r="AB279" s="263" t="n"/>
      <c r="AC279" s="263" t="n"/>
      <c r="AD279" s="263" t="n"/>
      <c r="AE279" s="263" t="n"/>
      <c r="AF279" s="263" t="n"/>
      <c r="AG279" s="263" t="n"/>
      <c r="AH279" s="263" t="n"/>
      <c r="AI279" s="263" t="n"/>
      <c r="AJ279" s="263" t="n"/>
      <c r="AK279" s="263" t="n"/>
      <c r="AL279" s="263" t="n"/>
    </row>
    <row r="280">
      <c r="A280" s="263" t="inlineStr">
        <is>
          <t>용호동</t>
        </is>
      </c>
      <c r="B280" s="263" t="n"/>
      <c r="C280" s="263" t="n"/>
      <c r="D280" s="263" t="n">
        <v>141629</v>
      </c>
      <c r="E280" s="264" t="inlineStr">
        <is>
          <t>롯데맨션2단지</t>
        </is>
      </c>
      <c r="F280" s="263" t="n">
        <v>1988.09</v>
      </c>
      <c r="G280" s="263" t="n">
        <v>320</v>
      </c>
      <c r="H280" s="263">
        <f>2026-F280+1</f>
        <v/>
      </c>
      <c r="I280" s="263" t="n"/>
      <c r="J280" s="263" t="n">
        <v>86</v>
      </c>
      <c r="K280" s="263" t="n">
        <v>82</v>
      </c>
      <c r="L280" s="263" t="n">
        <v>26</v>
      </c>
      <c r="M280" s="263" t="inlineStr">
        <is>
          <t>계단식</t>
        </is>
      </c>
      <c r="N280" s="263" t="n">
        <v>3</v>
      </c>
      <c r="O280" s="263" t="n">
        <v>2</v>
      </c>
      <c r="P280" s="263" t="n">
        <v>20</v>
      </c>
      <c r="Q280" s="263" t="n"/>
      <c r="R280" s="263" t="n"/>
      <c r="S280" s="263" t="n"/>
      <c r="T280" s="263" t="n"/>
      <c r="U280" s="263" t="n"/>
      <c r="V280" s="263" t="n"/>
      <c r="W280" s="263" t="n"/>
      <c r="X280" s="263" t="n"/>
      <c r="Y280" s="263" t="n"/>
      <c r="Z280" s="263" t="n"/>
      <c r="AA280" s="263" t="n"/>
      <c r="AB280" s="263" t="n"/>
      <c r="AC280" s="263" t="n"/>
      <c r="AD280" s="263" t="n"/>
      <c r="AE280" s="263" t="n"/>
      <c r="AF280" s="263" t="n"/>
      <c r="AG280" s="263" t="n"/>
      <c r="AH280" s="263" t="n"/>
      <c r="AI280" s="263" t="n"/>
      <c r="AJ280" s="263" t="n"/>
      <c r="AK280" s="263" t="n"/>
      <c r="AL280" s="263" t="n"/>
    </row>
    <row r="281">
      <c r="A281" s="263" t="inlineStr">
        <is>
          <t>용호동</t>
        </is>
      </c>
      <c r="B281" s="263" t="n"/>
      <c r="C281" s="263" t="n"/>
      <c r="D281" s="263" t="n">
        <v>141629</v>
      </c>
      <c r="E281" s="264" t="inlineStr">
        <is>
          <t>롯데맨션2단지</t>
        </is>
      </c>
      <c r="F281" s="263" t="n">
        <v>1988.09</v>
      </c>
      <c r="G281" s="263" t="n">
        <v>320</v>
      </c>
      <c r="H281" s="263">
        <f>2026-F281+1</f>
        <v/>
      </c>
      <c r="I281" s="263" t="n"/>
      <c r="J281" s="263" t="n">
        <v>113</v>
      </c>
      <c r="K281" s="263" t="n">
        <v>106</v>
      </c>
      <c r="L281" s="263" t="n">
        <v>34</v>
      </c>
      <c r="M281" s="263" t="inlineStr">
        <is>
          <t>계단식</t>
        </is>
      </c>
      <c r="N281" s="263" t="n">
        <v>3</v>
      </c>
      <c r="O281" s="263" t="n">
        <v>2</v>
      </c>
      <c r="P281" s="263" t="n">
        <v>40</v>
      </c>
      <c r="Q281" s="263" t="n"/>
      <c r="R281" s="263" t="n"/>
      <c r="S281" s="263" t="n"/>
      <c r="T281" s="263" t="n"/>
      <c r="U281" s="263" t="n"/>
      <c r="V281" s="263" t="n"/>
      <c r="W281" s="263" t="n"/>
      <c r="X281" s="263" t="n"/>
      <c r="Y281" s="263" t="n"/>
      <c r="Z281" s="263" t="n"/>
      <c r="AA281" s="263" t="n"/>
      <c r="AB281" s="263" t="n"/>
      <c r="AC281" s="263" t="n"/>
      <c r="AD281" s="263" t="n"/>
      <c r="AE281" s="263" t="n"/>
      <c r="AF281" s="263" t="n"/>
      <c r="AG281" s="263" t="n"/>
      <c r="AH281" s="263" t="n"/>
      <c r="AI281" s="263" t="n"/>
      <c r="AJ281" s="263" t="n"/>
      <c r="AK281" s="263" t="n"/>
      <c r="AL281" s="263" t="n"/>
    </row>
    <row r="282">
      <c r="A282" s="263" t="inlineStr">
        <is>
          <t>용호동</t>
        </is>
      </c>
      <c r="B282" s="263" t="n"/>
      <c r="C282" s="263" t="n"/>
      <c r="D282" s="263" t="n">
        <v>141629</v>
      </c>
      <c r="E282" s="264" t="inlineStr">
        <is>
          <t>롯데맨션2단지</t>
        </is>
      </c>
      <c r="F282" s="263" t="n">
        <v>1988.09</v>
      </c>
      <c r="G282" s="263" t="n">
        <v>320</v>
      </c>
      <c r="H282" s="263">
        <f>2026-F282+1</f>
        <v/>
      </c>
      <c r="I282" s="263" t="n"/>
      <c r="J282" s="263" t="n">
        <v>120</v>
      </c>
      <c r="K282" s="263" t="n">
        <v>112</v>
      </c>
      <c r="L282" s="263" t="n">
        <v>36</v>
      </c>
      <c r="M282" s="263" t="inlineStr">
        <is>
          <t>계단식</t>
        </is>
      </c>
      <c r="N282" s="263" t="n">
        <v>3</v>
      </c>
      <c r="O282" s="263" t="n">
        <v>2</v>
      </c>
      <c r="P282" s="263" t="n">
        <v>60</v>
      </c>
      <c r="Q282" s="263" t="n"/>
      <c r="R282" s="263" t="n"/>
      <c r="S282" s="263" t="n"/>
      <c r="T282" s="263" t="n"/>
      <c r="U282" s="263" t="n"/>
      <c r="V282" s="263" t="n"/>
      <c r="W282" s="263" t="n"/>
      <c r="X282" s="263" t="n"/>
      <c r="Y282" s="263" t="n"/>
      <c r="Z282" s="263" t="n"/>
      <c r="AA282" s="263" t="n"/>
      <c r="AB282" s="263" t="n"/>
      <c r="AC282" s="263" t="n"/>
      <c r="AD282" s="263" t="n"/>
      <c r="AE282" s="263" t="n"/>
      <c r="AF282" s="263" t="n"/>
      <c r="AG282" s="263" t="n"/>
      <c r="AH282" s="263" t="n"/>
      <c r="AI282" s="263" t="n"/>
      <c r="AJ282" s="263" t="n"/>
      <c r="AK282" s="263" t="n"/>
      <c r="AL282" s="263" t="n"/>
    </row>
    <row r="283">
      <c r="A283" s="263" t="inlineStr">
        <is>
          <t>용호동</t>
        </is>
      </c>
      <c r="B283" s="263" t="n"/>
      <c r="C283" s="263" t="n"/>
      <c r="D283" s="263" t="n">
        <v>141629</v>
      </c>
      <c r="E283" s="264" t="inlineStr">
        <is>
          <t>롯데맨션2단지</t>
        </is>
      </c>
      <c r="F283" s="263" t="n">
        <v>1988.09</v>
      </c>
      <c r="G283" s="263" t="n">
        <v>320</v>
      </c>
      <c r="H283" s="263">
        <f>2026-F283+1</f>
        <v/>
      </c>
      <c r="I283" s="263" t="n"/>
      <c r="J283" s="263" t="n">
        <v>148</v>
      </c>
      <c r="K283" s="263" t="n">
        <v>141</v>
      </c>
      <c r="L283" s="263" t="n">
        <v>45</v>
      </c>
      <c r="M283" s="263" t="inlineStr">
        <is>
          <t>계단식</t>
        </is>
      </c>
      <c r="N283" s="263" t="n">
        <v>3</v>
      </c>
      <c r="O283" s="263" t="n">
        <v>2</v>
      </c>
      <c r="P283" s="263" t="n">
        <v>40</v>
      </c>
      <c r="Q283" s="263" t="n"/>
      <c r="R283" s="263" t="n"/>
      <c r="S283" s="263" t="n"/>
      <c r="T283" s="263" t="n"/>
      <c r="U283" s="263" t="n"/>
      <c r="V283" s="263" t="n"/>
      <c r="W283" s="263" t="n"/>
      <c r="X283" s="263" t="n"/>
      <c r="Y283" s="263" t="n"/>
      <c r="Z283" s="263" t="n"/>
      <c r="AA283" s="263" t="n"/>
      <c r="AB283" s="263" t="n"/>
      <c r="AC283" s="263" t="n"/>
      <c r="AD283" s="263" t="n"/>
      <c r="AE283" s="263" t="n"/>
      <c r="AF283" s="263" t="n"/>
      <c r="AG283" s="263" t="n"/>
      <c r="AH283" s="263" t="n"/>
      <c r="AI283" s="263" t="n"/>
      <c r="AJ283" s="263" t="n"/>
      <c r="AK283" s="263" t="n"/>
      <c r="AL283" s="263" t="n"/>
    </row>
    <row r="284">
      <c r="A284" s="263" t="inlineStr">
        <is>
          <t>용호동</t>
        </is>
      </c>
      <c r="B284" s="263" t="n"/>
      <c r="C284" s="263" t="n"/>
      <c r="D284" s="263" t="n">
        <v>141629</v>
      </c>
      <c r="E284" s="264" t="inlineStr">
        <is>
          <t>롯데맨션2단지</t>
        </is>
      </c>
      <c r="F284" s="263" t="n">
        <v>1988.09</v>
      </c>
      <c r="G284" s="263" t="n">
        <v>320</v>
      </c>
      <c r="H284" s="263">
        <f>2026-F284+1</f>
        <v/>
      </c>
      <c r="I284" s="263" t="n"/>
      <c r="J284" s="263" t="n">
        <v>194</v>
      </c>
      <c r="K284" s="263" t="n">
        <v>186</v>
      </c>
      <c r="L284" s="263" t="n">
        <v>59</v>
      </c>
      <c r="M284" s="263" t="inlineStr">
        <is>
          <t>계단식</t>
        </is>
      </c>
      <c r="N284" s="263" t="n">
        <v>3</v>
      </c>
      <c r="O284" s="263" t="n">
        <v>2</v>
      </c>
      <c r="P284" s="263" t="n">
        <v>20</v>
      </c>
      <c r="Q284" s="263" t="n"/>
      <c r="R284" s="263" t="n"/>
      <c r="S284" s="263" t="n"/>
      <c r="T284" s="263" t="n"/>
      <c r="U284" s="263" t="n"/>
      <c r="V284" s="263" t="n"/>
      <c r="W284" s="263" t="n"/>
      <c r="X284" s="263" t="n"/>
      <c r="Y284" s="263" t="n"/>
      <c r="Z284" s="263" t="n"/>
      <c r="AA284" s="263" t="n"/>
      <c r="AB284" s="263" t="n"/>
      <c r="AC284" s="263" t="n"/>
      <c r="AD284" s="263" t="n"/>
      <c r="AE284" s="263" t="n"/>
      <c r="AF284" s="263" t="n"/>
      <c r="AG284" s="263" t="n"/>
      <c r="AH284" s="263" t="n"/>
      <c r="AI284" s="263" t="n"/>
      <c r="AJ284" s="263" t="n"/>
      <c r="AK284" s="263" t="n"/>
      <c r="AL284" s="263" t="n"/>
    </row>
    <row r="285">
      <c r="A285" s="458" t="inlineStr">
        <is>
          <t>용호동</t>
        </is>
      </c>
      <c r="D285" s="458" t="n">
        <v>112307</v>
      </c>
      <c r="E285" s="265" t="inlineStr">
        <is>
          <t>용지더샵레이크파크</t>
        </is>
      </c>
      <c r="F285" s="458" t="n">
        <v>2017.11</v>
      </c>
      <c r="G285" s="458" t="n">
        <v>883</v>
      </c>
      <c r="H285" s="458">
        <f>2026-F285+1</f>
        <v/>
      </c>
      <c r="J285" s="458" t="n">
        <v>85</v>
      </c>
      <c r="K285" s="458" t="n">
        <v>59</v>
      </c>
      <c r="L285" s="458" t="n">
        <v>26</v>
      </c>
      <c r="M285" s="458" t="inlineStr">
        <is>
          <t>계단식</t>
        </is>
      </c>
      <c r="N285" s="458" t="n">
        <v>3</v>
      </c>
      <c r="O285" s="458" t="n">
        <v>2</v>
      </c>
      <c r="P285" s="458" t="n">
        <v>196</v>
      </c>
      <c r="U285" s="458" t="n">
        <v>8</v>
      </c>
      <c r="V285" s="458" t="n">
        <v>5.5</v>
      </c>
    </row>
    <row r="286">
      <c r="A286" s="458" t="inlineStr">
        <is>
          <t>용호동</t>
        </is>
      </c>
      <c r="D286" s="458" t="n">
        <v>112307</v>
      </c>
      <c r="E286" s="265" t="inlineStr">
        <is>
          <t>용지더샵레이크파크</t>
        </is>
      </c>
      <c r="F286" s="458" t="n">
        <v>2017.11</v>
      </c>
      <c r="G286" s="458" t="n">
        <v>883</v>
      </c>
      <c r="H286" s="458">
        <f>2026-F286+1</f>
        <v/>
      </c>
      <c r="J286" s="458" t="n">
        <v>112</v>
      </c>
      <c r="K286" s="458" t="n">
        <v>84</v>
      </c>
      <c r="L286" s="458" t="n">
        <v>34</v>
      </c>
      <c r="M286" s="458" t="inlineStr">
        <is>
          <t>계단식</t>
        </is>
      </c>
      <c r="N286" s="458" t="n">
        <v>3</v>
      </c>
      <c r="O286" s="458" t="n">
        <v>2</v>
      </c>
      <c r="P286" s="458" t="n">
        <v>516</v>
      </c>
      <c r="U286" s="458" t="n">
        <v>11.45</v>
      </c>
      <c r="V286" s="458" t="n">
        <v>7.3</v>
      </c>
    </row>
    <row r="287">
      <c r="A287" s="458" t="inlineStr">
        <is>
          <t>용호동</t>
        </is>
      </c>
      <c r="D287" s="458" t="n">
        <v>112307</v>
      </c>
      <c r="E287" s="265" t="inlineStr">
        <is>
          <t>용지더샵레이크파크</t>
        </is>
      </c>
      <c r="F287" s="458" t="n">
        <v>2017.11</v>
      </c>
      <c r="G287" s="458" t="n">
        <v>883</v>
      </c>
      <c r="H287" s="458">
        <f>2026-F287+1</f>
        <v/>
      </c>
      <c r="J287" s="458" t="n">
        <v>130</v>
      </c>
      <c r="K287" s="458" t="n">
        <v>101</v>
      </c>
      <c r="L287" s="458" t="n">
        <v>39</v>
      </c>
      <c r="M287" s="458" t="inlineStr">
        <is>
          <t>계단식</t>
        </is>
      </c>
      <c r="N287" s="458" t="n">
        <v>4</v>
      </c>
      <c r="O287" s="458" t="n">
        <v>2</v>
      </c>
      <c r="P287" s="458" t="n">
        <v>114</v>
      </c>
      <c r="U287" s="458" t="n">
        <v>14.25</v>
      </c>
      <c r="V287" s="458" t="n">
        <v>11.7</v>
      </c>
    </row>
    <row r="288">
      <c r="A288" s="458" t="inlineStr">
        <is>
          <t>용호동</t>
        </is>
      </c>
      <c r="D288" s="458" t="n">
        <v>112307</v>
      </c>
      <c r="E288" s="265" t="inlineStr">
        <is>
          <t>용지더샵레이크파크</t>
        </is>
      </c>
      <c r="F288" s="458" t="n">
        <v>2017.11</v>
      </c>
      <c r="G288" s="458" t="n">
        <v>883</v>
      </c>
      <c r="H288" s="458">
        <f>2026-F288+1</f>
        <v/>
      </c>
      <c r="J288" s="458" t="n">
        <v>147</v>
      </c>
      <c r="K288" s="458" t="n">
        <v>119</v>
      </c>
      <c r="L288" s="458" t="n">
        <v>44</v>
      </c>
      <c r="M288" s="458" t="inlineStr">
        <is>
          <t>계단식</t>
        </is>
      </c>
      <c r="N288" s="458" t="n">
        <v>4</v>
      </c>
      <c r="O288" s="458" t="n">
        <v>2</v>
      </c>
      <c r="P288" s="458" t="n">
        <v>57</v>
      </c>
      <c r="U288" s="458" t="n">
        <v>17.1</v>
      </c>
      <c r="V288" s="458" t="n">
        <v>14</v>
      </c>
    </row>
    <row r="289">
      <c r="A289" s="263" t="inlineStr">
        <is>
          <t>용호동</t>
        </is>
      </c>
      <c r="B289" s="263" t="n"/>
      <c r="C289" s="263" t="n"/>
      <c r="D289" s="263" t="n">
        <v>16836</v>
      </c>
      <c r="E289" s="264" t="inlineStr">
        <is>
          <t>용지무학</t>
        </is>
      </c>
      <c r="F289" s="263" t="n">
        <v>1987.1</v>
      </c>
      <c r="G289" s="263" t="n">
        <v>1040</v>
      </c>
      <c r="H289" s="263">
        <f>2026-F289+1</f>
        <v/>
      </c>
      <c r="I289" s="263" t="n"/>
      <c r="J289" s="263" t="n">
        <v>60</v>
      </c>
      <c r="K289" s="263" t="n">
        <v>50</v>
      </c>
      <c r="L289" s="263" t="n">
        <v>18</v>
      </c>
      <c r="M289" s="263" t="inlineStr">
        <is>
          <t>계단식</t>
        </is>
      </c>
      <c r="N289" s="263" t="n">
        <v>2</v>
      </c>
      <c r="O289" s="263" t="n">
        <v>1</v>
      </c>
      <c r="P289" s="263" t="n">
        <v>230</v>
      </c>
      <c r="Q289" s="263" t="n"/>
      <c r="R289" s="263" t="n"/>
      <c r="S289" s="263" t="n"/>
      <c r="T289" s="263" t="n"/>
      <c r="U289" s="263" t="n">
        <v>3.99</v>
      </c>
      <c r="V289" s="263" t="n">
        <v>2</v>
      </c>
      <c r="W289" s="263" t="n"/>
      <c r="X289" s="263" t="n"/>
      <c r="Y289" s="263" t="n"/>
      <c r="Z289" s="263" t="n"/>
      <c r="AA289" s="263" t="n"/>
      <c r="AB289" s="263" t="n"/>
      <c r="AC289" s="263" t="n"/>
      <c r="AD289" s="263" t="n"/>
      <c r="AE289" s="263" t="n"/>
      <c r="AF289" s="263" t="n"/>
      <c r="AG289" s="263" t="n"/>
      <c r="AH289" s="263" t="n"/>
      <c r="AI289" s="263" t="n"/>
      <c r="AJ289" s="263" t="n"/>
      <c r="AK289" s="263" t="n"/>
      <c r="AL289" s="263" t="n"/>
    </row>
    <row r="290">
      <c r="A290" s="263" t="inlineStr">
        <is>
          <t>용호동</t>
        </is>
      </c>
      <c r="B290" s="263" t="n"/>
      <c r="C290" s="263" t="n"/>
      <c r="D290" s="263" t="n">
        <v>16836</v>
      </c>
      <c r="E290" s="264" t="inlineStr">
        <is>
          <t>용지무학</t>
        </is>
      </c>
      <c r="F290" s="263" t="n">
        <v>1987.1</v>
      </c>
      <c r="G290" s="263" t="n">
        <v>1040</v>
      </c>
      <c r="H290" s="263">
        <f>2026-F290+1</f>
        <v/>
      </c>
      <c r="I290" s="263" t="n"/>
      <c r="J290" s="263" t="n">
        <v>66</v>
      </c>
      <c r="K290" s="263" t="n">
        <v>56</v>
      </c>
      <c r="L290" s="263" t="n">
        <v>20</v>
      </c>
      <c r="M290" s="263" t="inlineStr">
        <is>
          <t>계단식</t>
        </is>
      </c>
      <c r="N290" s="263" t="n">
        <v>3</v>
      </c>
      <c r="O290" s="263" t="n">
        <v>1</v>
      </c>
      <c r="P290" s="263" t="n">
        <v>810</v>
      </c>
      <c r="Q290" s="263" t="n"/>
      <c r="R290" s="263" t="n"/>
      <c r="S290" s="263" t="n"/>
      <c r="T290" s="263" t="n"/>
      <c r="U290" s="263" t="n">
        <v>4.7</v>
      </c>
      <c r="V290" s="263" t="n">
        <v>2.8</v>
      </c>
      <c r="W290" s="263" t="n"/>
      <c r="X290" s="263" t="n"/>
      <c r="Y290" s="263" t="n"/>
      <c r="Z290" s="263" t="n"/>
      <c r="AA290" s="263" t="n"/>
      <c r="AB290" s="263" t="n"/>
      <c r="AC290" s="263" t="n"/>
      <c r="AD290" s="263" t="n"/>
      <c r="AE290" s="263" t="n"/>
      <c r="AF290" s="263" t="n"/>
      <c r="AG290" s="263" t="n"/>
      <c r="AH290" s="263" t="n"/>
      <c r="AI290" s="263" t="n"/>
      <c r="AJ290" s="263" t="n"/>
      <c r="AK290" s="263" t="n"/>
      <c r="AL290" s="263" t="n"/>
    </row>
    <row r="291">
      <c r="A291" s="458" t="inlineStr">
        <is>
          <t>용호동</t>
        </is>
      </c>
      <c r="D291" s="458" t="n">
        <v>109465</v>
      </c>
      <c r="E291" s="265" t="inlineStr">
        <is>
          <t>용지아이파크</t>
        </is>
      </c>
      <c r="F291" s="458" t="n">
        <v>2017.06</v>
      </c>
      <c r="G291" s="458" t="n">
        <v>1036</v>
      </c>
      <c r="H291" s="458">
        <f>2026-F291+1</f>
        <v/>
      </c>
      <c r="J291" s="458" t="n">
        <v>85</v>
      </c>
      <c r="K291" s="458" t="n">
        <v>59</v>
      </c>
      <c r="L291" s="458" t="n">
        <v>26</v>
      </c>
      <c r="M291" s="458" t="inlineStr">
        <is>
          <t>계단식</t>
        </is>
      </c>
      <c r="N291" s="458" t="n">
        <v>3</v>
      </c>
      <c r="O291" s="458" t="n">
        <v>2</v>
      </c>
      <c r="P291" s="458" t="n">
        <v>11</v>
      </c>
      <c r="U291" s="458" t="n">
        <v>6.75</v>
      </c>
      <c r="V291" s="458" t="n">
        <v>5.8</v>
      </c>
    </row>
    <row r="292">
      <c r="A292" s="458" t="inlineStr">
        <is>
          <t>용호동</t>
        </is>
      </c>
      <c r="D292" s="458" t="n">
        <v>109465</v>
      </c>
      <c r="E292" s="265" t="inlineStr">
        <is>
          <t>용지아이파크</t>
        </is>
      </c>
      <c r="F292" s="458" t="n">
        <v>2017.06</v>
      </c>
      <c r="G292" s="458" t="n">
        <v>1036</v>
      </c>
      <c r="H292" s="458">
        <f>2026-F292+1</f>
        <v/>
      </c>
      <c r="J292" s="458" t="n">
        <v>113</v>
      </c>
      <c r="K292" s="458" t="n">
        <v>84</v>
      </c>
      <c r="L292" s="458" t="n">
        <v>34</v>
      </c>
      <c r="M292" s="458" t="inlineStr">
        <is>
          <t>계단식</t>
        </is>
      </c>
      <c r="N292" s="458" t="n">
        <v>3</v>
      </c>
      <c r="O292" s="458" t="n">
        <v>2</v>
      </c>
      <c r="P292" s="458" t="n">
        <v>642</v>
      </c>
      <c r="U292" s="458" t="n">
        <v>11.2</v>
      </c>
      <c r="V292" s="458" t="n">
        <v>7</v>
      </c>
    </row>
    <row r="293">
      <c r="A293" s="458" t="inlineStr">
        <is>
          <t>용호동</t>
        </is>
      </c>
      <c r="D293" s="458" t="n">
        <v>109465</v>
      </c>
      <c r="E293" s="265" t="inlineStr">
        <is>
          <t>용지아이파크</t>
        </is>
      </c>
      <c r="F293" s="458" t="n">
        <v>2017.06</v>
      </c>
      <c r="G293" s="458" t="n">
        <v>1036</v>
      </c>
      <c r="H293" s="458">
        <f>2026-F293+1</f>
        <v/>
      </c>
      <c r="J293" s="458" t="n">
        <v>130</v>
      </c>
      <c r="K293" s="458" t="n">
        <v>100</v>
      </c>
      <c r="L293" s="458" t="n">
        <v>39</v>
      </c>
      <c r="M293" s="458" t="inlineStr">
        <is>
          <t>계단식</t>
        </is>
      </c>
      <c r="N293" s="458" t="n">
        <v>3</v>
      </c>
      <c r="O293" s="458" t="n">
        <v>2</v>
      </c>
      <c r="P293" s="458" t="n">
        <v>140</v>
      </c>
      <c r="V293" s="458" t="n">
        <v>10.3</v>
      </c>
    </row>
    <row r="294">
      <c r="A294" s="458" t="inlineStr">
        <is>
          <t>용호동</t>
        </is>
      </c>
      <c r="D294" s="458" t="n">
        <v>109465</v>
      </c>
      <c r="E294" s="265" t="inlineStr">
        <is>
          <t>용지아이파크</t>
        </is>
      </c>
      <c r="F294" s="458" t="n">
        <v>2017.06</v>
      </c>
      <c r="G294" s="458" t="n">
        <v>1036</v>
      </c>
      <c r="H294" s="458">
        <f>2026-F294+1</f>
        <v/>
      </c>
      <c r="J294" s="458" t="n">
        <v>144</v>
      </c>
      <c r="K294" s="458" t="n">
        <v>114</v>
      </c>
      <c r="L294" s="458" t="n">
        <v>44</v>
      </c>
      <c r="M294" s="458" t="inlineStr">
        <is>
          <t>계단식</t>
        </is>
      </c>
      <c r="N294" s="458" t="n">
        <v>4</v>
      </c>
      <c r="O294" s="458" t="n">
        <v>2</v>
      </c>
      <c r="P294" s="458" t="n">
        <v>98</v>
      </c>
      <c r="U294" s="458" t="n">
        <v>15.55</v>
      </c>
      <c r="V294" s="458" t="n">
        <v>14.85</v>
      </c>
    </row>
    <row r="295">
      <c r="A295" s="458" t="inlineStr">
        <is>
          <t>용호동</t>
        </is>
      </c>
      <c r="D295" s="458" t="n">
        <v>109465</v>
      </c>
      <c r="E295" s="265" t="inlineStr">
        <is>
          <t>용지아이파크</t>
        </is>
      </c>
      <c r="F295" s="458" t="n">
        <v>2017.06</v>
      </c>
      <c r="G295" s="458" t="n">
        <v>1036</v>
      </c>
      <c r="H295" s="458">
        <f>2026-F295+1</f>
        <v/>
      </c>
      <c r="J295" s="458" t="n">
        <v>157</v>
      </c>
      <c r="K295" s="458" t="n">
        <v>127</v>
      </c>
      <c r="L295" s="458" t="n">
        <v>47</v>
      </c>
      <c r="M295" s="458" t="inlineStr">
        <is>
          <t>계단식</t>
        </is>
      </c>
      <c r="N295" s="458" t="n">
        <v>4</v>
      </c>
      <c r="O295" s="458" t="n">
        <v>2</v>
      </c>
      <c r="P295" s="458" t="n">
        <v>56</v>
      </c>
      <c r="V295" s="458" t="n">
        <v>14.9</v>
      </c>
    </row>
    <row r="296">
      <c r="A296" s="263" t="inlineStr">
        <is>
          <t>용호동</t>
        </is>
      </c>
      <c r="B296" s="263" t="n"/>
      <c r="C296" s="263" t="n"/>
      <c r="D296" s="263" t="n">
        <v>11007</v>
      </c>
      <c r="E296" s="264" t="inlineStr">
        <is>
          <t>일동</t>
        </is>
      </c>
      <c r="F296" s="263" t="n">
        <v>1986.1</v>
      </c>
      <c r="G296" s="263" t="n">
        <v>810</v>
      </c>
      <c r="H296" s="263">
        <f>2026-F296+1</f>
        <v/>
      </c>
      <c r="I296" s="263" t="n"/>
      <c r="J296" s="263" t="n">
        <v>57</v>
      </c>
      <c r="K296" s="263" t="n">
        <v>50</v>
      </c>
      <c r="L296" s="263" t="n">
        <v>17</v>
      </c>
      <c r="M296" s="263" t="inlineStr">
        <is>
          <t>계단식</t>
        </is>
      </c>
      <c r="N296" s="263" t="n">
        <v>3</v>
      </c>
      <c r="O296" s="263" t="n">
        <v>1</v>
      </c>
      <c r="P296" s="263" t="n">
        <v>400</v>
      </c>
      <c r="Q296" s="263" t="n"/>
      <c r="R296" s="263" t="n"/>
      <c r="S296" s="263" t="n"/>
      <c r="T296" s="263" t="n"/>
      <c r="U296" s="263" t="n">
        <v>4.2</v>
      </c>
      <c r="V296" s="263" t="n">
        <v>2.32</v>
      </c>
      <c r="W296" s="263" t="n"/>
      <c r="X296" s="263" t="n"/>
      <c r="Y296" s="263" t="n"/>
      <c r="Z296" s="263" t="n"/>
      <c r="AA296" s="263" t="n"/>
      <c r="AB296" s="263" t="n"/>
      <c r="AC296" s="263" t="n"/>
      <c r="AD296" s="263" t="n"/>
      <c r="AE296" s="263" t="n"/>
      <c r="AF296" s="263" t="n"/>
      <c r="AG296" s="263" t="n"/>
      <c r="AH296" s="263" t="n"/>
      <c r="AI296" s="263" t="n"/>
      <c r="AJ296" s="263" t="n"/>
      <c r="AK296" s="263" t="n"/>
      <c r="AL296" s="263" t="n"/>
    </row>
    <row r="297">
      <c r="A297" s="263" t="inlineStr">
        <is>
          <t>용호동</t>
        </is>
      </c>
      <c r="B297" s="263" t="n"/>
      <c r="C297" s="263" t="n"/>
      <c r="D297" s="263" t="n">
        <v>11007</v>
      </c>
      <c r="E297" s="264" t="inlineStr">
        <is>
          <t>일동</t>
        </is>
      </c>
      <c r="F297" s="263" t="n">
        <v>1986.1</v>
      </c>
      <c r="G297" s="263" t="n">
        <v>810</v>
      </c>
      <c r="H297" s="263">
        <f>2026-F297+1</f>
        <v/>
      </c>
      <c r="I297" s="263" t="n"/>
      <c r="J297" s="263" t="n">
        <v>66</v>
      </c>
      <c r="K297" s="263" t="n">
        <v>59</v>
      </c>
      <c r="L297" s="263" t="n">
        <v>20</v>
      </c>
      <c r="M297" s="263" t="inlineStr">
        <is>
          <t>계단식</t>
        </is>
      </c>
      <c r="N297" s="263" t="n">
        <v>3</v>
      </c>
      <c r="O297" s="263" t="n">
        <v>1</v>
      </c>
      <c r="P297" s="263" t="n">
        <v>410</v>
      </c>
      <c r="Q297" s="263" t="n"/>
      <c r="R297" s="263" t="n"/>
      <c r="S297" s="263" t="n"/>
      <c r="T297" s="263" t="n"/>
      <c r="U297" s="263" t="n">
        <v>4.58</v>
      </c>
      <c r="V297" s="263" t="n">
        <v>3</v>
      </c>
      <c r="W297" s="263" t="n"/>
      <c r="X297" s="263" t="n"/>
      <c r="Y297" s="263" t="n"/>
      <c r="Z297" s="263" t="n"/>
      <c r="AA297" s="263" t="n"/>
      <c r="AB297" s="263" t="n"/>
      <c r="AC297" s="263" t="n"/>
      <c r="AD297" s="263" t="n"/>
      <c r="AE297" s="263" t="n"/>
      <c r="AF297" s="263" t="n"/>
      <c r="AG297" s="263" t="n"/>
      <c r="AH297" s="263" t="n"/>
      <c r="AI297" s="263" t="n"/>
      <c r="AJ297" s="263" t="n"/>
      <c r="AK297" s="263" t="n"/>
      <c r="AL297" s="263" t="n"/>
    </row>
    <row r="298">
      <c r="A298" s="458" t="inlineStr">
        <is>
          <t>중앙동</t>
        </is>
      </c>
      <c r="D298" s="458" t="n">
        <v>148119</v>
      </c>
      <c r="E298" s="265" t="inlineStr">
        <is>
          <t>힐스테이트창원더퍼스트</t>
        </is>
      </c>
      <c r="F298" s="458" t="n">
        <v>2025.09</v>
      </c>
      <c r="G298" s="458" t="n">
        <v>1779</v>
      </c>
      <c r="H298" s="458">
        <f>2026-F298+1</f>
        <v/>
      </c>
      <c r="J298" s="458" t="n">
        <v>114</v>
      </c>
      <c r="K298" s="458" t="n">
        <v>84</v>
      </c>
      <c r="L298" s="458" t="n">
        <v>34</v>
      </c>
      <c r="M298" s="458" t="inlineStr">
        <is>
          <t>계단식</t>
        </is>
      </c>
      <c r="N298" s="458" t="n">
        <v>3</v>
      </c>
      <c r="O298" s="458" t="n">
        <v>2</v>
      </c>
      <c r="P298" s="458" t="n">
        <v>795</v>
      </c>
    </row>
    <row r="299">
      <c r="A299" s="458" t="inlineStr">
        <is>
          <t>중앙동</t>
        </is>
      </c>
      <c r="D299" s="458" t="n">
        <v>148119</v>
      </c>
      <c r="E299" s="265" t="inlineStr">
        <is>
          <t>힐스테이트창원더퍼스트</t>
        </is>
      </c>
      <c r="F299" s="458" t="n">
        <v>2025.09</v>
      </c>
      <c r="G299" s="458" t="n">
        <v>1779</v>
      </c>
      <c r="H299" s="458">
        <f>2026-F299+1</f>
        <v/>
      </c>
      <c r="J299" s="458" t="n">
        <v>137</v>
      </c>
      <c r="K299" s="458" t="n">
        <v>106</v>
      </c>
      <c r="L299" s="458" t="n">
        <v>41</v>
      </c>
      <c r="M299" s="458" t="inlineStr">
        <is>
          <t>계단식</t>
        </is>
      </c>
      <c r="N299" s="458" t="n">
        <v>4</v>
      </c>
      <c r="O299" s="458" t="n">
        <v>2</v>
      </c>
      <c r="P299" s="458" t="n">
        <v>328</v>
      </c>
    </row>
    <row r="300">
      <c r="A300" s="458" t="inlineStr">
        <is>
          <t>중앙동</t>
        </is>
      </c>
      <c r="D300" s="458" t="n">
        <v>148119</v>
      </c>
      <c r="E300" s="265" t="inlineStr">
        <is>
          <t>힐스테이트창원더퍼스트</t>
        </is>
      </c>
      <c r="F300" s="458" t="n">
        <v>2025.09</v>
      </c>
      <c r="G300" s="458" t="n">
        <v>1779</v>
      </c>
      <c r="H300" s="458">
        <f>2026-F300+1</f>
        <v/>
      </c>
      <c r="J300" s="458" t="n">
        <v>154</v>
      </c>
      <c r="K300" s="458" t="n">
        <v>123</v>
      </c>
      <c r="L300" s="458" t="n">
        <v>47</v>
      </c>
      <c r="M300" s="458" t="inlineStr">
        <is>
          <t>계단식</t>
        </is>
      </c>
      <c r="N300" s="458" t="n">
        <v>4</v>
      </c>
      <c r="O300" s="458" t="n">
        <v>2</v>
      </c>
      <c r="P300" s="458" t="n">
        <v>412</v>
      </c>
    </row>
    <row r="301">
      <c r="A301" s="458" t="inlineStr">
        <is>
          <t>중앙동</t>
        </is>
      </c>
      <c r="D301" s="458" t="n">
        <v>148119</v>
      </c>
      <c r="E301" s="265" t="inlineStr">
        <is>
          <t>힐스테이트창원더퍼스트</t>
        </is>
      </c>
      <c r="F301" s="458" t="n">
        <v>2025.09</v>
      </c>
      <c r="G301" s="458" t="n">
        <v>1779</v>
      </c>
      <c r="H301" s="458">
        <f>2026-F301+1</f>
        <v/>
      </c>
      <c r="J301" s="458" t="n">
        <v>170</v>
      </c>
      <c r="K301" s="458" t="n">
        <v>137</v>
      </c>
      <c r="L301" s="458" t="n">
        <v>51</v>
      </c>
      <c r="M301" s="458" t="inlineStr">
        <is>
          <t>계단식</t>
        </is>
      </c>
      <c r="N301" s="458" t="n">
        <v>4</v>
      </c>
      <c r="O301" s="458" t="n">
        <v>2</v>
      </c>
      <c r="P301" s="458" t="n">
        <v>244</v>
      </c>
    </row>
  </sheetData>
  <mergeCells count="2">
    <mergeCell ref="B3:C3"/>
    <mergeCell ref="AH3:AL3"/>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 xmlns:r="http://schemas.openxmlformats.org/officeDocument/2006/relationships" ref="E236" r:id="rId232"/>
    <hyperlink xmlns:r="http://schemas.openxmlformats.org/officeDocument/2006/relationships" ref="E237" r:id="rId233"/>
    <hyperlink xmlns:r="http://schemas.openxmlformats.org/officeDocument/2006/relationships" ref="E238" r:id="rId234"/>
    <hyperlink xmlns:r="http://schemas.openxmlformats.org/officeDocument/2006/relationships" ref="E239" r:id="rId235"/>
    <hyperlink xmlns:r="http://schemas.openxmlformats.org/officeDocument/2006/relationships" ref="E240" r:id="rId236"/>
    <hyperlink xmlns:r="http://schemas.openxmlformats.org/officeDocument/2006/relationships" ref="E241" r:id="rId237"/>
    <hyperlink xmlns:r="http://schemas.openxmlformats.org/officeDocument/2006/relationships" ref="E242" r:id="rId238"/>
    <hyperlink xmlns:r="http://schemas.openxmlformats.org/officeDocument/2006/relationships" ref="E243" r:id="rId239"/>
    <hyperlink xmlns:r="http://schemas.openxmlformats.org/officeDocument/2006/relationships" ref="E244" r:id="rId240"/>
    <hyperlink xmlns:r="http://schemas.openxmlformats.org/officeDocument/2006/relationships" ref="E245" r:id="rId241"/>
    <hyperlink xmlns:r="http://schemas.openxmlformats.org/officeDocument/2006/relationships" ref="E246" r:id="rId242"/>
    <hyperlink xmlns:r="http://schemas.openxmlformats.org/officeDocument/2006/relationships" ref="E247" r:id="rId243"/>
    <hyperlink xmlns:r="http://schemas.openxmlformats.org/officeDocument/2006/relationships" ref="E248" r:id="rId244"/>
    <hyperlink xmlns:r="http://schemas.openxmlformats.org/officeDocument/2006/relationships" ref="E249" r:id="rId245"/>
    <hyperlink xmlns:r="http://schemas.openxmlformats.org/officeDocument/2006/relationships" ref="E250" r:id="rId246"/>
    <hyperlink xmlns:r="http://schemas.openxmlformats.org/officeDocument/2006/relationships" ref="E251" r:id="rId247"/>
    <hyperlink xmlns:r="http://schemas.openxmlformats.org/officeDocument/2006/relationships" ref="E252" r:id="rId248"/>
    <hyperlink xmlns:r="http://schemas.openxmlformats.org/officeDocument/2006/relationships" ref="E253" r:id="rId249"/>
    <hyperlink xmlns:r="http://schemas.openxmlformats.org/officeDocument/2006/relationships" ref="E254" r:id="rId250"/>
    <hyperlink xmlns:r="http://schemas.openxmlformats.org/officeDocument/2006/relationships" ref="E255" r:id="rId251"/>
    <hyperlink xmlns:r="http://schemas.openxmlformats.org/officeDocument/2006/relationships" ref="E256" r:id="rId252"/>
    <hyperlink xmlns:r="http://schemas.openxmlformats.org/officeDocument/2006/relationships" ref="E257" r:id="rId253"/>
    <hyperlink xmlns:r="http://schemas.openxmlformats.org/officeDocument/2006/relationships" ref="E258" r:id="rId254"/>
    <hyperlink xmlns:r="http://schemas.openxmlformats.org/officeDocument/2006/relationships" ref="E259" r:id="rId255"/>
    <hyperlink xmlns:r="http://schemas.openxmlformats.org/officeDocument/2006/relationships" ref="E260" r:id="rId256"/>
    <hyperlink xmlns:r="http://schemas.openxmlformats.org/officeDocument/2006/relationships" ref="E261" r:id="rId257"/>
    <hyperlink xmlns:r="http://schemas.openxmlformats.org/officeDocument/2006/relationships" ref="E262" r:id="rId258"/>
    <hyperlink xmlns:r="http://schemas.openxmlformats.org/officeDocument/2006/relationships" ref="E263" r:id="rId259"/>
    <hyperlink xmlns:r="http://schemas.openxmlformats.org/officeDocument/2006/relationships" ref="E264" r:id="rId260"/>
    <hyperlink xmlns:r="http://schemas.openxmlformats.org/officeDocument/2006/relationships" ref="E265" r:id="rId261"/>
    <hyperlink xmlns:r="http://schemas.openxmlformats.org/officeDocument/2006/relationships" ref="E266" r:id="rId262"/>
    <hyperlink xmlns:r="http://schemas.openxmlformats.org/officeDocument/2006/relationships" ref="E267" r:id="rId263"/>
    <hyperlink xmlns:r="http://schemas.openxmlformats.org/officeDocument/2006/relationships" ref="E268" r:id="rId264"/>
    <hyperlink xmlns:r="http://schemas.openxmlformats.org/officeDocument/2006/relationships" ref="E269" r:id="rId265"/>
    <hyperlink xmlns:r="http://schemas.openxmlformats.org/officeDocument/2006/relationships" ref="E270" r:id="rId266"/>
    <hyperlink xmlns:r="http://schemas.openxmlformats.org/officeDocument/2006/relationships" ref="E271" r:id="rId267"/>
    <hyperlink xmlns:r="http://schemas.openxmlformats.org/officeDocument/2006/relationships" ref="E272" r:id="rId268"/>
    <hyperlink xmlns:r="http://schemas.openxmlformats.org/officeDocument/2006/relationships" ref="E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E276" r:id="rId272"/>
    <hyperlink xmlns:r="http://schemas.openxmlformats.org/officeDocument/2006/relationships" ref="E277" r:id="rId273"/>
    <hyperlink xmlns:r="http://schemas.openxmlformats.org/officeDocument/2006/relationships" ref="E278" r:id="rId274"/>
    <hyperlink xmlns:r="http://schemas.openxmlformats.org/officeDocument/2006/relationships" ref="E279" r:id="rId275"/>
    <hyperlink xmlns:r="http://schemas.openxmlformats.org/officeDocument/2006/relationships" ref="E280" r:id="rId276"/>
    <hyperlink xmlns:r="http://schemas.openxmlformats.org/officeDocument/2006/relationships" ref="E281" r:id="rId277"/>
    <hyperlink xmlns:r="http://schemas.openxmlformats.org/officeDocument/2006/relationships" ref="E282" r:id="rId278"/>
    <hyperlink xmlns:r="http://schemas.openxmlformats.org/officeDocument/2006/relationships" ref="E283" r:id="rId279"/>
    <hyperlink xmlns:r="http://schemas.openxmlformats.org/officeDocument/2006/relationships" ref="E284" r:id="rId280"/>
    <hyperlink xmlns:r="http://schemas.openxmlformats.org/officeDocument/2006/relationships" ref="E285" r:id="rId281"/>
    <hyperlink xmlns:r="http://schemas.openxmlformats.org/officeDocument/2006/relationships" ref="E286" r:id="rId282"/>
    <hyperlink xmlns:r="http://schemas.openxmlformats.org/officeDocument/2006/relationships" ref="E287" r:id="rId283"/>
    <hyperlink xmlns:r="http://schemas.openxmlformats.org/officeDocument/2006/relationships" ref="E288" r:id="rId284"/>
    <hyperlink xmlns:r="http://schemas.openxmlformats.org/officeDocument/2006/relationships" ref="E289" r:id="rId285"/>
    <hyperlink xmlns:r="http://schemas.openxmlformats.org/officeDocument/2006/relationships" ref="E290" r:id="rId286"/>
    <hyperlink xmlns:r="http://schemas.openxmlformats.org/officeDocument/2006/relationships" ref="E291" r:id="rId287"/>
    <hyperlink xmlns:r="http://schemas.openxmlformats.org/officeDocument/2006/relationships" ref="E292" r:id="rId288"/>
    <hyperlink xmlns:r="http://schemas.openxmlformats.org/officeDocument/2006/relationships" ref="E293" r:id="rId289"/>
    <hyperlink xmlns:r="http://schemas.openxmlformats.org/officeDocument/2006/relationships" ref="E294" r:id="rId290"/>
    <hyperlink xmlns:r="http://schemas.openxmlformats.org/officeDocument/2006/relationships" ref="E295" r:id="rId291"/>
    <hyperlink xmlns:r="http://schemas.openxmlformats.org/officeDocument/2006/relationships" ref="E296" r:id="rId292"/>
    <hyperlink xmlns:r="http://schemas.openxmlformats.org/officeDocument/2006/relationships" ref="E297" r:id="rId293"/>
    <hyperlink xmlns:r="http://schemas.openxmlformats.org/officeDocument/2006/relationships" ref="E298" r:id="rId294"/>
    <hyperlink xmlns:r="http://schemas.openxmlformats.org/officeDocument/2006/relationships" ref="E299" r:id="rId295"/>
    <hyperlink xmlns:r="http://schemas.openxmlformats.org/officeDocument/2006/relationships" ref="E300" r:id="rId296"/>
    <hyperlink xmlns:r="http://schemas.openxmlformats.org/officeDocument/2006/relationships" ref="E301" r:id="rId29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N528"/>
  <sheetViews>
    <sheetView topLeftCell="A6" zoomScale="85" zoomScaleNormal="85" workbookViewId="0">
      <selection activeCell="K21" sqref="H21:K26"/>
    </sheetView>
  </sheetViews>
  <sheetFormatPr baseColWidth="8" defaultRowHeight="14"/>
  <cols>
    <col width="8.7265625" customWidth="1" style="476" min="1" max="1"/>
    <col width="7.81640625" customWidth="1" style="476" min="2" max="2"/>
    <col width="9.453125" customWidth="1" style="476" min="3" max="4"/>
    <col width="24.1796875" customWidth="1" style="476" min="5" max="5"/>
    <col width="5.453125" customWidth="1" style="476" min="6" max="6"/>
    <col width="7.453125" customWidth="1" style="476" min="7" max="7"/>
    <col width="13" customWidth="1" style="476" min="8" max="8"/>
    <col width="9.81640625" customWidth="1" style="476" min="9" max="10"/>
    <col width="9.54296875" customWidth="1" style="476" min="11" max="11"/>
    <col width="7.81640625" customWidth="1" style="476" min="12" max="12"/>
    <col width="5.90625" customWidth="1" style="476" min="13" max="13"/>
    <col width="5" customWidth="1" style="476" min="14" max="14"/>
    <col width="6.7265625" customWidth="1" style="476" min="15" max="15"/>
    <col width="13" customWidth="1" style="476" min="16" max="16"/>
    <col width="6.6328125" customWidth="1" style="476" min="17" max="17"/>
    <col width="5.08984375" customWidth="1" style="476" min="18" max="18"/>
    <col width="7.08984375" customWidth="1" style="476" min="19" max="19"/>
    <col width="6.6328125" customWidth="1" style="476" min="20" max="20"/>
    <col width="9.6328125" customWidth="1" style="476" min="21" max="21"/>
    <col width="13" customWidth="1" style="476" min="22" max="22"/>
    <col width="6.90625" customWidth="1" style="476" min="23" max="23"/>
    <col width="3.90625" customWidth="1" style="476" min="24" max="24"/>
    <col width="13" customWidth="1" style="476" min="25" max="25"/>
    <col width="5.7265625" customWidth="1" style="476" min="26" max="26"/>
    <col width="9.81640625" customWidth="1" style="476" min="27" max="27"/>
    <col width="10.26953125" customWidth="1" style="476" min="28" max="28"/>
    <col width="5.90625" customWidth="1" style="476" min="29" max="29"/>
    <col width="9.81640625" customWidth="1" style="476" min="30" max="30"/>
    <col width="13" customWidth="1" style="476" min="31" max="32"/>
    <col width="7.81640625" customWidth="1" style="476" min="33" max="33"/>
    <col width="9.81640625" customWidth="1" style="476" min="34" max="35"/>
    <col width="13" customWidth="1" style="476" min="36" max="36"/>
    <col width="7.81640625" customWidth="1" style="476" min="37" max="37"/>
    <col width="13" customWidth="1" style="476" min="38" max="38"/>
    <col width="8.7265625" customWidth="1" style="476" min="39" max="39"/>
    <col width="11.1796875" customWidth="1" style="476" min="40" max="40"/>
    <col width="8.7265625" customWidth="1" style="476" min="41" max="41"/>
    <col width="13" customWidth="1" style="476" min="42" max="47"/>
    <col width="8.453125" customWidth="1" style="476" min="48" max="48"/>
  </cols>
  <sheetData>
    <row r="1" customFormat="1" s="458"/>
    <row r="2" ht="14.5" customHeight="1" s="476">
      <c r="B2" s="163" t="inlineStr">
        <is>
          <t>상</t>
        </is>
      </c>
      <c r="C2" s="13" t="inlineStr">
        <is>
          <t>중</t>
        </is>
      </c>
      <c r="D2" s="160" t="n"/>
      <c r="G2" s="294" t="inlineStr">
        <is>
          <t>위례신동시트램정보</t>
        </is>
      </c>
      <c r="J2" s="294" t="inlineStr">
        <is>
          <t xml:space="preserve">거여·마천뉴타운, </t>
        </is>
      </c>
      <c r="M2" s="294" t="inlineStr">
        <is>
          <t>한 달 5kg 감량하며 깨달은 의지력 없이 성과를 내는 '환경셋팅'의 비밀 [골드트윈]</t>
        </is>
      </c>
      <c r="P2" s="294" t="inlineStr">
        <is>
          <t>성동구치소 개발 논란 - 나무위키</t>
        </is>
      </c>
      <c r="AH2" s="231" t="n"/>
      <c r="AM2" s="238" t="n"/>
    </row>
    <row r="3">
      <c r="B3" s="163" t="inlineStr">
        <is>
          <t>하</t>
        </is>
      </c>
      <c r="C3" s="163" t="n"/>
      <c r="G3" s="294" t="inlineStr">
        <is>
          <t>재건축·재개발 이주 난항</t>
        </is>
      </c>
      <c r="J3" s="294" t="inlineStr">
        <is>
          <t>특전사 부대 이전북(北)위례신도시'</t>
        </is>
      </c>
      <c r="M3" s="294" t="inlineStr">
        <is>
          <t>지방투자실전반 '임장보고서' 20장 쓰는 방법_입지편 [성공루틴]</t>
        </is>
      </c>
      <c r="AH3" s="231" t="n"/>
      <c r="AM3" s="238" t="n"/>
    </row>
    <row r="4">
      <c r="A4" s="221" t="n">
        <v>84</v>
      </c>
      <c r="B4" s="448" t="inlineStr">
        <is>
          <t>선호도</t>
        </is>
      </c>
      <c r="C4" s="445" t="n"/>
      <c r="D4" s="256" t="n"/>
      <c r="E4" s="257" t="inlineStr">
        <is>
          <t>단지정보 (30평)</t>
        </is>
      </c>
      <c r="F4" s="258" t="n"/>
      <c r="G4" s="259" t="n"/>
      <c r="H4" s="259" t="n"/>
      <c r="I4" s="258" t="n"/>
      <c r="J4" s="258" t="n"/>
      <c r="K4" s="258" t="n"/>
      <c r="L4" s="258" t="n"/>
      <c r="M4" s="258" t="n"/>
      <c r="N4" s="258" t="n"/>
      <c r="O4" s="258" t="n"/>
      <c r="P4" s="258" t="n"/>
      <c r="Q4" s="258" t="n"/>
      <c r="R4" s="258" t="n"/>
      <c r="S4" s="258" t="n"/>
      <c r="T4" s="258" t="n"/>
      <c r="U4" s="258" t="n"/>
      <c r="V4" s="258" t="n"/>
      <c r="W4" s="258" t="n"/>
      <c r="X4" s="258" t="n"/>
      <c r="Y4" s="258" t="n"/>
      <c r="Z4" s="258" t="n"/>
      <c r="AA4" s="258" t="n"/>
      <c r="AB4" s="258" t="n"/>
      <c r="AC4" s="258" t="n"/>
      <c r="AD4" s="258" t="n"/>
      <c r="AE4" s="258" t="n"/>
      <c r="AF4" s="258" t="n"/>
      <c r="AG4" s="258" t="n"/>
      <c r="AH4" s="447" t="inlineStr">
        <is>
          <t>투자결과</t>
        </is>
      </c>
      <c r="AI4" s="443" t="n"/>
      <c r="AJ4" s="443" t="n"/>
      <c r="AK4" s="443" t="n"/>
      <c r="AL4" s="445" t="n"/>
    </row>
    <row r="5" ht="17" customHeight="1" s="476">
      <c r="B5" s="165" t="inlineStr">
        <is>
          <t>생활권</t>
        </is>
      </c>
      <c r="C5" s="166" t="inlineStr">
        <is>
          <t>생활권 내</t>
        </is>
      </c>
      <c r="D5" s="231" t="inlineStr">
        <is>
          <t>단지코드</t>
        </is>
      </c>
      <c r="E5" s="231" t="inlineStr">
        <is>
          <t>단지명</t>
        </is>
      </c>
      <c r="F5" s="167" t="inlineStr">
        <is>
          <t>전용면적</t>
        </is>
      </c>
      <c r="G5" s="260" t="inlineStr">
        <is>
          <t>매</t>
        </is>
      </c>
      <c r="H5" s="260" t="inlineStr">
        <is>
          <t>전</t>
        </is>
      </c>
      <c r="I5" s="167" t="inlineStr">
        <is>
          <t>차</t>
        </is>
      </c>
      <c r="J5" s="167" t="inlineStr">
        <is>
          <t>전세가율</t>
        </is>
      </c>
      <c r="K5" s="231" t="inlineStr">
        <is>
          <t>사용승인일</t>
        </is>
      </c>
      <c r="L5" s="231" t="inlineStr">
        <is>
          <t>총세대수</t>
        </is>
      </c>
      <c r="M5" s="22" t="inlineStr">
        <is>
          <t>나이</t>
        </is>
      </c>
      <c r="N5" s="231" t="inlineStr">
        <is>
          <t>평형별 세대수</t>
        </is>
      </c>
      <c r="O5" s="68" t="inlineStr">
        <is>
          <t>타입</t>
        </is>
      </c>
      <c r="P5" s="68" t="inlineStr">
        <is>
          <t>공급면적</t>
        </is>
      </c>
      <c r="Q5" s="167" t="inlineStr">
        <is>
          <t>평형</t>
        </is>
      </c>
      <c r="R5" s="231" t="inlineStr">
        <is>
          <t>구조</t>
        </is>
      </c>
      <c r="S5" s="231" t="inlineStr">
        <is>
          <t>방수</t>
        </is>
      </c>
      <c r="T5" s="231" t="inlineStr">
        <is>
          <t>욕실수</t>
        </is>
      </c>
      <c r="U5" s="167" t="inlineStr">
        <is>
          <t>전고</t>
        </is>
      </c>
      <c r="V5" s="167" t="inlineStr">
        <is>
          <t>전저</t>
        </is>
      </c>
      <c r="W5" s="57" t="inlineStr">
        <is>
          <t>계/복</t>
        </is>
      </c>
      <c r="X5" s="167" t="inlineStr">
        <is>
          <t>방</t>
        </is>
      </c>
      <c r="Y5" s="167" t="inlineStr">
        <is>
          <t>화</t>
        </is>
      </c>
      <c r="Z5" s="167" t="inlineStr">
        <is>
          <t>면적세대수</t>
        </is>
      </c>
      <c r="AA5" s="221" t="inlineStr">
        <is>
          <t>시기(년)</t>
        </is>
      </c>
      <c r="AB5" s="238" t="inlineStr">
        <is>
          <t>(전세가율80%이상인)기간</t>
        </is>
      </c>
      <c r="AC5" s="221" t="inlineStr">
        <is>
          <t>평형</t>
        </is>
      </c>
      <c r="AD5" s="221" t="inlineStr">
        <is>
          <t>매매가</t>
        </is>
      </c>
      <c r="AE5" s="221" t="inlineStr">
        <is>
          <t>전세가</t>
        </is>
      </c>
      <c r="AF5" s="221" t="inlineStr">
        <is>
          <t>전세가율</t>
        </is>
      </c>
      <c r="AG5" s="24" t="inlineStr">
        <is>
          <t>투자금</t>
        </is>
      </c>
      <c r="AH5" s="165" t="inlineStr">
        <is>
          <t>시기(년)</t>
        </is>
      </c>
      <c r="AI5" s="165" t="inlineStr">
        <is>
          <t>매매가</t>
        </is>
      </c>
      <c r="AJ5" s="165" t="inlineStr">
        <is>
          <t>수익금</t>
        </is>
      </c>
      <c r="AK5" s="261" t="inlineStr">
        <is>
          <t>상승율</t>
        </is>
      </c>
      <c r="AL5" s="262" t="inlineStr">
        <is>
          <t>수익율</t>
        </is>
      </c>
      <c r="AN5" s="14" t="n"/>
    </row>
    <row r="6" ht="14" customHeight="1" s="476">
      <c r="A6" s="263" t="inlineStr">
        <is>
          <t>가락동</t>
        </is>
      </c>
      <c r="B6" s="263" t="n"/>
      <c r="C6" s="263" t="n"/>
      <c r="D6" s="263" t="n">
        <v>594</v>
      </c>
      <c r="E6" s="264" t="inlineStr">
        <is>
          <t>가락금호</t>
        </is>
      </c>
      <c r="F6" s="263" t="n">
        <v>59</v>
      </c>
      <c r="G6" s="263" t="n">
        <v>184500</v>
      </c>
      <c r="H6" s="263" t="n">
        <v>75000</v>
      </c>
      <c r="I6" s="263">
        <f>G6-H6</f>
        <v/>
      </c>
      <c r="J6" s="323">
        <f>H6/G6</f>
        <v/>
      </c>
      <c r="K6" s="263" t="n">
        <v>1997.08</v>
      </c>
      <c r="L6" s="263" t="n">
        <v>915</v>
      </c>
      <c r="M6" s="263">
        <f>2026-INT(K6)+1</f>
        <v/>
      </c>
      <c r="N6" s="263" t="n">
        <v>19</v>
      </c>
      <c r="O6" s="263" t="n"/>
      <c r="P6" s="263" t="n">
        <v>80</v>
      </c>
      <c r="Q6" s="263" t="n">
        <v>24</v>
      </c>
      <c r="R6" s="263" t="inlineStr">
        <is>
          <t>복도식</t>
        </is>
      </c>
      <c r="S6" s="263" t="n">
        <v>3</v>
      </c>
      <c r="T6" s="263" t="n">
        <v>1</v>
      </c>
      <c r="U6" s="263" t="n">
        <v>14</v>
      </c>
      <c r="V6" s="263" t="n">
        <v>7.5</v>
      </c>
      <c r="W6" s="263" t="inlineStr">
        <is>
          <t>복도식</t>
        </is>
      </c>
      <c r="X6" s="263" t="n">
        <v>3</v>
      </c>
      <c r="Y6" s="263" t="n">
        <v>1</v>
      </c>
      <c r="Z6" s="263" t="n">
        <v>19</v>
      </c>
      <c r="AA6" s="263" t="n"/>
      <c r="AB6" s="263" t="n"/>
      <c r="AC6" s="263" t="n"/>
      <c r="AD6" s="263" t="n"/>
      <c r="AE6" s="263" t="n"/>
      <c r="AF6" s="263" t="n"/>
      <c r="AG6" s="263" t="n"/>
      <c r="AH6" s="263" t="n"/>
      <c r="AI6" s="263" t="n"/>
      <c r="AJ6" s="263" t="n"/>
      <c r="AK6" s="263" t="n"/>
    </row>
    <row r="7" ht="14" customHeight="1" s="476">
      <c r="A7" s="266" t="inlineStr">
        <is>
          <t>가락동</t>
        </is>
      </c>
      <c r="B7" s="263" t="n"/>
      <c r="C7" s="263" t="n"/>
      <c r="D7" s="266" t="n">
        <v>594</v>
      </c>
      <c r="E7" s="264" t="inlineStr">
        <is>
          <t>가락금호</t>
        </is>
      </c>
      <c r="F7" s="266" t="n">
        <v>59</v>
      </c>
      <c r="G7" s="263" t="n"/>
      <c r="H7" s="263" t="n"/>
      <c r="I7" s="263">
        <f>G7-H7</f>
        <v/>
      </c>
      <c r="J7" s="323">
        <f>H7/G7</f>
        <v/>
      </c>
      <c r="K7" s="266" t="n">
        <v>1997.08</v>
      </c>
      <c r="L7" s="266" t="n">
        <v>915</v>
      </c>
      <c r="M7" s="266">
        <f>2026-INT(K7)+1</f>
        <v/>
      </c>
      <c r="N7" s="266" t="n">
        <v>322</v>
      </c>
      <c r="O7" s="263" t="n"/>
      <c r="P7" s="266" t="n">
        <v>81</v>
      </c>
      <c r="Q7" s="266" t="n">
        <v>25</v>
      </c>
      <c r="R7" s="266" t="inlineStr">
        <is>
          <t>복도식</t>
        </is>
      </c>
      <c r="S7" s="266" t="n">
        <v>3</v>
      </c>
      <c r="T7" s="266" t="n">
        <v>2</v>
      </c>
      <c r="U7" s="266" t="n">
        <v>14</v>
      </c>
      <c r="V7" s="266" t="n">
        <v>7.5</v>
      </c>
      <c r="W7" s="266" t="inlineStr">
        <is>
          <t>복도식</t>
        </is>
      </c>
      <c r="X7" s="266" t="n">
        <v>3</v>
      </c>
      <c r="Y7" s="266" t="n">
        <v>2</v>
      </c>
      <c r="Z7" s="266" t="n">
        <v>322</v>
      </c>
      <c r="AA7" s="263" t="n"/>
      <c r="AB7" s="263" t="n"/>
      <c r="AC7" s="263" t="n"/>
      <c r="AD7" s="263" t="n"/>
      <c r="AE7" s="263" t="n"/>
      <c r="AF7" s="263" t="n"/>
      <c r="AG7" s="263" t="n"/>
      <c r="AH7" s="263" t="n"/>
      <c r="AI7" s="263" t="n"/>
      <c r="AJ7" s="263" t="n"/>
      <c r="AK7" s="263" t="n"/>
    </row>
    <row r="8" ht="14" customHeight="1" s="476">
      <c r="A8" s="266" t="inlineStr">
        <is>
          <t>가락동</t>
        </is>
      </c>
      <c r="B8" s="263" t="n"/>
      <c r="C8" s="263" t="n"/>
      <c r="D8" s="266" t="n">
        <v>594</v>
      </c>
      <c r="E8" s="264" t="inlineStr">
        <is>
          <t>가락금호</t>
        </is>
      </c>
      <c r="F8" s="266" t="n">
        <v>59</v>
      </c>
      <c r="G8" s="263" t="n"/>
      <c r="H8" s="263" t="n"/>
      <c r="I8" s="263">
        <f>G8-H8</f>
        <v/>
      </c>
      <c r="J8" s="323">
        <f>H8/G8</f>
        <v/>
      </c>
      <c r="K8" s="266" t="n">
        <v>1997.08</v>
      </c>
      <c r="L8" s="266" t="n">
        <v>915</v>
      </c>
      <c r="M8" s="266">
        <f>2026-INT(K8)+1</f>
        <v/>
      </c>
      <c r="N8" s="266" t="n">
        <v>117</v>
      </c>
      <c r="O8" s="263" t="n"/>
      <c r="P8" s="266" t="n">
        <v>81</v>
      </c>
      <c r="Q8" s="266" t="n">
        <v>25</v>
      </c>
      <c r="R8" s="266" t="inlineStr">
        <is>
          <t>복도식</t>
        </is>
      </c>
      <c r="S8" s="266" t="n">
        <v>2</v>
      </c>
      <c r="T8" s="266" t="n">
        <v>1</v>
      </c>
      <c r="U8" s="266" t="n">
        <v>14</v>
      </c>
      <c r="V8" s="266" t="n">
        <v>7.5</v>
      </c>
      <c r="W8" s="266" t="inlineStr">
        <is>
          <t>복도식</t>
        </is>
      </c>
      <c r="X8" s="266" t="n">
        <v>2</v>
      </c>
      <c r="Y8" s="266" t="n">
        <v>1</v>
      </c>
      <c r="Z8" s="266" t="n">
        <v>117</v>
      </c>
      <c r="AA8" s="263" t="n"/>
      <c r="AB8" s="263" t="n"/>
      <c r="AC8" s="263" t="n"/>
      <c r="AD8" s="263" t="n"/>
      <c r="AE8" s="263" t="n"/>
      <c r="AF8" s="263" t="n"/>
      <c r="AG8" s="263" t="n"/>
      <c r="AH8" s="263" t="n"/>
      <c r="AI8" s="263" t="n"/>
      <c r="AJ8" s="263" t="n"/>
      <c r="AK8" s="263" t="n"/>
    </row>
    <row r="9" ht="14" customHeight="1" s="476">
      <c r="A9" s="263" t="inlineStr">
        <is>
          <t>가락동</t>
        </is>
      </c>
      <c r="B9" s="263" t="n"/>
      <c r="C9" s="263" t="n"/>
      <c r="D9" s="263" t="n">
        <v>594</v>
      </c>
      <c r="E9" s="264" t="inlineStr">
        <is>
          <t>가락금호</t>
        </is>
      </c>
      <c r="F9" s="263" t="n">
        <v>84</v>
      </c>
      <c r="G9" s="263" t="n">
        <v>217000</v>
      </c>
      <c r="H9" s="263" t="n">
        <v>90000</v>
      </c>
      <c r="I9" s="263">
        <f>G9-H9</f>
        <v/>
      </c>
      <c r="J9" s="323">
        <f>H9/G9</f>
        <v/>
      </c>
      <c r="K9" s="263" t="n">
        <v>1997.08</v>
      </c>
      <c r="L9" s="263" t="n">
        <v>915</v>
      </c>
      <c r="M9" s="263">
        <f>2026-INT(K9)+1</f>
        <v/>
      </c>
      <c r="N9" s="263" t="n">
        <v>52</v>
      </c>
      <c r="O9" s="263" t="n"/>
      <c r="P9" s="263" t="n">
        <v>107</v>
      </c>
      <c r="Q9" s="263" t="n">
        <v>32</v>
      </c>
      <c r="R9" s="263" t="inlineStr">
        <is>
          <t>계단식</t>
        </is>
      </c>
      <c r="S9" s="263" t="n">
        <v>3</v>
      </c>
      <c r="T9" s="263" t="n">
        <v>2</v>
      </c>
      <c r="U9" s="263" t="n">
        <v>16.15</v>
      </c>
      <c r="V9" s="263" t="n">
        <v>10.5</v>
      </c>
      <c r="W9" s="263" t="inlineStr">
        <is>
          <t>계단식</t>
        </is>
      </c>
      <c r="X9" s="263" t="n">
        <v>3</v>
      </c>
      <c r="Y9" s="263" t="n">
        <v>2</v>
      </c>
      <c r="Z9" s="263" t="n">
        <v>52</v>
      </c>
      <c r="AA9" s="263" t="n"/>
      <c r="AB9" s="263" t="n"/>
      <c r="AC9" s="263" t="n"/>
      <c r="AD9" s="263" t="n"/>
      <c r="AE9" s="263" t="n"/>
      <c r="AF9" s="263" t="n"/>
      <c r="AG9" s="263" t="n"/>
      <c r="AH9" s="263" t="n"/>
      <c r="AI9" s="263" t="n"/>
      <c r="AJ9" s="263" t="n"/>
      <c r="AK9" s="263" t="n"/>
    </row>
    <row r="10" ht="14" customHeight="1" s="476">
      <c r="A10" s="263" t="inlineStr">
        <is>
          <t>가락동</t>
        </is>
      </c>
      <c r="B10" s="263" t="n"/>
      <c r="C10" s="263" t="n"/>
      <c r="D10" s="263" t="n">
        <v>594</v>
      </c>
      <c r="E10" s="264" t="inlineStr">
        <is>
          <t>가락금호</t>
        </is>
      </c>
      <c r="F10" s="263" t="n">
        <v>85</v>
      </c>
      <c r="G10" s="263" t="n"/>
      <c r="H10" s="263" t="n"/>
      <c r="I10" s="263">
        <f>G10-H10</f>
        <v/>
      </c>
      <c r="J10" s="323">
        <f>H10/G10</f>
        <v/>
      </c>
      <c r="K10" s="263" t="n">
        <v>1997.08</v>
      </c>
      <c r="L10" s="263" t="n">
        <v>915</v>
      </c>
      <c r="M10" s="263">
        <f>2026-INT(K10)+1</f>
        <v/>
      </c>
      <c r="N10" s="263" t="n">
        <v>405</v>
      </c>
      <c r="O10" s="263" t="n"/>
      <c r="P10" s="263" t="n">
        <v>108</v>
      </c>
      <c r="Q10" s="263" t="n">
        <v>33</v>
      </c>
      <c r="R10" s="263" t="inlineStr">
        <is>
          <t>계단식</t>
        </is>
      </c>
      <c r="S10" s="263" t="n">
        <v>3</v>
      </c>
      <c r="T10" s="263" t="n">
        <v>2</v>
      </c>
      <c r="U10" s="263" t="n">
        <v>16.15</v>
      </c>
      <c r="V10" s="263" t="n">
        <v>10.5</v>
      </c>
      <c r="W10" s="263" t="inlineStr">
        <is>
          <t>계단식</t>
        </is>
      </c>
      <c r="X10" s="263" t="n">
        <v>3</v>
      </c>
      <c r="Y10" s="263" t="n">
        <v>2</v>
      </c>
      <c r="Z10" s="263" t="n">
        <v>405</v>
      </c>
      <c r="AA10" s="263" t="n"/>
      <c r="AB10" s="263" t="n"/>
      <c r="AC10" s="263" t="n"/>
      <c r="AD10" s="263" t="n"/>
      <c r="AE10" s="263" t="n"/>
      <c r="AF10" s="263" t="n"/>
      <c r="AG10" s="263" t="n"/>
      <c r="AH10" s="263" t="n"/>
      <c r="AI10" s="263" t="n"/>
      <c r="AJ10" s="263" t="n"/>
      <c r="AK10" s="263" t="n"/>
    </row>
    <row r="11" ht="14" customHeight="1" s="476">
      <c r="A11" s="458" t="inlineStr">
        <is>
          <t>가락동</t>
        </is>
      </c>
      <c r="D11" s="458" t="n">
        <v>595</v>
      </c>
      <c r="E11" s="146" t="inlineStr">
        <is>
          <t>가락대림</t>
        </is>
      </c>
      <c r="F11" s="458" t="n">
        <v>59</v>
      </c>
      <c r="G11" s="458" t="n">
        <v>131001</v>
      </c>
      <c r="H11" s="458" t="n">
        <v>50401</v>
      </c>
      <c r="I11" s="263">
        <f>G11-H11</f>
        <v/>
      </c>
      <c r="J11" s="323">
        <f>H11/G11</f>
        <v/>
      </c>
      <c r="K11" s="458" t="n">
        <v>1988.11</v>
      </c>
      <c r="L11" s="458" t="n">
        <v>443</v>
      </c>
      <c r="M11" s="458">
        <f>2026-INT(K11)+1</f>
        <v/>
      </c>
      <c r="N11" s="458" t="n">
        <v>30</v>
      </c>
      <c r="P11" s="458" t="n">
        <v>73</v>
      </c>
      <c r="Q11" s="458" t="n">
        <v>22</v>
      </c>
      <c r="R11" s="458" t="inlineStr">
        <is>
          <t>계단식</t>
        </is>
      </c>
      <c r="S11" s="458" t="n">
        <v>2</v>
      </c>
      <c r="T11" s="458" t="n">
        <v>1</v>
      </c>
      <c r="U11" s="458" t="n">
        <v>12.15</v>
      </c>
      <c r="V11" s="458" t="n">
        <v>8.5</v>
      </c>
      <c r="W11" s="458" t="inlineStr">
        <is>
          <t>계단식</t>
        </is>
      </c>
      <c r="X11" s="458" t="n">
        <v>2</v>
      </c>
      <c r="Y11" s="458" t="n">
        <v>1</v>
      </c>
      <c r="Z11" s="458" t="n">
        <v>30</v>
      </c>
    </row>
    <row r="12" ht="14" customHeight="1" s="476">
      <c r="A12" s="458" t="inlineStr">
        <is>
          <t>가락동</t>
        </is>
      </c>
      <c r="D12" s="458" t="n">
        <v>595</v>
      </c>
      <c r="E12" s="265" t="inlineStr">
        <is>
          <t>가락대림</t>
        </is>
      </c>
      <c r="F12" s="458" t="n">
        <v>68</v>
      </c>
      <c r="I12" s="263">
        <f>G12-H12</f>
        <v/>
      </c>
      <c r="J12" s="323">
        <f>H12/G12</f>
        <v/>
      </c>
      <c r="K12" s="458" t="n">
        <v>1988.11</v>
      </c>
      <c r="L12" s="458" t="n">
        <v>443</v>
      </c>
      <c r="M12" s="458">
        <f>2026-INT(K12)+1</f>
        <v/>
      </c>
      <c r="N12" s="458" t="n">
        <v>45</v>
      </c>
      <c r="P12" s="458" t="n">
        <v>88</v>
      </c>
      <c r="Q12" s="458" t="n">
        <v>27</v>
      </c>
      <c r="R12" s="458" t="inlineStr">
        <is>
          <t>복도식</t>
        </is>
      </c>
      <c r="S12" s="458" t="n">
        <v>2</v>
      </c>
      <c r="T12" s="458" t="n">
        <v>1</v>
      </c>
      <c r="V12" s="458" t="n">
        <v>9.4</v>
      </c>
      <c r="W12" s="458" t="inlineStr">
        <is>
          <t>복도식</t>
        </is>
      </c>
      <c r="X12" s="458" t="n">
        <v>2</v>
      </c>
      <c r="Y12" s="458" t="n">
        <v>1</v>
      </c>
      <c r="Z12" s="458" t="n">
        <v>45</v>
      </c>
    </row>
    <row r="13" ht="14" customHeight="1" s="476">
      <c r="A13" s="458" t="inlineStr">
        <is>
          <t>가락동</t>
        </is>
      </c>
      <c r="D13" s="458" t="n">
        <v>595</v>
      </c>
      <c r="E13" s="265" t="inlineStr">
        <is>
          <t>가락대림</t>
        </is>
      </c>
      <c r="F13" s="458" t="n">
        <v>69</v>
      </c>
      <c r="G13" s="458" t="n">
        <v>160000</v>
      </c>
      <c r="H13" s="458" t="n">
        <v>52501</v>
      </c>
      <c r="I13" s="263">
        <f>G13-H13</f>
        <v/>
      </c>
      <c r="J13" s="323">
        <f>H13/G13</f>
        <v/>
      </c>
      <c r="K13" s="458" t="n">
        <v>1988.11</v>
      </c>
      <c r="L13" s="458" t="n">
        <v>443</v>
      </c>
      <c r="M13" s="458">
        <f>2026-INT(K13)+1</f>
        <v/>
      </c>
      <c r="N13" s="458" t="n">
        <v>30</v>
      </c>
      <c r="P13" s="458" t="n">
        <v>90</v>
      </c>
      <c r="Q13" s="458" t="n">
        <v>27</v>
      </c>
      <c r="R13" s="458" t="inlineStr">
        <is>
          <t>복도식</t>
        </is>
      </c>
      <c r="S13" s="458" t="n">
        <v>2</v>
      </c>
      <c r="T13" s="458" t="n">
        <v>1</v>
      </c>
      <c r="U13" s="458" t="n">
        <v>12.85</v>
      </c>
      <c r="V13" s="458" t="n">
        <v>9.4</v>
      </c>
      <c r="W13" s="458" t="inlineStr">
        <is>
          <t>복도식</t>
        </is>
      </c>
      <c r="X13" s="458" t="n">
        <v>2</v>
      </c>
      <c r="Y13" s="458" t="n">
        <v>1</v>
      </c>
      <c r="Z13" s="458" t="n">
        <v>30</v>
      </c>
    </row>
    <row r="14" ht="14" customHeight="1" s="476">
      <c r="A14" s="458" t="inlineStr">
        <is>
          <t>가락동</t>
        </is>
      </c>
      <c r="D14" s="458" t="n">
        <v>595</v>
      </c>
      <c r="E14" s="265" t="inlineStr">
        <is>
          <t>가락대림</t>
        </is>
      </c>
      <c r="F14" s="458" t="n">
        <v>76</v>
      </c>
      <c r="I14" s="263">
        <f>G14-H14</f>
        <v/>
      </c>
      <c r="J14" s="323">
        <f>H14/G14</f>
        <v/>
      </c>
      <c r="K14" s="458" t="n">
        <v>1988.11</v>
      </c>
      <c r="L14" s="458" t="n">
        <v>443</v>
      </c>
      <c r="M14" s="458">
        <f>2026-INT(K14)+1</f>
        <v/>
      </c>
      <c r="N14" s="458" t="n">
        <v>30</v>
      </c>
      <c r="P14" s="458" t="n">
        <v>95</v>
      </c>
      <c r="Q14" s="458" t="n">
        <v>29</v>
      </c>
      <c r="R14" s="458" t="inlineStr">
        <is>
          <t>계단식</t>
        </is>
      </c>
      <c r="S14" s="458" t="n">
        <v>3</v>
      </c>
      <c r="T14" s="458" t="n">
        <v>1</v>
      </c>
      <c r="U14" s="458" t="n"/>
      <c r="V14" s="458" t="n">
        <v>10</v>
      </c>
      <c r="W14" s="458" t="inlineStr">
        <is>
          <t>계단식</t>
        </is>
      </c>
      <c r="X14" s="458" t="n">
        <v>3</v>
      </c>
      <c r="Y14" s="458" t="n">
        <v>1</v>
      </c>
      <c r="Z14" s="458" t="n">
        <v>30</v>
      </c>
    </row>
    <row r="15" ht="14" customHeight="1" s="476">
      <c r="A15" s="458" t="inlineStr">
        <is>
          <t>가락동</t>
        </is>
      </c>
      <c r="D15" s="458" t="n">
        <v>595</v>
      </c>
      <c r="E15" s="265" t="inlineStr">
        <is>
          <t>가락대림</t>
        </is>
      </c>
      <c r="F15" s="458" t="n">
        <v>84</v>
      </c>
      <c r="G15" s="458" t="n">
        <v>189000</v>
      </c>
      <c r="H15" s="458" t="n">
        <v>72001</v>
      </c>
      <c r="I15" s="263">
        <f>G15-H15</f>
        <v/>
      </c>
      <c r="J15" s="323">
        <f>H15/G15</f>
        <v/>
      </c>
      <c r="K15" s="458" t="n">
        <v>1988.11</v>
      </c>
      <c r="L15" s="458" t="n">
        <v>443</v>
      </c>
      <c r="M15" s="458">
        <f>2026-INT(K15)+1</f>
        <v/>
      </c>
      <c r="N15" s="458" t="n">
        <v>168</v>
      </c>
      <c r="P15" s="458" t="n">
        <v>101</v>
      </c>
      <c r="Q15" s="458" t="n">
        <v>31</v>
      </c>
      <c r="R15" s="458" t="inlineStr">
        <is>
          <t>계단식</t>
        </is>
      </c>
      <c r="S15" s="458" t="n">
        <v>3</v>
      </c>
      <c r="T15" s="458" t="n">
        <v>1</v>
      </c>
      <c r="U15" s="458" t="n">
        <v>14.3</v>
      </c>
      <c r="V15" s="458" t="n">
        <v>10.8</v>
      </c>
      <c r="W15" s="458" t="inlineStr">
        <is>
          <t>계단식</t>
        </is>
      </c>
      <c r="X15" s="458" t="n">
        <v>3</v>
      </c>
      <c r="Y15" s="458" t="n">
        <v>1</v>
      </c>
      <c r="Z15" s="458" t="n">
        <v>168</v>
      </c>
    </row>
    <row r="16">
      <c r="A16" s="458" t="inlineStr">
        <is>
          <t>가락동</t>
        </is>
      </c>
      <c r="D16" s="458" t="n">
        <v>595</v>
      </c>
      <c r="E16" s="265" t="inlineStr">
        <is>
          <t>가락대림</t>
        </is>
      </c>
      <c r="F16" s="458" t="n">
        <v>99</v>
      </c>
      <c r="I16" s="263">
        <f>G16-H16</f>
        <v/>
      </c>
      <c r="J16" s="323">
        <f>H16/G16</f>
        <v/>
      </c>
      <c r="K16" s="458" t="n">
        <v>1988.11</v>
      </c>
      <c r="L16" s="458" t="n">
        <v>443</v>
      </c>
      <c r="M16" s="458">
        <f>2026-INT(K16)+1</f>
        <v/>
      </c>
      <c r="N16" s="458" t="n">
        <v>56</v>
      </c>
      <c r="P16" s="458" t="n">
        <v>118</v>
      </c>
      <c r="Q16" s="458" t="n">
        <v>36</v>
      </c>
      <c r="R16" s="458" t="inlineStr">
        <is>
          <t>계단식</t>
        </is>
      </c>
      <c r="S16" s="458" t="n">
        <v>3</v>
      </c>
      <c r="T16" s="458" t="n">
        <v>1</v>
      </c>
      <c r="U16" s="458" t="n">
        <v>14.38</v>
      </c>
      <c r="V16" s="458" t="n">
        <v>11.9</v>
      </c>
      <c r="W16" s="458" t="inlineStr">
        <is>
          <t>계단식</t>
        </is>
      </c>
      <c r="X16" s="458" t="n">
        <v>3</v>
      </c>
      <c r="Y16" s="458" t="n">
        <v>1</v>
      </c>
      <c r="Z16" s="458" t="n">
        <v>56</v>
      </c>
    </row>
    <row r="17" ht="14" customHeight="1" s="476">
      <c r="A17" s="458" t="inlineStr">
        <is>
          <t>가락동</t>
        </is>
      </c>
      <c r="D17" s="458" t="n">
        <v>595</v>
      </c>
      <c r="E17" s="265" t="inlineStr">
        <is>
          <t>가락대림</t>
        </is>
      </c>
      <c r="F17" s="458" t="n">
        <v>113</v>
      </c>
      <c r="I17" s="263">
        <f>G17-H17</f>
        <v/>
      </c>
      <c r="J17" s="323">
        <f>H17/G17</f>
        <v/>
      </c>
      <c r="K17" s="458" t="n">
        <v>1988.11</v>
      </c>
      <c r="L17" s="458" t="n">
        <v>443</v>
      </c>
      <c r="M17" s="458">
        <f>2026-INT(K17)+1</f>
        <v/>
      </c>
      <c r="N17" s="458" t="n">
        <v>28</v>
      </c>
      <c r="P17" s="458" t="n">
        <v>133</v>
      </c>
      <c r="Q17" s="458" t="n">
        <v>40</v>
      </c>
      <c r="R17" s="458" t="inlineStr">
        <is>
          <t>계단식</t>
        </is>
      </c>
      <c r="S17" s="458" t="n">
        <v>4</v>
      </c>
      <c r="T17" s="458" t="n">
        <v>2</v>
      </c>
      <c r="W17" s="458" t="inlineStr">
        <is>
          <t>계단식</t>
        </is>
      </c>
      <c r="X17" s="458" t="n">
        <v>4</v>
      </c>
      <c r="Y17" s="458" t="n">
        <v>2</v>
      </c>
      <c r="Z17" s="458" t="n">
        <v>28</v>
      </c>
    </row>
    <row r="18" ht="14" customHeight="1" s="476">
      <c r="A18" s="458" t="inlineStr">
        <is>
          <t>가락동</t>
        </is>
      </c>
      <c r="D18" s="458" t="n">
        <v>595</v>
      </c>
      <c r="E18" s="265" t="inlineStr">
        <is>
          <t>가락대림</t>
        </is>
      </c>
      <c r="F18" s="458" t="n">
        <v>120</v>
      </c>
      <c r="I18" s="263">
        <f>G18-H18</f>
        <v/>
      </c>
      <c r="J18" s="323">
        <f>H18/G18</f>
        <v/>
      </c>
      <c r="K18" s="458" t="n">
        <v>1988.11</v>
      </c>
      <c r="L18" s="458" t="n">
        <v>443</v>
      </c>
      <c r="M18" s="458">
        <f>2026-INT(K18)+1</f>
        <v/>
      </c>
      <c r="N18" s="458" t="n">
        <v>56</v>
      </c>
      <c r="P18" s="458" t="n">
        <v>141</v>
      </c>
      <c r="Q18" s="458" t="n">
        <v>43</v>
      </c>
      <c r="R18" s="458" t="inlineStr">
        <is>
          <t>계단식</t>
        </is>
      </c>
      <c r="S18" s="458" t="n">
        <v>3</v>
      </c>
      <c r="T18" s="458" t="n">
        <v>1</v>
      </c>
      <c r="U18" s="458" t="n">
        <v>17</v>
      </c>
      <c r="W18" s="458" t="inlineStr">
        <is>
          <t>계단식</t>
        </is>
      </c>
      <c r="X18" s="458" t="n">
        <v>3</v>
      </c>
      <c r="Y18" s="458" t="n">
        <v>1</v>
      </c>
      <c r="Z18" s="458" t="n">
        <v>56</v>
      </c>
    </row>
    <row r="19">
      <c r="A19" s="263" t="inlineStr">
        <is>
          <t>가락동</t>
        </is>
      </c>
      <c r="B19" s="263" t="n"/>
      <c r="C19" s="263" t="n"/>
      <c r="D19" s="263" t="n">
        <v>2997</v>
      </c>
      <c r="E19" s="269" t="inlineStr">
        <is>
          <t>가락동부센트레빌</t>
        </is>
      </c>
      <c r="F19" s="263" t="n">
        <v>115</v>
      </c>
      <c r="G19" s="263" t="n"/>
      <c r="H19" s="263" t="n"/>
      <c r="I19" s="263">
        <f>G19-H19</f>
        <v/>
      </c>
      <c r="J19" s="323">
        <f>H19/G19</f>
        <v/>
      </c>
      <c r="K19" s="263" t="n">
        <v>2001.11</v>
      </c>
      <c r="L19" s="263" t="n">
        <v>264</v>
      </c>
      <c r="M19" s="263">
        <f>2026-INT(K19)+1</f>
        <v/>
      </c>
      <c r="N19" s="263" t="n">
        <v>135</v>
      </c>
      <c r="O19" s="263" t="n"/>
      <c r="P19" s="263" t="n">
        <v>141</v>
      </c>
      <c r="Q19" s="263" t="n">
        <v>43</v>
      </c>
      <c r="R19" s="263" t="inlineStr">
        <is>
          <t>복합식</t>
        </is>
      </c>
      <c r="S19" s="263" t="n">
        <v>4</v>
      </c>
      <c r="T19" s="263" t="n">
        <v>2</v>
      </c>
      <c r="U19" s="263" t="n">
        <v>18.2</v>
      </c>
      <c r="V19" s="263" t="n">
        <v>15.85</v>
      </c>
      <c r="W19" s="263" t="inlineStr">
        <is>
          <t>복합식</t>
        </is>
      </c>
      <c r="X19" s="263" t="n">
        <v>4</v>
      </c>
      <c r="Y19" s="263" t="n">
        <v>2</v>
      </c>
      <c r="Z19" s="263" t="n">
        <v>135</v>
      </c>
      <c r="AA19" s="263" t="n"/>
      <c r="AB19" s="263" t="n"/>
      <c r="AC19" s="263" t="n"/>
      <c r="AD19" s="263" t="n"/>
      <c r="AE19" s="263" t="n"/>
      <c r="AF19" s="263" t="n"/>
      <c r="AG19" s="263" t="n"/>
      <c r="AH19" s="263" t="n"/>
      <c r="AI19" s="263" t="n"/>
      <c r="AJ19" s="263" t="n"/>
      <c r="AK19" s="263" t="n"/>
    </row>
    <row r="20" ht="14" customHeight="1" s="476">
      <c r="A20" s="266" t="inlineStr">
        <is>
          <t>가락동</t>
        </is>
      </c>
      <c r="B20" s="263" t="n"/>
      <c r="C20" s="263" t="n"/>
      <c r="D20" s="266" t="n">
        <v>2997</v>
      </c>
      <c r="E20" s="264" t="inlineStr">
        <is>
          <t>가락동부센트레빌</t>
        </is>
      </c>
      <c r="F20" s="266" t="n">
        <v>143</v>
      </c>
      <c r="G20" s="263" t="n"/>
      <c r="H20" s="263" t="n"/>
      <c r="I20" s="263">
        <f>G20-H20</f>
        <v/>
      </c>
      <c r="J20" s="323">
        <f>H20/G20</f>
        <v/>
      </c>
      <c r="K20" s="266" t="n">
        <v>2001.11</v>
      </c>
      <c r="L20" s="266" t="n">
        <v>264</v>
      </c>
      <c r="M20" s="266">
        <f>2026-INT(K20)+1</f>
        <v/>
      </c>
      <c r="N20" s="266" t="n">
        <v>129</v>
      </c>
      <c r="O20" s="263" t="n"/>
      <c r="P20" s="266" t="n">
        <v>170</v>
      </c>
      <c r="Q20" s="266" t="n">
        <v>51</v>
      </c>
      <c r="R20" s="266" t="inlineStr">
        <is>
          <t>복합식</t>
        </is>
      </c>
      <c r="S20" s="266" t="n">
        <v>4</v>
      </c>
      <c r="T20" s="266" t="n">
        <v>2</v>
      </c>
      <c r="U20" s="266" t="n"/>
      <c r="V20" s="266" t="n">
        <v>16</v>
      </c>
      <c r="W20" s="266" t="inlineStr">
        <is>
          <t>복합식</t>
        </is>
      </c>
      <c r="X20" s="266" t="n">
        <v>4</v>
      </c>
      <c r="Y20" s="266" t="n">
        <v>2</v>
      </c>
      <c r="Z20" s="266" t="n">
        <v>129</v>
      </c>
      <c r="AA20" s="263" t="n"/>
      <c r="AB20" s="263" t="n"/>
      <c r="AC20" s="263" t="n"/>
      <c r="AD20" s="263" t="n"/>
      <c r="AE20" s="263" t="n"/>
      <c r="AF20" s="263" t="n"/>
      <c r="AG20" s="263" t="n"/>
      <c r="AH20" s="263" t="n"/>
      <c r="AI20" s="263" t="n"/>
      <c r="AJ20" s="263" t="n"/>
      <c r="AK20" s="263" t="n"/>
    </row>
    <row r="21">
      <c r="A21" s="458" t="inlineStr">
        <is>
          <t>가락동</t>
        </is>
      </c>
      <c r="D21" s="458" t="n">
        <v>598</v>
      </c>
      <c r="E21" s="265" t="inlineStr">
        <is>
          <t>가락쌍용1차</t>
        </is>
      </c>
      <c r="F21" s="458" t="n">
        <v>59</v>
      </c>
      <c r="G21" s="458" t="n">
        <v>185000</v>
      </c>
      <c r="H21" s="458" t="n">
        <v>73001</v>
      </c>
      <c r="I21" s="263">
        <f>G21-H21</f>
        <v/>
      </c>
      <c r="J21" s="323">
        <f>H21/G21</f>
        <v/>
      </c>
      <c r="K21" s="458" t="n">
        <v>1997.03</v>
      </c>
      <c r="L21" s="458" t="n">
        <v>2064</v>
      </c>
      <c r="M21" s="458">
        <f>2026-INT(K21)+1</f>
        <v/>
      </c>
      <c r="N21" s="458" t="n">
        <v>1032</v>
      </c>
      <c r="P21" s="458" t="n">
        <v>81</v>
      </c>
      <c r="Q21" s="458" t="n">
        <v>25</v>
      </c>
      <c r="R21" s="458" t="inlineStr">
        <is>
          <t>계단식</t>
        </is>
      </c>
      <c r="S21" s="458" t="n">
        <v>3</v>
      </c>
      <c r="T21" s="458" t="n">
        <v>1</v>
      </c>
      <c r="U21" s="458" t="n">
        <v>14.7</v>
      </c>
      <c r="V21" s="458" t="n">
        <v>8.949999999999999</v>
      </c>
      <c r="W21" s="458" t="inlineStr">
        <is>
          <t>계단식</t>
        </is>
      </c>
      <c r="X21" s="458" t="n">
        <v>3</v>
      </c>
      <c r="Y21" s="458" t="n">
        <v>1</v>
      </c>
      <c r="Z21" s="458" t="n">
        <v>1032</v>
      </c>
    </row>
    <row r="22">
      <c r="A22" s="458" t="inlineStr">
        <is>
          <t>가락동</t>
        </is>
      </c>
      <c r="D22" s="458" t="n">
        <v>598</v>
      </c>
      <c r="E22" s="265" t="inlineStr">
        <is>
          <t>가락쌍용1차</t>
        </is>
      </c>
      <c r="F22" s="458" t="n">
        <v>84</v>
      </c>
      <c r="G22" s="458" t="n">
        <v>195000</v>
      </c>
      <c r="H22" s="458" t="n">
        <v>95000</v>
      </c>
      <c r="I22" s="263">
        <f>G22-H22</f>
        <v/>
      </c>
      <c r="J22" s="323">
        <f>H22/G22</f>
        <v/>
      </c>
      <c r="K22" s="458" t="n">
        <v>1997.03</v>
      </c>
      <c r="L22" s="458" t="n">
        <v>2064</v>
      </c>
      <c r="M22" s="458">
        <f>2026-INT(K22)+1</f>
        <v/>
      </c>
      <c r="N22" s="458" t="n">
        <v>1032</v>
      </c>
      <c r="P22" s="458" t="n">
        <v>110</v>
      </c>
      <c r="Q22" s="458" t="n">
        <v>33</v>
      </c>
      <c r="R22" s="458" t="inlineStr">
        <is>
          <t>계단식</t>
        </is>
      </c>
      <c r="S22" s="458" t="n">
        <v>3</v>
      </c>
      <c r="T22" s="458" t="n">
        <v>2</v>
      </c>
      <c r="U22" s="458" t="n">
        <v>17</v>
      </c>
      <c r="V22" s="458" t="n">
        <v>8.9</v>
      </c>
      <c r="W22" s="458" t="inlineStr">
        <is>
          <t>계단식</t>
        </is>
      </c>
      <c r="X22" s="458" t="n">
        <v>3</v>
      </c>
      <c r="Y22" s="458" t="n">
        <v>2</v>
      </c>
      <c r="Z22" s="458" t="n">
        <v>1032</v>
      </c>
    </row>
    <row r="23">
      <c r="A23" s="263" t="inlineStr">
        <is>
          <t>가락동</t>
        </is>
      </c>
      <c r="B23" s="263" t="n"/>
      <c r="C23" s="263" t="n"/>
      <c r="D23" s="263" t="n">
        <v>1196</v>
      </c>
      <c r="E23" s="264" t="inlineStr">
        <is>
          <t>가락쌍용2차</t>
        </is>
      </c>
      <c r="F23" s="263" t="n">
        <v>59</v>
      </c>
      <c r="G23" s="263" t="n">
        <v>180000</v>
      </c>
      <c r="H23" s="263" t="n"/>
      <c r="I23" s="263">
        <f>G23-H23</f>
        <v/>
      </c>
      <c r="J23" s="323">
        <f>H23/G23</f>
        <v/>
      </c>
      <c r="K23" s="263" t="n">
        <v>1999.1</v>
      </c>
      <c r="L23" s="263" t="n">
        <v>492</v>
      </c>
      <c r="M23" s="263">
        <f>2026-INT(K23)+1</f>
        <v/>
      </c>
      <c r="N23" s="263" t="n">
        <v>175</v>
      </c>
      <c r="O23" s="263" t="n"/>
      <c r="P23" s="263" t="n">
        <v>81</v>
      </c>
      <c r="Q23" s="263" t="n">
        <v>25</v>
      </c>
      <c r="R23" s="263" t="inlineStr">
        <is>
          <t>계단식</t>
        </is>
      </c>
      <c r="S23" s="263" t="n">
        <v>3</v>
      </c>
      <c r="T23" s="263" t="n">
        <v>1</v>
      </c>
      <c r="U23" s="263" t="n">
        <v>12.75</v>
      </c>
      <c r="V23" s="263" t="n">
        <v>8.800000000000001</v>
      </c>
      <c r="W23" s="263" t="inlineStr">
        <is>
          <t>계단식</t>
        </is>
      </c>
      <c r="X23" s="263" t="n">
        <v>3</v>
      </c>
      <c r="Y23" s="263" t="n">
        <v>1</v>
      </c>
      <c r="Z23" s="263" t="n">
        <v>175</v>
      </c>
      <c r="AA23" s="263" t="n"/>
      <c r="AB23" s="263" t="n"/>
      <c r="AC23" s="263" t="n"/>
      <c r="AD23" s="263" t="n"/>
      <c r="AE23" s="263" t="n"/>
      <c r="AF23" s="263" t="n"/>
      <c r="AG23" s="263" t="n"/>
      <c r="AH23" s="263" t="n"/>
      <c r="AI23" s="263" t="n"/>
      <c r="AJ23" s="263" t="n"/>
      <c r="AK23" s="263" t="n"/>
    </row>
    <row r="24">
      <c r="A24" s="263" t="inlineStr">
        <is>
          <t>가락동</t>
        </is>
      </c>
      <c r="B24" s="263" t="n"/>
      <c r="C24" s="263" t="n"/>
      <c r="D24" s="263" t="n">
        <v>1196</v>
      </c>
      <c r="E24" s="264" t="inlineStr">
        <is>
          <t>가락쌍용2차</t>
        </is>
      </c>
      <c r="F24" s="263" t="n">
        <v>84</v>
      </c>
      <c r="G24" s="263" t="n">
        <v>195000</v>
      </c>
      <c r="H24" s="263" t="n">
        <v>80000</v>
      </c>
      <c r="I24" s="263">
        <f>G24-H24</f>
        <v/>
      </c>
      <c r="J24" s="323">
        <f>H24/G24</f>
        <v/>
      </c>
      <c r="K24" s="263" t="n">
        <v>1999.1</v>
      </c>
      <c r="L24" s="263" t="n">
        <v>492</v>
      </c>
      <c r="M24" s="263">
        <f>2026-INT(K24)+1</f>
        <v/>
      </c>
      <c r="N24" s="263" t="n">
        <v>317</v>
      </c>
      <c r="O24" s="263" t="n"/>
      <c r="P24" s="263" t="n">
        <v>108</v>
      </c>
      <c r="Q24" s="263" t="n">
        <v>33</v>
      </c>
      <c r="R24" s="263" t="inlineStr">
        <is>
          <t>계단식</t>
        </is>
      </c>
      <c r="S24" s="263" t="n">
        <v>3</v>
      </c>
      <c r="T24" s="263" t="n">
        <v>2</v>
      </c>
      <c r="U24" s="263" t="n">
        <v>14.85</v>
      </c>
      <c r="V24" s="263" t="n">
        <v>11.5</v>
      </c>
      <c r="W24" s="263" t="inlineStr">
        <is>
          <t>계단식</t>
        </is>
      </c>
      <c r="X24" s="263" t="n">
        <v>3</v>
      </c>
      <c r="Y24" s="263" t="n">
        <v>2</v>
      </c>
      <c r="Z24" s="263" t="n">
        <v>317</v>
      </c>
      <c r="AA24" s="263" t="n"/>
      <c r="AB24" s="263" t="n"/>
      <c r="AC24" s="263" t="n"/>
      <c r="AD24" s="263" t="n"/>
      <c r="AE24" s="263" t="n"/>
      <c r="AF24" s="263" t="n"/>
      <c r="AG24" s="263" t="n"/>
      <c r="AH24" s="263" t="n"/>
      <c r="AI24" s="263" t="n"/>
      <c r="AJ24" s="263" t="n"/>
      <c r="AK24" s="263" t="n"/>
    </row>
    <row r="25">
      <c r="A25" s="458" t="inlineStr">
        <is>
          <t>가락동</t>
        </is>
      </c>
      <c r="D25" s="458" t="n">
        <v>13643</v>
      </c>
      <c r="E25" s="265" t="inlineStr">
        <is>
          <t>가락쌍용스윗닷홈3차(101~104동)</t>
        </is>
      </c>
      <c r="F25" s="458" t="n">
        <v>59</v>
      </c>
      <c r="G25" s="263" t="n">
        <v>148001</v>
      </c>
      <c r="H25" s="263" t="n">
        <v>68001</v>
      </c>
      <c r="I25" s="263">
        <f>G25-H25</f>
        <v/>
      </c>
      <c r="J25" s="323">
        <f>H25/G25</f>
        <v/>
      </c>
      <c r="K25" s="458" t="n">
        <v>2005.02</v>
      </c>
      <c r="L25" s="458" t="n">
        <v>206</v>
      </c>
      <c r="M25" s="458">
        <f>2026-INT(K25)+1</f>
        <v/>
      </c>
      <c r="N25" s="458" t="n">
        <v>45</v>
      </c>
      <c r="P25" s="458" t="n">
        <v>79</v>
      </c>
      <c r="Q25" s="458" t="n">
        <v>24</v>
      </c>
      <c r="R25" s="458" t="inlineStr">
        <is>
          <t>계단식</t>
        </is>
      </c>
      <c r="S25" s="458" t="n">
        <v>3</v>
      </c>
      <c r="T25" s="458" t="n">
        <v>2</v>
      </c>
      <c r="U25" s="458" t="n">
        <v>11.5</v>
      </c>
      <c r="W25" s="458" t="inlineStr">
        <is>
          <t>계단식</t>
        </is>
      </c>
      <c r="X25" s="458" t="n">
        <v>3</v>
      </c>
      <c r="Y25" s="458" t="n">
        <v>2</v>
      </c>
      <c r="Z25" s="458" t="n">
        <v>45</v>
      </c>
    </row>
    <row r="26">
      <c r="A26" s="458" t="inlineStr">
        <is>
          <t>가락동</t>
        </is>
      </c>
      <c r="D26" s="458" t="n">
        <v>13643</v>
      </c>
      <c r="E26" s="265" t="inlineStr">
        <is>
          <t>가락쌍용스윗닷홈3차(101~104동)</t>
        </is>
      </c>
      <c r="F26" s="458" t="n">
        <v>84</v>
      </c>
      <c r="G26" s="458" t="n">
        <v>174000</v>
      </c>
      <c r="H26" s="263" t="n">
        <v>87001</v>
      </c>
      <c r="I26" s="263">
        <f>G26-H26</f>
        <v/>
      </c>
      <c r="J26" s="323">
        <f>H26/G26</f>
        <v/>
      </c>
      <c r="K26" s="458" t="n">
        <v>2005.02</v>
      </c>
      <c r="L26" s="458" t="n">
        <v>206</v>
      </c>
      <c r="M26" s="458">
        <f>2026-INT(K26)+1</f>
        <v/>
      </c>
      <c r="N26" s="458" t="n">
        <v>120</v>
      </c>
      <c r="P26" s="458" t="n">
        <v>105</v>
      </c>
      <c r="Q26" s="458" t="n">
        <v>32</v>
      </c>
      <c r="R26" s="458" t="inlineStr">
        <is>
          <t>계단식</t>
        </is>
      </c>
      <c r="S26" s="458" t="n">
        <v>3</v>
      </c>
      <c r="T26" s="458" t="n">
        <v>2</v>
      </c>
      <c r="V26" s="458" t="n">
        <v>11.5</v>
      </c>
      <c r="W26" s="458" t="inlineStr">
        <is>
          <t>계단식</t>
        </is>
      </c>
      <c r="X26" s="458" t="n">
        <v>3</v>
      </c>
      <c r="Y26" s="458" t="n">
        <v>2</v>
      </c>
      <c r="Z26" s="458" t="n">
        <v>120</v>
      </c>
    </row>
    <row r="27">
      <c r="A27" s="458" t="inlineStr">
        <is>
          <t>가락동</t>
        </is>
      </c>
      <c r="D27" s="458" t="n">
        <v>13643</v>
      </c>
      <c r="E27" s="265" t="inlineStr">
        <is>
          <t>가락쌍용스윗닷홈3차(101~104동)</t>
        </is>
      </c>
      <c r="F27" s="458" t="n">
        <v>119</v>
      </c>
      <c r="I27" s="263">
        <f>G27-H27</f>
        <v/>
      </c>
      <c r="J27" s="323">
        <f>H27/G27</f>
        <v/>
      </c>
      <c r="K27" s="458" t="n">
        <v>2005.02</v>
      </c>
      <c r="L27" s="458" t="n">
        <v>206</v>
      </c>
      <c r="M27" s="458">
        <f>2026-INT(K27)+1</f>
        <v/>
      </c>
      <c r="N27" s="458" t="n">
        <v>5</v>
      </c>
      <c r="P27" s="458" t="n">
        <v>154</v>
      </c>
      <c r="Q27" s="458" t="n">
        <v>47</v>
      </c>
      <c r="R27" s="458" t="inlineStr">
        <is>
          <t>계단식</t>
        </is>
      </c>
      <c r="S27" s="458" t="n">
        <v>4</v>
      </c>
      <c r="T27" s="458" t="n">
        <v>2</v>
      </c>
      <c r="W27" s="458" t="inlineStr">
        <is>
          <t>계단식</t>
        </is>
      </c>
      <c r="X27" s="458" t="n">
        <v>4</v>
      </c>
      <c r="Y27" s="458" t="n">
        <v>2</v>
      </c>
      <c r="Z27" s="458" t="n">
        <v>5</v>
      </c>
    </row>
    <row r="28">
      <c r="A28" s="458" t="inlineStr">
        <is>
          <t>가락동</t>
        </is>
      </c>
      <c r="D28" s="458" t="n">
        <v>13643</v>
      </c>
      <c r="E28" s="265" t="inlineStr">
        <is>
          <t>가락쌍용스윗닷홈3차(101~104동)</t>
        </is>
      </c>
      <c r="F28" s="458" t="n">
        <v>122</v>
      </c>
      <c r="I28" s="263">
        <f>G28-H28</f>
        <v/>
      </c>
      <c r="J28" s="323">
        <f>H28/G28</f>
        <v/>
      </c>
      <c r="K28" s="458" t="n">
        <v>2005.02</v>
      </c>
      <c r="L28" s="458" t="n">
        <v>206</v>
      </c>
      <c r="M28" s="458">
        <f>2026-INT(K28)+1</f>
        <v/>
      </c>
      <c r="N28" s="458" t="n">
        <v>36</v>
      </c>
      <c r="P28" s="458" t="n">
        <v>148</v>
      </c>
      <c r="Q28" s="458" t="n">
        <v>45</v>
      </c>
      <c r="R28" s="458" t="inlineStr">
        <is>
          <t>계단식</t>
        </is>
      </c>
      <c r="S28" s="458" t="n">
        <v>4</v>
      </c>
      <c r="T28" s="458" t="n">
        <v>2</v>
      </c>
      <c r="V28" s="458" t="n">
        <v>12.9</v>
      </c>
      <c r="W28" s="458" t="inlineStr">
        <is>
          <t>계단식</t>
        </is>
      </c>
      <c r="X28" s="458" t="n">
        <v>4</v>
      </c>
      <c r="Y28" s="458" t="n">
        <v>2</v>
      </c>
      <c r="Z28" s="458" t="n">
        <v>36</v>
      </c>
    </row>
    <row r="29">
      <c r="A29" s="266" t="inlineStr">
        <is>
          <t>가락동</t>
        </is>
      </c>
      <c r="B29" s="263" t="n"/>
      <c r="C29" s="263" t="n"/>
      <c r="D29" s="266" t="n">
        <v>348</v>
      </c>
      <c r="E29" s="269" t="inlineStr">
        <is>
          <t>가락우성1차</t>
        </is>
      </c>
      <c r="F29" s="266" t="n">
        <v>43</v>
      </c>
      <c r="G29" s="263" t="n">
        <v>165000</v>
      </c>
      <c r="H29" s="263" t="n">
        <v>38001</v>
      </c>
      <c r="I29" s="263">
        <f>G29-H29</f>
        <v/>
      </c>
      <c r="J29" s="323">
        <f>H29/G29</f>
        <v/>
      </c>
      <c r="K29" s="266" t="n">
        <v>1986.12</v>
      </c>
      <c r="L29" s="266" t="n">
        <v>838</v>
      </c>
      <c r="M29" s="266">
        <f>2026-INT(K29)+1</f>
        <v/>
      </c>
      <c r="N29" s="266" t="n">
        <v>409</v>
      </c>
      <c r="O29" s="263" t="n"/>
      <c r="P29" s="266" t="n">
        <v>62</v>
      </c>
      <c r="Q29" s="266" t="n">
        <v>19</v>
      </c>
      <c r="R29" s="266" t="inlineStr">
        <is>
          <t>복도식</t>
        </is>
      </c>
      <c r="S29" s="266" t="n">
        <v>2</v>
      </c>
      <c r="T29" s="266" t="n">
        <v>1</v>
      </c>
      <c r="U29" s="263" t="n">
        <v>11.32</v>
      </c>
      <c r="V29" s="263" t="n">
        <v>7.05</v>
      </c>
      <c r="W29" s="266" t="inlineStr">
        <is>
          <t>복도식</t>
        </is>
      </c>
      <c r="X29" s="266" t="n">
        <v>2</v>
      </c>
      <c r="Y29" s="266" t="n">
        <v>1</v>
      </c>
      <c r="Z29" s="266" t="n">
        <v>409</v>
      </c>
      <c r="AA29" s="263" t="n"/>
      <c r="AB29" s="263" t="n"/>
      <c r="AC29" s="263" t="n"/>
      <c r="AD29" s="263" t="n"/>
      <c r="AE29" s="263" t="n"/>
      <c r="AF29" s="263" t="n"/>
      <c r="AG29" s="263" t="n"/>
      <c r="AH29" s="263" t="n"/>
      <c r="AI29" s="263" t="n"/>
      <c r="AJ29" s="263" t="n"/>
      <c r="AK29" s="263" t="n"/>
    </row>
    <row r="30">
      <c r="A30" s="263" t="inlineStr">
        <is>
          <t>가락동</t>
        </is>
      </c>
      <c r="B30" s="263" t="n"/>
      <c r="C30" s="263" t="n"/>
      <c r="D30" s="263" t="n">
        <v>348</v>
      </c>
      <c r="E30" s="264" t="inlineStr">
        <is>
          <t>가락우성1차</t>
        </is>
      </c>
      <c r="F30" s="263" t="n">
        <v>58</v>
      </c>
      <c r="G30" s="263" t="n">
        <v>193000</v>
      </c>
      <c r="H30" s="263" t="n">
        <v>54001</v>
      </c>
      <c r="I30" s="263">
        <f>G30-H30</f>
        <v/>
      </c>
      <c r="J30" s="323">
        <f>H30/G30</f>
        <v/>
      </c>
      <c r="K30" s="263" t="n">
        <v>1986.12</v>
      </c>
      <c r="L30" s="263" t="n">
        <v>838</v>
      </c>
      <c r="M30" s="263">
        <f>2026-INT(K30)+1</f>
        <v/>
      </c>
      <c r="N30" s="263" t="n">
        <v>219</v>
      </c>
      <c r="O30" s="263" t="n"/>
      <c r="P30" s="263" t="n">
        <v>78</v>
      </c>
      <c r="Q30" s="263" t="n">
        <v>24</v>
      </c>
      <c r="R30" s="263" t="inlineStr">
        <is>
          <t>복도식</t>
        </is>
      </c>
      <c r="S30" s="263" t="n">
        <v>2</v>
      </c>
      <c r="T30" s="263" t="n">
        <v>1</v>
      </c>
      <c r="U30" s="263" t="n">
        <v>14.3</v>
      </c>
      <c r="V30" s="263" t="n">
        <v>10.5</v>
      </c>
      <c r="W30" s="263" t="inlineStr">
        <is>
          <t>복도식</t>
        </is>
      </c>
      <c r="X30" s="263" t="n">
        <v>2</v>
      </c>
      <c r="Y30" s="263" t="n">
        <v>1</v>
      </c>
      <c r="Z30" s="263" t="n">
        <v>219</v>
      </c>
      <c r="AA30" s="263" t="n"/>
      <c r="AB30" s="263" t="n"/>
      <c r="AC30" s="263" t="n"/>
      <c r="AD30" s="263" t="n"/>
      <c r="AE30" s="263" t="n"/>
      <c r="AF30" s="263" t="n"/>
      <c r="AG30" s="263" t="n"/>
      <c r="AH30" s="263" t="n"/>
      <c r="AI30" s="263" t="n"/>
      <c r="AJ30" s="263" t="n"/>
      <c r="AK30" s="263" t="n"/>
    </row>
    <row r="31">
      <c r="A31" s="263" t="inlineStr">
        <is>
          <t>가락동</t>
        </is>
      </c>
      <c r="B31" s="263" t="n"/>
      <c r="C31" s="263" t="n"/>
      <c r="D31" s="263" t="n">
        <v>348</v>
      </c>
      <c r="E31" s="264" t="inlineStr">
        <is>
          <t>가락우성1차</t>
        </is>
      </c>
      <c r="F31" s="263" t="n">
        <v>109</v>
      </c>
      <c r="G31" s="263" t="n"/>
      <c r="H31" s="263" t="n"/>
      <c r="I31" s="263">
        <f>G31-H31</f>
        <v/>
      </c>
      <c r="J31" s="323">
        <f>H31/G31</f>
        <v/>
      </c>
      <c r="K31" s="263" t="n">
        <v>1986.12</v>
      </c>
      <c r="L31" s="263" t="n">
        <v>838</v>
      </c>
      <c r="M31" s="263">
        <f>2026-INT(K31)+1</f>
        <v/>
      </c>
      <c r="N31" s="263" t="n">
        <v>90</v>
      </c>
      <c r="O31" s="263" t="n"/>
      <c r="P31" s="263" t="n">
        <v>128</v>
      </c>
      <c r="Q31" s="263" t="n">
        <v>39</v>
      </c>
      <c r="R31" s="263" t="inlineStr">
        <is>
          <t>계단식</t>
        </is>
      </c>
      <c r="S31" s="263" t="n">
        <v>4</v>
      </c>
      <c r="T31" s="263" t="n">
        <v>2</v>
      </c>
      <c r="U31" s="263" t="n">
        <v>16.5</v>
      </c>
      <c r="V31" s="263" t="n">
        <v>16.5</v>
      </c>
      <c r="W31" s="263" t="inlineStr">
        <is>
          <t>계단식</t>
        </is>
      </c>
      <c r="X31" s="263" t="n">
        <v>4</v>
      </c>
      <c r="Y31" s="263" t="n">
        <v>2</v>
      </c>
      <c r="Z31" s="263" t="n">
        <v>90</v>
      </c>
      <c r="AA31" s="263" t="n"/>
      <c r="AB31" s="263" t="n"/>
      <c r="AC31" s="263" t="n"/>
      <c r="AD31" s="263" t="n"/>
      <c r="AE31" s="263" t="n"/>
      <c r="AF31" s="263" t="n"/>
      <c r="AG31" s="263" t="n"/>
      <c r="AH31" s="263" t="n"/>
      <c r="AI31" s="263" t="n"/>
      <c r="AJ31" s="263" t="n"/>
      <c r="AK31" s="263" t="n"/>
    </row>
    <row r="32">
      <c r="A32" s="266" t="inlineStr">
        <is>
          <t>가락동</t>
        </is>
      </c>
      <c r="B32" s="263" t="n"/>
      <c r="C32" s="263" t="n"/>
      <c r="D32" s="266" t="n">
        <v>348</v>
      </c>
      <c r="E32" s="264" t="inlineStr">
        <is>
          <t>가락우성1차</t>
        </is>
      </c>
      <c r="F32" s="266" t="n">
        <v>127</v>
      </c>
      <c r="G32" s="263" t="n"/>
      <c r="H32" s="263" t="n"/>
      <c r="I32" s="263">
        <f>G32-H32</f>
        <v/>
      </c>
      <c r="J32" s="323">
        <f>H32/G32</f>
        <v/>
      </c>
      <c r="K32" s="266" t="n">
        <v>1986.12</v>
      </c>
      <c r="L32" s="266" t="n">
        <v>838</v>
      </c>
      <c r="M32" s="266">
        <f>2026-INT(K32)+1</f>
        <v/>
      </c>
      <c r="N32" s="266" t="n">
        <v>120</v>
      </c>
      <c r="O32" s="263" t="n"/>
      <c r="P32" s="266" t="n">
        <v>147</v>
      </c>
      <c r="Q32" s="266" t="n">
        <v>44</v>
      </c>
      <c r="R32" s="266" t="inlineStr">
        <is>
          <t>계단식</t>
        </is>
      </c>
      <c r="S32" s="266" t="n">
        <v>4</v>
      </c>
      <c r="T32" s="266" t="n">
        <v>2</v>
      </c>
      <c r="U32" s="266" t="n">
        <v>18.3</v>
      </c>
      <c r="V32" s="266" t="n">
        <v>18.3</v>
      </c>
      <c r="W32" s="266" t="inlineStr">
        <is>
          <t>계단식</t>
        </is>
      </c>
      <c r="X32" s="266" t="n">
        <v>4</v>
      </c>
      <c r="Y32" s="266" t="n">
        <v>2</v>
      </c>
      <c r="Z32" s="266" t="n">
        <v>120</v>
      </c>
      <c r="AA32" s="263" t="n"/>
      <c r="AB32" s="263" t="n"/>
      <c r="AC32" s="263" t="n"/>
      <c r="AD32" s="263" t="n"/>
      <c r="AE32" s="263" t="n"/>
      <c r="AF32" s="263" t="n"/>
      <c r="AG32" s="263" t="n"/>
      <c r="AH32" s="263" t="n"/>
      <c r="AI32" s="263" t="n"/>
      <c r="AJ32" s="263" t="n"/>
      <c r="AK32" s="263" t="n"/>
    </row>
    <row r="33">
      <c r="A33" s="458" t="inlineStr">
        <is>
          <t>가락동</t>
        </is>
      </c>
      <c r="D33" s="458" t="n">
        <v>341</v>
      </c>
      <c r="E33" s="265" t="inlineStr">
        <is>
          <t>가락한신</t>
        </is>
      </c>
      <c r="F33" s="458" t="n">
        <v>0</v>
      </c>
      <c r="I33" s="263">
        <f>G33-H33</f>
        <v/>
      </c>
      <c r="J33" s="323">
        <f>H33/G33</f>
        <v/>
      </c>
      <c r="K33" s="458" t="n">
        <v>1993.04</v>
      </c>
      <c r="L33" s="458" t="n">
        <v>256</v>
      </c>
      <c r="M33" s="458">
        <f>2026-INT(K33)+1</f>
        <v/>
      </c>
      <c r="N33" s="458" t="n">
        <v>0</v>
      </c>
      <c r="P33" s="458" t="n">
        <v>185</v>
      </c>
      <c r="Q33" s="458" t="n">
        <v>56</v>
      </c>
      <c r="R33" s="458" t="inlineStr">
        <is>
          <t>계단식</t>
        </is>
      </c>
      <c r="S33" s="458" t="n">
        <v>3</v>
      </c>
      <c r="T33" s="458" t="n">
        <v>2</v>
      </c>
      <c r="U33" s="458" t="n"/>
      <c r="V33" s="458" t="n"/>
      <c r="W33" s="458" t="inlineStr">
        <is>
          <t>계단식</t>
        </is>
      </c>
      <c r="X33" s="458" t="n">
        <v>3</v>
      </c>
      <c r="Y33" s="458" t="n">
        <v>2</v>
      </c>
      <c r="Z33" s="458" t="n">
        <v>0</v>
      </c>
    </row>
    <row r="34">
      <c r="A34" s="458" t="inlineStr">
        <is>
          <t>가락동</t>
        </is>
      </c>
      <c r="D34" s="458" t="n">
        <v>341</v>
      </c>
      <c r="E34" s="265" t="inlineStr">
        <is>
          <t>가락한신</t>
        </is>
      </c>
      <c r="F34" s="458" t="n">
        <v>84</v>
      </c>
      <c r="G34" s="458" t="n">
        <v>179000</v>
      </c>
      <c r="H34" s="458" t="n">
        <v>73001</v>
      </c>
      <c r="I34" s="263">
        <f>G34-H34</f>
        <v/>
      </c>
      <c r="J34" s="323">
        <f>H34/G34</f>
        <v/>
      </c>
      <c r="K34" s="458" t="n">
        <v>1993.04</v>
      </c>
      <c r="L34" s="458" t="n">
        <v>256</v>
      </c>
      <c r="M34" s="458">
        <f>2026-INT(K34)+1</f>
        <v/>
      </c>
      <c r="N34" s="458" t="n">
        <v>256</v>
      </c>
      <c r="P34" s="458" t="n">
        <v>102</v>
      </c>
      <c r="Q34" s="458" t="n">
        <v>31</v>
      </c>
      <c r="R34" s="458" t="inlineStr">
        <is>
          <t>계단식</t>
        </is>
      </c>
      <c r="S34" s="458" t="n">
        <v>3</v>
      </c>
      <c r="T34" s="458" t="n">
        <v>2</v>
      </c>
      <c r="U34" s="458" t="n">
        <v>14.5</v>
      </c>
      <c r="V34" s="458" t="n">
        <v>11.15</v>
      </c>
      <c r="W34" s="458" t="inlineStr">
        <is>
          <t>계단식</t>
        </is>
      </c>
      <c r="X34" s="458" t="n">
        <v>3</v>
      </c>
      <c r="Y34" s="458" t="n">
        <v>2</v>
      </c>
      <c r="Z34" s="458" t="n">
        <v>256</v>
      </c>
    </row>
    <row r="35">
      <c r="A35" s="263" t="inlineStr">
        <is>
          <t>가락동</t>
        </is>
      </c>
      <c r="B35" s="263" t="n"/>
      <c r="C35" s="263" t="n"/>
      <c r="D35" s="263" t="n">
        <v>593</v>
      </c>
      <c r="E35" s="269" t="inlineStr">
        <is>
          <t>극동</t>
        </is>
      </c>
      <c r="F35" s="263" t="n">
        <v>59</v>
      </c>
      <c r="G35" s="263" t="n">
        <v>123001</v>
      </c>
      <c r="H35" s="263" t="n">
        <v>45001</v>
      </c>
      <c r="I35" s="263">
        <f>G35-H35</f>
        <v/>
      </c>
      <c r="J35" s="323">
        <f>H35/G35</f>
        <v/>
      </c>
      <c r="K35" s="263" t="n">
        <v>1984.12</v>
      </c>
      <c r="L35" s="263" t="n">
        <v>555</v>
      </c>
      <c r="M35" s="263">
        <f>2026-INT(K35)+1</f>
        <v/>
      </c>
      <c r="N35" s="263" t="n">
        <v>105</v>
      </c>
      <c r="O35" s="263" t="n"/>
      <c r="P35" s="263" t="n">
        <v>79</v>
      </c>
      <c r="Q35" s="263" t="n">
        <v>24</v>
      </c>
      <c r="R35" s="263" t="inlineStr">
        <is>
          <t>복도식</t>
        </is>
      </c>
      <c r="S35" s="263" t="n">
        <v>2</v>
      </c>
      <c r="T35" s="263" t="n">
        <v>1</v>
      </c>
      <c r="U35" s="263" t="n"/>
      <c r="V35" s="263" t="n">
        <v>10.9</v>
      </c>
      <c r="W35" s="263" t="inlineStr">
        <is>
          <t>복도식</t>
        </is>
      </c>
      <c r="X35" s="263" t="n">
        <v>2</v>
      </c>
      <c r="Y35" s="263" t="n">
        <v>1</v>
      </c>
      <c r="Z35" s="263" t="n">
        <v>105</v>
      </c>
      <c r="AA35" s="263" t="n"/>
      <c r="AB35" s="263" t="n"/>
      <c r="AC35" s="263" t="n"/>
      <c r="AD35" s="263" t="n"/>
      <c r="AE35" s="263" t="n"/>
      <c r="AF35" s="263" t="n"/>
      <c r="AG35" s="263" t="n"/>
      <c r="AH35" s="263" t="n"/>
      <c r="AI35" s="263" t="n"/>
      <c r="AJ35" s="263" t="n"/>
      <c r="AK35" s="263" t="n"/>
    </row>
    <row r="36">
      <c r="A36" s="263" t="inlineStr">
        <is>
          <t>가락동</t>
        </is>
      </c>
      <c r="B36" s="263" t="n"/>
      <c r="C36" s="263" t="n"/>
      <c r="D36" s="263" t="n">
        <v>593</v>
      </c>
      <c r="E36" s="264" t="inlineStr">
        <is>
          <t>극동</t>
        </is>
      </c>
      <c r="F36" s="263" t="n">
        <v>84</v>
      </c>
      <c r="G36" s="263" t="n">
        <v>230000</v>
      </c>
      <c r="H36" s="263" t="n">
        <v>53001</v>
      </c>
      <c r="I36" s="263">
        <f>G36-H36</f>
        <v/>
      </c>
      <c r="J36" s="323">
        <f>H36/G36</f>
        <v/>
      </c>
      <c r="K36" s="263" t="n">
        <v>1984.12</v>
      </c>
      <c r="L36" s="263" t="n">
        <v>555</v>
      </c>
      <c r="M36" s="263">
        <f>2026-INT(K36)+1</f>
        <v/>
      </c>
      <c r="N36" s="263" t="n">
        <v>90</v>
      </c>
      <c r="O36" s="263" t="n"/>
      <c r="P36" s="263" t="n">
        <v>102</v>
      </c>
      <c r="Q36" s="263" t="n">
        <v>31</v>
      </c>
      <c r="R36" s="263" t="inlineStr">
        <is>
          <t>계단식</t>
        </is>
      </c>
      <c r="S36" s="263" t="n">
        <v>3</v>
      </c>
      <c r="T36" s="263" t="n">
        <v>1</v>
      </c>
      <c r="U36" s="263" t="n"/>
      <c r="V36" s="263" t="n"/>
      <c r="W36" s="263" t="inlineStr">
        <is>
          <t>계단식</t>
        </is>
      </c>
      <c r="X36" s="263" t="n">
        <v>3</v>
      </c>
      <c r="Y36" s="263" t="n">
        <v>1</v>
      </c>
      <c r="Z36" s="263" t="n">
        <v>90</v>
      </c>
      <c r="AA36" s="263" t="n"/>
      <c r="AB36" s="263" t="n"/>
      <c r="AC36" s="263" t="n"/>
      <c r="AD36" s="263" t="n"/>
      <c r="AE36" s="263" t="n"/>
      <c r="AF36" s="263" t="n"/>
      <c r="AG36" s="263" t="n"/>
      <c r="AH36" s="263" t="n"/>
      <c r="AI36" s="263" t="n"/>
      <c r="AJ36" s="263" t="n"/>
      <c r="AK36" s="263" t="n"/>
    </row>
    <row r="37">
      <c r="A37" s="266" t="inlineStr">
        <is>
          <t>가락동</t>
        </is>
      </c>
      <c r="B37" s="263" t="n"/>
      <c r="C37" s="263" t="n"/>
      <c r="D37" s="266" t="n">
        <v>593</v>
      </c>
      <c r="E37" s="264" t="inlineStr">
        <is>
          <t>극동</t>
        </is>
      </c>
      <c r="F37" s="266" t="n">
        <v>120</v>
      </c>
      <c r="G37" s="263" t="n"/>
      <c r="H37" s="263" t="n"/>
      <c r="I37" s="263">
        <f>G37-H37</f>
        <v/>
      </c>
      <c r="J37" s="323">
        <f>H37/G37</f>
        <v/>
      </c>
      <c r="K37" s="266" t="n">
        <v>1984.12</v>
      </c>
      <c r="L37" s="266" t="n">
        <v>555</v>
      </c>
      <c r="M37" s="266">
        <f>2026-INT(K37)+1</f>
        <v/>
      </c>
      <c r="N37" s="266" t="n">
        <v>210</v>
      </c>
      <c r="O37" s="263" t="n"/>
      <c r="P37" s="266" t="n">
        <v>139</v>
      </c>
      <c r="Q37" s="266" t="n">
        <v>42</v>
      </c>
      <c r="R37" s="266" t="inlineStr">
        <is>
          <t>계단식</t>
        </is>
      </c>
      <c r="S37" s="266" t="n">
        <v>4</v>
      </c>
      <c r="T37" s="266" t="n">
        <v>2</v>
      </c>
      <c r="U37" s="266" t="n">
        <v>18.9</v>
      </c>
      <c r="V37" s="266" t="n">
        <v>16.3</v>
      </c>
      <c r="W37" s="266" t="inlineStr">
        <is>
          <t>계단식</t>
        </is>
      </c>
      <c r="X37" s="266" t="n">
        <v>4</v>
      </c>
      <c r="Y37" s="266" t="n">
        <v>2</v>
      </c>
      <c r="Z37" s="266" t="n">
        <v>210</v>
      </c>
      <c r="AA37" s="263" t="n"/>
      <c r="AB37" s="263" t="n"/>
      <c r="AC37" s="263" t="n"/>
      <c r="AD37" s="263" t="n"/>
      <c r="AE37" s="263" t="n"/>
      <c r="AF37" s="263" t="n"/>
      <c r="AG37" s="263" t="n"/>
      <c r="AH37" s="263" t="n"/>
      <c r="AI37" s="263" t="n"/>
      <c r="AJ37" s="263" t="n"/>
      <c r="AK37" s="263" t="n"/>
    </row>
    <row r="38">
      <c r="A38" s="266" t="inlineStr">
        <is>
          <t>가락동</t>
        </is>
      </c>
      <c r="B38" s="263" t="n"/>
      <c r="C38" s="263" t="n"/>
      <c r="D38" s="266" t="n">
        <v>593</v>
      </c>
      <c r="E38" s="264" t="inlineStr">
        <is>
          <t>극동</t>
        </is>
      </c>
      <c r="F38" s="266" t="n">
        <v>149</v>
      </c>
      <c r="G38" s="263" t="n"/>
      <c r="H38" s="263" t="n"/>
      <c r="I38" s="263">
        <f>G38-H38</f>
        <v/>
      </c>
      <c r="J38" s="323">
        <f>H38/G38</f>
        <v/>
      </c>
      <c r="K38" s="266" t="n">
        <v>1984.12</v>
      </c>
      <c r="L38" s="266" t="n">
        <v>555</v>
      </c>
      <c r="M38" s="266">
        <f>2026-INT(K38)+1</f>
        <v/>
      </c>
      <c r="N38" s="266" t="n">
        <v>150</v>
      </c>
      <c r="O38" s="263" t="n"/>
      <c r="P38" s="266" t="n">
        <v>171</v>
      </c>
      <c r="Q38" s="266" t="n">
        <v>52</v>
      </c>
      <c r="R38" s="266" t="inlineStr">
        <is>
          <t>계단식</t>
        </is>
      </c>
      <c r="S38" s="266" t="n">
        <v>5</v>
      </c>
      <c r="T38" s="266" t="n">
        <v>2</v>
      </c>
      <c r="U38" s="266" t="n"/>
      <c r="V38" s="266" t="n">
        <v>16.85</v>
      </c>
      <c r="W38" s="266" t="inlineStr">
        <is>
          <t>계단식</t>
        </is>
      </c>
      <c r="X38" s="266" t="n">
        <v>5</v>
      </c>
      <c r="Y38" s="266" t="n">
        <v>2</v>
      </c>
      <c r="Z38" s="266" t="n">
        <v>150</v>
      </c>
      <c r="AA38" s="263" t="n"/>
      <c r="AB38" s="263" t="n"/>
      <c r="AC38" s="263" t="n"/>
      <c r="AD38" s="263" t="n"/>
      <c r="AE38" s="263" t="n"/>
      <c r="AF38" s="263" t="n"/>
      <c r="AG38" s="263" t="n"/>
      <c r="AH38" s="263" t="n"/>
      <c r="AI38" s="263" t="n"/>
      <c r="AJ38" s="263" t="n"/>
      <c r="AK38" s="263" t="n"/>
    </row>
    <row r="39">
      <c r="A39" s="458" t="inlineStr">
        <is>
          <t>가락동</t>
        </is>
      </c>
      <c r="D39" s="458" t="n">
        <v>22809</v>
      </c>
      <c r="E39" s="146" t="inlineStr">
        <is>
          <t>래미안파크팰리스</t>
        </is>
      </c>
      <c r="F39" s="458" t="n">
        <v>59</v>
      </c>
      <c r="G39" s="458" t="n">
        <v>206000</v>
      </c>
      <c r="H39" s="458" t="n">
        <v>85001</v>
      </c>
      <c r="I39" s="263">
        <f>G39-H39</f>
        <v/>
      </c>
      <c r="J39" s="323">
        <f>H39/G39</f>
        <v/>
      </c>
      <c r="K39" s="458" t="n">
        <v>2007.11</v>
      </c>
      <c r="L39" s="458" t="n">
        <v>919</v>
      </c>
      <c r="M39" s="458">
        <f>2026-INT(K39)+1</f>
        <v/>
      </c>
      <c r="N39" s="458" t="n">
        <v>194</v>
      </c>
      <c r="P39" s="458" t="n">
        <v>86</v>
      </c>
      <c r="Q39" s="458" t="n">
        <v>26</v>
      </c>
      <c r="R39" s="458" t="inlineStr">
        <is>
          <t>계단식</t>
        </is>
      </c>
      <c r="S39" s="458" t="n">
        <v>3</v>
      </c>
      <c r="T39" s="458" t="n">
        <v>2</v>
      </c>
      <c r="U39" s="458" t="n">
        <v>15.7</v>
      </c>
      <c r="V39" s="458" t="n">
        <v>12.5</v>
      </c>
      <c r="W39" s="458" t="inlineStr">
        <is>
          <t>계단식</t>
        </is>
      </c>
      <c r="X39" s="458" t="n">
        <v>3</v>
      </c>
      <c r="Y39" s="458" t="n">
        <v>2</v>
      </c>
      <c r="Z39" s="458" t="n">
        <v>194</v>
      </c>
    </row>
    <row r="40">
      <c r="A40" s="458" t="inlineStr">
        <is>
          <t>가락동</t>
        </is>
      </c>
      <c r="D40" s="458" t="n">
        <v>22809</v>
      </c>
      <c r="E40" s="265" t="inlineStr">
        <is>
          <t>래미안파크팰리스</t>
        </is>
      </c>
      <c r="F40" s="458" t="n">
        <v>84</v>
      </c>
      <c r="G40" s="263" t="n">
        <v>229000</v>
      </c>
      <c r="H40" s="458" t="n">
        <v>100000</v>
      </c>
      <c r="I40" s="263">
        <f>G40-H40</f>
        <v/>
      </c>
      <c r="J40" s="323">
        <f>H40/G40</f>
        <v/>
      </c>
      <c r="K40" s="458" t="n">
        <v>2007.11</v>
      </c>
      <c r="L40" s="458" t="n">
        <v>919</v>
      </c>
      <c r="M40" s="458">
        <f>2026-INT(K40)+1</f>
        <v/>
      </c>
      <c r="N40" s="458" t="n">
        <v>250</v>
      </c>
      <c r="P40" s="458" t="n">
        <v>106</v>
      </c>
      <c r="Q40" s="458" t="n">
        <v>32</v>
      </c>
      <c r="R40" s="458" t="inlineStr">
        <is>
          <t>계단식</t>
        </is>
      </c>
      <c r="S40" s="458" t="n">
        <v>3</v>
      </c>
      <c r="T40" s="458" t="n">
        <v>2</v>
      </c>
      <c r="U40" s="458" t="n">
        <v>18.1</v>
      </c>
      <c r="V40" s="458" t="n">
        <v>13.9</v>
      </c>
      <c r="W40" s="458" t="inlineStr">
        <is>
          <t>계단식</t>
        </is>
      </c>
      <c r="X40" s="458" t="n">
        <v>3</v>
      </c>
      <c r="Y40" s="458" t="n">
        <v>2</v>
      </c>
      <c r="Z40" s="458" t="n">
        <v>250</v>
      </c>
    </row>
    <row r="41">
      <c r="A41" s="458" t="inlineStr">
        <is>
          <t>가락동</t>
        </is>
      </c>
      <c r="D41" s="458" t="n">
        <v>22809</v>
      </c>
      <c r="E41" s="265" t="inlineStr">
        <is>
          <t>래미안파크팰리스</t>
        </is>
      </c>
      <c r="F41" s="458" t="n">
        <v>84</v>
      </c>
      <c r="I41" s="263">
        <f>G41-H41</f>
        <v/>
      </c>
      <c r="J41" s="323">
        <f>H41/G41</f>
        <v/>
      </c>
      <c r="K41" s="458" t="n">
        <v>2007.11</v>
      </c>
      <c r="L41" s="458" t="n">
        <v>919</v>
      </c>
      <c r="M41" s="458">
        <f>2026-INT(K41)+1</f>
        <v/>
      </c>
      <c r="N41" s="458" t="n">
        <v>299</v>
      </c>
      <c r="P41" s="458" t="n">
        <v>106</v>
      </c>
      <c r="Q41" s="458" t="n">
        <v>32</v>
      </c>
      <c r="R41" s="458" t="inlineStr">
        <is>
          <t>복합식</t>
        </is>
      </c>
      <c r="S41" s="458" t="n">
        <v>3</v>
      </c>
      <c r="T41" s="458" t="n">
        <v>2</v>
      </c>
      <c r="U41" s="458" t="n">
        <v>18.1</v>
      </c>
      <c r="V41" s="458" t="n">
        <v>13.9</v>
      </c>
      <c r="W41" s="458" t="inlineStr">
        <is>
          <t>복합식</t>
        </is>
      </c>
      <c r="X41" s="458" t="n">
        <v>3</v>
      </c>
      <c r="Y41" s="458" t="n">
        <v>2</v>
      </c>
      <c r="Z41" s="458" t="n">
        <v>299</v>
      </c>
    </row>
    <row r="42" ht="14" customHeight="1" s="476">
      <c r="A42" s="458" t="inlineStr">
        <is>
          <t>가락동</t>
        </is>
      </c>
      <c r="D42" s="458" t="n">
        <v>22809</v>
      </c>
      <c r="E42" s="265" t="inlineStr">
        <is>
          <t>래미안파크팰리스</t>
        </is>
      </c>
      <c r="F42" s="458" t="n">
        <v>114</v>
      </c>
      <c r="I42" s="263">
        <f>G42-H42</f>
        <v/>
      </c>
      <c r="J42" s="323">
        <f>H42/G42</f>
        <v/>
      </c>
      <c r="K42" s="458" t="n">
        <v>2007.11</v>
      </c>
      <c r="L42" s="458" t="n">
        <v>919</v>
      </c>
      <c r="M42" s="458">
        <f>2026-INT(K42)+1</f>
        <v/>
      </c>
      <c r="N42" s="458" t="n">
        <v>176</v>
      </c>
      <c r="P42" s="458" t="n">
        <v>142</v>
      </c>
      <c r="Q42" s="458" t="n">
        <v>43</v>
      </c>
      <c r="R42" s="458" t="inlineStr">
        <is>
          <t>계단식</t>
        </is>
      </c>
      <c r="S42" s="458" t="n">
        <v>4</v>
      </c>
      <c r="T42" s="458" t="n">
        <v>2</v>
      </c>
      <c r="U42" s="458" t="n">
        <v>20.3</v>
      </c>
      <c r="V42" s="458" t="n">
        <v>15.9</v>
      </c>
      <c r="W42" s="458" t="inlineStr">
        <is>
          <t>계단식</t>
        </is>
      </c>
      <c r="X42" s="458" t="n">
        <v>4</v>
      </c>
      <c r="Y42" s="458" t="n">
        <v>2</v>
      </c>
      <c r="Z42" s="458" t="n">
        <v>176</v>
      </c>
    </row>
    <row r="43">
      <c r="A43" s="263" t="inlineStr">
        <is>
          <t>가락동</t>
        </is>
      </c>
      <c r="B43" s="263" t="n"/>
      <c r="C43" s="263" t="n"/>
      <c r="D43" s="263" t="n">
        <v>596</v>
      </c>
      <c r="E43" s="269" t="inlineStr">
        <is>
          <t>미륭</t>
        </is>
      </c>
      <c r="F43" s="263" t="n">
        <v>50</v>
      </c>
      <c r="G43" s="263" t="n">
        <v>170000</v>
      </c>
      <c r="H43" s="263" t="n">
        <v>30001</v>
      </c>
      <c r="I43" s="263">
        <f>G43-H43</f>
        <v/>
      </c>
      <c r="J43" s="323">
        <f>H43/G43</f>
        <v/>
      </c>
      <c r="K43" s="263" t="n">
        <v>1986.11</v>
      </c>
      <c r="L43" s="263" t="n">
        <v>435</v>
      </c>
      <c r="M43" s="263">
        <f>2026-INT(K43)+1</f>
        <v/>
      </c>
      <c r="N43" s="263" t="n">
        <v>75</v>
      </c>
      <c r="O43" s="263" t="n"/>
      <c r="P43" s="263" t="n">
        <v>67</v>
      </c>
      <c r="Q43" s="263" t="n">
        <v>20</v>
      </c>
      <c r="R43" s="263" t="inlineStr">
        <is>
          <t>복도식</t>
        </is>
      </c>
      <c r="S43" s="263" t="n">
        <v>2</v>
      </c>
      <c r="T43" s="263" t="n">
        <v>1</v>
      </c>
      <c r="U43" s="263" t="n">
        <v>10</v>
      </c>
      <c r="V43" s="263" t="n"/>
      <c r="W43" s="263" t="inlineStr">
        <is>
          <t>복도식</t>
        </is>
      </c>
      <c r="X43" s="263" t="n">
        <v>2</v>
      </c>
      <c r="Y43" s="263" t="n">
        <v>1</v>
      </c>
      <c r="Z43" s="263" t="n">
        <v>75</v>
      </c>
      <c r="AA43" s="263" t="n"/>
      <c r="AB43" s="263" t="n"/>
      <c r="AC43" s="263" t="n"/>
      <c r="AD43" s="263" t="n"/>
      <c r="AE43" s="263" t="n"/>
      <c r="AF43" s="263" t="n"/>
      <c r="AG43" s="263" t="n"/>
      <c r="AH43" s="263" t="n"/>
      <c r="AI43" s="263" t="n"/>
      <c r="AJ43" s="263" t="n"/>
      <c r="AK43" s="263" t="n"/>
    </row>
    <row r="44">
      <c r="A44" s="263" t="inlineStr">
        <is>
          <t>가락동</t>
        </is>
      </c>
      <c r="B44" s="263" t="n"/>
      <c r="C44" s="263" t="n"/>
      <c r="D44" s="263" t="n">
        <v>596</v>
      </c>
      <c r="E44" s="264" t="inlineStr">
        <is>
          <t>미륭</t>
        </is>
      </c>
      <c r="F44" s="263" t="n">
        <v>60</v>
      </c>
      <c r="G44" s="263" t="n">
        <v>178000</v>
      </c>
      <c r="H44" s="263" t="n">
        <v>37001</v>
      </c>
      <c r="I44" s="263">
        <f>G44-H44</f>
        <v/>
      </c>
      <c r="J44" s="323">
        <f>H44/G44</f>
        <v/>
      </c>
      <c r="K44" s="263" t="n">
        <v>1986.11</v>
      </c>
      <c r="L44" s="263" t="n">
        <v>435</v>
      </c>
      <c r="M44" s="263">
        <f>2026-INT(K44)+1</f>
        <v/>
      </c>
      <c r="N44" s="263" t="n">
        <v>105</v>
      </c>
      <c r="O44" s="263" t="n"/>
      <c r="P44" s="263" t="n">
        <v>80</v>
      </c>
      <c r="Q44" s="263" t="n">
        <v>24</v>
      </c>
      <c r="R44" s="263" t="inlineStr">
        <is>
          <t>복도식</t>
        </is>
      </c>
      <c r="S44" s="263" t="n">
        <v>2</v>
      </c>
      <c r="T44" s="263" t="n">
        <v>1</v>
      </c>
      <c r="U44" s="263" t="n">
        <v>11.5</v>
      </c>
      <c r="V44" s="263" t="n"/>
      <c r="W44" s="263" t="inlineStr">
        <is>
          <t>복도식</t>
        </is>
      </c>
      <c r="X44" s="263" t="n">
        <v>2</v>
      </c>
      <c r="Y44" s="263" t="n">
        <v>1</v>
      </c>
      <c r="Z44" s="263" t="n">
        <v>105</v>
      </c>
      <c r="AA44" s="263" t="n"/>
      <c r="AB44" s="263" t="n"/>
      <c r="AC44" s="263" t="n"/>
      <c r="AD44" s="263" t="n"/>
      <c r="AE44" s="263" t="n"/>
      <c r="AF44" s="263" t="n"/>
      <c r="AG44" s="263" t="n"/>
      <c r="AH44" s="263" t="n"/>
      <c r="AI44" s="263" t="n"/>
      <c r="AJ44" s="263" t="n"/>
      <c r="AK44" s="263" t="n"/>
    </row>
    <row r="45">
      <c r="A45" s="266" t="inlineStr">
        <is>
          <t>가락동</t>
        </is>
      </c>
      <c r="B45" s="263" t="n"/>
      <c r="C45" s="263" t="n"/>
      <c r="D45" s="266" t="n">
        <v>596</v>
      </c>
      <c r="E45" s="264" t="inlineStr">
        <is>
          <t>미륭</t>
        </is>
      </c>
      <c r="F45" s="266" t="n">
        <v>64</v>
      </c>
      <c r="G45" s="263" t="n">
        <v>190000</v>
      </c>
      <c r="H45" s="263" t="n">
        <v>42001</v>
      </c>
      <c r="I45" s="263">
        <f>G45-H45</f>
        <v/>
      </c>
      <c r="J45" s="323">
        <f>H45/G45</f>
        <v/>
      </c>
      <c r="K45" s="266" t="n">
        <v>1986.11</v>
      </c>
      <c r="L45" s="266" t="n">
        <v>435</v>
      </c>
      <c r="M45" s="266">
        <f>2026-INT(K45)+1</f>
        <v/>
      </c>
      <c r="N45" s="266" t="n">
        <v>75</v>
      </c>
      <c r="O45" s="263" t="n"/>
      <c r="P45" s="266" t="n">
        <v>87</v>
      </c>
      <c r="Q45" s="266" t="n">
        <v>26</v>
      </c>
      <c r="R45" s="266" t="inlineStr">
        <is>
          <t>복도식</t>
        </is>
      </c>
      <c r="S45" s="266" t="n">
        <v>3</v>
      </c>
      <c r="T45" s="266" t="n">
        <v>1</v>
      </c>
      <c r="U45" s="266" t="n">
        <v>13</v>
      </c>
      <c r="V45" s="266" t="n"/>
      <c r="W45" s="266" t="inlineStr">
        <is>
          <t>복도식</t>
        </is>
      </c>
      <c r="X45" s="266" t="n">
        <v>3</v>
      </c>
      <c r="Y45" s="266" t="n">
        <v>1</v>
      </c>
      <c r="Z45" s="266" t="n">
        <v>75</v>
      </c>
      <c r="AA45" s="263" t="n"/>
      <c r="AB45" s="263" t="n"/>
      <c r="AC45" s="263" t="n"/>
      <c r="AD45" s="263" t="n"/>
      <c r="AE45" s="263" t="n"/>
      <c r="AF45" s="263" t="n"/>
      <c r="AG45" s="263" t="n"/>
      <c r="AH45" s="263" t="n"/>
      <c r="AI45" s="263" t="n"/>
      <c r="AJ45" s="263" t="n"/>
      <c r="AK45" s="263" t="n"/>
    </row>
    <row r="46" ht="14" customHeight="1" s="476">
      <c r="A46" s="266" t="inlineStr">
        <is>
          <t>가락동</t>
        </is>
      </c>
      <c r="B46" s="263" t="n"/>
      <c r="C46" s="263" t="n"/>
      <c r="D46" s="266" t="n">
        <v>596</v>
      </c>
      <c r="E46" s="264" t="inlineStr">
        <is>
          <t>미륭</t>
        </is>
      </c>
      <c r="F46" s="266" t="n">
        <v>83</v>
      </c>
      <c r="G46" s="263" t="n">
        <v>195000</v>
      </c>
      <c r="H46" s="263" t="n">
        <v>42001</v>
      </c>
      <c r="I46" s="263">
        <f>G46-H46</f>
        <v/>
      </c>
      <c r="J46" s="323">
        <f>H46/G46</f>
        <v/>
      </c>
      <c r="K46" s="266" t="n">
        <v>1986.11</v>
      </c>
      <c r="L46" s="266" t="n">
        <v>435</v>
      </c>
      <c r="M46" s="266">
        <f>2026-INT(K46)+1</f>
        <v/>
      </c>
      <c r="N46" s="266" t="n">
        <v>180</v>
      </c>
      <c r="O46" s="263" t="n"/>
      <c r="P46" s="266" t="n">
        <v>100</v>
      </c>
      <c r="Q46" s="266" t="n">
        <v>30</v>
      </c>
      <c r="R46" s="266" t="inlineStr">
        <is>
          <t>계단식</t>
        </is>
      </c>
      <c r="S46" s="266" t="n">
        <v>3</v>
      </c>
      <c r="T46" s="266" t="n">
        <v>1</v>
      </c>
      <c r="U46" s="266" t="n"/>
      <c r="V46" s="266" t="n">
        <v>11.1</v>
      </c>
      <c r="W46" s="266" t="inlineStr">
        <is>
          <t>계단식</t>
        </is>
      </c>
      <c r="X46" s="266" t="n">
        <v>3</v>
      </c>
      <c r="Y46" s="266" t="n">
        <v>1</v>
      </c>
      <c r="Z46" s="266" t="n">
        <v>180</v>
      </c>
      <c r="AA46" s="263" t="n"/>
      <c r="AB46" s="263" t="n"/>
      <c r="AC46" s="263" t="n"/>
      <c r="AD46" s="263" t="n"/>
      <c r="AE46" s="263" t="n"/>
      <c r="AF46" s="263" t="n"/>
      <c r="AG46" s="263" t="n"/>
      <c r="AH46" s="263" t="n"/>
      <c r="AI46" s="263" t="n"/>
      <c r="AJ46" s="263" t="n"/>
      <c r="AK46" s="263" t="n"/>
    </row>
    <row r="47">
      <c r="A47" s="458" t="inlineStr">
        <is>
          <t>가락동</t>
        </is>
      </c>
      <c r="D47" s="458" t="n">
        <v>597</v>
      </c>
      <c r="E47" s="265" t="inlineStr">
        <is>
          <t>삼환가락</t>
        </is>
      </c>
      <c r="F47" s="458" t="n">
        <v>72</v>
      </c>
      <c r="G47" s="263" t="n">
        <v>210000</v>
      </c>
      <c r="H47" s="263" t="n">
        <v>37001</v>
      </c>
      <c r="I47" s="263">
        <f>G47-H47</f>
        <v/>
      </c>
      <c r="J47" s="323">
        <f>H47/G47</f>
        <v/>
      </c>
      <c r="K47" s="458" t="n">
        <v>1984.11</v>
      </c>
      <c r="L47" s="458" t="n">
        <v>648</v>
      </c>
      <c r="M47" s="458">
        <f>2026-INT(K47)+1</f>
        <v/>
      </c>
      <c r="N47" s="458" t="n">
        <v>192</v>
      </c>
      <c r="P47" s="458" t="n">
        <v>93</v>
      </c>
      <c r="Q47" s="458" t="n">
        <v>28</v>
      </c>
      <c r="R47" s="458" t="inlineStr">
        <is>
          <t>계단식</t>
        </is>
      </c>
      <c r="S47" s="458" t="n">
        <v>3</v>
      </c>
      <c r="T47" s="458" t="n">
        <v>1</v>
      </c>
      <c r="U47" s="458" t="n">
        <v>14.9</v>
      </c>
      <c r="V47" s="458" t="n">
        <v>10.65</v>
      </c>
      <c r="W47" s="458" t="inlineStr">
        <is>
          <t>계단식</t>
        </is>
      </c>
      <c r="X47" s="458" t="n">
        <v>3</v>
      </c>
      <c r="Y47" s="458" t="n">
        <v>1</v>
      </c>
      <c r="Z47" s="458" t="n">
        <v>192</v>
      </c>
    </row>
    <row r="48">
      <c r="A48" s="458" t="inlineStr">
        <is>
          <t>가락동</t>
        </is>
      </c>
      <c r="D48" s="458" t="n">
        <v>597</v>
      </c>
      <c r="E48" s="265" t="inlineStr">
        <is>
          <t>삼환가락</t>
        </is>
      </c>
      <c r="F48" s="458" t="n">
        <v>84</v>
      </c>
      <c r="G48" s="263" t="n">
        <v>225000</v>
      </c>
      <c r="H48" s="263" t="n">
        <v>40001</v>
      </c>
      <c r="I48" s="263">
        <f>G48-H48</f>
        <v/>
      </c>
      <c r="J48" s="323">
        <f>H48/G48</f>
        <v/>
      </c>
      <c r="K48" s="458" t="n">
        <v>1984.11</v>
      </c>
      <c r="L48" s="458" t="n">
        <v>648</v>
      </c>
      <c r="M48" s="458">
        <f>2026-INT(K48)+1</f>
        <v/>
      </c>
      <c r="N48" s="458" t="n">
        <v>192</v>
      </c>
      <c r="P48" s="458" t="n">
        <v>107</v>
      </c>
      <c r="Q48" s="458" t="n">
        <v>32</v>
      </c>
      <c r="R48" s="458" t="inlineStr">
        <is>
          <t>계단식</t>
        </is>
      </c>
      <c r="S48" s="458" t="n">
        <v>3</v>
      </c>
      <c r="T48" s="458" t="n">
        <v>1</v>
      </c>
      <c r="U48" s="458" t="n">
        <v>15.68</v>
      </c>
      <c r="V48" s="458" t="n">
        <v>8.1</v>
      </c>
      <c r="W48" s="458" t="inlineStr">
        <is>
          <t>계단식</t>
        </is>
      </c>
      <c r="X48" s="458" t="n">
        <v>3</v>
      </c>
      <c r="Y48" s="458" t="n">
        <v>1</v>
      </c>
      <c r="Z48" s="458" t="n">
        <v>192</v>
      </c>
    </row>
    <row r="49">
      <c r="A49" s="458" t="inlineStr">
        <is>
          <t>가락동</t>
        </is>
      </c>
      <c r="D49" s="458" t="n">
        <v>597</v>
      </c>
      <c r="E49" s="265" t="inlineStr">
        <is>
          <t>삼환가락</t>
        </is>
      </c>
      <c r="F49" s="458" t="n">
        <v>121</v>
      </c>
      <c r="I49" s="263">
        <f>G49-H49</f>
        <v/>
      </c>
      <c r="J49" s="323">
        <f>H49/G49</f>
        <v/>
      </c>
      <c r="K49" s="458" t="n">
        <v>1984.11</v>
      </c>
      <c r="L49" s="458" t="n">
        <v>648</v>
      </c>
      <c r="M49" s="458">
        <f>2026-INT(K49)+1</f>
        <v/>
      </c>
      <c r="N49" s="458" t="n">
        <v>264</v>
      </c>
      <c r="P49" s="458" t="n">
        <v>143</v>
      </c>
      <c r="Q49" s="458" t="n">
        <v>43</v>
      </c>
      <c r="R49" s="458" t="inlineStr">
        <is>
          <t>복합식</t>
        </is>
      </c>
      <c r="S49" s="458" t="n">
        <v>4</v>
      </c>
      <c r="T49" s="458" t="n">
        <v>2</v>
      </c>
      <c r="U49" s="458" t="n">
        <v>17.72</v>
      </c>
      <c r="V49" s="458" t="n">
        <v>9.619999999999999</v>
      </c>
      <c r="W49" s="458" t="inlineStr">
        <is>
          <t>복합식</t>
        </is>
      </c>
      <c r="X49" s="458" t="n">
        <v>4</v>
      </c>
      <c r="Y49" s="458" t="n">
        <v>2</v>
      </c>
      <c r="Z49" s="458" t="n">
        <v>264</v>
      </c>
    </row>
    <row r="50">
      <c r="A50" s="263" t="inlineStr">
        <is>
          <t>가락동</t>
        </is>
      </c>
      <c r="B50" s="263" t="n"/>
      <c r="C50" s="263" t="n"/>
      <c r="D50" s="263" t="n">
        <v>11733</v>
      </c>
      <c r="E50" s="269" t="inlineStr">
        <is>
          <t>송파동부센트레빌</t>
        </is>
      </c>
      <c r="F50" s="263" t="n">
        <v>84</v>
      </c>
      <c r="G50" s="263" t="n">
        <v>195001</v>
      </c>
      <c r="H50" s="263" t="n">
        <v>86001</v>
      </c>
      <c r="I50" s="263">
        <f>G50-H50</f>
        <v/>
      </c>
      <c r="J50" s="323">
        <f>H50/G50</f>
        <v/>
      </c>
      <c r="K50" s="263" t="n">
        <v>2004.12</v>
      </c>
      <c r="L50" s="263" t="n">
        <v>206</v>
      </c>
      <c r="M50" s="263">
        <f>2026-INT(K50)+1</f>
        <v/>
      </c>
      <c r="N50" s="263" t="n">
        <v>206</v>
      </c>
      <c r="O50" s="263" t="n"/>
      <c r="P50" s="263" t="n">
        <v>106</v>
      </c>
      <c r="Q50" s="263" t="n">
        <v>32</v>
      </c>
      <c r="R50" s="263" t="inlineStr">
        <is>
          <t>계단식</t>
        </is>
      </c>
      <c r="S50" s="263" t="n">
        <v>3</v>
      </c>
      <c r="T50" s="263" t="n">
        <v>2</v>
      </c>
      <c r="U50" s="263" t="n">
        <v>16.4</v>
      </c>
      <c r="V50" s="263" t="n">
        <v>12.65</v>
      </c>
      <c r="W50" s="263" t="inlineStr">
        <is>
          <t>계단식</t>
        </is>
      </c>
      <c r="X50" s="263" t="n">
        <v>3</v>
      </c>
      <c r="Y50" s="263" t="n">
        <v>2</v>
      </c>
      <c r="Z50" s="263" t="n">
        <v>206</v>
      </c>
      <c r="AA50" s="263" t="n"/>
      <c r="AB50" s="263" t="n"/>
      <c r="AC50" s="263" t="n"/>
      <c r="AD50" s="263" t="n"/>
      <c r="AE50" s="263" t="n"/>
      <c r="AF50" s="263" t="n"/>
      <c r="AG50" s="263" t="n"/>
      <c r="AH50" s="263" t="n"/>
      <c r="AI50" s="263" t="n"/>
      <c r="AJ50" s="263" t="n"/>
      <c r="AK50" s="263" t="n"/>
    </row>
    <row r="51">
      <c r="A51" s="458" t="inlineStr">
        <is>
          <t>가락동</t>
        </is>
      </c>
      <c r="D51" s="458" t="n">
        <v>12948</v>
      </c>
      <c r="E51" s="265" t="inlineStr">
        <is>
          <t>송파성원상떼빌(주상복합)</t>
        </is>
      </c>
      <c r="F51" s="458" t="n">
        <v>90</v>
      </c>
      <c r="I51" s="263">
        <f>G51-H51</f>
        <v/>
      </c>
      <c r="J51" s="323">
        <f>H51/G51</f>
        <v/>
      </c>
      <c r="K51" s="458" t="n">
        <v>2006.06</v>
      </c>
      <c r="L51" s="458" t="n">
        <v>324</v>
      </c>
      <c r="M51" s="458">
        <f>2026-INT(K51)+1</f>
        <v/>
      </c>
      <c r="N51" s="458" t="n">
        <v>30</v>
      </c>
      <c r="P51" s="458" t="n">
        <v>113</v>
      </c>
      <c r="Q51" s="458" t="n">
        <v>34</v>
      </c>
      <c r="R51" s="458" t="inlineStr">
        <is>
          <t>계단식</t>
        </is>
      </c>
      <c r="S51" s="458" t="n">
        <v>3</v>
      </c>
      <c r="T51" s="458" t="n">
        <v>2</v>
      </c>
      <c r="U51" s="458" t="n">
        <v>9.9</v>
      </c>
      <c r="V51" s="458" t="n">
        <v>9.300000000000001</v>
      </c>
      <c r="W51" s="458" t="inlineStr">
        <is>
          <t>계단식</t>
        </is>
      </c>
      <c r="X51" s="458" t="n">
        <v>3</v>
      </c>
      <c r="Y51" s="458" t="n">
        <v>2</v>
      </c>
      <c r="Z51" s="458" t="n">
        <v>30</v>
      </c>
    </row>
    <row r="52">
      <c r="A52" s="458" t="inlineStr">
        <is>
          <t>가락동</t>
        </is>
      </c>
      <c r="D52" s="458" t="n">
        <v>12948</v>
      </c>
      <c r="E52" s="265" t="inlineStr">
        <is>
          <t>송파성원상떼빌(주상복합)</t>
        </is>
      </c>
      <c r="F52" s="458" t="n">
        <v>99</v>
      </c>
      <c r="I52" s="263">
        <f>G52-H52</f>
        <v/>
      </c>
      <c r="J52" s="323">
        <f>H52/G52</f>
        <v/>
      </c>
      <c r="K52" s="458" t="n">
        <v>2006.06</v>
      </c>
      <c r="L52" s="458" t="n">
        <v>324</v>
      </c>
      <c r="M52" s="458">
        <f>2026-INT(K52)+1</f>
        <v/>
      </c>
      <c r="N52" s="458" t="n">
        <v>39</v>
      </c>
      <c r="P52" s="458" t="n">
        <v>124</v>
      </c>
      <c r="Q52" s="458" t="n">
        <v>38</v>
      </c>
      <c r="R52" s="458" t="inlineStr">
        <is>
          <t>계단식</t>
        </is>
      </c>
      <c r="S52" s="458" t="n">
        <v>3</v>
      </c>
      <c r="T52" s="458" t="n">
        <v>2</v>
      </c>
      <c r="U52" s="458" t="n"/>
      <c r="V52" s="458" t="n">
        <v>10.5</v>
      </c>
      <c r="W52" s="458" t="inlineStr">
        <is>
          <t>계단식</t>
        </is>
      </c>
      <c r="X52" s="458" t="n">
        <v>3</v>
      </c>
      <c r="Y52" s="458" t="n">
        <v>2</v>
      </c>
      <c r="Z52" s="458" t="n">
        <v>39</v>
      </c>
    </row>
    <row r="53">
      <c r="A53" s="458" t="inlineStr">
        <is>
          <t>가락동</t>
        </is>
      </c>
      <c r="D53" s="458" t="n">
        <v>12948</v>
      </c>
      <c r="E53" s="265" t="inlineStr">
        <is>
          <t>송파성원상떼빌(주상복합)</t>
        </is>
      </c>
      <c r="F53" s="458" t="n">
        <v>101</v>
      </c>
      <c r="I53" s="263">
        <f>G53-H53</f>
        <v/>
      </c>
      <c r="J53" s="323">
        <f>H53/G53</f>
        <v/>
      </c>
      <c r="K53" s="458" t="n">
        <v>2006.06</v>
      </c>
      <c r="L53" s="458" t="n">
        <v>324</v>
      </c>
      <c r="M53" s="458">
        <f>2026-INT(K53)+1</f>
        <v/>
      </c>
      <c r="N53" s="458" t="n">
        <v>28</v>
      </c>
      <c r="P53" s="458" t="n">
        <v>126</v>
      </c>
      <c r="Q53" s="458" t="n">
        <v>38</v>
      </c>
      <c r="R53" s="458" t="inlineStr">
        <is>
          <t>계단식</t>
        </is>
      </c>
      <c r="S53" s="458" t="n">
        <v>3</v>
      </c>
      <c r="T53" s="458" t="n">
        <v>2</v>
      </c>
      <c r="U53" s="458" t="n">
        <v>12.5</v>
      </c>
      <c r="V53" s="458" t="n">
        <v>10.5</v>
      </c>
      <c r="W53" s="458" t="inlineStr">
        <is>
          <t>계단식</t>
        </is>
      </c>
      <c r="X53" s="458" t="n">
        <v>3</v>
      </c>
      <c r="Y53" s="458" t="n">
        <v>2</v>
      </c>
      <c r="Z53" s="458" t="n">
        <v>28</v>
      </c>
    </row>
    <row r="54">
      <c r="A54" s="458" t="inlineStr">
        <is>
          <t>가락동</t>
        </is>
      </c>
      <c r="D54" s="458" t="n">
        <v>12948</v>
      </c>
      <c r="E54" s="265" t="inlineStr">
        <is>
          <t>송파성원상떼빌(주상복합)</t>
        </is>
      </c>
      <c r="F54" s="458" t="n">
        <v>103</v>
      </c>
      <c r="I54" s="263">
        <f>G54-H54</f>
        <v/>
      </c>
      <c r="J54" s="323">
        <f>H54/G54</f>
        <v/>
      </c>
      <c r="K54" s="458" t="n">
        <v>2006.06</v>
      </c>
      <c r="L54" s="458" t="n">
        <v>324</v>
      </c>
      <c r="M54" s="458">
        <f>2026-INT(K54)+1</f>
        <v/>
      </c>
      <c r="N54" s="458" t="n">
        <v>30</v>
      </c>
      <c r="P54" s="458" t="n">
        <v>129</v>
      </c>
      <c r="Q54" s="458" t="n">
        <v>39</v>
      </c>
      <c r="R54" s="458" t="inlineStr">
        <is>
          <t>계단식</t>
        </is>
      </c>
      <c r="S54" s="458" t="n">
        <v>3</v>
      </c>
      <c r="T54" s="458" t="n">
        <v>2</v>
      </c>
      <c r="U54" s="458" t="n">
        <v>12.5</v>
      </c>
      <c r="V54" s="458" t="n">
        <v>9.9</v>
      </c>
      <c r="W54" s="458" t="inlineStr">
        <is>
          <t>계단식</t>
        </is>
      </c>
      <c r="X54" s="458" t="n">
        <v>3</v>
      </c>
      <c r="Y54" s="458" t="n">
        <v>2</v>
      </c>
      <c r="Z54" s="458" t="n">
        <v>30</v>
      </c>
    </row>
    <row r="55">
      <c r="A55" s="458" t="inlineStr">
        <is>
          <t>가락동</t>
        </is>
      </c>
      <c r="D55" s="458" t="n">
        <v>12948</v>
      </c>
      <c r="E55" s="265" t="inlineStr">
        <is>
          <t>송파성원상떼빌(주상복합)</t>
        </is>
      </c>
      <c r="F55" s="458" t="n">
        <v>104</v>
      </c>
      <c r="I55" s="263">
        <f>G55-H55</f>
        <v/>
      </c>
      <c r="J55" s="323">
        <f>H55/G55</f>
        <v/>
      </c>
      <c r="K55" s="458" t="n">
        <v>2006.06</v>
      </c>
      <c r="L55" s="458" t="n">
        <v>324</v>
      </c>
      <c r="M55" s="458">
        <f>2026-INT(K55)+1</f>
        <v/>
      </c>
      <c r="N55" s="458" t="n">
        <v>8</v>
      </c>
      <c r="P55" s="458" t="n">
        <v>131</v>
      </c>
      <c r="Q55" s="458" t="n">
        <v>40</v>
      </c>
      <c r="R55" s="458" t="inlineStr">
        <is>
          <t>계단식</t>
        </is>
      </c>
      <c r="S55" s="458" t="n">
        <v>3</v>
      </c>
      <c r="T55" s="458" t="n">
        <v>2</v>
      </c>
      <c r="U55" s="458" t="n">
        <v>12.25</v>
      </c>
      <c r="V55" s="458" t="n">
        <v>9.9</v>
      </c>
      <c r="W55" s="458" t="inlineStr">
        <is>
          <t>계단식</t>
        </is>
      </c>
      <c r="X55" s="458" t="n">
        <v>3</v>
      </c>
      <c r="Y55" s="458" t="n">
        <v>2</v>
      </c>
      <c r="Z55" s="458" t="n">
        <v>8</v>
      </c>
    </row>
    <row r="56">
      <c r="A56" s="458" t="inlineStr">
        <is>
          <t>가락동</t>
        </is>
      </c>
      <c r="D56" s="458" t="n">
        <v>12948</v>
      </c>
      <c r="E56" s="265" t="inlineStr">
        <is>
          <t>송파성원상떼빌(주상복합)</t>
        </is>
      </c>
      <c r="F56" s="458" t="n">
        <v>108</v>
      </c>
      <c r="I56" s="263">
        <f>G56-H56</f>
        <v/>
      </c>
      <c r="J56" s="323">
        <f>H56/G56</f>
        <v/>
      </c>
      <c r="K56" s="458" t="n">
        <v>2006.06</v>
      </c>
      <c r="L56" s="458" t="n">
        <v>324</v>
      </c>
      <c r="M56" s="458">
        <f>2026-INT(K56)+1</f>
        <v/>
      </c>
      <c r="N56" s="458" t="n">
        <v>28</v>
      </c>
      <c r="P56" s="458" t="n">
        <v>135</v>
      </c>
      <c r="Q56" s="458" t="n">
        <v>41</v>
      </c>
      <c r="R56" s="458" t="inlineStr">
        <is>
          <t>계단식</t>
        </is>
      </c>
      <c r="S56" s="458" t="n">
        <v>4</v>
      </c>
      <c r="T56" s="458" t="n">
        <v>2</v>
      </c>
      <c r="U56" s="458" t="n">
        <v>11.8</v>
      </c>
      <c r="V56" s="458" t="n">
        <v>10.12</v>
      </c>
      <c r="W56" s="458" t="inlineStr">
        <is>
          <t>계단식</t>
        </is>
      </c>
      <c r="X56" s="458" t="n">
        <v>4</v>
      </c>
      <c r="Y56" s="458" t="n">
        <v>2</v>
      </c>
      <c r="Z56" s="458" t="n">
        <v>28</v>
      </c>
    </row>
    <row r="57">
      <c r="A57" s="458" t="inlineStr">
        <is>
          <t>가락동</t>
        </is>
      </c>
      <c r="D57" s="458" t="n">
        <v>12948</v>
      </c>
      <c r="E57" s="265" t="inlineStr">
        <is>
          <t>송파성원상떼빌(주상복합)</t>
        </is>
      </c>
      <c r="F57" s="458" t="n">
        <v>108</v>
      </c>
      <c r="I57" s="263">
        <f>G57-H57</f>
        <v/>
      </c>
      <c r="J57" s="323">
        <f>H57/G57</f>
        <v/>
      </c>
      <c r="K57" s="458" t="n">
        <v>2006.06</v>
      </c>
      <c r="L57" s="458" t="n">
        <v>324</v>
      </c>
      <c r="M57" s="458">
        <f>2026-INT(K57)+1</f>
        <v/>
      </c>
      <c r="N57" s="458" t="n">
        <v>5</v>
      </c>
      <c r="P57" s="458" t="n">
        <v>135</v>
      </c>
      <c r="Q57" s="458" t="n">
        <v>41</v>
      </c>
      <c r="R57" s="458" t="inlineStr">
        <is>
          <t>계단식</t>
        </is>
      </c>
      <c r="S57" s="458" t="n">
        <v>3</v>
      </c>
      <c r="T57" s="458" t="n">
        <v>2</v>
      </c>
      <c r="U57" s="458" t="n">
        <v>11.8</v>
      </c>
      <c r="V57" s="458" t="n">
        <v>10.12</v>
      </c>
      <c r="W57" s="458" t="inlineStr">
        <is>
          <t>계단식</t>
        </is>
      </c>
      <c r="X57" s="458" t="n">
        <v>3</v>
      </c>
      <c r="Y57" s="458" t="n">
        <v>2</v>
      </c>
      <c r="Z57" s="458" t="n">
        <v>5</v>
      </c>
    </row>
    <row r="58">
      <c r="A58" s="458" t="inlineStr">
        <is>
          <t>가락동</t>
        </is>
      </c>
      <c r="D58" s="458" t="n">
        <v>12948</v>
      </c>
      <c r="E58" s="265" t="inlineStr">
        <is>
          <t>송파성원상떼빌(주상복합)</t>
        </is>
      </c>
      <c r="F58" s="458" t="n">
        <v>112</v>
      </c>
      <c r="I58" s="263">
        <f>G58-H58</f>
        <v/>
      </c>
      <c r="J58" s="323">
        <f>H58/G58</f>
        <v/>
      </c>
      <c r="K58" s="458" t="n">
        <v>2006.06</v>
      </c>
      <c r="L58" s="458" t="n">
        <v>324</v>
      </c>
      <c r="M58" s="458">
        <f>2026-INT(K58)+1</f>
        <v/>
      </c>
      <c r="N58" s="458" t="n">
        <v>3</v>
      </c>
      <c r="P58" s="458" t="n">
        <v>140</v>
      </c>
      <c r="Q58" s="458" t="n">
        <v>42</v>
      </c>
      <c r="R58" s="458" t="inlineStr">
        <is>
          <t>계단식</t>
        </is>
      </c>
      <c r="S58" s="458" t="n">
        <v>4</v>
      </c>
      <c r="T58" s="458" t="n">
        <v>2</v>
      </c>
      <c r="V58" s="458" t="n">
        <v>10.3</v>
      </c>
      <c r="W58" s="458" t="inlineStr">
        <is>
          <t>계단식</t>
        </is>
      </c>
      <c r="X58" s="458" t="n">
        <v>4</v>
      </c>
      <c r="Y58" s="458" t="n">
        <v>2</v>
      </c>
      <c r="Z58" s="458" t="n">
        <v>3</v>
      </c>
    </row>
    <row r="59">
      <c r="A59" s="458" t="inlineStr">
        <is>
          <t>가락동</t>
        </is>
      </c>
      <c r="D59" s="458" t="n">
        <v>12948</v>
      </c>
      <c r="E59" s="265" t="inlineStr">
        <is>
          <t>송파성원상떼빌(주상복합)</t>
        </is>
      </c>
      <c r="F59" s="458" t="n">
        <v>117</v>
      </c>
      <c r="I59" s="263">
        <f>G59-H59</f>
        <v/>
      </c>
      <c r="J59" s="323">
        <f>H59/G59</f>
        <v/>
      </c>
      <c r="K59" s="458" t="n">
        <v>2006.06</v>
      </c>
      <c r="L59" s="458" t="n">
        <v>324</v>
      </c>
      <c r="M59" s="458">
        <f>2026-INT(K59)+1</f>
        <v/>
      </c>
      <c r="N59" s="458" t="n">
        <v>36</v>
      </c>
      <c r="P59" s="458" t="n">
        <v>146</v>
      </c>
      <c r="Q59" s="458" t="n">
        <v>44</v>
      </c>
      <c r="R59" s="458" t="inlineStr">
        <is>
          <t>계단식</t>
        </is>
      </c>
      <c r="S59" s="458" t="n">
        <v>3</v>
      </c>
      <c r="T59" s="458" t="n">
        <v>2</v>
      </c>
      <c r="W59" s="458" t="inlineStr">
        <is>
          <t>계단식</t>
        </is>
      </c>
      <c r="X59" s="458" t="n">
        <v>3</v>
      </c>
      <c r="Y59" s="458" t="n">
        <v>2</v>
      </c>
      <c r="Z59" s="458" t="n">
        <v>36</v>
      </c>
    </row>
    <row r="60">
      <c r="A60" s="458" t="inlineStr">
        <is>
          <t>가락동</t>
        </is>
      </c>
      <c r="D60" s="458" t="n">
        <v>12948</v>
      </c>
      <c r="E60" s="265" t="inlineStr">
        <is>
          <t>송파성원상떼빌(주상복합)</t>
        </is>
      </c>
      <c r="F60" s="458" t="n">
        <v>118</v>
      </c>
      <c r="I60" s="263">
        <f>G60-H60</f>
        <v/>
      </c>
      <c r="J60" s="323">
        <f>H60/G60</f>
        <v/>
      </c>
      <c r="K60" s="458" t="n">
        <v>2006.06</v>
      </c>
      <c r="L60" s="458" t="n">
        <v>324</v>
      </c>
      <c r="M60" s="458">
        <f>2026-INT(K60)+1</f>
        <v/>
      </c>
      <c r="N60" s="458" t="n">
        <v>8</v>
      </c>
      <c r="P60" s="458" t="n">
        <v>148</v>
      </c>
      <c r="Q60" s="458" t="n">
        <v>45</v>
      </c>
      <c r="R60" s="458" t="inlineStr">
        <is>
          <t>계단식</t>
        </is>
      </c>
      <c r="S60" s="458" t="n">
        <v>4</v>
      </c>
      <c r="T60" s="458" t="n">
        <v>2</v>
      </c>
      <c r="W60" s="458" t="inlineStr">
        <is>
          <t>계단식</t>
        </is>
      </c>
      <c r="X60" s="458" t="n">
        <v>4</v>
      </c>
      <c r="Y60" s="458" t="n">
        <v>2</v>
      </c>
      <c r="Z60" s="458" t="n">
        <v>8</v>
      </c>
    </row>
    <row r="61">
      <c r="A61" s="458" t="inlineStr">
        <is>
          <t>가락동</t>
        </is>
      </c>
      <c r="D61" s="458" t="n">
        <v>12948</v>
      </c>
      <c r="E61" s="265" t="inlineStr">
        <is>
          <t>송파성원상떼빌(주상복합)</t>
        </is>
      </c>
      <c r="F61" s="458" t="n">
        <v>121</v>
      </c>
      <c r="I61" s="263">
        <f>G61-H61</f>
        <v/>
      </c>
      <c r="J61" s="323">
        <f>H61/G61</f>
        <v/>
      </c>
      <c r="K61" s="458" t="n">
        <v>2006.06</v>
      </c>
      <c r="L61" s="458" t="n">
        <v>324</v>
      </c>
      <c r="M61" s="458">
        <f>2026-INT(K61)+1</f>
        <v/>
      </c>
      <c r="N61" s="458" t="n">
        <v>5</v>
      </c>
      <c r="P61" s="458" t="n">
        <v>151</v>
      </c>
      <c r="Q61" s="458" t="n">
        <v>46</v>
      </c>
      <c r="R61" s="458" t="inlineStr">
        <is>
          <t>계단식</t>
        </is>
      </c>
      <c r="S61" s="458" t="n">
        <v>4</v>
      </c>
      <c r="T61" s="458" t="n">
        <v>2</v>
      </c>
      <c r="W61" s="458" t="inlineStr">
        <is>
          <t>계단식</t>
        </is>
      </c>
      <c r="X61" s="458" t="n">
        <v>4</v>
      </c>
      <c r="Y61" s="458" t="n">
        <v>2</v>
      </c>
      <c r="Z61" s="458" t="n">
        <v>5</v>
      </c>
    </row>
    <row r="62">
      <c r="A62" s="458" t="inlineStr">
        <is>
          <t>가락동</t>
        </is>
      </c>
      <c r="D62" s="458" t="n">
        <v>12948</v>
      </c>
      <c r="E62" s="265" t="inlineStr">
        <is>
          <t>송파성원상떼빌(주상복합)</t>
        </is>
      </c>
      <c r="F62" s="458" t="n">
        <v>128</v>
      </c>
      <c r="I62" s="263">
        <f>G62-H62</f>
        <v/>
      </c>
      <c r="J62" s="323">
        <f>H62/G62</f>
        <v/>
      </c>
      <c r="K62" s="458" t="n">
        <v>2006.06</v>
      </c>
      <c r="L62" s="458" t="n">
        <v>324</v>
      </c>
      <c r="M62" s="458">
        <f>2026-INT(K62)+1</f>
        <v/>
      </c>
      <c r="N62" s="458" t="n">
        <v>8</v>
      </c>
      <c r="P62" s="458" t="n">
        <v>160</v>
      </c>
      <c r="Q62" s="458" t="n">
        <v>48</v>
      </c>
      <c r="R62" s="458" t="inlineStr">
        <is>
          <t>계단식</t>
        </is>
      </c>
      <c r="S62" s="458" t="n">
        <v>4</v>
      </c>
      <c r="T62" s="458" t="n">
        <v>2</v>
      </c>
      <c r="U62" s="458" t="n">
        <v>12.8</v>
      </c>
      <c r="W62" s="458" t="inlineStr">
        <is>
          <t>계단식</t>
        </is>
      </c>
      <c r="X62" s="458" t="n">
        <v>4</v>
      </c>
      <c r="Y62" s="458" t="n">
        <v>2</v>
      </c>
      <c r="Z62" s="458" t="n">
        <v>8</v>
      </c>
    </row>
    <row r="63">
      <c r="A63" s="458" t="inlineStr">
        <is>
          <t>가락동</t>
        </is>
      </c>
      <c r="D63" s="458" t="n">
        <v>12948</v>
      </c>
      <c r="E63" s="265" t="inlineStr">
        <is>
          <t>송파성원상떼빌(주상복합)</t>
        </is>
      </c>
      <c r="F63" s="458" t="n">
        <v>136</v>
      </c>
      <c r="I63" s="263">
        <f>G63-H63</f>
        <v/>
      </c>
      <c r="J63" s="323">
        <f>H63/G63</f>
        <v/>
      </c>
      <c r="K63" s="458" t="n">
        <v>2006.06</v>
      </c>
      <c r="L63" s="458" t="n">
        <v>324</v>
      </c>
      <c r="M63" s="458">
        <f>2026-INT(K63)+1</f>
        <v/>
      </c>
      <c r="N63" s="458" t="n">
        <v>30</v>
      </c>
      <c r="P63" s="458" t="n">
        <v>170</v>
      </c>
      <c r="Q63" s="458" t="n">
        <v>51</v>
      </c>
      <c r="R63" s="458" t="inlineStr">
        <is>
          <t>계단식</t>
        </is>
      </c>
      <c r="S63" s="458" t="n">
        <v>3</v>
      </c>
      <c r="T63" s="458" t="n">
        <v>2</v>
      </c>
      <c r="U63" s="458" t="n">
        <v>14.95</v>
      </c>
      <c r="V63" s="458" t="n"/>
      <c r="W63" s="458" t="inlineStr">
        <is>
          <t>계단식</t>
        </is>
      </c>
      <c r="X63" s="458" t="n">
        <v>3</v>
      </c>
      <c r="Y63" s="458" t="n">
        <v>2</v>
      </c>
      <c r="Z63" s="458" t="n">
        <v>30</v>
      </c>
    </row>
    <row r="64">
      <c r="A64" s="458" t="inlineStr">
        <is>
          <t>가락동</t>
        </is>
      </c>
      <c r="D64" s="458" t="n">
        <v>12948</v>
      </c>
      <c r="E64" s="265" t="inlineStr">
        <is>
          <t>송파성원상떼빌(주상복합)</t>
        </is>
      </c>
      <c r="F64" s="458" t="n">
        <v>141</v>
      </c>
      <c r="I64" s="263">
        <f>G64-H64</f>
        <v/>
      </c>
      <c r="J64" s="323">
        <f>H64/G64</f>
        <v/>
      </c>
      <c r="K64" s="458" t="n">
        <v>2006.06</v>
      </c>
      <c r="L64" s="458" t="n">
        <v>324</v>
      </c>
      <c r="M64" s="458">
        <f>2026-INT(K64)+1</f>
        <v/>
      </c>
      <c r="N64" s="458" t="n">
        <v>16</v>
      </c>
      <c r="P64" s="458" t="n">
        <v>176</v>
      </c>
      <c r="Q64" s="458" t="n">
        <v>53</v>
      </c>
      <c r="R64" s="458" t="inlineStr">
        <is>
          <t>계단식</t>
        </is>
      </c>
      <c r="S64" s="458" t="n">
        <v>4</v>
      </c>
      <c r="T64" s="458" t="n">
        <v>2</v>
      </c>
      <c r="U64" s="458" t="n"/>
      <c r="V64" s="458" t="n"/>
      <c r="W64" s="458" t="inlineStr">
        <is>
          <t>계단식</t>
        </is>
      </c>
      <c r="X64" s="458" t="n">
        <v>4</v>
      </c>
      <c r="Y64" s="458" t="n">
        <v>2</v>
      </c>
      <c r="Z64" s="458" t="n">
        <v>16</v>
      </c>
    </row>
    <row r="65">
      <c r="A65" s="458" t="inlineStr">
        <is>
          <t>가락동</t>
        </is>
      </c>
      <c r="D65" s="458" t="n">
        <v>12948</v>
      </c>
      <c r="E65" s="265" t="inlineStr">
        <is>
          <t>송파성원상떼빌(주상복합)</t>
        </is>
      </c>
      <c r="F65" s="458" t="n">
        <v>145</v>
      </c>
      <c r="I65" s="263">
        <f>G65-H65</f>
        <v/>
      </c>
      <c r="J65" s="323">
        <f>H65/G65</f>
        <v/>
      </c>
      <c r="K65" s="458" t="n">
        <v>2006.06</v>
      </c>
      <c r="L65" s="458" t="n">
        <v>324</v>
      </c>
      <c r="M65" s="458">
        <f>2026-INT(K65)+1</f>
        <v/>
      </c>
      <c r="N65" s="458" t="n">
        <v>6</v>
      </c>
      <c r="P65" s="458" t="n">
        <v>181</v>
      </c>
      <c r="Q65" s="458" t="n">
        <v>55</v>
      </c>
      <c r="R65" s="458" t="inlineStr">
        <is>
          <t>계단식</t>
        </is>
      </c>
      <c r="S65" s="458" t="n">
        <v>3</v>
      </c>
      <c r="T65" s="458" t="n">
        <v>2</v>
      </c>
      <c r="U65" s="458" t="n"/>
      <c r="V65" s="458" t="n">
        <v>14.25</v>
      </c>
      <c r="W65" s="458" t="inlineStr">
        <is>
          <t>계단식</t>
        </is>
      </c>
      <c r="X65" s="458" t="n">
        <v>3</v>
      </c>
      <c r="Y65" s="458" t="n">
        <v>2</v>
      </c>
      <c r="Z65" s="458" t="n">
        <v>6</v>
      </c>
    </row>
    <row r="66">
      <c r="A66" s="458" t="inlineStr">
        <is>
          <t>가락동</t>
        </is>
      </c>
      <c r="D66" s="458" t="n">
        <v>12948</v>
      </c>
      <c r="E66" s="265" t="inlineStr">
        <is>
          <t>송파성원상떼빌(주상복합)</t>
        </is>
      </c>
      <c r="F66" s="458" t="n">
        <v>145</v>
      </c>
      <c r="I66" s="263">
        <f>G66-H66</f>
        <v/>
      </c>
      <c r="J66" s="323">
        <f>H66/G66</f>
        <v/>
      </c>
      <c r="K66" s="458" t="n">
        <v>2006.06</v>
      </c>
      <c r="L66" s="458" t="n">
        <v>324</v>
      </c>
      <c r="M66" s="458">
        <f>2026-INT(K66)+1</f>
        <v/>
      </c>
      <c r="N66" s="458" t="n">
        <v>44</v>
      </c>
      <c r="P66" s="458" t="n">
        <v>182</v>
      </c>
      <c r="Q66" s="458" t="n">
        <v>55</v>
      </c>
      <c r="R66" s="458" t="inlineStr">
        <is>
          <t>계단식</t>
        </is>
      </c>
      <c r="S66" s="458" t="n">
        <v>4</v>
      </c>
      <c r="T66" s="458" t="n">
        <v>2</v>
      </c>
      <c r="V66" s="458" t="n">
        <v>14.25</v>
      </c>
      <c r="W66" s="458" t="inlineStr">
        <is>
          <t>계단식</t>
        </is>
      </c>
      <c r="X66" s="458" t="n">
        <v>4</v>
      </c>
      <c r="Y66" s="458" t="n">
        <v>2</v>
      </c>
      <c r="Z66" s="458" t="n">
        <v>44</v>
      </c>
    </row>
    <row r="67">
      <c r="A67" s="263" t="inlineStr">
        <is>
          <t>가락동</t>
        </is>
      </c>
      <c r="B67" s="263" t="n"/>
      <c r="C67" s="263" t="n"/>
      <c r="D67" s="263" t="n">
        <v>600</v>
      </c>
      <c r="E67" s="269" t="inlineStr">
        <is>
          <t>프라자</t>
        </is>
      </c>
      <c r="F67" s="263" t="n">
        <v>84</v>
      </c>
      <c r="G67" s="263" t="n">
        <v>165001</v>
      </c>
      <c r="H67" s="263" t="n">
        <v>35001</v>
      </c>
      <c r="I67" s="263">
        <f>G67-H67</f>
        <v/>
      </c>
      <c r="J67" s="323">
        <f>H67/G67</f>
        <v/>
      </c>
      <c r="K67" s="263" t="n">
        <v>1985.07</v>
      </c>
      <c r="L67" s="263" t="n">
        <v>672</v>
      </c>
      <c r="M67" s="263">
        <f>2026-INT(K67)+1</f>
        <v/>
      </c>
      <c r="N67" s="263" t="n">
        <v>288</v>
      </c>
      <c r="O67" s="263" t="n"/>
      <c r="P67" s="263" t="n">
        <v>101</v>
      </c>
      <c r="Q67" s="263" t="n">
        <v>31</v>
      </c>
      <c r="R67" s="263" t="inlineStr">
        <is>
          <t>계단식</t>
        </is>
      </c>
      <c r="S67" s="263" t="n">
        <v>3</v>
      </c>
      <c r="T67" s="263" t="n">
        <v>1</v>
      </c>
      <c r="U67" s="263" t="n">
        <v>15.7</v>
      </c>
      <c r="V67" s="263" t="n">
        <v>11</v>
      </c>
      <c r="W67" s="263" t="inlineStr">
        <is>
          <t>계단식</t>
        </is>
      </c>
      <c r="X67" s="263" t="n">
        <v>3</v>
      </c>
      <c r="Y67" s="263" t="n">
        <v>1</v>
      </c>
      <c r="Z67" s="263" t="n">
        <v>288</v>
      </c>
      <c r="AA67" s="263" t="n"/>
      <c r="AB67" s="263" t="n"/>
      <c r="AC67" s="263" t="n"/>
      <c r="AD67" s="263" t="n"/>
      <c r="AE67" s="263" t="n"/>
      <c r="AF67" s="263" t="n"/>
      <c r="AG67" s="263" t="n"/>
      <c r="AH67" s="263" t="n"/>
      <c r="AI67" s="263" t="n"/>
      <c r="AJ67" s="263" t="n"/>
      <c r="AK67" s="263" t="n"/>
    </row>
    <row r="68" ht="14" customHeight="1" s="476">
      <c r="A68" s="263" t="inlineStr">
        <is>
          <t>가락동</t>
        </is>
      </c>
      <c r="B68" s="263" t="n"/>
      <c r="C68" s="263" t="n"/>
      <c r="D68" s="263" t="n">
        <v>600</v>
      </c>
      <c r="E68" s="264" t="inlineStr">
        <is>
          <t>프라자</t>
        </is>
      </c>
      <c r="F68" s="263" t="n">
        <v>133</v>
      </c>
      <c r="G68" s="263" t="n"/>
      <c r="H68" s="263" t="n"/>
      <c r="I68" s="263">
        <f>G68-H68</f>
        <v/>
      </c>
      <c r="J68" s="323">
        <f>H68/G68</f>
        <v/>
      </c>
      <c r="K68" s="263" t="n">
        <v>1985.07</v>
      </c>
      <c r="L68" s="263" t="n">
        <v>672</v>
      </c>
      <c r="M68" s="263">
        <f>2026-INT(K68)+1</f>
        <v/>
      </c>
      <c r="N68" s="263" t="n">
        <v>288</v>
      </c>
      <c r="O68" s="263" t="n"/>
      <c r="P68" s="263" t="n">
        <v>156</v>
      </c>
      <c r="Q68" s="263" t="n">
        <v>47</v>
      </c>
      <c r="R68" s="263" t="inlineStr">
        <is>
          <t>계단식</t>
        </is>
      </c>
      <c r="S68" s="263" t="n">
        <v>4</v>
      </c>
      <c r="T68" s="263" t="n">
        <v>2</v>
      </c>
      <c r="U68" s="263" t="n">
        <v>17</v>
      </c>
      <c r="V68" s="263" t="n">
        <v>13.98</v>
      </c>
      <c r="W68" s="263" t="inlineStr">
        <is>
          <t>계단식</t>
        </is>
      </c>
      <c r="X68" s="263" t="n">
        <v>4</v>
      </c>
      <c r="Y68" s="263" t="n">
        <v>2</v>
      </c>
      <c r="Z68" s="263" t="n">
        <v>288</v>
      </c>
      <c r="AA68" s="263" t="n"/>
      <c r="AB68" s="263" t="n"/>
      <c r="AC68" s="263" t="n"/>
      <c r="AD68" s="263" t="n"/>
      <c r="AE68" s="263" t="n"/>
      <c r="AF68" s="263" t="n"/>
      <c r="AG68" s="263" t="n"/>
      <c r="AH68" s="263" t="n"/>
      <c r="AI68" s="263" t="n"/>
      <c r="AJ68" s="263" t="n"/>
      <c r="AK68" s="263" t="n"/>
    </row>
    <row r="69">
      <c r="A69" s="263" t="inlineStr">
        <is>
          <t>가락동</t>
        </is>
      </c>
      <c r="B69" s="263" t="n"/>
      <c r="C69" s="263" t="n"/>
      <c r="D69" s="263" t="n">
        <v>600</v>
      </c>
      <c r="E69" s="264" t="inlineStr">
        <is>
          <t>프라자</t>
        </is>
      </c>
      <c r="F69" s="263" t="n">
        <v>134</v>
      </c>
      <c r="G69" s="263" t="n"/>
      <c r="H69" s="263" t="n"/>
      <c r="I69" s="263">
        <f>G69-H69</f>
        <v/>
      </c>
      <c r="J69" s="323">
        <f>H69/G69</f>
        <v/>
      </c>
      <c r="K69" s="263" t="n">
        <v>1985.07</v>
      </c>
      <c r="L69" s="263" t="n">
        <v>672</v>
      </c>
      <c r="M69" s="263">
        <f>2026-INT(K69)+1</f>
        <v/>
      </c>
      <c r="N69" s="263" t="n">
        <v>48</v>
      </c>
      <c r="O69" s="263" t="n"/>
      <c r="P69" s="263" t="n">
        <v>155</v>
      </c>
      <c r="Q69" s="263" t="n">
        <v>47</v>
      </c>
      <c r="R69" s="263" t="inlineStr">
        <is>
          <t>계단식</t>
        </is>
      </c>
      <c r="S69" s="263" t="n">
        <v>4</v>
      </c>
      <c r="T69" s="263" t="n">
        <v>2</v>
      </c>
      <c r="U69" s="263" t="n">
        <v>17</v>
      </c>
      <c r="V69" s="263" t="n">
        <v>13.98</v>
      </c>
      <c r="W69" s="263" t="inlineStr">
        <is>
          <t>계단식</t>
        </is>
      </c>
      <c r="X69" s="263" t="n">
        <v>4</v>
      </c>
      <c r="Y69" s="263" t="n">
        <v>2</v>
      </c>
      <c r="Z69" s="263" t="n">
        <v>48</v>
      </c>
      <c r="AA69" s="263" t="n"/>
      <c r="AB69" s="263" t="n"/>
      <c r="AC69" s="263" t="n"/>
      <c r="AD69" s="263" t="n"/>
      <c r="AE69" s="263" t="n"/>
      <c r="AF69" s="263" t="n"/>
      <c r="AG69" s="263" t="n"/>
      <c r="AH69" s="263" t="n"/>
      <c r="AI69" s="263" t="n"/>
      <c r="AJ69" s="263" t="n"/>
      <c r="AK69" s="263" t="n"/>
    </row>
    <row r="70">
      <c r="A70" s="266" t="inlineStr">
        <is>
          <t>가락동</t>
        </is>
      </c>
      <c r="B70" s="263" t="n"/>
      <c r="C70" s="263" t="n"/>
      <c r="D70" s="266" t="n">
        <v>600</v>
      </c>
      <c r="E70" s="264" t="inlineStr">
        <is>
          <t>프라자</t>
        </is>
      </c>
      <c r="F70" s="266" t="n">
        <v>156</v>
      </c>
      <c r="G70" s="263" t="n"/>
      <c r="H70" s="263" t="n"/>
      <c r="I70" s="263">
        <f>G70-H70</f>
        <v/>
      </c>
      <c r="J70" s="323">
        <f>H70/G70</f>
        <v/>
      </c>
      <c r="K70" s="266" t="n">
        <v>1985.07</v>
      </c>
      <c r="L70" s="266" t="n">
        <v>672</v>
      </c>
      <c r="M70" s="266">
        <f>2026-INT(K70)+1</f>
        <v/>
      </c>
      <c r="N70" s="266" t="n">
        <v>48</v>
      </c>
      <c r="O70" s="263" t="n"/>
      <c r="P70" s="266" t="n">
        <v>180</v>
      </c>
      <c r="Q70" s="266" t="n">
        <v>54</v>
      </c>
      <c r="R70" s="266" t="inlineStr">
        <is>
          <t>계단식</t>
        </is>
      </c>
      <c r="S70" s="266" t="n">
        <v>5</v>
      </c>
      <c r="T70" s="266" t="n">
        <v>2</v>
      </c>
      <c r="U70" s="266" t="n">
        <v>19.4</v>
      </c>
      <c r="V70" s="266" t="n"/>
      <c r="W70" s="266" t="inlineStr">
        <is>
          <t>계단식</t>
        </is>
      </c>
      <c r="X70" s="266" t="n">
        <v>5</v>
      </c>
      <c r="Y70" s="266" t="n">
        <v>2</v>
      </c>
      <c r="Z70" s="266" t="n">
        <v>48</v>
      </c>
      <c r="AA70" s="263" t="n"/>
      <c r="AB70" s="263" t="n"/>
      <c r="AC70" s="263" t="n"/>
      <c r="AD70" s="263" t="n"/>
      <c r="AE70" s="263" t="n"/>
      <c r="AF70" s="263" t="n"/>
      <c r="AG70" s="263" t="n"/>
      <c r="AH70" s="263" t="n"/>
      <c r="AI70" s="263" t="n"/>
      <c r="AJ70" s="263" t="n"/>
      <c r="AK70" s="263" t="n"/>
    </row>
    <row r="71">
      <c r="A71" s="458" t="inlineStr">
        <is>
          <t>가락동</t>
        </is>
      </c>
      <c r="D71" s="458" t="n">
        <v>111515</v>
      </c>
      <c r="E71" s="146" t="inlineStr">
        <is>
          <t>헬리오시티</t>
        </is>
      </c>
      <c r="F71" s="458" t="n">
        <v>39</v>
      </c>
      <c r="G71" s="458" t="n">
        <v>190000</v>
      </c>
      <c r="H71" s="458" t="n">
        <v>100000</v>
      </c>
      <c r="I71" s="263">
        <f>G71-H71</f>
        <v/>
      </c>
      <c r="J71" s="323">
        <f>H71/G71</f>
        <v/>
      </c>
      <c r="K71" s="458" t="n">
        <v>2018.12</v>
      </c>
      <c r="L71" s="458" t="n">
        <v>9510</v>
      </c>
      <c r="M71" s="458">
        <f>2026-INT(K71)+1</f>
        <v/>
      </c>
      <c r="N71" s="458" t="n">
        <v>487</v>
      </c>
      <c r="P71" s="458" t="n">
        <v>61</v>
      </c>
      <c r="Q71" s="458" t="n">
        <v>18</v>
      </c>
      <c r="R71" s="458" t="inlineStr">
        <is>
          <t>계단식</t>
        </is>
      </c>
      <c r="S71" s="458" t="n">
        <v>2</v>
      </c>
      <c r="T71" s="458" t="n">
        <v>1</v>
      </c>
      <c r="U71" s="458" t="n">
        <v>13.5</v>
      </c>
      <c r="V71" s="458" t="n">
        <v>8.800000000000001</v>
      </c>
      <c r="W71" s="458" t="inlineStr">
        <is>
          <t>계단식</t>
        </is>
      </c>
      <c r="X71" s="458" t="n">
        <v>2</v>
      </c>
      <c r="Y71" s="458" t="n">
        <v>1</v>
      </c>
      <c r="Z71" s="458" t="n">
        <v>487</v>
      </c>
    </row>
    <row r="72">
      <c r="A72" s="458" t="inlineStr">
        <is>
          <t>가락동</t>
        </is>
      </c>
      <c r="D72" s="458" t="n">
        <v>111515</v>
      </c>
      <c r="E72" s="265" t="inlineStr">
        <is>
          <t>헬리오시티</t>
        </is>
      </c>
      <c r="F72" s="458" t="n">
        <v>49</v>
      </c>
      <c r="G72" s="458" t="n">
        <v>230000</v>
      </c>
      <c r="H72" s="458" t="n">
        <v>97000</v>
      </c>
      <c r="I72" s="263">
        <f>G72-H72</f>
        <v/>
      </c>
      <c r="J72" s="323">
        <f>H72/G72</f>
        <v/>
      </c>
      <c r="K72" s="458" t="n">
        <v>2018.12</v>
      </c>
      <c r="L72" s="458" t="n">
        <v>9510</v>
      </c>
      <c r="M72" s="458">
        <f>2026-INT(K72)+1</f>
        <v/>
      </c>
      <c r="N72" s="458" t="n">
        <v>220</v>
      </c>
      <c r="P72" s="458" t="n">
        <v>72</v>
      </c>
      <c r="Q72" s="458" t="n">
        <v>22</v>
      </c>
      <c r="R72" s="458" t="inlineStr">
        <is>
          <t>계단식</t>
        </is>
      </c>
      <c r="S72" s="458" t="n">
        <v>2</v>
      </c>
      <c r="T72" s="458" t="n">
        <v>1</v>
      </c>
      <c r="U72" s="458" t="n">
        <v>16.3</v>
      </c>
      <c r="V72" s="458" t="n">
        <v>12.5</v>
      </c>
      <c r="W72" s="458" t="inlineStr">
        <is>
          <t>계단식</t>
        </is>
      </c>
      <c r="X72" s="458" t="n">
        <v>2</v>
      </c>
      <c r="Y72" s="458" t="n">
        <v>1</v>
      </c>
      <c r="Z72" s="458" t="n">
        <v>220</v>
      </c>
    </row>
    <row r="73">
      <c r="A73" s="458" t="inlineStr">
        <is>
          <t>가락동</t>
        </is>
      </c>
      <c r="D73" s="458" t="n">
        <v>111515</v>
      </c>
      <c r="E73" s="265" t="inlineStr">
        <is>
          <t>헬리오시티</t>
        </is>
      </c>
      <c r="F73" s="458" t="n">
        <v>59</v>
      </c>
      <c r="G73" s="458" t="n">
        <v>254500</v>
      </c>
      <c r="H73" s="458" t="n">
        <v>110000</v>
      </c>
      <c r="I73" s="263">
        <f>G73-H73</f>
        <v/>
      </c>
      <c r="J73" s="323">
        <f>H73/G73</f>
        <v/>
      </c>
      <c r="K73" s="458" t="n">
        <v>2018.12</v>
      </c>
      <c r="L73" s="458" t="n">
        <v>9510</v>
      </c>
      <c r="M73" s="458">
        <f>2026-INT(K73)+1</f>
        <v/>
      </c>
      <c r="N73" s="458" t="n">
        <v>746</v>
      </c>
      <c r="P73" s="458" t="n">
        <v>84</v>
      </c>
      <c r="Q73" s="458" t="n">
        <v>25</v>
      </c>
      <c r="R73" s="458" t="inlineStr">
        <is>
          <t>계단식</t>
        </is>
      </c>
      <c r="S73" s="458" t="n">
        <v>3</v>
      </c>
      <c r="T73" s="458" t="n">
        <v>2</v>
      </c>
      <c r="U73" s="458" t="n">
        <v>20.9</v>
      </c>
      <c r="V73" s="458" t="n">
        <v>12.65</v>
      </c>
      <c r="W73" s="458" t="inlineStr">
        <is>
          <t>계단식</t>
        </is>
      </c>
      <c r="X73" s="458" t="n">
        <v>3</v>
      </c>
      <c r="Y73" s="458" t="n">
        <v>2</v>
      </c>
      <c r="Z73" s="458" t="n">
        <v>746</v>
      </c>
    </row>
    <row r="74">
      <c r="A74" s="458" t="inlineStr">
        <is>
          <t>가락동</t>
        </is>
      </c>
      <c r="D74" s="458" t="n">
        <v>111515</v>
      </c>
      <c r="E74" s="265" t="inlineStr">
        <is>
          <t>헬리오시티</t>
        </is>
      </c>
      <c r="F74" s="458" t="n">
        <v>84</v>
      </c>
      <c r="G74" s="273" t="n">
        <v>275000</v>
      </c>
      <c r="H74" s="458" t="n">
        <v>118000</v>
      </c>
      <c r="I74" s="263">
        <f>G74-H74</f>
        <v/>
      </c>
      <c r="J74" s="323">
        <f>H74/G74</f>
        <v/>
      </c>
      <c r="K74" s="458" t="n">
        <v>2018.12</v>
      </c>
      <c r="L74" s="458" t="n">
        <v>9510</v>
      </c>
      <c r="M74" s="458">
        <f>2026-INT(K74)+1</f>
        <v/>
      </c>
      <c r="N74" s="458" t="n">
        <v>5132</v>
      </c>
      <c r="P74" s="458" t="n">
        <v>107</v>
      </c>
      <c r="Q74" s="458" t="n">
        <v>32</v>
      </c>
      <c r="R74" s="458" t="inlineStr">
        <is>
          <t>계단식</t>
        </is>
      </c>
      <c r="S74" s="458" t="n">
        <v>3</v>
      </c>
      <c r="T74" s="458" t="n">
        <v>2</v>
      </c>
      <c r="U74" s="458" t="n">
        <v>24.5</v>
      </c>
      <c r="V74" s="458" t="n">
        <v>13.8</v>
      </c>
      <c r="W74" s="458" t="inlineStr">
        <is>
          <t>계단식</t>
        </is>
      </c>
      <c r="X74" s="458" t="n">
        <v>3</v>
      </c>
      <c r="Y74" s="458" t="n">
        <v>2</v>
      </c>
      <c r="Z74" s="458" t="n">
        <v>5132</v>
      </c>
    </row>
    <row r="75">
      <c r="A75" s="458" t="inlineStr">
        <is>
          <t>가락동</t>
        </is>
      </c>
      <c r="D75" s="458" t="n">
        <v>111515</v>
      </c>
      <c r="E75" s="265" t="inlineStr">
        <is>
          <t>헬리오시티</t>
        </is>
      </c>
      <c r="F75" s="458" t="n">
        <v>99</v>
      </c>
      <c r="I75" s="263">
        <f>G75-H75</f>
        <v/>
      </c>
      <c r="J75" s="323">
        <f>H75/G75</f>
        <v/>
      </c>
      <c r="K75" s="458" t="n">
        <v>2018.12</v>
      </c>
      <c r="L75" s="458" t="n">
        <v>9510</v>
      </c>
      <c r="M75" s="458">
        <f>2026-INT(K75)+1</f>
        <v/>
      </c>
      <c r="N75" s="458" t="n">
        <v>596</v>
      </c>
      <c r="P75" s="458" t="n">
        <v>126</v>
      </c>
      <c r="Q75" s="458" t="n">
        <v>38</v>
      </c>
      <c r="R75" s="458" t="inlineStr">
        <is>
          <t>계단식</t>
        </is>
      </c>
      <c r="S75" s="458" t="n">
        <v>4</v>
      </c>
      <c r="T75" s="458" t="n">
        <v>2</v>
      </c>
      <c r="U75" s="458" t="n">
        <v>25.25</v>
      </c>
      <c r="V75" s="458" t="n">
        <v>18.2</v>
      </c>
      <c r="W75" s="458" t="inlineStr">
        <is>
          <t>계단식</t>
        </is>
      </c>
      <c r="X75" s="458" t="n">
        <v>4</v>
      </c>
      <c r="Y75" s="458" t="n">
        <v>2</v>
      </c>
      <c r="Z75" s="458" t="n">
        <v>596</v>
      </c>
    </row>
    <row r="76">
      <c r="A76" s="458" t="inlineStr">
        <is>
          <t>가락동</t>
        </is>
      </c>
      <c r="D76" s="458" t="n">
        <v>111515</v>
      </c>
      <c r="E76" s="265" t="inlineStr">
        <is>
          <t>헬리오시티</t>
        </is>
      </c>
      <c r="F76" s="458" t="n">
        <v>110</v>
      </c>
      <c r="I76" s="263">
        <f>G76-H76</f>
        <v/>
      </c>
      <c r="J76" s="323">
        <f>H76/G76</f>
        <v/>
      </c>
      <c r="K76" s="458" t="n">
        <v>2018.12</v>
      </c>
      <c r="L76" s="458" t="n">
        <v>9510</v>
      </c>
      <c r="M76" s="458">
        <f>2026-INT(K76)+1</f>
        <v/>
      </c>
      <c r="N76" s="458" t="n">
        <v>768</v>
      </c>
      <c r="P76" s="458" t="n">
        <v>140</v>
      </c>
      <c r="Q76" s="458" t="n">
        <v>42</v>
      </c>
      <c r="R76" s="458" t="inlineStr">
        <is>
          <t>계단식</t>
        </is>
      </c>
      <c r="S76" s="458" t="n">
        <v>4</v>
      </c>
      <c r="T76" s="458" t="n">
        <v>2</v>
      </c>
      <c r="U76" s="458" t="n">
        <v>29.1</v>
      </c>
      <c r="V76" s="458" t="n">
        <v>20.88</v>
      </c>
      <c r="W76" s="458" t="inlineStr">
        <is>
          <t>계단식</t>
        </is>
      </c>
      <c r="X76" s="458" t="n">
        <v>4</v>
      </c>
      <c r="Y76" s="458" t="n">
        <v>2</v>
      </c>
      <c r="Z76" s="458" t="n">
        <v>768</v>
      </c>
    </row>
    <row r="77">
      <c r="A77" s="458" t="inlineStr">
        <is>
          <t>가락동</t>
        </is>
      </c>
      <c r="D77" s="458" t="n">
        <v>111515</v>
      </c>
      <c r="E77" s="265" t="inlineStr">
        <is>
          <t>헬리오시티</t>
        </is>
      </c>
      <c r="F77" s="458" t="n">
        <v>130</v>
      </c>
      <c r="I77" s="263">
        <f>G77-H77</f>
        <v/>
      </c>
      <c r="J77" s="323">
        <f>H77/G77</f>
        <v/>
      </c>
      <c r="K77" s="458" t="n">
        <v>2018.12</v>
      </c>
      <c r="L77" s="458" t="n">
        <v>9510</v>
      </c>
      <c r="M77" s="458">
        <f>2026-INT(K77)+1</f>
        <v/>
      </c>
      <c r="N77" s="458" t="n">
        <v>136</v>
      </c>
      <c r="P77" s="458" t="n">
        <v>163</v>
      </c>
      <c r="Q77" s="458" t="n">
        <v>49</v>
      </c>
      <c r="R77" s="458" t="inlineStr">
        <is>
          <t>계단식</t>
        </is>
      </c>
      <c r="S77" s="458" t="n">
        <v>4</v>
      </c>
      <c r="T77" s="458" t="n">
        <v>2</v>
      </c>
      <c r="U77" s="458" t="n">
        <v>34.8</v>
      </c>
      <c r="V77" s="458" t="n">
        <v>27</v>
      </c>
      <c r="W77" s="458" t="inlineStr">
        <is>
          <t>계단식</t>
        </is>
      </c>
      <c r="X77" s="458" t="n">
        <v>4</v>
      </c>
      <c r="Y77" s="458" t="n">
        <v>2</v>
      </c>
      <c r="Z77" s="458" t="n">
        <v>136</v>
      </c>
    </row>
    <row r="78">
      <c r="A78" s="458" t="inlineStr">
        <is>
          <t>가락동</t>
        </is>
      </c>
      <c r="D78" s="458" t="n">
        <v>111515</v>
      </c>
      <c r="E78" s="265" t="inlineStr">
        <is>
          <t>헬리오시티</t>
        </is>
      </c>
      <c r="F78" s="458" t="n">
        <v>150</v>
      </c>
      <c r="I78" s="263">
        <f>G78-H78</f>
        <v/>
      </c>
      <c r="J78" s="323">
        <f>H78/G78</f>
        <v/>
      </c>
      <c r="K78" s="458" t="n">
        <v>2018.12</v>
      </c>
      <c r="L78" s="458" t="n">
        <v>9510</v>
      </c>
      <c r="M78" s="458">
        <f>2026-INT(K78)+1</f>
        <v/>
      </c>
      <c r="N78" s="458" t="n">
        <v>24</v>
      </c>
      <c r="P78" s="458" t="n">
        <v>193</v>
      </c>
      <c r="Q78" s="458" t="n">
        <v>58</v>
      </c>
      <c r="R78" s="458" t="inlineStr">
        <is>
          <t>계단식</t>
        </is>
      </c>
      <c r="S78" s="458" t="n">
        <v>4</v>
      </c>
      <c r="T78" s="458" t="n">
        <v>2</v>
      </c>
      <c r="W78" s="458" t="inlineStr">
        <is>
          <t>계단식</t>
        </is>
      </c>
      <c r="X78" s="458" t="n">
        <v>4</v>
      </c>
      <c r="Y78" s="458" t="n">
        <v>2</v>
      </c>
      <c r="Z78" s="458" t="n">
        <v>24</v>
      </c>
    </row>
    <row r="79">
      <c r="A79" s="266" t="inlineStr">
        <is>
          <t>거여동</t>
        </is>
      </c>
      <c r="B79" s="263" t="n"/>
      <c r="C79" s="263" t="n"/>
      <c r="D79" s="266" t="n">
        <v>119875</v>
      </c>
      <c r="E79" s="264" t="inlineStr">
        <is>
          <t>e편한세상송파파크센트럴</t>
        </is>
      </c>
      <c r="F79" s="266" t="n">
        <v>59</v>
      </c>
      <c r="G79" s="263" t="n">
        <v>170000</v>
      </c>
      <c r="H79" s="263" t="n">
        <v>80000</v>
      </c>
      <c r="I79" s="263">
        <f>G79-H79</f>
        <v/>
      </c>
      <c r="J79" s="323">
        <f>H79/G79</f>
        <v/>
      </c>
      <c r="K79" s="266" t="n">
        <v>2021.05</v>
      </c>
      <c r="L79" s="266" t="n">
        <v>1199</v>
      </c>
      <c r="M79" s="266">
        <f>2026-INT(K79)+1</f>
        <v/>
      </c>
      <c r="N79" s="266" t="n">
        <v>305</v>
      </c>
      <c r="O79" s="263" t="n"/>
      <c r="P79" s="266" t="n">
        <v>81</v>
      </c>
      <c r="Q79" s="266" t="n">
        <v>25</v>
      </c>
      <c r="R79" s="266" t="inlineStr">
        <is>
          <t>계단식</t>
        </is>
      </c>
      <c r="S79" s="266" t="n">
        <v>3</v>
      </c>
      <c r="T79" s="266" t="n">
        <v>2</v>
      </c>
      <c r="U79" s="266" t="n">
        <v>13.67</v>
      </c>
      <c r="V79" s="266" t="n">
        <v>9.800000000000001</v>
      </c>
      <c r="W79" s="266" t="inlineStr">
        <is>
          <t>계단식</t>
        </is>
      </c>
      <c r="X79" s="266" t="n">
        <v>3</v>
      </c>
      <c r="Y79" s="266" t="n">
        <v>2</v>
      </c>
      <c r="Z79" s="266" t="n">
        <v>305</v>
      </c>
      <c r="AA79" s="263" t="n"/>
      <c r="AB79" s="263" t="n"/>
      <c r="AC79" s="263" t="n"/>
      <c r="AD79" s="263" t="n"/>
      <c r="AE79" s="263" t="n"/>
      <c r="AF79" s="263" t="n"/>
      <c r="AG79" s="263" t="n"/>
      <c r="AH79" s="263" t="n"/>
      <c r="AI79" s="263" t="n"/>
      <c r="AJ79" s="263" t="n"/>
      <c r="AK79" s="263" t="n"/>
    </row>
    <row r="80">
      <c r="A80" s="266" t="inlineStr">
        <is>
          <t>거여동</t>
        </is>
      </c>
      <c r="B80" s="263" t="n"/>
      <c r="C80" s="263" t="n"/>
      <c r="D80" s="266" t="n">
        <v>119875</v>
      </c>
      <c r="E80" s="264" t="inlineStr">
        <is>
          <t>e편한세상송파파크센트럴</t>
        </is>
      </c>
      <c r="F80" s="266" t="n">
        <v>84</v>
      </c>
      <c r="G80" s="263" t="n">
        <v>203000</v>
      </c>
      <c r="H80" s="263" t="n">
        <v>97000</v>
      </c>
      <c r="I80" s="263">
        <f>G80-H80</f>
        <v/>
      </c>
      <c r="J80" s="323">
        <f>H80/G80</f>
        <v/>
      </c>
      <c r="K80" s="266" t="n">
        <v>2021.05</v>
      </c>
      <c r="L80" s="266" t="n">
        <v>1199</v>
      </c>
      <c r="M80" s="266">
        <f>2026-INT(K80)+1</f>
        <v/>
      </c>
      <c r="N80" s="266" t="n">
        <v>494</v>
      </c>
      <c r="O80" s="263" t="n"/>
      <c r="P80" s="266" t="n">
        <v>111</v>
      </c>
      <c r="Q80" s="266" t="n">
        <v>34</v>
      </c>
      <c r="R80" s="266" t="inlineStr">
        <is>
          <t>계단식</t>
        </is>
      </c>
      <c r="S80" s="266" t="n">
        <v>3</v>
      </c>
      <c r="T80" s="266" t="n">
        <v>2</v>
      </c>
      <c r="U80" s="266" t="n">
        <v>16.95</v>
      </c>
      <c r="V80" s="266" t="n">
        <v>10</v>
      </c>
      <c r="W80" s="266" t="inlineStr">
        <is>
          <t>계단식</t>
        </is>
      </c>
      <c r="X80" s="266" t="n">
        <v>3</v>
      </c>
      <c r="Y80" s="266" t="n">
        <v>2</v>
      </c>
      <c r="Z80" s="266" t="n">
        <v>494</v>
      </c>
      <c r="AA80" s="263" t="n"/>
      <c r="AB80" s="263" t="n"/>
      <c r="AC80" s="263" t="n"/>
      <c r="AD80" s="263" t="n"/>
      <c r="AE80" s="263" t="n"/>
      <c r="AF80" s="263" t="n"/>
      <c r="AG80" s="263" t="n"/>
      <c r="AH80" s="263" t="n"/>
      <c r="AI80" s="263" t="n"/>
      <c r="AJ80" s="263" t="n"/>
      <c r="AK80" s="263" t="n"/>
    </row>
    <row r="81">
      <c r="A81" s="263" t="inlineStr">
        <is>
          <t>거여동</t>
        </is>
      </c>
      <c r="B81" s="263" t="n"/>
      <c r="C81" s="263" t="n"/>
      <c r="D81" s="263" t="n">
        <v>119875</v>
      </c>
      <c r="E81" s="264" t="inlineStr">
        <is>
          <t>e편한세상송파파크센트럴</t>
        </is>
      </c>
      <c r="F81" s="263" t="n">
        <v>84</v>
      </c>
      <c r="G81" s="263" t="n"/>
      <c r="H81" s="263" t="n"/>
      <c r="I81" s="263">
        <f>G81-H81</f>
        <v/>
      </c>
      <c r="J81" s="323">
        <f>H81/G81</f>
        <v/>
      </c>
      <c r="K81" s="263" t="n">
        <v>2021.05</v>
      </c>
      <c r="L81" s="263" t="n">
        <v>1199</v>
      </c>
      <c r="M81" s="263">
        <f>2026-INT(K81)+1</f>
        <v/>
      </c>
      <c r="N81" s="263" t="n">
        <v>50</v>
      </c>
      <c r="O81" s="263" t="n"/>
      <c r="P81" s="263" t="n">
        <v>111</v>
      </c>
      <c r="Q81" s="263" t="n">
        <v>34</v>
      </c>
      <c r="R81" s="263" t="inlineStr">
        <is>
          <t>계단식</t>
        </is>
      </c>
      <c r="S81" s="263" t="n">
        <v>3</v>
      </c>
      <c r="T81" s="263" t="n">
        <v>3</v>
      </c>
      <c r="U81" s="263" t="n">
        <v>16.95</v>
      </c>
      <c r="V81" s="263" t="n">
        <v>10</v>
      </c>
      <c r="W81" s="263" t="inlineStr">
        <is>
          <t>계단식</t>
        </is>
      </c>
      <c r="X81" s="263" t="n">
        <v>3</v>
      </c>
      <c r="Y81" s="263" t="n">
        <v>3</v>
      </c>
      <c r="Z81" s="263" t="n">
        <v>50</v>
      </c>
      <c r="AA81" s="263" t="n"/>
      <c r="AB81" s="263" t="n"/>
      <c r="AC81" s="263" t="n"/>
      <c r="AD81" s="263" t="n"/>
      <c r="AE81" s="263" t="n"/>
      <c r="AF81" s="263" t="n"/>
      <c r="AG81" s="263" t="n"/>
      <c r="AH81" s="263" t="n"/>
      <c r="AI81" s="263" t="n"/>
      <c r="AJ81" s="263" t="n"/>
      <c r="AK81" s="263" t="n"/>
    </row>
    <row r="82" ht="14" customHeight="1" s="476">
      <c r="A82" s="263" t="inlineStr">
        <is>
          <t>거여동</t>
        </is>
      </c>
      <c r="B82" s="263" t="n"/>
      <c r="C82" s="263" t="n"/>
      <c r="D82" s="263" t="n">
        <v>119875</v>
      </c>
      <c r="E82" s="264" t="inlineStr">
        <is>
          <t>e편한세상송파파크센트럴</t>
        </is>
      </c>
      <c r="F82" s="263" t="n">
        <v>113</v>
      </c>
      <c r="G82" s="263" t="n"/>
      <c r="H82" s="263" t="n"/>
      <c r="I82" s="263">
        <f>G82-H82</f>
        <v/>
      </c>
      <c r="J82" s="323">
        <f>H82/G82</f>
        <v/>
      </c>
      <c r="K82" s="263" t="n">
        <v>2021.05</v>
      </c>
      <c r="L82" s="263" t="n">
        <v>1199</v>
      </c>
      <c r="M82" s="263">
        <f>2026-INT(K82)+1</f>
        <v/>
      </c>
      <c r="N82" s="263" t="n">
        <v>119</v>
      </c>
      <c r="O82" s="263" t="n"/>
      <c r="P82" s="263" t="n">
        <v>137</v>
      </c>
      <c r="Q82" s="263" t="n">
        <v>41</v>
      </c>
      <c r="R82" s="263" t="inlineStr">
        <is>
          <t>계단식</t>
        </is>
      </c>
      <c r="S82" s="263" t="n">
        <v>4</v>
      </c>
      <c r="T82" s="263" t="n">
        <v>2</v>
      </c>
      <c r="U82" s="263" t="n">
        <v>14.8</v>
      </c>
      <c r="V82" s="263" t="n">
        <v>14.5</v>
      </c>
      <c r="W82" s="263" t="inlineStr">
        <is>
          <t>계단식</t>
        </is>
      </c>
      <c r="X82" s="263" t="n">
        <v>4</v>
      </c>
      <c r="Y82" s="263" t="n">
        <v>2</v>
      </c>
      <c r="Z82" s="263" t="n">
        <v>119</v>
      </c>
      <c r="AA82" s="263" t="n"/>
      <c r="AB82" s="263" t="n"/>
      <c r="AC82" s="263" t="n"/>
      <c r="AD82" s="263" t="n"/>
      <c r="AE82" s="263" t="n"/>
      <c r="AF82" s="263" t="n"/>
      <c r="AG82" s="263" t="n"/>
      <c r="AH82" s="263" t="n"/>
      <c r="AI82" s="263" t="n"/>
      <c r="AJ82" s="263" t="n"/>
      <c r="AK82" s="263" t="n"/>
    </row>
    <row r="83">
      <c r="A83" s="263" t="inlineStr">
        <is>
          <t>거여동</t>
        </is>
      </c>
      <c r="B83" s="263" t="n"/>
      <c r="C83" s="263" t="n"/>
      <c r="D83" s="263" t="n">
        <v>119875</v>
      </c>
      <c r="E83" s="264" t="inlineStr">
        <is>
          <t>e편한세상송파파크센트럴</t>
        </is>
      </c>
      <c r="F83" s="263" t="n">
        <v>140</v>
      </c>
      <c r="G83" s="263" t="n"/>
      <c r="H83" s="263" t="n"/>
      <c r="I83" s="263">
        <f>G83-H83</f>
        <v/>
      </c>
      <c r="J83" s="323">
        <f>H83/G83</f>
        <v/>
      </c>
      <c r="K83" s="263" t="n">
        <v>2021.05</v>
      </c>
      <c r="L83" s="263" t="n">
        <v>1199</v>
      </c>
      <c r="M83" s="263">
        <f>2026-INT(K83)+1</f>
        <v/>
      </c>
      <c r="N83" s="263" t="n">
        <v>3</v>
      </c>
      <c r="O83" s="263" t="n"/>
      <c r="P83" s="263" t="n">
        <v>182</v>
      </c>
      <c r="Q83" s="263" t="n">
        <v>55</v>
      </c>
      <c r="R83" s="263" t="inlineStr">
        <is>
          <t>계단식</t>
        </is>
      </c>
      <c r="S83" s="263" t="n">
        <v>4</v>
      </c>
      <c r="T83" s="263" t="n">
        <v>2</v>
      </c>
      <c r="U83" s="263" t="n"/>
      <c r="V83" s="263" t="n"/>
      <c r="W83" s="263" t="inlineStr">
        <is>
          <t>계단식</t>
        </is>
      </c>
      <c r="X83" s="263" t="n">
        <v>4</v>
      </c>
      <c r="Y83" s="263" t="n">
        <v>2</v>
      </c>
      <c r="Z83" s="263" t="n">
        <v>3</v>
      </c>
      <c r="AA83" s="263" t="n"/>
      <c r="AB83" s="263" t="n"/>
      <c r="AC83" s="263" t="n"/>
      <c r="AD83" s="263" t="n"/>
      <c r="AE83" s="263" t="n"/>
      <c r="AF83" s="263" t="n"/>
      <c r="AG83" s="263" t="n"/>
      <c r="AH83" s="263" t="n"/>
      <c r="AI83" s="263" t="n"/>
      <c r="AJ83" s="263" t="n"/>
      <c r="AK83" s="263" t="n"/>
    </row>
    <row r="84">
      <c r="A84" s="266" t="inlineStr">
        <is>
          <t>거여동</t>
        </is>
      </c>
      <c r="B84" s="263" t="n"/>
      <c r="C84" s="263" t="n"/>
      <c r="D84" s="266" t="n">
        <v>119875</v>
      </c>
      <c r="E84" s="264" t="inlineStr">
        <is>
          <t>e편한세상송파파크센트럴</t>
        </is>
      </c>
      <c r="F84" s="266" t="n">
        <v>151</v>
      </c>
      <c r="G84" s="263" t="n"/>
      <c r="H84" s="263" t="n"/>
      <c r="I84" s="263">
        <f>G84-H84</f>
        <v/>
      </c>
      <c r="J84" s="323">
        <f>H84/G84</f>
        <v/>
      </c>
      <c r="K84" s="266" t="n">
        <v>2021.05</v>
      </c>
      <c r="L84" s="266" t="n">
        <v>1199</v>
      </c>
      <c r="M84" s="266">
        <f>2026-INT(K84)+1</f>
        <v/>
      </c>
      <c r="N84" s="266" t="n">
        <v>1</v>
      </c>
      <c r="O84" s="263" t="n"/>
      <c r="P84" s="266" t="n">
        <v>198</v>
      </c>
      <c r="Q84" s="266" t="n">
        <v>60</v>
      </c>
      <c r="R84" s="266" t="inlineStr">
        <is>
          <t>계단식</t>
        </is>
      </c>
      <c r="S84" s="266" t="n">
        <v>5</v>
      </c>
      <c r="T84" s="266" t="n">
        <v>2</v>
      </c>
      <c r="U84" s="266" t="n"/>
      <c r="V84" s="266" t="n"/>
      <c r="W84" s="266" t="inlineStr">
        <is>
          <t>계단식</t>
        </is>
      </c>
      <c r="X84" s="266" t="n">
        <v>5</v>
      </c>
      <c r="Y84" s="266" t="n">
        <v>2</v>
      </c>
      <c r="Z84" s="266" t="n">
        <v>1</v>
      </c>
      <c r="AA84" s="263" t="n"/>
      <c r="AB84" s="263" t="n"/>
      <c r="AC84" s="263" t="n"/>
      <c r="AD84" s="263" t="n"/>
      <c r="AE84" s="263" t="n"/>
      <c r="AF84" s="263" t="n"/>
      <c r="AG84" s="263" t="n"/>
      <c r="AH84" s="263" t="n"/>
      <c r="AI84" s="263" t="n"/>
      <c r="AJ84" s="263" t="n"/>
      <c r="AK84" s="263" t="n"/>
    </row>
    <row r="85">
      <c r="A85" s="458" t="inlineStr">
        <is>
          <t>거여동</t>
        </is>
      </c>
      <c r="D85" s="458" t="n">
        <v>352</v>
      </c>
      <c r="E85" s="265" t="inlineStr">
        <is>
          <t>거여1단지</t>
        </is>
      </c>
      <c r="F85" s="458" t="n">
        <v>38</v>
      </c>
      <c r="G85" s="458" t="n">
        <v>95000</v>
      </c>
      <c r="H85" s="458" t="n">
        <v>40000</v>
      </c>
      <c r="I85" s="263">
        <f>G85-H85</f>
        <v/>
      </c>
      <c r="J85" s="323">
        <f>H85/G85</f>
        <v/>
      </c>
      <c r="K85" s="458" t="n">
        <v>1997.11</v>
      </c>
      <c r="L85" s="458" t="n">
        <v>1004</v>
      </c>
      <c r="M85" s="458">
        <f>2026-INT(K85)+1</f>
        <v/>
      </c>
      <c r="N85" s="458" t="n">
        <v>8</v>
      </c>
      <c r="P85" s="458" t="n">
        <v>54</v>
      </c>
      <c r="Q85" s="458" t="n">
        <v>16</v>
      </c>
      <c r="R85" s="458" t="inlineStr">
        <is>
          <t>복도식</t>
        </is>
      </c>
      <c r="S85" s="458" t="n">
        <v>2</v>
      </c>
      <c r="T85" s="458" t="n">
        <v>1</v>
      </c>
      <c r="U85" s="458" t="n"/>
      <c r="V85" s="458" t="n"/>
      <c r="W85" s="458" t="inlineStr">
        <is>
          <t>복도식</t>
        </is>
      </c>
      <c r="X85" s="458" t="n">
        <v>2</v>
      </c>
      <c r="Y85" s="458" t="n">
        <v>1</v>
      </c>
      <c r="Z85" s="458" t="n">
        <v>8</v>
      </c>
    </row>
    <row r="86">
      <c r="A86" s="458" t="inlineStr">
        <is>
          <t>거여동</t>
        </is>
      </c>
      <c r="D86" s="458" t="n">
        <v>352</v>
      </c>
      <c r="E86" s="265" t="inlineStr">
        <is>
          <t>거여1단지</t>
        </is>
      </c>
      <c r="F86" s="458" t="n">
        <v>39</v>
      </c>
      <c r="I86" s="263">
        <f>G86-H86</f>
        <v/>
      </c>
      <c r="J86" s="323">
        <f>H86/G86</f>
        <v/>
      </c>
      <c r="K86" s="458" t="n">
        <v>1997.11</v>
      </c>
      <c r="L86" s="458" t="n">
        <v>1004</v>
      </c>
      <c r="M86" s="458">
        <f>2026-INT(K86)+1</f>
        <v/>
      </c>
      <c r="N86" s="458" t="n">
        <v>322</v>
      </c>
      <c r="P86" s="458" t="n">
        <v>55</v>
      </c>
      <c r="Q86" s="458" t="n">
        <v>17</v>
      </c>
      <c r="R86" s="458" t="inlineStr">
        <is>
          <t>복도식</t>
        </is>
      </c>
      <c r="S86" s="458" t="n">
        <v>2</v>
      </c>
      <c r="T86" s="458" t="n">
        <v>1</v>
      </c>
      <c r="U86" s="458" t="n">
        <v>8.09</v>
      </c>
      <c r="V86" s="458" t="n">
        <v>5.45</v>
      </c>
      <c r="W86" s="458" t="inlineStr">
        <is>
          <t>복도식</t>
        </is>
      </c>
      <c r="X86" s="458" t="n">
        <v>2</v>
      </c>
      <c r="Y86" s="458" t="n">
        <v>1</v>
      </c>
      <c r="Z86" s="458" t="n">
        <v>322</v>
      </c>
    </row>
    <row r="87">
      <c r="A87" s="458" t="inlineStr">
        <is>
          <t>거여동</t>
        </is>
      </c>
      <c r="D87" s="458" t="n">
        <v>352</v>
      </c>
      <c r="E87" s="265" t="inlineStr">
        <is>
          <t>거여1단지</t>
        </is>
      </c>
      <c r="F87" s="458" t="n">
        <v>49</v>
      </c>
      <c r="G87" s="458" t="n">
        <v>123000</v>
      </c>
      <c r="H87" s="458" t="n">
        <v>50001</v>
      </c>
      <c r="I87" s="263">
        <f>G87-H87</f>
        <v/>
      </c>
      <c r="J87" s="323">
        <f>H87/G87</f>
        <v/>
      </c>
      <c r="K87" s="458" t="n">
        <v>1997.11</v>
      </c>
      <c r="L87" s="458" t="n">
        <v>1004</v>
      </c>
      <c r="M87" s="458">
        <f>2026-INT(K87)+1</f>
        <v/>
      </c>
      <c r="N87" s="458" t="n">
        <v>494</v>
      </c>
      <c r="P87" s="458" t="n">
        <v>70</v>
      </c>
      <c r="Q87" s="458" t="n">
        <v>21</v>
      </c>
      <c r="R87" s="458" t="inlineStr">
        <is>
          <t>복도식</t>
        </is>
      </c>
      <c r="S87" s="458" t="n">
        <v>2</v>
      </c>
      <c r="T87" s="458" t="n">
        <v>1</v>
      </c>
      <c r="U87" s="458" t="n">
        <v>10</v>
      </c>
      <c r="V87" s="458" t="n">
        <v>6.5</v>
      </c>
      <c r="W87" s="458" t="inlineStr">
        <is>
          <t>복도식</t>
        </is>
      </c>
      <c r="X87" s="458" t="n">
        <v>2</v>
      </c>
      <c r="Y87" s="458" t="n">
        <v>1</v>
      </c>
      <c r="Z87" s="458" t="n">
        <v>494</v>
      </c>
    </row>
    <row r="88">
      <c r="A88" s="458" t="inlineStr">
        <is>
          <t>거여동</t>
        </is>
      </c>
      <c r="D88" s="458" t="n">
        <v>352</v>
      </c>
      <c r="E88" s="265" t="inlineStr">
        <is>
          <t>거여1단지</t>
        </is>
      </c>
      <c r="F88" s="458" t="n">
        <v>58</v>
      </c>
      <c r="I88" s="263">
        <f>G88-H88</f>
        <v/>
      </c>
      <c r="J88" s="323">
        <f>H88/G88</f>
        <v/>
      </c>
      <c r="K88" s="458" t="n">
        <v>1997.11</v>
      </c>
      <c r="L88" s="458" t="n">
        <v>1004</v>
      </c>
      <c r="M88" s="458">
        <f>2026-INT(K88)+1</f>
        <v/>
      </c>
      <c r="N88" s="458" t="n">
        <v>8</v>
      </c>
      <c r="P88" s="458" t="n">
        <v>83</v>
      </c>
      <c r="Q88" s="458" t="n">
        <v>25</v>
      </c>
      <c r="R88" s="458" t="inlineStr">
        <is>
          <t>복도식</t>
        </is>
      </c>
      <c r="S88" s="458" t="n">
        <v>3</v>
      </c>
      <c r="T88" s="458" t="n">
        <v>1</v>
      </c>
      <c r="V88" s="458" t="n">
        <v>8.300000000000001</v>
      </c>
      <c r="W88" s="458" t="inlineStr">
        <is>
          <t>복도식</t>
        </is>
      </c>
      <c r="X88" s="458" t="n">
        <v>3</v>
      </c>
      <c r="Y88" s="458" t="n">
        <v>1</v>
      </c>
      <c r="Z88" s="458" t="n">
        <v>8</v>
      </c>
    </row>
    <row r="89" ht="14" customHeight="1" s="476">
      <c r="A89" s="458" t="inlineStr">
        <is>
          <t>거여동</t>
        </is>
      </c>
      <c r="D89" s="458" t="n">
        <v>352</v>
      </c>
      <c r="E89" s="265" t="inlineStr">
        <is>
          <t>거여1단지</t>
        </is>
      </c>
      <c r="F89" s="458" t="n">
        <v>59</v>
      </c>
      <c r="G89" s="458" t="n">
        <v>127001</v>
      </c>
      <c r="H89" s="458" t="n">
        <v>56001</v>
      </c>
      <c r="I89" s="263">
        <f>G89-H89</f>
        <v/>
      </c>
      <c r="J89" s="323">
        <f>H89/G89</f>
        <v/>
      </c>
      <c r="K89" s="458" t="n">
        <v>1997.11</v>
      </c>
      <c r="L89" s="458" t="n">
        <v>1004</v>
      </c>
      <c r="M89" s="458">
        <f>2026-INT(K89)+1</f>
        <v/>
      </c>
      <c r="N89" s="458" t="n">
        <v>172</v>
      </c>
      <c r="P89" s="458" t="n">
        <v>84</v>
      </c>
      <c r="Q89" s="458" t="n">
        <v>25</v>
      </c>
      <c r="R89" s="458" t="inlineStr">
        <is>
          <t>복도식</t>
        </is>
      </c>
      <c r="S89" s="458" t="n">
        <v>3</v>
      </c>
      <c r="T89" s="458" t="n">
        <v>1</v>
      </c>
      <c r="U89" s="458" t="n">
        <v>10.6</v>
      </c>
      <c r="V89" s="458" t="n">
        <v>8.1</v>
      </c>
      <c r="W89" s="458" t="inlineStr">
        <is>
          <t>복도식</t>
        </is>
      </c>
      <c r="X89" s="458" t="n">
        <v>3</v>
      </c>
      <c r="Y89" s="458" t="n">
        <v>1</v>
      </c>
      <c r="Z89" s="458" t="n">
        <v>172</v>
      </c>
    </row>
    <row r="90">
      <c r="A90" s="266" t="inlineStr">
        <is>
          <t>거여동</t>
        </is>
      </c>
      <c r="B90" s="263" t="n"/>
      <c r="C90" s="263" t="n"/>
      <c r="D90" s="266" t="n">
        <v>353</v>
      </c>
      <c r="E90" s="264" t="inlineStr">
        <is>
          <t>거여2단지효성,동아</t>
        </is>
      </c>
      <c r="F90" s="266" t="n">
        <v>101</v>
      </c>
      <c r="G90" s="263" t="n"/>
      <c r="H90" s="263" t="n"/>
      <c r="I90" s="263">
        <f>G90-H90</f>
        <v/>
      </c>
      <c r="J90" s="323">
        <f>H90/G90</f>
        <v/>
      </c>
      <c r="K90" s="266" t="n">
        <v>1997.12</v>
      </c>
      <c r="L90" s="266" t="n">
        <v>478</v>
      </c>
      <c r="M90" s="266">
        <f>2026-INT(K90)+1</f>
        <v/>
      </c>
      <c r="N90" s="266" t="n">
        <v>180</v>
      </c>
      <c r="O90" s="263" t="n"/>
      <c r="P90" s="266" t="n">
        <v>122</v>
      </c>
      <c r="Q90" s="266" t="n">
        <v>37</v>
      </c>
      <c r="R90" s="266" t="inlineStr">
        <is>
          <t>계단식</t>
        </is>
      </c>
      <c r="S90" s="266" t="n">
        <v>4</v>
      </c>
      <c r="T90" s="266" t="n">
        <v>2</v>
      </c>
      <c r="U90" s="266" t="n"/>
      <c r="V90" s="266" t="n"/>
      <c r="W90" s="266" t="inlineStr">
        <is>
          <t>계단식</t>
        </is>
      </c>
      <c r="X90" s="266" t="n">
        <v>4</v>
      </c>
      <c r="Y90" s="266" t="n">
        <v>2</v>
      </c>
      <c r="Z90" s="266" t="n">
        <v>180</v>
      </c>
      <c r="AA90" s="263" t="n"/>
      <c r="AB90" s="263" t="n"/>
      <c r="AC90" s="263" t="n"/>
      <c r="AD90" s="263" t="n"/>
      <c r="AE90" s="263" t="n"/>
      <c r="AF90" s="263" t="n"/>
      <c r="AG90" s="263" t="n"/>
      <c r="AH90" s="263" t="n"/>
      <c r="AI90" s="263" t="n"/>
      <c r="AJ90" s="263" t="n"/>
      <c r="AK90" s="263" t="n"/>
    </row>
    <row r="91">
      <c r="A91" s="263" t="inlineStr">
        <is>
          <t>거여동</t>
        </is>
      </c>
      <c r="B91" s="263" t="n"/>
      <c r="C91" s="263" t="n"/>
      <c r="D91" s="263" t="n">
        <v>353</v>
      </c>
      <c r="E91" s="264" t="inlineStr">
        <is>
          <t>거여2단지효성,동아</t>
        </is>
      </c>
      <c r="F91" s="263" t="n">
        <v>134</v>
      </c>
      <c r="G91" s="263" t="n"/>
      <c r="H91" s="263" t="n"/>
      <c r="I91" s="263">
        <f>G91-H91</f>
        <v/>
      </c>
      <c r="J91" s="323">
        <f>H91/G91</f>
        <v/>
      </c>
      <c r="K91" s="263" t="n">
        <v>1997.12</v>
      </c>
      <c r="L91" s="263" t="n">
        <v>478</v>
      </c>
      <c r="M91" s="263">
        <f>2026-INT(K91)+1</f>
        <v/>
      </c>
      <c r="N91" s="263" t="n">
        <v>298</v>
      </c>
      <c r="O91" s="263" t="n"/>
      <c r="P91" s="263" t="n">
        <v>158</v>
      </c>
      <c r="Q91" s="263" t="n">
        <v>48</v>
      </c>
      <c r="R91" s="263" t="inlineStr">
        <is>
          <t>계단식</t>
        </is>
      </c>
      <c r="S91" s="263" t="n">
        <v>4</v>
      </c>
      <c r="T91" s="263" t="n">
        <v>2</v>
      </c>
      <c r="U91" s="263" t="n"/>
      <c r="V91" s="263" t="n"/>
      <c r="W91" s="263" t="inlineStr">
        <is>
          <t>계단식</t>
        </is>
      </c>
      <c r="X91" s="263" t="n">
        <v>4</v>
      </c>
      <c r="Y91" s="263" t="n">
        <v>2</v>
      </c>
      <c r="Z91" s="263" t="n">
        <v>298</v>
      </c>
      <c r="AA91" s="263" t="n"/>
      <c r="AB91" s="263" t="n"/>
      <c r="AC91" s="263" t="n"/>
      <c r="AD91" s="263" t="n"/>
      <c r="AE91" s="263" t="n"/>
      <c r="AF91" s="263" t="n"/>
      <c r="AG91" s="263" t="n"/>
      <c r="AH91" s="263" t="n"/>
      <c r="AI91" s="263" t="n"/>
      <c r="AJ91" s="263" t="n"/>
      <c r="AK91" s="263" t="n"/>
    </row>
    <row r="92">
      <c r="A92" s="458" t="inlineStr">
        <is>
          <t>거여동</t>
        </is>
      </c>
      <c r="D92" s="458" t="n">
        <v>951</v>
      </c>
      <c r="E92" s="146" t="inlineStr">
        <is>
          <t>거여4단지</t>
        </is>
      </c>
      <c r="F92" s="458" t="n">
        <v>38</v>
      </c>
      <c r="G92" s="458" t="n">
        <v>63501</v>
      </c>
      <c r="H92" s="458" t="n">
        <v>32000</v>
      </c>
      <c r="I92" s="263">
        <f>G92-H92</f>
        <v/>
      </c>
      <c r="J92" s="323">
        <f>H92/G92</f>
        <v/>
      </c>
      <c r="K92" s="458" t="n">
        <v>1997.07</v>
      </c>
      <c r="L92" s="458" t="n">
        <v>546</v>
      </c>
      <c r="M92" s="458">
        <f>2026-INT(K92)+1</f>
        <v/>
      </c>
      <c r="N92" s="458" t="n">
        <v>8</v>
      </c>
      <c r="P92" s="458" t="n">
        <v>56</v>
      </c>
      <c r="Q92" s="458" t="n">
        <v>17</v>
      </c>
      <c r="R92" s="458" t="inlineStr">
        <is>
          <t>복도식</t>
        </is>
      </c>
      <c r="S92" s="458" t="n">
        <v>2</v>
      </c>
      <c r="T92" s="458" t="n">
        <v>1</v>
      </c>
      <c r="U92" s="458" t="n">
        <v>7.1</v>
      </c>
      <c r="V92" s="458" t="n">
        <v>6</v>
      </c>
      <c r="W92" s="458" t="inlineStr">
        <is>
          <t>복도식</t>
        </is>
      </c>
      <c r="X92" s="458" t="n">
        <v>2</v>
      </c>
      <c r="Y92" s="458" t="n">
        <v>1</v>
      </c>
      <c r="Z92" s="458" t="n">
        <v>8</v>
      </c>
    </row>
    <row r="93">
      <c r="A93" s="458" t="inlineStr">
        <is>
          <t>거여동</t>
        </is>
      </c>
      <c r="D93" s="458" t="n">
        <v>951</v>
      </c>
      <c r="E93" s="265" t="inlineStr">
        <is>
          <t>거여4단지</t>
        </is>
      </c>
      <c r="F93" s="458" t="n">
        <v>39</v>
      </c>
      <c r="G93" s="458" t="n">
        <v>92001</v>
      </c>
      <c r="H93" s="458" t="n">
        <v>40000</v>
      </c>
      <c r="I93" s="263">
        <f>G93-H93</f>
        <v/>
      </c>
      <c r="J93" s="323">
        <f>H93/G93</f>
        <v/>
      </c>
      <c r="K93" s="458" t="n">
        <v>1997.07</v>
      </c>
      <c r="L93" s="458" t="n">
        <v>546</v>
      </c>
      <c r="M93" s="458">
        <f>2026-INT(K93)+1</f>
        <v/>
      </c>
      <c r="N93" s="458" t="n">
        <v>166</v>
      </c>
      <c r="P93" s="458" t="n">
        <v>57</v>
      </c>
      <c r="Q93" s="458" t="n">
        <v>17</v>
      </c>
      <c r="R93" s="458" t="inlineStr">
        <is>
          <t>복도식</t>
        </is>
      </c>
      <c r="S93" s="458" t="n">
        <v>2</v>
      </c>
      <c r="T93" s="458" t="n">
        <v>1</v>
      </c>
      <c r="U93" s="458" t="n">
        <v>8.289999999999999</v>
      </c>
      <c r="V93" s="458" t="n">
        <v>5.98</v>
      </c>
      <c r="W93" s="458" t="inlineStr">
        <is>
          <t>복도식</t>
        </is>
      </c>
      <c r="X93" s="458" t="n">
        <v>2</v>
      </c>
      <c r="Y93" s="458" t="n">
        <v>1</v>
      </c>
      <c r="Z93" s="458" t="n">
        <v>166</v>
      </c>
    </row>
    <row r="94">
      <c r="A94" s="458" t="inlineStr">
        <is>
          <t>거여동</t>
        </is>
      </c>
      <c r="D94" s="458" t="n">
        <v>951</v>
      </c>
      <c r="E94" s="265" t="inlineStr">
        <is>
          <t>거여4단지</t>
        </is>
      </c>
      <c r="F94" s="458" t="n">
        <v>49</v>
      </c>
      <c r="G94" s="458" t="n">
        <v>135000</v>
      </c>
      <c r="H94" s="458" t="n">
        <v>42001</v>
      </c>
      <c r="I94" s="263">
        <f>G94-H94</f>
        <v/>
      </c>
      <c r="J94" s="323">
        <f>H94/G94</f>
        <v/>
      </c>
      <c r="K94" s="458" t="n">
        <v>1997.07</v>
      </c>
      <c r="L94" s="458" t="n">
        <v>546</v>
      </c>
      <c r="M94" s="458">
        <f>2026-INT(K94)+1</f>
        <v/>
      </c>
      <c r="N94" s="458" t="n">
        <v>177</v>
      </c>
      <c r="P94" s="458" t="n">
        <v>72</v>
      </c>
      <c r="Q94" s="458" t="n">
        <v>22</v>
      </c>
      <c r="R94" s="458" t="inlineStr">
        <is>
          <t>복도식</t>
        </is>
      </c>
      <c r="S94" s="458" t="n">
        <v>2</v>
      </c>
      <c r="T94" s="458" t="n">
        <v>1</v>
      </c>
      <c r="U94" s="458" t="n">
        <v>9.800000000000001</v>
      </c>
      <c r="V94" s="458" t="n">
        <v>6.93</v>
      </c>
      <c r="W94" s="458" t="inlineStr">
        <is>
          <t>복도식</t>
        </is>
      </c>
      <c r="X94" s="458" t="n">
        <v>2</v>
      </c>
      <c r="Y94" s="458" t="n">
        <v>1</v>
      </c>
      <c r="Z94" s="458" t="n">
        <v>177</v>
      </c>
    </row>
    <row r="95">
      <c r="A95" s="458" t="inlineStr">
        <is>
          <t>거여동</t>
        </is>
      </c>
      <c r="D95" s="458" t="n">
        <v>951</v>
      </c>
      <c r="E95" s="265" t="inlineStr">
        <is>
          <t>거여4단지</t>
        </is>
      </c>
      <c r="F95" s="458" t="n">
        <v>59</v>
      </c>
      <c r="G95" s="458" t="n">
        <v>16000</v>
      </c>
      <c r="H95" s="458" t="n">
        <v>54001</v>
      </c>
      <c r="I95" s="263">
        <f>G95-H95</f>
        <v/>
      </c>
      <c r="J95" s="323">
        <f>H95/G95</f>
        <v/>
      </c>
      <c r="K95" s="458" t="n">
        <v>1997.07</v>
      </c>
      <c r="L95" s="458" t="n">
        <v>546</v>
      </c>
      <c r="M95" s="458">
        <f>2026-INT(K95)+1</f>
        <v/>
      </c>
      <c r="N95" s="458" t="n">
        <v>195</v>
      </c>
      <c r="P95" s="458" t="n">
        <v>86</v>
      </c>
      <c r="Q95" s="458" t="n">
        <v>26</v>
      </c>
      <c r="R95" s="458" t="inlineStr">
        <is>
          <t>복도식</t>
        </is>
      </c>
      <c r="S95" s="458" t="n">
        <v>3</v>
      </c>
      <c r="T95" s="458" t="n">
        <v>1</v>
      </c>
      <c r="U95" s="458" t="n">
        <v>11.38</v>
      </c>
      <c r="V95" s="458" t="n">
        <v>8.699999999999999</v>
      </c>
      <c r="W95" s="458" t="inlineStr">
        <is>
          <t>복도식</t>
        </is>
      </c>
      <c r="X95" s="458" t="n">
        <v>3</v>
      </c>
      <c r="Y95" s="458" t="n">
        <v>1</v>
      </c>
      <c r="Z95" s="458" t="n">
        <v>195</v>
      </c>
    </row>
    <row r="96">
      <c r="A96" s="266" t="inlineStr">
        <is>
          <t>거여동</t>
        </is>
      </c>
      <c r="B96" s="263" t="n"/>
      <c r="C96" s="263" t="n"/>
      <c r="D96" s="266" t="n">
        <v>952</v>
      </c>
      <c r="E96" s="269" t="inlineStr">
        <is>
          <t>거여5단지</t>
        </is>
      </c>
      <c r="F96" s="266" t="n">
        <v>59</v>
      </c>
      <c r="G96" s="263" t="n">
        <v>130000</v>
      </c>
      <c r="H96" s="263" t="n">
        <v>50000</v>
      </c>
      <c r="I96" s="263">
        <f>G96-H96</f>
        <v/>
      </c>
      <c r="J96" s="323">
        <f>H96/G96</f>
        <v/>
      </c>
      <c r="K96" s="266" t="n">
        <v>1997.07</v>
      </c>
      <c r="L96" s="266" t="n">
        <v>605</v>
      </c>
      <c r="M96" s="266">
        <f>2026-INT(K96)+1</f>
        <v/>
      </c>
      <c r="N96" s="266" t="n">
        <v>29</v>
      </c>
      <c r="O96" s="263" t="n"/>
      <c r="P96" s="266" t="n">
        <v>80</v>
      </c>
      <c r="Q96" s="266" t="n">
        <v>24</v>
      </c>
      <c r="R96" s="266" t="inlineStr">
        <is>
          <t>계단식</t>
        </is>
      </c>
      <c r="S96" s="266" t="n">
        <v>2</v>
      </c>
      <c r="T96" s="266" t="n">
        <v>1</v>
      </c>
      <c r="U96" s="266" t="n">
        <v>9.800000000000001</v>
      </c>
      <c r="V96" s="266" t="n">
        <v>6.36</v>
      </c>
      <c r="W96" s="266" t="inlineStr">
        <is>
          <t>계단식</t>
        </is>
      </c>
      <c r="X96" s="266" t="n">
        <v>2</v>
      </c>
      <c r="Y96" s="266" t="n">
        <v>1</v>
      </c>
      <c r="Z96" s="266" t="n">
        <v>29</v>
      </c>
      <c r="AA96" s="263" t="n"/>
      <c r="AB96" s="263" t="n"/>
      <c r="AC96" s="263" t="n"/>
      <c r="AD96" s="263" t="n"/>
      <c r="AE96" s="263" t="n"/>
      <c r="AF96" s="263" t="n"/>
      <c r="AG96" s="263" t="n"/>
      <c r="AH96" s="263" t="n"/>
      <c r="AI96" s="263" t="n"/>
      <c r="AJ96" s="263" t="n"/>
      <c r="AK96" s="263" t="n"/>
    </row>
    <row r="97">
      <c r="A97" s="266" t="inlineStr">
        <is>
          <t>거여동</t>
        </is>
      </c>
      <c r="B97" s="263" t="n"/>
      <c r="C97" s="263" t="n"/>
      <c r="D97" s="266" t="n">
        <v>952</v>
      </c>
      <c r="E97" s="264" t="inlineStr">
        <is>
          <t>거여5단지</t>
        </is>
      </c>
      <c r="F97" s="266" t="n">
        <v>59</v>
      </c>
      <c r="G97" s="263" t="n"/>
      <c r="H97" s="263" t="n"/>
      <c r="I97" s="263">
        <f>G97-H97</f>
        <v/>
      </c>
      <c r="J97" s="323">
        <f>H97/G97</f>
        <v/>
      </c>
      <c r="K97" s="266" t="n">
        <v>1997.07</v>
      </c>
      <c r="L97" s="266" t="n">
        <v>605</v>
      </c>
      <c r="M97" s="266">
        <f>2026-INT(K97)+1</f>
        <v/>
      </c>
      <c r="N97" s="266" t="n">
        <v>487</v>
      </c>
      <c r="O97" s="263" t="n"/>
      <c r="P97" s="266" t="n">
        <v>81</v>
      </c>
      <c r="Q97" s="266" t="n">
        <v>25</v>
      </c>
      <c r="R97" s="266" t="inlineStr">
        <is>
          <t>복도식</t>
        </is>
      </c>
      <c r="S97" s="266" t="n">
        <v>2</v>
      </c>
      <c r="T97" s="266" t="n">
        <v>1</v>
      </c>
      <c r="U97" s="266" t="n">
        <v>9.800000000000001</v>
      </c>
      <c r="V97" s="266" t="n">
        <v>6.36</v>
      </c>
      <c r="W97" s="266" t="inlineStr">
        <is>
          <t>복도식</t>
        </is>
      </c>
      <c r="X97" s="266" t="n">
        <v>2</v>
      </c>
      <c r="Y97" s="266" t="n">
        <v>1</v>
      </c>
      <c r="Z97" s="266" t="n">
        <v>487</v>
      </c>
      <c r="AA97" s="263" t="n"/>
      <c r="AB97" s="263" t="n"/>
      <c r="AC97" s="263" t="n"/>
      <c r="AD97" s="263" t="n"/>
      <c r="AE97" s="263" t="n"/>
      <c r="AF97" s="263" t="n"/>
      <c r="AG97" s="263" t="n"/>
      <c r="AH97" s="263" t="n"/>
      <c r="AI97" s="263" t="n"/>
      <c r="AJ97" s="263" t="n"/>
      <c r="AK97" s="263" t="n"/>
    </row>
    <row r="98">
      <c r="A98" s="263" t="inlineStr">
        <is>
          <t>거여동</t>
        </is>
      </c>
      <c r="B98" s="263" t="n"/>
      <c r="C98" s="263" t="n"/>
      <c r="D98" s="263" t="n">
        <v>952</v>
      </c>
      <c r="E98" s="264" t="inlineStr">
        <is>
          <t>거여5단지</t>
        </is>
      </c>
      <c r="F98" s="263" t="n">
        <v>84</v>
      </c>
      <c r="G98" s="263" t="n">
        <v>150000</v>
      </c>
      <c r="H98" s="263" t="n">
        <v>55001</v>
      </c>
      <c r="I98" s="263">
        <f>G98-H98</f>
        <v/>
      </c>
      <c r="J98" s="323">
        <f>H98/G98</f>
        <v/>
      </c>
      <c r="K98" s="263" t="n">
        <v>1997.07</v>
      </c>
      <c r="L98" s="263" t="n">
        <v>605</v>
      </c>
      <c r="M98" s="263">
        <f>2026-INT(K98)+1</f>
        <v/>
      </c>
      <c r="N98" s="263" t="n">
        <v>89</v>
      </c>
      <c r="O98" s="263" t="n"/>
      <c r="P98" s="263" t="n">
        <v>114</v>
      </c>
      <c r="Q98" s="263" t="n">
        <v>34</v>
      </c>
      <c r="R98" s="263" t="inlineStr">
        <is>
          <t>계단식</t>
        </is>
      </c>
      <c r="S98" s="263" t="n">
        <v>3</v>
      </c>
      <c r="T98" s="263" t="n">
        <v>2</v>
      </c>
      <c r="U98" s="263" t="n"/>
      <c r="V98" s="263" t="n">
        <v>9</v>
      </c>
      <c r="W98" s="263" t="inlineStr">
        <is>
          <t>계단식</t>
        </is>
      </c>
      <c r="X98" s="263" t="n">
        <v>3</v>
      </c>
      <c r="Y98" s="263" t="n">
        <v>2</v>
      </c>
      <c r="Z98" s="263" t="n">
        <v>89</v>
      </c>
      <c r="AA98" s="263" t="n"/>
      <c r="AB98" s="263" t="n"/>
      <c r="AC98" s="263" t="n"/>
      <c r="AD98" s="263" t="n"/>
      <c r="AE98" s="263" t="n"/>
      <c r="AF98" s="263" t="n"/>
      <c r="AG98" s="263" t="n"/>
      <c r="AH98" s="263" t="n"/>
      <c r="AI98" s="263" t="n"/>
      <c r="AJ98" s="263" t="n"/>
      <c r="AK98" s="263" t="n"/>
    </row>
    <row r="99">
      <c r="A99" s="458" t="inlineStr">
        <is>
          <t>거여동</t>
        </is>
      </c>
      <c r="D99" s="458" t="n">
        <v>128379</v>
      </c>
      <c r="E99" s="265" t="inlineStr">
        <is>
          <t>송파레이크파크호반써밋1차</t>
        </is>
      </c>
      <c r="F99" s="458" t="n">
        <v>108</v>
      </c>
      <c r="I99" s="263">
        <f>G99-H99</f>
        <v/>
      </c>
      <c r="J99" s="323">
        <f>H99/G99</f>
        <v/>
      </c>
      <c r="K99" s="458" t="n">
        <v>2022.01</v>
      </c>
      <c r="L99" s="458" t="n">
        <v>689</v>
      </c>
      <c r="M99" s="458">
        <f>2026-INT(K99)+1</f>
        <v/>
      </c>
      <c r="N99" s="458" t="n">
        <v>689</v>
      </c>
      <c r="P99" s="458" t="n">
        <v>135</v>
      </c>
      <c r="Q99" s="458" t="n">
        <v>41</v>
      </c>
      <c r="R99" s="458" t="inlineStr">
        <is>
          <t>계단식</t>
        </is>
      </c>
      <c r="S99" s="458" t="n">
        <v>4</v>
      </c>
      <c r="T99" s="458" t="n">
        <v>2</v>
      </c>
      <c r="V99" s="458" t="n">
        <v>15</v>
      </c>
      <c r="W99" s="458" t="inlineStr">
        <is>
          <t>계단식</t>
        </is>
      </c>
      <c r="X99" s="458" t="n">
        <v>4</v>
      </c>
      <c r="Y99" s="458" t="n">
        <v>2</v>
      </c>
      <c r="Z99" s="458" t="n">
        <v>689</v>
      </c>
    </row>
    <row r="100">
      <c r="A100" s="263" t="inlineStr">
        <is>
          <t>거여동</t>
        </is>
      </c>
      <c r="B100" s="263" t="n"/>
      <c r="C100" s="263" t="n"/>
      <c r="D100" s="263" t="n">
        <v>128378</v>
      </c>
      <c r="E100" s="264" t="inlineStr">
        <is>
          <t>송파레이크파크호반써밋2차</t>
        </is>
      </c>
      <c r="F100" s="263" t="n">
        <v>108</v>
      </c>
      <c r="G100" s="263" t="n"/>
      <c r="H100" s="263" t="n"/>
      <c r="I100" s="263">
        <f>G100-H100</f>
        <v/>
      </c>
      <c r="J100" s="323">
        <f>H100/G100</f>
        <v/>
      </c>
      <c r="K100" s="263" t="n">
        <v>2022.01</v>
      </c>
      <c r="L100" s="263" t="n">
        <v>700</v>
      </c>
      <c r="M100" s="263">
        <f>2026-INT(K100)+1</f>
        <v/>
      </c>
      <c r="N100" s="263" t="n">
        <v>611</v>
      </c>
      <c r="O100" s="263" t="n"/>
      <c r="P100" s="263" t="n">
        <v>136</v>
      </c>
      <c r="Q100" s="263" t="n">
        <v>41</v>
      </c>
      <c r="R100" s="263" t="inlineStr">
        <is>
          <t>계단식</t>
        </is>
      </c>
      <c r="S100" s="263" t="n">
        <v>4</v>
      </c>
      <c r="T100" s="263" t="n">
        <v>2</v>
      </c>
      <c r="U100" s="263" t="n"/>
      <c r="V100" s="263" t="n">
        <v>15</v>
      </c>
      <c r="W100" s="263" t="inlineStr">
        <is>
          <t>계단식</t>
        </is>
      </c>
      <c r="X100" s="263" t="n">
        <v>4</v>
      </c>
      <c r="Y100" s="263" t="n">
        <v>2</v>
      </c>
      <c r="Z100" s="263" t="n">
        <v>611</v>
      </c>
      <c r="AA100" s="263" t="n"/>
      <c r="AB100" s="263" t="n"/>
      <c r="AC100" s="263" t="n"/>
      <c r="AD100" s="263" t="n"/>
      <c r="AE100" s="263" t="n"/>
      <c r="AF100" s="263" t="n"/>
      <c r="AG100" s="263" t="n"/>
      <c r="AH100" s="263" t="n"/>
      <c r="AI100" s="263" t="n"/>
      <c r="AJ100" s="263" t="n"/>
      <c r="AK100" s="263" t="n"/>
    </row>
    <row r="101">
      <c r="A101" s="263" t="inlineStr">
        <is>
          <t>거여동</t>
        </is>
      </c>
      <c r="B101" s="263" t="n"/>
      <c r="C101" s="263" t="n"/>
      <c r="D101" s="263" t="n">
        <v>128378</v>
      </c>
      <c r="E101" s="264" t="inlineStr">
        <is>
          <t>송파레이크파크호반써밋2차</t>
        </is>
      </c>
      <c r="F101" s="263" t="n">
        <v>110</v>
      </c>
      <c r="G101" s="263" t="n"/>
      <c r="H101" s="263" t="n"/>
      <c r="I101" s="263">
        <f>G101-H101</f>
        <v/>
      </c>
      <c r="J101" s="323">
        <f>H101/G101</f>
        <v/>
      </c>
      <c r="K101" s="263" t="n">
        <v>2022.01</v>
      </c>
      <c r="L101" s="263" t="n">
        <v>700</v>
      </c>
      <c r="M101" s="263">
        <f>2026-INT(K101)+1</f>
        <v/>
      </c>
      <c r="N101" s="263" t="n">
        <v>82</v>
      </c>
      <c r="O101" s="263" t="n"/>
      <c r="P101" s="263" t="n">
        <v>138</v>
      </c>
      <c r="Q101" s="263" t="n">
        <v>42</v>
      </c>
      <c r="R101" s="263" t="inlineStr">
        <is>
          <t>계단식</t>
        </is>
      </c>
      <c r="S101" s="263" t="n">
        <v>4</v>
      </c>
      <c r="T101" s="263" t="n">
        <v>2</v>
      </c>
      <c r="U101" s="263" t="n"/>
      <c r="V101" s="263" t="n">
        <v>15</v>
      </c>
      <c r="W101" s="263" t="inlineStr">
        <is>
          <t>계단식</t>
        </is>
      </c>
      <c r="X101" s="263" t="n">
        <v>4</v>
      </c>
      <c r="Y101" s="263" t="n">
        <v>2</v>
      </c>
      <c r="Z101" s="263" t="n">
        <v>82</v>
      </c>
      <c r="AA101" s="263" t="n"/>
      <c r="AB101" s="263" t="n"/>
      <c r="AC101" s="263" t="n"/>
      <c r="AD101" s="263" t="n"/>
      <c r="AE101" s="263" t="n"/>
      <c r="AF101" s="263" t="n"/>
      <c r="AG101" s="263" t="n"/>
      <c r="AH101" s="263" t="n"/>
      <c r="AI101" s="263" t="n"/>
      <c r="AJ101" s="263" t="n"/>
      <c r="AK101" s="263" t="n"/>
    </row>
    <row r="102">
      <c r="A102" s="263" t="inlineStr">
        <is>
          <t>거여동</t>
        </is>
      </c>
      <c r="B102" s="263" t="n"/>
      <c r="C102" s="263" t="n"/>
      <c r="D102" s="263" t="n">
        <v>128378</v>
      </c>
      <c r="E102" s="264" t="inlineStr">
        <is>
          <t>송파레이크파크호반써밋2차</t>
        </is>
      </c>
      <c r="F102" s="263" t="n">
        <v>138</v>
      </c>
      <c r="G102" s="263" t="n"/>
      <c r="H102" s="263" t="n"/>
      <c r="I102" s="263">
        <f>G102-H102</f>
        <v/>
      </c>
      <c r="J102" s="323">
        <f>H102/G102</f>
        <v/>
      </c>
      <c r="K102" s="263" t="n">
        <v>2022.01</v>
      </c>
      <c r="L102" s="263" t="n">
        <v>700</v>
      </c>
      <c r="M102" s="263">
        <f>2026-INT(K102)+1</f>
        <v/>
      </c>
      <c r="N102" s="263" t="n">
        <v>4</v>
      </c>
      <c r="O102" s="263" t="n"/>
      <c r="P102" s="263" t="n">
        <v>171</v>
      </c>
      <c r="Q102" s="263" t="n">
        <v>52</v>
      </c>
      <c r="R102" s="263" t="inlineStr">
        <is>
          <t>계단식</t>
        </is>
      </c>
      <c r="S102" s="263" t="n">
        <v>4</v>
      </c>
      <c r="T102" s="263" t="n">
        <v>2</v>
      </c>
      <c r="U102" s="263" t="n"/>
      <c r="V102" s="263" t="n"/>
      <c r="W102" s="263" t="inlineStr">
        <is>
          <t>계단식</t>
        </is>
      </c>
      <c r="X102" s="263" t="n">
        <v>4</v>
      </c>
      <c r="Y102" s="263" t="n">
        <v>2</v>
      </c>
      <c r="Z102" s="263" t="n">
        <v>4</v>
      </c>
      <c r="AA102" s="263" t="n"/>
      <c r="AB102" s="263" t="n"/>
      <c r="AC102" s="263" t="n"/>
      <c r="AD102" s="263" t="n"/>
      <c r="AE102" s="263" t="n"/>
      <c r="AF102" s="263" t="n"/>
      <c r="AG102" s="263" t="n"/>
      <c r="AH102" s="263" t="n"/>
      <c r="AI102" s="263" t="n"/>
      <c r="AJ102" s="263" t="n"/>
      <c r="AK102" s="263" t="n"/>
    </row>
    <row r="103">
      <c r="A103" s="266" t="inlineStr">
        <is>
          <t>거여동</t>
        </is>
      </c>
      <c r="B103" s="263" t="n"/>
      <c r="C103" s="263" t="n"/>
      <c r="D103" s="266" t="n">
        <v>128378</v>
      </c>
      <c r="E103" s="264" t="inlineStr">
        <is>
          <t>송파레이크파크호반써밋2차</t>
        </is>
      </c>
      <c r="F103" s="266" t="n">
        <v>140</v>
      </c>
      <c r="G103" s="263" t="n"/>
      <c r="H103" s="263" t="n"/>
      <c r="I103" s="263">
        <f>G103-H103</f>
        <v/>
      </c>
      <c r="J103" s="323">
        <f>H103/G103</f>
        <v/>
      </c>
      <c r="K103" s="266" t="n">
        <v>2022.01</v>
      </c>
      <c r="L103" s="266" t="n">
        <v>700</v>
      </c>
      <c r="M103" s="266">
        <f>2026-INT(K103)+1</f>
        <v/>
      </c>
      <c r="N103" s="266" t="n">
        <v>3</v>
      </c>
      <c r="O103" s="263" t="n"/>
      <c r="P103" s="266" t="n">
        <v>174</v>
      </c>
      <c r="Q103" s="266" t="n">
        <v>53</v>
      </c>
      <c r="R103" s="266" t="inlineStr">
        <is>
          <t>계단식</t>
        </is>
      </c>
      <c r="S103" s="266" t="n">
        <v>4</v>
      </c>
      <c r="T103" s="266" t="n">
        <v>2</v>
      </c>
      <c r="U103" s="266" t="n"/>
      <c r="V103" s="266" t="n"/>
      <c r="W103" s="266" t="inlineStr">
        <is>
          <t>계단식</t>
        </is>
      </c>
      <c r="X103" s="266" t="n">
        <v>4</v>
      </c>
      <c r="Y103" s="266" t="n">
        <v>2</v>
      </c>
      <c r="Z103" s="266" t="n">
        <v>3</v>
      </c>
      <c r="AA103" s="263" t="n"/>
      <c r="AB103" s="263" t="n"/>
      <c r="AC103" s="263" t="n"/>
      <c r="AD103" s="263" t="n"/>
      <c r="AE103" s="263" t="n"/>
      <c r="AF103" s="263" t="n"/>
      <c r="AG103" s="263" t="n"/>
      <c r="AH103" s="263" t="n"/>
      <c r="AI103" s="263" t="n"/>
      <c r="AJ103" s="263" t="n"/>
      <c r="AK103" s="263" t="n"/>
    </row>
    <row r="104">
      <c r="A104" s="458" t="inlineStr">
        <is>
          <t>거여동</t>
        </is>
      </c>
      <c r="D104" s="458" t="n">
        <v>139920</v>
      </c>
      <c r="E104" s="146" t="inlineStr">
        <is>
          <t>송파레이크힐</t>
        </is>
      </c>
      <c r="F104" s="458" t="n">
        <v>64</v>
      </c>
      <c r="I104" s="263">
        <f>G104-H104</f>
        <v/>
      </c>
      <c r="J104" s="323">
        <f>H104/G104</f>
        <v/>
      </c>
      <c r="K104" s="458" t="n">
        <v>2021.08</v>
      </c>
      <c r="L104" s="458" t="n">
        <v>394</v>
      </c>
      <c r="M104" s="458">
        <f>2026-INT(K104)+1</f>
        <v/>
      </c>
      <c r="N104" s="458" t="n">
        <v>84</v>
      </c>
      <c r="P104" s="458" t="n">
        <v>84</v>
      </c>
      <c r="Q104" s="458" t="n">
        <v>25</v>
      </c>
      <c r="R104" s="458" t="inlineStr">
        <is>
          <t>계단식</t>
        </is>
      </c>
      <c r="S104" s="458" t="n">
        <v>3</v>
      </c>
      <c r="T104" s="458" t="n">
        <v>2</v>
      </c>
      <c r="U104" s="458" t="n"/>
      <c r="V104" s="458" t="n"/>
      <c r="W104" s="458" t="inlineStr">
        <is>
          <t>계단식</t>
        </is>
      </c>
      <c r="X104" s="458" t="n">
        <v>3</v>
      </c>
      <c r="Y104" s="458" t="n">
        <v>2</v>
      </c>
      <c r="Z104" s="458" t="n">
        <v>84</v>
      </c>
    </row>
    <row r="105">
      <c r="A105" s="458" t="inlineStr">
        <is>
          <t>거여동</t>
        </is>
      </c>
      <c r="D105" s="458" t="n">
        <v>139920</v>
      </c>
      <c r="E105" s="265" t="inlineStr">
        <is>
          <t>송파레이크힐</t>
        </is>
      </c>
      <c r="F105" s="458" t="n">
        <v>74</v>
      </c>
      <c r="G105" s="458" t="n">
        <v>200000</v>
      </c>
      <c r="H105" s="458" t="n">
        <v>70001</v>
      </c>
      <c r="I105" s="263">
        <f>G105-H105</f>
        <v/>
      </c>
      <c r="J105" s="323">
        <f>H105/G105</f>
        <v/>
      </c>
      <c r="K105" s="458" t="n">
        <v>2021.08</v>
      </c>
      <c r="L105" s="458" t="n">
        <v>394</v>
      </c>
      <c r="M105" s="458">
        <f>2026-INT(K105)+1</f>
        <v/>
      </c>
      <c r="N105" s="458" t="n">
        <v>154</v>
      </c>
      <c r="P105" s="458" t="n">
        <v>96</v>
      </c>
      <c r="Q105" s="458" t="n">
        <v>29</v>
      </c>
      <c r="R105" s="458" t="inlineStr">
        <is>
          <t>계단식</t>
        </is>
      </c>
      <c r="S105" s="458" t="n">
        <v>3</v>
      </c>
      <c r="T105" s="458" t="n">
        <v>2</v>
      </c>
      <c r="U105" s="458" t="n"/>
      <c r="V105" s="458" t="n"/>
      <c r="W105" s="458" t="inlineStr">
        <is>
          <t>계단식</t>
        </is>
      </c>
      <c r="X105" s="458" t="n">
        <v>3</v>
      </c>
      <c r="Y105" s="458" t="n">
        <v>2</v>
      </c>
      <c r="Z105" s="458" t="n">
        <v>154</v>
      </c>
    </row>
    <row r="106" ht="14" customHeight="1" s="476">
      <c r="A106" s="458" t="inlineStr">
        <is>
          <t>거여동</t>
        </is>
      </c>
      <c r="D106" s="458" t="n">
        <v>139920</v>
      </c>
      <c r="E106" s="265" t="inlineStr">
        <is>
          <t>송파레이크힐</t>
        </is>
      </c>
      <c r="F106" s="458" t="n">
        <v>84</v>
      </c>
      <c r="G106" s="270" t="inlineStr">
        <is>
          <t>_</t>
        </is>
      </c>
      <c r="H106" s="458" t="n">
        <v>75001</v>
      </c>
      <c r="I106" s="263">
        <f>G106-H106</f>
        <v/>
      </c>
      <c r="J106" s="323">
        <f>H106/G106</f>
        <v/>
      </c>
      <c r="K106" s="458" t="n">
        <v>2021.08</v>
      </c>
      <c r="L106" s="458" t="n">
        <v>394</v>
      </c>
      <c r="M106" s="458">
        <f>2026-INT(K106)+1</f>
        <v/>
      </c>
      <c r="N106" s="458" t="n">
        <v>3</v>
      </c>
      <c r="P106" s="458" t="n">
        <v>109</v>
      </c>
      <c r="Q106" s="458" t="n">
        <v>33</v>
      </c>
      <c r="R106" s="458" t="inlineStr">
        <is>
          <t>계단식</t>
        </is>
      </c>
      <c r="S106" s="458" t="n">
        <v>2</v>
      </c>
      <c r="T106" s="458" t="n">
        <v>2</v>
      </c>
      <c r="V106" s="458" t="n">
        <v>11</v>
      </c>
      <c r="W106" s="458" t="inlineStr">
        <is>
          <t>계단식</t>
        </is>
      </c>
      <c r="X106" s="458" t="n">
        <v>2</v>
      </c>
      <c r="Y106" s="458" t="n">
        <v>2</v>
      </c>
      <c r="Z106" s="458" t="n">
        <v>3</v>
      </c>
    </row>
    <row r="107" ht="17" customHeight="1" s="476">
      <c r="A107" s="458" t="inlineStr">
        <is>
          <t>거여동</t>
        </is>
      </c>
      <c r="D107" s="458" t="n">
        <v>139920</v>
      </c>
      <c r="E107" s="265" t="inlineStr">
        <is>
          <t>송파레이크힐</t>
        </is>
      </c>
      <c r="F107" s="458" t="n">
        <v>84</v>
      </c>
      <c r="G107" s="458" t="n">
        <v>215000</v>
      </c>
      <c r="H107" s="458" t="n">
        <v>100000</v>
      </c>
      <c r="I107" s="263">
        <f>G107-H107</f>
        <v/>
      </c>
      <c r="J107" s="323">
        <f>H107/G107</f>
        <v/>
      </c>
      <c r="K107" s="458" t="n">
        <v>2021.08</v>
      </c>
      <c r="L107" s="458" t="n">
        <v>394</v>
      </c>
      <c r="M107" s="458">
        <f>2026-INT(K107)+1</f>
        <v/>
      </c>
      <c r="N107" s="458" t="n">
        <v>153</v>
      </c>
      <c r="P107" s="458" t="n">
        <v>108</v>
      </c>
      <c r="Q107" s="458" t="n">
        <v>33</v>
      </c>
      <c r="R107" s="458" t="inlineStr">
        <is>
          <t>계단식</t>
        </is>
      </c>
      <c r="S107" s="458" t="n">
        <v>3</v>
      </c>
      <c r="T107" s="458" t="n">
        <v>2</v>
      </c>
      <c r="V107" s="458" t="n">
        <v>11</v>
      </c>
      <c r="W107" s="458" t="inlineStr">
        <is>
          <t>계단식</t>
        </is>
      </c>
      <c r="X107" s="458" t="n">
        <v>3</v>
      </c>
      <c r="Y107" s="458" t="n">
        <v>2</v>
      </c>
      <c r="Z107" s="458" t="n">
        <v>153</v>
      </c>
    </row>
    <row r="108">
      <c r="A108" s="263" t="inlineStr">
        <is>
          <t>거여동</t>
        </is>
      </c>
      <c r="B108" s="263" t="n"/>
      <c r="C108" s="263" t="n"/>
      <c r="D108" s="263" t="n">
        <v>127132</v>
      </c>
      <c r="E108" s="264" t="inlineStr">
        <is>
          <t>송파시그니처롯데캐슬</t>
        </is>
      </c>
      <c r="F108" s="263" t="n">
        <v>59</v>
      </c>
      <c r="G108" s="263" t="n">
        <v>180000</v>
      </c>
      <c r="H108" s="263" t="n">
        <v>80000</v>
      </c>
      <c r="I108" s="263">
        <f>G108-H108</f>
        <v/>
      </c>
      <c r="J108" s="323">
        <f>H108/G108</f>
        <v/>
      </c>
      <c r="K108" s="263" t="n">
        <v>2021.12</v>
      </c>
      <c r="L108" s="263" t="n">
        <v>1945</v>
      </c>
      <c r="M108" s="263">
        <f>2026-INT(K108)+1</f>
        <v/>
      </c>
      <c r="N108" s="263" t="n">
        <v>552</v>
      </c>
      <c r="O108" s="263" t="n"/>
      <c r="P108" s="263" t="n">
        <v>84</v>
      </c>
      <c r="Q108" s="263" t="n">
        <v>25</v>
      </c>
      <c r="R108" s="263" t="inlineStr">
        <is>
          <t>계단식</t>
        </is>
      </c>
      <c r="S108" s="263" t="n">
        <v>3</v>
      </c>
      <c r="T108" s="263" t="n">
        <v>2</v>
      </c>
      <c r="U108" s="263" t="n"/>
      <c r="V108" s="263" t="n">
        <v>10.8</v>
      </c>
      <c r="W108" s="263" t="inlineStr">
        <is>
          <t>계단식</t>
        </is>
      </c>
      <c r="X108" s="263" t="n">
        <v>3</v>
      </c>
      <c r="Y108" s="263" t="n">
        <v>2</v>
      </c>
      <c r="Z108" s="263" t="n">
        <v>552</v>
      </c>
      <c r="AA108" s="263" t="n"/>
      <c r="AB108" s="263" t="n"/>
      <c r="AC108" s="263" t="n"/>
      <c r="AD108" s="263" t="n"/>
      <c r="AE108" s="263" t="n"/>
      <c r="AF108" s="263" t="n"/>
      <c r="AG108" s="263" t="n"/>
      <c r="AH108" s="263" t="n"/>
      <c r="AI108" s="263" t="n"/>
      <c r="AJ108" s="263" t="n"/>
      <c r="AK108" s="263" t="n"/>
    </row>
    <row r="109">
      <c r="A109" s="266" t="inlineStr">
        <is>
          <t>거여동</t>
        </is>
      </c>
      <c r="B109" s="263" t="n"/>
      <c r="C109" s="263" t="n"/>
      <c r="D109" s="266" t="n">
        <v>127132</v>
      </c>
      <c r="E109" s="264" t="inlineStr">
        <is>
          <t>송파시그니처롯데캐슬</t>
        </is>
      </c>
      <c r="F109" s="266" t="n">
        <v>84</v>
      </c>
      <c r="G109" s="263" t="n">
        <v>210000</v>
      </c>
      <c r="H109" s="263" t="n">
        <v>98000</v>
      </c>
      <c r="I109" s="263">
        <f>G109-H109</f>
        <v/>
      </c>
      <c r="J109" s="323">
        <f>H109/G109</f>
        <v/>
      </c>
      <c r="K109" s="266" t="n">
        <v>2021.12</v>
      </c>
      <c r="L109" s="266" t="n">
        <v>1945</v>
      </c>
      <c r="M109" s="266">
        <f>2026-INT(K109)+1</f>
        <v/>
      </c>
      <c r="N109" s="266" t="n">
        <v>987</v>
      </c>
      <c r="O109" s="263" t="n"/>
      <c r="P109" s="266" t="n">
        <v>110</v>
      </c>
      <c r="Q109" s="266" t="n">
        <v>33</v>
      </c>
      <c r="R109" s="266" t="inlineStr">
        <is>
          <t>계단식</t>
        </is>
      </c>
      <c r="S109" s="266" t="n">
        <v>3</v>
      </c>
      <c r="T109" s="266" t="n">
        <v>2</v>
      </c>
      <c r="U109" s="266" t="n"/>
      <c r="V109" s="266" t="n">
        <v>11</v>
      </c>
      <c r="W109" s="266" t="inlineStr">
        <is>
          <t>계단식</t>
        </is>
      </c>
      <c r="X109" s="266" t="n">
        <v>3</v>
      </c>
      <c r="Y109" s="266" t="n">
        <v>2</v>
      </c>
      <c r="Z109" s="266" t="n">
        <v>987</v>
      </c>
      <c r="AA109" s="263" t="n"/>
      <c r="AB109" s="263" t="n"/>
      <c r="AC109" s="263" t="n"/>
      <c r="AD109" s="263" t="n"/>
      <c r="AE109" s="263" t="n"/>
      <c r="AF109" s="263" t="n"/>
      <c r="AG109" s="263" t="n"/>
      <c r="AH109" s="263" t="n"/>
      <c r="AI109" s="263" t="n"/>
      <c r="AJ109" s="263" t="n"/>
      <c r="AK109" s="263" t="n"/>
    </row>
    <row r="110">
      <c r="A110" s="266" t="inlineStr">
        <is>
          <t>거여동</t>
        </is>
      </c>
      <c r="B110" s="263" t="n"/>
      <c r="C110" s="263" t="n"/>
      <c r="D110" s="266" t="n">
        <v>127132</v>
      </c>
      <c r="E110" s="264" t="inlineStr">
        <is>
          <t>송파시그니처롯데캐슬</t>
        </is>
      </c>
      <c r="F110" s="266" t="n">
        <v>108</v>
      </c>
      <c r="G110" s="263" t="n"/>
      <c r="H110" s="263" t="n"/>
      <c r="I110" s="263">
        <f>G110-H110</f>
        <v/>
      </c>
      <c r="J110" s="323">
        <f>H110/G110</f>
        <v/>
      </c>
      <c r="K110" s="266" t="n">
        <v>2021.12</v>
      </c>
      <c r="L110" s="266" t="n">
        <v>1945</v>
      </c>
      <c r="M110" s="266">
        <f>2026-INT(K110)+1</f>
        <v/>
      </c>
      <c r="N110" s="266" t="n">
        <v>38</v>
      </c>
      <c r="O110" s="263" t="n"/>
      <c r="P110" s="266" t="n">
        <v>136</v>
      </c>
      <c r="Q110" s="266" t="n">
        <v>41</v>
      </c>
      <c r="R110" s="266" t="inlineStr">
        <is>
          <t>계단식</t>
        </is>
      </c>
      <c r="S110" s="266" t="n">
        <v>4</v>
      </c>
      <c r="T110" s="266" t="n">
        <v>2</v>
      </c>
      <c r="U110" s="266" t="n"/>
      <c r="V110" s="266" t="n"/>
      <c r="W110" s="266" t="inlineStr">
        <is>
          <t>계단식</t>
        </is>
      </c>
      <c r="X110" s="266" t="n">
        <v>4</v>
      </c>
      <c r="Y110" s="266" t="n">
        <v>2</v>
      </c>
      <c r="Z110" s="266" t="n">
        <v>38</v>
      </c>
      <c r="AA110" s="263" t="n"/>
      <c r="AB110" s="263" t="n"/>
      <c r="AC110" s="263" t="n"/>
      <c r="AD110" s="263" t="n"/>
      <c r="AE110" s="263" t="n"/>
      <c r="AF110" s="263" t="n"/>
      <c r="AG110" s="263" t="n"/>
      <c r="AH110" s="263" t="n"/>
      <c r="AI110" s="263" t="n"/>
      <c r="AJ110" s="263" t="n"/>
      <c r="AK110" s="263" t="n"/>
    </row>
    <row r="111">
      <c r="A111" s="458" t="inlineStr">
        <is>
          <t>거여동</t>
        </is>
      </c>
      <c r="D111" s="458" t="n">
        <v>132624</v>
      </c>
      <c r="E111" s="265" t="inlineStr">
        <is>
          <t>송파위례리슈빌</t>
        </is>
      </c>
      <c r="F111" s="458" t="n">
        <v>105</v>
      </c>
      <c r="I111" s="263">
        <f>G111-H111</f>
        <v/>
      </c>
      <c r="J111" s="323">
        <f>H111/G111</f>
        <v/>
      </c>
      <c r="K111" s="458" t="n">
        <v>2021.1</v>
      </c>
      <c r="L111" s="458" t="n">
        <v>494</v>
      </c>
      <c r="M111" s="458">
        <f>2026-INT(K111)+1</f>
        <v/>
      </c>
      <c r="N111" s="458" t="n">
        <v>192</v>
      </c>
      <c r="P111" s="458" t="n">
        <v>132</v>
      </c>
      <c r="Q111" s="458" t="n">
        <v>40</v>
      </c>
      <c r="R111" s="458" t="inlineStr">
        <is>
          <t>계단식</t>
        </is>
      </c>
      <c r="S111" s="458" t="n">
        <v>4</v>
      </c>
      <c r="T111" s="458" t="n">
        <v>2</v>
      </c>
      <c r="U111" s="458" t="n"/>
      <c r="V111" s="458" t="n">
        <v>12</v>
      </c>
      <c r="W111" s="458" t="inlineStr">
        <is>
          <t>계단식</t>
        </is>
      </c>
      <c r="X111" s="458" t="n">
        <v>4</v>
      </c>
      <c r="Y111" s="458" t="n">
        <v>2</v>
      </c>
      <c r="Z111" s="458" t="n">
        <v>192</v>
      </c>
    </row>
    <row r="112">
      <c r="A112" s="458" t="inlineStr">
        <is>
          <t>거여동</t>
        </is>
      </c>
      <c r="D112" s="458" t="n">
        <v>132624</v>
      </c>
      <c r="E112" s="265" t="inlineStr">
        <is>
          <t>송파위례리슈빌</t>
        </is>
      </c>
      <c r="F112" s="458" t="n">
        <v>111</v>
      </c>
      <c r="I112" s="263">
        <f>G112-H112</f>
        <v/>
      </c>
      <c r="J112" s="323">
        <f>H112/G112</f>
        <v/>
      </c>
      <c r="K112" s="458" t="n">
        <v>2021.1</v>
      </c>
      <c r="L112" s="458" t="n">
        <v>494</v>
      </c>
      <c r="M112" s="458">
        <f>2026-INT(K112)+1</f>
        <v/>
      </c>
      <c r="N112" s="458" t="n">
        <v>177</v>
      </c>
      <c r="P112" s="458" t="n">
        <v>138</v>
      </c>
      <c r="Q112" s="458" t="n">
        <v>42</v>
      </c>
      <c r="R112" s="458" t="inlineStr">
        <is>
          <t>계단식</t>
        </is>
      </c>
      <c r="S112" s="458" t="n">
        <v>4</v>
      </c>
      <c r="T112" s="458" t="n">
        <v>2</v>
      </c>
      <c r="V112" s="458" t="n">
        <v>11.3</v>
      </c>
      <c r="W112" s="458" t="inlineStr">
        <is>
          <t>계단식</t>
        </is>
      </c>
      <c r="X112" s="458" t="n">
        <v>4</v>
      </c>
      <c r="Y112" s="458" t="n">
        <v>2</v>
      </c>
      <c r="Z112" s="458" t="n">
        <v>177</v>
      </c>
    </row>
    <row r="113">
      <c r="A113" s="458" t="inlineStr">
        <is>
          <t>거여동</t>
        </is>
      </c>
      <c r="D113" s="458" t="n">
        <v>132624</v>
      </c>
      <c r="E113" s="265" t="inlineStr">
        <is>
          <t>송파위례리슈빌</t>
        </is>
      </c>
      <c r="F113" s="458" t="n">
        <v>114</v>
      </c>
      <c r="I113" s="263">
        <f>G113-H113</f>
        <v/>
      </c>
      <c r="J113" s="323">
        <f>H113/G113</f>
        <v/>
      </c>
      <c r="K113" s="458" t="n">
        <v>2021.1</v>
      </c>
      <c r="L113" s="458" t="n">
        <v>494</v>
      </c>
      <c r="M113" s="458">
        <f>2026-INT(K113)+1</f>
        <v/>
      </c>
      <c r="N113" s="458" t="n">
        <v>42</v>
      </c>
      <c r="P113" s="458" t="n">
        <v>142</v>
      </c>
      <c r="Q113" s="458" t="n">
        <v>43</v>
      </c>
      <c r="R113" s="458" t="inlineStr">
        <is>
          <t>계단식</t>
        </is>
      </c>
      <c r="S113" s="458" t="n">
        <v>4</v>
      </c>
      <c r="T113" s="458" t="n">
        <v>2</v>
      </c>
      <c r="U113" s="458" t="n">
        <v>14.8</v>
      </c>
      <c r="V113" s="458" t="n">
        <v>14.5</v>
      </c>
      <c r="W113" s="458" t="inlineStr">
        <is>
          <t>계단식</t>
        </is>
      </c>
      <c r="X113" s="458" t="n">
        <v>4</v>
      </c>
      <c r="Y113" s="458" t="n">
        <v>2</v>
      </c>
      <c r="Z113" s="458" t="n">
        <v>42</v>
      </c>
    </row>
    <row r="114">
      <c r="A114" s="458" t="inlineStr">
        <is>
          <t>거여동</t>
        </is>
      </c>
      <c r="D114" s="458" t="n">
        <v>132624</v>
      </c>
      <c r="E114" s="265" t="inlineStr">
        <is>
          <t>송파위례리슈빌</t>
        </is>
      </c>
      <c r="F114" s="458" t="n">
        <v>116</v>
      </c>
      <c r="I114" s="263">
        <f>G114-H114</f>
        <v/>
      </c>
      <c r="J114" s="323">
        <f>H114/G114</f>
        <v/>
      </c>
      <c r="K114" s="458" t="n">
        <v>2021.1</v>
      </c>
      <c r="L114" s="458" t="n">
        <v>494</v>
      </c>
      <c r="M114" s="458">
        <f>2026-INT(K114)+1</f>
        <v/>
      </c>
      <c r="N114" s="458" t="n">
        <v>71</v>
      </c>
      <c r="P114" s="458" t="n">
        <v>144</v>
      </c>
      <c r="Q114" s="458" t="n">
        <v>44</v>
      </c>
      <c r="R114" s="458" t="inlineStr">
        <is>
          <t>계단식</t>
        </is>
      </c>
      <c r="S114" s="458" t="n">
        <v>4</v>
      </c>
      <c r="T114" s="458" t="n">
        <v>2</v>
      </c>
      <c r="U114" s="458" t="n"/>
      <c r="V114" s="458" t="n">
        <v>16.4</v>
      </c>
      <c r="W114" s="458" t="inlineStr">
        <is>
          <t>계단식</t>
        </is>
      </c>
      <c r="X114" s="458" t="n">
        <v>4</v>
      </c>
      <c r="Y114" s="458" t="n">
        <v>2</v>
      </c>
      <c r="Z114" s="458" t="n">
        <v>71</v>
      </c>
    </row>
    <row r="115">
      <c r="A115" s="458" t="inlineStr">
        <is>
          <t>거여동</t>
        </is>
      </c>
      <c r="D115" s="458" t="n">
        <v>132624</v>
      </c>
      <c r="E115" s="265" t="inlineStr">
        <is>
          <t>송파위례리슈빌</t>
        </is>
      </c>
      <c r="F115" s="458" t="n">
        <v>118</v>
      </c>
      <c r="I115" s="263">
        <f>G115-H115</f>
        <v/>
      </c>
      <c r="J115" s="323">
        <f>H115/G115</f>
        <v/>
      </c>
      <c r="K115" s="458" t="n">
        <v>2021.1</v>
      </c>
      <c r="L115" s="458" t="n">
        <v>494</v>
      </c>
      <c r="M115" s="458">
        <f>2026-INT(K115)+1</f>
        <v/>
      </c>
      <c r="N115" s="458" t="n">
        <v>4</v>
      </c>
      <c r="P115" s="458" t="n">
        <v>147</v>
      </c>
      <c r="Q115" s="458" t="n">
        <v>44</v>
      </c>
      <c r="R115" s="458" t="inlineStr">
        <is>
          <t>계단식</t>
        </is>
      </c>
      <c r="S115" s="458" t="n">
        <v>4</v>
      </c>
      <c r="T115" s="458" t="n">
        <v>2</v>
      </c>
      <c r="V115" s="458" t="n">
        <v>16.4</v>
      </c>
      <c r="W115" s="458" t="inlineStr">
        <is>
          <t>계단식</t>
        </is>
      </c>
      <c r="X115" s="458" t="n">
        <v>4</v>
      </c>
      <c r="Y115" s="458" t="n">
        <v>2</v>
      </c>
      <c r="Z115" s="458" t="n">
        <v>4</v>
      </c>
    </row>
    <row r="116">
      <c r="A116" s="458" t="inlineStr">
        <is>
          <t>거여동</t>
        </is>
      </c>
      <c r="D116" s="458" t="n">
        <v>132624</v>
      </c>
      <c r="E116" s="265" t="inlineStr">
        <is>
          <t>송파위례리슈빌</t>
        </is>
      </c>
      <c r="F116" s="458" t="n">
        <v>130</v>
      </c>
      <c r="I116" s="263">
        <f>G116-H116</f>
        <v/>
      </c>
      <c r="J116" s="323">
        <f>H116/G116</f>
        <v/>
      </c>
      <c r="K116" s="458" t="n">
        <v>2021.1</v>
      </c>
      <c r="L116" s="458" t="n">
        <v>494</v>
      </c>
      <c r="M116" s="458">
        <f>2026-INT(K116)+1</f>
        <v/>
      </c>
      <c r="N116" s="458" t="n">
        <v>8</v>
      </c>
      <c r="P116" s="458" t="n">
        <v>160</v>
      </c>
      <c r="Q116" s="458" t="n">
        <v>48</v>
      </c>
      <c r="R116" s="458" t="inlineStr">
        <is>
          <t>계단식</t>
        </is>
      </c>
      <c r="S116" s="458" t="n">
        <v>4</v>
      </c>
      <c r="T116" s="458" t="n">
        <v>2</v>
      </c>
      <c r="W116" s="458" t="inlineStr">
        <is>
          <t>계단식</t>
        </is>
      </c>
      <c r="X116" s="458" t="n">
        <v>4</v>
      </c>
      <c r="Y116" s="458" t="n">
        <v>2</v>
      </c>
      <c r="Z116" s="458" t="n">
        <v>8</v>
      </c>
    </row>
    <row r="117">
      <c r="A117" s="266" t="inlineStr">
        <is>
          <t>거여동</t>
        </is>
      </c>
      <c r="B117" s="263" t="n"/>
      <c r="C117" s="263" t="n"/>
      <c r="D117" s="266" t="n">
        <v>1273</v>
      </c>
      <c r="E117" s="269" t="inlineStr">
        <is>
          <t>우방1차</t>
        </is>
      </c>
      <c r="F117" s="266" t="n">
        <v>59</v>
      </c>
      <c r="G117" s="263" t="n">
        <v>113000</v>
      </c>
      <c r="H117" s="263" t="n">
        <v>50001</v>
      </c>
      <c r="I117" s="263">
        <f>G117-H117</f>
        <v/>
      </c>
      <c r="J117" s="323">
        <f>H117/G117</f>
        <v/>
      </c>
      <c r="K117" s="266" t="n">
        <v>1999.09</v>
      </c>
      <c r="L117" s="266" t="n">
        <v>257</v>
      </c>
      <c r="M117" s="266">
        <f>2026-INT(K117)+1</f>
        <v/>
      </c>
      <c r="N117" s="266" t="n">
        <v>129</v>
      </c>
      <c r="O117" s="263" t="n"/>
      <c r="P117" s="266" t="n">
        <v>85</v>
      </c>
      <c r="Q117" s="266" t="n">
        <v>26</v>
      </c>
      <c r="R117" s="266" t="inlineStr">
        <is>
          <t>복도식</t>
        </is>
      </c>
      <c r="S117" s="266" t="n">
        <v>3</v>
      </c>
      <c r="T117" s="266" t="n">
        <v>1</v>
      </c>
      <c r="U117" s="263" t="n">
        <v>8.67</v>
      </c>
      <c r="V117" s="263" t="n">
        <v>7.3</v>
      </c>
      <c r="W117" s="266" t="inlineStr">
        <is>
          <t>복도식</t>
        </is>
      </c>
      <c r="X117" s="266" t="n">
        <v>3</v>
      </c>
      <c r="Y117" s="266" t="n">
        <v>1</v>
      </c>
      <c r="Z117" s="266" t="n">
        <v>129</v>
      </c>
      <c r="AA117" s="263" t="n"/>
      <c r="AB117" s="263" t="n"/>
      <c r="AC117" s="263" t="n"/>
      <c r="AD117" s="263" t="n"/>
      <c r="AE117" s="263" t="n"/>
      <c r="AF117" s="263" t="n"/>
      <c r="AG117" s="263" t="n"/>
      <c r="AH117" s="263" t="n"/>
      <c r="AI117" s="263" t="n"/>
      <c r="AJ117" s="263" t="n"/>
      <c r="AK117" s="263" t="n"/>
    </row>
    <row r="118">
      <c r="A118" s="266" t="inlineStr">
        <is>
          <t>거여동</t>
        </is>
      </c>
      <c r="B118" s="263" t="n"/>
      <c r="C118" s="263" t="n"/>
      <c r="D118" s="266" t="n">
        <v>1273</v>
      </c>
      <c r="E118" s="269" t="inlineStr">
        <is>
          <t>우방1차</t>
        </is>
      </c>
      <c r="F118" s="266" t="n">
        <v>84</v>
      </c>
      <c r="G118" s="263" t="n">
        <v>130000</v>
      </c>
      <c r="H118" s="263" t="n">
        <v>55001</v>
      </c>
      <c r="I118" s="263">
        <f>G118-H118</f>
        <v/>
      </c>
      <c r="J118" s="323">
        <f>H118/G118</f>
        <v/>
      </c>
      <c r="K118" s="266" t="n">
        <v>1999.09</v>
      </c>
      <c r="L118" s="266" t="n">
        <v>257</v>
      </c>
      <c r="M118" s="266">
        <f>2026-INT(K118)+1</f>
        <v/>
      </c>
      <c r="N118" s="266" t="n">
        <v>92</v>
      </c>
      <c r="O118" s="263" t="n"/>
      <c r="P118" s="266" t="n">
        <v>114</v>
      </c>
      <c r="Q118" s="266" t="n">
        <v>34</v>
      </c>
      <c r="R118" s="266" t="inlineStr">
        <is>
          <t>계단식</t>
        </is>
      </c>
      <c r="S118" s="266" t="n">
        <v>3</v>
      </c>
      <c r="T118" s="266" t="n">
        <v>2</v>
      </c>
      <c r="U118" s="263" t="n"/>
      <c r="V118" s="263" t="n">
        <v>8</v>
      </c>
      <c r="W118" s="266" t="inlineStr">
        <is>
          <t>계단식</t>
        </is>
      </c>
      <c r="X118" s="266" t="n">
        <v>3</v>
      </c>
      <c r="Y118" s="266" t="n">
        <v>2</v>
      </c>
      <c r="Z118" s="266" t="n">
        <v>92</v>
      </c>
      <c r="AA118" s="263" t="n"/>
      <c r="AB118" s="263" t="n"/>
      <c r="AC118" s="263" t="n"/>
      <c r="AD118" s="263" t="n"/>
      <c r="AE118" s="263" t="n"/>
      <c r="AF118" s="263" t="n"/>
      <c r="AG118" s="263" t="n"/>
      <c r="AH118" s="263" t="n"/>
      <c r="AI118" s="263" t="n"/>
      <c r="AJ118" s="263" t="n"/>
      <c r="AK118" s="263" t="n"/>
    </row>
    <row r="119" ht="14" customHeight="1" s="476">
      <c r="A119" s="266" t="inlineStr">
        <is>
          <t>거여동</t>
        </is>
      </c>
      <c r="B119" s="263" t="n"/>
      <c r="C119" s="263" t="n"/>
      <c r="D119" s="266" t="n">
        <v>1273</v>
      </c>
      <c r="E119" s="264" t="inlineStr">
        <is>
          <t>우방1차</t>
        </is>
      </c>
      <c r="F119" s="266" t="n">
        <v>114</v>
      </c>
      <c r="G119" s="263" t="n"/>
      <c r="H119" s="263" t="n"/>
      <c r="I119" s="263">
        <f>G119-H119</f>
        <v/>
      </c>
      <c r="J119" s="323">
        <f>H119/G119</f>
        <v/>
      </c>
      <c r="K119" s="266" t="n">
        <v>1999.09</v>
      </c>
      <c r="L119" s="266" t="n">
        <v>257</v>
      </c>
      <c r="M119" s="266">
        <f>2026-INT(K119)+1</f>
        <v/>
      </c>
      <c r="N119" s="266" t="n">
        <v>36</v>
      </c>
      <c r="O119" s="263" t="n"/>
      <c r="P119" s="266" t="n">
        <v>142</v>
      </c>
      <c r="Q119" s="266" t="n">
        <v>43</v>
      </c>
      <c r="R119" s="266" t="inlineStr">
        <is>
          <t>계단식</t>
        </is>
      </c>
      <c r="S119" s="266" t="n">
        <v>4</v>
      </c>
      <c r="T119" s="266" t="n">
        <v>2</v>
      </c>
      <c r="U119" s="263" t="n"/>
      <c r="V119" s="263" t="n"/>
      <c r="W119" s="266" t="inlineStr">
        <is>
          <t>계단식</t>
        </is>
      </c>
      <c r="X119" s="266" t="n">
        <v>4</v>
      </c>
      <c r="Y119" s="266" t="n">
        <v>2</v>
      </c>
      <c r="Z119" s="266" t="n">
        <v>36</v>
      </c>
      <c r="AA119" s="263" t="n"/>
      <c r="AB119" s="263" t="n"/>
      <c r="AC119" s="263" t="n"/>
      <c r="AD119" s="263" t="n"/>
      <c r="AE119" s="263" t="n"/>
      <c r="AF119" s="263" t="n"/>
      <c r="AG119" s="263" t="n"/>
      <c r="AH119" s="263" t="n"/>
      <c r="AI119" s="263" t="n"/>
      <c r="AJ119" s="263" t="n"/>
      <c r="AK119" s="263" t="n"/>
    </row>
    <row r="120">
      <c r="A120" s="458" t="inlineStr">
        <is>
          <t>거여동</t>
        </is>
      </c>
      <c r="D120" s="458" t="n">
        <v>139917</v>
      </c>
      <c r="E120" s="146" t="inlineStr">
        <is>
          <t>포레나송파</t>
        </is>
      </c>
      <c r="F120" s="458" t="n">
        <v>66</v>
      </c>
      <c r="H120" s="458" t="n">
        <v>80001</v>
      </c>
      <c r="I120" s="263">
        <f>G120-H120</f>
        <v/>
      </c>
      <c r="J120" s="323">
        <f>H120/G120</f>
        <v/>
      </c>
      <c r="K120" s="458" t="n">
        <v>2021.08</v>
      </c>
      <c r="L120" s="458" t="n">
        <v>1282</v>
      </c>
      <c r="M120" s="458">
        <f>2026-INT(K120)+1</f>
        <v/>
      </c>
      <c r="N120" s="458" t="n">
        <v>183</v>
      </c>
      <c r="P120" s="458" t="n">
        <v>86</v>
      </c>
      <c r="Q120" s="458" t="n">
        <v>26</v>
      </c>
      <c r="R120" s="458" t="inlineStr">
        <is>
          <t>계단식</t>
        </is>
      </c>
      <c r="S120" s="458" t="n">
        <v>3</v>
      </c>
      <c r="T120" s="458" t="n">
        <v>2</v>
      </c>
      <c r="W120" s="458" t="inlineStr">
        <is>
          <t>계단식</t>
        </is>
      </c>
      <c r="X120" s="458" t="n">
        <v>3</v>
      </c>
      <c r="Y120" s="458" t="n">
        <v>2</v>
      </c>
      <c r="Z120" s="458" t="n">
        <v>183</v>
      </c>
    </row>
    <row r="121">
      <c r="A121" s="458" t="inlineStr">
        <is>
          <t>거여동</t>
        </is>
      </c>
      <c r="D121" s="458" t="n">
        <v>139917</v>
      </c>
      <c r="E121" s="265" t="inlineStr">
        <is>
          <t>포레나송파</t>
        </is>
      </c>
      <c r="F121" s="458" t="n">
        <v>70</v>
      </c>
      <c r="G121" s="458" t="n">
        <v>190000</v>
      </c>
      <c r="H121" s="263" t="n">
        <v>78000</v>
      </c>
      <c r="I121" s="263">
        <f>G121-H121</f>
        <v/>
      </c>
      <c r="J121" s="323">
        <f>H121/G121</f>
        <v/>
      </c>
      <c r="K121" s="458" t="n">
        <v>2021.08</v>
      </c>
      <c r="L121" s="458" t="n">
        <v>1282</v>
      </c>
      <c r="M121" s="458">
        <f>2026-INT(K121)+1</f>
        <v/>
      </c>
      <c r="N121" s="458" t="n">
        <v>148</v>
      </c>
      <c r="P121" s="458" t="n">
        <v>91</v>
      </c>
      <c r="Q121" s="458" t="n">
        <v>28</v>
      </c>
      <c r="R121" s="458" t="inlineStr">
        <is>
          <t>계단식</t>
        </is>
      </c>
      <c r="S121" s="458" t="n">
        <v>3</v>
      </c>
      <c r="T121" s="458" t="n">
        <v>2</v>
      </c>
      <c r="W121" s="458" t="inlineStr">
        <is>
          <t>계단식</t>
        </is>
      </c>
      <c r="X121" s="458" t="n">
        <v>3</v>
      </c>
      <c r="Y121" s="458" t="n">
        <v>2</v>
      </c>
      <c r="Z121" s="458" t="n">
        <v>148</v>
      </c>
    </row>
    <row r="122">
      <c r="A122" s="458" t="inlineStr">
        <is>
          <t>거여동</t>
        </is>
      </c>
      <c r="D122" s="458" t="n">
        <v>139917</v>
      </c>
      <c r="E122" s="265" t="inlineStr">
        <is>
          <t>포레나송파</t>
        </is>
      </c>
      <c r="F122" s="458" t="n">
        <v>75</v>
      </c>
      <c r="G122" s="263" t="n">
        <v>210000</v>
      </c>
      <c r="H122" s="263" t="n">
        <v>85000</v>
      </c>
      <c r="I122" s="263">
        <f>G122-H122</f>
        <v/>
      </c>
      <c r="J122" s="323">
        <f>H122/G122</f>
        <v/>
      </c>
      <c r="K122" s="458" t="n">
        <v>2021.08</v>
      </c>
      <c r="L122" s="458" t="n">
        <v>1282</v>
      </c>
      <c r="M122" s="458">
        <f>2026-INT(K122)+1</f>
        <v/>
      </c>
      <c r="N122" s="458" t="n">
        <v>223</v>
      </c>
      <c r="P122" s="458" t="n">
        <v>97</v>
      </c>
      <c r="Q122" s="458" t="n">
        <v>29</v>
      </c>
      <c r="R122" s="458" t="inlineStr">
        <is>
          <t>계단식</t>
        </is>
      </c>
      <c r="S122" s="458" t="n">
        <v>3</v>
      </c>
      <c r="T122" s="458" t="n">
        <v>2</v>
      </c>
      <c r="W122" s="458" t="inlineStr">
        <is>
          <t>계단식</t>
        </is>
      </c>
      <c r="X122" s="458" t="n">
        <v>3</v>
      </c>
      <c r="Y122" s="458" t="n">
        <v>2</v>
      </c>
      <c r="Z122" s="458" t="n">
        <v>223</v>
      </c>
    </row>
    <row r="123">
      <c r="A123" s="458" t="inlineStr">
        <is>
          <t>거여동</t>
        </is>
      </c>
      <c r="D123" s="458" t="n">
        <v>139917</v>
      </c>
      <c r="E123" s="265" t="inlineStr">
        <is>
          <t>포레나송파</t>
        </is>
      </c>
      <c r="F123" s="458" t="n">
        <v>80</v>
      </c>
      <c r="G123" s="263" t="n">
        <v>220000</v>
      </c>
      <c r="H123" s="263" t="n">
        <v>85000</v>
      </c>
      <c r="I123" s="263">
        <f>G123-H123</f>
        <v/>
      </c>
      <c r="J123" s="323">
        <f>H123/G123</f>
        <v/>
      </c>
      <c r="K123" s="458" t="n">
        <v>2021.08</v>
      </c>
      <c r="L123" s="458" t="n">
        <v>1282</v>
      </c>
      <c r="M123" s="458">
        <f>2026-INT(K123)+1</f>
        <v/>
      </c>
      <c r="N123" s="458" t="n">
        <v>332</v>
      </c>
      <c r="P123" s="458" t="n">
        <v>103</v>
      </c>
      <c r="Q123" s="458" t="n">
        <v>31</v>
      </c>
      <c r="R123" s="458" t="inlineStr">
        <is>
          <t>계단식</t>
        </is>
      </c>
      <c r="S123" s="458" t="n">
        <v>3</v>
      </c>
      <c r="T123" s="458" t="n">
        <v>2</v>
      </c>
      <c r="W123" s="458" t="inlineStr">
        <is>
          <t>계단식</t>
        </is>
      </c>
      <c r="X123" s="458" t="n">
        <v>3</v>
      </c>
      <c r="Y123" s="458" t="n">
        <v>2</v>
      </c>
      <c r="Z123" s="458" t="n">
        <v>332</v>
      </c>
    </row>
    <row r="124">
      <c r="A124" s="458" t="inlineStr">
        <is>
          <t>거여동</t>
        </is>
      </c>
      <c r="D124" s="458" t="n">
        <v>139917</v>
      </c>
      <c r="E124" s="265" t="inlineStr">
        <is>
          <t>포레나송파</t>
        </is>
      </c>
      <c r="F124" s="458" t="n">
        <v>84</v>
      </c>
      <c r="G124" s="263" t="n">
        <v>215000</v>
      </c>
      <c r="H124" s="263" t="n">
        <v>93000</v>
      </c>
      <c r="I124" s="263">
        <f>G124-H124</f>
        <v/>
      </c>
      <c r="J124" s="323">
        <f>H124/G124</f>
        <v/>
      </c>
      <c r="K124" s="458" t="n">
        <v>2021.08</v>
      </c>
      <c r="L124" s="458" t="n">
        <v>1282</v>
      </c>
      <c r="M124" s="458">
        <f>2026-INT(K124)+1</f>
        <v/>
      </c>
      <c r="N124" s="458" t="n">
        <v>396</v>
      </c>
      <c r="P124" s="458" t="n">
        <v>109</v>
      </c>
      <c r="Q124" s="458" t="n">
        <v>33</v>
      </c>
      <c r="R124" s="458" t="inlineStr">
        <is>
          <t>계단식</t>
        </is>
      </c>
      <c r="S124" s="458" t="n">
        <v>3</v>
      </c>
      <c r="T124" s="458" t="n">
        <v>2</v>
      </c>
      <c r="W124" s="458" t="inlineStr">
        <is>
          <t>계단식</t>
        </is>
      </c>
      <c r="X124" s="458" t="n">
        <v>3</v>
      </c>
      <c r="Y124" s="458" t="n">
        <v>2</v>
      </c>
      <c r="Z124" s="458" t="n">
        <v>396</v>
      </c>
    </row>
    <row r="125">
      <c r="A125" s="266" t="inlineStr">
        <is>
          <t>거여동</t>
        </is>
      </c>
      <c r="B125" s="263" t="n"/>
      <c r="C125" s="263" t="n"/>
      <c r="D125" s="266" t="n">
        <v>355</v>
      </c>
      <c r="E125" s="264" t="inlineStr">
        <is>
          <t>현대1차</t>
        </is>
      </c>
      <c r="F125" s="266" t="n">
        <v>70</v>
      </c>
      <c r="G125" s="263" t="n">
        <v>86001</v>
      </c>
      <c r="H125" s="263" t="n">
        <v>41001</v>
      </c>
      <c r="I125" s="263">
        <f>G125-H125</f>
        <v/>
      </c>
      <c r="J125" s="323">
        <f>H125/G125</f>
        <v/>
      </c>
      <c r="K125" s="266" t="n">
        <v>1992.03</v>
      </c>
      <c r="L125" s="266" t="n">
        <v>497</v>
      </c>
      <c r="M125" s="266">
        <f>2026-INT(K125)+1</f>
        <v/>
      </c>
      <c r="N125" s="266" t="n">
        <v>26</v>
      </c>
      <c r="O125" s="263" t="n"/>
      <c r="P125" s="266" t="n">
        <v>86</v>
      </c>
      <c r="Q125" s="266" t="n">
        <v>26</v>
      </c>
      <c r="R125" s="266" t="inlineStr">
        <is>
          <t>계단식</t>
        </is>
      </c>
      <c r="S125" s="266" t="n">
        <v>3</v>
      </c>
      <c r="T125" s="266" t="n">
        <v>1</v>
      </c>
      <c r="U125" s="263" t="n"/>
      <c r="V125" s="263" t="n"/>
      <c r="W125" s="266" t="inlineStr">
        <is>
          <t>계단식</t>
        </is>
      </c>
      <c r="X125" s="266" t="n">
        <v>3</v>
      </c>
      <c r="Y125" s="266" t="n">
        <v>1</v>
      </c>
      <c r="Z125" s="266" t="n">
        <v>26</v>
      </c>
      <c r="AA125" s="263" t="n"/>
      <c r="AB125" s="263" t="n"/>
      <c r="AC125" s="263" t="n"/>
      <c r="AD125" s="263" t="n"/>
      <c r="AE125" s="263" t="n"/>
      <c r="AF125" s="263" t="n"/>
      <c r="AG125" s="263" t="n"/>
      <c r="AH125" s="263" t="n"/>
      <c r="AI125" s="263" t="n"/>
      <c r="AJ125" s="263" t="n"/>
      <c r="AK125" s="263" t="n"/>
    </row>
    <row r="126">
      <c r="A126" s="266" t="inlineStr">
        <is>
          <t>거여동</t>
        </is>
      </c>
      <c r="B126" s="263" t="n"/>
      <c r="C126" s="263" t="n"/>
      <c r="D126" s="266" t="n">
        <v>355</v>
      </c>
      <c r="E126" s="264" t="inlineStr">
        <is>
          <t>현대1차</t>
        </is>
      </c>
      <c r="F126" s="266" t="n">
        <v>74</v>
      </c>
      <c r="G126" s="263" t="n">
        <v>125501</v>
      </c>
      <c r="H126" s="263" t="n">
        <v>62001</v>
      </c>
      <c r="I126" s="263">
        <f>G126-H126</f>
        <v/>
      </c>
      <c r="J126" s="323">
        <f>H126/G126</f>
        <v/>
      </c>
      <c r="K126" s="266" t="n">
        <v>1992.03</v>
      </c>
      <c r="L126" s="266" t="n">
        <v>497</v>
      </c>
      <c r="M126" s="266">
        <f>2026-INT(K126)+1</f>
        <v/>
      </c>
      <c r="N126" s="266" t="n">
        <v>68</v>
      </c>
      <c r="O126" s="263" t="n"/>
      <c r="P126" s="266" t="n">
        <v>93</v>
      </c>
      <c r="Q126" s="266" t="n">
        <v>28</v>
      </c>
      <c r="R126" s="266" t="inlineStr">
        <is>
          <t>계단식</t>
        </is>
      </c>
      <c r="S126" s="266" t="n">
        <v>3</v>
      </c>
      <c r="T126" s="266" t="n">
        <v>2</v>
      </c>
      <c r="U126" s="263" t="n">
        <v>11.4</v>
      </c>
      <c r="V126" s="263" t="n"/>
      <c r="W126" s="266" t="inlineStr">
        <is>
          <t>계단식</t>
        </is>
      </c>
      <c r="X126" s="266" t="n">
        <v>3</v>
      </c>
      <c r="Y126" s="266" t="n">
        <v>2</v>
      </c>
      <c r="Z126" s="266" t="n">
        <v>68</v>
      </c>
      <c r="AA126" s="263" t="n"/>
      <c r="AB126" s="263" t="n"/>
      <c r="AC126" s="263" t="n"/>
      <c r="AD126" s="263" t="n"/>
      <c r="AE126" s="263" t="n"/>
      <c r="AF126" s="263" t="n"/>
      <c r="AG126" s="263" t="n"/>
      <c r="AH126" s="263" t="n"/>
      <c r="AI126" s="263" t="n"/>
      <c r="AJ126" s="263" t="n"/>
      <c r="AK126" s="263" t="n"/>
    </row>
    <row r="127">
      <c r="A127" s="266" t="inlineStr">
        <is>
          <t>거여동</t>
        </is>
      </c>
      <c r="B127" s="263" t="n"/>
      <c r="C127" s="263" t="n"/>
      <c r="D127" s="266" t="n">
        <v>355</v>
      </c>
      <c r="E127" s="264" t="inlineStr">
        <is>
          <t>현대1차</t>
        </is>
      </c>
      <c r="F127" s="266" t="n">
        <v>84</v>
      </c>
      <c r="G127" s="263" t="n">
        <v>143000</v>
      </c>
      <c r="H127" s="263" t="n">
        <v>57751</v>
      </c>
      <c r="I127" s="263">
        <f>G127-H127</f>
        <v/>
      </c>
      <c r="J127" s="323">
        <f>H127/G127</f>
        <v/>
      </c>
      <c r="K127" s="266" t="n">
        <v>1992.03</v>
      </c>
      <c r="L127" s="266" t="n">
        <v>497</v>
      </c>
      <c r="M127" s="266">
        <f>2026-INT(K127)+1</f>
        <v/>
      </c>
      <c r="N127" s="266" t="n">
        <v>403</v>
      </c>
      <c r="O127" s="263" t="n"/>
      <c r="P127" s="266" t="n">
        <v>102</v>
      </c>
      <c r="Q127" s="266" t="n">
        <v>31</v>
      </c>
      <c r="R127" s="266" t="inlineStr">
        <is>
          <t>계단식</t>
        </is>
      </c>
      <c r="S127" s="266" t="n">
        <v>3</v>
      </c>
      <c r="T127" s="266" t="n">
        <v>2</v>
      </c>
      <c r="U127" s="263" t="n">
        <v>13.1</v>
      </c>
      <c r="V127" s="263" t="n">
        <v>9</v>
      </c>
      <c r="W127" s="266" t="inlineStr">
        <is>
          <t>계단식</t>
        </is>
      </c>
      <c r="X127" s="266" t="n">
        <v>3</v>
      </c>
      <c r="Y127" s="266" t="n">
        <v>2</v>
      </c>
      <c r="Z127" s="266" t="n">
        <v>403</v>
      </c>
      <c r="AA127" s="263" t="n"/>
      <c r="AB127" s="263" t="n"/>
      <c r="AC127" s="263" t="n"/>
      <c r="AD127" s="263" t="n"/>
      <c r="AE127" s="263" t="n"/>
      <c r="AF127" s="263" t="n"/>
      <c r="AG127" s="263" t="n"/>
      <c r="AH127" s="263" t="n"/>
      <c r="AI127" s="263" t="n"/>
      <c r="AJ127" s="263" t="n"/>
      <c r="AK127" s="263" t="n"/>
    </row>
    <row r="128">
      <c r="A128" s="458" t="inlineStr">
        <is>
          <t>거여동</t>
        </is>
      </c>
      <c r="D128" s="458" t="n">
        <v>605</v>
      </c>
      <c r="E128" s="146" t="inlineStr">
        <is>
          <t>현대2차</t>
        </is>
      </c>
      <c r="F128" s="458" t="n">
        <v>82</v>
      </c>
      <c r="G128" s="263" t="n">
        <v>123000</v>
      </c>
      <c r="H128" s="263" t="n">
        <v>62001</v>
      </c>
      <c r="I128" s="263">
        <f>G128-H128</f>
        <v/>
      </c>
      <c r="J128" s="323">
        <f>H128/G128</f>
        <v/>
      </c>
      <c r="K128" s="458" t="n">
        <v>1992.04</v>
      </c>
      <c r="L128" s="458" t="n">
        <v>280</v>
      </c>
      <c r="M128" s="458">
        <f>2026-INT(K128)+1</f>
        <v/>
      </c>
      <c r="N128" s="458" t="n">
        <v>280</v>
      </c>
      <c r="P128" s="458" t="n">
        <v>100</v>
      </c>
      <c r="Q128" s="458" t="n">
        <v>30</v>
      </c>
      <c r="R128" s="458" t="inlineStr">
        <is>
          <t>계단식</t>
        </is>
      </c>
      <c r="S128" s="458" t="n">
        <v>3</v>
      </c>
      <c r="T128" s="458" t="n">
        <v>2</v>
      </c>
      <c r="U128" s="458" t="n">
        <v>10.95</v>
      </c>
      <c r="V128" s="458" t="n">
        <v>7</v>
      </c>
      <c r="W128" s="458" t="inlineStr">
        <is>
          <t>계단식</t>
        </is>
      </c>
      <c r="X128" s="458" t="n">
        <v>3</v>
      </c>
      <c r="Y128" s="458" t="n">
        <v>2</v>
      </c>
      <c r="Z128" s="458" t="n">
        <v>280</v>
      </c>
    </row>
    <row r="129">
      <c r="A129" s="263" t="inlineStr">
        <is>
          <t>거여동</t>
        </is>
      </c>
      <c r="B129" s="263" t="n"/>
      <c r="C129" s="263" t="n"/>
      <c r="D129" s="263" t="n">
        <v>357</v>
      </c>
      <c r="E129" s="264" t="inlineStr">
        <is>
          <t>현대3차</t>
        </is>
      </c>
      <c r="F129" s="263" t="n">
        <v>84</v>
      </c>
      <c r="G129" s="263" t="n"/>
      <c r="H129" s="263" t="n"/>
      <c r="I129" s="263">
        <f>G129-H129</f>
        <v/>
      </c>
      <c r="J129" s="323">
        <f>H129/G129</f>
        <v/>
      </c>
      <c r="K129" s="263" t="n">
        <v>1993.07</v>
      </c>
      <c r="L129" s="263" t="n">
        <v>303</v>
      </c>
      <c r="M129" s="263">
        <f>2026-INT(K129)+1</f>
        <v/>
      </c>
      <c r="N129" s="263" t="n">
        <v>303</v>
      </c>
      <c r="O129" s="263" t="n"/>
      <c r="P129" s="263" t="n">
        <v>101</v>
      </c>
      <c r="Q129" s="263" t="n">
        <v>31</v>
      </c>
      <c r="R129" s="263" t="inlineStr">
        <is>
          <t>계단식</t>
        </is>
      </c>
      <c r="S129" s="263" t="n">
        <v>3</v>
      </c>
      <c r="T129" s="263" t="n">
        <v>2</v>
      </c>
      <c r="U129" s="263" t="n">
        <v>11</v>
      </c>
      <c r="V129" s="263" t="n">
        <v>8.9</v>
      </c>
      <c r="W129" s="263" t="inlineStr">
        <is>
          <t>계단식</t>
        </is>
      </c>
      <c r="X129" s="263" t="n">
        <v>3</v>
      </c>
      <c r="Y129" s="263" t="n">
        <v>2</v>
      </c>
      <c r="Z129" s="263" t="n">
        <v>303</v>
      </c>
      <c r="AA129" s="263" t="n"/>
      <c r="AB129" s="263" t="n"/>
      <c r="AC129" s="263" t="n"/>
      <c r="AD129" s="263" t="n"/>
      <c r="AE129" s="263" t="n"/>
      <c r="AF129" s="263" t="n"/>
      <c r="AG129" s="263" t="n"/>
      <c r="AH129" s="263" t="n"/>
      <c r="AI129" s="263" t="n"/>
      <c r="AJ129" s="263" t="n"/>
      <c r="AK129" s="263" t="n"/>
    </row>
    <row r="130" ht="14" customHeight="1" s="476">
      <c r="A130" s="458" t="inlineStr">
        <is>
          <t>마천동</t>
        </is>
      </c>
      <c r="D130" s="458" t="n">
        <v>3308</v>
      </c>
      <c r="E130" s="265" t="inlineStr">
        <is>
          <t>마천금호어울림1차</t>
        </is>
      </c>
      <c r="F130" s="458" t="n">
        <v>80</v>
      </c>
      <c r="G130" s="263" t="n">
        <v>97001</v>
      </c>
      <c r="H130" s="263" t="n">
        <v>56001</v>
      </c>
      <c r="I130" s="263">
        <f>G130-H130</f>
        <v/>
      </c>
      <c r="J130" s="323">
        <f>H130/G130</f>
        <v/>
      </c>
      <c r="K130" s="458" t="n">
        <v>2002.03</v>
      </c>
      <c r="L130" s="458" t="n">
        <v>215</v>
      </c>
      <c r="M130" s="458">
        <f>2026-INT(K130)+1</f>
        <v/>
      </c>
      <c r="N130" s="458" t="n">
        <v>11</v>
      </c>
      <c r="P130" s="458" t="n">
        <v>110</v>
      </c>
      <c r="Q130" s="458" t="n">
        <v>33</v>
      </c>
      <c r="R130" s="458" t="inlineStr">
        <is>
          <t>계단식</t>
        </is>
      </c>
      <c r="S130" s="458" t="n">
        <v>3</v>
      </c>
      <c r="T130" s="458" t="n">
        <v>2</v>
      </c>
      <c r="W130" s="458" t="inlineStr">
        <is>
          <t>계단식</t>
        </is>
      </c>
      <c r="X130" s="458" t="n">
        <v>3</v>
      </c>
      <c r="Y130" s="458" t="n">
        <v>2</v>
      </c>
      <c r="Z130" s="458" t="n">
        <v>11</v>
      </c>
    </row>
    <row r="131">
      <c r="A131" s="458" t="inlineStr">
        <is>
          <t>마천동</t>
        </is>
      </c>
      <c r="D131" s="458" t="n">
        <v>3308</v>
      </c>
      <c r="E131" s="265" t="inlineStr">
        <is>
          <t>마천금호어울림1차</t>
        </is>
      </c>
      <c r="F131" s="458" t="n">
        <v>81</v>
      </c>
      <c r="G131" s="263" t="n">
        <v>120000</v>
      </c>
      <c r="H131" s="263" t="n">
        <v>46001</v>
      </c>
      <c r="I131" s="263">
        <f>G131-H131</f>
        <v/>
      </c>
      <c r="J131" s="323">
        <f>H131/G131</f>
        <v/>
      </c>
      <c r="K131" s="458" t="n">
        <v>2002.03</v>
      </c>
      <c r="L131" s="458" t="n">
        <v>215</v>
      </c>
      <c r="M131" s="458">
        <f>2026-INT(K131)+1</f>
        <v/>
      </c>
      <c r="N131" s="458" t="n">
        <v>73</v>
      </c>
      <c r="P131" s="458" t="n">
        <v>110</v>
      </c>
      <c r="Q131" s="458" t="n">
        <v>33</v>
      </c>
      <c r="R131" s="458" t="inlineStr">
        <is>
          <t>계단식</t>
        </is>
      </c>
      <c r="S131" s="458" t="n">
        <v>3</v>
      </c>
      <c r="T131" s="458" t="n">
        <v>2</v>
      </c>
      <c r="W131" s="458" t="inlineStr">
        <is>
          <t>계단식</t>
        </is>
      </c>
      <c r="X131" s="458" t="n">
        <v>3</v>
      </c>
      <c r="Y131" s="458" t="n">
        <v>2</v>
      </c>
      <c r="Z131" s="458" t="n">
        <v>73</v>
      </c>
    </row>
    <row r="132">
      <c r="A132" s="458" t="inlineStr">
        <is>
          <t>마천동</t>
        </is>
      </c>
      <c r="D132" s="458" t="n">
        <v>3308</v>
      </c>
      <c r="E132" s="265" t="inlineStr">
        <is>
          <t>마천금호어울림1차</t>
        </is>
      </c>
      <c r="F132" s="458" t="n">
        <v>84</v>
      </c>
      <c r="G132" s="263" t="n">
        <v>99701</v>
      </c>
      <c r="H132" s="263" t="n">
        <v>48001</v>
      </c>
      <c r="I132" s="263">
        <f>G132-H132</f>
        <v/>
      </c>
      <c r="J132" s="323">
        <f>H132/G132</f>
        <v/>
      </c>
      <c r="K132" s="458" t="n">
        <v>2002.03</v>
      </c>
      <c r="L132" s="458" t="n">
        <v>215</v>
      </c>
      <c r="M132" s="458">
        <f>2026-INT(K132)+1</f>
        <v/>
      </c>
      <c r="N132" s="458" t="n">
        <v>30</v>
      </c>
      <c r="P132" s="458" t="n">
        <v>115</v>
      </c>
      <c r="Q132" s="458" t="n">
        <v>35</v>
      </c>
      <c r="R132" s="458" t="inlineStr">
        <is>
          <t>계단식</t>
        </is>
      </c>
      <c r="S132" s="458" t="n">
        <v>3</v>
      </c>
      <c r="T132" s="458" t="n">
        <v>2</v>
      </c>
      <c r="U132" s="458" t="n">
        <v>10.2</v>
      </c>
      <c r="W132" s="458" t="inlineStr">
        <is>
          <t>계단식</t>
        </is>
      </c>
      <c r="X132" s="458" t="n">
        <v>3</v>
      </c>
      <c r="Y132" s="458" t="n">
        <v>2</v>
      </c>
      <c r="Z132" s="458" t="n">
        <v>30</v>
      </c>
    </row>
    <row r="133">
      <c r="A133" s="458" t="inlineStr">
        <is>
          <t>마천동</t>
        </is>
      </c>
      <c r="D133" s="458" t="n">
        <v>3308</v>
      </c>
      <c r="E133" s="265" t="inlineStr">
        <is>
          <t>마천금호어울림1차</t>
        </is>
      </c>
      <c r="F133" s="458" t="n">
        <v>101</v>
      </c>
      <c r="I133" s="263">
        <f>G133-H133</f>
        <v/>
      </c>
      <c r="J133" s="323">
        <f>H133/G133</f>
        <v/>
      </c>
      <c r="K133" s="458" t="n">
        <v>2002.03</v>
      </c>
      <c r="L133" s="458" t="n">
        <v>215</v>
      </c>
      <c r="M133" s="458">
        <f>2026-INT(K133)+1</f>
        <v/>
      </c>
      <c r="N133" s="458" t="n">
        <v>38</v>
      </c>
      <c r="P133" s="458" t="n">
        <v>133</v>
      </c>
      <c r="Q133" s="458" t="n">
        <v>40</v>
      </c>
      <c r="R133" s="458" t="inlineStr">
        <is>
          <t>계단식</t>
        </is>
      </c>
      <c r="S133" s="458" t="n">
        <v>4</v>
      </c>
      <c r="T133" s="458" t="n">
        <v>2</v>
      </c>
      <c r="U133" s="458" t="n">
        <v>10.2</v>
      </c>
      <c r="W133" s="458" t="inlineStr">
        <is>
          <t>계단식</t>
        </is>
      </c>
      <c r="X133" s="458" t="n">
        <v>4</v>
      </c>
      <c r="Y133" s="458" t="n">
        <v>2</v>
      </c>
      <c r="Z133" s="458" t="n">
        <v>38</v>
      </c>
    </row>
    <row r="134">
      <c r="A134" s="458" t="inlineStr">
        <is>
          <t>마천동</t>
        </is>
      </c>
      <c r="D134" s="458" t="n">
        <v>3308</v>
      </c>
      <c r="E134" s="265" t="inlineStr">
        <is>
          <t>마천금호어울림1차</t>
        </is>
      </c>
      <c r="F134" s="458" t="n">
        <v>114</v>
      </c>
      <c r="I134" s="263">
        <f>G134-H134</f>
        <v/>
      </c>
      <c r="J134" s="323">
        <f>H134/G134</f>
        <v/>
      </c>
      <c r="K134" s="458" t="n">
        <v>2002.03</v>
      </c>
      <c r="L134" s="458" t="n">
        <v>215</v>
      </c>
      <c r="M134" s="458">
        <f>2026-INT(K134)+1</f>
        <v/>
      </c>
      <c r="N134" s="458" t="n">
        <v>63</v>
      </c>
      <c r="P134" s="458" t="n">
        <v>147</v>
      </c>
      <c r="Q134" s="458" t="n">
        <v>44</v>
      </c>
      <c r="R134" s="458" t="inlineStr">
        <is>
          <t>계단식</t>
        </is>
      </c>
      <c r="S134" s="458" t="n">
        <v>4</v>
      </c>
      <c r="T134" s="458" t="n">
        <v>2</v>
      </c>
      <c r="U134" s="458" t="n">
        <v>11.4</v>
      </c>
      <c r="W134" s="458" t="inlineStr">
        <is>
          <t>계단식</t>
        </is>
      </c>
      <c r="X134" s="458" t="n">
        <v>4</v>
      </c>
      <c r="Y134" s="458" t="n">
        <v>2</v>
      </c>
      <c r="Z134" s="458" t="n">
        <v>63</v>
      </c>
    </row>
    <row r="135">
      <c r="A135" s="263" t="inlineStr">
        <is>
          <t>마천동</t>
        </is>
      </c>
      <c r="B135" s="263" t="n"/>
      <c r="C135" s="263" t="n"/>
      <c r="D135" s="263" t="n">
        <v>102313</v>
      </c>
      <c r="E135" s="269" t="inlineStr">
        <is>
          <t>송파파크데일1단지</t>
        </is>
      </c>
      <c r="F135" s="263" t="n">
        <v>59</v>
      </c>
      <c r="G135" s="263" t="n">
        <v>97001</v>
      </c>
      <c r="H135" s="263" t="n">
        <v>49001</v>
      </c>
      <c r="I135" s="263">
        <f>G135-H135</f>
        <v/>
      </c>
      <c r="J135" s="323">
        <f>H135/G135</f>
        <v/>
      </c>
      <c r="K135" s="263" t="n">
        <v>2011.01</v>
      </c>
      <c r="L135" s="263" t="n">
        <v>812</v>
      </c>
      <c r="M135" s="263">
        <f>2026-INT(K135)+1</f>
        <v/>
      </c>
      <c r="N135" s="263" t="n">
        <v>44</v>
      </c>
      <c r="O135" s="263" t="n"/>
      <c r="P135" s="263" t="n">
        <v>78</v>
      </c>
      <c r="Q135" s="263" t="n">
        <v>24</v>
      </c>
      <c r="R135" s="263" t="inlineStr">
        <is>
          <t>계단식</t>
        </is>
      </c>
      <c r="S135" s="263" t="n">
        <v>3</v>
      </c>
      <c r="T135" s="263" t="n">
        <v>2</v>
      </c>
      <c r="U135" s="263" t="n">
        <v>9.17</v>
      </c>
      <c r="V135" s="263" t="n">
        <v>7.2</v>
      </c>
      <c r="W135" s="263" t="inlineStr">
        <is>
          <t>계단식</t>
        </is>
      </c>
      <c r="X135" s="263" t="n">
        <v>3</v>
      </c>
      <c r="Y135" s="263" t="n">
        <v>2</v>
      </c>
      <c r="Z135" s="263" t="n">
        <v>44</v>
      </c>
      <c r="AA135" s="263" t="n"/>
      <c r="AB135" s="263" t="n"/>
      <c r="AC135" s="263" t="n"/>
      <c r="AD135" s="263" t="n"/>
      <c r="AE135" s="263" t="n"/>
      <c r="AF135" s="263" t="n"/>
      <c r="AG135" s="263" t="n"/>
      <c r="AH135" s="263" t="n"/>
      <c r="AI135" s="263" t="n"/>
      <c r="AJ135" s="263" t="n"/>
      <c r="AK135" s="263" t="n"/>
    </row>
    <row r="136">
      <c r="A136" s="263" t="inlineStr">
        <is>
          <t>마천동</t>
        </is>
      </c>
      <c r="B136" s="263" t="n"/>
      <c r="C136" s="263" t="n"/>
      <c r="D136" s="263" t="n">
        <v>102313</v>
      </c>
      <c r="E136" s="264" t="inlineStr">
        <is>
          <t>송파파크데일1단지</t>
        </is>
      </c>
      <c r="F136" s="263" t="n">
        <v>84</v>
      </c>
      <c r="G136" s="263" t="n">
        <v>135500</v>
      </c>
      <c r="H136" s="263" t="n">
        <v>60001</v>
      </c>
      <c r="I136" s="263">
        <f>G136-H136</f>
        <v/>
      </c>
      <c r="J136" s="323">
        <f>H136/G136</f>
        <v/>
      </c>
      <c r="K136" s="263" t="n">
        <v>2011.01</v>
      </c>
      <c r="L136" s="263" t="n">
        <v>812</v>
      </c>
      <c r="M136" s="263">
        <f>2026-INT(K136)+1</f>
        <v/>
      </c>
      <c r="N136" s="263" t="n">
        <v>194</v>
      </c>
      <c r="O136" s="263" t="n"/>
      <c r="P136" s="263" t="n">
        <v>108</v>
      </c>
      <c r="Q136" s="263" t="n">
        <v>33</v>
      </c>
      <c r="R136" s="263" t="inlineStr">
        <is>
          <t>계단식</t>
        </is>
      </c>
      <c r="S136" s="263" t="n">
        <v>3</v>
      </c>
      <c r="T136" s="263" t="n">
        <v>2</v>
      </c>
      <c r="U136" s="263" t="n">
        <v>13.3</v>
      </c>
      <c r="V136" s="263" t="n">
        <v>8.199999999999999</v>
      </c>
      <c r="W136" s="263" t="inlineStr">
        <is>
          <t>계단식</t>
        </is>
      </c>
      <c r="X136" s="263" t="n">
        <v>3</v>
      </c>
      <c r="Y136" s="263" t="n">
        <v>2</v>
      </c>
      <c r="Z136" s="263" t="n">
        <v>194</v>
      </c>
      <c r="AA136" s="263" t="n"/>
      <c r="AB136" s="263" t="n"/>
      <c r="AC136" s="263" t="n"/>
      <c r="AD136" s="263" t="n"/>
      <c r="AE136" s="263" t="n"/>
      <c r="AF136" s="263" t="n"/>
      <c r="AG136" s="263" t="n"/>
      <c r="AH136" s="263" t="n"/>
      <c r="AI136" s="263" t="n"/>
      <c r="AJ136" s="263" t="n"/>
      <c r="AK136" s="263" t="n"/>
    </row>
    <row r="137">
      <c r="A137" s="266" t="inlineStr">
        <is>
          <t>마천동</t>
        </is>
      </c>
      <c r="B137" s="263" t="n"/>
      <c r="C137" s="263" t="n"/>
      <c r="D137" s="266" t="n">
        <v>102313</v>
      </c>
      <c r="E137" s="264" t="inlineStr">
        <is>
          <t>송파파크데일1단지</t>
        </is>
      </c>
      <c r="F137" s="266" t="n">
        <v>114</v>
      </c>
      <c r="G137" s="263" t="n"/>
      <c r="H137" s="263" t="n"/>
      <c r="I137" s="263">
        <f>G137-H137</f>
        <v/>
      </c>
      <c r="J137" s="323">
        <f>H137/G137</f>
        <v/>
      </c>
      <c r="K137" s="266" t="n">
        <v>2011.01</v>
      </c>
      <c r="L137" s="266" t="n">
        <v>812</v>
      </c>
      <c r="M137" s="266">
        <f>2026-INT(K137)+1</f>
        <v/>
      </c>
      <c r="N137" s="266" t="n">
        <v>47</v>
      </c>
      <c r="O137" s="263" t="n"/>
      <c r="P137" s="266" t="n">
        <v>147</v>
      </c>
      <c r="Q137" s="266" t="n">
        <v>44</v>
      </c>
      <c r="R137" s="266" t="inlineStr">
        <is>
          <t>계단식</t>
        </is>
      </c>
      <c r="S137" s="266" t="n">
        <v>4</v>
      </c>
      <c r="T137" s="266" t="n">
        <v>2</v>
      </c>
      <c r="U137" s="266" t="n">
        <v>14.1</v>
      </c>
      <c r="V137" s="266" t="n">
        <v>11.7</v>
      </c>
      <c r="W137" s="266" t="inlineStr">
        <is>
          <t>계단식</t>
        </is>
      </c>
      <c r="X137" s="266" t="n">
        <v>4</v>
      </c>
      <c r="Y137" s="266" t="n">
        <v>2</v>
      </c>
      <c r="Z137" s="266" t="n">
        <v>47</v>
      </c>
      <c r="AA137" s="263" t="n"/>
      <c r="AB137" s="263" t="n"/>
      <c r="AC137" s="263" t="n"/>
      <c r="AD137" s="263" t="n"/>
      <c r="AE137" s="263" t="n"/>
      <c r="AF137" s="263" t="n"/>
      <c r="AG137" s="263" t="n"/>
      <c r="AH137" s="263" t="n"/>
      <c r="AI137" s="263" t="n"/>
      <c r="AJ137" s="263" t="n"/>
      <c r="AK137" s="263" t="n"/>
    </row>
    <row r="138" ht="14" customHeight="1" s="476">
      <c r="A138" s="458" t="inlineStr">
        <is>
          <t>마천동</t>
        </is>
      </c>
      <c r="D138" s="458" t="n">
        <v>102314</v>
      </c>
      <c r="E138" s="146" t="inlineStr">
        <is>
          <t>송파파크데일2단지</t>
        </is>
      </c>
      <c r="F138" s="458" t="n">
        <v>59</v>
      </c>
      <c r="G138" s="458" t="n">
        <v>92001</v>
      </c>
      <c r="H138" s="458" t="n">
        <v>42001</v>
      </c>
      <c r="I138" s="263">
        <f>G138-H138</f>
        <v/>
      </c>
      <c r="J138" s="323">
        <f>H138/G138</f>
        <v/>
      </c>
      <c r="K138" s="458" t="n">
        <v>2011.01</v>
      </c>
      <c r="L138" s="458" t="n">
        <v>889</v>
      </c>
      <c r="M138" s="458">
        <f>2026-INT(K138)+1</f>
        <v/>
      </c>
      <c r="N138" s="458" t="n">
        <v>30</v>
      </c>
      <c r="P138" s="458" t="n">
        <v>79</v>
      </c>
      <c r="Q138" s="458" t="n">
        <v>24</v>
      </c>
      <c r="R138" s="458" t="inlineStr">
        <is>
          <t>계단식</t>
        </is>
      </c>
      <c r="S138" s="458" t="n">
        <v>3</v>
      </c>
      <c r="T138" s="458" t="n">
        <v>2</v>
      </c>
      <c r="U138" s="458" t="n"/>
      <c r="V138" s="458" t="n">
        <v>7.95</v>
      </c>
      <c r="W138" s="458" t="inlineStr">
        <is>
          <t>계단식</t>
        </is>
      </c>
      <c r="X138" s="458" t="n">
        <v>3</v>
      </c>
      <c r="Y138" s="458" t="n">
        <v>2</v>
      </c>
      <c r="Z138" s="458" t="n">
        <v>30</v>
      </c>
    </row>
    <row r="139">
      <c r="A139" s="458" t="inlineStr">
        <is>
          <t>마천동</t>
        </is>
      </c>
      <c r="D139" s="458" t="n">
        <v>102314</v>
      </c>
      <c r="E139" s="265" t="inlineStr">
        <is>
          <t>송파파크데일2단지</t>
        </is>
      </c>
      <c r="F139" s="458" t="n">
        <v>84</v>
      </c>
      <c r="G139" s="458" t="n">
        <v>139500</v>
      </c>
      <c r="H139" s="458" t="n">
        <v>70000</v>
      </c>
      <c r="I139" s="263">
        <f>G139-H139</f>
        <v/>
      </c>
      <c r="J139" s="323">
        <f>H139/G139</f>
        <v/>
      </c>
      <c r="K139" s="458" t="n">
        <v>2011.01</v>
      </c>
      <c r="L139" s="458" t="n">
        <v>889</v>
      </c>
      <c r="M139" s="458">
        <f>2026-INT(K139)+1</f>
        <v/>
      </c>
      <c r="N139" s="458" t="n">
        <v>142</v>
      </c>
      <c r="P139" s="458" t="n">
        <v>109</v>
      </c>
      <c r="Q139" s="458" t="n">
        <v>33</v>
      </c>
      <c r="R139" s="458" t="inlineStr">
        <is>
          <t>계단식</t>
        </is>
      </c>
      <c r="S139" s="458" t="n">
        <v>3</v>
      </c>
      <c r="T139" s="458" t="n">
        <v>2</v>
      </c>
      <c r="U139" s="458" t="n">
        <v>12.3</v>
      </c>
      <c r="V139" s="458" t="n">
        <v>9.300000000000001</v>
      </c>
      <c r="W139" s="458" t="inlineStr">
        <is>
          <t>계단식</t>
        </is>
      </c>
      <c r="X139" s="458" t="n">
        <v>3</v>
      </c>
      <c r="Y139" s="458" t="n">
        <v>2</v>
      </c>
      <c r="Z139" s="458" t="n">
        <v>142</v>
      </c>
    </row>
    <row r="140">
      <c r="A140" s="458" t="inlineStr">
        <is>
          <t>마천동</t>
        </is>
      </c>
      <c r="D140" s="458" t="n">
        <v>102314</v>
      </c>
      <c r="E140" s="265" t="inlineStr">
        <is>
          <t>송파파크데일2단지</t>
        </is>
      </c>
      <c r="F140" s="458" t="n">
        <v>114</v>
      </c>
      <c r="I140" s="263">
        <f>G140-H140</f>
        <v/>
      </c>
      <c r="J140" s="323">
        <f>H140/G140</f>
        <v/>
      </c>
      <c r="K140" s="458" t="n">
        <v>2011.01</v>
      </c>
      <c r="L140" s="458" t="n">
        <v>889</v>
      </c>
      <c r="M140" s="458">
        <f>2026-INT(K140)+1</f>
        <v/>
      </c>
      <c r="N140" s="458" t="n">
        <v>82</v>
      </c>
      <c r="P140" s="458" t="n">
        <v>148</v>
      </c>
      <c r="Q140" s="458" t="n">
        <v>45</v>
      </c>
      <c r="R140" s="458" t="inlineStr">
        <is>
          <t>계단식</t>
        </is>
      </c>
      <c r="S140" s="458" t="n">
        <v>4</v>
      </c>
      <c r="T140" s="458" t="n">
        <v>2</v>
      </c>
      <c r="U140" s="458" t="n">
        <v>14.8</v>
      </c>
      <c r="V140" s="458" t="n">
        <v>12.2</v>
      </c>
      <c r="W140" s="458" t="inlineStr">
        <is>
          <t>계단식</t>
        </is>
      </c>
      <c r="X140" s="458" t="n">
        <v>4</v>
      </c>
      <c r="Y140" s="458" t="n">
        <v>2</v>
      </c>
      <c r="Z140" s="458" t="n">
        <v>82</v>
      </c>
    </row>
    <row r="141" ht="14" customHeight="1" s="476">
      <c r="A141" s="263" t="inlineStr">
        <is>
          <t>마천동</t>
        </is>
      </c>
      <c r="B141" s="263" t="n"/>
      <c r="C141" s="263" t="n"/>
      <c r="D141" s="263" t="n">
        <v>3307</v>
      </c>
      <c r="E141" s="264" t="inlineStr">
        <is>
          <t>우방</t>
        </is>
      </c>
      <c r="F141" s="263" t="n">
        <v>55</v>
      </c>
      <c r="G141" s="263" t="n">
        <v>69601</v>
      </c>
      <c r="H141" s="263" t="n">
        <v>47001</v>
      </c>
      <c r="I141" s="263">
        <f>G141-H141</f>
        <v/>
      </c>
      <c r="J141" s="323">
        <f>H141/G141</f>
        <v/>
      </c>
      <c r="K141" s="263" t="n">
        <v>2002.11</v>
      </c>
      <c r="L141" s="263" t="n">
        <v>247</v>
      </c>
      <c r="M141" s="263">
        <f>2026-INT(K141)+1</f>
        <v/>
      </c>
      <c r="N141" s="263" t="n">
        <v>105</v>
      </c>
      <c r="O141" s="263" t="n"/>
      <c r="P141" s="263" t="n">
        <v>74</v>
      </c>
      <c r="Q141" s="263" t="n">
        <v>22</v>
      </c>
      <c r="R141" s="263" t="inlineStr">
        <is>
          <t>복도식</t>
        </is>
      </c>
      <c r="S141" s="263" t="n">
        <v>3</v>
      </c>
      <c r="T141" s="263" t="n">
        <v>1</v>
      </c>
      <c r="U141" s="263" t="n">
        <v>8.300000000000001</v>
      </c>
      <c r="V141" s="263" t="n">
        <v>7</v>
      </c>
      <c r="W141" s="263" t="inlineStr">
        <is>
          <t>복도식</t>
        </is>
      </c>
      <c r="X141" s="263" t="n">
        <v>3</v>
      </c>
      <c r="Y141" s="263" t="n">
        <v>1</v>
      </c>
      <c r="Z141" s="263" t="n">
        <v>105</v>
      </c>
      <c r="AA141" s="263" t="n"/>
      <c r="AB141" s="263" t="n"/>
      <c r="AC141" s="263" t="n"/>
      <c r="AD141" s="263" t="n"/>
      <c r="AE141" s="263" t="n"/>
      <c r="AF141" s="263" t="n"/>
      <c r="AG141" s="263" t="n"/>
      <c r="AH141" s="263" t="n"/>
      <c r="AI141" s="263" t="n"/>
      <c r="AJ141" s="263" t="n"/>
      <c r="AK141" s="263" t="n"/>
    </row>
    <row r="142">
      <c r="A142" s="263" t="inlineStr">
        <is>
          <t>마천동</t>
        </is>
      </c>
      <c r="B142" s="263" t="n"/>
      <c r="C142" s="263" t="n"/>
      <c r="D142" s="263" t="n">
        <v>3307</v>
      </c>
      <c r="E142" s="264" t="inlineStr">
        <is>
          <t>우방</t>
        </is>
      </c>
      <c r="F142" s="263" t="n">
        <v>79</v>
      </c>
      <c r="G142" s="263" t="n">
        <v>110000</v>
      </c>
      <c r="H142" s="263" t="n">
        <v>57001</v>
      </c>
      <c r="I142" s="263">
        <f>G142-H142</f>
        <v/>
      </c>
      <c r="J142" s="323">
        <f>H142/G142</f>
        <v/>
      </c>
      <c r="K142" s="263" t="n">
        <v>2002.11</v>
      </c>
      <c r="L142" s="263" t="n">
        <v>247</v>
      </c>
      <c r="M142" s="263">
        <f>2026-INT(K142)+1</f>
        <v/>
      </c>
      <c r="N142" s="263" t="n">
        <v>106</v>
      </c>
      <c r="O142" s="263" t="n"/>
      <c r="P142" s="263" t="n">
        <v>105</v>
      </c>
      <c r="Q142" s="263" t="n">
        <v>32</v>
      </c>
      <c r="R142" s="263" t="inlineStr">
        <is>
          <t>계단식</t>
        </is>
      </c>
      <c r="S142" s="263" t="n">
        <v>3</v>
      </c>
      <c r="T142" s="263" t="n">
        <v>2</v>
      </c>
      <c r="U142" s="263" t="n">
        <v>9.5</v>
      </c>
      <c r="V142" s="263" t="n">
        <v>8</v>
      </c>
      <c r="W142" s="263" t="inlineStr">
        <is>
          <t>계단식</t>
        </is>
      </c>
      <c r="X142" s="263" t="n">
        <v>3</v>
      </c>
      <c r="Y142" s="263" t="n">
        <v>2</v>
      </c>
      <c r="Z142" s="263" t="n">
        <v>106</v>
      </c>
      <c r="AA142" s="263" t="n"/>
      <c r="AB142" s="263" t="n"/>
      <c r="AC142" s="263" t="n"/>
      <c r="AD142" s="263" t="n"/>
      <c r="AE142" s="263" t="n"/>
      <c r="AF142" s="263" t="n"/>
      <c r="AG142" s="263" t="n"/>
      <c r="AH142" s="263" t="n"/>
      <c r="AI142" s="263" t="n"/>
      <c r="AJ142" s="263" t="n"/>
      <c r="AK142" s="263" t="n"/>
    </row>
    <row r="143">
      <c r="A143" s="263" t="inlineStr">
        <is>
          <t>마천동</t>
        </is>
      </c>
      <c r="B143" s="263" t="n"/>
      <c r="C143" s="263" t="n"/>
      <c r="D143" s="263" t="n">
        <v>3307</v>
      </c>
      <c r="E143" s="264" t="inlineStr">
        <is>
          <t>우방</t>
        </is>
      </c>
      <c r="F143" s="263" t="n">
        <v>79</v>
      </c>
      <c r="G143" s="263" t="n"/>
      <c r="H143" s="263" t="n"/>
      <c r="I143" s="263">
        <f>G143-H143</f>
        <v/>
      </c>
      <c r="J143" s="323">
        <f>H143/G143</f>
        <v/>
      </c>
      <c r="K143" s="263" t="n">
        <v>2002.11</v>
      </c>
      <c r="L143" s="263" t="n">
        <v>247</v>
      </c>
      <c r="M143" s="263">
        <f>2026-INT(K143)+1</f>
        <v/>
      </c>
      <c r="N143" s="263" t="n">
        <v>19</v>
      </c>
      <c r="O143" s="263" t="n"/>
      <c r="P143" s="263" t="n">
        <v>105</v>
      </c>
      <c r="Q143" s="263" t="n">
        <v>32</v>
      </c>
      <c r="R143" s="263" t="inlineStr">
        <is>
          <t>복도식</t>
        </is>
      </c>
      <c r="S143" s="263" t="n">
        <v>3</v>
      </c>
      <c r="T143" s="263" t="n">
        <v>2</v>
      </c>
      <c r="U143" s="263" t="n">
        <v>9.5</v>
      </c>
      <c r="V143" s="263" t="n">
        <v>8</v>
      </c>
      <c r="W143" s="263" t="inlineStr">
        <is>
          <t>복도식</t>
        </is>
      </c>
      <c r="X143" s="263" t="n">
        <v>3</v>
      </c>
      <c r="Y143" s="263" t="n">
        <v>2</v>
      </c>
      <c r="Z143" s="263" t="n">
        <v>19</v>
      </c>
      <c r="AA143" s="263" t="n"/>
      <c r="AB143" s="263" t="n"/>
      <c r="AC143" s="263" t="n"/>
      <c r="AD143" s="263" t="n"/>
      <c r="AE143" s="263" t="n"/>
      <c r="AF143" s="263" t="n"/>
      <c r="AG143" s="263" t="n"/>
      <c r="AH143" s="263" t="n"/>
      <c r="AI143" s="263" t="n"/>
      <c r="AJ143" s="263" t="n"/>
      <c r="AK143" s="263" t="n"/>
    </row>
    <row r="144">
      <c r="A144" s="263" t="inlineStr">
        <is>
          <t>마천동</t>
        </is>
      </c>
      <c r="B144" s="263" t="n"/>
      <c r="C144" s="263" t="n"/>
      <c r="D144" s="263" t="n">
        <v>3307</v>
      </c>
      <c r="E144" s="264" t="inlineStr">
        <is>
          <t>우방</t>
        </is>
      </c>
      <c r="F144" s="263" t="n">
        <v>106</v>
      </c>
      <c r="G144" s="263" t="n"/>
      <c r="H144" s="263" t="n"/>
      <c r="I144" s="263">
        <f>G144-H144</f>
        <v/>
      </c>
      <c r="J144" s="323">
        <f>H144/G144</f>
        <v/>
      </c>
      <c r="K144" s="263" t="n">
        <v>2002.11</v>
      </c>
      <c r="L144" s="263" t="n">
        <v>247</v>
      </c>
      <c r="M144" s="263">
        <f>2026-INT(K144)+1</f>
        <v/>
      </c>
      <c r="N144" s="263" t="n">
        <v>17</v>
      </c>
      <c r="O144" s="263" t="n"/>
      <c r="P144" s="263" t="n">
        <v>141</v>
      </c>
      <c r="Q144" s="263" t="n">
        <v>43</v>
      </c>
      <c r="R144" s="263" t="inlineStr">
        <is>
          <t>계단식</t>
        </is>
      </c>
      <c r="S144" s="263" t="n">
        <v>4</v>
      </c>
      <c r="T144" s="263" t="n">
        <v>2</v>
      </c>
      <c r="U144" s="263" t="n">
        <v>11</v>
      </c>
      <c r="V144" s="263" t="n"/>
      <c r="W144" s="263" t="inlineStr">
        <is>
          <t>계단식</t>
        </is>
      </c>
      <c r="X144" s="263" t="n">
        <v>4</v>
      </c>
      <c r="Y144" s="263" t="n">
        <v>2</v>
      </c>
      <c r="Z144" s="263" t="n">
        <v>17</v>
      </c>
      <c r="AA144" s="263" t="n"/>
      <c r="AB144" s="263" t="n"/>
      <c r="AC144" s="263" t="n"/>
      <c r="AD144" s="263" t="n"/>
      <c r="AE144" s="263" t="n"/>
      <c r="AF144" s="263" t="n"/>
      <c r="AG144" s="263" t="n"/>
      <c r="AH144" s="263" t="n"/>
      <c r="AI144" s="263" t="n"/>
      <c r="AJ144" s="263" t="n"/>
      <c r="AK144" s="263" t="n"/>
    </row>
    <row r="145" ht="14" customHeight="1" s="476">
      <c r="A145" s="458" t="inlineStr">
        <is>
          <t>문정동</t>
        </is>
      </c>
      <c r="D145" s="458" t="n">
        <v>608</v>
      </c>
      <c r="E145" s="146" t="inlineStr">
        <is>
          <t>건영</t>
        </is>
      </c>
      <c r="F145" s="458" t="n">
        <v>77</v>
      </c>
      <c r="G145" s="458" t="n">
        <v>173000</v>
      </c>
      <c r="H145" s="458" t="n">
        <v>53001</v>
      </c>
      <c r="I145" s="263">
        <f>G145-H145</f>
        <v/>
      </c>
      <c r="J145" s="323">
        <f>H145/G145</f>
        <v/>
      </c>
      <c r="K145" s="458" t="n">
        <v>1996.1</v>
      </c>
      <c r="L145" s="458" t="n">
        <v>545</v>
      </c>
      <c r="M145" s="458">
        <f>2026-INT(K145)+1</f>
        <v/>
      </c>
      <c r="N145" s="458" t="n">
        <v>60</v>
      </c>
      <c r="P145" s="458" t="n">
        <v>94</v>
      </c>
      <c r="Q145" s="458" t="n">
        <v>28</v>
      </c>
      <c r="R145" s="458" t="inlineStr">
        <is>
          <t>계단식</t>
        </is>
      </c>
      <c r="S145" s="458" t="n">
        <v>3</v>
      </c>
      <c r="T145" s="458" t="n">
        <v>2</v>
      </c>
      <c r="U145" s="458" t="n">
        <v>12.6</v>
      </c>
      <c r="V145" s="458" t="n">
        <v>10.3</v>
      </c>
      <c r="W145" s="458" t="inlineStr">
        <is>
          <t>계단식</t>
        </is>
      </c>
      <c r="X145" s="458" t="n">
        <v>3</v>
      </c>
      <c r="Y145" s="458" t="n">
        <v>2</v>
      </c>
      <c r="Z145" s="458" t="n">
        <v>60</v>
      </c>
    </row>
    <row r="146" ht="14" customHeight="1" s="476">
      <c r="A146" s="458" t="inlineStr">
        <is>
          <t>문정동</t>
        </is>
      </c>
      <c r="D146" s="458" t="n">
        <v>608</v>
      </c>
      <c r="E146" s="265" t="inlineStr">
        <is>
          <t>건영</t>
        </is>
      </c>
      <c r="F146" s="458" t="n">
        <v>84</v>
      </c>
      <c r="G146" s="263" t="n">
        <v>185000</v>
      </c>
      <c r="H146" s="263" t="n">
        <v>55001</v>
      </c>
      <c r="I146" s="263">
        <f>G146-H146</f>
        <v/>
      </c>
      <c r="J146" s="323">
        <f>H146/G146</f>
        <v/>
      </c>
      <c r="K146" s="458" t="n">
        <v>1996.1</v>
      </c>
      <c r="L146" s="458" t="n">
        <v>545</v>
      </c>
      <c r="M146" s="458">
        <f>2026-INT(K146)+1</f>
        <v/>
      </c>
      <c r="N146" s="458" t="n">
        <v>485</v>
      </c>
      <c r="P146" s="458" t="n">
        <v>103</v>
      </c>
      <c r="Q146" s="458" t="n">
        <v>31</v>
      </c>
      <c r="R146" s="458" t="inlineStr">
        <is>
          <t>계단식</t>
        </is>
      </c>
      <c r="S146" s="458" t="n">
        <v>3</v>
      </c>
      <c r="T146" s="458" t="n">
        <v>2</v>
      </c>
      <c r="U146" s="458" t="n">
        <v>15.4</v>
      </c>
      <c r="V146" s="458" t="n">
        <v>10.8</v>
      </c>
      <c r="W146" s="458" t="inlineStr">
        <is>
          <t>계단식</t>
        </is>
      </c>
      <c r="X146" s="458" t="n">
        <v>3</v>
      </c>
      <c r="Y146" s="458" t="n">
        <v>2</v>
      </c>
      <c r="Z146" s="458" t="n">
        <v>485</v>
      </c>
    </row>
    <row r="147" ht="14" customHeight="1" s="476">
      <c r="A147" s="263" t="inlineStr">
        <is>
          <t>문정동</t>
        </is>
      </c>
      <c r="B147" s="263" t="n"/>
      <c r="C147" s="263" t="n"/>
      <c r="D147" s="263" t="n">
        <v>3033</v>
      </c>
      <c r="E147" s="269" t="inlineStr">
        <is>
          <t>문정래미안</t>
        </is>
      </c>
      <c r="F147" s="263" t="n">
        <v>84</v>
      </c>
      <c r="G147" s="263" t="n">
        <v>220000</v>
      </c>
      <c r="H147" s="263" t="n">
        <v>92000</v>
      </c>
      <c r="I147" s="263">
        <f>G147-H147</f>
        <v/>
      </c>
      <c r="J147" s="323">
        <f>H147/G147</f>
        <v/>
      </c>
      <c r="K147" s="263" t="n">
        <v>2004.09</v>
      </c>
      <c r="L147" s="263" t="n">
        <v>1696</v>
      </c>
      <c r="M147" s="263">
        <f>2026-INT(K147)+1</f>
        <v/>
      </c>
      <c r="N147" s="263" t="n">
        <v>342</v>
      </c>
      <c r="O147" s="263" t="n"/>
      <c r="P147" s="263" t="n">
        <v>111</v>
      </c>
      <c r="Q147" s="263" t="n">
        <v>34</v>
      </c>
      <c r="R147" s="263" t="inlineStr">
        <is>
          <t>계단식</t>
        </is>
      </c>
      <c r="S147" s="263" t="n">
        <v>3</v>
      </c>
      <c r="T147" s="263" t="n">
        <v>2</v>
      </c>
      <c r="U147" s="263" t="n">
        <v>17.1</v>
      </c>
      <c r="V147" s="263" t="n">
        <v>12.7</v>
      </c>
      <c r="W147" s="263" t="inlineStr">
        <is>
          <t>계단식</t>
        </is>
      </c>
      <c r="X147" s="263" t="n">
        <v>3</v>
      </c>
      <c r="Y147" s="263" t="n">
        <v>2</v>
      </c>
      <c r="Z147" s="263" t="n">
        <v>342</v>
      </c>
      <c r="AA147" s="263" t="n"/>
      <c r="AB147" s="263" t="n"/>
      <c r="AC147" s="263" t="n"/>
      <c r="AD147" s="263" t="n"/>
      <c r="AE147" s="263" t="n"/>
      <c r="AF147" s="263" t="n"/>
      <c r="AG147" s="263" t="n"/>
      <c r="AH147" s="263" t="n"/>
      <c r="AI147" s="263" t="n"/>
      <c r="AJ147" s="263" t="n"/>
      <c r="AK147" s="263" t="n"/>
    </row>
    <row r="148" ht="14" customHeight="1" s="476">
      <c r="A148" s="263" t="inlineStr">
        <is>
          <t>문정동</t>
        </is>
      </c>
      <c r="B148" s="263" t="n"/>
      <c r="C148" s="263" t="n"/>
      <c r="D148" s="263" t="n">
        <v>3033</v>
      </c>
      <c r="E148" s="264" t="inlineStr">
        <is>
          <t>문정래미안</t>
        </is>
      </c>
      <c r="F148" s="263" t="n">
        <v>120</v>
      </c>
      <c r="G148" s="263" t="n"/>
      <c r="H148" s="263" t="n"/>
      <c r="I148" s="263">
        <f>G148-H148</f>
        <v/>
      </c>
      <c r="J148" s="323">
        <f>H148/G148</f>
        <v/>
      </c>
      <c r="K148" s="263" t="n">
        <v>2004.09</v>
      </c>
      <c r="L148" s="263" t="n">
        <v>1696</v>
      </c>
      <c r="M148" s="263">
        <f>2026-INT(K148)+1</f>
        <v/>
      </c>
      <c r="N148" s="263" t="n">
        <v>614</v>
      </c>
      <c r="O148" s="263" t="n"/>
      <c r="P148" s="263" t="n">
        <v>146</v>
      </c>
      <c r="Q148" s="263" t="n">
        <v>44</v>
      </c>
      <c r="R148" s="263" t="inlineStr">
        <is>
          <t>계단식</t>
        </is>
      </c>
      <c r="S148" s="263" t="n">
        <v>4</v>
      </c>
      <c r="T148" s="263" t="n">
        <v>2</v>
      </c>
      <c r="U148" s="263" t="n">
        <v>18.85</v>
      </c>
      <c r="V148" s="263" t="n">
        <v>13.95</v>
      </c>
      <c r="W148" s="263" t="inlineStr">
        <is>
          <t>계단식</t>
        </is>
      </c>
      <c r="X148" s="263" t="n">
        <v>4</v>
      </c>
      <c r="Y148" s="263" t="n">
        <v>2</v>
      </c>
      <c r="Z148" s="263" t="n">
        <v>614</v>
      </c>
      <c r="AA148" s="263" t="n"/>
      <c r="AB148" s="263" t="n"/>
      <c r="AC148" s="263" t="n"/>
      <c r="AD148" s="263" t="n"/>
      <c r="AE148" s="263" t="n"/>
      <c r="AF148" s="263" t="n"/>
      <c r="AG148" s="263" t="n"/>
      <c r="AH148" s="263" t="n"/>
      <c r="AI148" s="263" t="n"/>
      <c r="AJ148" s="263" t="n"/>
      <c r="AK148" s="263" t="n"/>
    </row>
    <row r="149" ht="14" customHeight="1" s="476">
      <c r="A149" s="266" t="inlineStr">
        <is>
          <t>문정동</t>
        </is>
      </c>
      <c r="B149" s="263" t="n"/>
      <c r="C149" s="263" t="n"/>
      <c r="D149" s="266" t="n">
        <v>3033</v>
      </c>
      <c r="E149" s="264" t="inlineStr">
        <is>
          <t>문정래미안</t>
        </is>
      </c>
      <c r="F149" s="266" t="n">
        <v>131</v>
      </c>
      <c r="G149" s="263" t="n"/>
      <c r="H149" s="263" t="n"/>
      <c r="I149" s="263">
        <f>G149-H149</f>
        <v/>
      </c>
      <c r="J149" s="323">
        <f>H149/G149</f>
        <v/>
      </c>
      <c r="K149" s="266" t="n">
        <v>2004.09</v>
      </c>
      <c r="L149" s="266" t="n">
        <v>1696</v>
      </c>
      <c r="M149" s="266">
        <f>2026-INT(K149)+1</f>
        <v/>
      </c>
      <c r="N149" s="266" t="n">
        <v>12</v>
      </c>
      <c r="O149" s="263" t="n"/>
      <c r="P149" s="266" t="n">
        <v>161</v>
      </c>
      <c r="Q149" s="266" t="n">
        <v>49</v>
      </c>
      <c r="R149" s="266" t="inlineStr">
        <is>
          <t>계단식</t>
        </is>
      </c>
      <c r="S149" s="266" t="n">
        <v>4</v>
      </c>
      <c r="T149" s="266" t="n">
        <v>3</v>
      </c>
      <c r="U149" s="266" t="n"/>
      <c r="V149" s="266" t="n"/>
      <c r="W149" s="266" t="inlineStr">
        <is>
          <t>계단식</t>
        </is>
      </c>
      <c r="X149" s="266" t="n">
        <v>4</v>
      </c>
      <c r="Y149" s="266" t="n">
        <v>3</v>
      </c>
      <c r="Z149" s="266" t="n">
        <v>12</v>
      </c>
      <c r="AA149" s="263" t="n"/>
      <c r="AB149" s="263" t="n"/>
      <c r="AC149" s="263" t="n"/>
      <c r="AD149" s="263" t="n"/>
      <c r="AE149" s="263" t="n"/>
      <c r="AF149" s="263" t="n"/>
      <c r="AG149" s="263" t="n"/>
      <c r="AH149" s="263" t="n"/>
      <c r="AI149" s="263" t="n"/>
      <c r="AJ149" s="263" t="n"/>
      <c r="AK149" s="263" t="n"/>
    </row>
    <row r="150" ht="14" customHeight="1" s="476">
      <c r="A150" s="263" t="inlineStr">
        <is>
          <t>문정동</t>
        </is>
      </c>
      <c r="B150" s="263" t="n"/>
      <c r="C150" s="263" t="n"/>
      <c r="D150" s="263" t="n">
        <v>3033</v>
      </c>
      <c r="E150" s="264" t="inlineStr">
        <is>
          <t>문정래미안</t>
        </is>
      </c>
      <c r="F150" s="263" t="n">
        <v>133</v>
      </c>
      <c r="G150" s="263" t="n"/>
      <c r="H150" s="263" t="n"/>
      <c r="I150" s="263">
        <f>G150-H150</f>
        <v/>
      </c>
      <c r="J150" s="323">
        <f>H150/G150</f>
        <v/>
      </c>
      <c r="K150" s="263" t="n">
        <v>2004.09</v>
      </c>
      <c r="L150" s="263" t="n">
        <v>1696</v>
      </c>
      <c r="M150" s="263">
        <f>2026-INT(K150)+1</f>
        <v/>
      </c>
      <c r="N150" s="263" t="n">
        <v>340</v>
      </c>
      <c r="O150" s="263" t="n"/>
      <c r="P150" s="263" t="n">
        <v>159</v>
      </c>
      <c r="Q150" s="263" t="n">
        <v>48</v>
      </c>
      <c r="R150" s="263" t="inlineStr">
        <is>
          <t>계단식</t>
        </is>
      </c>
      <c r="S150" s="263" t="n">
        <v>4</v>
      </c>
      <c r="T150" s="263" t="n">
        <v>2</v>
      </c>
      <c r="U150" s="263" t="n">
        <v>18.95</v>
      </c>
      <c r="V150" s="263" t="n">
        <v>14.45</v>
      </c>
      <c r="W150" s="263" t="inlineStr">
        <is>
          <t>계단식</t>
        </is>
      </c>
      <c r="X150" s="263" t="n">
        <v>4</v>
      </c>
      <c r="Y150" s="263" t="n">
        <v>2</v>
      </c>
      <c r="Z150" s="263" t="n">
        <v>340</v>
      </c>
      <c r="AA150" s="263" t="n"/>
      <c r="AB150" s="263" t="n"/>
      <c r="AC150" s="263" t="n"/>
      <c r="AD150" s="263" t="n"/>
      <c r="AE150" s="263" t="n"/>
      <c r="AF150" s="263" t="n"/>
      <c r="AG150" s="263" t="n"/>
      <c r="AH150" s="263" t="n"/>
      <c r="AI150" s="263" t="n"/>
      <c r="AJ150" s="263" t="n"/>
      <c r="AK150" s="263" t="n"/>
    </row>
    <row r="151" ht="14" customHeight="1" s="476">
      <c r="A151" s="266" t="inlineStr">
        <is>
          <t>문정동</t>
        </is>
      </c>
      <c r="B151" s="263" t="n"/>
      <c r="C151" s="263" t="n"/>
      <c r="D151" s="266" t="n">
        <v>3033</v>
      </c>
      <c r="E151" s="264" t="inlineStr">
        <is>
          <t>문정래미안</t>
        </is>
      </c>
      <c r="F151" s="266" t="n">
        <v>150</v>
      </c>
      <c r="G151" s="263" t="n"/>
      <c r="H151" s="263" t="n"/>
      <c r="I151" s="263">
        <f>G151-H151</f>
        <v/>
      </c>
      <c r="J151" s="323">
        <f>H151/G151</f>
        <v/>
      </c>
      <c r="K151" s="266" t="n">
        <v>2004.09</v>
      </c>
      <c r="L151" s="266" t="n">
        <v>1696</v>
      </c>
      <c r="M151" s="266">
        <f>2026-INT(K151)+1</f>
        <v/>
      </c>
      <c r="N151" s="266" t="n">
        <v>256</v>
      </c>
      <c r="O151" s="263" t="n"/>
      <c r="P151" s="266" t="n">
        <v>177</v>
      </c>
      <c r="Q151" s="266" t="n">
        <v>54</v>
      </c>
      <c r="R151" s="266" t="inlineStr">
        <is>
          <t>계단식</t>
        </is>
      </c>
      <c r="S151" s="266" t="n">
        <v>5</v>
      </c>
      <c r="T151" s="266" t="n">
        <v>2</v>
      </c>
      <c r="U151" s="266" t="n">
        <v>21.9</v>
      </c>
      <c r="V151" s="266" t="n">
        <v>15.7</v>
      </c>
      <c r="W151" s="266" t="inlineStr">
        <is>
          <t>계단식</t>
        </is>
      </c>
      <c r="X151" s="266" t="n">
        <v>5</v>
      </c>
      <c r="Y151" s="266" t="n">
        <v>2</v>
      </c>
      <c r="Z151" s="266" t="n">
        <v>256</v>
      </c>
      <c r="AA151" s="263" t="n"/>
      <c r="AB151" s="263" t="n"/>
      <c r="AC151" s="263" t="n"/>
      <c r="AD151" s="263" t="n"/>
      <c r="AE151" s="263" t="n"/>
      <c r="AF151" s="263" t="n"/>
      <c r="AG151" s="263" t="n"/>
      <c r="AH151" s="263" t="n"/>
      <c r="AI151" s="263" t="n"/>
      <c r="AJ151" s="263" t="n"/>
      <c r="AK151" s="263" t="n"/>
    </row>
    <row r="152" ht="14" customHeight="1" s="476">
      <c r="A152" s="266" t="inlineStr">
        <is>
          <t>문정동</t>
        </is>
      </c>
      <c r="B152" s="263" t="n"/>
      <c r="C152" s="263" t="n"/>
      <c r="D152" s="266" t="n">
        <v>3033</v>
      </c>
      <c r="E152" s="264" t="inlineStr">
        <is>
          <t>문정래미안</t>
        </is>
      </c>
      <c r="F152" s="266" t="n">
        <v>169</v>
      </c>
      <c r="G152" s="263" t="n"/>
      <c r="H152" s="263" t="n"/>
      <c r="I152" s="263">
        <f>G152-H152</f>
        <v/>
      </c>
      <c r="J152" s="323">
        <f>H152/G152</f>
        <v/>
      </c>
      <c r="K152" s="266" t="n">
        <v>2004.09</v>
      </c>
      <c r="L152" s="266" t="n">
        <v>1696</v>
      </c>
      <c r="M152" s="266">
        <f>2026-INT(K152)+1</f>
        <v/>
      </c>
      <c r="N152" s="266" t="n">
        <v>24</v>
      </c>
      <c r="O152" s="263" t="n"/>
      <c r="P152" s="266" t="n">
        <v>199</v>
      </c>
      <c r="Q152" s="266" t="n">
        <v>60</v>
      </c>
      <c r="R152" s="266" t="inlineStr">
        <is>
          <t>계단식</t>
        </is>
      </c>
      <c r="S152" s="266" t="n">
        <v>4</v>
      </c>
      <c r="T152" s="266" t="n">
        <v>3</v>
      </c>
      <c r="U152" s="266" t="n"/>
      <c r="V152" s="266" t="n">
        <v>19</v>
      </c>
      <c r="W152" s="266" t="inlineStr">
        <is>
          <t>계단식</t>
        </is>
      </c>
      <c r="X152" s="266" t="n">
        <v>4</v>
      </c>
      <c r="Y152" s="266" t="n">
        <v>3</v>
      </c>
      <c r="Z152" s="266" t="n">
        <v>24</v>
      </c>
      <c r="AA152" s="263" t="n"/>
      <c r="AB152" s="263" t="n"/>
      <c r="AC152" s="263" t="n"/>
      <c r="AD152" s="263" t="n"/>
      <c r="AE152" s="263" t="n"/>
      <c r="AF152" s="263" t="n"/>
      <c r="AG152" s="263" t="n"/>
      <c r="AH152" s="263" t="n"/>
      <c r="AI152" s="263" t="n"/>
      <c r="AJ152" s="263" t="n"/>
      <c r="AK152" s="263" t="n"/>
    </row>
    <row r="153" ht="14" customHeight="1" s="476">
      <c r="A153" s="266" t="inlineStr">
        <is>
          <t>문정동</t>
        </is>
      </c>
      <c r="B153" s="263" t="n"/>
      <c r="C153" s="263" t="n"/>
      <c r="D153" s="266" t="n">
        <v>3033</v>
      </c>
      <c r="E153" s="264" t="inlineStr">
        <is>
          <t>문정래미안</t>
        </is>
      </c>
      <c r="F153" s="266" t="n">
        <v>170</v>
      </c>
      <c r="G153" s="263" t="n"/>
      <c r="H153" s="263" t="n"/>
      <c r="I153" s="263">
        <f>G153-H153</f>
        <v/>
      </c>
      <c r="J153" s="323">
        <f>H153/G153</f>
        <v/>
      </c>
      <c r="K153" s="266" t="n">
        <v>2004.09</v>
      </c>
      <c r="L153" s="266" t="n">
        <v>1696</v>
      </c>
      <c r="M153" s="266">
        <f>2026-INT(K153)+1</f>
        <v/>
      </c>
      <c r="N153" s="266" t="n">
        <v>108</v>
      </c>
      <c r="O153" s="263" t="n"/>
      <c r="P153" s="266" t="n">
        <v>199</v>
      </c>
      <c r="Q153" s="266" t="n">
        <v>60</v>
      </c>
      <c r="R153" s="266" t="inlineStr">
        <is>
          <t>계단식</t>
        </is>
      </c>
      <c r="S153" s="266" t="n">
        <v>5</v>
      </c>
      <c r="T153" s="266" t="n">
        <v>3</v>
      </c>
      <c r="U153" s="266" t="n">
        <v>25</v>
      </c>
      <c r="V153" s="266" t="n">
        <v>17.5</v>
      </c>
      <c r="W153" s="266" t="inlineStr">
        <is>
          <t>계단식</t>
        </is>
      </c>
      <c r="X153" s="266" t="n">
        <v>5</v>
      </c>
      <c r="Y153" s="266" t="n">
        <v>3</v>
      </c>
      <c r="Z153" s="266" t="n">
        <v>108</v>
      </c>
      <c r="AA153" s="263" t="n"/>
      <c r="AB153" s="263" t="n"/>
      <c r="AC153" s="263" t="n"/>
      <c r="AD153" s="263" t="n"/>
      <c r="AE153" s="263" t="n"/>
      <c r="AF153" s="263" t="n"/>
      <c r="AG153" s="263" t="n"/>
      <c r="AH153" s="263" t="n"/>
      <c r="AI153" s="263" t="n"/>
      <c r="AJ153" s="263" t="n"/>
      <c r="AK153" s="263" t="n"/>
    </row>
    <row r="154" ht="14" customHeight="1" s="476">
      <c r="A154" s="458" t="inlineStr">
        <is>
          <t>문정동</t>
        </is>
      </c>
      <c r="D154" s="458" t="n">
        <v>609</v>
      </c>
      <c r="E154" s="146" t="inlineStr">
        <is>
          <t>문정시영</t>
        </is>
      </c>
      <c r="F154" s="458" t="n">
        <v>25</v>
      </c>
      <c r="G154" s="458" t="n">
        <v>73000</v>
      </c>
      <c r="H154" s="458" t="n">
        <v>16001</v>
      </c>
      <c r="I154" s="263">
        <f>G154-H154</f>
        <v/>
      </c>
      <c r="J154" s="323">
        <f>H154/G154</f>
        <v/>
      </c>
      <c r="K154" s="458" t="n">
        <v>1989.03</v>
      </c>
      <c r="L154" s="458" t="n">
        <v>1316</v>
      </c>
      <c r="M154" s="458">
        <f>2026-INT(K154)+1</f>
        <v/>
      </c>
      <c r="N154" s="458" t="n">
        <v>168</v>
      </c>
      <c r="P154" s="458" t="n">
        <v>37</v>
      </c>
      <c r="Q154" s="458" t="n">
        <v>11</v>
      </c>
      <c r="R154" s="458" t="inlineStr">
        <is>
          <t>복도식</t>
        </is>
      </c>
      <c r="S154" s="458" t="n">
        <v>1</v>
      </c>
      <c r="T154" s="458" t="n">
        <v>1</v>
      </c>
      <c r="U154" s="458" t="n">
        <v>6.27</v>
      </c>
      <c r="V154" s="458" t="n">
        <v>4.9</v>
      </c>
      <c r="W154" s="458" t="inlineStr">
        <is>
          <t>복도식</t>
        </is>
      </c>
      <c r="X154" s="458" t="n">
        <v>1</v>
      </c>
      <c r="Y154" s="458" t="n">
        <v>1</v>
      </c>
      <c r="Z154" s="458" t="n">
        <v>168</v>
      </c>
    </row>
    <row r="155" ht="14" customHeight="1" s="476">
      <c r="A155" s="458" t="inlineStr">
        <is>
          <t>문정동</t>
        </is>
      </c>
      <c r="D155" s="458" t="n">
        <v>609</v>
      </c>
      <c r="E155" s="265" t="inlineStr">
        <is>
          <t>문정시영</t>
        </is>
      </c>
      <c r="F155" s="458" t="n">
        <v>35</v>
      </c>
      <c r="G155" s="458" t="n">
        <v>86000</v>
      </c>
      <c r="H155" s="458" t="n">
        <v>19001</v>
      </c>
      <c r="I155" s="263">
        <f>G155-H155</f>
        <v/>
      </c>
      <c r="J155" s="323">
        <f>H155/G155</f>
        <v/>
      </c>
      <c r="K155" s="458" t="n">
        <v>1989.03</v>
      </c>
      <c r="L155" s="458" t="n">
        <v>1316</v>
      </c>
      <c r="M155" s="458">
        <f>2026-INT(K155)+1</f>
        <v/>
      </c>
      <c r="N155" s="458" t="n">
        <v>224</v>
      </c>
      <c r="P155" s="458" t="n">
        <v>52</v>
      </c>
      <c r="Q155" s="458" t="n">
        <v>16</v>
      </c>
      <c r="R155" s="458" t="inlineStr">
        <is>
          <t>복도식</t>
        </is>
      </c>
      <c r="S155" s="458" t="n">
        <v>1</v>
      </c>
      <c r="T155" s="458" t="n">
        <v>1</v>
      </c>
      <c r="U155" s="458" t="n">
        <v>7.5</v>
      </c>
      <c r="V155" s="458" t="n">
        <v>5.15</v>
      </c>
      <c r="W155" s="458" t="inlineStr">
        <is>
          <t>복도식</t>
        </is>
      </c>
      <c r="X155" s="458" t="n">
        <v>1</v>
      </c>
      <c r="Y155" s="458" t="n">
        <v>1</v>
      </c>
      <c r="Z155" s="458" t="n">
        <v>224</v>
      </c>
    </row>
    <row r="156" ht="14" customHeight="1" s="476">
      <c r="A156" s="458" t="inlineStr">
        <is>
          <t>문정동</t>
        </is>
      </c>
      <c r="D156" s="458" t="n">
        <v>609</v>
      </c>
      <c r="E156" s="265" t="inlineStr">
        <is>
          <t>문정시영</t>
        </is>
      </c>
      <c r="F156" s="458" t="n">
        <v>39</v>
      </c>
      <c r="G156" s="458" t="n">
        <v>110000</v>
      </c>
      <c r="H156" s="458" t="n">
        <v>28000</v>
      </c>
      <c r="I156" s="263">
        <f>G156-H156</f>
        <v/>
      </c>
      <c r="J156" s="323">
        <f>H156/G156</f>
        <v/>
      </c>
      <c r="K156" s="458" t="n">
        <v>1989.03</v>
      </c>
      <c r="L156" s="458" t="n">
        <v>1316</v>
      </c>
      <c r="M156" s="458">
        <f>2026-INT(K156)+1</f>
        <v/>
      </c>
      <c r="N156" s="458" t="n">
        <v>672</v>
      </c>
      <c r="P156" s="458" t="n">
        <v>61</v>
      </c>
      <c r="Q156" s="458" t="n">
        <v>18</v>
      </c>
      <c r="R156" s="458" t="inlineStr">
        <is>
          <t>복도식</t>
        </is>
      </c>
      <c r="S156" s="458" t="n">
        <v>2</v>
      </c>
      <c r="T156" s="458" t="n">
        <v>1</v>
      </c>
      <c r="U156" s="458" t="n">
        <v>8.800000000000001</v>
      </c>
      <c r="V156" s="458" t="n">
        <v>5.25</v>
      </c>
      <c r="W156" s="458" t="inlineStr">
        <is>
          <t>복도식</t>
        </is>
      </c>
      <c r="X156" s="458" t="n">
        <v>2</v>
      </c>
      <c r="Y156" s="458" t="n">
        <v>1</v>
      </c>
      <c r="Z156" s="458" t="n">
        <v>672</v>
      </c>
    </row>
    <row r="157" ht="14" customHeight="1" s="476">
      <c r="A157" s="458" t="inlineStr">
        <is>
          <t>문정동</t>
        </is>
      </c>
      <c r="D157" s="458" t="n">
        <v>609</v>
      </c>
      <c r="E157" s="265" t="inlineStr">
        <is>
          <t>문정시영</t>
        </is>
      </c>
      <c r="F157" s="458" t="n">
        <v>46</v>
      </c>
      <c r="G157" s="458" t="n">
        <v>149000</v>
      </c>
      <c r="H157" s="458" t="n">
        <v>30001</v>
      </c>
      <c r="I157" s="263">
        <f>G157-H157</f>
        <v/>
      </c>
      <c r="J157" s="323">
        <f>H157/G157</f>
        <v/>
      </c>
      <c r="K157" s="458" t="n">
        <v>1989.03</v>
      </c>
      <c r="L157" s="458" t="n">
        <v>1316</v>
      </c>
      <c r="M157" s="458">
        <f>2026-INT(K157)+1</f>
        <v/>
      </c>
      <c r="N157" s="458" t="n">
        <v>252</v>
      </c>
      <c r="P157" s="458" t="n">
        <v>74</v>
      </c>
      <c r="Q157" s="458" t="n">
        <v>22</v>
      </c>
      <c r="R157" s="458" t="inlineStr">
        <is>
          <t>복도식</t>
        </is>
      </c>
      <c r="S157" s="458" t="n">
        <v>2</v>
      </c>
      <c r="T157" s="458" t="n">
        <v>1</v>
      </c>
      <c r="U157" s="458" t="n">
        <v>9.6</v>
      </c>
      <c r="V157" s="458" t="n">
        <v>4.55</v>
      </c>
      <c r="W157" s="458" t="inlineStr">
        <is>
          <t>복도식</t>
        </is>
      </c>
      <c r="X157" s="458" t="n">
        <v>2</v>
      </c>
      <c r="Y157" s="458" t="n">
        <v>1</v>
      </c>
      <c r="Z157" s="458" t="n">
        <v>252</v>
      </c>
    </row>
    <row r="158" ht="17" customHeight="1" s="476">
      <c r="A158" s="263" t="inlineStr">
        <is>
          <t>문정동</t>
        </is>
      </c>
      <c r="B158" s="263" t="n"/>
      <c r="C158" s="263" t="n"/>
      <c r="D158" s="263" t="n">
        <v>171543</v>
      </c>
      <c r="E158" s="264" t="inlineStr">
        <is>
          <t>문정역마에스트로(주상복합)</t>
        </is>
      </c>
      <c r="F158" s="263" t="n">
        <v>16</v>
      </c>
      <c r="G158" s="271" t="inlineStr">
        <is>
          <t>-</t>
        </is>
      </c>
      <c r="H158" s="272" t="inlineStr">
        <is>
          <t>-</t>
        </is>
      </c>
      <c r="I158" s="263">
        <f>G158-H158</f>
        <v/>
      </c>
      <c r="J158" s="323">
        <f>H158/G158</f>
        <v/>
      </c>
      <c r="K158" s="263" t="n">
        <v>2024.01</v>
      </c>
      <c r="L158" s="263" t="n">
        <v>438</v>
      </c>
      <c r="M158" s="263">
        <f>2026-INT(K158)+1</f>
        <v/>
      </c>
      <c r="N158" s="263" t="n">
        <v>178</v>
      </c>
      <c r="O158" s="263" t="n"/>
      <c r="P158" s="263" t="n">
        <v>25</v>
      </c>
      <c r="Q158" s="263" t="n">
        <v>8</v>
      </c>
      <c r="R158" s="263" t="inlineStr">
        <is>
          <t>계단식</t>
        </is>
      </c>
      <c r="S158" s="263" t="n">
        <v>1</v>
      </c>
      <c r="T158" s="263" t="n">
        <v>1</v>
      </c>
      <c r="U158" s="263" t="n"/>
      <c r="V158" s="263" t="n"/>
      <c r="W158" s="263" t="inlineStr">
        <is>
          <t>계단식</t>
        </is>
      </c>
      <c r="X158" s="263" t="n">
        <v>1</v>
      </c>
      <c r="Y158" s="263" t="n">
        <v>1</v>
      </c>
      <c r="Z158" s="263" t="n">
        <v>178</v>
      </c>
      <c r="AA158" s="263" t="n"/>
      <c r="AB158" s="263" t="n"/>
      <c r="AC158" s="263" t="n"/>
      <c r="AD158" s="263" t="n"/>
      <c r="AE158" s="263" t="n"/>
      <c r="AF158" s="263" t="n"/>
      <c r="AG158" s="263" t="n"/>
      <c r="AH158" s="263" t="n"/>
      <c r="AI158" s="263" t="n"/>
      <c r="AJ158" s="263" t="n"/>
      <c r="AK158" s="263" t="n"/>
    </row>
    <row r="159" ht="17" customHeight="1" s="476">
      <c r="A159" s="263" t="inlineStr">
        <is>
          <t>문정동</t>
        </is>
      </c>
      <c r="B159" s="263" t="n"/>
      <c r="C159" s="263" t="n"/>
      <c r="D159" s="263" t="n">
        <v>171543</v>
      </c>
      <c r="E159" s="264" t="inlineStr">
        <is>
          <t>문정역마에스트로(주상복합)</t>
        </is>
      </c>
      <c r="F159" s="263" t="n">
        <v>20</v>
      </c>
      <c r="G159" s="272" t="inlineStr">
        <is>
          <t>-</t>
        </is>
      </c>
      <c r="H159" s="272" t="inlineStr">
        <is>
          <t>-</t>
        </is>
      </c>
      <c r="I159" s="263">
        <f>G159-H159</f>
        <v/>
      </c>
      <c r="J159" s="323">
        <f>H159/G159</f>
        <v/>
      </c>
      <c r="K159" s="263" t="n">
        <v>2024.01</v>
      </c>
      <c r="L159" s="263" t="n">
        <v>438</v>
      </c>
      <c r="M159" s="263">
        <f>2026-INT(K159)+1</f>
        <v/>
      </c>
      <c r="N159" s="263" t="n">
        <v>10</v>
      </c>
      <c r="O159" s="263" t="n"/>
      <c r="P159" s="263" t="n">
        <v>31</v>
      </c>
      <c r="Q159" s="263" t="n">
        <v>9</v>
      </c>
      <c r="R159" s="263" t="inlineStr">
        <is>
          <t>계단식</t>
        </is>
      </c>
      <c r="S159" s="263" t="n">
        <v>1</v>
      </c>
      <c r="T159" s="263" t="n">
        <v>1</v>
      </c>
      <c r="U159" s="263" t="n"/>
      <c r="V159" s="263" t="n"/>
      <c r="W159" s="263" t="inlineStr">
        <is>
          <t>계단식</t>
        </is>
      </c>
      <c r="X159" s="263" t="n">
        <v>1</v>
      </c>
      <c r="Y159" s="263" t="n">
        <v>1</v>
      </c>
      <c r="Z159" s="263" t="n">
        <v>10</v>
      </c>
      <c r="AA159" s="263" t="n"/>
      <c r="AB159" s="263" t="n"/>
      <c r="AC159" s="263" t="n"/>
      <c r="AD159" s="263" t="n"/>
      <c r="AE159" s="263" t="n"/>
      <c r="AF159" s="263" t="n"/>
      <c r="AG159" s="263" t="n"/>
      <c r="AH159" s="263" t="n"/>
      <c r="AI159" s="263" t="n"/>
      <c r="AJ159" s="263" t="n"/>
      <c r="AK159" s="263" t="n"/>
    </row>
    <row r="160" ht="17" customHeight="1" s="476">
      <c r="A160" s="266" t="inlineStr">
        <is>
          <t>문정동</t>
        </is>
      </c>
      <c r="B160" s="263" t="n"/>
      <c r="C160" s="263" t="n"/>
      <c r="D160" s="266" t="n">
        <v>171543</v>
      </c>
      <c r="E160" s="264" t="inlineStr">
        <is>
          <t>문정역마에스트로(주상복합)</t>
        </is>
      </c>
      <c r="F160" s="266" t="n">
        <v>26</v>
      </c>
      <c r="G160" s="272" t="inlineStr">
        <is>
          <t>-</t>
        </is>
      </c>
      <c r="H160" s="272" t="inlineStr">
        <is>
          <t>-</t>
        </is>
      </c>
      <c r="I160" s="263">
        <f>G160-H160</f>
        <v/>
      </c>
      <c r="J160" s="323">
        <f>H160/G160</f>
        <v/>
      </c>
      <c r="K160" s="266" t="n">
        <v>2024.01</v>
      </c>
      <c r="L160" s="266" t="n">
        <v>438</v>
      </c>
      <c r="M160" s="266">
        <f>2026-INT(K160)+1</f>
        <v/>
      </c>
      <c r="N160" s="266" t="n">
        <v>11</v>
      </c>
      <c r="O160" s="263" t="n"/>
      <c r="P160" s="266" t="n">
        <v>39</v>
      </c>
      <c r="Q160" s="266" t="n">
        <v>12</v>
      </c>
      <c r="R160" s="266" t="inlineStr">
        <is>
          <t>계단식</t>
        </is>
      </c>
      <c r="S160" s="266" t="n">
        <v>1</v>
      </c>
      <c r="T160" s="266" t="n">
        <v>1</v>
      </c>
      <c r="U160" s="266" t="n"/>
      <c r="V160" s="266" t="n"/>
      <c r="W160" s="266" t="inlineStr">
        <is>
          <t>계단식</t>
        </is>
      </c>
      <c r="X160" s="266" t="n">
        <v>1</v>
      </c>
      <c r="Y160" s="266" t="n">
        <v>1</v>
      </c>
      <c r="Z160" s="266" t="n">
        <v>11</v>
      </c>
      <c r="AA160" s="263" t="n"/>
      <c r="AB160" s="263" t="n"/>
      <c r="AC160" s="263" t="n"/>
      <c r="AD160" s="263" t="n"/>
      <c r="AE160" s="263" t="n"/>
      <c r="AF160" s="263" t="n"/>
      <c r="AG160" s="263" t="n"/>
      <c r="AH160" s="263" t="n"/>
      <c r="AI160" s="263" t="n"/>
      <c r="AJ160" s="263" t="n"/>
      <c r="AK160" s="263" t="n"/>
    </row>
    <row r="161" ht="17" customHeight="1" s="476">
      <c r="A161" s="266" t="inlineStr">
        <is>
          <t>문정동</t>
        </is>
      </c>
      <c r="B161" s="263" t="n"/>
      <c r="C161" s="263" t="n"/>
      <c r="D161" s="266" t="n">
        <v>171543</v>
      </c>
      <c r="E161" s="264" t="inlineStr">
        <is>
          <t>문정역마에스트로(주상복합)</t>
        </is>
      </c>
      <c r="F161" s="266" t="n">
        <v>29</v>
      </c>
      <c r="G161" s="272" t="inlineStr">
        <is>
          <t>-</t>
        </is>
      </c>
      <c r="H161" s="272" t="inlineStr">
        <is>
          <t>-</t>
        </is>
      </c>
      <c r="I161" s="263">
        <f>G161-H161</f>
        <v/>
      </c>
      <c r="J161" s="323">
        <f>H161/G161</f>
        <v/>
      </c>
      <c r="K161" s="266" t="n">
        <v>2024.01</v>
      </c>
      <c r="L161" s="266" t="n">
        <v>438</v>
      </c>
      <c r="M161" s="266">
        <f>2026-INT(K161)+1</f>
        <v/>
      </c>
      <c r="N161" s="266" t="n">
        <v>11</v>
      </c>
      <c r="O161" s="263" t="n"/>
      <c r="P161" s="266" t="n">
        <v>43</v>
      </c>
      <c r="Q161" s="266" t="n">
        <v>13</v>
      </c>
      <c r="R161" s="266" t="inlineStr">
        <is>
          <t>계단식</t>
        </is>
      </c>
      <c r="S161" s="266" t="n">
        <v>1</v>
      </c>
      <c r="T161" s="266" t="n">
        <v>1</v>
      </c>
      <c r="U161" s="266" t="n"/>
      <c r="V161" s="266" t="n"/>
      <c r="W161" s="266" t="inlineStr">
        <is>
          <t>계단식</t>
        </is>
      </c>
      <c r="X161" s="266" t="n">
        <v>1</v>
      </c>
      <c r="Y161" s="266" t="n">
        <v>1</v>
      </c>
      <c r="Z161" s="266" t="n">
        <v>11</v>
      </c>
      <c r="AA161" s="263" t="n"/>
      <c r="AB161" s="263" t="n"/>
      <c r="AC161" s="263" t="n"/>
      <c r="AD161" s="263" t="n"/>
      <c r="AE161" s="263" t="n"/>
      <c r="AF161" s="263" t="n"/>
      <c r="AG161" s="263" t="n"/>
      <c r="AH161" s="263" t="n"/>
      <c r="AI161" s="263" t="n"/>
      <c r="AJ161" s="263" t="n"/>
      <c r="AK161" s="263" t="n"/>
    </row>
    <row r="162" ht="17" customHeight="1" s="476">
      <c r="A162" s="263" t="inlineStr">
        <is>
          <t>문정동</t>
        </is>
      </c>
      <c r="B162" s="263" t="n"/>
      <c r="C162" s="263" t="n"/>
      <c r="D162" s="263" t="n">
        <v>171543</v>
      </c>
      <c r="E162" s="264" t="inlineStr">
        <is>
          <t>문정역마에스트로(주상복합)</t>
        </is>
      </c>
      <c r="F162" s="263" t="n">
        <v>30</v>
      </c>
      <c r="G162" s="272" t="inlineStr">
        <is>
          <t>-</t>
        </is>
      </c>
      <c r="H162" s="272" t="inlineStr">
        <is>
          <t>-</t>
        </is>
      </c>
      <c r="I162" s="263">
        <f>G162-H162</f>
        <v/>
      </c>
      <c r="J162" s="323">
        <f>H162/G162</f>
        <v/>
      </c>
      <c r="K162" s="263" t="n">
        <v>2024.01</v>
      </c>
      <c r="L162" s="263" t="n">
        <v>438</v>
      </c>
      <c r="M162" s="263">
        <f>2026-INT(K162)+1</f>
        <v/>
      </c>
      <c r="N162" s="263" t="n">
        <v>31</v>
      </c>
      <c r="O162" s="263" t="n"/>
      <c r="P162" s="263" t="n">
        <v>45</v>
      </c>
      <c r="Q162" s="263" t="n">
        <v>14</v>
      </c>
      <c r="R162" s="263" t="inlineStr">
        <is>
          <t>계단식</t>
        </is>
      </c>
      <c r="S162" s="263" t="n">
        <v>1</v>
      </c>
      <c r="T162" s="263" t="n">
        <v>1</v>
      </c>
      <c r="U162" s="263" t="n"/>
      <c r="V162" s="263" t="n"/>
      <c r="W162" s="263" t="inlineStr">
        <is>
          <t>계단식</t>
        </is>
      </c>
      <c r="X162" s="263" t="n">
        <v>1</v>
      </c>
      <c r="Y162" s="263" t="n">
        <v>1</v>
      </c>
      <c r="Z162" s="263" t="n">
        <v>31</v>
      </c>
      <c r="AA162" s="263" t="n"/>
      <c r="AB162" s="263" t="n"/>
      <c r="AC162" s="263" t="n"/>
      <c r="AD162" s="263" t="n"/>
      <c r="AE162" s="263" t="n"/>
      <c r="AF162" s="263" t="n"/>
      <c r="AG162" s="263" t="n"/>
      <c r="AH162" s="263" t="n"/>
      <c r="AI162" s="263" t="n"/>
      <c r="AJ162" s="263" t="n"/>
      <c r="AK162" s="263" t="n"/>
    </row>
    <row r="163" ht="17" customHeight="1" s="476">
      <c r="A163" s="266" t="inlineStr">
        <is>
          <t>문정동</t>
        </is>
      </c>
      <c r="B163" s="263" t="n"/>
      <c r="C163" s="263" t="n"/>
      <c r="D163" s="266" t="n">
        <v>171543</v>
      </c>
      <c r="E163" s="264" t="inlineStr">
        <is>
          <t>문정역마에스트로(주상복합)</t>
        </is>
      </c>
      <c r="F163" s="266" t="n">
        <v>31</v>
      </c>
      <c r="G163" s="272" t="inlineStr">
        <is>
          <t>-</t>
        </is>
      </c>
      <c r="H163" s="272" t="inlineStr">
        <is>
          <t>-</t>
        </is>
      </c>
      <c r="I163" s="263">
        <f>G163-H163</f>
        <v/>
      </c>
      <c r="J163" s="323">
        <f>H163/G163</f>
        <v/>
      </c>
      <c r="K163" s="266" t="n">
        <v>2024.01</v>
      </c>
      <c r="L163" s="266" t="n">
        <v>438</v>
      </c>
      <c r="M163" s="266">
        <f>2026-INT(K163)+1</f>
        <v/>
      </c>
      <c r="N163" s="266" t="n">
        <v>3</v>
      </c>
      <c r="O163" s="263" t="n"/>
      <c r="P163" s="266" t="n">
        <v>46</v>
      </c>
      <c r="Q163" s="266" t="n">
        <v>14</v>
      </c>
      <c r="R163" s="266" t="inlineStr">
        <is>
          <t>계단식</t>
        </is>
      </c>
      <c r="S163" s="266" t="n">
        <v>1</v>
      </c>
      <c r="T163" s="266" t="n">
        <v>1</v>
      </c>
      <c r="U163" s="266" t="n"/>
      <c r="V163" s="266" t="n"/>
      <c r="W163" s="266" t="inlineStr">
        <is>
          <t>계단식</t>
        </is>
      </c>
      <c r="X163" s="266" t="n">
        <v>1</v>
      </c>
      <c r="Y163" s="266" t="n">
        <v>1</v>
      </c>
      <c r="Z163" s="266" t="n">
        <v>3</v>
      </c>
      <c r="AA163" s="263" t="n"/>
      <c r="AB163" s="263" t="n"/>
      <c r="AC163" s="263" t="n"/>
      <c r="AD163" s="263" t="n"/>
      <c r="AE163" s="263" t="n"/>
      <c r="AF163" s="263" t="n"/>
      <c r="AG163" s="263" t="n"/>
      <c r="AH163" s="263" t="n"/>
      <c r="AI163" s="263" t="n"/>
      <c r="AJ163" s="263" t="n"/>
      <c r="AK163" s="263" t="n"/>
    </row>
    <row r="164" ht="17" customHeight="1" s="476">
      <c r="A164" s="266" t="inlineStr">
        <is>
          <t>문정동</t>
        </is>
      </c>
      <c r="B164" s="263" t="n"/>
      <c r="C164" s="263" t="n"/>
      <c r="D164" s="266" t="n">
        <v>171543</v>
      </c>
      <c r="E164" s="264" t="inlineStr">
        <is>
          <t>문정역마에스트로(주상복합)</t>
        </is>
      </c>
      <c r="F164" s="266" t="n">
        <v>33</v>
      </c>
      <c r="G164" s="272" t="inlineStr">
        <is>
          <t>-</t>
        </is>
      </c>
      <c r="H164" s="272" t="inlineStr">
        <is>
          <t>-</t>
        </is>
      </c>
      <c r="I164" s="263">
        <f>G164-H164</f>
        <v/>
      </c>
      <c r="J164" s="323">
        <f>H164/G164</f>
        <v/>
      </c>
      <c r="K164" s="266" t="n">
        <v>2024.01</v>
      </c>
      <c r="L164" s="266" t="n">
        <v>438</v>
      </c>
      <c r="M164" s="266">
        <f>2026-INT(K164)+1</f>
        <v/>
      </c>
      <c r="N164" s="266" t="n">
        <v>13</v>
      </c>
      <c r="O164" s="263" t="n"/>
      <c r="P164" s="266" t="n">
        <v>49</v>
      </c>
      <c r="Q164" s="266" t="n">
        <v>15</v>
      </c>
      <c r="R164" s="266" t="inlineStr">
        <is>
          <t>계단식</t>
        </is>
      </c>
      <c r="S164" s="266" t="n">
        <v>2</v>
      </c>
      <c r="T164" s="266" t="n">
        <v>1</v>
      </c>
      <c r="U164" s="266" t="n"/>
      <c r="V164" s="266" t="n"/>
      <c r="W164" s="266" t="inlineStr">
        <is>
          <t>계단식</t>
        </is>
      </c>
      <c r="X164" s="266" t="n">
        <v>2</v>
      </c>
      <c r="Y164" s="266" t="n">
        <v>1</v>
      </c>
      <c r="Z164" s="266" t="n">
        <v>13</v>
      </c>
      <c r="AA164" s="263" t="n"/>
      <c r="AB164" s="263" t="n"/>
      <c r="AC164" s="263" t="n"/>
      <c r="AD164" s="263" t="n"/>
      <c r="AE164" s="263" t="n"/>
      <c r="AF164" s="263" t="n"/>
      <c r="AG164" s="263" t="n"/>
      <c r="AH164" s="263" t="n"/>
      <c r="AI164" s="263" t="n"/>
      <c r="AJ164" s="263" t="n"/>
      <c r="AK164" s="263" t="n"/>
    </row>
    <row r="165" ht="17" customHeight="1" s="476">
      <c r="A165" s="266" t="inlineStr">
        <is>
          <t>문정동</t>
        </is>
      </c>
      <c r="B165" s="263" t="n"/>
      <c r="C165" s="263" t="n"/>
      <c r="D165" s="266" t="n">
        <v>171543</v>
      </c>
      <c r="E165" s="264" t="inlineStr">
        <is>
          <t>문정역마에스트로(주상복합)</t>
        </is>
      </c>
      <c r="F165" s="266" t="n">
        <v>34</v>
      </c>
      <c r="G165" s="272" t="inlineStr">
        <is>
          <t>-</t>
        </is>
      </c>
      <c r="H165" s="272" t="inlineStr">
        <is>
          <t>-</t>
        </is>
      </c>
      <c r="I165" s="263">
        <f>G165-H165</f>
        <v/>
      </c>
      <c r="J165" s="323">
        <f>H165/G165</f>
        <v/>
      </c>
      <c r="K165" s="266" t="n">
        <v>2024.01</v>
      </c>
      <c r="L165" s="266" t="n">
        <v>438</v>
      </c>
      <c r="M165" s="266">
        <f>2026-INT(K165)+1</f>
        <v/>
      </c>
      <c r="N165" s="266" t="n">
        <v>19</v>
      </c>
      <c r="O165" s="263" t="n"/>
      <c r="P165" s="266" t="n">
        <v>52</v>
      </c>
      <c r="Q165" s="266" t="n">
        <v>16</v>
      </c>
      <c r="R165" s="266" t="inlineStr">
        <is>
          <t>계단식</t>
        </is>
      </c>
      <c r="S165" s="266" t="n">
        <v>1</v>
      </c>
      <c r="T165" s="266" t="n">
        <v>1</v>
      </c>
      <c r="U165" s="266" t="n"/>
      <c r="V165" s="266" t="n"/>
      <c r="W165" s="266" t="inlineStr">
        <is>
          <t>계단식</t>
        </is>
      </c>
      <c r="X165" s="266" t="n">
        <v>1</v>
      </c>
      <c r="Y165" s="266" t="n">
        <v>1</v>
      </c>
      <c r="Z165" s="266" t="n">
        <v>19</v>
      </c>
      <c r="AA165" s="263" t="n"/>
      <c r="AB165" s="263" t="n"/>
      <c r="AC165" s="263" t="n"/>
      <c r="AD165" s="263" t="n"/>
      <c r="AE165" s="263" t="n"/>
      <c r="AF165" s="263" t="n"/>
      <c r="AG165" s="263" t="n"/>
      <c r="AH165" s="263" t="n"/>
      <c r="AI165" s="263" t="n"/>
      <c r="AJ165" s="263" t="n"/>
      <c r="AK165" s="263" t="n"/>
    </row>
    <row r="166" ht="17" customHeight="1" s="476">
      <c r="A166" s="266" t="inlineStr">
        <is>
          <t>문정동</t>
        </is>
      </c>
      <c r="B166" s="263" t="n"/>
      <c r="C166" s="263" t="n"/>
      <c r="D166" s="266" t="n">
        <v>171543</v>
      </c>
      <c r="E166" s="264" t="inlineStr">
        <is>
          <t>문정역마에스트로(주상복합)</t>
        </is>
      </c>
      <c r="F166" s="266" t="n">
        <v>35</v>
      </c>
      <c r="G166" s="272" t="inlineStr">
        <is>
          <t>-</t>
        </is>
      </c>
      <c r="H166" s="272" t="inlineStr">
        <is>
          <t>-</t>
        </is>
      </c>
      <c r="I166" s="263">
        <f>G166-H166</f>
        <v/>
      </c>
      <c r="J166" s="323">
        <f>H166/G166</f>
        <v/>
      </c>
      <c r="K166" s="266" t="n">
        <v>2024.01</v>
      </c>
      <c r="L166" s="266" t="n">
        <v>438</v>
      </c>
      <c r="M166" s="266">
        <f>2026-INT(K166)+1</f>
        <v/>
      </c>
      <c r="N166" s="266" t="n">
        <v>9</v>
      </c>
      <c r="O166" s="263" t="n"/>
      <c r="P166" s="266" t="n">
        <v>53</v>
      </c>
      <c r="Q166" s="266" t="n">
        <v>16</v>
      </c>
      <c r="R166" s="266" t="inlineStr">
        <is>
          <t>계단식</t>
        </is>
      </c>
      <c r="S166" s="266" t="n">
        <v>1</v>
      </c>
      <c r="T166" s="266" t="n">
        <v>1</v>
      </c>
      <c r="U166" s="266" t="n"/>
      <c r="V166" s="266" t="n"/>
      <c r="W166" s="266" t="inlineStr">
        <is>
          <t>계단식</t>
        </is>
      </c>
      <c r="X166" s="266" t="n">
        <v>1</v>
      </c>
      <c r="Y166" s="266" t="n">
        <v>1</v>
      </c>
      <c r="Z166" s="266" t="n">
        <v>9</v>
      </c>
      <c r="AA166" s="263" t="n"/>
      <c r="AB166" s="263" t="n"/>
      <c r="AC166" s="263" t="n"/>
      <c r="AD166" s="263" t="n"/>
      <c r="AE166" s="263" t="n"/>
      <c r="AF166" s="263" t="n"/>
      <c r="AG166" s="263" t="n"/>
      <c r="AH166" s="263" t="n"/>
      <c r="AI166" s="263" t="n"/>
      <c r="AJ166" s="263" t="n"/>
      <c r="AK166" s="263" t="n"/>
    </row>
    <row r="167">
      <c r="A167" s="458" t="inlineStr">
        <is>
          <t>문정동</t>
        </is>
      </c>
      <c r="D167" s="458" t="n">
        <v>361</v>
      </c>
      <c r="E167" s="265" t="inlineStr">
        <is>
          <t>문정푸르지오1차</t>
        </is>
      </c>
      <c r="F167" s="458" t="n">
        <v>59</v>
      </c>
      <c r="G167" s="458" t="n">
        <v>159500</v>
      </c>
      <c r="H167" s="458" t="n">
        <v>50001</v>
      </c>
      <c r="I167" s="263">
        <f>G167-H167</f>
        <v/>
      </c>
      <c r="J167" s="323">
        <f>H167/G167</f>
        <v/>
      </c>
      <c r="K167" s="458" t="n">
        <v>1999.1</v>
      </c>
      <c r="L167" s="458" t="n">
        <v>233</v>
      </c>
      <c r="M167" s="458">
        <f>2026-INT(K167)+1</f>
        <v/>
      </c>
      <c r="N167" s="458" t="n">
        <v>81</v>
      </c>
      <c r="P167" s="458" t="n">
        <v>78</v>
      </c>
      <c r="Q167" s="458" t="n">
        <v>24</v>
      </c>
      <c r="R167" s="458" t="inlineStr">
        <is>
          <t>계단식</t>
        </is>
      </c>
      <c r="S167" s="458" t="n">
        <v>3</v>
      </c>
      <c r="T167" s="458" t="n">
        <v>1</v>
      </c>
      <c r="U167" s="458" t="n">
        <v>11.4</v>
      </c>
      <c r="V167" s="458" t="n">
        <v>10.3</v>
      </c>
      <c r="W167" s="458" t="inlineStr">
        <is>
          <t>계단식</t>
        </is>
      </c>
      <c r="X167" s="458" t="n">
        <v>3</v>
      </c>
      <c r="Y167" s="458" t="n">
        <v>1</v>
      </c>
      <c r="Z167" s="458" t="n">
        <v>81</v>
      </c>
    </row>
    <row r="168">
      <c r="A168" s="458" t="inlineStr">
        <is>
          <t>문정동</t>
        </is>
      </c>
      <c r="D168" s="458" t="n">
        <v>361</v>
      </c>
      <c r="E168" s="265" t="inlineStr">
        <is>
          <t>문정푸르지오1차</t>
        </is>
      </c>
      <c r="F168" s="458" t="n">
        <v>84</v>
      </c>
      <c r="G168" s="458" t="n">
        <v>180000</v>
      </c>
      <c r="H168" s="458" t="n">
        <v>87000</v>
      </c>
      <c r="I168" s="263">
        <f>G168-H168</f>
        <v/>
      </c>
      <c r="J168" s="323">
        <f>H168/G168</f>
        <v/>
      </c>
      <c r="K168" s="458" t="n">
        <v>1999.1</v>
      </c>
      <c r="L168" s="458" t="n">
        <v>233</v>
      </c>
      <c r="M168" s="458">
        <f>2026-INT(K168)+1</f>
        <v/>
      </c>
      <c r="N168" s="458" t="n">
        <v>152</v>
      </c>
      <c r="P168" s="458" t="n">
        <v>111</v>
      </c>
      <c r="Q168" s="458" t="n">
        <v>34</v>
      </c>
      <c r="R168" s="458" t="inlineStr">
        <is>
          <t>계단식</t>
        </is>
      </c>
      <c r="S168" s="458" t="n">
        <v>3</v>
      </c>
      <c r="T168" s="458" t="n">
        <v>2</v>
      </c>
      <c r="U168" s="458" t="n">
        <v>14.4</v>
      </c>
      <c r="V168" s="458" t="n">
        <v>11</v>
      </c>
      <c r="W168" s="458" t="inlineStr">
        <is>
          <t>계단식</t>
        </is>
      </c>
      <c r="X168" s="458" t="n">
        <v>3</v>
      </c>
      <c r="Y168" s="458" t="n">
        <v>2</v>
      </c>
      <c r="Z168" s="458" t="n">
        <v>152</v>
      </c>
    </row>
    <row r="169">
      <c r="A169" s="263" t="inlineStr">
        <is>
          <t>문정동</t>
        </is>
      </c>
      <c r="B169" s="263" t="n"/>
      <c r="C169" s="263" t="n"/>
      <c r="D169" s="263" t="n">
        <v>107544</v>
      </c>
      <c r="E169" s="269" t="inlineStr">
        <is>
          <t>송파파크하비오푸르지오</t>
        </is>
      </c>
      <c r="F169" s="263" t="n">
        <v>84</v>
      </c>
      <c r="G169" s="263" t="n">
        <v>195000</v>
      </c>
      <c r="H169" s="263" t="n">
        <v>97000</v>
      </c>
      <c r="I169" s="263">
        <f>G169-H169</f>
        <v/>
      </c>
      <c r="J169" s="323">
        <f>H169/G169</f>
        <v/>
      </c>
      <c r="K169" s="263" t="n">
        <v>2016.09</v>
      </c>
      <c r="L169" s="263" t="n">
        <v>999</v>
      </c>
      <c r="M169" s="263">
        <f>2026-INT(K169)+1</f>
        <v/>
      </c>
      <c r="N169" s="263" t="n">
        <v>919</v>
      </c>
      <c r="O169" s="263" t="n"/>
      <c r="P169" s="263" t="n">
        <v>115</v>
      </c>
      <c r="Q169" s="263" t="n">
        <v>35</v>
      </c>
      <c r="R169" s="263" t="inlineStr">
        <is>
          <t>계단식</t>
        </is>
      </c>
      <c r="S169" s="263" t="n">
        <v>3</v>
      </c>
      <c r="T169" s="263" t="n">
        <v>2</v>
      </c>
      <c r="U169" s="263" t="n">
        <v>18.45</v>
      </c>
      <c r="V169" s="263" t="n">
        <v>12.3</v>
      </c>
      <c r="W169" s="263" t="inlineStr">
        <is>
          <t>계단식</t>
        </is>
      </c>
      <c r="X169" s="263" t="n">
        <v>3</v>
      </c>
      <c r="Y169" s="263" t="n">
        <v>2</v>
      </c>
      <c r="Z169" s="263" t="n">
        <v>919</v>
      </c>
      <c r="AA169" s="263" t="n"/>
      <c r="AB169" s="263" t="n"/>
      <c r="AC169" s="263" t="n"/>
      <c r="AD169" s="263" t="n"/>
      <c r="AE169" s="263" t="n"/>
      <c r="AF169" s="263" t="n"/>
      <c r="AG169" s="263" t="n"/>
      <c r="AH169" s="263" t="n"/>
      <c r="AI169" s="263" t="n"/>
      <c r="AJ169" s="263" t="n"/>
      <c r="AK169" s="263" t="n"/>
    </row>
    <row r="170">
      <c r="A170" s="266" t="inlineStr">
        <is>
          <t>문정동</t>
        </is>
      </c>
      <c r="B170" s="263" t="n"/>
      <c r="C170" s="263" t="n"/>
      <c r="D170" s="266" t="n">
        <v>107544</v>
      </c>
      <c r="E170" s="264" t="inlineStr">
        <is>
          <t>송파파크하비오푸르지오</t>
        </is>
      </c>
      <c r="F170" s="266" t="n">
        <v>116</v>
      </c>
      <c r="G170" s="263" t="n"/>
      <c r="H170" s="263" t="n"/>
      <c r="I170" s="263">
        <f>G170-H170</f>
        <v/>
      </c>
      <c r="J170" s="323">
        <f>H170/G170</f>
        <v/>
      </c>
      <c r="K170" s="266" t="n">
        <v>2016.09</v>
      </c>
      <c r="L170" s="266" t="n">
        <v>999</v>
      </c>
      <c r="M170" s="266">
        <f>2026-INT(K170)+1</f>
        <v/>
      </c>
      <c r="N170" s="266" t="n">
        <v>68</v>
      </c>
      <c r="O170" s="263" t="n"/>
      <c r="P170" s="266" t="n">
        <v>156</v>
      </c>
      <c r="Q170" s="266" t="n">
        <v>47</v>
      </c>
      <c r="R170" s="266" t="inlineStr">
        <is>
          <t>계단식</t>
        </is>
      </c>
      <c r="S170" s="266" t="n">
        <v>3</v>
      </c>
      <c r="T170" s="266" t="n">
        <v>2</v>
      </c>
      <c r="U170" s="263" t="n">
        <v>20.5</v>
      </c>
      <c r="V170" s="263" t="n">
        <v>18.68</v>
      </c>
      <c r="W170" s="266" t="inlineStr">
        <is>
          <t>계단식</t>
        </is>
      </c>
      <c r="X170" s="266" t="n">
        <v>3</v>
      </c>
      <c r="Y170" s="266" t="n">
        <v>2</v>
      </c>
      <c r="Z170" s="266" t="n">
        <v>68</v>
      </c>
      <c r="AA170" s="263" t="n"/>
      <c r="AB170" s="263" t="n"/>
      <c r="AC170" s="263" t="n"/>
      <c r="AD170" s="263" t="n"/>
      <c r="AE170" s="263" t="n"/>
      <c r="AF170" s="263" t="n"/>
      <c r="AG170" s="263" t="n"/>
      <c r="AH170" s="263" t="n"/>
      <c r="AI170" s="263" t="n"/>
      <c r="AJ170" s="263" t="n"/>
      <c r="AK170" s="263" t="n"/>
    </row>
    <row r="171">
      <c r="A171" s="266" t="inlineStr">
        <is>
          <t>문정동</t>
        </is>
      </c>
      <c r="B171" s="263" t="n"/>
      <c r="C171" s="263" t="n"/>
      <c r="D171" s="266" t="n">
        <v>107544</v>
      </c>
      <c r="E171" s="264" t="inlineStr">
        <is>
          <t>송파파크하비오푸르지오</t>
        </is>
      </c>
      <c r="F171" s="266" t="n">
        <v>127</v>
      </c>
      <c r="G171" s="263" t="n"/>
      <c r="H171" s="263" t="n"/>
      <c r="I171" s="263">
        <f>G171-H171</f>
        <v/>
      </c>
      <c r="J171" s="323">
        <f>H171/G171</f>
        <v/>
      </c>
      <c r="K171" s="266" t="n">
        <v>2016.09</v>
      </c>
      <c r="L171" s="266" t="n">
        <v>999</v>
      </c>
      <c r="M171" s="266">
        <f>2026-INT(K171)+1</f>
        <v/>
      </c>
      <c r="N171" s="266" t="n">
        <v>6</v>
      </c>
      <c r="O171" s="263" t="n"/>
      <c r="P171" s="266" t="n">
        <v>173</v>
      </c>
      <c r="Q171" s="266" t="n">
        <v>52</v>
      </c>
      <c r="R171" s="266" t="inlineStr">
        <is>
          <t>계단식</t>
        </is>
      </c>
      <c r="S171" s="266" t="n">
        <v>4</v>
      </c>
      <c r="T171" s="266" t="n">
        <v>2</v>
      </c>
      <c r="U171" s="263" t="n"/>
      <c r="V171" s="263" t="n"/>
      <c r="W171" s="266" t="inlineStr">
        <is>
          <t>계단식</t>
        </is>
      </c>
      <c r="X171" s="266" t="n">
        <v>4</v>
      </c>
      <c r="Y171" s="266" t="n">
        <v>2</v>
      </c>
      <c r="Z171" s="266" t="n">
        <v>6</v>
      </c>
      <c r="AA171" s="263" t="n"/>
      <c r="AB171" s="263" t="n"/>
      <c r="AC171" s="263" t="n"/>
      <c r="AD171" s="263" t="n"/>
      <c r="AE171" s="263" t="n"/>
      <c r="AF171" s="263" t="n"/>
      <c r="AG171" s="263" t="n"/>
      <c r="AH171" s="263" t="n"/>
      <c r="AI171" s="263" t="n"/>
      <c r="AJ171" s="263" t="n"/>
      <c r="AK171" s="263" t="n"/>
    </row>
    <row r="172">
      <c r="A172" s="266" t="inlineStr">
        <is>
          <t>문정동</t>
        </is>
      </c>
      <c r="B172" s="263" t="n"/>
      <c r="C172" s="263" t="n"/>
      <c r="D172" s="266" t="n">
        <v>107544</v>
      </c>
      <c r="E172" s="264" t="inlineStr">
        <is>
          <t>송파파크하비오푸르지오</t>
        </is>
      </c>
      <c r="F172" s="266" t="n">
        <v>133</v>
      </c>
      <c r="G172" s="263" t="n"/>
      <c r="H172" s="263" t="n"/>
      <c r="I172" s="263">
        <f>G172-H172</f>
        <v/>
      </c>
      <c r="J172" s="323">
        <f>H172/G172</f>
        <v/>
      </c>
      <c r="K172" s="266" t="n">
        <v>2016.09</v>
      </c>
      <c r="L172" s="266" t="n">
        <v>999</v>
      </c>
      <c r="M172" s="266">
        <f>2026-INT(K172)+1</f>
        <v/>
      </c>
      <c r="N172" s="266" t="n">
        <v>2</v>
      </c>
      <c r="O172" s="263" t="n"/>
      <c r="P172" s="266" t="n">
        <v>182</v>
      </c>
      <c r="Q172" s="266" t="n">
        <v>55</v>
      </c>
      <c r="R172" s="266" t="inlineStr">
        <is>
          <t>계단식</t>
        </is>
      </c>
      <c r="S172" s="266" t="n">
        <v>3</v>
      </c>
      <c r="T172" s="266" t="n">
        <v>2</v>
      </c>
      <c r="U172" s="263" t="n"/>
      <c r="V172" s="263" t="n"/>
      <c r="W172" s="266" t="inlineStr">
        <is>
          <t>계단식</t>
        </is>
      </c>
      <c r="X172" s="266" t="n">
        <v>3</v>
      </c>
      <c r="Y172" s="266" t="n">
        <v>2</v>
      </c>
      <c r="Z172" s="266" t="n">
        <v>2</v>
      </c>
      <c r="AA172" s="263" t="n"/>
      <c r="AB172" s="263" t="n"/>
      <c r="AC172" s="263" t="n"/>
      <c r="AD172" s="263" t="n"/>
      <c r="AE172" s="263" t="n"/>
      <c r="AF172" s="263" t="n"/>
      <c r="AG172" s="263" t="n"/>
      <c r="AH172" s="263" t="n"/>
      <c r="AI172" s="263" t="n"/>
      <c r="AJ172" s="263" t="n"/>
      <c r="AK172" s="263" t="n"/>
    </row>
    <row r="173">
      <c r="A173" s="266" t="inlineStr">
        <is>
          <t>문정동</t>
        </is>
      </c>
      <c r="B173" s="263" t="n"/>
      <c r="C173" s="263" t="n"/>
      <c r="D173" s="266" t="n">
        <v>107544</v>
      </c>
      <c r="E173" s="264" t="inlineStr">
        <is>
          <t>송파파크하비오푸르지오</t>
        </is>
      </c>
      <c r="F173" s="266" t="n">
        <v>151</v>
      </c>
      <c r="G173" s="263" t="n"/>
      <c r="H173" s="263" t="n"/>
      <c r="I173" s="263">
        <f>G173-H173</f>
        <v/>
      </c>
      <c r="J173" s="323">
        <f>H173/G173</f>
        <v/>
      </c>
      <c r="K173" s="266" t="n">
        <v>2016.09</v>
      </c>
      <c r="L173" s="266" t="n">
        <v>999</v>
      </c>
      <c r="M173" s="266">
        <f>2026-INT(K173)+1</f>
        <v/>
      </c>
      <c r="N173" s="266" t="n">
        <v>4</v>
      </c>
      <c r="O173" s="263" t="n"/>
      <c r="P173" s="266" t="n">
        <v>204</v>
      </c>
      <c r="Q173" s="266" t="n">
        <v>62</v>
      </c>
      <c r="R173" s="266" t="inlineStr">
        <is>
          <t>계단식</t>
        </is>
      </c>
      <c r="S173" s="266" t="n">
        <v>4</v>
      </c>
      <c r="T173" s="266" t="n">
        <v>3</v>
      </c>
      <c r="U173" s="263" t="n">
        <v>15.77</v>
      </c>
      <c r="V173" s="263" t="n">
        <v>15.77</v>
      </c>
      <c r="W173" s="266" t="inlineStr">
        <is>
          <t>계단식</t>
        </is>
      </c>
      <c r="X173" s="266" t="n">
        <v>4</v>
      </c>
      <c r="Y173" s="266" t="n">
        <v>3</v>
      </c>
      <c r="Z173" s="266" t="n">
        <v>4</v>
      </c>
      <c r="AA173" s="263" t="n"/>
      <c r="AB173" s="263" t="n"/>
      <c r="AC173" s="263" t="n"/>
      <c r="AD173" s="263" t="n"/>
      <c r="AE173" s="263" t="n"/>
      <c r="AF173" s="263" t="n"/>
      <c r="AG173" s="263" t="n"/>
      <c r="AH173" s="263" t="n"/>
      <c r="AI173" s="263" t="n"/>
      <c r="AJ173" s="263" t="n"/>
      <c r="AK173" s="263" t="n"/>
    </row>
    <row r="174">
      <c r="A174" s="458" t="inlineStr">
        <is>
          <t>문정동</t>
        </is>
      </c>
      <c r="D174" s="458" t="n">
        <v>610</v>
      </c>
      <c r="E174" s="146" t="inlineStr">
        <is>
          <t>올림픽훼밀리타운</t>
        </is>
      </c>
      <c r="F174" s="458" t="n">
        <v>84</v>
      </c>
      <c r="G174" s="458" t="n">
        <v>265000</v>
      </c>
      <c r="H174" s="458" t="n">
        <v>85001</v>
      </c>
      <c r="I174" s="263">
        <f>G174-H174</f>
        <v/>
      </c>
      <c r="J174" s="323">
        <f>H174/G174</f>
        <v/>
      </c>
      <c r="K174" s="458" t="n">
        <v>1988.12</v>
      </c>
      <c r="L174" s="458" t="n">
        <v>4494</v>
      </c>
      <c r="M174" s="458">
        <f>2026-INT(K174)+1</f>
        <v/>
      </c>
      <c r="N174" s="458" t="n">
        <v>1500</v>
      </c>
      <c r="P174" s="458" t="n">
        <v>103</v>
      </c>
      <c r="Q174" s="458" t="n">
        <v>31</v>
      </c>
      <c r="R174" s="458" t="inlineStr">
        <is>
          <t>계단식</t>
        </is>
      </c>
      <c r="S174" s="458" t="n">
        <v>3</v>
      </c>
      <c r="T174" s="458" t="n">
        <v>1</v>
      </c>
      <c r="U174" s="458" t="n">
        <v>21</v>
      </c>
      <c r="V174" s="458" t="n">
        <v>13.4</v>
      </c>
      <c r="W174" s="458" t="inlineStr">
        <is>
          <t>계단식</t>
        </is>
      </c>
      <c r="X174" s="458" t="n">
        <v>3</v>
      </c>
      <c r="Y174" s="458" t="n">
        <v>1</v>
      </c>
      <c r="Z174" s="458" t="n">
        <v>1500</v>
      </c>
    </row>
    <row r="175">
      <c r="A175" s="458" t="inlineStr">
        <is>
          <t>문정동</t>
        </is>
      </c>
      <c r="D175" s="458" t="n">
        <v>610</v>
      </c>
      <c r="E175" s="265" t="inlineStr">
        <is>
          <t>올림픽훼밀리타운</t>
        </is>
      </c>
      <c r="F175" s="458" t="n">
        <v>117</v>
      </c>
      <c r="I175" s="263">
        <f>G175-H175</f>
        <v/>
      </c>
      <c r="J175" s="323">
        <f>H175/G175</f>
        <v/>
      </c>
      <c r="K175" s="458" t="n">
        <v>1988.12</v>
      </c>
      <c r="L175" s="458" t="n">
        <v>4494</v>
      </c>
      <c r="M175" s="458">
        <f>2026-INT(K175)+1</f>
        <v/>
      </c>
      <c r="N175" s="458" t="n">
        <v>900</v>
      </c>
      <c r="P175" s="458" t="n">
        <v>138</v>
      </c>
      <c r="Q175" s="458" t="n">
        <v>42</v>
      </c>
      <c r="R175" s="458" t="inlineStr">
        <is>
          <t>계단식</t>
        </is>
      </c>
      <c r="S175" s="458" t="n">
        <v>4</v>
      </c>
      <c r="T175" s="458" t="n">
        <v>2</v>
      </c>
      <c r="U175" s="458" t="n">
        <v>23.8</v>
      </c>
      <c r="V175" s="458" t="n">
        <v>17</v>
      </c>
      <c r="W175" s="458" t="inlineStr">
        <is>
          <t>계단식</t>
        </is>
      </c>
      <c r="X175" s="458" t="n">
        <v>4</v>
      </c>
      <c r="Y175" s="458" t="n">
        <v>2</v>
      </c>
      <c r="Z175" s="458" t="n">
        <v>900</v>
      </c>
    </row>
    <row r="176">
      <c r="A176" s="458" t="inlineStr">
        <is>
          <t>문정동</t>
        </is>
      </c>
      <c r="D176" s="458" t="n">
        <v>610</v>
      </c>
      <c r="E176" s="265" t="inlineStr">
        <is>
          <t>올림픽훼밀리타운</t>
        </is>
      </c>
      <c r="F176" s="458" t="n">
        <v>136</v>
      </c>
      <c r="I176" s="263">
        <f>G176-H176</f>
        <v/>
      </c>
      <c r="J176" s="323">
        <f>H176/G176</f>
        <v/>
      </c>
      <c r="K176" s="458" t="n">
        <v>1988.12</v>
      </c>
      <c r="L176" s="458" t="n">
        <v>4494</v>
      </c>
      <c r="M176" s="458">
        <f>2026-INT(K176)+1</f>
        <v/>
      </c>
      <c r="N176" s="458" t="n">
        <v>1416</v>
      </c>
      <c r="P176" s="458" t="n">
        <v>158</v>
      </c>
      <c r="Q176" s="458" t="n">
        <v>48</v>
      </c>
      <c r="R176" s="458" t="inlineStr">
        <is>
          <t>계단식</t>
        </is>
      </c>
      <c r="S176" s="458" t="n">
        <v>4</v>
      </c>
      <c r="T176" s="458" t="n">
        <v>2</v>
      </c>
      <c r="U176" s="458" t="n">
        <v>25.35</v>
      </c>
      <c r="V176" s="458" t="n">
        <v>15.55</v>
      </c>
      <c r="W176" s="458" t="inlineStr">
        <is>
          <t>계단식</t>
        </is>
      </c>
      <c r="X176" s="458" t="n">
        <v>4</v>
      </c>
      <c r="Y176" s="458" t="n">
        <v>2</v>
      </c>
      <c r="Z176" s="458" t="n">
        <v>1416</v>
      </c>
    </row>
    <row r="177">
      <c r="A177" s="458" t="inlineStr">
        <is>
          <t>문정동</t>
        </is>
      </c>
      <c r="D177" s="458" t="n">
        <v>610</v>
      </c>
      <c r="E177" s="265" t="inlineStr">
        <is>
          <t>올림픽훼밀리타운</t>
        </is>
      </c>
      <c r="F177" s="458" t="n">
        <v>158</v>
      </c>
      <c r="I177" s="263">
        <f>G177-H177</f>
        <v/>
      </c>
      <c r="J177" s="323">
        <f>H177/G177</f>
        <v/>
      </c>
      <c r="K177" s="458" t="n">
        <v>1988.12</v>
      </c>
      <c r="L177" s="458" t="n">
        <v>4494</v>
      </c>
      <c r="M177" s="458">
        <f>2026-INT(K177)+1</f>
        <v/>
      </c>
      <c r="N177" s="458" t="n">
        <v>558</v>
      </c>
      <c r="P177" s="458" t="n">
        <v>182</v>
      </c>
      <c r="Q177" s="458" t="n">
        <v>55</v>
      </c>
      <c r="R177" s="458" t="inlineStr">
        <is>
          <t>계단식</t>
        </is>
      </c>
      <c r="S177" s="458" t="n">
        <v>5</v>
      </c>
      <c r="T177" s="458" t="n">
        <v>2</v>
      </c>
      <c r="U177" s="458" t="n">
        <v>28.4</v>
      </c>
      <c r="V177" s="458" t="n">
        <v>22.2</v>
      </c>
      <c r="W177" s="458" t="inlineStr">
        <is>
          <t>계단식</t>
        </is>
      </c>
      <c r="X177" s="458" t="n">
        <v>5</v>
      </c>
      <c r="Y177" s="458" t="n">
        <v>2</v>
      </c>
      <c r="Z177" s="458" t="n">
        <v>558</v>
      </c>
    </row>
    <row r="178">
      <c r="A178" s="458" t="inlineStr">
        <is>
          <t>문정동</t>
        </is>
      </c>
      <c r="D178" s="458" t="n">
        <v>610</v>
      </c>
      <c r="E178" s="265" t="inlineStr">
        <is>
          <t>올림픽훼밀리타운</t>
        </is>
      </c>
      <c r="F178" s="458" t="n">
        <v>192</v>
      </c>
      <c r="I178" s="263">
        <f>G178-H178</f>
        <v/>
      </c>
      <c r="J178" s="323">
        <f>H178/G178</f>
        <v/>
      </c>
      <c r="K178" s="458" t="n">
        <v>1988.12</v>
      </c>
      <c r="L178" s="458" t="n">
        <v>4494</v>
      </c>
      <c r="M178" s="458">
        <f>2026-INT(K178)+1</f>
        <v/>
      </c>
      <c r="N178" s="458" t="n">
        <v>120</v>
      </c>
      <c r="P178" s="458" t="n">
        <v>219</v>
      </c>
      <c r="Q178" s="458" t="n">
        <v>66</v>
      </c>
      <c r="R178" s="458" t="inlineStr">
        <is>
          <t>계단식</t>
        </is>
      </c>
      <c r="S178" s="458" t="n">
        <v>5</v>
      </c>
      <c r="T178" s="458" t="n">
        <v>2</v>
      </c>
      <c r="U178" s="458" t="n">
        <v>30.8</v>
      </c>
      <c r="V178" s="458" t="n">
        <v>27</v>
      </c>
      <c r="W178" s="458" t="inlineStr">
        <is>
          <t>계단식</t>
        </is>
      </c>
      <c r="X178" s="458" t="n">
        <v>5</v>
      </c>
      <c r="Y178" s="458" t="n">
        <v>2</v>
      </c>
      <c r="Z178" s="458" t="n">
        <v>120</v>
      </c>
    </row>
    <row r="179">
      <c r="A179" s="266" t="inlineStr">
        <is>
          <t>문정동</t>
        </is>
      </c>
      <c r="B179" s="263" t="n"/>
      <c r="C179" s="263" t="n"/>
      <c r="D179" s="266" t="n">
        <v>365</v>
      </c>
      <c r="E179" s="269" t="inlineStr">
        <is>
          <t>현대1차</t>
        </is>
      </c>
      <c r="F179" s="266" t="n">
        <v>84</v>
      </c>
      <c r="G179" s="263" t="n">
        <v>220000</v>
      </c>
      <c r="H179" s="263" t="n">
        <v>40000</v>
      </c>
      <c r="I179" s="263">
        <f>G179-H179</f>
        <v/>
      </c>
      <c r="J179" s="323">
        <f>H179/G179</f>
        <v/>
      </c>
      <c r="K179" s="266" t="n">
        <v>1984.11</v>
      </c>
      <c r="L179" s="266" t="n">
        <v>514</v>
      </c>
      <c r="M179" s="266">
        <f>2026-INT(K179)+1</f>
        <v/>
      </c>
      <c r="N179" s="266" t="n">
        <v>228</v>
      </c>
      <c r="O179" s="263" t="n"/>
      <c r="P179" s="266" t="n">
        <v>102</v>
      </c>
      <c r="Q179" s="266" t="n">
        <v>31</v>
      </c>
      <c r="R179" s="266" t="inlineStr">
        <is>
          <t>계단식</t>
        </is>
      </c>
      <c r="S179" s="266" t="n">
        <v>3</v>
      </c>
      <c r="T179" s="266" t="n">
        <v>1</v>
      </c>
      <c r="U179" s="266" t="n">
        <v>16</v>
      </c>
      <c r="V179" s="266" t="n"/>
      <c r="W179" s="266" t="inlineStr">
        <is>
          <t>계단식</t>
        </is>
      </c>
      <c r="X179" s="266" t="n">
        <v>3</v>
      </c>
      <c r="Y179" s="266" t="n">
        <v>1</v>
      </c>
      <c r="Z179" s="266" t="n">
        <v>228</v>
      </c>
      <c r="AA179" s="263" t="n"/>
      <c r="AB179" s="263" t="n"/>
      <c r="AC179" s="263" t="n"/>
      <c r="AD179" s="263" t="n"/>
      <c r="AE179" s="263" t="n"/>
      <c r="AF179" s="263" t="n"/>
      <c r="AG179" s="263" t="n"/>
      <c r="AH179" s="263" t="n"/>
      <c r="AI179" s="263" t="n"/>
      <c r="AJ179" s="263" t="n"/>
      <c r="AK179" s="263" t="n"/>
    </row>
    <row r="180">
      <c r="A180" s="266" t="inlineStr">
        <is>
          <t>문정동</t>
        </is>
      </c>
      <c r="B180" s="263" t="n"/>
      <c r="C180" s="263" t="n"/>
      <c r="D180" s="266" t="n">
        <v>365</v>
      </c>
      <c r="E180" s="264" t="inlineStr">
        <is>
          <t>현대1차</t>
        </is>
      </c>
      <c r="F180" s="266" t="n">
        <v>123</v>
      </c>
      <c r="G180" s="263" t="n"/>
      <c r="H180" s="263" t="n"/>
      <c r="I180" s="263">
        <f>G180-H180</f>
        <v/>
      </c>
      <c r="J180" s="323">
        <f>H180/G180</f>
        <v/>
      </c>
      <c r="K180" s="266" t="n">
        <v>1984.11</v>
      </c>
      <c r="L180" s="266" t="n">
        <v>514</v>
      </c>
      <c r="M180" s="266">
        <f>2026-INT(K180)+1</f>
        <v/>
      </c>
      <c r="N180" s="266" t="n">
        <v>286</v>
      </c>
      <c r="O180" s="263" t="n"/>
      <c r="P180" s="266" t="n">
        <v>144</v>
      </c>
      <c r="Q180" s="266" t="n">
        <v>44</v>
      </c>
      <c r="R180" s="266" t="inlineStr">
        <is>
          <t>계단식</t>
        </is>
      </c>
      <c r="S180" s="266" t="n">
        <v>4</v>
      </c>
      <c r="T180" s="266" t="n">
        <v>2</v>
      </c>
      <c r="U180" s="266" t="n">
        <v>17.5</v>
      </c>
      <c r="V180" s="266" t="n">
        <v>13</v>
      </c>
      <c r="W180" s="266" t="inlineStr">
        <is>
          <t>계단식</t>
        </is>
      </c>
      <c r="X180" s="266" t="n">
        <v>4</v>
      </c>
      <c r="Y180" s="266" t="n">
        <v>2</v>
      </c>
      <c r="Z180" s="266" t="n">
        <v>286</v>
      </c>
      <c r="AA180" s="263" t="n"/>
      <c r="AB180" s="263" t="n"/>
      <c r="AC180" s="263" t="n"/>
      <c r="AD180" s="263" t="n"/>
      <c r="AE180" s="263" t="n"/>
      <c r="AF180" s="263" t="n"/>
      <c r="AG180" s="263" t="n"/>
      <c r="AH180" s="263" t="n"/>
      <c r="AI180" s="263" t="n"/>
      <c r="AJ180" s="263" t="n"/>
      <c r="AK180" s="263" t="n"/>
    </row>
    <row r="181">
      <c r="A181" s="458" t="inlineStr">
        <is>
          <t>문정동</t>
        </is>
      </c>
      <c r="D181" s="458" t="n">
        <v>166537</v>
      </c>
      <c r="E181" s="265" t="inlineStr">
        <is>
          <t>힐스테이트e편한세상문정</t>
        </is>
      </c>
      <c r="F181" s="458" t="n">
        <v>49</v>
      </c>
      <c r="G181" s="458" t="n">
        <v>159000</v>
      </c>
      <c r="H181" s="458" t="n">
        <v>75000</v>
      </c>
      <c r="I181" s="263">
        <f>G181-H181</f>
        <v/>
      </c>
      <c r="J181" s="323">
        <f>H181/G181</f>
        <v/>
      </c>
      <c r="K181" s="458" t="n">
        <v>2024.08</v>
      </c>
      <c r="L181" s="458" t="n">
        <v>1265</v>
      </c>
      <c r="M181" s="458">
        <f>2026-INT(K181)+1</f>
        <v/>
      </c>
      <c r="N181" s="458" t="n">
        <v>280</v>
      </c>
      <c r="P181" s="458" t="n">
        <v>68</v>
      </c>
      <c r="Q181" s="458" t="n">
        <v>21</v>
      </c>
      <c r="R181" s="458" t="inlineStr">
        <is>
          <t>계단식</t>
        </is>
      </c>
      <c r="S181" s="458" t="n">
        <v>2</v>
      </c>
      <c r="T181" s="458" t="n">
        <v>1</v>
      </c>
      <c r="U181" s="458" t="n"/>
      <c r="V181" s="458" t="n"/>
      <c r="W181" s="458" t="inlineStr">
        <is>
          <t>계단식</t>
        </is>
      </c>
      <c r="X181" s="458" t="n">
        <v>2</v>
      </c>
      <c r="Y181" s="458" t="n">
        <v>1</v>
      </c>
      <c r="Z181" s="458" t="n">
        <v>280</v>
      </c>
    </row>
    <row r="182">
      <c r="A182" s="458" t="inlineStr">
        <is>
          <t>문정동</t>
        </is>
      </c>
      <c r="D182" s="458" t="n">
        <v>166537</v>
      </c>
      <c r="E182" s="265" t="inlineStr">
        <is>
          <t>힐스테이트e편한세상문정</t>
        </is>
      </c>
      <c r="F182" s="458" t="n">
        <v>59</v>
      </c>
      <c r="G182" s="458" t="n">
        <v>175000</v>
      </c>
      <c r="H182" s="458" t="n">
        <v>87000</v>
      </c>
      <c r="I182" s="263">
        <f>G182-H182</f>
        <v/>
      </c>
      <c r="J182" s="323">
        <f>H182/G182</f>
        <v/>
      </c>
      <c r="K182" s="458" t="n">
        <v>2024.08</v>
      </c>
      <c r="L182" s="458" t="n">
        <v>1265</v>
      </c>
      <c r="M182" s="458">
        <f>2026-INT(K182)+1</f>
        <v/>
      </c>
      <c r="N182" s="458" t="n">
        <v>505</v>
      </c>
      <c r="P182" s="458" t="n">
        <v>81</v>
      </c>
      <c r="Q182" s="458" t="n">
        <v>25</v>
      </c>
      <c r="R182" s="458" t="inlineStr">
        <is>
          <t>계단식</t>
        </is>
      </c>
      <c r="S182" s="458" t="n">
        <v>3</v>
      </c>
      <c r="T182" s="458" t="n">
        <v>2</v>
      </c>
      <c r="W182" s="458" t="inlineStr">
        <is>
          <t>계단식</t>
        </is>
      </c>
      <c r="X182" s="458" t="n">
        <v>3</v>
      </c>
      <c r="Y182" s="458" t="n">
        <v>2</v>
      </c>
      <c r="Z182" s="458" t="n">
        <v>505</v>
      </c>
    </row>
    <row r="183">
      <c r="A183" s="458" t="inlineStr">
        <is>
          <t>문정동</t>
        </is>
      </c>
      <c r="D183" s="458" t="n">
        <v>166537</v>
      </c>
      <c r="E183" s="265" t="inlineStr">
        <is>
          <t>힐스테이트e편한세상문정</t>
        </is>
      </c>
      <c r="F183" s="458" t="n">
        <v>74</v>
      </c>
      <c r="G183" s="458" t="n">
        <v>200000</v>
      </c>
      <c r="H183" s="458" t="n">
        <v>95000</v>
      </c>
      <c r="I183" s="263">
        <f>G183-H183</f>
        <v/>
      </c>
      <c r="J183" s="323">
        <f>H183/G183</f>
        <v/>
      </c>
      <c r="K183" s="458" t="n">
        <v>2024.08</v>
      </c>
      <c r="L183" s="458" t="n">
        <v>1265</v>
      </c>
      <c r="M183" s="458">
        <f>2026-INT(K183)+1</f>
        <v/>
      </c>
      <c r="N183" s="458" t="n">
        <v>307</v>
      </c>
      <c r="P183" s="458" t="n">
        <v>102</v>
      </c>
      <c r="Q183" s="458" t="n">
        <v>31</v>
      </c>
      <c r="R183" s="458" t="inlineStr">
        <is>
          <t>계단식</t>
        </is>
      </c>
      <c r="S183" s="458" t="n">
        <v>3</v>
      </c>
      <c r="T183" s="458" t="n">
        <v>2</v>
      </c>
      <c r="W183" s="458" t="inlineStr">
        <is>
          <t>계단식</t>
        </is>
      </c>
      <c r="X183" s="458" t="n">
        <v>3</v>
      </c>
      <c r="Y183" s="458" t="n">
        <v>2</v>
      </c>
      <c r="Z183" s="458" t="n">
        <v>307</v>
      </c>
    </row>
    <row r="184">
      <c r="A184" s="458" t="inlineStr">
        <is>
          <t>문정동</t>
        </is>
      </c>
      <c r="D184" s="458" t="n">
        <v>166537</v>
      </c>
      <c r="E184" s="265" t="inlineStr">
        <is>
          <t>힐스테이트e편한세상문정</t>
        </is>
      </c>
      <c r="F184" s="458" t="n">
        <v>84</v>
      </c>
      <c r="G184" s="458" t="n">
        <v>250000</v>
      </c>
      <c r="H184" s="458" t="n">
        <v>94001</v>
      </c>
      <c r="I184" s="263">
        <f>G184-H184</f>
        <v/>
      </c>
      <c r="J184" s="323">
        <f>H184/G184</f>
        <v/>
      </c>
      <c r="K184" s="458" t="n">
        <v>2024.08</v>
      </c>
      <c r="L184" s="458" t="n">
        <v>1265</v>
      </c>
      <c r="M184" s="458">
        <f>2026-INT(K184)+1</f>
        <v/>
      </c>
      <c r="N184" s="458" t="n">
        <v>103</v>
      </c>
      <c r="P184" s="458" t="n">
        <v>115</v>
      </c>
      <c r="Q184" s="458" t="n">
        <v>35</v>
      </c>
      <c r="R184" s="458" t="inlineStr">
        <is>
          <t>계단식</t>
        </is>
      </c>
      <c r="S184" s="458" t="n">
        <v>3</v>
      </c>
      <c r="T184" s="458" t="n">
        <v>2</v>
      </c>
      <c r="W184" s="458" t="inlineStr">
        <is>
          <t>계단식</t>
        </is>
      </c>
      <c r="X184" s="458" t="n">
        <v>3</v>
      </c>
      <c r="Y184" s="458" t="n">
        <v>2</v>
      </c>
      <c r="Z184" s="458" t="n">
        <v>103</v>
      </c>
    </row>
    <row r="185">
      <c r="A185" s="266" t="inlineStr">
        <is>
          <t>방이동</t>
        </is>
      </c>
      <c r="B185" s="263" t="n"/>
      <c r="C185" s="263" t="n"/>
      <c r="D185" s="266" t="n">
        <v>611</v>
      </c>
      <c r="E185" s="269" t="inlineStr">
        <is>
          <t>대림가락(방이대림)</t>
        </is>
      </c>
      <c r="F185" s="266" t="n">
        <v>84</v>
      </c>
      <c r="G185" s="263" t="n">
        <v>256000</v>
      </c>
      <c r="H185" s="263" t="n">
        <v>85001</v>
      </c>
      <c r="I185" s="263">
        <f>G185-H185</f>
        <v/>
      </c>
      <c r="J185" s="323">
        <f>H185/G185</f>
        <v/>
      </c>
      <c r="K185" s="266" t="n">
        <v>1985.02</v>
      </c>
      <c r="L185" s="266" t="n">
        <v>480</v>
      </c>
      <c r="M185" s="266">
        <f>2026-INT(K185)+1</f>
        <v/>
      </c>
      <c r="N185" s="266" t="n">
        <v>150</v>
      </c>
      <c r="O185" s="263" t="n"/>
      <c r="P185" s="266" t="n">
        <v>101</v>
      </c>
      <c r="Q185" s="266" t="n">
        <v>31</v>
      </c>
      <c r="R185" s="266" t="inlineStr">
        <is>
          <t>계단식</t>
        </is>
      </c>
      <c r="S185" s="266" t="n">
        <v>3</v>
      </c>
      <c r="T185" s="266" t="n">
        <v>1</v>
      </c>
      <c r="U185" s="266" t="n">
        <v>16.7</v>
      </c>
      <c r="V185" s="266" t="n">
        <v>12.8</v>
      </c>
      <c r="W185" s="266" t="inlineStr">
        <is>
          <t>계단식</t>
        </is>
      </c>
      <c r="X185" s="266" t="n">
        <v>3</v>
      </c>
      <c r="Y185" s="266" t="n">
        <v>1</v>
      </c>
      <c r="Z185" s="266" t="n">
        <v>150</v>
      </c>
      <c r="AA185" s="263" t="n"/>
      <c r="AB185" s="263" t="n"/>
      <c r="AC185" s="263" t="n"/>
      <c r="AD185" s="263" t="n"/>
      <c r="AE185" s="263" t="n"/>
      <c r="AF185" s="263" t="n"/>
      <c r="AG185" s="263" t="n"/>
      <c r="AH185" s="263" t="n"/>
      <c r="AI185" s="263" t="n"/>
      <c r="AJ185" s="263" t="n"/>
      <c r="AK185" s="263" t="n"/>
    </row>
    <row r="186">
      <c r="A186" s="266" t="inlineStr">
        <is>
          <t>방이동</t>
        </is>
      </c>
      <c r="B186" s="263" t="n"/>
      <c r="C186" s="263" t="n"/>
      <c r="D186" s="266" t="n">
        <v>611</v>
      </c>
      <c r="E186" s="264" t="inlineStr">
        <is>
          <t>대림가락(방이대림)</t>
        </is>
      </c>
      <c r="F186" s="266" t="n">
        <v>125</v>
      </c>
      <c r="G186" s="263" t="n"/>
      <c r="H186" s="263" t="n"/>
      <c r="I186" s="263">
        <f>G186-H186</f>
        <v/>
      </c>
      <c r="J186" s="323">
        <f>H186/G186</f>
        <v/>
      </c>
      <c r="K186" s="266" t="n">
        <v>1985.02</v>
      </c>
      <c r="L186" s="266" t="n">
        <v>480</v>
      </c>
      <c r="M186" s="266">
        <f>2026-INT(K186)+1</f>
        <v/>
      </c>
      <c r="N186" s="266" t="n">
        <v>240</v>
      </c>
      <c r="O186" s="263" t="n"/>
      <c r="P186" s="266" t="n">
        <v>145</v>
      </c>
      <c r="Q186" s="266" t="n">
        <v>44</v>
      </c>
      <c r="R186" s="266" t="inlineStr">
        <is>
          <t>계단식</t>
        </is>
      </c>
      <c r="S186" s="266" t="n">
        <v>4</v>
      </c>
      <c r="T186" s="266" t="n">
        <v>2</v>
      </c>
      <c r="U186" s="263" t="n">
        <v>21</v>
      </c>
      <c r="V186" s="263" t="n">
        <v>16</v>
      </c>
      <c r="W186" s="266" t="inlineStr">
        <is>
          <t>계단식</t>
        </is>
      </c>
      <c r="X186" s="266" t="n">
        <v>4</v>
      </c>
      <c r="Y186" s="266" t="n">
        <v>2</v>
      </c>
      <c r="Z186" s="266" t="n">
        <v>240</v>
      </c>
      <c r="AA186" s="263" t="n"/>
      <c r="AB186" s="263" t="n"/>
      <c r="AC186" s="263" t="n"/>
      <c r="AD186" s="263" t="n"/>
      <c r="AE186" s="263" t="n"/>
      <c r="AF186" s="263" t="n"/>
      <c r="AG186" s="263" t="n"/>
      <c r="AH186" s="263" t="n"/>
      <c r="AI186" s="263" t="n"/>
      <c r="AJ186" s="263" t="n"/>
      <c r="AK186" s="263" t="n"/>
    </row>
    <row r="187">
      <c r="A187" s="266" t="inlineStr">
        <is>
          <t>방이동</t>
        </is>
      </c>
      <c r="B187" s="263" t="n"/>
      <c r="C187" s="263" t="n"/>
      <c r="D187" s="266" t="n">
        <v>611</v>
      </c>
      <c r="E187" s="264" t="inlineStr">
        <is>
          <t>대림가락(방이대림)</t>
        </is>
      </c>
      <c r="F187" s="266" t="n">
        <v>153</v>
      </c>
      <c r="G187" s="263" t="n"/>
      <c r="H187" s="263" t="n"/>
      <c r="I187" s="263">
        <f>G187-H187</f>
        <v/>
      </c>
      <c r="J187" s="323">
        <f>H187/G187</f>
        <v/>
      </c>
      <c r="K187" s="266" t="n">
        <v>1985.02</v>
      </c>
      <c r="L187" s="266" t="n">
        <v>480</v>
      </c>
      <c r="M187" s="266">
        <f>2026-INT(K187)+1</f>
        <v/>
      </c>
      <c r="N187" s="266" t="n">
        <v>90</v>
      </c>
      <c r="O187" s="263" t="n"/>
      <c r="P187" s="266" t="n">
        <v>175</v>
      </c>
      <c r="Q187" s="266" t="n">
        <v>53</v>
      </c>
      <c r="R187" s="266" t="inlineStr">
        <is>
          <t>계단식</t>
        </is>
      </c>
      <c r="S187" s="266" t="n">
        <v>5</v>
      </c>
      <c r="T187" s="266" t="n">
        <v>2</v>
      </c>
      <c r="U187" s="263" t="n">
        <v>20.5</v>
      </c>
      <c r="V187" s="263" t="n">
        <v>20.5</v>
      </c>
      <c r="W187" s="266" t="inlineStr">
        <is>
          <t>계단식</t>
        </is>
      </c>
      <c r="X187" s="266" t="n">
        <v>5</v>
      </c>
      <c r="Y187" s="266" t="n">
        <v>2</v>
      </c>
      <c r="Z187" s="266" t="n">
        <v>90</v>
      </c>
      <c r="AA187" s="263" t="n"/>
      <c r="AB187" s="263" t="n"/>
      <c r="AC187" s="263" t="n"/>
      <c r="AD187" s="263" t="n"/>
      <c r="AE187" s="263" t="n"/>
      <c r="AF187" s="263" t="n"/>
      <c r="AG187" s="263" t="n"/>
      <c r="AH187" s="263" t="n"/>
      <c r="AI187" s="263" t="n"/>
      <c r="AJ187" s="263" t="n"/>
      <c r="AK187" s="263" t="n"/>
    </row>
    <row r="188">
      <c r="A188" s="458" t="inlineStr">
        <is>
          <t>방이동</t>
        </is>
      </c>
      <c r="D188" s="458" t="n">
        <v>634</v>
      </c>
      <c r="E188" s="146" t="inlineStr">
        <is>
          <t>올림픽선수기자촌</t>
        </is>
      </c>
      <c r="F188" s="458" t="n">
        <v>62</v>
      </c>
      <c r="G188" s="263" t="n">
        <v>195001</v>
      </c>
      <c r="H188" s="263" t="n">
        <v>65001</v>
      </c>
      <c r="I188" s="263">
        <f>G188-H188</f>
        <v/>
      </c>
      <c r="J188" s="323">
        <f>H188/G188</f>
        <v/>
      </c>
      <c r="K188" s="458" t="n">
        <v>1988.06</v>
      </c>
      <c r="L188" s="458" t="n">
        <v>5540</v>
      </c>
      <c r="M188" s="458">
        <f>2026-INT(K188)+1</f>
        <v/>
      </c>
      <c r="N188" s="458" t="n">
        <v>43</v>
      </c>
      <c r="P188" s="458" t="n">
        <v>82</v>
      </c>
      <c r="Q188" s="458" t="n">
        <v>25</v>
      </c>
      <c r="R188" s="458" t="inlineStr">
        <is>
          <t>계단식</t>
        </is>
      </c>
      <c r="S188" s="458" t="n">
        <v>2</v>
      </c>
      <c r="T188" s="458" t="n">
        <v>1</v>
      </c>
      <c r="U188" s="458" t="n">
        <v>17.4</v>
      </c>
      <c r="V188" s="458" t="n">
        <v>15.22</v>
      </c>
      <c r="W188" s="458" t="inlineStr">
        <is>
          <t>계단식</t>
        </is>
      </c>
      <c r="X188" s="458" t="n">
        <v>2</v>
      </c>
      <c r="Y188" s="458" t="n">
        <v>1</v>
      </c>
      <c r="Z188" s="458" t="n">
        <v>43</v>
      </c>
    </row>
    <row r="189">
      <c r="A189" s="458" t="inlineStr">
        <is>
          <t>방이동</t>
        </is>
      </c>
      <c r="D189" s="458" t="n">
        <v>634</v>
      </c>
      <c r="E189" s="265" t="inlineStr">
        <is>
          <t>올림픽선수기자촌</t>
        </is>
      </c>
      <c r="F189" s="458" t="n">
        <v>73</v>
      </c>
      <c r="G189" s="263" t="n">
        <v>193001</v>
      </c>
      <c r="H189" s="263" t="n">
        <v>57001</v>
      </c>
      <c r="I189" s="263">
        <f>G189-H189</f>
        <v/>
      </c>
      <c r="J189" s="323">
        <f>H189/G189</f>
        <v/>
      </c>
      <c r="K189" s="458" t="n">
        <v>1988.06</v>
      </c>
      <c r="L189" s="458" t="n">
        <v>5540</v>
      </c>
      <c r="M189" s="458">
        <f>2026-INT(K189)+1</f>
        <v/>
      </c>
      <c r="N189" s="458" t="n">
        <v>25</v>
      </c>
      <c r="P189" s="458" t="n">
        <v>95</v>
      </c>
      <c r="Q189" s="458" t="n">
        <v>29</v>
      </c>
      <c r="R189" s="458" t="inlineStr">
        <is>
          <t>계단식</t>
        </is>
      </c>
      <c r="S189" s="458" t="n">
        <v>2</v>
      </c>
      <c r="T189" s="458" t="n">
        <v>1</v>
      </c>
      <c r="U189" s="458" t="n">
        <v>16</v>
      </c>
      <c r="V189" s="458" t="n">
        <v>16.3</v>
      </c>
      <c r="W189" s="458" t="inlineStr">
        <is>
          <t>계단식</t>
        </is>
      </c>
      <c r="X189" s="458" t="n">
        <v>2</v>
      </c>
      <c r="Y189" s="458" t="n">
        <v>1</v>
      </c>
      <c r="Z189" s="458" t="n">
        <v>25</v>
      </c>
    </row>
    <row r="190">
      <c r="A190" s="458" t="inlineStr">
        <is>
          <t>방이동</t>
        </is>
      </c>
      <c r="D190" s="458" t="n">
        <v>634</v>
      </c>
      <c r="E190" s="265" t="inlineStr">
        <is>
          <t>올림픽선수기자촌</t>
        </is>
      </c>
      <c r="F190" s="458" t="n">
        <v>83</v>
      </c>
      <c r="G190" s="458" t="n">
        <v>275000</v>
      </c>
      <c r="H190" s="458" t="n">
        <v>95000</v>
      </c>
      <c r="I190" s="263">
        <f>G190-H190</f>
        <v/>
      </c>
      <c r="J190" s="323">
        <f>H190/G190</f>
        <v/>
      </c>
      <c r="K190" s="458" t="n">
        <v>1988.06</v>
      </c>
      <c r="L190" s="458" t="n">
        <v>5540</v>
      </c>
      <c r="M190" s="458">
        <f>2026-INT(K190)+1</f>
        <v/>
      </c>
      <c r="N190" s="458" t="n">
        <v>1933</v>
      </c>
      <c r="P190" s="458" t="n">
        <v>112</v>
      </c>
      <c r="Q190" s="458" t="n">
        <v>34</v>
      </c>
      <c r="R190" s="458" t="inlineStr">
        <is>
          <t>계단식</t>
        </is>
      </c>
      <c r="S190" s="458" t="n">
        <v>3</v>
      </c>
      <c r="T190" s="458" t="n">
        <v>1</v>
      </c>
      <c r="U190" s="458" t="n">
        <v>24.7</v>
      </c>
      <c r="V190" s="458" t="n">
        <v>16.1</v>
      </c>
      <c r="W190" s="458" t="inlineStr">
        <is>
          <t>계단식</t>
        </is>
      </c>
      <c r="X190" s="458" t="n">
        <v>3</v>
      </c>
      <c r="Y190" s="458" t="n">
        <v>1</v>
      </c>
      <c r="Z190" s="458" t="n">
        <v>1933</v>
      </c>
    </row>
    <row r="191">
      <c r="A191" s="458" t="inlineStr">
        <is>
          <t>방이동</t>
        </is>
      </c>
      <c r="D191" s="458" t="n">
        <v>634</v>
      </c>
      <c r="E191" s="265" t="inlineStr">
        <is>
          <t>올림픽선수기자촌</t>
        </is>
      </c>
      <c r="F191" s="458" t="n">
        <v>84</v>
      </c>
      <c r="G191" s="263" t="n">
        <v>280001</v>
      </c>
      <c r="H191" s="263" t="n">
        <v>90001</v>
      </c>
      <c r="I191" s="263">
        <f>G191-H191</f>
        <v/>
      </c>
      <c r="J191" s="323">
        <f>H191/G191</f>
        <v/>
      </c>
      <c r="K191" s="458" t="n">
        <v>1988.06</v>
      </c>
      <c r="L191" s="458" t="n">
        <v>5540</v>
      </c>
      <c r="M191" s="458">
        <f>2026-INT(K191)+1</f>
        <v/>
      </c>
      <c r="N191" s="458" t="n">
        <v>33</v>
      </c>
      <c r="P191" s="458" t="n">
        <v>109</v>
      </c>
      <c r="Q191" s="458" t="n">
        <v>33</v>
      </c>
      <c r="R191" s="458" t="inlineStr">
        <is>
          <t>계단식</t>
        </is>
      </c>
      <c r="S191" s="458" t="n">
        <v>3</v>
      </c>
      <c r="T191" s="458" t="n">
        <v>1</v>
      </c>
      <c r="U191" s="458" t="n">
        <v>24.7</v>
      </c>
      <c r="V191" s="458" t="n">
        <v>16.1</v>
      </c>
      <c r="W191" s="458" t="inlineStr">
        <is>
          <t>계단식</t>
        </is>
      </c>
      <c r="X191" s="458" t="n">
        <v>3</v>
      </c>
      <c r="Y191" s="458" t="n">
        <v>1</v>
      </c>
      <c r="Z191" s="458" t="n">
        <v>33</v>
      </c>
    </row>
    <row r="192">
      <c r="A192" s="458" t="inlineStr">
        <is>
          <t>방이동</t>
        </is>
      </c>
      <c r="D192" s="458" t="n">
        <v>634</v>
      </c>
      <c r="E192" s="265" t="inlineStr">
        <is>
          <t>올림픽선수기자촌</t>
        </is>
      </c>
      <c r="F192" s="458" t="n">
        <v>100</v>
      </c>
      <c r="I192" s="263">
        <f>G192-H192</f>
        <v/>
      </c>
      <c r="J192" s="323">
        <f>H192/G192</f>
        <v/>
      </c>
      <c r="K192" s="458" t="n">
        <v>1988.06</v>
      </c>
      <c r="L192" s="458" t="n">
        <v>5540</v>
      </c>
      <c r="M192" s="458">
        <f>2026-INT(K192)+1</f>
        <v/>
      </c>
      <c r="N192" s="458" t="n">
        <v>851</v>
      </c>
      <c r="P192" s="458" t="n">
        <v>132</v>
      </c>
      <c r="Q192" s="458" t="n">
        <v>40</v>
      </c>
      <c r="R192" s="458" t="inlineStr">
        <is>
          <t>계단식</t>
        </is>
      </c>
      <c r="S192" s="458" t="n">
        <v>3</v>
      </c>
      <c r="T192" s="458" t="n">
        <v>1</v>
      </c>
      <c r="U192" s="458" t="n">
        <v>28.4</v>
      </c>
      <c r="V192" s="458" t="n">
        <v>12.05</v>
      </c>
      <c r="W192" s="458" t="inlineStr">
        <is>
          <t>계단식</t>
        </is>
      </c>
      <c r="X192" s="458" t="n">
        <v>3</v>
      </c>
      <c r="Y192" s="458" t="n">
        <v>1</v>
      </c>
      <c r="Z192" s="458" t="n">
        <v>851</v>
      </c>
    </row>
    <row r="193">
      <c r="A193" s="458" t="inlineStr">
        <is>
          <t>방이동</t>
        </is>
      </c>
      <c r="D193" s="458" t="n">
        <v>634</v>
      </c>
      <c r="E193" s="265" t="inlineStr">
        <is>
          <t>올림픽선수기자촌</t>
        </is>
      </c>
      <c r="F193" s="458" t="n">
        <v>100</v>
      </c>
      <c r="I193" s="263">
        <f>G193-H193</f>
        <v/>
      </c>
      <c r="J193" s="323">
        <f>H193/G193</f>
        <v/>
      </c>
      <c r="K193" s="458" t="n">
        <v>1988.06</v>
      </c>
      <c r="L193" s="458" t="n">
        <v>5540</v>
      </c>
      <c r="M193" s="458">
        <f>2026-INT(K193)+1</f>
        <v/>
      </c>
      <c r="N193" s="458" t="n">
        <v>583</v>
      </c>
      <c r="P193" s="458" t="n">
        <v>132</v>
      </c>
      <c r="Q193" s="458" t="n">
        <v>40</v>
      </c>
      <c r="R193" s="458" t="inlineStr">
        <is>
          <t>계단식</t>
        </is>
      </c>
      <c r="S193" s="458" t="n">
        <v>4</v>
      </c>
      <c r="T193" s="458" t="n">
        <v>1</v>
      </c>
      <c r="U193" s="458" t="n">
        <v>28.4</v>
      </c>
      <c r="V193" s="458" t="n">
        <v>12.05</v>
      </c>
      <c r="W193" s="458" t="inlineStr">
        <is>
          <t>계단식</t>
        </is>
      </c>
      <c r="X193" s="458" t="n">
        <v>4</v>
      </c>
      <c r="Y193" s="458" t="n">
        <v>1</v>
      </c>
      <c r="Z193" s="458" t="n">
        <v>583</v>
      </c>
    </row>
    <row r="194">
      <c r="A194" s="458" t="inlineStr">
        <is>
          <t>방이동</t>
        </is>
      </c>
      <c r="D194" s="458" t="n">
        <v>634</v>
      </c>
      <c r="E194" s="265" t="inlineStr">
        <is>
          <t>올림픽선수기자촌</t>
        </is>
      </c>
      <c r="F194" s="458" t="n">
        <v>110</v>
      </c>
      <c r="I194" s="263">
        <f>G194-H194</f>
        <v/>
      </c>
      <c r="J194" s="323">
        <f>H194/G194</f>
        <v/>
      </c>
      <c r="K194" s="458" t="n">
        <v>1988.06</v>
      </c>
      <c r="L194" s="458" t="n">
        <v>5540</v>
      </c>
      <c r="M194" s="458">
        <f>2026-INT(K194)+1</f>
        <v/>
      </c>
      <c r="N194" s="458" t="n">
        <v>42</v>
      </c>
      <c r="P194" s="458" t="n">
        <v>142</v>
      </c>
      <c r="Q194" s="458" t="n">
        <v>43</v>
      </c>
      <c r="R194" s="458" t="inlineStr">
        <is>
          <t>계단식</t>
        </is>
      </c>
      <c r="S194" s="458" t="n">
        <v>3</v>
      </c>
      <c r="T194" s="458" t="n">
        <v>1</v>
      </c>
      <c r="U194" s="458" t="n"/>
      <c r="V194" s="458" t="n"/>
      <c r="W194" s="458" t="inlineStr">
        <is>
          <t>계단식</t>
        </is>
      </c>
      <c r="X194" s="458" t="n">
        <v>3</v>
      </c>
      <c r="Y194" s="458" t="n">
        <v>1</v>
      </c>
      <c r="Z194" s="458" t="n">
        <v>42</v>
      </c>
    </row>
    <row r="195">
      <c r="A195" s="458" t="inlineStr">
        <is>
          <t>방이동</t>
        </is>
      </c>
      <c r="D195" s="458" t="n">
        <v>634</v>
      </c>
      <c r="E195" s="265" t="inlineStr">
        <is>
          <t>올림픽선수기자촌</t>
        </is>
      </c>
      <c r="F195" s="458" t="n">
        <v>120</v>
      </c>
      <c r="I195" s="263">
        <f>G195-H195</f>
        <v/>
      </c>
      <c r="J195" s="323">
        <f>H195/G195</f>
        <v/>
      </c>
      <c r="K195" s="458" t="n">
        <v>1988.06</v>
      </c>
      <c r="L195" s="458" t="n">
        <v>5540</v>
      </c>
      <c r="M195" s="458">
        <f>2026-INT(K195)+1</f>
        <v/>
      </c>
      <c r="N195" s="458" t="n">
        <v>50</v>
      </c>
      <c r="P195" s="458" t="n">
        <v>155</v>
      </c>
      <c r="Q195" s="458" t="n">
        <v>47</v>
      </c>
      <c r="R195" s="458" t="inlineStr">
        <is>
          <t>계단식</t>
        </is>
      </c>
      <c r="S195" s="458" t="n">
        <v>3</v>
      </c>
      <c r="T195" s="458" t="n">
        <v>1</v>
      </c>
      <c r="U195" s="458" t="n">
        <v>29.3</v>
      </c>
      <c r="V195" s="458" t="n">
        <v>23.8</v>
      </c>
      <c r="W195" s="458" t="inlineStr">
        <is>
          <t>계단식</t>
        </is>
      </c>
      <c r="X195" s="458" t="n">
        <v>3</v>
      </c>
      <c r="Y195" s="458" t="n">
        <v>1</v>
      </c>
      <c r="Z195" s="458" t="n">
        <v>50</v>
      </c>
    </row>
    <row r="196">
      <c r="A196" s="458" t="inlineStr">
        <is>
          <t>방이동</t>
        </is>
      </c>
      <c r="D196" s="458" t="n">
        <v>634</v>
      </c>
      <c r="E196" s="265" t="inlineStr">
        <is>
          <t>올림픽선수기자촌</t>
        </is>
      </c>
      <c r="F196" s="458" t="n">
        <v>121</v>
      </c>
      <c r="I196" s="263">
        <f>G196-H196</f>
        <v/>
      </c>
      <c r="J196" s="323">
        <f>H196/G196</f>
        <v/>
      </c>
      <c r="K196" s="458" t="n">
        <v>1988.06</v>
      </c>
      <c r="L196" s="458" t="n">
        <v>5540</v>
      </c>
      <c r="M196" s="458">
        <f>2026-INT(K196)+1</f>
        <v/>
      </c>
      <c r="N196" s="458" t="n">
        <v>318</v>
      </c>
      <c r="P196" s="458" t="n">
        <v>155</v>
      </c>
      <c r="Q196" s="458" t="n">
        <v>47</v>
      </c>
      <c r="R196" s="458" t="inlineStr">
        <is>
          <t>계단식</t>
        </is>
      </c>
      <c r="S196" s="458" t="n">
        <v>4</v>
      </c>
      <c r="T196" s="458" t="n">
        <v>2</v>
      </c>
      <c r="U196" s="458" t="n">
        <v>29.3</v>
      </c>
      <c r="V196" s="458" t="n">
        <v>23.8</v>
      </c>
      <c r="W196" s="458" t="inlineStr">
        <is>
          <t>계단식</t>
        </is>
      </c>
      <c r="X196" s="458" t="n">
        <v>4</v>
      </c>
      <c r="Y196" s="458" t="n">
        <v>2</v>
      </c>
      <c r="Z196" s="458" t="n">
        <v>318</v>
      </c>
    </row>
    <row r="197">
      <c r="A197" s="458" t="inlineStr">
        <is>
          <t>방이동</t>
        </is>
      </c>
      <c r="D197" s="458" t="n">
        <v>634</v>
      </c>
      <c r="E197" s="265" t="inlineStr">
        <is>
          <t>올림픽선수기자촌</t>
        </is>
      </c>
      <c r="F197" s="458" t="n">
        <v>126</v>
      </c>
      <c r="I197" s="263">
        <f>G197-H197</f>
        <v/>
      </c>
      <c r="J197" s="323">
        <f>H197/G197</f>
        <v/>
      </c>
      <c r="K197" s="458" t="n">
        <v>1988.06</v>
      </c>
      <c r="L197" s="458" t="n">
        <v>5540</v>
      </c>
      <c r="M197" s="458">
        <f>2026-INT(K197)+1</f>
        <v/>
      </c>
      <c r="N197" s="458" t="n">
        <v>516</v>
      </c>
      <c r="P197" s="458" t="n">
        <v>161</v>
      </c>
      <c r="Q197" s="458" t="n">
        <v>49</v>
      </c>
      <c r="R197" s="458" t="inlineStr">
        <is>
          <t>계단식</t>
        </is>
      </c>
      <c r="S197" s="458" t="n">
        <v>4</v>
      </c>
      <c r="T197" s="458" t="n">
        <v>2</v>
      </c>
      <c r="U197" s="458" t="n">
        <v>31.5</v>
      </c>
      <c r="V197" s="458" t="n">
        <v>26</v>
      </c>
      <c r="W197" s="458" t="inlineStr">
        <is>
          <t>계단식</t>
        </is>
      </c>
      <c r="X197" s="458" t="n">
        <v>4</v>
      </c>
      <c r="Y197" s="458" t="n">
        <v>2</v>
      </c>
      <c r="Z197" s="458" t="n">
        <v>516</v>
      </c>
    </row>
    <row r="198">
      <c r="A198" s="458" t="inlineStr">
        <is>
          <t>방이동</t>
        </is>
      </c>
      <c r="D198" s="458" t="n">
        <v>634</v>
      </c>
      <c r="E198" s="265" t="inlineStr">
        <is>
          <t>올림픽선수기자촌</t>
        </is>
      </c>
      <c r="F198" s="458" t="n">
        <v>128</v>
      </c>
      <c r="I198" s="263">
        <f>G198-H198</f>
        <v/>
      </c>
      <c r="J198" s="323">
        <f>H198/G198</f>
        <v/>
      </c>
      <c r="K198" s="458" t="n">
        <v>1988.06</v>
      </c>
      <c r="L198" s="458" t="n">
        <v>5540</v>
      </c>
      <c r="M198" s="458">
        <f>2026-INT(K198)+1</f>
        <v/>
      </c>
      <c r="N198" s="458" t="n">
        <v>50</v>
      </c>
      <c r="P198" s="458" t="n">
        <v>165</v>
      </c>
      <c r="Q198" s="458" t="n">
        <v>50</v>
      </c>
      <c r="R198" s="458" t="inlineStr">
        <is>
          <t>계단식</t>
        </is>
      </c>
      <c r="S198" s="458" t="n">
        <v>4</v>
      </c>
      <c r="T198" s="458" t="n">
        <v>2</v>
      </c>
      <c r="U198" s="458" t="n"/>
      <c r="V198" s="458" t="n"/>
      <c r="W198" s="458" t="inlineStr">
        <is>
          <t>계단식</t>
        </is>
      </c>
      <c r="X198" s="458" t="n">
        <v>4</v>
      </c>
      <c r="Y198" s="458" t="n">
        <v>2</v>
      </c>
      <c r="Z198" s="458" t="n">
        <v>50</v>
      </c>
    </row>
    <row r="199">
      <c r="A199" s="458" t="inlineStr">
        <is>
          <t>방이동</t>
        </is>
      </c>
      <c r="D199" s="458" t="n">
        <v>634</v>
      </c>
      <c r="E199" s="265" t="inlineStr">
        <is>
          <t>올림픽선수기자촌</t>
        </is>
      </c>
      <c r="F199" s="458" t="n">
        <v>131</v>
      </c>
      <c r="I199" s="263">
        <f>G199-H199</f>
        <v/>
      </c>
      <c r="J199" s="323">
        <f>H199/G199</f>
        <v/>
      </c>
      <c r="K199" s="458" t="n">
        <v>1988.06</v>
      </c>
      <c r="L199" s="458" t="n">
        <v>5540</v>
      </c>
      <c r="M199" s="458">
        <f>2026-INT(K199)+1</f>
        <v/>
      </c>
      <c r="N199" s="458" t="n">
        <v>318</v>
      </c>
      <c r="P199" s="458" t="n">
        <v>168</v>
      </c>
      <c r="Q199" s="458" t="n">
        <v>51</v>
      </c>
      <c r="R199" s="458" t="inlineStr">
        <is>
          <t>계단식</t>
        </is>
      </c>
      <c r="S199" s="458" t="n">
        <v>4</v>
      </c>
      <c r="T199" s="458" t="n">
        <v>2</v>
      </c>
      <c r="U199" s="458" t="n">
        <v>26</v>
      </c>
      <c r="V199" s="458" t="n">
        <v>28</v>
      </c>
      <c r="W199" s="458" t="inlineStr">
        <is>
          <t>계단식</t>
        </is>
      </c>
      <c r="X199" s="458" t="n">
        <v>4</v>
      </c>
      <c r="Y199" s="458" t="n">
        <v>2</v>
      </c>
      <c r="Z199" s="458" t="n">
        <v>318</v>
      </c>
    </row>
    <row r="200">
      <c r="A200" s="458" t="inlineStr">
        <is>
          <t>방이동</t>
        </is>
      </c>
      <c r="D200" s="458" t="n">
        <v>634</v>
      </c>
      <c r="E200" s="265" t="inlineStr">
        <is>
          <t>올림픽선수기자촌</t>
        </is>
      </c>
      <c r="F200" s="458" t="n">
        <v>135</v>
      </c>
      <c r="I200" s="263">
        <f>G200-H200</f>
        <v/>
      </c>
      <c r="J200" s="323">
        <f>H200/G200</f>
        <v/>
      </c>
      <c r="K200" s="458" t="n">
        <v>1988.06</v>
      </c>
      <c r="L200" s="458" t="n">
        <v>5540</v>
      </c>
      <c r="M200" s="458">
        <f>2026-INT(K200)+1</f>
        <v/>
      </c>
      <c r="N200" s="458" t="n">
        <v>348</v>
      </c>
      <c r="P200" s="458" t="n">
        <v>171</v>
      </c>
      <c r="Q200" s="458" t="n">
        <v>52</v>
      </c>
      <c r="R200" s="458" t="inlineStr">
        <is>
          <t>계단식</t>
        </is>
      </c>
      <c r="S200" s="458" t="n">
        <v>4</v>
      </c>
      <c r="T200" s="458" t="n">
        <v>1</v>
      </c>
      <c r="U200" s="458" t="n">
        <v>31.9</v>
      </c>
      <c r="V200" s="458" t="n">
        <v>26</v>
      </c>
      <c r="W200" s="458" t="inlineStr">
        <is>
          <t>계단식</t>
        </is>
      </c>
      <c r="X200" s="458" t="n">
        <v>4</v>
      </c>
      <c r="Y200" s="458" t="n">
        <v>1</v>
      </c>
      <c r="Z200" s="458" t="n">
        <v>348</v>
      </c>
    </row>
    <row r="201">
      <c r="A201" s="458" t="inlineStr">
        <is>
          <t>방이동</t>
        </is>
      </c>
      <c r="D201" s="458" t="n">
        <v>634</v>
      </c>
      <c r="E201" s="265" t="inlineStr">
        <is>
          <t>올림픽선수기자촌</t>
        </is>
      </c>
      <c r="F201" s="458" t="n">
        <v>136</v>
      </c>
      <c r="I201" s="263">
        <f>G201-H201</f>
        <v/>
      </c>
      <c r="J201" s="323">
        <f>H201/G201</f>
        <v/>
      </c>
      <c r="K201" s="458" t="n">
        <v>1988.06</v>
      </c>
      <c r="L201" s="458" t="n">
        <v>5540</v>
      </c>
      <c r="M201" s="458">
        <f>2026-INT(K201)+1</f>
        <v/>
      </c>
      <c r="N201" s="458" t="n">
        <v>20</v>
      </c>
      <c r="P201" s="458" t="n">
        <v>175</v>
      </c>
      <c r="Q201" s="458" t="n">
        <v>53</v>
      </c>
      <c r="R201" s="458" t="inlineStr">
        <is>
          <t>계단식</t>
        </is>
      </c>
      <c r="S201" s="458" t="n">
        <v>4</v>
      </c>
      <c r="T201" s="458" t="n">
        <v>2</v>
      </c>
      <c r="U201" s="458" t="n">
        <v>31.9</v>
      </c>
      <c r="V201" s="458" t="n">
        <v>26</v>
      </c>
      <c r="W201" s="458" t="inlineStr">
        <is>
          <t>계단식</t>
        </is>
      </c>
      <c r="X201" s="458" t="n">
        <v>4</v>
      </c>
      <c r="Y201" s="458" t="n">
        <v>2</v>
      </c>
      <c r="Z201" s="458" t="n">
        <v>20</v>
      </c>
    </row>
    <row r="202" ht="14" customHeight="1" s="476">
      <c r="A202" s="458" t="inlineStr">
        <is>
          <t>방이동</t>
        </is>
      </c>
      <c r="D202" s="458" t="n">
        <v>634</v>
      </c>
      <c r="E202" s="265" t="inlineStr">
        <is>
          <t>올림픽선수기자촌</t>
        </is>
      </c>
      <c r="F202" s="458" t="n">
        <v>148</v>
      </c>
      <c r="I202" s="263">
        <f>G202-H202</f>
        <v/>
      </c>
      <c r="J202" s="323">
        <f>H202/G202</f>
        <v/>
      </c>
      <c r="K202" s="458" t="n">
        <v>1988.06</v>
      </c>
      <c r="L202" s="458" t="n">
        <v>5540</v>
      </c>
      <c r="M202" s="458">
        <f>2026-INT(K202)+1</f>
        <v/>
      </c>
      <c r="N202" s="458" t="n">
        <v>172</v>
      </c>
      <c r="P202" s="458" t="n">
        <v>188</v>
      </c>
      <c r="Q202" s="458" t="n">
        <v>57</v>
      </c>
      <c r="R202" s="458" t="inlineStr">
        <is>
          <t>계단식</t>
        </is>
      </c>
      <c r="S202" s="458" t="n">
        <v>5</v>
      </c>
      <c r="T202" s="458" t="n">
        <v>2</v>
      </c>
      <c r="U202" s="458" t="n">
        <v>29.5</v>
      </c>
      <c r="W202" s="458" t="inlineStr">
        <is>
          <t>계단식</t>
        </is>
      </c>
      <c r="X202" s="458" t="n">
        <v>5</v>
      </c>
      <c r="Y202" s="458" t="n">
        <v>2</v>
      </c>
      <c r="Z202" s="458" t="n">
        <v>172</v>
      </c>
    </row>
    <row r="203">
      <c r="A203" s="458" t="inlineStr">
        <is>
          <t>방이동</t>
        </is>
      </c>
      <c r="D203" s="458" t="n">
        <v>634</v>
      </c>
      <c r="E203" s="265" t="inlineStr">
        <is>
          <t>올림픽선수기자촌</t>
        </is>
      </c>
      <c r="F203" s="458" t="n">
        <v>163</v>
      </c>
      <c r="I203" s="263">
        <f>G203-H203</f>
        <v/>
      </c>
      <c r="J203" s="323">
        <f>H203/G203</f>
        <v/>
      </c>
      <c r="K203" s="458" t="n">
        <v>1988.06</v>
      </c>
      <c r="L203" s="458" t="n">
        <v>5540</v>
      </c>
      <c r="M203" s="458">
        <f>2026-INT(K203)+1</f>
        <v/>
      </c>
      <c r="N203" s="458" t="n">
        <v>238</v>
      </c>
      <c r="P203" s="458" t="n">
        <v>211</v>
      </c>
      <c r="Q203" s="458" t="n">
        <v>64</v>
      </c>
      <c r="R203" s="458" t="inlineStr">
        <is>
          <t>계단식</t>
        </is>
      </c>
      <c r="S203" s="458" t="n">
        <v>5</v>
      </c>
      <c r="T203" s="458" t="n">
        <v>2</v>
      </c>
      <c r="U203" s="458" t="n">
        <v>34</v>
      </c>
      <c r="V203" s="458" t="n">
        <v>32.8</v>
      </c>
      <c r="W203" s="458" t="inlineStr">
        <is>
          <t>계단식</t>
        </is>
      </c>
      <c r="X203" s="458" t="n">
        <v>5</v>
      </c>
      <c r="Y203" s="458" t="n">
        <v>2</v>
      </c>
      <c r="Z203" s="458" t="n">
        <v>238</v>
      </c>
    </row>
    <row r="204" ht="14" customHeight="1" s="476">
      <c r="A204" s="263" t="inlineStr">
        <is>
          <t>방이동</t>
        </is>
      </c>
      <c r="B204" s="263" t="n"/>
      <c r="C204" s="263" t="n"/>
      <c r="D204" s="263" t="n">
        <v>613</v>
      </c>
      <c r="E204" s="269" t="inlineStr">
        <is>
          <t>잠실(방이)한양3차</t>
        </is>
      </c>
      <c r="F204" s="263" t="n">
        <v>84</v>
      </c>
      <c r="G204" s="263" t="n">
        <v>249500</v>
      </c>
      <c r="H204" s="263" t="n"/>
      <c r="I204" s="263">
        <f>G204-H204</f>
        <v/>
      </c>
      <c r="J204" s="323">
        <f>H204/G204</f>
        <v/>
      </c>
      <c r="K204" s="263" t="n">
        <v>1985.02</v>
      </c>
      <c r="L204" s="263" t="n">
        <v>252</v>
      </c>
      <c r="M204" s="263">
        <f>2026-INT(K204)+1</f>
        <v/>
      </c>
      <c r="N204" s="263" t="n">
        <v>84</v>
      </c>
      <c r="O204" s="263" t="n"/>
      <c r="P204" s="263" t="n">
        <v>103</v>
      </c>
      <c r="Q204" s="263" t="n">
        <v>31</v>
      </c>
      <c r="R204" s="263" t="inlineStr">
        <is>
          <t>계단식</t>
        </is>
      </c>
      <c r="S204" s="263" t="n">
        <v>3</v>
      </c>
      <c r="T204" s="263" t="n">
        <v>1</v>
      </c>
      <c r="U204" s="263" t="n">
        <v>16.5</v>
      </c>
      <c r="V204" s="263" t="n">
        <v>15.2</v>
      </c>
      <c r="W204" s="263" t="inlineStr">
        <is>
          <t>계단식</t>
        </is>
      </c>
      <c r="X204" s="263" t="n">
        <v>3</v>
      </c>
      <c r="Y204" s="263" t="n">
        <v>1</v>
      </c>
      <c r="Z204" s="263" t="n">
        <v>84</v>
      </c>
      <c r="AA204" s="263" t="n"/>
      <c r="AB204" s="263" t="n"/>
      <c r="AC204" s="263" t="n"/>
      <c r="AD204" s="263" t="n"/>
      <c r="AE204" s="263" t="n"/>
      <c r="AF204" s="263" t="n"/>
      <c r="AG204" s="263" t="n"/>
      <c r="AH204" s="263" t="n"/>
      <c r="AI204" s="263" t="n"/>
      <c r="AJ204" s="263" t="n"/>
      <c r="AK204" s="263" t="n"/>
    </row>
    <row r="205">
      <c r="A205" s="263" t="inlineStr">
        <is>
          <t>방이동</t>
        </is>
      </c>
      <c r="B205" s="263" t="n"/>
      <c r="C205" s="263" t="n"/>
      <c r="D205" s="263" t="n">
        <v>613</v>
      </c>
      <c r="E205" s="264" t="inlineStr">
        <is>
          <t>잠실(방이)한양3차</t>
        </is>
      </c>
      <c r="F205" s="263" t="n">
        <v>126</v>
      </c>
      <c r="G205" s="263" t="n"/>
      <c r="H205" s="263" t="n"/>
      <c r="I205" s="263">
        <f>G205-H205</f>
        <v/>
      </c>
      <c r="J205" s="323">
        <f>H205/G205</f>
        <v/>
      </c>
      <c r="K205" s="263" t="n">
        <v>1985.02</v>
      </c>
      <c r="L205" s="263" t="n">
        <v>252</v>
      </c>
      <c r="M205" s="263">
        <f>2026-INT(K205)+1</f>
        <v/>
      </c>
      <c r="N205" s="263" t="n">
        <v>112</v>
      </c>
      <c r="O205" s="263" t="n"/>
      <c r="P205" s="263" t="n">
        <v>148</v>
      </c>
      <c r="Q205" s="263" t="n">
        <v>45</v>
      </c>
      <c r="R205" s="263" t="inlineStr">
        <is>
          <t>계단식</t>
        </is>
      </c>
      <c r="S205" s="263" t="n">
        <v>4</v>
      </c>
      <c r="T205" s="263" t="n">
        <v>2</v>
      </c>
      <c r="U205" s="263" t="n">
        <v>19.95</v>
      </c>
      <c r="V205" s="263" t="n">
        <v>17.25</v>
      </c>
      <c r="W205" s="263" t="inlineStr">
        <is>
          <t>계단식</t>
        </is>
      </c>
      <c r="X205" s="263" t="n">
        <v>4</v>
      </c>
      <c r="Y205" s="263" t="n">
        <v>2</v>
      </c>
      <c r="Z205" s="263" t="n">
        <v>112</v>
      </c>
      <c r="AA205" s="263" t="n"/>
      <c r="AB205" s="263" t="n"/>
      <c r="AC205" s="263" t="n"/>
      <c r="AD205" s="263" t="n"/>
      <c r="AE205" s="263" t="n"/>
      <c r="AF205" s="263" t="n"/>
      <c r="AG205" s="263" t="n"/>
      <c r="AH205" s="263" t="n"/>
      <c r="AI205" s="263" t="n"/>
      <c r="AJ205" s="263" t="n"/>
      <c r="AK205" s="263" t="n"/>
    </row>
    <row r="206">
      <c r="A206" s="263" t="inlineStr">
        <is>
          <t>방이동</t>
        </is>
      </c>
      <c r="B206" s="263" t="n"/>
      <c r="C206" s="263" t="n"/>
      <c r="D206" s="263" t="n">
        <v>613</v>
      </c>
      <c r="E206" s="264" t="inlineStr">
        <is>
          <t>잠실(방이)한양3차</t>
        </is>
      </c>
      <c r="F206" s="263" t="n">
        <v>146</v>
      </c>
      <c r="G206" s="263" t="n"/>
      <c r="H206" s="263" t="n"/>
      <c r="I206" s="263">
        <f>G206-H206</f>
        <v/>
      </c>
      <c r="J206" s="323">
        <f>H206/G206</f>
        <v/>
      </c>
      <c r="K206" s="263" t="n">
        <v>1985.02</v>
      </c>
      <c r="L206" s="263" t="n">
        <v>252</v>
      </c>
      <c r="M206" s="263">
        <f>2026-INT(K206)+1</f>
        <v/>
      </c>
      <c r="N206" s="263" t="n">
        <v>56</v>
      </c>
      <c r="O206" s="263" t="n"/>
      <c r="P206" s="263" t="n">
        <v>169</v>
      </c>
      <c r="Q206" s="263" t="n">
        <v>51</v>
      </c>
      <c r="R206" s="263" t="inlineStr">
        <is>
          <t>계단식</t>
        </is>
      </c>
      <c r="S206" s="263" t="n">
        <v>4</v>
      </c>
      <c r="T206" s="263" t="n">
        <v>2</v>
      </c>
      <c r="U206" s="263" t="n"/>
      <c r="V206" s="263" t="n"/>
      <c r="W206" s="263" t="inlineStr">
        <is>
          <t>계단식</t>
        </is>
      </c>
      <c r="X206" s="263" t="n">
        <v>4</v>
      </c>
      <c r="Y206" s="263" t="n">
        <v>2</v>
      </c>
      <c r="Z206" s="263" t="n">
        <v>56</v>
      </c>
      <c r="AA206" s="263" t="n"/>
      <c r="AB206" s="263" t="n"/>
      <c r="AC206" s="263" t="n"/>
      <c r="AD206" s="263" t="n"/>
      <c r="AE206" s="263" t="n"/>
      <c r="AF206" s="263" t="n"/>
      <c r="AG206" s="263" t="n"/>
      <c r="AH206" s="263" t="n"/>
      <c r="AI206" s="263" t="n"/>
      <c r="AJ206" s="263" t="n"/>
      <c r="AK206" s="263" t="n"/>
    </row>
    <row r="207" ht="14" customHeight="1" s="476">
      <c r="A207" s="458" t="inlineStr">
        <is>
          <t>방이동</t>
        </is>
      </c>
      <c r="D207" s="458" t="n">
        <v>612</v>
      </c>
      <c r="E207" s="146" t="inlineStr">
        <is>
          <t>코오롱</t>
        </is>
      </c>
      <c r="F207" s="458" t="n">
        <v>62</v>
      </c>
      <c r="G207" s="458" t="n">
        <v>88001</v>
      </c>
      <c r="H207" s="458" t="n">
        <v>42001</v>
      </c>
      <c r="I207" s="263">
        <f>G207-H207</f>
        <v/>
      </c>
      <c r="J207" s="323">
        <f>H207/G207</f>
        <v/>
      </c>
      <c r="K207" s="458" t="n">
        <v>1991.1</v>
      </c>
      <c r="L207" s="458" t="n">
        <v>758</v>
      </c>
      <c r="M207" s="458">
        <f>2026-INT(K207)+1</f>
        <v/>
      </c>
      <c r="N207" s="458" t="n">
        <v>1</v>
      </c>
      <c r="P207" s="458" t="n">
        <v>80</v>
      </c>
      <c r="Q207" s="458" t="n">
        <v>24</v>
      </c>
      <c r="R207" s="458" t="inlineStr">
        <is>
          <t>계단식</t>
        </is>
      </c>
      <c r="S207" s="458" t="n">
        <v>3</v>
      </c>
      <c r="T207" s="458" t="n">
        <v>1</v>
      </c>
      <c r="U207" s="458" t="n"/>
      <c r="V207" s="458" t="n"/>
      <c r="W207" s="458" t="inlineStr">
        <is>
          <t>계단식</t>
        </is>
      </c>
      <c r="X207" s="458" t="n">
        <v>3</v>
      </c>
      <c r="Y207" s="458" t="n">
        <v>1</v>
      </c>
      <c r="Z207" s="458" t="n">
        <v>1</v>
      </c>
    </row>
    <row r="208" ht="14" customHeight="1" s="476">
      <c r="A208" s="458" t="inlineStr">
        <is>
          <t>방이동</t>
        </is>
      </c>
      <c r="D208" s="458" t="n">
        <v>612</v>
      </c>
      <c r="E208" s="265" t="inlineStr">
        <is>
          <t>코오롱</t>
        </is>
      </c>
      <c r="F208" s="458" t="n">
        <v>84</v>
      </c>
      <c r="G208" s="458" t="n">
        <v>210000</v>
      </c>
      <c r="H208" s="458" t="n">
        <v>77001</v>
      </c>
      <c r="I208" s="263">
        <f>G208-H208</f>
        <v/>
      </c>
      <c r="J208" s="323">
        <f>H208/G208</f>
        <v/>
      </c>
      <c r="K208" s="458" t="n">
        <v>1991.1</v>
      </c>
      <c r="L208" s="458" t="n">
        <v>758</v>
      </c>
      <c r="M208" s="458">
        <f>2026-INT(K208)+1</f>
        <v/>
      </c>
      <c r="N208" s="458" t="n">
        <v>757</v>
      </c>
      <c r="P208" s="458" t="n">
        <v>108</v>
      </c>
      <c r="Q208" s="458" t="n">
        <v>33</v>
      </c>
      <c r="R208" s="458" t="inlineStr">
        <is>
          <t>계단식</t>
        </is>
      </c>
      <c r="S208" s="458" t="n">
        <v>3</v>
      </c>
      <c r="T208" s="458" t="n">
        <v>2</v>
      </c>
      <c r="U208" s="458" t="n">
        <v>15.9</v>
      </c>
      <c r="V208" s="458" t="n">
        <v>9.48</v>
      </c>
      <c r="W208" s="458" t="inlineStr">
        <is>
          <t>계단식</t>
        </is>
      </c>
      <c r="X208" s="458" t="n">
        <v>3</v>
      </c>
      <c r="Y208" s="458" t="n">
        <v>2</v>
      </c>
      <c r="Z208" s="458" t="n">
        <v>757</v>
      </c>
    </row>
    <row r="209">
      <c r="A209" s="266" t="inlineStr">
        <is>
          <t>석촌동</t>
        </is>
      </c>
      <c r="B209" s="263" t="n"/>
      <c r="C209" s="263" t="n"/>
      <c r="D209" s="266" t="n">
        <v>3751</v>
      </c>
      <c r="E209" s="269" t="inlineStr">
        <is>
          <t>잠실한솔</t>
        </is>
      </c>
      <c r="F209" s="266" t="n">
        <v>59</v>
      </c>
      <c r="G209" s="263" t="n">
        <v>158501</v>
      </c>
      <c r="H209" s="263" t="n">
        <v>68001</v>
      </c>
      <c r="I209" s="263">
        <f>G209-H209</f>
        <v/>
      </c>
      <c r="J209" s="323">
        <f>H209/G209</f>
        <v/>
      </c>
      <c r="K209" s="266" t="n">
        <v>2000.1</v>
      </c>
      <c r="L209" s="266" t="n">
        <v>393</v>
      </c>
      <c r="M209" s="266">
        <f>2026-INT(K209)+1</f>
        <v/>
      </c>
      <c r="N209" s="266" t="n">
        <v>86</v>
      </c>
      <c r="O209" s="263" t="n"/>
      <c r="P209" s="266" t="n">
        <v>77</v>
      </c>
      <c r="Q209" s="266" t="n">
        <v>23</v>
      </c>
      <c r="R209" s="266" t="inlineStr">
        <is>
          <t>계단식</t>
        </is>
      </c>
      <c r="S209" s="266" t="n">
        <v>3</v>
      </c>
      <c r="T209" s="266" t="n">
        <v>1</v>
      </c>
      <c r="U209" s="266" t="n">
        <v>13.4</v>
      </c>
      <c r="V209" s="266" t="n">
        <v>8.35</v>
      </c>
      <c r="W209" s="266" t="inlineStr">
        <is>
          <t>계단식</t>
        </is>
      </c>
      <c r="X209" s="266" t="n">
        <v>3</v>
      </c>
      <c r="Y209" s="266" t="n">
        <v>1</v>
      </c>
      <c r="Z209" s="266" t="n">
        <v>86</v>
      </c>
      <c r="AA209" s="263" t="n"/>
      <c r="AB209" s="263" t="n"/>
      <c r="AC209" s="263" t="n"/>
      <c r="AD209" s="263" t="n"/>
      <c r="AE209" s="263" t="n"/>
      <c r="AF209" s="263" t="n"/>
      <c r="AG209" s="263" t="n"/>
      <c r="AH209" s="263" t="n"/>
      <c r="AI209" s="263" t="n"/>
      <c r="AJ209" s="263" t="n"/>
      <c r="AK209" s="263" t="n"/>
    </row>
    <row r="210">
      <c r="A210" s="266" t="inlineStr">
        <is>
          <t>석촌동</t>
        </is>
      </c>
      <c r="B210" s="263" t="n"/>
      <c r="C210" s="263" t="n"/>
      <c r="D210" s="266" t="n">
        <v>3751</v>
      </c>
      <c r="E210" s="264" t="inlineStr">
        <is>
          <t>잠실한솔</t>
        </is>
      </c>
      <c r="F210" s="266" t="n">
        <v>84</v>
      </c>
      <c r="G210" s="263" t="n">
        <v>185000</v>
      </c>
      <c r="H210" s="263" t="n">
        <v>85001</v>
      </c>
      <c r="I210" s="263">
        <f>G210-H210</f>
        <v/>
      </c>
      <c r="J210" s="323">
        <f>H210/G210</f>
        <v/>
      </c>
      <c r="K210" s="266" t="n">
        <v>2000.1</v>
      </c>
      <c r="L210" s="266" t="n">
        <v>393</v>
      </c>
      <c r="M210" s="266">
        <f>2026-INT(K210)+1</f>
        <v/>
      </c>
      <c r="N210" s="266" t="n">
        <v>307</v>
      </c>
      <c r="O210" s="263" t="n"/>
      <c r="P210" s="266" t="n">
        <v>109</v>
      </c>
      <c r="Q210" s="266" t="n">
        <v>33</v>
      </c>
      <c r="R210" s="266" t="inlineStr">
        <is>
          <t>계단식</t>
        </is>
      </c>
      <c r="S210" s="266" t="n">
        <v>3</v>
      </c>
      <c r="T210" s="266" t="n">
        <v>2</v>
      </c>
      <c r="U210" s="266" t="n">
        <v>13.7</v>
      </c>
      <c r="V210" s="266" t="n">
        <v>12.8</v>
      </c>
      <c r="W210" s="266" t="inlineStr">
        <is>
          <t>계단식</t>
        </is>
      </c>
      <c r="X210" s="266" t="n">
        <v>3</v>
      </c>
      <c r="Y210" s="266" t="n">
        <v>2</v>
      </c>
      <c r="Z210" s="266" t="n">
        <v>307</v>
      </c>
      <c r="AA210" s="263" t="n"/>
      <c r="AB210" s="263" t="n"/>
      <c r="AC210" s="263" t="n"/>
      <c r="AD210" s="263" t="n"/>
      <c r="AE210" s="263" t="n"/>
      <c r="AF210" s="263" t="n"/>
      <c r="AG210" s="263" t="n"/>
      <c r="AH210" s="263" t="n"/>
      <c r="AI210" s="263" t="n"/>
      <c r="AJ210" s="263" t="n"/>
      <c r="AK210" s="263" t="n"/>
    </row>
    <row r="211">
      <c r="A211" s="458" t="inlineStr">
        <is>
          <t>송파동</t>
        </is>
      </c>
      <c r="D211" s="458" t="n">
        <v>615</v>
      </c>
      <c r="E211" s="265" t="inlineStr">
        <is>
          <t>가락삼익맨숀</t>
        </is>
      </c>
      <c r="F211" s="458" t="n">
        <v>84</v>
      </c>
      <c r="G211" s="263" t="n">
        <v>269000</v>
      </c>
      <c r="H211" s="263" t="n">
        <v>45101</v>
      </c>
      <c r="I211" s="263">
        <f>G211-H211</f>
        <v/>
      </c>
      <c r="J211" s="323">
        <f>H211/G211</f>
        <v/>
      </c>
      <c r="K211" s="458" t="n">
        <v>1984.12</v>
      </c>
      <c r="L211" s="458" t="n">
        <v>936</v>
      </c>
      <c r="M211" s="458">
        <f>2026-INT(K211)+1</f>
        <v/>
      </c>
      <c r="N211" s="458" t="n">
        <v>408</v>
      </c>
      <c r="P211" s="458" t="n">
        <v>102</v>
      </c>
      <c r="Q211" s="458" t="n">
        <v>31</v>
      </c>
      <c r="R211" s="458" t="inlineStr">
        <is>
          <t>계단식</t>
        </is>
      </c>
      <c r="S211" s="458" t="n">
        <v>3</v>
      </c>
      <c r="T211" s="458" t="n">
        <v>1</v>
      </c>
      <c r="U211" s="458" t="n">
        <v>16.38</v>
      </c>
      <c r="V211" s="458" t="n">
        <v>13.6</v>
      </c>
      <c r="W211" s="458" t="inlineStr">
        <is>
          <t>계단식</t>
        </is>
      </c>
      <c r="X211" s="458" t="n">
        <v>3</v>
      </c>
      <c r="Y211" s="458" t="n">
        <v>1</v>
      </c>
      <c r="Z211" s="458" t="n">
        <v>408</v>
      </c>
    </row>
    <row r="212">
      <c r="A212" s="458" t="inlineStr">
        <is>
          <t>송파동</t>
        </is>
      </c>
      <c r="D212" s="458" t="n">
        <v>615</v>
      </c>
      <c r="E212" s="265" t="inlineStr">
        <is>
          <t>가락삼익맨숀</t>
        </is>
      </c>
      <c r="F212" s="458" t="n">
        <v>108</v>
      </c>
      <c r="I212" s="263">
        <f>G212-H212</f>
        <v/>
      </c>
      <c r="J212" s="323">
        <f>H212/G212</f>
        <v/>
      </c>
      <c r="K212" s="458" t="n">
        <v>1984.12</v>
      </c>
      <c r="L212" s="458" t="n">
        <v>936</v>
      </c>
      <c r="M212" s="458">
        <f>2026-INT(K212)+1</f>
        <v/>
      </c>
      <c r="N212" s="458" t="n">
        <v>288</v>
      </c>
      <c r="P212" s="458" t="n">
        <v>127</v>
      </c>
      <c r="Q212" s="458" t="n">
        <v>38</v>
      </c>
      <c r="R212" s="458" t="inlineStr">
        <is>
          <t>계단식</t>
        </is>
      </c>
      <c r="S212" s="458" t="n">
        <v>4</v>
      </c>
      <c r="T212" s="458" t="n">
        <v>2</v>
      </c>
      <c r="U212" s="458" t="n">
        <v>19.8</v>
      </c>
      <c r="V212" s="458" t="n">
        <v>14.05</v>
      </c>
      <c r="W212" s="458" t="inlineStr">
        <is>
          <t>계단식</t>
        </is>
      </c>
      <c r="X212" s="458" t="n">
        <v>4</v>
      </c>
      <c r="Y212" s="458" t="n">
        <v>2</v>
      </c>
      <c r="Z212" s="458" t="n">
        <v>288</v>
      </c>
    </row>
    <row r="213">
      <c r="A213" s="458" t="inlineStr">
        <is>
          <t>송파동</t>
        </is>
      </c>
      <c r="D213" s="458" t="n">
        <v>615</v>
      </c>
      <c r="E213" s="265" t="inlineStr">
        <is>
          <t>가락삼익맨숀</t>
        </is>
      </c>
      <c r="F213" s="458" t="n">
        <v>127</v>
      </c>
      <c r="I213" s="263">
        <f>G213-H213</f>
        <v/>
      </c>
      <c r="J213" s="323">
        <f>H213/G213</f>
        <v/>
      </c>
      <c r="K213" s="458" t="n">
        <v>1984.12</v>
      </c>
      <c r="L213" s="458" t="n">
        <v>936</v>
      </c>
      <c r="M213" s="458">
        <f>2026-INT(K213)+1</f>
        <v/>
      </c>
      <c r="N213" s="458" t="n">
        <v>144</v>
      </c>
      <c r="P213" s="458" t="n">
        <v>148</v>
      </c>
      <c r="Q213" s="458" t="n">
        <v>45</v>
      </c>
      <c r="R213" s="458" t="inlineStr">
        <is>
          <t>계단식</t>
        </is>
      </c>
      <c r="S213" s="458" t="n">
        <v>4</v>
      </c>
      <c r="T213" s="458" t="n">
        <v>2</v>
      </c>
      <c r="U213" s="458" t="n">
        <v>20.75</v>
      </c>
      <c r="W213" s="458" t="inlineStr">
        <is>
          <t>계단식</t>
        </is>
      </c>
      <c r="X213" s="458" t="n">
        <v>4</v>
      </c>
      <c r="Y213" s="458" t="n">
        <v>2</v>
      </c>
      <c r="Z213" s="458" t="n">
        <v>144</v>
      </c>
    </row>
    <row r="214">
      <c r="A214" s="458" t="inlineStr">
        <is>
          <t>송파동</t>
        </is>
      </c>
      <c r="D214" s="458" t="n">
        <v>615</v>
      </c>
      <c r="E214" s="265" t="inlineStr">
        <is>
          <t>가락삼익맨숀</t>
        </is>
      </c>
      <c r="F214" s="458" t="n">
        <v>151</v>
      </c>
      <c r="I214" s="263">
        <f>G214-H214</f>
        <v/>
      </c>
      <c r="J214" s="323">
        <f>H214/G214</f>
        <v/>
      </c>
      <c r="K214" s="458" t="n">
        <v>1984.12</v>
      </c>
      <c r="L214" s="458" t="n">
        <v>936</v>
      </c>
      <c r="M214" s="458">
        <f>2026-INT(K214)+1</f>
        <v/>
      </c>
      <c r="N214" s="458" t="n">
        <v>96</v>
      </c>
      <c r="P214" s="458" t="n">
        <v>174</v>
      </c>
      <c r="Q214" s="458" t="n">
        <v>53</v>
      </c>
      <c r="R214" s="458" t="inlineStr">
        <is>
          <t>계단식</t>
        </is>
      </c>
      <c r="S214" s="458" t="n">
        <v>5</v>
      </c>
      <c r="T214" s="458" t="n">
        <v>2</v>
      </c>
      <c r="V214" s="458" t="n">
        <v>16.9</v>
      </c>
      <c r="W214" s="458" t="inlineStr">
        <is>
          <t>계단식</t>
        </is>
      </c>
      <c r="X214" s="458" t="n">
        <v>5</v>
      </c>
      <c r="Y214" s="458" t="n">
        <v>2</v>
      </c>
      <c r="Z214" s="458" t="n">
        <v>96</v>
      </c>
    </row>
    <row r="215">
      <c r="A215" s="263" t="inlineStr">
        <is>
          <t>송파동</t>
        </is>
      </c>
      <c r="B215" s="263" t="n"/>
      <c r="C215" s="263" t="n"/>
      <c r="D215" s="263" t="n">
        <v>103139</v>
      </c>
      <c r="E215" s="269" t="inlineStr">
        <is>
          <t>래미안송파파인탑</t>
        </is>
      </c>
      <c r="F215" s="263" t="n">
        <v>53</v>
      </c>
      <c r="G215" s="263" t="n">
        <v>207000</v>
      </c>
      <c r="H215" s="263" t="n">
        <v>85000</v>
      </c>
      <c r="I215" s="263">
        <f>G215-H215</f>
        <v/>
      </c>
      <c r="J215" s="323">
        <f>H215/G215</f>
        <v/>
      </c>
      <c r="K215" s="263" t="n">
        <v>2012.01</v>
      </c>
      <c r="L215" s="263" t="n">
        <v>794</v>
      </c>
      <c r="M215" s="263">
        <f>2026-INT(K215)+1</f>
        <v/>
      </c>
      <c r="N215" s="263" t="n">
        <v>164</v>
      </c>
      <c r="O215" s="263" t="n"/>
      <c r="P215" s="263" t="n">
        <v>75</v>
      </c>
      <c r="Q215" s="263" t="n">
        <v>23</v>
      </c>
      <c r="R215" s="263" t="inlineStr">
        <is>
          <t>계단식</t>
        </is>
      </c>
      <c r="S215" s="263" t="n">
        <v>3</v>
      </c>
      <c r="T215" s="263" t="n">
        <v>2</v>
      </c>
      <c r="U215" s="263" t="n">
        <v>15.85</v>
      </c>
      <c r="V215" s="263" t="n">
        <v>11.8</v>
      </c>
      <c r="W215" s="263" t="inlineStr">
        <is>
          <t>계단식</t>
        </is>
      </c>
      <c r="X215" s="263" t="n">
        <v>3</v>
      </c>
      <c r="Y215" s="263" t="n">
        <v>2</v>
      </c>
      <c r="Z215" s="263" t="n">
        <v>164</v>
      </c>
      <c r="AA215" s="263" t="n"/>
      <c r="AB215" s="263" t="n"/>
      <c r="AC215" s="263" t="n"/>
      <c r="AD215" s="263" t="n"/>
      <c r="AE215" s="263" t="n"/>
      <c r="AF215" s="263" t="n"/>
      <c r="AG215" s="263" t="n"/>
      <c r="AH215" s="263" t="n"/>
      <c r="AI215" s="263" t="n"/>
      <c r="AJ215" s="263" t="n"/>
      <c r="AK215" s="263" t="n"/>
    </row>
    <row r="216">
      <c r="A216" s="263" t="inlineStr">
        <is>
          <t>송파동</t>
        </is>
      </c>
      <c r="B216" s="263" t="n"/>
      <c r="C216" s="263" t="n"/>
      <c r="D216" s="263" t="n">
        <v>103139</v>
      </c>
      <c r="E216" s="264" t="inlineStr">
        <is>
          <t>래미안송파파인탑</t>
        </is>
      </c>
      <c r="F216" s="263" t="n">
        <v>64</v>
      </c>
      <c r="G216" s="263" t="n">
        <v>219000</v>
      </c>
      <c r="H216" s="263" t="n">
        <v>90001</v>
      </c>
      <c r="I216" s="263">
        <f>G216-H216</f>
        <v/>
      </c>
      <c r="J216" s="323">
        <f>H216/G216</f>
        <v/>
      </c>
      <c r="K216" s="263" t="n">
        <v>2012.01</v>
      </c>
      <c r="L216" s="263" t="n">
        <v>794</v>
      </c>
      <c r="M216" s="263">
        <f>2026-INT(K216)+1</f>
        <v/>
      </c>
      <c r="N216" s="263" t="n">
        <v>252</v>
      </c>
      <c r="O216" s="263" t="n"/>
      <c r="P216" s="263" t="n">
        <v>88</v>
      </c>
      <c r="Q216" s="263" t="n">
        <v>27</v>
      </c>
      <c r="R216" s="263" t="inlineStr">
        <is>
          <t>계단식</t>
        </is>
      </c>
      <c r="S216" s="263" t="n">
        <v>3</v>
      </c>
      <c r="T216" s="263" t="n">
        <v>2</v>
      </c>
      <c r="U216" s="263" t="n">
        <v>16.6</v>
      </c>
      <c r="V216" s="263" t="n">
        <v>12.8</v>
      </c>
      <c r="W216" s="263" t="inlineStr">
        <is>
          <t>계단식</t>
        </is>
      </c>
      <c r="X216" s="263" t="n">
        <v>3</v>
      </c>
      <c r="Y216" s="263" t="n">
        <v>2</v>
      </c>
      <c r="Z216" s="263" t="n">
        <v>252</v>
      </c>
      <c r="AA216" s="263" t="n"/>
      <c r="AB216" s="263" t="n"/>
      <c r="AC216" s="263" t="n"/>
      <c r="AD216" s="263" t="n"/>
      <c r="AE216" s="263" t="n"/>
      <c r="AF216" s="263" t="n"/>
      <c r="AG216" s="263" t="n"/>
      <c r="AH216" s="263" t="n"/>
      <c r="AI216" s="263" t="n"/>
      <c r="AJ216" s="263" t="n"/>
      <c r="AK216" s="263" t="n"/>
    </row>
    <row r="217">
      <c r="A217" s="266" t="inlineStr">
        <is>
          <t>송파동</t>
        </is>
      </c>
      <c r="B217" s="263" t="n"/>
      <c r="C217" s="263" t="n"/>
      <c r="D217" s="266" t="n">
        <v>103139</v>
      </c>
      <c r="E217" s="264" t="inlineStr">
        <is>
          <t>래미안송파파인탑</t>
        </is>
      </c>
      <c r="F217" s="266" t="n">
        <v>71</v>
      </c>
      <c r="G217" s="263" t="n">
        <v>219001</v>
      </c>
      <c r="H217" s="263" t="n">
        <v>95001</v>
      </c>
      <c r="I217" s="263">
        <f>G217-H217</f>
        <v/>
      </c>
      <c r="J217" s="323">
        <f>H217/G217</f>
        <v/>
      </c>
      <c r="K217" s="266" t="n">
        <v>2012.01</v>
      </c>
      <c r="L217" s="266" t="n">
        <v>794</v>
      </c>
      <c r="M217" s="266">
        <f>2026-INT(K217)+1</f>
        <v/>
      </c>
      <c r="N217" s="266" t="n">
        <v>174</v>
      </c>
      <c r="O217" s="263" t="n"/>
      <c r="P217" s="266" t="n">
        <v>94</v>
      </c>
      <c r="Q217" s="266" t="n">
        <v>28</v>
      </c>
      <c r="R217" s="266" t="inlineStr">
        <is>
          <t>계단식</t>
        </is>
      </c>
      <c r="S217" s="266" t="n">
        <v>3</v>
      </c>
      <c r="T217" s="266" t="n">
        <v>2</v>
      </c>
      <c r="U217" s="263" t="n">
        <v>16.6</v>
      </c>
      <c r="V217" s="263" t="n">
        <v>13</v>
      </c>
      <c r="W217" s="266" t="inlineStr">
        <is>
          <t>계단식</t>
        </is>
      </c>
      <c r="X217" s="266" t="n">
        <v>3</v>
      </c>
      <c r="Y217" s="266" t="n">
        <v>2</v>
      </c>
      <c r="Z217" s="266" t="n">
        <v>174</v>
      </c>
      <c r="AA217" s="263" t="n"/>
      <c r="AB217" s="263" t="n"/>
      <c r="AC217" s="263" t="n"/>
      <c r="AD217" s="263" t="n"/>
      <c r="AE217" s="263" t="n"/>
      <c r="AF217" s="263" t="n"/>
      <c r="AG217" s="263" t="n"/>
      <c r="AH217" s="263" t="n"/>
      <c r="AI217" s="263" t="n"/>
      <c r="AJ217" s="263" t="n"/>
      <c r="AK217" s="263" t="n"/>
    </row>
    <row r="218">
      <c r="A218" s="266" t="inlineStr">
        <is>
          <t>송파동</t>
        </is>
      </c>
      <c r="B218" s="263" t="n"/>
      <c r="C218" s="263" t="n"/>
      <c r="D218" s="266" t="n">
        <v>103139</v>
      </c>
      <c r="E218" s="264" t="inlineStr">
        <is>
          <t>래미안송파파인탑</t>
        </is>
      </c>
      <c r="F218" s="266" t="n">
        <v>87</v>
      </c>
      <c r="G218" s="263" t="n">
        <v>26000</v>
      </c>
      <c r="H218" s="263" t="n">
        <v>10000</v>
      </c>
      <c r="I218" s="263">
        <f>G218-H218</f>
        <v/>
      </c>
      <c r="J218" s="323">
        <f>H218/G218</f>
        <v/>
      </c>
      <c r="K218" s="266" t="n">
        <v>2012.01</v>
      </c>
      <c r="L218" s="266" t="n">
        <v>794</v>
      </c>
      <c r="M218" s="266">
        <f>2026-INT(K218)+1</f>
        <v/>
      </c>
      <c r="N218" s="266" t="n">
        <v>179</v>
      </c>
      <c r="O218" s="263" t="n"/>
      <c r="P218" s="266" t="n">
        <v>111</v>
      </c>
      <c r="Q218" s="266" t="n">
        <v>34</v>
      </c>
      <c r="R218" s="266" t="inlineStr">
        <is>
          <t>계단식</t>
        </is>
      </c>
      <c r="S218" s="266" t="n">
        <v>3</v>
      </c>
      <c r="T218" s="266" t="n">
        <v>2</v>
      </c>
      <c r="U218" s="263" t="n">
        <v>17.65</v>
      </c>
      <c r="V218" s="263" t="n">
        <v>14.4</v>
      </c>
      <c r="W218" s="266" t="inlineStr">
        <is>
          <t>계단식</t>
        </is>
      </c>
      <c r="X218" s="266" t="n">
        <v>3</v>
      </c>
      <c r="Y218" s="266" t="n">
        <v>2</v>
      </c>
      <c r="Z218" s="266" t="n">
        <v>179</v>
      </c>
      <c r="AA218" s="263" t="n"/>
      <c r="AB218" s="263" t="n"/>
      <c r="AC218" s="263" t="n"/>
      <c r="AD218" s="263" t="n"/>
      <c r="AE218" s="263" t="n"/>
      <c r="AF218" s="263" t="n"/>
      <c r="AG218" s="263" t="n"/>
      <c r="AH218" s="263" t="n"/>
      <c r="AI218" s="263" t="n"/>
      <c r="AJ218" s="263" t="n"/>
      <c r="AK218" s="263" t="n"/>
    </row>
    <row r="219">
      <c r="A219" s="458" t="inlineStr">
        <is>
          <t>송파동</t>
        </is>
      </c>
      <c r="D219" s="458" t="n">
        <v>614</v>
      </c>
      <c r="E219" s="265" t="inlineStr">
        <is>
          <t>미성맨션</t>
        </is>
      </c>
      <c r="F219" s="458" t="n">
        <v>58</v>
      </c>
      <c r="G219" s="263" t="n">
        <v>200000</v>
      </c>
      <c r="H219" s="263" t="n">
        <v>50001</v>
      </c>
      <c r="I219" s="263">
        <f>G219-H219</f>
        <v/>
      </c>
      <c r="J219" s="323">
        <f>H219/G219</f>
        <v/>
      </c>
      <c r="K219" s="458" t="n">
        <v>1985.01</v>
      </c>
      <c r="L219" s="458" t="n">
        <v>378</v>
      </c>
      <c r="M219" s="458">
        <f>2026-INT(K219)+1</f>
        <v/>
      </c>
      <c r="N219" s="458" t="n">
        <v>42</v>
      </c>
      <c r="P219" s="458" t="n">
        <v>89</v>
      </c>
      <c r="Q219" s="458" t="n">
        <v>27</v>
      </c>
      <c r="R219" s="458" t="inlineStr">
        <is>
          <t>계단식</t>
        </is>
      </c>
      <c r="S219" s="458" t="n">
        <v>2</v>
      </c>
      <c r="T219" s="458" t="n">
        <v>1</v>
      </c>
      <c r="U219" s="458" t="n">
        <v>12.8</v>
      </c>
      <c r="V219" s="458" t="n">
        <v>9.699999999999999</v>
      </c>
      <c r="W219" s="458" t="inlineStr">
        <is>
          <t>계단식</t>
        </is>
      </c>
      <c r="X219" s="458" t="n">
        <v>2</v>
      </c>
      <c r="Y219" s="458" t="n">
        <v>1</v>
      </c>
      <c r="Z219" s="458" t="n">
        <v>42</v>
      </c>
    </row>
    <row r="220">
      <c r="A220" s="458" t="inlineStr">
        <is>
          <t>송파동</t>
        </is>
      </c>
      <c r="D220" s="458" t="n">
        <v>614</v>
      </c>
      <c r="E220" s="265" t="inlineStr">
        <is>
          <t>미성맨션</t>
        </is>
      </c>
      <c r="F220" s="458" t="n">
        <v>84</v>
      </c>
      <c r="G220" s="263" t="n">
        <v>220001</v>
      </c>
      <c r="H220" s="263" t="n">
        <v>68001</v>
      </c>
      <c r="I220" s="263">
        <f>G220-H220</f>
        <v/>
      </c>
      <c r="J220" s="323">
        <f>H220/G220</f>
        <v/>
      </c>
      <c r="K220" s="458" t="n">
        <v>1985.01</v>
      </c>
      <c r="L220" s="458" t="n">
        <v>378</v>
      </c>
      <c r="M220" s="458">
        <f>2026-INT(K220)+1</f>
        <v/>
      </c>
      <c r="N220" s="458" t="n">
        <v>56</v>
      </c>
      <c r="P220" s="458" t="n">
        <v>103</v>
      </c>
      <c r="Q220" s="458" t="n">
        <v>31</v>
      </c>
      <c r="R220" s="458" t="inlineStr">
        <is>
          <t>계단식</t>
        </is>
      </c>
      <c r="S220" s="458" t="n">
        <v>3</v>
      </c>
      <c r="T220" s="458" t="n">
        <v>1</v>
      </c>
      <c r="U220" s="458" t="n">
        <v>16.33</v>
      </c>
      <c r="V220" s="458" t="n">
        <v>12.85</v>
      </c>
      <c r="W220" s="458" t="inlineStr">
        <is>
          <t>계단식</t>
        </is>
      </c>
      <c r="X220" s="458" t="n">
        <v>3</v>
      </c>
      <c r="Y220" s="458" t="n">
        <v>1</v>
      </c>
      <c r="Z220" s="458" t="n">
        <v>56</v>
      </c>
    </row>
    <row r="221">
      <c r="A221" s="458" t="inlineStr">
        <is>
          <t>송파동</t>
        </is>
      </c>
      <c r="D221" s="458" t="n">
        <v>614</v>
      </c>
      <c r="E221" s="265" t="inlineStr">
        <is>
          <t>미성맨션</t>
        </is>
      </c>
      <c r="F221" s="458" t="n">
        <v>116</v>
      </c>
      <c r="I221" s="263">
        <f>G221-H221</f>
        <v/>
      </c>
      <c r="J221" s="323">
        <f>H221/G221</f>
        <v/>
      </c>
      <c r="K221" s="458" t="n">
        <v>1985.01</v>
      </c>
      <c r="L221" s="458" t="n">
        <v>378</v>
      </c>
      <c r="M221" s="458">
        <f>2026-INT(K221)+1</f>
        <v/>
      </c>
      <c r="N221" s="458" t="n">
        <v>168</v>
      </c>
      <c r="P221" s="458" t="n">
        <v>137</v>
      </c>
      <c r="Q221" s="458" t="n">
        <v>41</v>
      </c>
      <c r="R221" s="458" t="inlineStr">
        <is>
          <t>계단식</t>
        </is>
      </c>
      <c r="S221" s="458" t="n">
        <v>4</v>
      </c>
      <c r="T221" s="458" t="n">
        <v>2</v>
      </c>
      <c r="U221" s="458" t="n">
        <v>19</v>
      </c>
      <c r="V221" s="458" t="n">
        <v>15</v>
      </c>
      <c r="W221" s="458" t="inlineStr">
        <is>
          <t>계단식</t>
        </is>
      </c>
      <c r="X221" s="458" t="n">
        <v>4</v>
      </c>
      <c r="Y221" s="458" t="n">
        <v>2</v>
      </c>
      <c r="Z221" s="458" t="n">
        <v>168</v>
      </c>
    </row>
    <row r="222">
      <c r="A222" s="458" t="inlineStr">
        <is>
          <t>송파동</t>
        </is>
      </c>
      <c r="D222" s="458" t="n">
        <v>614</v>
      </c>
      <c r="E222" s="265" t="inlineStr">
        <is>
          <t>미성맨션</t>
        </is>
      </c>
      <c r="F222" s="458" t="n">
        <v>169</v>
      </c>
      <c r="I222" s="263">
        <f>G222-H222</f>
        <v/>
      </c>
      <c r="J222" s="323">
        <f>H222/G222</f>
        <v/>
      </c>
      <c r="K222" s="458" t="n">
        <v>1985.01</v>
      </c>
      <c r="L222" s="458" t="n">
        <v>378</v>
      </c>
      <c r="M222" s="458">
        <f>2026-INT(K222)+1</f>
        <v/>
      </c>
      <c r="N222" s="458" t="n">
        <v>112</v>
      </c>
      <c r="P222" s="458" t="n">
        <v>192</v>
      </c>
      <c r="Q222" s="458" t="n">
        <v>58</v>
      </c>
      <c r="R222" s="458" t="inlineStr">
        <is>
          <t>계단식</t>
        </is>
      </c>
      <c r="S222" s="458" t="n">
        <v>5</v>
      </c>
      <c r="T222" s="458" t="n">
        <v>2</v>
      </c>
      <c r="W222" s="458" t="inlineStr">
        <is>
          <t>계단식</t>
        </is>
      </c>
      <c r="X222" s="458" t="n">
        <v>5</v>
      </c>
      <c r="Y222" s="458" t="n">
        <v>2</v>
      </c>
      <c r="Z222" s="458" t="n">
        <v>112</v>
      </c>
    </row>
    <row r="223">
      <c r="A223" s="263" t="inlineStr">
        <is>
          <t>송파동</t>
        </is>
      </c>
      <c r="B223" s="263" t="n"/>
      <c r="C223" s="263" t="n"/>
      <c r="D223" s="263" t="n">
        <v>3431</v>
      </c>
      <c r="E223" s="269" t="inlineStr">
        <is>
          <t>송파삼성래미안</t>
        </is>
      </c>
      <c r="F223" s="263" t="n">
        <v>79</v>
      </c>
      <c r="G223" s="263" t="n">
        <v>225000</v>
      </c>
      <c r="H223" s="263" t="n">
        <v>115000</v>
      </c>
      <c r="I223" s="263">
        <f>G223-H223</f>
        <v/>
      </c>
      <c r="J223" s="323">
        <f>H223/G223</f>
        <v/>
      </c>
      <c r="K223" s="263" t="n">
        <v>2001.12</v>
      </c>
      <c r="L223" s="263" t="n">
        <v>845</v>
      </c>
      <c r="M223" s="263">
        <f>2026-INT(K223)+1</f>
        <v/>
      </c>
      <c r="N223" s="263" t="n">
        <v>327</v>
      </c>
      <c r="O223" s="263" t="n"/>
      <c r="P223" s="263" t="n">
        <v>109</v>
      </c>
      <c r="Q223" s="263" t="n">
        <v>33</v>
      </c>
      <c r="R223" s="263" t="inlineStr">
        <is>
          <t>계단식</t>
        </is>
      </c>
      <c r="S223" s="263" t="n">
        <v>3</v>
      </c>
      <c r="T223" s="263" t="n">
        <v>2</v>
      </c>
      <c r="U223" s="263" t="n">
        <v>17</v>
      </c>
      <c r="V223" s="263" t="n">
        <v>12.48</v>
      </c>
      <c r="W223" s="263" t="inlineStr">
        <is>
          <t>계단식</t>
        </is>
      </c>
      <c r="X223" s="263" t="n">
        <v>3</v>
      </c>
      <c r="Y223" s="263" t="n">
        <v>2</v>
      </c>
      <c r="Z223" s="263" t="n">
        <v>327</v>
      </c>
      <c r="AA223" s="263" t="n"/>
      <c r="AB223" s="263" t="n"/>
      <c r="AC223" s="263" t="n"/>
      <c r="AD223" s="263" t="n"/>
      <c r="AE223" s="263" t="n"/>
      <c r="AF223" s="263" t="n"/>
      <c r="AG223" s="263" t="n"/>
      <c r="AH223" s="263" t="n"/>
      <c r="AI223" s="263" t="n"/>
      <c r="AJ223" s="263" t="n"/>
      <c r="AK223" s="263" t="n"/>
    </row>
    <row r="224">
      <c r="A224" s="263" t="inlineStr">
        <is>
          <t>송파동</t>
        </is>
      </c>
      <c r="B224" s="263" t="n"/>
      <c r="C224" s="263" t="n"/>
      <c r="D224" s="263" t="n">
        <v>3431</v>
      </c>
      <c r="E224" s="264" t="inlineStr">
        <is>
          <t>송파삼성래미안</t>
        </is>
      </c>
      <c r="F224" s="263" t="n">
        <v>87</v>
      </c>
      <c r="G224" s="263" t="n"/>
      <c r="H224" s="263" t="n"/>
      <c r="I224" s="263">
        <f>G224-H224</f>
        <v/>
      </c>
      <c r="J224" s="323">
        <f>H224/G224</f>
        <v/>
      </c>
      <c r="K224" s="263" t="n">
        <v>2001.12</v>
      </c>
      <c r="L224" s="263" t="n">
        <v>845</v>
      </c>
      <c r="M224" s="263">
        <f>2026-INT(K224)+1</f>
        <v/>
      </c>
      <c r="N224" s="263" t="n">
        <v>86</v>
      </c>
      <c r="O224" s="263" t="n"/>
      <c r="P224" s="263" t="n">
        <v>119</v>
      </c>
      <c r="Q224" s="263" t="n">
        <v>36</v>
      </c>
      <c r="R224" s="263" t="inlineStr">
        <is>
          <t>계단식</t>
        </is>
      </c>
      <c r="S224" s="263" t="n">
        <v>3</v>
      </c>
      <c r="T224" s="263" t="n">
        <v>2</v>
      </c>
      <c r="U224" s="263" t="n">
        <v>17.3</v>
      </c>
      <c r="V224" s="263" t="n"/>
      <c r="W224" s="263" t="inlineStr">
        <is>
          <t>계단식</t>
        </is>
      </c>
      <c r="X224" s="263" t="n">
        <v>3</v>
      </c>
      <c r="Y224" s="263" t="n">
        <v>2</v>
      </c>
      <c r="Z224" s="263" t="n">
        <v>86</v>
      </c>
      <c r="AA224" s="263" t="n"/>
      <c r="AB224" s="263" t="n"/>
      <c r="AC224" s="263" t="n"/>
      <c r="AD224" s="263" t="n"/>
      <c r="AE224" s="263" t="n"/>
      <c r="AF224" s="263" t="n"/>
      <c r="AG224" s="263" t="n"/>
      <c r="AH224" s="263" t="n"/>
      <c r="AI224" s="263" t="n"/>
      <c r="AJ224" s="263" t="n"/>
      <c r="AK224" s="263" t="n"/>
    </row>
    <row r="225" ht="14" customHeight="1" s="476">
      <c r="A225" s="266" t="inlineStr">
        <is>
          <t>송파동</t>
        </is>
      </c>
      <c r="B225" s="263" t="n"/>
      <c r="C225" s="263" t="n"/>
      <c r="D225" s="266" t="n">
        <v>3431</v>
      </c>
      <c r="E225" s="264" t="inlineStr">
        <is>
          <t>송파삼성래미안</t>
        </is>
      </c>
      <c r="F225" s="266" t="n">
        <v>105</v>
      </c>
      <c r="G225" s="263" t="n"/>
      <c r="H225" s="263" t="n"/>
      <c r="I225" s="263">
        <f>G225-H225</f>
        <v/>
      </c>
      <c r="J225" s="323">
        <f>H225/G225</f>
        <v/>
      </c>
      <c r="K225" s="266" t="n">
        <v>2001.12</v>
      </c>
      <c r="L225" s="266" t="n">
        <v>845</v>
      </c>
      <c r="M225" s="266">
        <f>2026-INT(K225)+1</f>
        <v/>
      </c>
      <c r="N225" s="266" t="n">
        <v>222</v>
      </c>
      <c r="O225" s="263" t="n"/>
      <c r="P225" s="266" t="n">
        <v>142</v>
      </c>
      <c r="Q225" s="266" t="n">
        <v>43</v>
      </c>
      <c r="R225" s="266" t="inlineStr">
        <is>
          <t>계단식</t>
        </is>
      </c>
      <c r="S225" s="266" t="n">
        <v>4</v>
      </c>
      <c r="T225" s="266" t="n">
        <v>2</v>
      </c>
      <c r="U225" s="266" t="n">
        <v>17.17</v>
      </c>
      <c r="V225" s="266" t="n">
        <v>13.8</v>
      </c>
      <c r="W225" s="266" t="inlineStr">
        <is>
          <t>계단식</t>
        </is>
      </c>
      <c r="X225" s="266" t="n">
        <v>4</v>
      </c>
      <c r="Y225" s="266" t="n">
        <v>2</v>
      </c>
      <c r="Z225" s="266" t="n">
        <v>222</v>
      </c>
      <c r="AA225" s="263" t="n"/>
      <c r="AB225" s="263" t="n"/>
      <c r="AC225" s="263" t="n"/>
      <c r="AD225" s="263" t="n"/>
      <c r="AE225" s="263" t="n"/>
      <c r="AF225" s="263" t="n"/>
      <c r="AG225" s="263" t="n"/>
      <c r="AH225" s="263" t="n"/>
      <c r="AI225" s="263" t="n"/>
      <c r="AJ225" s="263" t="n"/>
      <c r="AK225" s="263" t="n"/>
    </row>
    <row r="226">
      <c r="A226" s="266" t="inlineStr">
        <is>
          <t>송파동</t>
        </is>
      </c>
      <c r="B226" s="263" t="n"/>
      <c r="C226" s="263" t="n"/>
      <c r="D226" s="266" t="n">
        <v>3431</v>
      </c>
      <c r="E226" s="264" t="inlineStr">
        <is>
          <t>송파삼성래미안</t>
        </is>
      </c>
      <c r="F226" s="266" t="n">
        <v>126</v>
      </c>
      <c r="G226" s="263" t="n"/>
      <c r="H226" s="263" t="n"/>
      <c r="I226" s="263">
        <f>G226-H226</f>
        <v/>
      </c>
      <c r="J226" s="323">
        <f>H226/G226</f>
        <v/>
      </c>
      <c r="K226" s="266" t="n">
        <v>2001.12</v>
      </c>
      <c r="L226" s="266" t="n">
        <v>845</v>
      </c>
      <c r="M226" s="266">
        <f>2026-INT(K226)+1</f>
        <v/>
      </c>
      <c r="N226" s="266" t="n">
        <v>168</v>
      </c>
      <c r="O226" s="263" t="n"/>
      <c r="P226" s="266" t="n">
        <v>163</v>
      </c>
      <c r="Q226" s="266" t="n">
        <v>49</v>
      </c>
      <c r="R226" s="266" t="inlineStr">
        <is>
          <t>계단식</t>
        </is>
      </c>
      <c r="S226" s="266" t="n">
        <v>4</v>
      </c>
      <c r="T226" s="266" t="n">
        <v>2</v>
      </c>
      <c r="U226" s="266" t="n">
        <v>20</v>
      </c>
      <c r="V226" s="266" t="n">
        <v>14.5</v>
      </c>
      <c r="W226" s="266" t="inlineStr">
        <is>
          <t>계단식</t>
        </is>
      </c>
      <c r="X226" s="266" t="n">
        <v>4</v>
      </c>
      <c r="Y226" s="266" t="n">
        <v>2</v>
      </c>
      <c r="Z226" s="266" t="n">
        <v>168</v>
      </c>
      <c r="AA226" s="263" t="n"/>
      <c r="AB226" s="263" t="n"/>
      <c r="AC226" s="263" t="n"/>
      <c r="AD226" s="263" t="n"/>
      <c r="AE226" s="263" t="n"/>
      <c r="AF226" s="263" t="n"/>
      <c r="AG226" s="263" t="n"/>
      <c r="AH226" s="263" t="n"/>
      <c r="AI226" s="263" t="n"/>
      <c r="AJ226" s="263" t="n"/>
      <c r="AK226" s="263" t="n"/>
    </row>
    <row r="227">
      <c r="A227" s="266" t="inlineStr">
        <is>
          <t>송파동</t>
        </is>
      </c>
      <c r="B227" s="263" t="n"/>
      <c r="C227" s="263" t="n"/>
      <c r="D227" s="266" t="n">
        <v>3431</v>
      </c>
      <c r="E227" s="264" t="inlineStr">
        <is>
          <t>송파삼성래미안</t>
        </is>
      </c>
      <c r="F227" s="266" t="n">
        <v>148</v>
      </c>
      <c r="G227" s="263" t="n"/>
      <c r="H227" s="263" t="n"/>
      <c r="I227" s="263">
        <f>G227-H227</f>
        <v/>
      </c>
      <c r="J227" s="323">
        <f>H227/G227</f>
        <v/>
      </c>
      <c r="K227" s="266" t="n">
        <v>2001.12</v>
      </c>
      <c r="L227" s="266" t="n">
        <v>845</v>
      </c>
      <c r="M227" s="266">
        <f>2026-INT(K227)+1</f>
        <v/>
      </c>
      <c r="N227" s="266" t="n">
        <v>42</v>
      </c>
      <c r="O227" s="263" t="n"/>
      <c r="P227" s="266" t="n">
        <v>191</v>
      </c>
      <c r="Q227" s="266" t="n">
        <v>58</v>
      </c>
      <c r="R227" s="266" t="inlineStr">
        <is>
          <t>계단식</t>
        </is>
      </c>
      <c r="S227" s="266" t="n">
        <v>4</v>
      </c>
      <c r="T227" s="266" t="n">
        <v>2</v>
      </c>
      <c r="U227" s="266" t="n"/>
      <c r="V227" s="263" t="n"/>
      <c r="W227" s="266" t="inlineStr">
        <is>
          <t>계단식</t>
        </is>
      </c>
      <c r="X227" s="266" t="n">
        <v>4</v>
      </c>
      <c r="Y227" s="266" t="n">
        <v>2</v>
      </c>
      <c r="Z227" s="266" t="n">
        <v>42</v>
      </c>
      <c r="AA227" s="263" t="n"/>
      <c r="AB227" s="263" t="n"/>
      <c r="AC227" s="263" t="n"/>
      <c r="AD227" s="263" t="n"/>
      <c r="AE227" s="263" t="n"/>
      <c r="AF227" s="263" t="n"/>
      <c r="AG227" s="263" t="n"/>
      <c r="AH227" s="263" t="n"/>
      <c r="AI227" s="263" t="n"/>
      <c r="AJ227" s="263" t="n"/>
      <c r="AK227" s="263" t="n"/>
    </row>
    <row r="228">
      <c r="A228" s="458" t="inlineStr">
        <is>
          <t>송파동</t>
        </is>
      </c>
      <c r="D228" s="458" t="n">
        <v>174198</v>
      </c>
      <c r="E228" s="146" t="inlineStr">
        <is>
          <t>잠실더샵루벤</t>
        </is>
      </c>
      <c r="F228" s="458" t="n">
        <v>83</v>
      </c>
      <c r="G228" s="458" t="n">
        <v>227500</v>
      </c>
      <c r="H228" s="458" t="n">
        <v>90001</v>
      </c>
      <c r="I228" s="263">
        <f>G228-H228</f>
        <v/>
      </c>
      <c r="J228" s="323">
        <f>H228/G228</f>
        <v/>
      </c>
      <c r="K228" s="458" t="n">
        <v>2025.03</v>
      </c>
      <c r="L228" s="458" t="n">
        <v>327</v>
      </c>
      <c r="M228" s="458">
        <f>2026-INT(K228)+1</f>
        <v/>
      </c>
      <c r="N228" s="458" t="n">
        <v>30</v>
      </c>
      <c r="P228" s="458" t="n">
        <v>103</v>
      </c>
      <c r="Q228" s="458" t="n">
        <v>31</v>
      </c>
      <c r="R228" s="458" t="inlineStr">
        <is>
          <t>계단식</t>
        </is>
      </c>
      <c r="S228" s="458" t="n">
        <v>3</v>
      </c>
      <c r="T228" s="458" t="n">
        <v>2</v>
      </c>
      <c r="U228" s="458" t="n"/>
      <c r="V228" s="458" t="n"/>
      <c r="W228" s="458" t="inlineStr">
        <is>
          <t>계단식</t>
        </is>
      </c>
      <c r="X228" s="458" t="n">
        <v>3</v>
      </c>
      <c r="Y228" s="458" t="n">
        <v>2</v>
      </c>
      <c r="Z228" s="458" t="n">
        <v>30</v>
      </c>
    </row>
    <row r="229" ht="14" customHeight="1" s="476">
      <c r="A229" s="458" t="inlineStr">
        <is>
          <t>송파동</t>
        </is>
      </c>
      <c r="D229" s="458" t="n">
        <v>174198</v>
      </c>
      <c r="E229" s="265" t="inlineStr">
        <is>
          <t>잠실더샵루벤</t>
        </is>
      </c>
      <c r="F229" s="458" t="n">
        <v>106</v>
      </c>
      <c r="I229" s="263">
        <f>G229-H229</f>
        <v/>
      </c>
      <c r="J229" s="323">
        <f>H229/G229</f>
        <v/>
      </c>
      <c r="K229" s="458" t="n">
        <v>2025.03</v>
      </c>
      <c r="L229" s="458" t="n">
        <v>327</v>
      </c>
      <c r="M229" s="458">
        <f>2026-INT(K229)+1</f>
        <v/>
      </c>
      <c r="N229" s="458" t="n">
        <v>297</v>
      </c>
      <c r="P229" s="458" t="n">
        <v>132</v>
      </c>
      <c r="Q229" s="458" t="n">
        <v>40</v>
      </c>
      <c r="R229" s="458" t="inlineStr">
        <is>
          <t>계단식</t>
        </is>
      </c>
      <c r="S229" s="458" t="n">
        <v>4</v>
      </c>
      <c r="T229" s="458" t="n">
        <v>2</v>
      </c>
      <c r="U229" s="458" t="n"/>
      <c r="V229" s="458" t="n"/>
      <c r="W229" s="458" t="inlineStr">
        <is>
          <t>계단식</t>
        </is>
      </c>
      <c r="X229" s="458" t="n">
        <v>4</v>
      </c>
      <c r="Y229" s="458" t="n">
        <v>2</v>
      </c>
      <c r="Z229" s="458" t="n">
        <v>297</v>
      </c>
    </row>
    <row r="230">
      <c r="A230" s="263" t="inlineStr">
        <is>
          <t>송파동</t>
        </is>
      </c>
      <c r="B230" s="263" t="n"/>
      <c r="C230" s="263" t="n"/>
      <c r="D230" s="263" t="n">
        <v>383</v>
      </c>
      <c r="E230" s="264" t="inlineStr">
        <is>
          <t>한양1차</t>
        </is>
      </c>
      <c r="F230" s="263" t="n">
        <v>64</v>
      </c>
      <c r="G230" s="263" t="n">
        <v>209001</v>
      </c>
      <c r="H230" s="263" t="n">
        <v>48001</v>
      </c>
      <c r="I230" s="263">
        <f>G230-H230</f>
        <v/>
      </c>
      <c r="J230" s="323">
        <f>H230/G230</f>
        <v/>
      </c>
      <c r="K230" s="263" t="n">
        <v>1983.12</v>
      </c>
      <c r="L230" s="263" t="n">
        <v>576</v>
      </c>
      <c r="M230" s="263">
        <f>2026-INT(K230)+1</f>
        <v/>
      </c>
      <c r="N230" s="263" t="n">
        <v>144</v>
      </c>
      <c r="O230" s="263" t="n"/>
      <c r="P230" s="263" t="n">
        <v>88</v>
      </c>
      <c r="Q230" s="263" t="n">
        <v>27</v>
      </c>
      <c r="R230" s="263" t="inlineStr">
        <is>
          <t>복도식</t>
        </is>
      </c>
      <c r="S230" s="263" t="n">
        <v>2</v>
      </c>
      <c r="T230" s="263" t="n">
        <v>1</v>
      </c>
      <c r="U230" s="263" t="n">
        <v>15.5</v>
      </c>
      <c r="V230" s="263" t="n">
        <v>10.7</v>
      </c>
      <c r="W230" s="263" t="inlineStr">
        <is>
          <t>복도식</t>
        </is>
      </c>
      <c r="X230" s="263" t="n">
        <v>2</v>
      </c>
      <c r="Y230" s="263" t="n">
        <v>1</v>
      </c>
      <c r="Z230" s="263" t="n">
        <v>144</v>
      </c>
      <c r="AA230" s="263" t="n"/>
      <c r="AB230" s="263" t="n"/>
      <c r="AC230" s="263" t="n"/>
      <c r="AD230" s="263" t="n"/>
      <c r="AE230" s="263" t="n"/>
      <c r="AF230" s="263" t="n"/>
      <c r="AG230" s="263" t="n"/>
      <c r="AH230" s="263" t="n"/>
      <c r="AI230" s="263" t="n"/>
      <c r="AJ230" s="263" t="n"/>
      <c r="AK230" s="263" t="n"/>
    </row>
    <row r="231">
      <c r="A231" s="263" t="inlineStr">
        <is>
          <t>송파동</t>
        </is>
      </c>
      <c r="B231" s="263" t="n"/>
      <c r="C231" s="263" t="n"/>
      <c r="D231" s="263" t="n">
        <v>383</v>
      </c>
      <c r="E231" s="269" t="inlineStr">
        <is>
          <t>한양1차</t>
        </is>
      </c>
      <c r="F231" s="263" t="n">
        <v>105</v>
      </c>
      <c r="G231" s="263" t="n"/>
      <c r="H231" s="263" t="n"/>
      <c r="I231" s="263">
        <f>G231-H231</f>
        <v/>
      </c>
      <c r="J231" s="323">
        <f>H231/G231</f>
        <v/>
      </c>
      <c r="K231" s="263" t="n">
        <v>1983.12</v>
      </c>
      <c r="L231" s="263" t="n">
        <v>576</v>
      </c>
      <c r="M231" s="263">
        <f>2026-INT(K231)+1</f>
        <v/>
      </c>
      <c r="N231" s="263" t="n">
        <v>96</v>
      </c>
      <c r="O231" s="263" t="n"/>
      <c r="P231" s="263" t="n">
        <v>113</v>
      </c>
      <c r="Q231" s="263" t="n">
        <v>34</v>
      </c>
      <c r="R231" s="263" t="inlineStr">
        <is>
          <t>계단식</t>
        </is>
      </c>
      <c r="S231" s="263" t="n">
        <v>3</v>
      </c>
      <c r="T231" s="263" t="n">
        <v>1</v>
      </c>
      <c r="U231" s="263" t="n">
        <v>17</v>
      </c>
      <c r="V231" s="263" t="n">
        <v>13.4</v>
      </c>
      <c r="W231" s="263" t="inlineStr">
        <is>
          <t>계단식</t>
        </is>
      </c>
      <c r="X231" s="263" t="n">
        <v>3</v>
      </c>
      <c r="Y231" s="263" t="n">
        <v>1</v>
      </c>
      <c r="Z231" s="263" t="n">
        <v>96</v>
      </c>
      <c r="AA231" s="263" t="n"/>
      <c r="AB231" s="263" t="n"/>
      <c r="AC231" s="263" t="n"/>
      <c r="AD231" s="263" t="n"/>
      <c r="AE231" s="263" t="n"/>
      <c r="AF231" s="263" t="n"/>
      <c r="AG231" s="263" t="n"/>
      <c r="AH231" s="263" t="n"/>
      <c r="AI231" s="263" t="n"/>
      <c r="AJ231" s="263" t="n"/>
      <c r="AK231" s="263" t="n"/>
    </row>
    <row r="232">
      <c r="A232" s="263" t="inlineStr">
        <is>
          <t>송파동</t>
        </is>
      </c>
      <c r="B232" s="263" t="n"/>
      <c r="C232" s="263" t="n"/>
      <c r="D232" s="263" t="n">
        <v>383</v>
      </c>
      <c r="E232" s="264" t="inlineStr">
        <is>
          <t>한양1차</t>
        </is>
      </c>
      <c r="F232" s="263" t="n">
        <v>119</v>
      </c>
      <c r="G232" s="263" t="n"/>
      <c r="H232" s="263" t="n"/>
      <c r="I232" s="263">
        <f>G232-H232</f>
        <v/>
      </c>
      <c r="J232" s="323">
        <f>H232/G232</f>
        <v/>
      </c>
      <c r="K232" s="263" t="n">
        <v>1983.12</v>
      </c>
      <c r="L232" s="263" t="n">
        <v>576</v>
      </c>
      <c r="M232" s="263">
        <f>2026-INT(K232)+1</f>
        <v/>
      </c>
      <c r="N232" s="263" t="n">
        <v>48</v>
      </c>
      <c r="O232" s="263" t="n"/>
      <c r="P232" s="263" t="n">
        <v>129</v>
      </c>
      <c r="Q232" s="263" t="n">
        <v>39</v>
      </c>
      <c r="R232" s="263" t="inlineStr">
        <is>
          <t>계단식</t>
        </is>
      </c>
      <c r="S232" s="263" t="n">
        <v>4</v>
      </c>
      <c r="T232" s="263" t="n">
        <v>2</v>
      </c>
      <c r="U232" s="263" t="n">
        <v>18.75</v>
      </c>
      <c r="V232" s="263" t="n">
        <v>18.75</v>
      </c>
      <c r="W232" s="263" t="inlineStr">
        <is>
          <t>계단식</t>
        </is>
      </c>
      <c r="X232" s="263" t="n">
        <v>4</v>
      </c>
      <c r="Y232" s="263" t="n">
        <v>2</v>
      </c>
      <c r="Z232" s="263" t="n">
        <v>48</v>
      </c>
      <c r="AA232" s="263" t="n"/>
      <c r="AB232" s="263" t="n"/>
      <c r="AC232" s="263" t="n"/>
      <c r="AD232" s="263" t="n"/>
      <c r="AE232" s="263" t="n"/>
      <c r="AF232" s="263" t="n"/>
      <c r="AG232" s="263" t="n"/>
      <c r="AH232" s="263" t="n"/>
      <c r="AI232" s="263" t="n"/>
      <c r="AJ232" s="263" t="n"/>
      <c r="AK232" s="263" t="n"/>
    </row>
    <row r="233">
      <c r="A233" s="263" t="inlineStr">
        <is>
          <t>송파동</t>
        </is>
      </c>
      <c r="B233" s="263" t="n"/>
      <c r="C233" s="263" t="n"/>
      <c r="D233" s="263" t="n">
        <v>383</v>
      </c>
      <c r="E233" s="264" t="inlineStr">
        <is>
          <t>한양1차</t>
        </is>
      </c>
      <c r="F233" s="263" t="n">
        <v>137</v>
      </c>
      <c r="G233" s="263" t="n"/>
      <c r="H233" s="263" t="n"/>
      <c r="I233" s="263">
        <f>G233-H233</f>
        <v/>
      </c>
      <c r="J233" s="323">
        <f>H233/G233</f>
        <v/>
      </c>
      <c r="K233" s="263" t="n">
        <v>1983.12</v>
      </c>
      <c r="L233" s="263" t="n">
        <v>576</v>
      </c>
      <c r="M233" s="263">
        <f>2026-INT(K233)+1</f>
        <v/>
      </c>
      <c r="N233" s="263" t="n">
        <v>168</v>
      </c>
      <c r="O233" s="263" t="n"/>
      <c r="P233" s="263" t="n">
        <v>148</v>
      </c>
      <c r="Q233" s="263" t="n">
        <v>45</v>
      </c>
      <c r="R233" s="263" t="inlineStr">
        <is>
          <t>계단식</t>
        </is>
      </c>
      <c r="S233" s="263" t="n">
        <v>4</v>
      </c>
      <c r="T233" s="263" t="n">
        <v>2</v>
      </c>
      <c r="U233" s="263" t="n">
        <v>21.4</v>
      </c>
      <c r="V233" s="263" t="n">
        <v>15.7</v>
      </c>
      <c r="W233" s="263" t="inlineStr">
        <is>
          <t>계단식</t>
        </is>
      </c>
      <c r="X233" s="263" t="n">
        <v>4</v>
      </c>
      <c r="Y233" s="263" t="n">
        <v>2</v>
      </c>
      <c r="Z233" s="263" t="n">
        <v>168</v>
      </c>
      <c r="AA233" s="263" t="n"/>
      <c r="AB233" s="263" t="n"/>
      <c r="AC233" s="263" t="n"/>
      <c r="AD233" s="263" t="n"/>
      <c r="AE233" s="263" t="n"/>
      <c r="AF233" s="263" t="n"/>
      <c r="AG233" s="263" t="n"/>
      <c r="AH233" s="263" t="n"/>
      <c r="AI233" s="263" t="n"/>
      <c r="AJ233" s="263" t="n"/>
      <c r="AK233" s="263" t="n"/>
    </row>
    <row r="234">
      <c r="A234" s="266" t="inlineStr">
        <is>
          <t>송파동</t>
        </is>
      </c>
      <c r="B234" s="263" t="n"/>
      <c r="C234" s="263" t="n"/>
      <c r="D234" s="266" t="n">
        <v>383</v>
      </c>
      <c r="E234" s="264" t="inlineStr">
        <is>
          <t>한양1차</t>
        </is>
      </c>
      <c r="F234" s="266" t="n">
        <v>158</v>
      </c>
      <c r="G234" s="263" t="n"/>
      <c r="H234" s="263" t="n"/>
      <c r="I234" s="263">
        <f>G234-H234</f>
        <v/>
      </c>
      <c r="J234" s="323">
        <f>H234/G234</f>
        <v/>
      </c>
      <c r="K234" s="266" t="n">
        <v>1983.12</v>
      </c>
      <c r="L234" s="266" t="n">
        <v>576</v>
      </c>
      <c r="M234" s="266">
        <f>2026-INT(K234)+1</f>
        <v/>
      </c>
      <c r="N234" s="266" t="n">
        <v>120</v>
      </c>
      <c r="O234" s="263" t="n"/>
      <c r="P234" s="266" t="n">
        <v>171</v>
      </c>
      <c r="Q234" s="266" t="n">
        <v>52</v>
      </c>
      <c r="R234" s="266" t="inlineStr">
        <is>
          <t>계단식</t>
        </is>
      </c>
      <c r="S234" s="266" t="n">
        <v>5</v>
      </c>
      <c r="T234" s="266" t="n">
        <v>2</v>
      </c>
      <c r="U234" s="266" t="n">
        <v>21.2</v>
      </c>
      <c r="V234" s="266" t="n">
        <v>18.2</v>
      </c>
      <c r="W234" s="266" t="inlineStr">
        <is>
          <t>계단식</t>
        </is>
      </c>
      <c r="X234" s="266" t="n">
        <v>5</v>
      </c>
      <c r="Y234" s="266" t="n">
        <v>2</v>
      </c>
      <c r="Z234" s="266" t="n">
        <v>120</v>
      </c>
      <c r="AA234" s="263" t="n"/>
      <c r="AB234" s="263" t="n"/>
      <c r="AC234" s="263" t="n"/>
      <c r="AD234" s="263" t="n"/>
      <c r="AE234" s="263" t="n"/>
      <c r="AF234" s="263" t="n"/>
      <c r="AG234" s="263" t="n"/>
      <c r="AH234" s="263" t="n"/>
      <c r="AI234" s="263" t="n"/>
      <c r="AJ234" s="263" t="n"/>
      <c r="AK234" s="263" t="n"/>
    </row>
    <row r="235">
      <c r="A235" s="458" t="inlineStr">
        <is>
          <t>송파동</t>
        </is>
      </c>
      <c r="D235" s="458" t="n">
        <v>618</v>
      </c>
      <c r="E235" s="146" t="inlineStr">
        <is>
          <t>한양2차</t>
        </is>
      </c>
      <c r="F235" s="458" t="n">
        <v>64</v>
      </c>
      <c r="G235" s="458" t="n">
        <v>201001</v>
      </c>
      <c r="H235" s="458" t="n">
        <v>58001</v>
      </c>
      <c r="I235" s="263">
        <f>G235-H235</f>
        <v/>
      </c>
      <c r="J235" s="323">
        <f>H235/G235</f>
        <v/>
      </c>
      <c r="K235" s="458" t="n">
        <v>1984.1</v>
      </c>
      <c r="L235" s="458" t="n">
        <v>744</v>
      </c>
      <c r="M235" s="458">
        <f>2026-INT(K235)+1</f>
        <v/>
      </c>
      <c r="N235" s="458" t="n">
        <v>96</v>
      </c>
      <c r="P235" s="458" t="n">
        <v>87</v>
      </c>
      <c r="Q235" s="458" t="n">
        <v>26</v>
      </c>
      <c r="R235" s="458" t="inlineStr">
        <is>
          <t>복도식</t>
        </is>
      </c>
      <c r="S235" s="458" t="n">
        <v>2</v>
      </c>
      <c r="T235" s="458" t="n">
        <v>1</v>
      </c>
      <c r="U235" s="458" t="n"/>
      <c r="V235" s="458" t="n">
        <v>13.25</v>
      </c>
      <c r="W235" s="458" t="inlineStr">
        <is>
          <t>복도식</t>
        </is>
      </c>
      <c r="X235" s="458" t="n">
        <v>2</v>
      </c>
      <c r="Y235" s="458" t="n">
        <v>1</v>
      </c>
      <c r="Z235" s="458" t="n">
        <v>96</v>
      </c>
    </row>
    <row r="236">
      <c r="A236" s="458" t="inlineStr">
        <is>
          <t>송파동</t>
        </is>
      </c>
      <c r="D236" s="458" t="n">
        <v>618</v>
      </c>
      <c r="E236" s="265" t="inlineStr">
        <is>
          <t>한양2차</t>
        </is>
      </c>
      <c r="F236" s="458" t="n">
        <v>84</v>
      </c>
      <c r="G236" s="458" t="n">
        <v>246000</v>
      </c>
      <c r="H236" s="458" t="n">
        <v>70000</v>
      </c>
      <c r="I236" s="263">
        <f>G236-H236</f>
        <v/>
      </c>
      <c r="J236" s="323">
        <f>H236/G236</f>
        <v/>
      </c>
      <c r="K236" s="458" t="n">
        <v>1984.1</v>
      </c>
      <c r="L236" s="458" t="n">
        <v>744</v>
      </c>
      <c r="M236" s="458">
        <f>2026-INT(K236)+1</f>
        <v/>
      </c>
      <c r="N236" s="458" t="n">
        <v>192</v>
      </c>
      <c r="P236" s="458" t="n">
        <v>105</v>
      </c>
      <c r="Q236" s="458" t="n">
        <v>32</v>
      </c>
      <c r="R236" s="458" t="inlineStr">
        <is>
          <t>복도식</t>
        </is>
      </c>
      <c r="S236" s="458" t="n">
        <v>3</v>
      </c>
      <c r="T236" s="458" t="n">
        <v>1</v>
      </c>
      <c r="U236" s="458" t="n">
        <v>16.38</v>
      </c>
      <c r="V236" s="458" t="n">
        <v>13.6</v>
      </c>
      <c r="W236" s="458" t="inlineStr">
        <is>
          <t>복도식</t>
        </is>
      </c>
      <c r="X236" s="458" t="n">
        <v>3</v>
      </c>
      <c r="Y236" s="458" t="n">
        <v>1</v>
      </c>
      <c r="Z236" s="458" t="n">
        <v>192</v>
      </c>
    </row>
    <row r="237">
      <c r="A237" s="458" t="inlineStr">
        <is>
          <t>송파동</t>
        </is>
      </c>
      <c r="D237" s="458" t="n">
        <v>618</v>
      </c>
      <c r="E237" s="265" t="inlineStr">
        <is>
          <t>한양2차</t>
        </is>
      </c>
      <c r="F237" s="458" t="n">
        <v>108</v>
      </c>
      <c r="I237" s="263">
        <f>G237-H237</f>
        <v/>
      </c>
      <c r="J237" s="323">
        <f>H237/G237</f>
        <v/>
      </c>
      <c r="K237" s="458" t="n">
        <v>1984.1</v>
      </c>
      <c r="L237" s="458" t="n">
        <v>744</v>
      </c>
      <c r="M237" s="458">
        <f>2026-INT(K237)+1</f>
        <v/>
      </c>
      <c r="N237" s="458" t="n">
        <v>144</v>
      </c>
      <c r="P237" s="458" t="n">
        <v>131</v>
      </c>
      <c r="Q237" s="458" t="n">
        <v>40</v>
      </c>
      <c r="R237" s="458" t="inlineStr">
        <is>
          <t>계단식</t>
        </is>
      </c>
      <c r="S237" s="458" t="n">
        <v>4</v>
      </c>
      <c r="T237" s="458" t="n">
        <v>2</v>
      </c>
      <c r="U237" s="458" t="n">
        <v>19.8</v>
      </c>
      <c r="V237" s="458" t="n">
        <v>14.05</v>
      </c>
      <c r="W237" s="458" t="inlineStr">
        <is>
          <t>계단식</t>
        </is>
      </c>
      <c r="X237" s="458" t="n">
        <v>4</v>
      </c>
      <c r="Y237" s="458" t="n">
        <v>2</v>
      </c>
      <c r="Z237" s="458" t="n">
        <v>144</v>
      </c>
    </row>
    <row r="238">
      <c r="A238" s="458" t="inlineStr">
        <is>
          <t>송파동</t>
        </is>
      </c>
      <c r="D238" s="458" t="n">
        <v>618</v>
      </c>
      <c r="E238" s="265" t="inlineStr">
        <is>
          <t>한양2차</t>
        </is>
      </c>
      <c r="F238" s="458" t="n">
        <v>126</v>
      </c>
      <c r="I238" s="263">
        <f>G238-H238</f>
        <v/>
      </c>
      <c r="J238" s="323">
        <f>H238/G238</f>
        <v/>
      </c>
      <c r="K238" s="458" t="n">
        <v>1984.1</v>
      </c>
      <c r="L238" s="458" t="n">
        <v>744</v>
      </c>
      <c r="M238" s="458">
        <f>2026-INT(K238)+1</f>
        <v/>
      </c>
      <c r="N238" s="458" t="n">
        <v>168</v>
      </c>
      <c r="P238" s="458" t="n">
        <v>150</v>
      </c>
      <c r="Q238" s="458" t="n">
        <v>45</v>
      </c>
      <c r="R238" s="458" t="inlineStr">
        <is>
          <t>계단식</t>
        </is>
      </c>
      <c r="S238" s="458" t="n">
        <v>4</v>
      </c>
      <c r="T238" s="458" t="n">
        <v>2</v>
      </c>
      <c r="W238" s="458" t="inlineStr">
        <is>
          <t>계단식</t>
        </is>
      </c>
      <c r="X238" s="458" t="n">
        <v>4</v>
      </c>
      <c r="Y238" s="458" t="n">
        <v>2</v>
      </c>
      <c r="Z238" s="458" t="n">
        <v>168</v>
      </c>
    </row>
    <row r="239">
      <c r="A239" s="458" t="inlineStr">
        <is>
          <t>송파동</t>
        </is>
      </c>
      <c r="D239" s="458" t="n">
        <v>618</v>
      </c>
      <c r="E239" s="265" t="inlineStr">
        <is>
          <t>한양2차</t>
        </is>
      </c>
      <c r="F239" s="458" t="n">
        <v>146</v>
      </c>
      <c r="I239" s="263">
        <f>G239-H239</f>
        <v/>
      </c>
      <c r="J239" s="323">
        <f>H239/G239</f>
        <v/>
      </c>
      <c r="K239" s="458" t="n">
        <v>1984.1</v>
      </c>
      <c r="L239" s="458" t="n">
        <v>744</v>
      </c>
      <c r="M239" s="458">
        <f>2026-INT(K239)+1</f>
        <v/>
      </c>
      <c r="N239" s="458" t="n">
        <v>144</v>
      </c>
      <c r="P239" s="458" t="n">
        <v>172</v>
      </c>
      <c r="Q239" s="458" t="n">
        <v>52</v>
      </c>
      <c r="R239" s="458" t="inlineStr">
        <is>
          <t>계단식</t>
        </is>
      </c>
      <c r="S239" s="458" t="n">
        <v>5</v>
      </c>
      <c r="T239" s="458" t="n">
        <v>2</v>
      </c>
      <c r="U239" s="458" t="n">
        <v>22.2</v>
      </c>
      <c r="V239" s="458" t="n">
        <v>15.7</v>
      </c>
      <c r="W239" s="458" t="inlineStr">
        <is>
          <t>계단식</t>
        </is>
      </c>
      <c r="X239" s="458" t="n">
        <v>5</v>
      </c>
      <c r="Y239" s="458" t="n">
        <v>2</v>
      </c>
      <c r="Z239" s="458" t="n">
        <v>144</v>
      </c>
    </row>
    <row r="240">
      <c r="A240" s="263" t="inlineStr">
        <is>
          <t>송파동</t>
        </is>
      </c>
      <c r="B240" s="263" t="n"/>
      <c r="C240" s="263" t="n"/>
      <c r="D240" s="263" t="n">
        <v>619</v>
      </c>
      <c r="E240" s="269" t="inlineStr">
        <is>
          <t>현대</t>
        </is>
      </c>
      <c r="F240" s="263" t="n">
        <v>59</v>
      </c>
      <c r="G240" s="263" t="n">
        <v>1537001</v>
      </c>
      <c r="H240" s="263" t="n">
        <v>65001</v>
      </c>
      <c r="I240" s="263">
        <f>G240-H240</f>
        <v/>
      </c>
      <c r="J240" s="323">
        <f>H240/G240</f>
        <v/>
      </c>
      <c r="K240" s="263" t="n">
        <v>1997.05</v>
      </c>
      <c r="L240" s="263" t="n">
        <v>243</v>
      </c>
      <c r="M240" s="263">
        <f>2026-INT(K240)+1</f>
        <v/>
      </c>
      <c r="N240" s="263" t="n">
        <v>124</v>
      </c>
      <c r="O240" s="263" t="n"/>
      <c r="P240" s="263" t="n">
        <v>86</v>
      </c>
      <c r="Q240" s="263" t="n">
        <v>26</v>
      </c>
      <c r="R240" s="263" t="inlineStr">
        <is>
          <t>복도식</t>
        </is>
      </c>
      <c r="S240" s="263" t="n">
        <v>3</v>
      </c>
      <c r="T240" s="263" t="n">
        <v>1</v>
      </c>
      <c r="U240" s="263" t="n">
        <v>12.15</v>
      </c>
      <c r="V240" s="263" t="n">
        <v>8.75</v>
      </c>
      <c r="W240" s="263" t="inlineStr">
        <is>
          <t>복도식</t>
        </is>
      </c>
      <c r="X240" s="263" t="n">
        <v>3</v>
      </c>
      <c r="Y240" s="263" t="n">
        <v>1</v>
      </c>
      <c r="Z240" s="263" t="n">
        <v>124</v>
      </c>
      <c r="AA240" s="263" t="n"/>
      <c r="AB240" s="263" t="n"/>
      <c r="AC240" s="263" t="n"/>
      <c r="AD240" s="263" t="n"/>
      <c r="AE240" s="263" t="n"/>
      <c r="AF240" s="263" t="n"/>
      <c r="AG240" s="263" t="n"/>
      <c r="AH240" s="263" t="n"/>
      <c r="AI240" s="263" t="n"/>
      <c r="AJ240" s="263" t="n"/>
      <c r="AK240" s="263" t="n"/>
    </row>
    <row r="241">
      <c r="A241" s="263" t="inlineStr">
        <is>
          <t>송파동</t>
        </is>
      </c>
      <c r="B241" s="263" t="n"/>
      <c r="C241" s="263" t="n"/>
      <c r="D241" s="263" t="n">
        <v>619</v>
      </c>
      <c r="E241" s="264" t="inlineStr">
        <is>
          <t>현대</t>
        </is>
      </c>
      <c r="F241" s="263" t="n">
        <v>84</v>
      </c>
      <c r="G241" s="263" t="n">
        <v>180000</v>
      </c>
      <c r="H241" s="263" t="n">
        <v>77001</v>
      </c>
      <c r="I241" s="263">
        <f>G241-H241</f>
        <v/>
      </c>
      <c r="J241" s="323">
        <f>H241/G241</f>
        <v/>
      </c>
      <c r="K241" s="263" t="n">
        <v>1997.05</v>
      </c>
      <c r="L241" s="263" t="n">
        <v>243</v>
      </c>
      <c r="M241" s="263">
        <f>2026-INT(K241)+1</f>
        <v/>
      </c>
      <c r="N241" s="263" t="n">
        <v>119</v>
      </c>
      <c r="O241" s="263" t="n"/>
      <c r="P241" s="263" t="n">
        <v>109</v>
      </c>
      <c r="Q241" s="263" t="n">
        <v>33</v>
      </c>
      <c r="R241" s="263" t="inlineStr">
        <is>
          <t>계단식</t>
        </is>
      </c>
      <c r="S241" s="263" t="n">
        <v>3</v>
      </c>
      <c r="T241" s="263" t="n">
        <v>2</v>
      </c>
      <c r="U241" s="263" t="n">
        <v>14</v>
      </c>
      <c r="V241" s="263" t="n">
        <v>12.5</v>
      </c>
      <c r="W241" s="263" t="inlineStr">
        <is>
          <t>계단식</t>
        </is>
      </c>
      <c r="X241" s="263" t="n">
        <v>3</v>
      </c>
      <c r="Y241" s="263" t="n">
        <v>2</v>
      </c>
      <c r="Z241" s="263" t="n">
        <v>119</v>
      </c>
      <c r="AA241" s="263" t="n"/>
      <c r="AB241" s="263" t="n"/>
      <c r="AC241" s="263" t="n"/>
      <c r="AD241" s="263" t="n"/>
      <c r="AE241" s="263" t="n"/>
      <c r="AF241" s="263" t="n"/>
      <c r="AG241" s="263" t="n"/>
      <c r="AH241" s="263" t="n"/>
      <c r="AI241" s="263" t="n"/>
      <c r="AJ241" s="263" t="n"/>
      <c r="AK241" s="263" t="n"/>
    </row>
    <row r="242">
      <c r="A242" s="458" t="inlineStr">
        <is>
          <t>송파동</t>
        </is>
      </c>
      <c r="D242" s="458" t="n">
        <v>617</v>
      </c>
      <c r="E242" s="265" t="inlineStr">
        <is>
          <t>호수임광</t>
        </is>
      </c>
      <c r="F242" s="458" t="n">
        <v>53</v>
      </c>
      <c r="G242" s="458" t="n">
        <v>73251</v>
      </c>
      <c r="H242" s="458" t="n">
        <v>65000</v>
      </c>
      <c r="I242" s="263">
        <f>G242-H242</f>
        <v/>
      </c>
      <c r="J242" s="323">
        <f>H242/G242</f>
        <v/>
      </c>
      <c r="K242" s="458" t="n">
        <v>1995.1</v>
      </c>
      <c r="L242" s="458" t="n">
        <v>227</v>
      </c>
      <c r="M242" s="458">
        <f>2026-INT(K242)+1</f>
        <v/>
      </c>
      <c r="N242" s="458" t="n">
        <v>2</v>
      </c>
      <c r="P242" s="458" t="n">
        <v>68</v>
      </c>
      <c r="Q242" s="458" t="n">
        <v>21</v>
      </c>
      <c r="R242" s="458" t="inlineStr">
        <is>
          <t>복도식</t>
        </is>
      </c>
      <c r="S242" s="458" t="n">
        <v>3</v>
      </c>
      <c r="T242" s="458" t="n">
        <v>1</v>
      </c>
      <c r="W242" s="458" t="inlineStr">
        <is>
          <t>복도식</t>
        </is>
      </c>
      <c r="X242" s="458" t="n">
        <v>3</v>
      </c>
      <c r="Y242" s="458" t="n">
        <v>1</v>
      </c>
      <c r="Z242" s="458" t="n">
        <v>2</v>
      </c>
    </row>
    <row r="243">
      <c r="A243" s="458" t="inlineStr">
        <is>
          <t>송파동</t>
        </is>
      </c>
      <c r="D243" s="458" t="n">
        <v>617</v>
      </c>
      <c r="E243" s="265" t="inlineStr">
        <is>
          <t>호수임광</t>
        </is>
      </c>
      <c r="F243" s="458" t="n">
        <v>56</v>
      </c>
      <c r="G243" s="458" t="n">
        <v>135000</v>
      </c>
      <c r="H243" s="458" t="n">
        <v>67000</v>
      </c>
      <c r="I243" s="263">
        <f>G243-H243</f>
        <v/>
      </c>
      <c r="J243" s="323">
        <f>H243/G243</f>
        <v/>
      </c>
      <c r="K243" s="458" t="n">
        <v>1995.1</v>
      </c>
      <c r="L243" s="458" t="n">
        <v>227</v>
      </c>
      <c r="M243" s="458">
        <f>2026-INT(K243)+1</f>
        <v/>
      </c>
      <c r="N243" s="458" t="n">
        <v>75</v>
      </c>
      <c r="P243" s="458" t="n">
        <v>73</v>
      </c>
      <c r="Q243" s="458" t="n">
        <v>22</v>
      </c>
      <c r="R243" s="458" t="inlineStr">
        <is>
          <t>복도식</t>
        </is>
      </c>
      <c r="S243" s="458" t="n">
        <v>3</v>
      </c>
      <c r="T243" s="458" t="n">
        <v>1</v>
      </c>
      <c r="U243" s="458" t="n">
        <v>10.44</v>
      </c>
      <c r="W243" s="458" t="inlineStr">
        <is>
          <t>복도식</t>
        </is>
      </c>
      <c r="X243" s="458" t="n">
        <v>3</v>
      </c>
      <c r="Y243" s="458" t="n">
        <v>1</v>
      </c>
      <c r="Z243" s="458" t="n">
        <v>75</v>
      </c>
    </row>
    <row r="244">
      <c r="A244" s="458" t="inlineStr">
        <is>
          <t>송파동</t>
        </is>
      </c>
      <c r="D244" s="458" t="n">
        <v>617</v>
      </c>
      <c r="E244" s="265" t="inlineStr">
        <is>
          <t>호수임광</t>
        </is>
      </c>
      <c r="F244" s="458" t="n">
        <v>57</v>
      </c>
      <c r="G244" s="458" t="n">
        <v>107001</v>
      </c>
      <c r="H244" s="458" t="n">
        <v>50001</v>
      </c>
      <c r="I244" s="263">
        <f>G244-H244</f>
        <v/>
      </c>
      <c r="J244" s="323">
        <f>H244/G244</f>
        <v/>
      </c>
      <c r="K244" s="458" t="n">
        <v>1995.1</v>
      </c>
      <c r="L244" s="458" t="n">
        <v>227</v>
      </c>
      <c r="M244" s="458">
        <f>2026-INT(K244)+1</f>
        <v/>
      </c>
      <c r="N244" s="458" t="n">
        <v>32</v>
      </c>
      <c r="P244" s="458" t="n">
        <v>74</v>
      </c>
      <c r="Q244" s="458" t="n">
        <v>22</v>
      </c>
      <c r="R244" s="458" t="inlineStr">
        <is>
          <t>계단식</t>
        </is>
      </c>
      <c r="S244" s="458" t="n">
        <v>3</v>
      </c>
      <c r="T244" s="458" t="n">
        <v>1</v>
      </c>
      <c r="U244" s="458" t="n">
        <v>10.44</v>
      </c>
      <c r="W244" s="458" t="inlineStr">
        <is>
          <t>계단식</t>
        </is>
      </c>
      <c r="X244" s="458" t="n">
        <v>3</v>
      </c>
      <c r="Y244" s="458" t="n">
        <v>1</v>
      </c>
      <c r="Z244" s="458" t="n">
        <v>32</v>
      </c>
    </row>
    <row r="245">
      <c r="A245" s="458" t="inlineStr">
        <is>
          <t>송파동</t>
        </is>
      </c>
      <c r="D245" s="458" t="n">
        <v>617</v>
      </c>
      <c r="E245" s="265" t="inlineStr">
        <is>
          <t>호수임광</t>
        </is>
      </c>
      <c r="F245" s="458" t="n">
        <v>59</v>
      </c>
      <c r="G245" s="458" t="n">
        <v>97001</v>
      </c>
      <c r="H245" s="458" t="n">
        <v>58001</v>
      </c>
      <c r="I245" s="263">
        <f>G245-H245</f>
        <v/>
      </c>
      <c r="J245" s="323">
        <f>H245/G245</f>
        <v/>
      </c>
      <c r="K245" s="458" t="n">
        <v>1995.1</v>
      </c>
      <c r="L245" s="458" t="n">
        <v>227</v>
      </c>
      <c r="M245" s="458">
        <f>2026-INT(K245)+1</f>
        <v/>
      </c>
      <c r="N245" s="458" t="n">
        <v>10</v>
      </c>
      <c r="P245" s="458" t="n">
        <v>77</v>
      </c>
      <c r="Q245" s="458" t="n">
        <v>23</v>
      </c>
      <c r="R245" s="458" t="inlineStr">
        <is>
          <t>계단식</t>
        </is>
      </c>
      <c r="S245" s="458" t="n">
        <v>3</v>
      </c>
      <c r="T245" s="458" t="n">
        <v>1</v>
      </c>
      <c r="U245" s="458" t="n">
        <v>10.8</v>
      </c>
      <c r="W245" s="458" t="inlineStr">
        <is>
          <t>계단식</t>
        </is>
      </c>
      <c r="X245" s="458" t="n">
        <v>3</v>
      </c>
      <c r="Y245" s="458" t="n">
        <v>1</v>
      </c>
      <c r="Z245" s="458" t="n">
        <v>10</v>
      </c>
    </row>
    <row r="246" ht="17" customHeight="1" s="476">
      <c r="A246" s="458" t="inlineStr">
        <is>
          <t>송파동</t>
        </is>
      </c>
      <c r="D246" s="458" t="n">
        <v>617</v>
      </c>
      <c r="E246" s="265" t="inlineStr">
        <is>
          <t>호수임광</t>
        </is>
      </c>
      <c r="F246" s="458" t="n">
        <v>74</v>
      </c>
      <c r="G246" s="458" t="n">
        <v>118001</v>
      </c>
      <c r="H246" s="270" t="inlineStr">
        <is>
          <t>-</t>
        </is>
      </c>
      <c r="I246" s="263">
        <f>G246-H246</f>
        <v/>
      </c>
      <c r="J246" s="323">
        <f>H246/G246</f>
        <v/>
      </c>
      <c r="K246" s="458" t="n">
        <v>1995.1</v>
      </c>
      <c r="L246" s="458" t="n">
        <v>227</v>
      </c>
      <c r="M246" s="458">
        <f>2026-INT(K246)+1</f>
        <v/>
      </c>
      <c r="N246" s="458" t="n">
        <v>1</v>
      </c>
      <c r="P246" s="458" t="n">
        <v>95</v>
      </c>
      <c r="Q246" s="458" t="n">
        <v>29</v>
      </c>
      <c r="R246" s="458" t="inlineStr">
        <is>
          <t>계단식</t>
        </is>
      </c>
      <c r="S246" s="458" t="n">
        <v>3</v>
      </c>
      <c r="T246" s="458" t="n">
        <v>2</v>
      </c>
      <c r="U246" s="458" t="n"/>
      <c r="V246" s="458" t="n"/>
      <c r="W246" s="458" t="inlineStr">
        <is>
          <t>계단식</t>
        </is>
      </c>
      <c r="X246" s="458" t="n">
        <v>3</v>
      </c>
      <c r="Y246" s="458" t="n">
        <v>2</v>
      </c>
      <c r="Z246" s="458" t="n">
        <v>1</v>
      </c>
    </row>
    <row r="247">
      <c r="A247" s="458" t="inlineStr">
        <is>
          <t>송파동</t>
        </is>
      </c>
      <c r="D247" s="458" t="n">
        <v>617</v>
      </c>
      <c r="E247" s="265" t="inlineStr">
        <is>
          <t>호수임광</t>
        </is>
      </c>
      <c r="F247" s="458" t="n">
        <v>84</v>
      </c>
      <c r="G247" s="458" t="n">
        <v>148001</v>
      </c>
      <c r="H247" s="458" t="n">
        <v>80000</v>
      </c>
      <c r="I247" s="263">
        <f>G247-H247</f>
        <v/>
      </c>
      <c r="J247" s="323">
        <f>H247/G247</f>
        <v/>
      </c>
      <c r="K247" s="458" t="n">
        <v>1995.1</v>
      </c>
      <c r="L247" s="458" t="n">
        <v>227</v>
      </c>
      <c r="M247" s="458">
        <f>2026-INT(K247)+1</f>
        <v/>
      </c>
      <c r="N247" s="458" t="n">
        <v>107</v>
      </c>
      <c r="P247" s="458" t="n">
        <v>109</v>
      </c>
      <c r="Q247" s="458" t="n">
        <v>33</v>
      </c>
      <c r="R247" s="458" t="inlineStr">
        <is>
          <t>계단식</t>
        </is>
      </c>
      <c r="S247" s="458" t="n">
        <v>3</v>
      </c>
      <c r="T247" s="458" t="n">
        <v>2</v>
      </c>
      <c r="U247" s="458" t="n">
        <v>13.2</v>
      </c>
      <c r="V247" s="458" t="n">
        <v>11.77</v>
      </c>
      <c r="W247" s="458" t="inlineStr">
        <is>
          <t>계단식</t>
        </is>
      </c>
      <c r="X247" s="458" t="n">
        <v>3</v>
      </c>
      <c r="Y247" s="458" t="n">
        <v>2</v>
      </c>
      <c r="Z247" s="458" t="n">
        <v>107</v>
      </c>
    </row>
    <row r="248">
      <c r="A248" s="263" t="inlineStr">
        <is>
          <t>신천동</t>
        </is>
      </c>
      <c r="B248" s="263" t="n"/>
      <c r="C248" s="263" t="n"/>
      <c r="D248" s="263" t="n">
        <v>12951</v>
      </c>
      <c r="E248" s="264" t="inlineStr">
        <is>
          <t>롯데캐슬골드(주상복합)</t>
        </is>
      </c>
      <c r="F248" s="263" t="n">
        <v>122</v>
      </c>
      <c r="G248" s="263" t="n"/>
      <c r="H248" s="263" t="n"/>
      <c r="I248" s="263">
        <f>G248-H248</f>
        <v/>
      </c>
      <c r="J248" s="323">
        <f>H248/G248</f>
        <v/>
      </c>
      <c r="K248" s="263" t="n">
        <v>2005.11</v>
      </c>
      <c r="L248" s="263" t="n">
        <v>400</v>
      </c>
      <c r="M248" s="263">
        <f>2026-INT(K248)+1</f>
        <v/>
      </c>
      <c r="N248" s="263" t="n">
        <v>4</v>
      </c>
      <c r="O248" s="263" t="n"/>
      <c r="P248" s="263" t="n">
        <v>158</v>
      </c>
      <c r="Q248" s="263" t="n">
        <v>48</v>
      </c>
      <c r="R248" s="263" t="inlineStr">
        <is>
          <t>계단식</t>
        </is>
      </c>
      <c r="S248" s="263" t="n">
        <v>3</v>
      </c>
      <c r="T248" s="263" t="n">
        <v>2</v>
      </c>
      <c r="U248" s="263" t="n"/>
      <c r="V248" s="263" t="n"/>
      <c r="W248" s="263" t="inlineStr">
        <is>
          <t>계단식</t>
        </is>
      </c>
      <c r="X248" s="263" t="n">
        <v>3</v>
      </c>
      <c r="Y248" s="263" t="n">
        <v>2</v>
      </c>
      <c r="Z248" s="263" t="n">
        <v>4</v>
      </c>
      <c r="AA248" s="263" t="n"/>
      <c r="AB248" s="263" t="n"/>
      <c r="AC248" s="263" t="n"/>
      <c r="AD248" s="263" t="n"/>
      <c r="AE248" s="263" t="n"/>
      <c r="AF248" s="263" t="n"/>
      <c r="AG248" s="263" t="n"/>
      <c r="AH248" s="263" t="n"/>
      <c r="AI248" s="263" t="n"/>
      <c r="AJ248" s="263" t="n"/>
      <c r="AK248" s="263" t="n"/>
    </row>
    <row r="249">
      <c r="A249" s="266" t="inlineStr">
        <is>
          <t>신천동</t>
        </is>
      </c>
      <c r="B249" s="263" t="n"/>
      <c r="C249" s="263" t="n"/>
      <c r="D249" s="266" t="n">
        <v>12951</v>
      </c>
      <c r="E249" s="264" t="inlineStr">
        <is>
          <t>롯데캐슬골드(주상복합)</t>
        </is>
      </c>
      <c r="F249" s="266" t="n">
        <v>133</v>
      </c>
      <c r="G249" s="263" t="n"/>
      <c r="H249" s="263" t="n"/>
      <c r="I249" s="263">
        <f>G249-H249</f>
        <v/>
      </c>
      <c r="J249" s="323">
        <f>H249/G249</f>
        <v/>
      </c>
      <c r="K249" s="266" t="n">
        <v>2005.11</v>
      </c>
      <c r="L249" s="266" t="n">
        <v>400</v>
      </c>
      <c r="M249" s="266">
        <f>2026-INT(K249)+1</f>
        <v/>
      </c>
      <c r="N249" s="266" t="n">
        <v>4</v>
      </c>
      <c r="O249" s="263" t="n"/>
      <c r="P249" s="266" t="n">
        <v>172</v>
      </c>
      <c r="Q249" s="266" t="n">
        <v>52</v>
      </c>
      <c r="R249" s="266" t="inlineStr">
        <is>
          <t>계단식</t>
        </is>
      </c>
      <c r="S249" s="266" t="n">
        <v>3</v>
      </c>
      <c r="T249" s="266" t="n">
        <v>2</v>
      </c>
      <c r="U249" s="266" t="n"/>
      <c r="V249" s="266" t="n"/>
      <c r="W249" s="266" t="inlineStr">
        <is>
          <t>계단식</t>
        </is>
      </c>
      <c r="X249" s="266" t="n">
        <v>3</v>
      </c>
      <c r="Y249" s="266" t="n">
        <v>2</v>
      </c>
      <c r="Z249" s="266" t="n">
        <v>4</v>
      </c>
      <c r="AA249" s="263" t="n"/>
      <c r="AB249" s="263" t="n"/>
      <c r="AC249" s="263" t="n"/>
      <c r="AD249" s="263" t="n"/>
      <c r="AE249" s="263" t="n"/>
      <c r="AF249" s="263" t="n"/>
      <c r="AG249" s="263" t="n"/>
      <c r="AH249" s="263" t="n"/>
      <c r="AI249" s="263" t="n"/>
      <c r="AJ249" s="263" t="n"/>
      <c r="AK249" s="263" t="n"/>
    </row>
    <row r="250">
      <c r="A250" s="266" t="inlineStr">
        <is>
          <t>신천동</t>
        </is>
      </c>
      <c r="B250" s="263" t="n"/>
      <c r="C250" s="263" t="n"/>
      <c r="D250" s="266" t="n">
        <v>12951</v>
      </c>
      <c r="E250" s="264" t="inlineStr">
        <is>
          <t>롯데캐슬골드(주상복합)</t>
        </is>
      </c>
      <c r="F250" s="266" t="n">
        <v>148</v>
      </c>
      <c r="G250" s="263" t="n"/>
      <c r="H250" s="263" t="n"/>
      <c r="I250" s="263">
        <f>G250-H250</f>
        <v/>
      </c>
      <c r="J250" s="323">
        <f>H250/G250</f>
        <v/>
      </c>
      <c r="K250" s="266" t="n">
        <v>2005.11</v>
      </c>
      <c r="L250" s="266" t="n">
        <v>400</v>
      </c>
      <c r="M250" s="266">
        <f>2026-INT(K250)+1</f>
        <v/>
      </c>
      <c r="N250" s="266" t="n">
        <v>76</v>
      </c>
      <c r="O250" s="263" t="n"/>
      <c r="P250" s="266" t="n">
        <v>190</v>
      </c>
      <c r="Q250" s="266" t="n">
        <v>57</v>
      </c>
      <c r="R250" s="266" t="inlineStr">
        <is>
          <t>계단식</t>
        </is>
      </c>
      <c r="S250" s="266" t="n">
        <v>3</v>
      </c>
      <c r="T250" s="266" t="n">
        <v>2</v>
      </c>
      <c r="U250" s="266" t="n">
        <v>23</v>
      </c>
      <c r="V250" s="266" t="n">
        <v>20</v>
      </c>
      <c r="W250" s="266" t="inlineStr">
        <is>
          <t>계단식</t>
        </is>
      </c>
      <c r="X250" s="266" t="n">
        <v>3</v>
      </c>
      <c r="Y250" s="266" t="n">
        <v>2</v>
      </c>
      <c r="Z250" s="266" t="n">
        <v>76</v>
      </c>
      <c r="AA250" s="263" t="n"/>
      <c r="AB250" s="263" t="n"/>
      <c r="AC250" s="263" t="n"/>
      <c r="AD250" s="263" t="n"/>
      <c r="AE250" s="263" t="n"/>
      <c r="AF250" s="263" t="n"/>
      <c r="AG250" s="263" t="n"/>
      <c r="AH250" s="263" t="n"/>
      <c r="AI250" s="263" t="n"/>
      <c r="AJ250" s="263" t="n"/>
      <c r="AK250" s="263" t="n"/>
    </row>
    <row r="251">
      <c r="A251" s="266" t="inlineStr">
        <is>
          <t>신천동</t>
        </is>
      </c>
      <c r="B251" s="263" t="n"/>
      <c r="C251" s="263" t="n"/>
      <c r="D251" s="266" t="n">
        <v>12951</v>
      </c>
      <c r="E251" s="264" t="inlineStr">
        <is>
          <t>롯데캐슬골드(주상복합)</t>
        </is>
      </c>
      <c r="F251" s="266" t="n">
        <v>166</v>
      </c>
      <c r="G251" s="263" t="n"/>
      <c r="H251" s="263" t="n"/>
      <c r="I251" s="263">
        <f>G251-H251</f>
        <v/>
      </c>
      <c r="J251" s="323">
        <f>H251/G251</f>
        <v/>
      </c>
      <c r="K251" s="266" t="n">
        <v>2005.11</v>
      </c>
      <c r="L251" s="266" t="n">
        <v>400</v>
      </c>
      <c r="M251" s="266">
        <f>2026-INT(K251)+1</f>
        <v/>
      </c>
      <c r="N251" s="266" t="n">
        <v>168</v>
      </c>
      <c r="O251" s="263" t="n"/>
      <c r="P251" s="266" t="n">
        <v>214</v>
      </c>
      <c r="Q251" s="266" t="n">
        <v>65</v>
      </c>
      <c r="R251" s="266" t="inlineStr">
        <is>
          <t>계단식</t>
        </is>
      </c>
      <c r="S251" s="266" t="n">
        <v>3</v>
      </c>
      <c r="T251" s="266" t="n">
        <v>2</v>
      </c>
      <c r="U251" s="266" t="n">
        <v>27.6</v>
      </c>
      <c r="V251" s="266" t="n">
        <v>20</v>
      </c>
      <c r="W251" s="266" t="inlineStr">
        <is>
          <t>계단식</t>
        </is>
      </c>
      <c r="X251" s="266" t="n">
        <v>3</v>
      </c>
      <c r="Y251" s="266" t="n">
        <v>2</v>
      </c>
      <c r="Z251" s="266" t="n">
        <v>168</v>
      </c>
      <c r="AA251" s="263" t="n"/>
      <c r="AB251" s="263" t="n"/>
      <c r="AC251" s="263" t="n"/>
      <c r="AD251" s="263" t="n"/>
      <c r="AE251" s="263" t="n"/>
      <c r="AF251" s="263" t="n"/>
      <c r="AG251" s="263" t="n"/>
      <c r="AH251" s="263" t="n"/>
      <c r="AI251" s="263" t="n"/>
      <c r="AJ251" s="263" t="n"/>
      <c r="AK251" s="263" t="n"/>
    </row>
    <row r="252">
      <c r="A252" s="266" t="inlineStr">
        <is>
          <t>신천동</t>
        </is>
      </c>
      <c r="B252" s="263" t="n"/>
      <c r="C252" s="263" t="n"/>
      <c r="D252" s="266" t="n">
        <v>12951</v>
      </c>
      <c r="E252" s="264" t="inlineStr">
        <is>
          <t>롯데캐슬골드(주상복합)</t>
        </is>
      </c>
      <c r="F252" s="266" t="n">
        <v>167</v>
      </c>
      <c r="G252" s="263" t="n"/>
      <c r="H252" s="263" t="n"/>
      <c r="I252" s="263">
        <f>G252-H252</f>
        <v/>
      </c>
      <c r="J252" s="323">
        <f>H252/G252</f>
        <v/>
      </c>
      <c r="K252" s="266" t="n">
        <v>2005.11</v>
      </c>
      <c r="L252" s="266" t="n">
        <v>400</v>
      </c>
      <c r="M252" s="266">
        <f>2026-INT(K252)+1</f>
        <v/>
      </c>
      <c r="N252" s="266" t="n">
        <v>4</v>
      </c>
      <c r="O252" s="263" t="n"/>
      <c r="P252" s="266" t="n">
        <v>215</v>
      </c>
      <c r="Q252" s="266" t="n">
        <v>65</v>
      </c>
      <c r="R252" s="266" t="inlineStr">
        <is>
          <t>계단식</t>
        </is>
      </c>
      <c r="S252" s="266" t="n">
        <v>3</v>
      </c>
      <c r="T252" s="266" t="n">
        <v>2</v>
      </c>
      <c r="U252" s="266" t="n">
        <v>27.6</v>
      </c>
      <c r="V252" s="266" t="n">
        <v>20</v>
      </c>
      <c r="W252" s="266" t="inlineStr">
        <is>
          <t>계단식</t>
        </is>
      </c>
      <c r="X252" s="266" t="n">
        <v>3</v>
      </c>
      <c r="Y252" s="266" t="n">
        <v>2</v>
      </c>
      <c r="Z252" s="266" t="n">
        <v>4</v>
      </c>
      <c r="AA252" s="263" t="n"/>
      <c r="AB252" s="263" t="n"/>
      <c r="AC252" s="263" t="n"/>
      <c r="AD252" s="263" t="n"/>
      <c r="AE252" s="263" t="n"/>
      <c r="AF252" s="263" t="n"/>
      <c r="AG252" s="263" t="n"/>
      <c r="AH252" s="263" t="n"/>
      <c r="AI252" s="263" t="n"/>
      <c r="AJ252" s="263" t="n"/>
      <c r="AK252" s="263" t="n"/>
    </row>
    <row r="253">
      <c r="A253" s="263" t="inlineStr">
        <is>
          <t>신천동</t>
        </is>
      </c>
      <c r="B253" s="263" t="n"/>
      <c r="C253" s="263" t="n"/>
      <c r="D253" s="263" t="n">
        <v>12951</v>
      </c>
      <c r="E253" s="264" t="inlineStr">
        <is>
          <t>롯데캐슬골드(주상복합)</t>
        </is>
      </c>
      <c r="F253" s="263" t="n">
        <v>170</v>
      </c>
      <c r="G253" s="263" t="n"/>
      <c r="H253" s="263" t="n"/>
      <c r="I253" s="263">
        <f>G253-H253</f>
        <v/>
      </c>
      <c r="J253" s="323">
        <f>H253/G253</f>
        <v/>
      </c>
      <c r="K253" s="263" t="n">
        <v>2005.11</v>
      </c>
      <c r="L253" s="263" t="n">
        <v>400</v>
      </c>
      <c r="M253" s="263">
        <f>2026-INT(K253)+1</f>
        <v/>
      </c>
      <c r="N253" s="263" t="n">
        <v>8</v>
      </c>
      <c r="O253" s="263" t="n"/>
      <c r="P253" s="263" t="n">
        <v>218</v>
      </c>
      <c r="Q253" s="263" t="n">
        <v>66</v>
      </c>
      <c r="R253" s="263" t="inlineStr">
        <is>
          <t>계단식</t>
        </is>
      </c>
      <c r="S253" s="263" t="n">
        <v>3</v>
      </c>
      <c r="T253" s="263" t="n">
        <v>2</v>
      </c>
      <c r="U253" s="263" t="n"/>
      <c r="V253" s="263" t="n"/>
      <c r="W253" s="263" t="inlineStr">
        <is>
          <t>계단식</t>
        </is>
      </c>
      <c r="X253" s="263" t="n">
        <v>3</v>
      </c>
      <c r="Y253" s="263" t="n">
        <v>2</v>
      </c>
      <c r="Z253" s="263" t="n">
        <v>8</v>
      </c>
      <c r="AA253" s="263" t="n"/>
      <c r="AB253" s="263" t="n"/>
      <c r="AC253" s="263" t="n"/>
      <c r="AD253" s="263" t="n"/>
      <c r="AE253" s="263" t="n"/>
      <c r="AF253" s="263" t="n"/>
      <c r="AG253" s="263" t="n"/>
      <c r="AH253" s="263" t="n"/>
      <c r="AI253" s="263" t="n"/>
      <c r="AJ253" s="263" t="n"/>
      <c r="AK253" s="263" t="n"/>
    </row>
    <row r="254">
      <c r="A254" s="263" t="inlineStr">
        <is>
          <t>신천동</t>
        </is>
      </c>
      <c r="B254" s="263" t="n"/>
      <c r="C254" s="263" t="n"/>
      <c r="D254" s="263" t="n">
        <v>12951</v>
      </c>
      <c r="E254" s="264" t="inlineStr">
        <is>
          <t>롯데캐슬골드(주상복합)</t>
        </is>
      </c>
      <c r="F254" s="263" t="n">
        <v>187</v>
      </c>
      <c r="G254" s="263" t="n"/>
      <c r="H254" s="263" t="n"/>
      <c r="I254" s="263">
        <f>G254-H254</f>
        <v/>
      </c>
      <c r="J254" s="323">
        <f>H254/G254</f>
        <v/>
      </c>
      <c r="K254" s="263" t="n">
        <v>2005.11</v>
      </c>
      <c r="L254" s="263" t="n">
        <v>400</v>
      </c>
      <c r="M254" s="263">
        <f>2026-INT(K254)+1</f>
        <v/>
      </c>
      <c r="N254" s="263" t="n">
        <v>80</v>
      </c>
      <c r="O254" s="263" t="n"/>
      <c r="P254" s="263" t="n">
        <v>241</v>
      </c>
      <c r="Q254" s="263" t="n">
        <v>73</v>
      </c>
      <c r="R254" s="263" t="inlineStr">
        <is>
          <t>계단식</t>
        </is>
      </c>
      <c r="S254" s="263" t="n">
        <v>3</v>
      </c>
      <c r="T254" s="263" t="n">
        <v>3</v>
      </c>
      <c r="U254" s="263" t="n">
        <v>31.5</v>
      </c>
      <c r="V254" s="263" t="n">
        <v>27.5</v>
      </c>
      <c r="W254" s="263" t="inlineStr">
        <is>
          <t>계단식</t>
        </is>
      </c>
      <c r="X254" s="263" t="n">
        <v>3</v>
      </c>
      <c r="Y254" s="263" t="n">
        <v>3</v>
      </c>
      <c r="Z254" s="263" t="n">
        <v>80</v>
      </c>
      <c r="AA254" s="263" t="n"/>
      <c r="AB254" s="263" t="n"/>
      <c r="AC254" s="263" t="n"/>
      <c r="AD254" s="263" t="n"/>
      <c r="AE254" s="263" t="n"/>
      <c r="AF254" s="263" t="n"/>
      <c r="AG254" s="263" t="n"/>
      <c r="AH254" s="263" t="n"/>
      <c r="AI254" s="263" t="n"/>
      <c r="AJ254" s="263" t="n"/>
      <c r="AK254" s="263" t="n"/>
    </row>
    <row r="255">
      <c r="A255" s="266" t="inlineStr">
        <is>
          <t>신천동</t>
        </is>
      </c>
      <c r="B255" s="263" t="n"/>
      <c r="C255" s="263" t="n"/>
      <c r="D255" s="266" t="n">
        <v>12951</v>
      </c>
      <c r="E255" s="264" t="inlineStr">
        <is>
          <t>롯데캐슬골드(주상복합)</t>
        </is>
      </c>
      <c r="F255" s="266" t="n">
        <v>188</v>
      </c>
      <c r="G255" s="263" t="n"/>
      <c r="H255" s="263" t="n"/>
      <c r="I255" s="263">
        <f>G255-H255</f>
        <v/>
      </c>
      <c r="J255" s="323">
        <f>H255/G255</f>
        <v/>
      </c>
      <c r="K255" s="266" t="n">
        <v>2005.11</v>
      </c>
      <c r="L255" s="266" t="n">
        <v>400</v>
      </c>
      <c r="M255" s="266">
        <f>2026-INT(K255)+1</f>
        <v/>
      </c>
      <c r="N255" s="266" t="n">
        <v>12</v>
      </c>
      <c r="O255" s="263" t="n"/>
      <c r="P255" s="266" t="n">
        <v>242</v>
      </c>
      <c r="Q255" s="266" t="n">
        <v>73</v>
      </c>
      <c r="R255" s="266" t="inlineStr">
        <is>
          <t>계단식</t>
        </is>
      </c>
      <c r="S255" s="266" t="n">
        <v>3</v>
      </c>
      <c r="T255" s="266" t="n">
        <v>3</v>
      </c>
      <c r="U255" s="266" t="n">
        <v>31.5</v>
      </c>
      <c r="V255" s="266" t="n">
        <v>27.5</v>
      </c>
      <c r="W255" s="266" t="inlineStr">
        <is>
          <t>계단식</t>
        </is>
      </c>
      <c r="X255" s="266" t="n">
        <v>3</v>
      </c>
      <c r="Y255" s="266" t="n">
        <v>3</v>
      </c>
      <c r="Z255" s="266" t="n">
        <v>12</v>
      </c>
      <c r="AA255" s="263" t="n"/>
      <c r="AB255" s="263" t="n"/>
      <c r="AC255" s="263" t="n"/>
      <c r="AD255" s="263" t="n"/>
      <c r="AE255" s="263" t="n"/>
      <c r="AF255" s="263" t="n"/>
      <c r="AG255" s="263" t="n"/>
      <c r="AH255" s="263" t="n"/>
      <c r="AI255" s="263" t="n"/>
      <c r="AJ255" s="263" t="n"/>
      <c r="AK255" s="263" t="n"/>
    </row>
    <row r="256">
      <c r="A256" s="266" t="inlineStr">
        <is>
          <t>신천동</t>
        </is>
      </c>
      <c r="B256" s="263" t="n"/>
      <c r="C256" s="263" t="n"/>
      <c r="D256" s="266" t="n">
        <v>12951</v>
      </c>
      <c r="E256" s="264" t="inlineStr">
        <is>
          <t>롯데캐슬골드(주상복합)</t>
        </is>
      </c>
      <c r="F256" s="266" t="n">
        <v>190</v>
      </c>
      <c r="G256" s="263" t="n"/>
      <c r="H256" s="263" t="n"/>
      <c r="I256" s="263">
        <f>G256-H256</f>
        <v/>
      </c>
      <c r="J256" s="323">
        <f>H256/G256</f>
        <v/>
      </c>
      <c r="K256" s="266" t="n">
        <v>2005.11</v>
      </c>
      <c r="L256" s="266" t="n">
        <v>400</v>
      </c>
      <c r="M256" s="266">
        <f>2026-INT(K256)+1</f>
        <v/>
      </c>
      <c r="N256" s="266" t="n">
        <v>4</v>
      </c>
      <c r="O256" s="263" t="n"/>
      <c r="P256" s="266" t="n">
        <v>245</v>
      </c>
      <c r="Q256" s="266" t="n">
        <v>74</v>
      </c>
      <c r="R256" s="266" t="inlineStr">
        <is>
          <t>계단식</t>
        </is>
      </c>
      <c r="S256" s="266" t="n">
        <v>3</v>
      </c>
      <c r="T256" s="266" t="n">
        <v>2</v>
      </c>
      <c r="U256" s="266" t="n">
        <v>27</v>
      </c>
      <c r="V256" s="266" t="n">
        <v>29.8</v>
      </c>
      <c r="W256" s="266" t="inlineStr">
        <is>
          <t>계단식</t>
        </is>
      </c>
      <c r="X256" s="266" t="n">
        <v>3</v>
      </c>
      <c r="Y256" s="266" t="n">
        <v>2</v>
      </c>
      <c r="Z256" s="266" t="n">
        <v>4</v>
      </c>
      <c r="AA256" s="263" t="n"/>
      <c r="AB256" s="263" t="n"/>
      <c r="AC256" s="263" t="n"/>
      <c r="AD256" s="263" t="n"/>
      <c r="AE256" s="263" t="n"/>
      <c r="AF256" s="263" t="n"/>
      <c r="AG256" s="263" t="n"/>
      <c r="AH256" s="263" t="n"/>
      <c r="AI256" s="263" t="n"/>
      <c r="AJ256" s="263" t="n"/>
      <c r="AK256" s="263" t="n"/>
    </row>
    <row r="257">
      <c r="A257" s="263" t="inlineStr">
        <is>
          <t>신천동</t>
        </is>
      </c>
      <c r="B257" s="263" t="n"/>
      <c r="C257" s="263" t="n"/>
      <c r="D257" s="263" t="n">
        <v>12951</v>
      </c>
      <c r="E257" s="264" t="inlineStr">
        <is>
          <t>롯데캐슬골드(주상복합)</t>
        </is>
      </c>
      <c r="F257" s="263" t="n">
        <v>193</v>
      </c>
      <c r="G257" s="263" t="n"/>
      <c r="H257" s="263" t="n"/>
      <c r="I257" s="263">
        <f>G257-H257</f>
        <v/>
      </c>
      <c r="J257" s="323">
        <f>H257/G257</f>
        <v/>
      </c>
      <c r="K257" s="263" t="n">
        <v>2005.11</v>
      </c>
      <c r="L257" s="263" t="n">
        <v>400</v>
      </c>
      <c r="M257" s="263">
        <f>2026-INT(K257)+1</f>
        <v/>
      </c>
      <c r="N257" s="263" t="n">
        <v>8</v>
      </c>
      <c r="O257" s="263" t="n"/>
      <c r="P257" s="263" t="n">
        <v>249</v>
      </c>
      <c r="Q257" s="263" t="n">
        <v>75</v>
      </c>
      <c r="R257" s="263" t="inlineStr">
        <is>
          <t>계단식</t>
        </is>
      </c>
      <c r="S257" s="263" t="n">
        <v>3</v>
      </c>
      <c r="T257" s="263" t="n">
        <v>3</v>
      </c>
      <c r="U257" s="263" t="n"/>
      <c r="V257" s="263" t="n">
        <v>30</v>
      </c>
      <c r="W257" s="263" t="inlineStr">
        <is>
          <t>계단식</t>
        </is>
      </c>
      <c r="X257" s="263" t="n">
        <v>3</v>
      </c>
      <c r="Y257" s="263" t="n">
        <v>3</v>
      </c>
      <c r="Z257" s="263" t="n">
        <v>8</v>
      </c>
      <c r="AA257" s="263" t="n"/>
      <c r="AB257" s="263" t="n"/>
      <c r="AC257" s="263" t="n"/>
      <c r="AD257" s="263" t="n"/>
      <c r="AE257" s="263" t="n"/>
      <c r="AF257" s="263" t="n"/>
      <c r="AG257" s="263" t="n"/>
      <c r="AH257" s="263" t="n"/>
      <c r="AI257" s="263" t="n"/>
      <c r="AJ257" s="263" t="n"/>
      <c r="AK257" s="263" t="n"/>
    </row>
    <row r="258">
      <c r="A258" s="263" t="inlineStr">
        <is>
          <t>신천동</t>
        </is>
      </c>
      <c r="B258" s="263" t="n"/>
      <c r="C258" s="263" t="n"/>
      <c r="D258" s="263" t="n">
        <v>12951</v>
      </c>
      <c r="E258" s="264" t="inlineStr">
        <is>
          <t>롯데캐슬골드(주상복합)</t>
        </is>
      </c>
      <c r="F258" s="263" t="n">
        <v>203</v>
      </c>
      <c r="G258" s="263" t="n"/>
      <c r="H258" s="263" t="n"/>
      <c r="I258" s="263">
        <f>G258-H258</f>
        <v/>
      </c>
      <c r="J258" s="323">
        <f>H258/G258</f>
        <v/>
      </c>
      <c r="K258" s="263" t="n">
        <v>2005.11</v>
      </c>
      <c r="L258" s="263" t="n">
        <v>400</v>
      </c>
      <c r="M258" s="263">
        <f>2026-INT(K258)+1</f>
        <v/>
      </c>
      <c r="N258" s="263" t="n">
        <v>4</v>
      </c>
      <c r="O258" s="263" t="n"/>
      <c r="P258" s="263" t="n">
        <v>261</v>
      </c>
      <c r="Q258" s="263" t="n">
        <v>79</v>
      </c>
      <c r="R258" s="263" t="inlineStr">
        <is>
          <t>계단식</t>
        </is>
      </c>
      <c r="S258" s="263" t="n">
        <v>3</v>
      </c>
      <c r="T258" s="263" t="n">
        <v>3</v>
      </c>
      <c r="U258" s="263" t="n"/>
      <c r="V258" s="263" t="n"/>
      <c r="W258" s="263" t="inlineStr">
        <is>
          <t>계단식</t>
        </is>
      </c>
      <c r="X258" s="263" t="n">
        <v>3</v>
      </c>
      <c r="Y258" s="263" t="n">
        <v>3</v>
      </c>
      <c r="Z258" s="263" t="n">
        <v>4</v>
      </c>
      <c r="AA258" s="263" t="n"/>
      <c r="AB258" s="263" t="n"/>
      <c r="AC258" s="263" t="n"/>
      <c r="AD258" s="263" t="n"/>
      <c r="AE258" s="263" t="n"/>
      <c r="AF258" s="263" t="n"/>
      <c r="AG258" s="263" t="n"/>
      <c r="AH258" s="263" t="n"/>
      <c r="AI258" s="263" t="n"/>
      <c r="AJ258" s="263" t="n"/>
      <c r="AK258" s="263" t="n"/>
    </row>
    <row r="259">
      <c r="A259" s="263" t="inlineStr">
        <is>
          <t>신천동</t>
        </is>
      </c>
      <c r="B259" s="263" t="n"/>
      <c r="C259" s="263" t="n"/>
      <c r="D259" s="263" t="n">
        <v>12951</v>
      </c>
      <c r="E259" s="264" t="inlineStr">
        <is>
          <t>롯데캐슬골드(주상복합)</t>
        </is>
      </c>
      <c r="F259" s="263" t="n">
        <v>209</v>
      </c>
      <c r="G259" s="263" t="n"/>
      <c r="H259" s="263" t="n"/>
      <c r="I259" s="263">
        <f>G259-H259</f>
        <v/>
      </c>
      <c r="J259" s="323">
        <f>H259/G259</f>
        <v/>
      </c>
      <c r="K259" s="263" t="n">
        <v>2005.11</v>
      </c>
      <c r="L259" s="263" t="n">
        <v>400</v>
      </c>
      <c r="M259" s="263">
        <f>2026-INT(K259)+1</f>
        <v/>
      </c>
      <c r="N259" s="263" t="n">
        <v>8</v>
      </c>
      <c r="O259" s="263" t="n"/>
      <c r="P259" s="263" t="n">
        <v>269</v>
      </c>
      <c r="Q259" s="263" t="n">
        <v>81</v>
      </c>
      <c r="R259" s="263" t="inlineStr">
        <is>
          <t>계단식</t>
        </is>
      </c>
      <c r="S259" s="263" t="n">
        <v>3</v>
      </c>
      <c r="T259" s="263" t="n">
        <v>3</v>
      </c>
      <c r="U259" s="263" t="n">
        <v>34</v>
      </c>
      <c r="V259" s="263" t="n">
        <v>31.6</v>
      </c>
      <c r="W259" s="263" t="inlineStr">
        <is>
          <t>계단식</t>
        </is>
      </c>
      <c r="X259" s="263" t="n">
        <v>3</v>
      </c>
      <c r="Y259" s="263" t="n">
        <v>3</v>
      </c>
      <c r="Z259" s="263" t="n">
        <v>8</v>
      </c>
      <c r="AA259" s="263" t="n"/>
      <c r="AB259" s="263" t="n"/>
      <c r="AC259" s="263" t="n"/>
      <c r="AD259" s="263" t="n"/>
      <c r="AE259" s="263" t="n"/>
      <c r="AF259" s="263" t="n"/>
      <c r="AG259" s="263" t="n"/>
      <c r="AH259" s="263" t="n"/>
      <c r="AI259" s="263" t="n"/>
      <c r="AJ259" s="263" t="n"/>
      <c r="AK259" s="263" t="n"/>
    </row>
    <row r="260">
      <c r="A260" s="266" t="inlineStr">
        <is>
          <t>신천동</t>
        </is>
      </c>
      <c r="B260" s="263" t="n"/>
      <c r="C260" s="263" t="n"/>
      <c r="D260" s="266" t="n">
        <v>12951</v>
      </c>
      <c r="E260" s="264" t="inlineStr">
        <is>
          <t>롯데캐슬골드(주상복합)</t>
        </is>
      </c>
      <c r="F260" s="266" t="n">
        <v>212</v>
      </c>
      <c r="G260" s="263" t="n"/>
      <c r="H260" s="263" t="n"/>
      <c r="I260" s="263">
        <f>G260-H260</f>
        <v/>
      </c>
      <c r="J260" s="323">
        <f>H260/G260</f>
        <v/>
      </c>
      <c r="K260" s="266" t="n">
        <v>2005.11</v>
      </c>
      <c r="L260" s="266" t="n">
        <v>400</v>
      </c>
      <c r="M260" s="266">
        <f>2026-INT(K260)+1</f>
        <v/>
      </c>
      <c r="N260" s="266" t="n">
        <v>4</v>
      </c>
      <c r="O260" s="263" t="n"/>
      <c r="P260" s="266" t="n">
        <v>273</v>
      </c>
      <c r="Q260" s="266" t="n">
        <v>83</v>
      </c>
      <c r="R260" s="266" t="inlineStr">
        <is>
          <t>계단식</t>
        </is>
      </c>
      <c r="S260" s="266" t="n">
        <v>3</v>
      </c>
      <c r="T260" s="266" t="n">
        <v>3</v>
      </c>
      <c r="U260" s="263" t="n"/>
      <c r="V260" s="263" t="n"/>
      <c r="W260" s="266" t="inlineStr">
        <is>
          <t>계단식</t>
        </is>
      </c>
      <c r="X260" s="266" t="n">
        <v>3</v>
      </c>
      <c r="Y260" s="266" t="n">
        <v>3</v>
      </c>
      <c r="Z260" s="266" t="n">
        <v>4</v>
      </c>
      <c r="AA260" s="263" t="n"/>
      <c r="AB260" s="263" t="n"/>
      <c r="AC260" s="263" t="n"/>
      <c r="AD260" s="263" t="n"/>
      <c r="AE260" s="263" t="n"/>
      <c r="AF260" s="263" t="n"/>
      <c r="AG260" s="263" t="n"/>
      <c r="AH260" s="263" t="n"/>
      <c r="AI260" s="263" t="n"/>
      <c r="AJ260" s="263" t="n"/>
      <c r="AK260" s="263" t="n"/>
    </row>
    <row r="261">
      <c r="A261" s="266" t="inlineStr">
        <is>
          <t>신천동</t>
        </is>
      </c>
      <c r="B261" s="263" t="n"/>
      <c r="C261" s="263" t="n"/>
      <c r="D261" s="266" t="n">
        <v>12951</v>
      </c>
      <c r="E261" s="264" t="inlineStr">
        <is>
          <t>롯데캐슬골드(주상복합)</t>
        </is>
      </c>
      <c r="F261" s="266" t="n">
        <v>243</v>
      </c>
      <c r="G261" s="263" t="n"/>
      <c r="H261" s="263" t="n"/>
      <c r="I261" s="263">
        <f>G261-H261</f>
        <v/>
      </c>
      <c r="J261" s="323">
        <f>H261/G261</f>
        <v/>
      </c>
      <c r="K261" s="266" t="n">
        <v>2005.11</v>
      </c>
      <c r="L261" s="266" t="n">
        <v>400</v>
      </c>
      <c r="M261" s="266">
        <f>2026-INT(K261)+1</f>
        <v/>
      </c>
      <c r="N261" s="266" t="n">
        <v>4</v>
      </c>
      <c r="O261" s="263" t="n"/>
      <c r="P261" s="266" t="n">
        <v>312</v>
      </c>
      <c r="Q261" s="266" t="n">
        <v>94</v>
      </c>
      <c r="R261" s="266" t="inlineStr">
        <is>
          <t>계단식</t>
        </is>
      </c>
      <c r="S261" s="266" t="n">
        <v>3</v>
      </c>
      <c r="T261" s="266" t="n">
        <v>3</v>
      </c>
      <c r="U261" s="263" t="n"/>
      <c r="V261" s="263" t="n"/>
      <c r="W261" s="266" t="inlineStr">
        <is>
          <t>계단식</t>
        </is>
      </c>
      <c r="X261" s="266" t="n">
        <v>3</v>
      </c>
      <c r="Y261" s="266" t="n">
        <v>3</v>
      </c>
      <c r="Z261" s="266" t="n">
        <v>4</v>
      </c>
      <c r="AA261" s="263" t="n"/>
      <c r="AB261" s="263" t="n"/>
      <c r="AC261" s="263" t="n"/>
      <c r="AD261" s="263" t="n"/>
      <c r="AE261" s="263" t="n"/>
      <c r="AF261" s="263" t="n"/>
      <c r="AG261" s="263" t="n"/>
      <c r="AH261" s="263" t="n"/>
      <c r="AI261" s="263" t="n"/>
      <c r="AJ261" s="263" t="n"/>
      <c r="AK261" s="263" t="n"/>
    </row>
    <row r="262">
      <c r="A262" s="263" t="inlineStr">
        <is>
          <t>신천동</t>
        </is>
      </c>
      <c r="B262" s="263" t="n"/>
      <c r="C262" s="263" t="n"/>
      <c r="D262" s="263" t="n">
        <v>12951</v>
      </c>
      <c r="E262" s="264" t="inlineStr">
        <is>
          <t>롯데캐슬골드(주상복합)</t>
        </is>
      </c>
      <c r="F262" s="263" t="n">
        <v>244</v>
      </c>
      <c r="G262" s="263" t="n"/>
      <c r="H262" s="263" t="n"/>
      <c r="I262" s="263">
        <f>G262-H262</f>
        <v/>
      </c>
      <c r="J262" s="323">
        <f>H262/G262</f>
        <v/>
      </c>
      <c r="K262" s="263" t="n">
        <v>2005.11</v>
      </c>
      <c r="L262" s="263" t="n">
        <v>400</v>
      </c>
      <c r="M262" s="263">
        <f>2026-INT(K262)+1</f>
        <v/>
      </c>
      <c r="N262" s="263" t="n">
        <v>8</v>
      </c>
      <c r="O262" s="263" t="n"/>
      <c r="P262" s="263" t="n">
        <v>314</v>
      </c>
      <c r="Q262" s="263" t="n">
        <v>95</v>
      </c>
      <c r="R262" s="263" t="inlineStr">
        <is>
          <t>계단식</t>
        </is>
      </c>
      <c r="S262" s="263" t="n">
        <v>4</v>
      </c>
      <c r="T262" s="263" t="n">
        <v>3</v>
      </c>
      <c r="U262" s="263" t="n">
        <v>41.1</v>
      </c>
      <c r="V262" s="263" t="n"/>
      <c r="W262" s="263" t="inlineStr">
        <is>
          <t>계단식</t>
        </is>
      </c>
      <c r="X262" s="263" t="n">
        <v>4</v>
      </c>
      <c r="Y262" s="263" t="n">
        <v>3</v>
      </c>
      <c r="Z262" s="263" t="n">
        <v>8</v>
      </c>
      <c r="AA262" s="263" t="n"/>
      <c r="AB262" s="263" t="n"/>
      <c r="AC262" s="263" t="n"/>
      <c r="AD262" s="263" t="n"/>
      <c r="AE262" s="263" t="n"/>
      <c r="AF262" s="263" t="n"/>
      <c r="AG262" s="263" t="n"/>
      <c r="AH262" s="263" t="n"/>
      <c r="AI262" s="263" t="n"/>
      <c r="AJ262" s="263" t="n"/>
      <c r="AK262" s="263" t="n"/>
    </row>
    <row r="263">
      <c r="A263" s="263" t="inlineStr">
        <is>
          <t>신천동</t>
        </is>
      </c>
      <c r="B263" s="263" t="n"/>
      <c r="C263" s="263" t="n"/>
      <c r="D263" s="263" t="n">
        <v>12951</v>
      </c>
      <c r="E263" s="264" t="inlineStr">
        <is>
          <t>롯데캐슬골드(주상복합)</t>
        </is>
      </c>
      <c r="F263" s="263" t="n">
        <v>244</v>
      </c>
      <c r="G263" s="263" t="n"/>
      <c r="H263" s="263" t="n"/>
      <c r="I263" s="263">
        <f>G263-H263</f>
        <v/>
      </c>
      <c r="J263" s="323">
        <f>H263/G263</f>
        <v/>
      </c>
      <c r="K263" s="263" t="n">
        <v>2005.11</v>
      </c>
      <c r="L263" s="263" t="n">
        <v>400</v>
      </c>
      <c r="M263" s="263">
        <f>2026-INT(K263)+1</f>
        <v/>
      </c>
      <c r="N263" s="263" t="n">
        <v>4</v>
      </c>
      <c r="O263" s="263" t="n"/>
      <c r="P263" s="263" t="n">
        <v>314</v>
      </c>
      <c r="Q263" s="263" t="n">
        <v>95</v>
      </c>
      <c r="R263" s="263" t="inlineStr">
        <is>
          <t>계단식</t>
        </is>
      </c>
      <c r="S263" s="263" t="n">
        <v>3</v>
      </c>
      <c r="T263" s="263" t="n">
        <v>3</v>
      </c>
      <c r="U263" s="263" t="n">
        <v>41.1</v>
      </c>
      <c r="V263" s="263" t="n"/>
      <c r="W263" s="263" t="inlineStr">
        <is>
          <t>계단식</t>
        </is>
      </c>
      <c r="X263" s="263" t="n">
        <v>3</v>
      </c>
      <c r="Y263" s="263" t="n">
        <v>3</v>
      </c>
      <c r="Z263" s="263" t="n">
        <v>4</v>
      </c>
      <c r="AA263" s="263" t="n"/>
      <c r="AB263" s="263" t="n"/>
      <c r="AC263" s="263" t="n"/>
      <c r="AD263" s="263" t="n"/>
      <c r="AE263" s="263" t="n"/>
      <c r="AF263" s="263" t="n"/>
      <c r="AG263" s="263" t="n"/>
      <c r="AH263" s="263" t="n"/>
      <c r="AI263" s="263" t="n"/>
      <c r="AJ263" s="263" t="n"/>
      <c r="AK263" s="263" t="n"/>
    </row>
    <row r="264">
      <c r="A264" s="458" t="inlineStr">
        <is>
          <t>신천동</t>
        </is>
      </c>
      <c r="D264" s="458" t="n">
        <v>26774</v>
      </c>
      <c r="E264" s="265" t="inlineStr">
        <is>
          <t>잠실더샵스타파크(주상복합)</t>
        </is>
      </c>
      <c r="F264" s="458" t="n">
        <v>137</v>
      </c>
      <c r="I264" s="263">
        <f>G264-H264</f>
        <v/>
      </c>
      <c r="J264" s="323">
        <f>H264/G264</f>
        <v/>
      </c>
      <c r="K264" s="458" t="n">
        <v>2008.09</v>
      </c>
      <c r="L264" s="458" t="n">
        <v>213</v>
      </c>
      <c r="M264" s="458">
        <f>2026-INT(K264)+1</f>
        <v/>
      </c>
      <c r="N264" s="458" t="n">
        <v>22</v>
      </c>
      <c r="P264" s="458" t="n">
        <v>167</v>
      </c>
      <c r="Q264" s="458" t="n">
        <v>51</v>
      </c>
      <c r="R264" s="458" t="inlineStr">
        <is>
          <t>계단식</t>
        </is>
      </c>
      <c r="S264" s="458" t="n">
        <v>3</v>
      </c>
      <c r="T264" s="458" t="n">
        <v>2</v>
      </c>
      <c r="V264" s="458" t="n">
        <v>22.5</v>
      </c>
      <c r="W264" s="458" t="inlineStr">
        <is>
          <t>계단식</t>
        </is>
      </c>
      <c r="X264" s="458" t="n">
        <v>3</v>
      </c>
      <c r="Y264" s="458" t="n">
        <v>2</v>
      </c>
      <c r="Z264" s="458" t="n">
        <v>22</v>
      </c>
    </row>
    <row r="265">
      <c r="A265" s="458" t="inlineStr">
        <is>
          <t>신천동</t>
        </is>
      </c>
      <c r="D265" s="458" t="n">
        <v>26774</v>
      </c>
      <c r="E265" s="265" t="inlineStr">
        <is>
          <t>잠실더샵스타파크(주상복합)</t>
        </is>
      </c>
      <c r="F265" s="458" t="n">
        <v>157</v>
      </c>
      <c r="I265" s="263">
        <f>G265-H265</f>
        <v/>
      </c>
      <c r="J265" s="323">
        <f>H265/G265</f>
        <v/>
      </c>
      <c r="K265" s="458" t="n">
        <v>2008.09</v>
      </c>
      <c r="L265" s="458" t="n">
        <v>213</v>
      </c>
      <c r="M265" s="458">
        <f>2026-INT(K265)+1</f>
        <v/>
      </c>
      <c r="N265" s="458" t="n">
        <v>16</v>
      </c>
      <c r="P265" s="458" t="n">
        <v>191</v>
      </c>
      <c r="Q265" s="458" t="n">
        <v>58</v>
      </c>
      <c r="R265" s="458" t="inlineStr">
        <is>
          <t>계단식</t>
        </is>
      </c>
      <c r="S265" s="458" t="n">
        <v>1</v>
      </c>
      <c r="T265" s="458" t="n">
        <v>1</v>
      </c>
      <c r="W265" s="458" t="inlineStr">
        <is>
          <t>계단식</t>
        </is>
      </c>
      <c r="X265" s="458" t="n">
        <v>1</v>
      </c>
      <c r="Y265" s="458" t="n">
        <v>1</v>
      </c>
      <c r="Z265" s="458" t="n">
        <v>16</v>
      </c>
    </row>
    <row r="266">
      <c r="A266" s="458" t="inlineStr">
        <is>
          <t>신천동</t>
        </is>
      </c>
      <c r="D266" s="458" t="n">
        <v>26774</v>
      </c>
      <c r="E266" s="265" t="inlineStr">
        <is>
          <t>잠실더샵스타파크(주상복합)</t>
        </is>
      </c>
      <c r="F266" s="458" t="n">
        <v>173</v>
      </c>
      <c r="I266" s="263">
        <f>G266-H266</f>
        <v/>
      </c>
      <c r="J266" s="323">
        <f>H266/G266</f>
        <v/>
      </c>
      <c r="K266" s="458" t="n">
        <v>2008.09</v>
      </c>
      <c r="L266" s="458" t="n">
        <v>213</v>
      </c>
      <c r="M266" s="458">
        <f>2026-INT(K266)+1</f>
        <v/>
      </c>
      <c r="N266" s="458" t="n">
        <v>88</v>
      </c>
      <c r="P266" s="458" t="n">
        <v>211</v>
      </c>
      <c r="Q266" s="458" t="n">
        <v>64</v>
      </c>
      <c r="R266" s="458" t="inlineStr">
        <is>
          <t>계단식</t>
        </is>
      </c>
      <c r="S266" s="458" t="n">
        <v>4</v>
      </c>
      <c r="T266" s="458" t="n">
        <v>2</v>
      </c>
      <c r="U266" s="458" t="n">
        <v>20</v>
      </c>
      <c r="V266" s="458" t="n"/>
      <c r="W266" s="458" t="inlineStr">
        <is>
          <t>계단식</t>
        </is>
      </c>
      <c r="X266" s="458" t="n">
        <v>4</v>
      </c>
      <c r="Y266" s="458" t="n">
        <v>2</v>
      </c>
      <c r="Z266" s="458" t="n">
        <v>88</v>
      </c>
    </row>
    <row r="267">
      <c r="A267" s="458" t="inlineStr">
        <is>
          <t>신천동</t>
        </is>
      </c>
      <c r="D267" s="458" t="n">
        <v>26774</v>
      </c>
      <c r="E267" s="265" t="inlineStr">
        <is>
          <t>잠실더샵스타파크(주상복합)</t>
        </is>
      </c>
      <c r="F267" s="458" t="n">
        <v>186</v>
      </c>
      <c r="I267" s="263">
        <f>G267-H267</f>
        <v/>
      </c>
      <c r="J267" s="323">
        <f>H267/G267</f>
        <v/>
      </c>
      <c r="K267" s="458" t="n">
        <v>2008.09</v>
      </c>
      <c r="L267" s="458" t="n">
        <v>213</v>
      </c>
      <c r="M267" s="458">
        <f>2026-INT(K267)+1</f>
        <v/>
      </c>
      <c r="N267" s="458" t="n">
        <v>42</v>
      </c>
      <c r="P267" s="458" t="n">
        <v>230</v>
      </c>
      <c r="Q267" s="458" t="n">
        <v>70</v>
      </c>
      <c r="R267" s="458" t="inlineStr">
        <is>
          <t>계단식</t>
        </is>
      </c>
      <c r="S267" s="458" t="n">
        <v>4</v>
      </c>
      <c r="T267" s="458" t="n">
        <v>2</v>
      </c>
      <c r="U267" s="458" t="n">
        <v>31</v>
      </c>
      <c r="V267" s="458" t="n">
        <v>30</v>
      </c>
      <c r="W267" s="458" t="inlineStr">
        <is>
          <t>계단식</t>
        </is>
      </c>
      <c r="X267" s="458" t="n">
        <v>4</v>
      </c>
      <c r="Y267" s="458" t="n">
        <v>2</v>
      </c>
      <c r="Z267" s="458" t="n">
        <v>42</v>
      </c>
    </row>
    <row r="268">
      <c r="A268" s="458" t="inlineStr">
        <is>
          <t>신천동</t>
        </is>
      </c>
      <c r="D268" s="458" t="n">
        <v>26774</v>
      </c>
      <c r="E268" s="265" t="inlineStr">
        <is>
          <t>잠실더샵스타파크(주상복합)</t>
        </is>
      </c>
      <c r="F268" s="458" t="n">
        <v>208</v>
      </c>
      <c r="I268" s="263">
        <f>G268-H268</f>
        <v/>
      </c>
      <c r="J268" s="323">
        <f>H268/G268</f>
        <v/>
      </c>
      <c r="K268" s="458" t="n">
        <v>2008.09</v>
      </c>
      <c r="L268" s="458" t="n">
        <v>213</v>
      </c>
      <c r="M268" s="458">
        <f>2026-INT(K268)+1</f>
        <v/>
      </c>
      <c r="N268" s="458" t="n">
        <v>41</v>
      </c>
      <c r="P268" s="458" t="n">
        <v>253</v>
      </c>
      <c r="Q268" s="458" t="n">
        <v>77</v>
      </c>
      <c r="R268" s="458" t="inlineStr">
        <is>
          <t>계단식</t>
        </is>
      </c>
      <c r="S268" s="458" t="n">
        <v>4</v>
      </c>
      <c r="T268" s="458" t="n">
        <v>3</v>
      </c>
      <c r="U268" s="458" t="n">
        <v>23</v>
      </c>
      <c r="V268" s="458" t="n">
        <v>21.76</v>
      </c>
      <c r="W268" s="458" t="inlineStr">
        <is>
          <t>계단식</t>
        </is>
      </c>
      <c r="X268" s="458" t="n">
        <v>4</v>
      </c>
      <c r="Y268" s="458" t="n">
        <v>3</v>
      </c>
      <c r="Z268" s="458" t="n">
        <v>41</v>
      </c>
    </row>
    <row r="269">
      <c r="A269" s="458" t="inlineStr">
        <is>
          <t>신천동</t>
        </is>
      </c>
      <c r="D269" s="458" t="n">
        <v>26774</v>
      </c>
      <c r="E269" s="265" t="inlineStr">
        <is>
          <t>잠실더샵스타파크(주상복합)</t>
        </is>
      </c>
      <c r="F269" s="458" t="n">
        <v>237</v>
      </c>
      <c r="I269" s="263">
        <f>G269-H269</f>
        <v/>
      </c>
      <c r="J269" s="323">
        <f>H269/G269</f>
        <v/>
      </c>
      <c r="K269" s="458" t="n">
        <v>2008.09</v>
      </c>
      <c r="L269" s="458" t="n">
        <v>213</v>
      </c>
      <c r="M269" s="458">
        <f>2026-INT(K269)+1</f>
        <v/>
      </c>
      <c r="N269" s="458" t="n">
        <v>1</v>
      </c>
      <c r="P269" s="458" t="n">
        <v>290</v>
      </c>
      <c r="Q269" s="458" t="n">
        <v>88</v>
      </c>
      <c r="R269" s="458" t="inlineStr">
        <is>
          <t>계단식</t>
        </is>
      </c>
      <c r="S269" s="458" t="n">
        <v>5</v>
      </c>
      <c r="T269" s="458" t="n">
        <v>3</v>
      </c>
      <c r="W269" s="458" t="inlineStr">
        <is>
          <t>계단식</t>
        </is>
      </c>
      <c r="X269" s="458" t="n">
        <v>5</v>
      </c>
      <c r="Y269" s="458" t="n">
        <v>3</v>
      </c>
      <c r="Z269" s="458" t="n">
        <v>1</v>
      </c>
    </row>
    <row r="270">
      <c r="A270" s="458" t="inlineStr">
        <is>
          <t>신천동</t>
        </is>
      </c>
      <c r="D270" s="458" t="n">
        <v>26774</v>
      </c>
      <c r="E270" s="265" t="inlineStr">
        <is>
          <t>잠실더샵스타파크(주상복합)</t>
        </is>
      </c>
      <c r="F270" s="458" t="n">
        <v>240</v>
      </c>
      <c r="I270" s="263">
        <f>G270-H270</f>
        <v/>
      </c>
      <c r="J270" s="323">
        <f>H270/G270</f>
        <v/>
      </c>
      <c r="K270" s="458" t="n">
        <v>2008.09</v>
      </c>
      <c r="L270" s="458" t="n">
        <v>213</v>
      </c>
      <c r="M270" s="458">
        <f>2026-INT(K270)+1</f>
        <v/>
      </c>
      <c r="N270" s="458" t="n">
        <v>2</v>
      </c>
      <c r="P270" s="458" t="n">
        <v>294</v>
      </c>
      <c r="Q270" s="458" t="n">
        <v>89</v>
      </c>
      <c r="R270" s="458" t="inlineStr">
        <is>
          <t>계단식</t>
        </is>
      </c>
      <c r="S270" s="458" t="n">
        <v>4</v>
      </c>
      <c r="T270" s="458" t="n">
        <v>4</v>
      </c>
      <c r="W270" s="458" t="inlineStr">
        <is>
          <t>계단식</t>
        </is>
      </c>
      <c r="X270" s="458" t="n">
        <v>4</v>
      </c>
      <c r="Y270" s="458" t="n">
        <v>4</v>
      </c>
      <c r="Z270" s="458" t="n">
        <v>2</v>
      </c>
    </row>
    <row r="271">
      <c r="A271" s="458" t="inlineStr">
        <is>
          <t>신천동</t>
        </is>
      </c>
      <c r="D271" s="458" t="n">
        <v>26774</v>
      </c>
      <c r="E271" s="265" t="inlineStr">
        <is>
          <t>잠실더샵스타파크(주상복합)</t>
        </is>
      </c>
      <c r="F271" s="458" t="n">
        <v>244</v>
      </c>
      <c r="I271" s="263">
        <f>G271-H271</f>
        <v/>
      </c>
      <c r="J271" s="323">
        <f>H271/G271</f>
        <v/>
      </c>
      <c r="K271" s="458" t="n">
        <v>2008.09</v>
      </c>
      <c r="L271" s="458" t="n">
        <v>213</v>
      </c>
      <c r="M271" s="458">
        <f>2026-INT(K271)+1</f>
        <v/>
      </c>
      <c r="N271" s="458" t="n">
        <v>1</v>
      </c>
      <c r="P271" s="458" t="n">
        <v>333</v>
      </c>
      <c r="Q271" s="458" t="n">
        <v>101</v>
      </c>
      <c r="R271" s="458" t="inlineStr">
        <is>
          <t>계단식</t>
        </is>
      </c>
      <c r="S271" s="458" t="n">
        <v>4</v>
      </c>
      <c r="T271" s="458" t="n">
        <v>3</v>
      </c>
      <c r="U271" s="458" t="n"/>
      <c r="V271" s="458" t="n"/>
      <c r="W271" s="458" t="inlineStr">
        <is>
          <t>계단식</t>
        </is>
      </c>
      <c r="X271" s="458" t="n">
        <v>4</v>
      </c>
      <c r="Y271" s="458" t="n">
        <v>3</v>
      </c>
      <c r="Z271" s="458" t="n">
        <v>1</v>
      </c>
    </row>
    <row r="272">
      <c r="A272" s="266" t="inlineStr">
        <is>
          <t>신천동</t>
        </is>
      </c>
      <c r="B272" s="263" t="n"/>
      <c r="C272" s="263" t="n"/>
      <c r="D272" s="266" t="n">
        <v>180737</v>
      </c>
      <c r="E272" s="264" t="inlineStr">
        <is>
          <t>잠실래미안아이파크</t>
        </is>
      </c>
      <c r="F272" s="266" t="n">
        <v>43</v>
      </c>
      <c r="G272" s="263" t="n">
        <v>254000</v>
      </c>
      <c r="H272" s="263" t="n">
        <v>105000</v>
      </c>
      <c r="I272" s="263">
        <f>G272-H272</f>
        <v/>
      </c>
      <c r="J272" s="323">
        <f>H272/G272</f>
        <v/>
      </c>
      <c r="K272" s="266" t="n">
        <v>2025.12</v>
      </c>
      <c r="L272" s="266" t="n">
        <v>2678</v>
      </c>
      <c r="M272" s="266">
        <f>2026-INT(K272)+1</f>
        <v/>
      </c>
      <c r="N272" s="266" t="n">
        <v>181</v>
      </c>
      <c r="O272" s="263" t="n"/>
      <c r="P272" s="266" t="n">
        <v>68</v>
      </c>
      <c r="Q272" s="266" t="n">
        <v>21</v>
      </c>
      <c r="R272" s="266" t="inlineStr">
        <is>
          <t>계단식</t>
        </is>
      </c>
      <c r="S272" s="266" t="n">
        <v>2</v>
      </c>
      <c r="T272" s="266" t="n">
        <v>1</v>
      </c>
      <c r="U272" s="266" t="n"/>
      <c r="V272" s="266" t="n"/>
      <c r="W272" s="266" t="inlineStr">
        <is>
          <t>계단식</t>
        </is>
      </c>
      <c r="X272" s="266" t="n">
        <v>2</v>
      </c>
      <c r="Y272" s="266" t="n">
        <v>1</v>
      </c>
      <c r="Z272" s="266" t="n">
        <v>181</v>
      </c>
      <c r="AA272" s="263" t="n"/>
      <c r="AB272" s="263" t="n"/>
      <c r="AC272" s="263" t="n"/>
      <c r="AD272" s="263" t="n"/>
      <c r="AE272" s="263" t="n"/>
      <c r="AF272" s="263" t="n"/>
      <c r="AG272" s="263" t="n"/>
      <c r="AH272" s="263" t="n"/>
      <c r="AI272" s="263" t="n"/>
      <c r="AJ272" s="263" t="n"/>
      <c r="AK272" s="263" t="n"/>
    </row>
    <row r="273">
      <c r="A273" s="266" t="inlineStr">
        <is>
          <t>신천동</t>
        </is>
      </c>
      <c r="B273" s="263" t="n"/>
      <c r="C273" s="263" t="n"/>
      <c r="D273" s="266" t="n">
        <v>180737</v>
      </c>
      <c r="E273" s="264" t="inlineStr">
        <is>
          <t>잠실래미안아이파크</t>
        </is>
      </c>
      <c r="F273" s="266" t="n">
        <v>59</v>
      </c>
      <c r="G273" s="263" t="n">
        <v>200001</v>
      </c>
      <c r="H273" s="263" t="n">
        <v>105000</v>
      </c>
      <c r="I273" s="263">
        <f>G273-H273</f>
        <v/>
      </c>
      <c r="J273" s="323">
        <f>H273/G273</f>
        <v/>
      </c>
      <c r="K273" s="266" t="n">
        <v>2025.12</v>
      </c>
      <c r="L273" s="266" t="n">
        <v>2678</v>
      </c>
      <c r="M273" s="266">
        <f>2026-INT(K273)+1</f>
        <v/>
      </c>
      <c r="N273" s="266" t="n">
        <v>408</v>
      </c>
      <c r="O273" s="263" t="n"/>
      <c r="P273" s="266" t="n">
        <v>87</v>
      </c>
      <c r="Q273" s="266" t="n">
        <v>26</v>
      </c>
      <c r="R273" s="266" t="inlineStr">
        <is>
          <t>계단식</t>
        </is>
      </c>
      <c r="S273" s="266" t="n">
        <v>3</v>
      </c>
      <c r="T273" s="266" t="n">
        <v>2</v>
      </c>
      <c r="U273" s="266" t="n"/>
      <c r="V273" s="266" t="n"/>
      <c r="W273" s="266" t="inlineStr">
        <is>
          <t>계단식</t>
        </is>
      </c>
      <c r="X273" s="266" t="n">
        <v>3</v>
      </c>
      <c r="Y273" s="266" t="n">
        <v>2</v>
      </c>
      <c r="Z273" s="266" t="n">
        <v>408</v>
      </c>
      <c r="AA273" s="263" t="n"/>
      <c r="AB273" s="263" t="n"/>
      <c r="AC273" s="263" t="n"/>
      <c r="AD273" s="263" t="n"/>
      <c r="AE273" s="263" t="n"/>
      <c r="AF273" s="263" t="n"/>
      <c r="AG273" s="263" t="n"/>
      <c r="AH273" s="263" t="n"/>
      <c r="AI273" s="263" t="n"/>
      <c r="AJ273" s="263" t="n"/>
      <c r="AK273" s="263" t="n"/>
    </row>
    <row r="274">
      <c r="A274" s="266" t="inlineStr">
        <is>
          <t>신천동</t>
        </is>
      </c>
      <c r="B274" s="263" t="n"/>
      <c r="C274" s="263" t="n"/>
      <c r="D274" s="266" t="n">
        <v>180737</v>
      </c>
      <c r="E274" s="264" t="inlineStr">
        <is>
          <t>잠실래미안아이파크</t>
        </is>
      </c>
      <c r="F274" s="266" t="n">
        <v>74</v>
      </c>
      <c r="G274" s="263" t="n">
        <v>320000</v>
      </c>
      <c r="H274" s="263" t="n">
        <v>130000</v>
      </c>
      <c r="I274" s="263">
        <f>G274-H274</f>
        <v/>
      </c>
      <c r="J274" s="323">
        <f>H274/G274</f>
        <v/>
      </c>
      <c r="K274" s="266" t="n">
        <v>2025.12</v>
      </c>
      <c r="L274" s="266" t="n">
        <v>2678</v>
      </c>
      <c r="M274" s="266">
        <f>2026-INT(K274)+1</f>
        <v/>
      </c>
      <c r="N274" s="266" t="n">
        <v>112</v>
      </c>
      <c r="O274" s="263" t="n"/>
      <c r="P274" s="266" t="n">
        <v>105</v>
      </c>
      <c r="Q274" s="266" t="n">
        <v>32</v>
      </c>
      <c r="R274" s="266" t="inlineStr">
        <is>
          <t>계단식</t>
        </is>
      </c>
      <c r="S274" s="266" t="n">
        <v>3</v>
      </c>
      <c r="T274" s="266" t="n">
        <v>2</v>
      </c>
      <c r="U274" s="266" t="n"/>
      <c r="V274" s="263" t="n"/>
      <c r="W274" s="266" t="inlineStr">
        <is>
          <t>계단식</t>
        </is>
      </c>
      <c r="X274" s="266" t="n">
        <v>3</v>
      </c>
      <c r="Y274" s="266" t="n">
        <v>2</v>
      </c>
      <c r="Z274" s="266" t="n">
        <v>112</v>
      </c>
      <c r="AA274" s="263" t="n"/>
      <c r="AB274" s="263" t="n"/>
      <c r="AC274" s="263" t="n"/>
      <c r="AD274" s="263" t="n"/>
      <c r="AE274" s="263" t="n"/>
      <c r="AF274" s="263" t="n"/>
      <c r="AG274" s="263" t="n"/>
      <c r="AH274" s="263" t="n"/>
      <c r="AI274" s="263" t="n"/>
      <c r="AJ274" s="263" t="n"/>
      <c r="AK274" s="263" t="n"/>
    </row>
    <row r="275">
      <c r="A275" s="266" t="inlineStr">
        <is>
          <t>신천동</t>
        </is>
      </c>
      <c r="B275" s="263" t="n"/>
      <c r="C275" s="263" t="n"/>
      <c r="D275" s="266" t="n">
        <v>180737</v>
      </c>
      <c r="E275" s="264" t="inlineStr">
        <is>
          <t>잠실래미안아이파크</t>
        </is>
      </c>
      <c r="F275" s="266" t="n">
        <v>84</v>
      </c>
      <c r="G275" s="263" t="n">
        <v>380000</v>
      </c>
      <c r="H275" s="263" t="n">
        <v>170000</v>
      </c>
      <c r="I275" s="263">
        <f>G275-H275</f>
        <v/>
      </c>
      <c r="J275" s="323">
        <f>H275/G275</f>
        <v/>
      </c>
      <c r="K275" s="266" t="n">
        <v>2025.12</v>
      </c>
      <c r="L275" s="266" t="n">
        <v>2678</v>
      </c>
      <c r="M275" s="266">
        <f>2026-INT(K275)+1</f>
        <v/>
      </c>
      <c r="N275" s="266" t="n">
        <v>1033</v>
      </c>
      <c r="O275" s="263" t="n"/>
      <c r="P275" s="266" t="n">
        <v>113</v>
      </c>
      <c r="Q275" s="266" t="n">
        <v>34</v>
      </c>
      <c r="R275" s="266" t="inlineStr">
        <is>
          <t>계단식</t>
        </is>
      </c>
      <c r="S275" s="266" t="n">
        <v>3</v>
      </c>
      <c r="T275" s="266" t="n">
        <v>2</v>
      </c>
      <c r="U275" s="266" t="n"/>
      <c r="V275" s="263" t="n"/>
      <c r="W275" s="266" t="inlineStr">
        <is>
          <t>계단식</t>
        </is>
      </c>
      <c r="X275" s="266" t="n">
        <v>3</v>
      </c>
      <c r="Y275" s="266" t="n">
        <v>2</v>
      </c>
      <c r="Z275" s="266" t="n">
        <v>1033</v>
      </c>
      <c r="AA275" s="263" t="n"/>
      <c r="AB275" s="263" t="n"/>
      <c r="AC275" s="263" t="n"/>
      <c r="AD275" s="263" t="n"/>
      <c r="AE275" s="263" t="n"/>
      <c r="AF275" s="263" t="n"/>
      <c r="AG275" s="263" t="n"/>
      <c r="AH275" s="263" t="n"/>
      <c r="AI275" s="263" t="n"/>
      <c r="AJ275" s="263" t="n"/>
      <c r="AK275" s="263" t="n"/>
    </row>
    <row r="276">
      <c r="A276" s="266" t="inlineStr">
        <is>
          <t>신천동</t>
        </is>
      </c>
      <c r="B276" s="263" t="n"/>
      <c r="C276" s="263" t="n"/>
      <c r="D276" s="266" t="n">
        <v>180737</v>
      </c>
      <c r="E276" s="264" t="inlineStr">
        <is>
          <t>잠실래미안아이파크</t>
        </is>
      </c>
      <c r="F276" s="266" t="n">
        <v>104</v>
      </c>
      <c r="G276" s="263" t="n"/>
      <c r="H276" s="263" t="n"/>
      <c r="I276" s="263">
        <f>G276-H276</f>
        <v/>
      </c>
      <c r="J276" s="323">
        <f>H276/G276</f>
        <v/>
      </c>
      <c r="K276" s="266" t="n">
        <v>2025.12</v>
      </c>
      <c r="L276" s="266" t="n">
        <v>2678</v>
      </c>
      <c r="M276" s="266">
        <f>2026-INT(K276)+1</f>
        <v/>
      </c>
      <c r="N276" s="266" t="n">
        <v>225</v>
      </c>
      <c r="O276" s="263" t="n"/>
      <c r="P276" s="266" t="n">
        <v>135</v>
      </c>
      <c r="Q276" s="266" t="n">
        <v>41</v>
      </c>
      <c r="R276" s="266" t="inlineStr">
        <is>
          <t>계단식</t>
        </is>
      </c>
      <c r="S276" s="266" t="n">
        <v>3</v>
      </c>
      <c r="T276" s="266" t="n">
        <v>2</v>
      </c>
      <c r="U276" s="266" t="n"/>
      <c r="V276" s="263" t="n"/>
      <c r="W276" s="266" t="inlineStr">
        <is>
          <t>계단식</t>
        </is>
      </c>
      <c r="X276" s="266" t="n">
        <v>3</v>
      </c>
      <c r="Y276" s="266" t="n">
        <v>2</v>
      </c>
      <c r="Z276" s="266" t="n">
        <v>225</v>
      </c>
      <c r="AA276" s="263" t="n"/>
      <c r="AB276" s="263" t="n"/>
      <c r="AC276" s="263" t="n"/>
      <c r="AD276" s="263" t="n"/>
      <c r="AE276" s="263" t="n"/>
      <c r="AF276" s="263" t="n"/>
      <c r="AG276" s="263" t="n"/>
      <c r="AH276" s="263" t="n"/>
      <c r="AI276" s="263" t="n"/>
      <c r="AJ276" s="263" t="n"/>
      <c r="AK276" s="263" t="n"/>
    </row>
    <row r="277">
      <c r="A277" s="266" t="inlineStr">
        <is>
          <t>신천동</t>
        </is>
      </c>
      <c r="B277" s="263" t="n"/>
      <c r="C277" s="263" t="n"/>
      <c r="D277" s="266" t="n">
        <v>180737</v>
      </c>
      <c r="E277" s="264" t="inlineStr">
        <is>
          <t>잠실래미안아이파크</t>
        </is>
      </c>
      <c r="F277" s="266" t="n">
        <v>118</v>
      </c>
      <c r="G277" s="263" t="n"/>
      <c r="H277" s="263" t="n"/>
      <c r="I277" s="263">
        <f>G277-H277</f>
        <v/>
      </c>
      <c r="J277" s="323">
        <f>H277/G277</f>
        <v/>
      </c>
      <c r="K277" s="266" t="n">
        <v>2025.12</v>
      </c>
      <c r="L277" s="266" t="n">
        <v>2678</v>
      </c>
      <c r="M277" s="266">
        <f>2026-INT(K277)+1</f>
        <v/>
      </c>
      <c r="N277" s="266" t="n">
        <v>47</v>
      </c>
      <c r="O277" s="263" t="n"/>
      <c r="P277" s="266" t="n">
        <v>152</v>
      </c>
      <c r="Q277" s="266" t="n">
        <v>46</v>
      </c>
      <c r="R277" s="266" t="inlineStr">
        <is>
          <t>계단식</t>
        </is>
      </c>
      <c r="S277" s="266" t="n">
        <v>4</v>
      </c>
      <c r="T277" s="266" t="n">
        <v>2</v>
      </c>
      <c r="U277" s="263" t="n"/>
      <c r="V277" s="266" t="n"/>
      <c r="W277" s="266" t="inlineStr">
        <is>
          <t>계단식</t>
        </is>
      </c>
      <c r="X277" s="266" t="n">
        <v>4</v>
      </c>
      <c r="Y277" s="266" t="n">
        <v>2</v>
      </c>
      <c r="Z277" s="266" t="n">
        <v>47</v>
      </c>
      <c r="AA277" s="263" t="n"/>
      <c r="AB277" s="263" t="n"/>
      <c r="AC277" s="263" t="n"/>
      <c r="AD277" s="263" t="n"/>
      <c r="AE277" s="263" t="n"/>
      <c r="AF277" s="263" t="n"/>
      <c r="AG277" s="263" t="n"/>
      <c r="AH277" s="263" t="n"/>
      <c r="AI277" s="263" t="n"/>
      <c r="AJ277" s="263" t="n"/>
      <c r="AK277" s="263" t="n"/>
    </row>
    <row r="278">
      <c r="A278" s="266" t="inlineStr">
        <is>
          <t>신천동</t>
        </is>
      </c>
      <c r="B278" s="263" t="n"/>
      <c r="C278" s="263" t="n"/>
      <c r="D278" s="266" t="n">
        <v>180737</v>
      </c>
      <c r="E278" s="264" t="inlineStr">
        <is>
          <t>잠실래미안아이파크</t>
        </is>
      </c>
      <c r="F278" s="266" t="n">
        <v>118</v>
      </c>
      <c r="G278" s="263" t="n"/>
      <c r="H278" s="263" t="n"/>
      <c r="I278" s="263">
        <f>G278-H278</f>
        <v/>
      </c>
      <c r="J278" s="323">
        <f>H278/G278</f>
        <v/>
      </c>
      <c r="K278" s="266" t="n">
        <v>2025.12</v>
      </c>
      <c r="L278" s="266" t="n">
        <v>2678</v>
      </c>
      <c r="M278" s="266">
        <f>2026-INT(K278)+1</f>
        <v/>
      </c>
      <c r="N278" s="266" t="n">
        <v>59</v>
      </c>
      <c r="O278" s="263" t="n"/>
      <c r="P278" s="266" t="n">
        <v>152</v>
      </c>
      <c r="Q278" s="266" t="n">
        <v>46</v>
      </c>
      <c r="R278" s="266" t="inlineStr">
        <is>
          <t>계단식</t>
        </is>
      </c>
      <c r="S278" s="266" t="n">
        <v>3</v>
      </c>
      <c r="T278" s="266" t="n">
        <v>2</v>
      </c>
      <c r="U278" s="263" t="n"/>
      <c r="V278" s="266" t="n"/>
      <c r="W278" s="266" t="inlineStr">
        <is>
          <t>계단식</t>
        </is>
      </c>
      <c r="X278" s="266" t="n">
        <v>3</v>
      </c>
      <c r="Y278" s="266" t="n">
        <v>2</v>
      </c>
      <c r="Z278" s="266" t="n">
        <v>59</v>
      </c>
      <c r="AA278" s="263" t="n"/>
      <c r="AB278" s="263" t="n"/>
      <c r="AC278" s="263" t="n"/>
      <c r="AD278" s="263" t="n"/>
      <c r="AE278" s="263" t="n"/>
      <c r="AF278" s="263" t="n"/>
      <c r="AG278" s="263" t="n"/>
      <c r="AH278" s="263" t="n"/>
      <c r="AI278" s="263" t="n"/>
      <c r="AJ278" s="263" t="n"/>
      <c r="AK278" s="263" t="n"/>
    </row>
    <row r="279">
      <c r="A279" s="263" t="inlineStr">
        <is>
          <t>신천동</t>
        </is>
      </c>
      <c r="B279" s="263" t="n"/>
      <c r="C279" s="263" t="n"/>
      <c r="D279" s="263" t="n">
        <v>180737</v>
      </c>
      <c r="E279" s="264" t="inlineStr">
        <is>
          <t>잠실래미안아이파크</t>
        </is>
      </c>
      <c r="F279" s="263" t="n">
        <v>125</v>
      </c>
      <c r="G279" s="263" t="n"/>
      <c r="H279" s="263" t="n"/>
      <c r="I279" s="263">
        <f>G279-H279</f>
        <v/>
      </c>
      <c r="J279" s="323">
        <f>H279/G279</f>
        <v/>
      </c>
      <c r="K279" s="263" t="n">
        <v>2025.12</v>
      </c>
      <c r="L279" s="263" t="n">
        <v>2678</v>
      </c>
      <c r="M279" s="263">
        <f>2026-INT(K279)+1</f>
        <v/>
      </c>
      <c r="N279" s="263" t="n">
        <v>2</v>
      </c>
      <c r="O279" s="263" t="n"/>
      <c r="P279" s="263" t="n">
        <v>170</v>
      </c>
      <c r="Q279" s="263" t="n">
        <v>51</v>
      </c>
      <c r="R279" s="263" t="inlineStr">
        <is>
          <t>계단식</t>
        </is>
      </c>
      <c r="S279" s="263" t="n">
        <v>3</v>
      </c>
      <c r="T279" s="263" t="n">
        <v>2</v>
      </c>
      <c r="U279" s="263" t="n"/>
      <c r="V279" s="263" t="n"/>
      <c r="W279" s="263" t="inlineStr">
        <is>
          <t>계단식</t>
        </is>
      </c>
      <c r="X279" s="263" t="n">
        <v>3</v>
      </c>
      <c r="Y279" s="263" t="n">
        <v>2</v>
      </c>
      <c r="Z279" s="263" t="n">
        <v>2</v>
      </c>
      <c r="AA279" s="263" t="n"/>
      <c r="AB279" s="263" t="n"/>
      <c r="AC279" s="263" t="n"/>
      <c r="AD279" s="263" t="n"/>
      <c r="AE279" s="263" t="n"/>
      <c r="AF279" s="263" t="n"/>
      <c r="AG279" s="263" t="n"/>
      <c r="AH279" s="263" t="n"/>
      <c r="AI279" s="263" t="n"/>
      <c r="AJ279" s="263" t="n"/>
      <c r="AK279" s="263" t="n"/>
    </row>
    <row r="280">
      <c r="A280" s="263" t="inlineStr">
        <is>
          <t>신천동</t>
        </is>
      </c>
      <c r="B280" s="263" t="n"/>
      <c r="C280" s="263" t="n"/>
      <c r="D280" s="263" t="n">
        <v>180737</v>
      </c>
      <c r="E280" s="264" t="inlineStr">
        <is>
          <t>잠실래미안아이파크</t>
        </is>
      </c>
      <c r="F280" s="263" t="n">
        <v>129</v>
      </c>
      <c r="G280" s="263" t="n"/>
      <c r="H280" s="263" t="n"/>
      <c r="I280" s="263">
        <f>G280-H280</f>
        <v/>
      </c>
      <c r="J280" s="323">
        <f>H280/G280</f>
        <v/>
      </c>
      <c r="K280" s="263" t="n">
        <v>2025.12</v>
      </c>
      <c r="L280" s="263" t="n">
        <v>2678</v>
      </c>
      <c r="M280" s="263">
        <f>2026-INT(K280)+1</f>
        <v/>
      </c>
      <c r="N280" s="263" t="n">
        <v>34</v>
      </c>
      <c r="O280" s="263" t="n"/>
      <c r="P280" s="263" t="n">
        <v>164</v>
      </c>
      <c r="Q280" s="263" t="n">
        <v>50</v>
      </c>
      <c r="R280" s="263" t="inlineStr">
        <is>
          <t>계단식</t>
        </is>
      </c>
      <c r="S280" s="263" t="n">
        <v>3</v>
      </c>
      <c r="T280" s="263" t="n">
        <v>2</v>
      </c>
      <c r="U280" s="263" t="n"/>
      <c r="V280" s="263" t="n"/>
      <c r="W280" s="263" t="inlineStr">
        <is>
          <t>계단식</t>
        </is>
      </c>
      <c r="X280" s="263" t="n">
        <v>3</v>
      </c>
      <c r="Y280" s="263" t="n">
        <v>2</v>
      </c>
      <c r="Z280" s="263" t="n">
        <v>34</v>
      </c>
      <c r="AA280" s="263" t="n"/>
      <c r="AB280" s="263" t="n"/>
      <c r="AC280" s="263" t="n"/>
      <c r="AD280" s="263" t="n"/>
      <c r="AE280" s="263" t="n"/>
      <c r="AF280" s="263" t="n"/>
      <c r="AG280" s="263" t="n"/>
      <c r="AH280" s="263" t="n"/>
      <c r="AI280" s="263" t="n"/>
      <c r="AJ280" s="263" t="n"/>
      <c r="AK280" s="263" t="n"/>
    </row>
    <row r="281">
      <c r="A281" s="263" t="inlineStr">
        <is>
          <t>신천동</t>
        </is>
      </c>
      <c r="B281" s="263" t="n"/>
      <c r="C281" s="263" t="n"/>
      <c r="D281" s="263" t="n">
        <v>180737</v>
      </c>
      <c r="E281" s="264" t="inlineStr">
        <is>
          <t>잠실래미안아이파크</t>
        </is>
      </c>
      <c r="F281" s="263" t="n">
        <v>129</v>
      </c>
      <c r="G281" s="263" t="n"/>
      <c r="H281" s="263" t="n"/>
      <c r="I281" s="263">
        <f>G281-H281</f>
        <v/>
      </c>
      <c r="J281" s="323">
        <f>H281/G281</f>
        <v/>
      </c>
      <c r="K281" s="263" t="n">
        <v>2025.12</v>
      </c>
      <c r="L281" s="263" t="n">
        <v>2678</v>
      </c>
      <c r="M281" s="263">
        <f>2026-INT(K281)+1</f>
        <v/>
      </c>
      <c r="N281" s="263" t="n">
        <v>92</v>
      </c>
      <c r="O281" s="263" t="n"/>
      <c r="P281" s="263" t="n">
        <v>165</v>
      </c>
      <c r="Q281" s="263" t="n">
        <v>50</v>
      </c>
      <c r="R281" s="263" t="inlineStr">
        <is>
          <t>계단식</t>
        </is>
      </c>
      <c r="S281" s="263" t="n">
        <v>4</v>
      </c>
      <c r="T281" s="263" t="n">
        <v>2</v>
      </c>
      <c r="U281" s="263" t="n"/>
      <c r="V281" s="263" t="n"/>
      <c r="W281" s="263" t="inlineStr">
        <is>
          <t>계단식</t>
        </is>
      </c>
      <c r="X281" s="263" t="n">
        <v>4</v>
      </c>
      <c r="Y281" s="263" t="n">
        <v>2</v>
      </c>
      <c r="Z281" s="263" t="n">
        <v>92</v>
      </c>
      <c r="AA281" s="263" t="n"/>
      <c r="AB281" s="263" t="n"/>
      <c r="AC281" s="263" t="n"/>
      <c r="AD281" s="263" t="n"/>
      <c r="AE281" s="263" t="n"/>
      <c r="AF281" s="263" t="n"/>
      <c r="AG281" s="263" t="n"/>
      <c r="AH281" s="263" t="n"/>
      <c r="AI281" s="263" t="n"/>
      <c r="AJ281" s="263" t="n"/>
      <c r="AK281" s="263" t="n"/>
    </row>
    <row r="282">
      <c r="A282" s="263" t="inlineStr">
        <is>
          <t>신천동</t>
        </is>
      </c>
      <c r="B282" s="263" t="n"/>
      <c r="C282" s="263" t="n"/>
      <c r="D282" s="263" t="n">
        <v>180737</v>
      </c>
      <c r="E282" s="264" t="inlineStr">
        <is>
          <t>잠실래미안아이파크</t>
        </is>
      </c>
      <c r="F282" s="263" t="n">
        <v>135</v>
      </c>
      <c r="G282" s="263" t="n"/>
      <c r="H282" s="263" t="n"/>
      <c r="I282" s="263">
        <f>G282-H282</f>
        <v/>
      </c>
      <c r="J282" s="323">
        <f>H282/G282</f>
        <v/>
      </c>
      <c r="K282" s="263" t="n">
        <v>2025.12</v>
      </c>
      <c r="L282" s="263" t="n">
        <v>2678</v>
      </c>
      <c r="M282" s="263">
        <f>2026-INT(K282)+1</f>
        <v/>
      </c>
      <c r="N282" s="263" t="n">
        <v>2</v>
      </c>
      <c r="O282" s="263" t="n"/>
      <c r="P282" s="263" t="n">
        <v>183</v>
      </c>
      <c r="Q282" s="263" t="n">
        <v>55</v>
      </c>
      <c r="R282" s="263" t="inlineStr">
        <is>
          <t>계단식</t>
        </is>
      </c>
      <c r="S282" s="263" t="n">
        <v>3</v>
      </c>
      <c r="T282" s="263" t="n">
        <v>2</v>
      </c>
      <c r="U282" s="263" t="n"/>
      <c r="V282" s="263" t="n"/>
      <c r="W282" s="263" t="inlineStr">
        <is>
          <t>계단식</t>
        </is>
      </c>
      <c r="X282" s="263" t="n">
        <v>3</v>
      </c>
      <c r="Y282" s="263" t="n">
        <v>2</v>
      </c>
      <c r="Z282" s="263" t="n">
        <v>2</v>
      </c>
      <c r="AA282" s="263" t="n"/>
      <c r="AB282" s="263" t="n"/>
      <c r="AC282" s="263" t="n"/>
      <c r="AD282" s="263" t="n"/>
      <c r="AE282" s="263" t="n"/>
      <c r="AF282" s="263" t="n"/>
      <c r="AG282" s="263" t="n"/>
      <c r="AH282" s="263" t="n"/>
      <c r="AI282" s="263" t="n"/>
      <c r="AJ282" s="263" t="n"/>
      <c r="AK282" s="263" t="n"/>
    </row>
    <row r="283">
      <c r="A283" s="263" t="inlineStr">
        <is>
          <t>신천동</t>
        </is>
      </c>
      <c r="B283" s="263" t="n"/>
      <c r="C283" s="263" t="n"/>
      <c r="D283" s="263" t="n">
        <v>180737</v>
      </c>
      <c r="E283" s="264" t="inlineStr">
        <is>
          <t>잠실래미안아이파크</t>
        </is>
      </c>
      <c r="F283" s="263" t="n">
        <v>157</v>
      </c>
      <c r="G283" s="263" t="n"/>
      <c r="H283" s="263" t="n"/>
      <c r="I283" s="263">
        <f>G283-H283</f>
        <v/>
      </c>
      <c r="J283" s="323">
        <f>H283/G283</f>
        <v/>
      </c>
      <c r="K283" s="263" t="n">
        <v>2025.12</v>
      </c>
      <c r="L283" s="263" t="n">
        <v>2678</v>
      </c>
      <c r="M283" s="263">
        <f>2026-INT(K283)+1</f>
        <v/>
      </c>
      <c r="N283" s="263" t="n">
        <v>82</v>
      </c>
      <c r="O283" s="263" t="n"/>
      <c r="P283" s="263" t="n">
        <v>205</v>
      </c>
      <c r="Q283" s="263" t="n">
        <v>62</v>
      </c>
      <c r="R283" s="263" t="inlineStr">
        <is>
          <t>계단식</t>
        </is>
      </c>
      <c r="S283" s="263" t="n">
        <v>5</v>
      </c>
      <c r="T283" s="263" t="n">
        <v>3</v>
      </c>
      <c r="U283" s="263" t="n"/>
      <c r="V283" s="263" t="n"/>
      <c r="W283" s="263" t="inlineStr">
        <is>
          <t>계단식</t>
        </is>
      </c>
      <c r="X283" s="263" t="n">
        <v>5</v>
      </c>
      <c r="Y283" s="263" t="n">
        <v>3</v>
      </c>
      <c r="Z283" s="263" t="n">
        <v>82</v>
      </c>
      <c r="AA283" s="263" t="n"/>
      <c r="AB283" s="263" t="n"/>
      <c r="AC283" s="263" t="n"/>
      <c r="AD283" s="263" t="n"/>
      <c r="AE283" s="263" t="n"/>
      <c r="AF283" s="263" t="n"/>
      <c r="AG283" s="263" t="n"/>
      <c r="AH283" s="263" t="n"/>
      <c r="AI283" s="263" t="n"/>
      <c r="AJ283" s="263" t="n"/>
      <c r="AK283" s="263" t="n"/>
    </row>
    <row r="284">
      <c r="A284" s="263" t="inlineStr">
        <is>
          <t>신천동</t>
        </is>
      </c>
      <c r="B284" s="263" t="n"/>
      <c r="C284" s="263" t="n"/>
      <c r="D284" s="263" t="n">
        <v>180737</v>
      </c>
      <c r="E284" s="264" t="inlineStr">
        <is>
          <t>잠실래미안아이파크</t>
        </is>
      </c>
      <c r="F284" s="263" t="n">
        <v>157</v>
      </c>
      <c r="G284" s="263" t="n"/>
      <c r="H284" s="263" t="n"/>
      <c r="I284" s="263">
        <f>G284-H284</f>
        <v/>
      </c>
      <c r="J284" s="323">
        <f>H284/G284</f>
        <v/>
      </c>
      <c r="K284" s="263" t="n">
        <v>2025.12</v>
      </c>
      <c r="L284" s="263" t="n">
        <v>2678</v>
      </c>
      <c r="M284" s="263">
        <f>2026-INT(K284)+1</f>
        <v/>
      </c>
      <c r="N284" s="263" t="n">
        <v>49</v>
      </c>
      <c r="O284" s="263" t="n"/>
      <c r="P284" s="263" t="n">
        <v>205</v>
      </c>
      <c r="Q284" s="263" t="n">
        <v>62</v>
      </c>
      <c r="R284" s="263" t="inlineStr">
        <is>
          <t>계단식</t>
        </is>
      </c>
      <c r="S284" s="263" t="n">
        <v>4</v>
      </c>
      <c r="T284" s="263" t="n">
        <v>3</v>
      </c>
      <c r="U284" s="263" t="n"/>
      <c r="V284" s="263" t="n"/>
      <c r="W284" s="263" t="inlineStr">
        <is>
          <t>계단식</t>
        </is>
      </c>
      <c r="X284" s="263" t="n">
        <v>4</v>
      </c>
      <c r="Y284" s="263" t="n">
        <v>3</v>
      </c>
      <c r="Z284" s="263" t="n">
        <v>49</v>
      </c>
      <c r="AA284" s="263" t="n"/>
      <c r="AB284" s="263" t="n"/>
      <c r="AC284" s="263" t="n"/>
      <c r="AD284" s="263" t="n"/>
      <c r="AE284" s="263" t="n"/>
      <c r="AF284" s="263" t="n"/>
      <c r="AG284" s="263" t="n"/>
      <c r="AH284" s="263" t="n"/>
      <c r="AI284" s="263" t="n"/>
      <c r="AJ284" s="263" t="n"/>
      <c r="AK284" s="263" t="n"/>
    </row>
    <row r="285">
      <c r="A285" s="458" t="inlineStr">
        <is>
          <t>신천동</t>
        </is>
      </c>
      <c r="D285" s="458" t="n">
        <v>184857</v>
      </c>
      <c r="E285" s="146" t="inlineStr">
        <is>
          <t>잠실르엘</t>
        </is>
      </c>
      <c r="F285" s="458" t="n">
        <v>45</v>
      </c>
      <c r="H285" s="458" t="n">
        <v>107000</v>
      </c>
      <c r="I285" s="263">
        <f>G285-H285</f>
        <v/>
      </c>
      <c r="J285" s="323">
        <f>H285/G285</f>
        <v/>
      </c>
      <c r="K285" s="458" t="n">
        <v>2026.01</v>
      </c>
      <c r="L285" s="458" t="n">
        <v>1865</v>
      </c>
      <c r="M285" s="458">
        <f>2026-INT(K285)+1</f>
        <v/>
      </c>
      <c r="N285" s="458" t="n">
        <v>75</v>
      </c>
      <c r="P285" s="458" t="n">
        <v>67</v>
      </c>
      <c r="Q285" s="458" t="n">
        <v>20</v>
      </c>
      <c r="R285" s="458" t="inlineStr">
        <is>
          <t>계단식</t>
        </is>
      </c>
      <c r="S285" s="458" t="n">
        <v>2</v>
      </c>
      <c r="T285" s="458" t="n">
        <v>1</v>
      </c>
      <c r="W285" s="458" t="inlineStr">
        <is>
          <t>계단식</t>
        </is>
      </c>
      <c r="X285" s="458" t="n">
        <v>2</v>
      </c>
      <c r="Y285" s="458" t="n">
        <v>1</v>
      </c>
      <c r="Z285" s="458" t="n">
        <v>75</v>
      </c>
    </row>
    <row r="286">
      <c r="A286" s="458" t="inlineStr">
        <is>
          <t>신천동</t>
        </is>
      </c>
      <c r="D286" s="458" t="n">
        <v>184857</v>
      </c>
      <c r="E286" s="265" t="inlineStr">
        <is>
          <t>잠실르엘</t>
        </is>
      </c>
      <c r="F286" s="458" t="n">
        <v>51</v>
      </c>
      <c r="G286" s="458" t="n">
        <v>300000</v>
      </c>
      <c r="H286" s="458" t="n">
        <v>140000</v>
      </c>
      <c r="I286" s="263">
        <f>G286-H286</f>
        <v/>
      </c>
      <c r="J286" s="323">
        <f>H286/G286</f>
        <v/>
      </c>
      <c r="K286" s="458" t="n">
        <v>2026.01</v>
      </c>
      <c r="L286" s="458" t="n">
        <v>1865</v>
      </c>
      <c r="M286" s="458">
        <f>2026-INT(K286)+1</f>
        <v/>
      </c>
      <c r="N286" s="458" t="n">
        <v>52</v>
      </c>
      <c r="P286" s="458" t="n">
        <v>76</v>
      </c>
      <c r="Q286" s="458" t="n">
        <v>23</v>
      </c>
      <c r="R286" s="458" t="inlineStr">
        <is>
          <t>계단식</t>
        </is>
      </c>
      <c r="S286" s="458" t="n">
        <v>2</v>
      </c>
      <c r="T286" s="458" t="n">
        <v>2</v>
      </c>
      <c r="U286" s="458" t="n"/>
      <c r="V286" s="458" t="n"/>
      <c r="W286" s="458" t="inlineStr">
        <is>
          <t>계단식</t>
        </is>
      </c>
      <c r="X286" s="458" t="n">
        <v>2</v>
      </c>
      <c r="Y286" s="458" t="n">
        <v>2</v>
      </c>
      <c r="Z286" s="458" t="n">
        <v>52</v>
      </c>
    </row>
    <row r="287">
      <c r="A287" s="458" t="inlineStr">
        <is>
          <t>신천동</t>
        </is>
      </c>
      <c r="D287" s="458" t="n">
        <v>184857</v>
      </c>
      <c r="E287" s="265" t="inlineStr">
        <is>
          <t>잠실르엘</t>
        </is>
      </c>
      <c r="F287" s="458" t="n">
        <v>59</v>
      </c>
      <c r="G287" s="458" t="n">
        <v>335000</v>
      </c>
      <c r="H287" s="458" t="n">
        <v>150000</v>
      </c>
      <c r="I287" s="263">
        <f>G287-H287</f>
        <v/>
      </c>
      <c r="J287" s="323">
        <f>H287/G287</f>
        <v/>
      </c>
      <c r="K287" s="458" t="n">
        <v>2026.01</v>
      </c>
      <c r="L287" s="458" t="n">
        <v>1865</v>
      </c>
      <c r="M287" s="458">
        <f>2026-INT(K287)+1</f>
        <v/>
      </c>
      <c r="N287" s="458" t="n">
        <v>392</v>
      </c>
      <c r="P287" s="458" t="n">
        <v>82</v>
      </c>
      <c r="Q287" s="458" t="n">
        <v>25</v>
      </c>
      <c r="R287" s="458" t="inlineStr">
        <is>
          <t>계단식</t>
        </is>
      </c>
      <c r="S287" s="458" t="n">
        <v>3</v>
      </c>
      <c r="T287" s="458" t="n">
        <v>2</v>
      </c>
      <c r="U287" s="458" t="n"/>
      <c r="V287" s="458" t="n"/>
      <c r="W287" s="458" t="inlineStr">
        <is>
          <t>계단식</t>
        </is>
      </c>
      <c r="X287" s="458" t="n">
        <v>3</v>
      </c>
      <c r="Y287" s="458" t="n">
        <v>2</v>
      </c>
      <c r="Z287" s="458" t="n">
        <v>392</v>
      </c>
    </row>
    <row r="288">
      <c r="A288" s="458" t="inlineStr">
        <is>
          <t>신천동</t>
        </is>
      </c>
      <c r="D288" s="458" t="n">
        <v>184857</v>
      </c>
      <c r="E288" s="265" t="inlineStr">
        <is>
          <t>잠실르엘</t>
        </is>
      </c>
      <c r="F288" s="458" t="n">
        <v>74</v>
      </c>
      <c r="G288" s="458" t="n">
        <v>370000</v>
      </c>
      <c r="H288" s="458" t="n">
        <v>160000</v>
      </c>
      <c r="I288" s="263">
        <f>G288-H288</f>
        <v/>
      </c>
      <c r="J288" s="323">
        <f>H288/G288</f>
        <v/>
      </c>
      <c r="K288" s="458" t="n">
        <v>2026.01</v>
      </c>
      <c r="L288" s="458" t="n">
        <v>1865</v>
      </c>
      <c r="M288" s="458">
        <f>2026-INT(K288)+1</f>
        <v/>
      </c>
      <c r="N288" s="458" t="n">
        <v>298</v>
      </c>
      <c r="P288" s="458" t="n">
        <v>99</v>
      </c>
      <c r="Q288" s="458" t="n">
        <v>30</v>
      </c>
      <c r="R288" s="458" t="inlineStr">
        <is>
          <t>계단식</t>
        </is>
      </c>
      <c r="S288" s="458" t="n">
        <v>3</v>
      </c>
      <c r="T288" s="458" t="n">
        <v>2</v>
      </c>
      <c r="U288" s="458" t="n"/>
      <c r="V288" s="458" t="n"/>
      <c r="W288" s="458" t="inlineStr">
        <is>
          <t>계단식</t>
        </is>
      </c>
      <c r="X288" s="458" t="n">
        <v>3</v>
      </c>
      <c r="Y288" s="458" t="n">
        <v>2</v>
      </c>
      <c r="Z288" s="458" t="n">
        <v>298</v>
      </c>
    </row>
    <row r="289">
      <c r="A289" s="458" t="inlineStr">
        <is>
          <t>신천동</t>
        </is>
      </c>
      <c r="D289" s="458" t="n">
        <v>184857</v>
      </c>
      <c r="E289" s="265" t="inlineStr">
        <is>
          <t>잠실르엘</t>
        </is>
      </c>
      <c r="F289" s="458" t="n">
        <v>84</v>
      </c>
      <c r="G289" s="458" t="n">
        <v>410000</v>
      </c>
      <c r="H289" s="458" t="n">
        <v>190000</v>
      </c>
      <c r="I289" s="263">
        <f>G289-H289</f>
        <v/>
      </c>
      <c r="J289" s="323">
        <f>H289/G289</f>
        <v/>
      </c>
      <c r="K289" s="458" t="n">
        <v>2026.01</v>
      </c>
      <c r="L289" s="458" t="n">
        <v>1865</v>
      </c>
      <c r="M289" s="458">
        <f>2026-INT(K289)+1</f>
        <v/>
      </c>
      <c r="N289" s="458" t="n">
        <v>531</v>
      </c>
      <c r="P289" s="458" t="n">
        <v>111</v>
      </c>
      <c r="Q289" s="458" t="n">
        <v>34</v>
      </c>
      <c r="R289" s="458" t="inlineStr">
        <is>
          <t>계단식</t>
        </is>
      </c>
      <c r="S289" s="458" t="n">
        <v>3</v>
      </c>
      <c r="T289" s="458" t="n">
        <v>2</v>
      </c>
      <c r="U289" s="458" t="n"/>
      <c r="V289" s="458" t="n"/>
      <c r="W289" s="458" t="inlineStr">
        <is>
          <t>계단식</t>
        </is>
      </c>
      <c r="X289" s="458" t="n">
        <v>3</v>
      </c>
      <c r="Y289" s="458" t="n">
        <v>2</v>
      </c>
      <c r="Z289" s="458" t="n">
        <v>531</v>
      </c>
    </row>
    <row r="290">
      <c r="A290" s="458" t="inlineStr">
        <is>
          <t>신천동</t>
        </is>
      </c>
      <c r="D290" s="458" t="n">
        <v>184857</v>
      </c>
      <c r="E290" s="265" t="inlineStr">
        <is>
          <t>잠실르엘</t>
        </is>
      </c>
      <c r="F290" s="458" t="n">
        <v>95</v>
      </c>
      <c r="I290" s="263">
        <f>G290-H290</f>
        <v/>
      </c>
      <c r="J290" s="323">
        <f>H290/G290</f>
        <v/>
      </c>
      <c r="K290" s="458" t="n">
        <v>2026.01</v>
      </c>
      <c r="L290" s="458" t="n">
        <v>1865</v>
      </c>
      <c r="M290" s="458">
        <f>2026-INT(K290)+1</f>
        <v/>
      </c>
      <c r="N290" s="458" t="n">
        <v>97</v>
      </c>
      <c r="P290" s="458" t="n">
        <v>123</v>
      </c>
      <c r="Q290" s="458" t="n">
        <v>37</v>
      </c>
      <c r="R290" s="458" t="inlineStr">
        <is>
          <t>계단식</t>
        </is>
      </c>
      <c r="S290" s="458" t="n">
        <v>3</v>
      </c>
      <c r="T290" s="458" t="n">
        <v>2</v>
      </c>
      <c r="W290" s="458" t="inlineStr">
        <is>
          <t>계단식</t>
        </is>
      </c>
      <c r="X290" s="458" t="n">
        <v>3</v>
      </c>
      <c r="Y290" s="458" t="n">
        <v>2</v>
      </c>
      <c r="Z290" s="458" t="n">
        <v>97</v>
      </c>
    </row>
    <row r="291">
      <c r="A291" s="458" t="inlineStr">
        <is>
          <t>신천동</t>
        </is>
      </c>
      <c r="D291" s="458" t="n">
        <v>184857</v>
      </c>
      <c r="E291" s="265" t="inlineStr">
        <is>
          <t>잠실르엘</t>
        </is>
      </c>
      <c r="F291" s="458" t="n">
        <v>106</v>
      </c>
      <c r="I291" s="263">
        <f>G291-H291</f>
        <v/>
      </c>
      <c r="J291" s="323">
        <f>H291/G291</f>
        <v/>
      </c>
      <c r="K291" s="458" t="n">
        <v>2026.01</v>
      </c>
      <c r="L291" s="458" t="n">
        <v>1865</v>
      </c>
      <c r="M291" s="458">
        <f>2026-INT(K291)+1</f>
        <v/>
      </c>
      <c r="N291" s="458" t="n">
        <v>180</v>
      </c>
      <c r="P291" s="458" t="n">
        <v>136</v>
      </c>
      <c r="Q291" s="458" t="n">
        <v>41</v>
      </c>
      <c r="R291" s="458" t="inlineStr">
        <is>
          <t>계단식</t>
        </is>
      </c>
      <c r="S291" s="458" t="n">
        <v>4</v>
      </c>
      <c r="T291" s="458" t="n">
        <v>2</v>
      </c>
      <c r="W291" s="458" t="inlineStr">
        <is>
          <t>계단식</t>
        </is>
      </c>
      <c r="X291" s="458" t="n">
        <v>4</v>
      </c>
      <c r="Y291" s="458" t="n">
        <v>2</v>
      </c>
      <c r="Z291" s="458" t="n">
        <v>180</v>
      </c>
    </row>
    <row r="292">
      <c r="A292" s="458" t="inlineStr">
        <is>
          <t>신천동</t>
        </is>
      </c>
      <c r="D292" s="458" t="n">
        <v>184857</v>
      </c>
      <c r="E292" s="265" t="inlineStr">
        <is>
          <t>잠실르엘</t>
        </is>
      </c>
      <c r="F292" s="458" t="n">
        <v>126</v>
      </c>
      <c r="I292" s="263">
        <f>G292-H292</f>
        <v/>
      </c>
      <c r="J292" s="323">
        <f>H292/G292</f>
        <v/>
      </c>
      <c r="K292" s="458" t="n">
        <v>2026.01</v>
      </c>
      <c r="L292" s="458" t="n">
        <v>1865</v>
      </c>
      <c r="M292" s="458">
        <f>2026-INT(K292)+1</f>
        <v/>
      </c>
      <c r="N292" s="458" t="n">
        <v>32</v>
      </c>
      <c r="P292" s="458" t="n">
        <v>160</v>
      </c>
      <c r="Q292" s="458" t="n">
        <v>48</v>
      </c>
      <c r="R292" s="458" t="inlineStr">
        <is>
          <t>계단식</t>
        </is>
      </c>
      <c r="S292" s="458" t="n">
        <v>4</v>
      </c>
      <c r="T292" s="458" t="n">
        <v>2</v>
      </c>
      <c r="U292" s="458" t="n"/>
      <c r="V292" s="458" t="n"/>
      <c r="W292" s="458" t="inlineStr">
        <is>
          <t>계단식</t>
        </is>
      </c>
      <c r="X292" s="458" t="n">
        <v>4</v>
      </c>
      <c r="Y292" s="458" t="n">
        <v>2</v>
      </c>
      <c r="Z292" s="458" t="n">
        <v>32</v>
      </c>
    </row>
    <row r="293">
      <c r="A293" s="458" t="inlineStr">
        <is>
          <t>신천동</t>
        </is>
      </c>
      <c r="D293" s="458" t="n">
        <v>184857</v>
      </c>
      <c r="E293" s="265" t="inlineStr">
        <is>
          <t>잠실르엘</t>
        </is>
      </c>
      <c r="F293" s="458" t="n">
        <v>129</v>
      </c>
      <c r="I293" s="263">
        <f>G293-H293</f>
        <v/>
      </c>
      <c r="J293" s="323">
        <f>H293/G293</f>
        <v/>
      </c>
      <c r="K293" s="458" t="n">
        <v>2026.01</v>
      </c>
      <c r="L293" s="458" t="n">
        <v>1865</v>
      </c>
      <c r="M293" s="458">
        <f>2026-INT(K293)+1</f>
        <v/>
      </c>
      <c r="N293" s="458" t="n">
        <v>4</v>
      </c>
      <c r="P293" s="458" t="n">
        <v>171</v>
      </c>
      <c r="Q293" s="458" t="n">
        <v>52</v>
      </c>
      <c r="R293" s="458" t="inlineStr">
        <is>
          <t>계단식</t>
        </is>
      </c>
      <c r="S293" s="458" t="n">
        <v>4</v>
      </c>
      <c r="T293" s="458" t="n">
        <v>2</v>
      </c>
      <c r="U293" s="458" t="n"/>
      <c r="V293" s="458" t="n"/>
      <c r="W293" s="458" t="inlineStr">
        <is>
          <t>계단식</t>
        </is>
      </c>
      <c r="X293" s="458" t="n">
        <v>4</v>
      </c>
      <c r="Y293" s="458" t="n">
        <v>2</v>
      </c>
      <c r="Z293" s="458" t="n">
        <v>4</v>
      </c>
    </row>
    <row r="294">
      <c r="A294" s="458" t="inlineStr">
        <is>
          <t>신천동</t>
        </is>
      </c>
      <c r="D294" s="458" t="n">
        <v>184857</v>
      </c>
      <c r="E294" s="265" t="inlineStr">
        <is>
          <t>잠실르엘</t>
        </is>
      </c>
      <c r="F294" s="458" t="n">
        <v>134</v>
      </c>
      <c r="I294" s="263">
        <f>G294-H294</f>
        <v/>
      </c>
      <c r="J294" s="323">
        <f>H294/G294</f>
        <v/>
      </c>
      <c r="K294" s="458" t="n">
        <v>2026.01</v>
      </c>
      <c r="L294" s="458" t="n">
        <v>1865</v>
      </c>
      <c r="M294" s="458">
        <f>2026-INT(K294)+1</f>
        <v/>
      </c>
      <c r="N294" s="458" t="n">
        <v>2</v>
      </c>
      <c r="P294" s="458" t="n">
        <v>177</v>
      </c>
      <c r="Q294" s="458" t="n">
        <v>54</v>
      </c>
      <c r="R294" s="458" t="inlineStr">
        <is>
          <t>계단식</t>
        </is>
      </c>
      <c r="S294" s="458" t="n">
        <v>4</v>
      </c>
      <c r="T294" s="458" t="n">
        <v>3</v>
      </c>
      <c r="V294" s="458" t="n"/>
      <c r="W294" s="458" t="inlineStr">
        <is>
          <t>계단식</t>
        </is>
      </c>
      <c r="X294" s="458" t="n">
        <v>4</v>
      </c>
      <c r="Y294" s="458" t="n">
        <v>3</v>
      </c>
      <c r="Z294" s="458" t="n">
        <v>2</v>
      </c>
    </row>
    <row r="295">
      <c r="A295" s="458" t="inlineStr">
        <is>
          <t>신천동</t>
        </is>
      </c>
      <c r="D295" s="458" t="n">
        <v>184857</v>
      </c>
      <c r="E295" s="265" t="inlineStr">
        <is>
          <t>잠실르엘</t>
        </is>
      </c>
      <c r="F295" s="458" t="n">
        <v>145</v>
      </c>
      <c r="I295" s="263">
        <f>G295-H295</f>
        <v/>
      </c>
      <c r="J295" s="323">
        <f>H295/G295</f>
        <v/>
      </c>
      <c r="K295" s="458" t="n">
        <v>2026.01</v>
      </c>
      <c r="L295" s="458" t="n">
        <v>1865</v>
      </c>
      <c r="M295" s="458">
        <f>2026-INT(K295)+1</f>
        <v/>
      </c>
      <c r="N295" s="458" t="n">
        <v>4</v>
      </c>
      <c r="P295" s="458" t="n">
        <v>192</v>
      </c>
      <c r="Q295" s="458" t="n">
        <v>58</v>
      </c>
      <c r="R295" s="458" t="inlineStr">
        <is>
          <t>계단식</t>
        </is>
      </c>
      <c r="S295" s="458" t="n">
        <v>5</v>
      </c>
      <c r="T295" s="458" t="n">
        <v>3</v>
      </c>
      <c r="U295" s="458" t="n"/>
      <c r="V295" s="458" t="n"/>
      <c r="W295" s="458" t="inlineStr">
        <is>
          <t>계단식</t>
        </is>
      </c>
      <c r="X295" s="458" t="n">
        <v>5</v>
      </c>
      <c r="Y295" s="458" t="n">
        <v>3</v>
      </c>
      <c r="Z295" s="458" t="n">
        <v>4</v>
      </c>
    </row>
    <row r="296">
      <c r="A296" s="266" t="inlineStr">
        <is>
          <t>신천동</t>
        </is>
      </c>
      <c r="B296" s="263" t="n"/>
      <c r="C296" s="263" t="n"/>
      <c r="D296" s="266" t="n">
        <v>102616</v>
      </c>
      <c r="E296" s="264" t="inlineStr">
        <is>
          <t>잠실푸르지오월드마크(주상복합)</t>
        </is>
      </c>
      <c r="F296" s="266" t="n">
        <v>84</v>
      </c>
      <c r="G296" s="263" t="n">
        <v>229000</v>
      </c>
      <c r="H296" s="263" t="n">
        <v>1050001</v>
      </c>
      <c r="I296" s="263">
        <f>G296-H296</f>
        <v/>
      </c>
      <c r="J296" s="323">
        <f>H296/G296</f>
        <v/>
      </c>
      <c r="K296" s="266" t="n">
        <v>2013.06</v>
      </c>
      <c r="L296" s="266" t="n">
        <v>288</v>
      </c>
      <c r="M296" s="266">
        <f>2026-INT(K296)+1</f>
        <v/>
      </c>
      <c r="N296" s="266" t="n">
        <v>54</v>
      </c>
      <c r="O296" s="263" t="n"/>
      <c r="P296" s="266" t="n">
        <v>115</v>
      </c>
      <c r="Q296" s="266" t="n">
        <v>35</v>
      </c>
      <c r="R296" s="266" t="inlineStr">
        <is>
          <t>계단식</t>
        </is>
      </c>
      <c r="S296" s="266" t="n">
        <v>3</v>
      </c>
      <c r="T296" s="266" t="n">
        <v>2</v>
      </c>
      <c r="U296" s="263" t="n">
        <v>14</v>
      </c>
      <c r="V296" s="266" t="n">
        <v>14</v>
      </c>
      <c r="W296" s="266" t="inlineStr">
        <is>
          <t>계단식</t>
        </is>
      </c>
      <c r="X296" s="266" t="n">
        <v>3</v>
      </c>
      <c r="Y296" s="266" t="n">
        <v>2</v>
      </c>
      <c r="Z296" s="266" t="n">
        <v>54</v>
      </c>
      <c r="AA296" s="263" t="n"/>
      <c r="AB296" s="263" t="n"/>
      <c r="AC296" s="263" t="n"/>
      <c r="AD296" s="263" t="n"/>
      <c r="AE296" s="263" t="n"/>
      <c r="AF296" s="263" t="n"/>
      <c r="AG296" s="263" t="n"/>
      <c r="AH296" s="263" t="n"/>
      <c r="AI296" s="263" t="n"/>
      <c r="AJ296" s="263" t="n"/>
      <c r="AK296" s="263" t="n"/>
    </row>
    <row r="297">
      <c r="A297" s="263" t="inlineStr">
        <is>
          <t>신천동</t>
        </is>
      </c>
      <c r="B297" s="263" t="n"/>
      <c r="C297" s="263" t="n"/>
      <c r="D297" s="263" t="n">
        <v>102616</v>
      </c>
      <c r="E297" s="264" t="inlineStr">
        <is>
          <t>잠실푸르지오월드마크(주상복합)</t>
        </is>
      </c>
      <c r="F297" s="263" t="n">
        <v>108</v>
      </c>
      <c r="G297" s="263" t="n"/>
      <c r="H297" s="263" t="n"/>
      <c r="I297" s="263">
        <f>G297-H297</f>
        <v/>
      </c>
      <c r="J297" s="323">
        <f>H297/G297</f>
        <v/>
      </c>
      <c r="K297" s="263" t="n">
        <v>2013.06</v>
      </c>
      <c r="L297" s="263" t="n">
        <v>288</v>
      </c>
      <c r="M297" s="263">
        <f>2026-INT(K297)+1</f>
        <v/>
      </c>
      <c r="N297" s="263" t="n">
        <v>52</v>
      </c>
      <c r="O297" s="263" t="n"/>
      <c r="P297" s="263" t="n">
        <v>150</v>
      </c>
      <c r="Q297" s="263" t="n">
        <v>45</v>
      </c>
      <c r="R297" s="263" t="inlineStr">
        <is>
          <t>계단식</t>
        </is>
      </c>
      <c r="S297" s="263" t="n">
        <v>3</v>
      </c>
      <c r="T297" s="263" t="n">
        <v>2</v>
      </c>
      <c r="U297" s="263" t="n"/>
      <c r="V297" s="263" t="n">
        <v>21</v>
      </c>
      <c r="W297" s="263" t="inlineStr">
        <is>
          <t>계단식</t>
        </is>
      </c>
      <c r="X297" s="263" t="n">
        <v>3</v>
      </c>
      <c r="Y297" s="263" t="n">
        <v>2</v>
      </c>
      <c r="Z297" s="263" t="n">
        <v>52</v>
      </c>
      <c r="AA297" s="263" t="n"/>
      <c r="AB297" s="263" t="n"/>
      <c r="AC297" s="263" t="n"/>
      <c r="AD297" s="263" t="n"/>
      <c r="AE297" s="263" t="n"/>
      <c r="AF297" s="263" t="n"/>
      <c r="AG297" s="263" t="n"/>
      <c r="AH297" s="263" t="n"/>
      <c r="AI297" s="263" t="n"/>
      <c r="AJ297" s="263" t="n"/>
      <c r="AK297" s="263" t="n"/>
    </row>
    <row r="298">
      <c r="A298" s="263" t="inlineStr">
        <is>
          <t>신천동</t>
        </is>
      </c>
      <c r="B298" s="263" t="n"/>
      <c r="C298" s="263" t="n"/>
      <c r="D298" s="263" t="n">
        <v>102616</v>
      </c>
      <c r="E298" s="264" t="inlineStr">
        <is>
          <t>잠실푸르지오월드마크(주상복합)</t>
        </is>
      </c>
      <c r="F298" s="263" t="n">
        <v>110</v>
      </c>
      <c r="G298" s="263" t="n"/>
      <c r="H298" s="263" t="n"/>
      <c r="I298" s="263">
        <f>G298-H298</f>
        <v/>
      </c>
      <c r="J298" s="323">
        <f>H298/G298</f>
        <v/>
      </c>
      <c r="K298" s="263" t="n">
        <v>2013.06</v>
      </c>
      <c r="L298" s="263" t="n">
        <v>288</v>
      </c>
      <c r="M298" s="263">
        <f>2026-INT(K298)+1</f>
        <v/>
      </c>
      <c r="N298" s="263" t="n">
        <v>24</v>
      </c>
      <c r="O298" s="263" t="n"/>
      <c r="P298" s="263" t="n">
        <v>151</v>
      </c>
      <c r="Q298" s="263" t="n">
        <v>46</v>
      </c>
      <c r="R298" s="263" t="inlineStr">
        <is>
          <t>계단식</t>
        </is>
      </c>
      <c r="S298" s="263" t="n">
        <v>3</v>
      </c>
      <c r="T298" s="263" t="n">
        <v>2</v>
      </c>
      <c r="U298" s="263" t="n">
        <v>22.5</v>
      </c>
      <c r="V298" s="263" t="n"/>
      <c r="W298" s="263" t="inlineStr">
        <is>
          <t>계단식</t>
        </is>
      </c>
      <c r="X298" s="263" t="n">
        <v>3</v>
      </c>
      <c r="Y298" s="263" t="n">
        <v>2</v>
      </c>
      <c r="Z298" s="263" t="n">
        <v>24</v>
      </c>
      <c r="AA298" s="263" t="n"/>
      <c r="AB298" s="263" t="n"/>
      <c r="AC298" s="263" t="n"/>
      <c r="AD298" s="263" t="n"/>
      <c r="AE298" s="263" t="n"/>
      <c r="AF298" s="263" t="n"/>
      <c r="AG298" s="263" t="n"/>
      <c r="AH298" s="263" t="n"/>
      <c r="AI298" s="263" t="n"/>
      <c r="AJ298" s="263" t="n"/>
      <c r="AK298" s="263" t="n"/>
    </row>
    <row r="299">
      <c r="A299" s="266" t="inlineStr">
        <is>
          <t>신천동</t>
        </is>
      </c>
      <c r="B299" s="263" t="n"/>
      <c r="C299" s="263" t="n"/>
      <c r="D299" s="266" t="n">
        <v>102616</v>
      </c>
      <c r="E299" s="264" t="inlineStr">
        <is>
          <t>잠실푸르지오월드마크(주상복합)</t>
        </is>
      </c>
      <c r="F299" s="266" t="n">
        <v>112</v>
      </c>
      <c r="G299" s="263" t="n"/>
      <c r="H299" s="263" t="n"/>
      <c r="I299" s="263">
        <f>G299-H299</f>
        <v/>
      </c>
      <c r="J299" s="323">
        <f>H299/G299</f>
        <v/>
      </c>
      <c r="K299" s="266" t="n">
        <v>2013.06</v>
      </c>
      <c r="L299" s="266" t="n">
        <v>288</v>
      </c>
      <c r="M299" s="266">
        <f>2026-INT(K299)+1</f>
        <v/>
      </c>
      <c r="N299" s="266" t="n">
        <v>34</v>
      </c>
      <c r="O299" s="263" t="n"/>
      <c r="P299" s="266" t="n">
        <v>153</v>
      </c>
      <c r="Q299" s="266" t="n">
        <v>46</v>
      </c>
      <c r="R299" s="266" t="inlineStr">
        <is>
          <t>계단식</t>
        </is>
      </c>
      <c r="S299" s="266" t="n">
        <v>3</v>
      </c>
      <c r="T299" s="266" t="n">
        <v>2</v>
      </c>
      <c r="U299" s="263" t="n">
        <v>22.5</v>
      </c>
      <c r="V299" s="263" t="n">
        <v>19.6</v>
      </c>
      <c r="W299" s="266" t="inlineStr">
        <is>
          <t>계단식</t>
        </is>
      </c>
      <c r="X299" s="266" t="n">
        <v>3</v>
      </c>
      <c r="Y299" s="266" t="n">
        <v>2</v>
      </c>
      <c r="Z299" s="266" t="n">
        <v>34</v>
      </c>
      <c r="AA299" s="263" t="n"/>
      <c r="AB299" s="263" t="n"/>
      <c r="AC299" s="263" t="n"/>
      <c r="AD299" s="263" t="n"/>
      <c r="AE299" s="263" t="n"/>
      <c r="AF299" s="263" t="n"/>
      <c r="AG299" s="263" t="n"/>
      <c r="AH299" s="263" t="n"/>
      <c r="AI299" s="263" t="n"/>
      <c r="AJ299" s="263" t="n"/>
      <c r="AK299" s="263" t="n"/>
    </row>
    <row r="300">
      <c r="A300" s="266" t="inlineStr">
        <is>
          <t>신천동</t>
        </is>
      </c>
      <c r="B300" s="263" t="n"/>
      <c r="C300" s="263" t="n"/>
      <c r="D300" s="266" t="n">
        <v>102616</v>
      </c>
      <c r="E300" s="264" t="inlineStr">
        <is>
          <t>잠실푸르지오월드마크(주상복합)</t>
        </is>
      </c>
      <c r="F300" s="266" t="n">
        <v>119</v>
      </c>
      <c r="G300" s="263" t="n"/>
      <c r="H300" s="263" t="n"/>
      <c r="I300" s="263">
        <f>G300-H300</f>
        <v/>
      </c>
      <c r="J300" s="323">
        <f>H300/G300</f>
        <v/>
      </c>
      <c r="K300" s="266" t="n">
        <v>2013.06</v>
      </c>
      <c r="L300" s="266" t="n">
        <v>288</v>
      </c>
      <c r="M300" s="266">
        <f>2026-INT(K300)+1</f>
        <v/>
      </c>
      <c r="N300" s="266" t="n">
        <v>24</v>
      </c>
      <c r="O300" s="263" t="n"/>
      <c r="P300" s="266" t="n">
        <v>163</v>
      </c>
      <c r="Q300" s="266" t="n">
        <v>49</v>
      </c>
      <c r="R300" s="266" t="inlineStr">
        <is>
          <t>계단식</t>
        </is>
      </c>
      <c r="S300" s="266" t="n">
        <v>3</v>
      </c>
      <c r="T300" s="266" t="n">
        <v>2</v>
      </c>
      <c r="U300" s="263" t="n">
        <v>17</v>
      </c>
      <c r="V300" s="263" t="n"/>
      <c r="W300" s="266" t="inlineStr">
        <is>
          <t>계단식</t>
        </is>
      </c>
      <c r="X300" s="266" t="n">
        <v>3</v>
      </c>
      <c r="Y300" s="266" t="n">
        <v>2</v>
      </c>
      <c r="Z300" s="266" t="n">
        <v>24</v>
      </c>
      <c r="AA300" s="263" t="n"/>
      <c r="AB300" s="263" t="n"/>
      <c r="AC300" s="263" t="n"/>
      <c r="AD300" s="263" t="n"/>
      <c r="AE300" s="263" t="n"/>
      <c r="AF300" s="263" t="n"/>
      <c r="AG300" s="263" t="n"/>
      <c r="AH300" s="263" t="n"/>
      <c r="AI300" s="263" t="n"/>
      <c r="AJ300" s="263" t="n"/>
      <c r="AK300" s="263" t="n"/>
    </row>
    <row r="301">
      <c r="A301" s="266" t="inlineStr">
        <is>
          <t>신천동</t>
        </is>
      </c>
      <c r="B301" s="263" t="n"/>
      <c r="C301" s="263" t="n"/>
      <c r="D301" s="266" t="n">
        <v>102616</v>
      </c>
      <c r="E301" s="264" t="inlineStr">
        <is>
          <t>잠실푸르지오월드마크(주상복합)</t>
        </is>
      </c>
      <c r="F301" s="266" t="n">
        <v>120</v>
      </c>
      <c r="G301" s="263" t="n"/>
      <c r="H301" s="263" t="n"/>
      <c r="I301" s="263">
        <f>G301-H301</f>
        <v/>
      </c>
      <c r="J301" s="323">
        <f>H301/G301</f>
        <v/>
      </c>
      <c r="K301" s="266" t="n">
        <v>2013.06</v>
      </c>
      <c r="L301" s="266" t="n">
        <v>288</v>
      </c>
      <c r="M301" s="266">
        <f>2026-INT(K301)+1</f>
        <v/>
      </c>
      <c r="N301" s="266" t="n">
        <v>34</v>
      </c>
      <c r="O301" s="263" t="n"/>
      <c r="P301" s="266" t="n">
        <v>164</v>
      </c>
      <c r="Q301" s="266" t="n">
        <v>50</v>
      </c>
      <c r="R301" s="266" t="inlineStr">
        <is>
          <t>계단식</t>
        </is>
      </c>
      <c r="S301" s="266" t="n">
        <v>3</v>
      </c>
      <c r="T301" s="266" t="n">
        <v>2</v>
      </c>
      <c r="U301" s="263" t="n">
        <v>20</v>
      </c>
      <c r="V301" s="263" t="n"/>
      <c r="W301" s="266" t="inlineStr">
        <is>
          <t>계단식</t>
        </is>
      </c>
      <c r="X301" s="266" t="n">
        <v>3</v>
      </c>
      <c r="Y301" s="266" t="n">
        <v>2</v>
      </c>
      <c r="Z301" s="266" t="n">
        <v>34</v>
      </c>
      <c r="AA301" s="263" t="n"/>
      <c r="AB301" s="263" t="n"/>
      <c r="AC301" s="263" t="n"/>
      <c r="AD301" s="263" t="n"/>
      <c r="AE301" s="263" t="n"/>
      <c r="AF301" s="263" t="n"/>
      <c r="AG301" s="263" t="n"/>
      <c r="AH301" s="263" t="n"/>
      <c r="AI301" s="263" t="n"/>
      <c r="AJ301" s="263" t="n"/>
      <c r="AK301" s="263" t="n"/>
    </row>
    <row r="302">
      <c r="A302" s="266" t="inlineStr">
        <is>
          <t>신천동</t>
        </is>
      </c>
      <c r="B302" s="263" t="n"/>
      <c r="C302" s="263" t="n"/>
      <c r="D302" s="266" t="n">
        <v>102616</v>
      </c>
      <c r="E302" s="264" t="inlineStr">
        <is>
          <t>잠실푸르지오월드마크(주상복합)</t>
        </is>
      </c>
      <c r="F302" s="266" t="n">
        <v>123</v>
      </c>
      <c r="G302" s="263" t="n"/>
      <c r="H302" s="263" t="n"/>
      <c r="I302" s="263">
        <f>G302-H302</f>
        <v/>
      </c>
      <c r="J302" s="323">
        <f>H302/G302</f>
        <v/>
      </c>
      <c r="K302" s="266" t="n">
        <v>2013.06</v>
      </c>
      <c r="L302" s="266" t="n">
        <v>288</v>
      </c>
      <c r="M302" s="266">
        <f>2026-INT(K302)+1</f>
        <v/>
      </c>
      <c r="N302" s="266" t="n">
        <v>30</v>
      </c>
      <c r="O302" s="263" t="n"/>
      <c r="P302" s="266" t="n">
        <v>170</v>
      </c>
      <c r="Q302" s="266" t="n">
        <v>51</v>
      </c>
      <c r="R302" s="266" t="inlineStr">
        <is>
          <t>계단식</t>
        </is>
      </c>
      <c r="S302" s="266" t="n">
        <v>3</v>
      </c>
      <c r="T302" s="266" t="n">
        <v>2</v>
      </c>
      <c r="U302" s="263" t="n">
        <v>22.8</v>
      </c>
      <c r="V302" s="263" t="n"/>
      <c r="W302" s="266" t="inlineStr">
        <is>
          <t>계단식</t>
        </is>
      </c>
      <c r="X302" s="266" t="n">
        <v>3</v>
      </c>
      <c r="Y302" s="266" t="n">
        <v>2</v>
      </c>
      <c r="Z302" s="266" t="n">
        <v>30</v>
      </c>
      <c r="AA302" s="263" t="n"/>
      <c r="AB302" s="263" t="n"/>
      <c r="AC302" s="263" t="n"/>
      <c r="AD302" s="263" t="n"/>
      <c r="AE302" s="263" t="n"/>
      <c r="AF302" s="263" t="n"/>
      <c r="AG302" s="263" t="n"/>
      <c r="AH302" s="263" t="n"/>
      <c r="AI302" s="263" t="n"/>
      <c r="AJ302" s="263" t="n"/>
      <c r="AK302" s="263" t="n"/>
    </row>
    <row r="303">
      <c r="A303" s="263" t="inlineStr">
        <is>
          <t>신천동</t>
        </is>
      </c>
      <c r="B303" s="263" t="n"/>
      <c r="C303" s="263" t="n"/>
      <c r="D303" s="263" t="n">
        <v>102616</v>
      </c>
      <c r="E303" s="267" t="inlineStr">
        <is>
          <t>잠실푸르지오월드마크(주상복합)</t>
        </is>
      </c>
      <c r="F303" s="263" t="n">
        <v>124</v>
      </c>
      <c r="G303" s="263" t="n"/>
      <c r="H303" s="263" t="n"/>
      <c r="I303" s="263">
        <f>G303-H303</f>
        <v/>
      </c>
      <c r="J303" s="323">
        <f>H303/G303</f>
        <v/>
      </c>
      <c r="K303" s="263" t="n">
        <v>2013.06</v>
      </c>
      <c r="L303" s="263" t="n">
        <v>288</v>
      </c>
      <c r="M303" s="263">
        <f>2026-INT(K303)+1</f>
        <v/>
      </c>
      <c r="N303" s="263" t="n">
        <v>28</v>
      </c>
      <c r="O303" s="263" t="n"/>
      <c r="P303" s="263" t="n">
        <v>173</v>
      </c>
      <c r="Q303" s="263" t="n">
        <v>52</v>
      </c>
      <c r="R303" s="263" t="inlineStr">
        <is>
          <t>계단식</t>
        </is>
      </c>
      <c r="S303" s="263" t="n">
        <v>3</v>
      </c>
      <c r="T303" s="263" t="n">
        <v>2</v>
      </c>
      <c r="U303" s="263" t="n">
        <v>22.8</v>
      </c>
      <c r="V303" s="263" t="n"/>
      <c r="W303" s="263" t="inlineStr">
        <is>
          <t>계단식</t>
        </is>
      </c>
      <c r="X303" s="263" t="n">
        <v>3</v>
      </c>
      <c r="Y303" s="263" t="n">
        <v>2</v>
      </c>
      <c r="Z303" s="263" t="n">
        <v>28</v>
      </c>
      <c r="AA303" s="263" t="n"/>
      <c r="AB303" s="263" t="n"/>
      <c r="AC303" s="263" t="n"/>
      <c r="AD303" s="263" t="n"/>
      <c r="AE303" s="263" t="n"/>
      <c r="AF303" s="263" t="n"/>
      <c r="AG303" s="263" t="n"/>
      <c r="AH303" s="263" t="n"/>
      <c r="AI303" s="263" t="n"/>
      <c r="AJ303" s="263" t="n"/>
      <c r="AK303" s="263" t="n"/>
    </row>
    <row r="304">
      <c r="A304" s="263" t="inlineStr">
        <is>
          <t>신천동</t>
        </is>
      </c>
      <c r="B304" s="263" t="n"/>
      <c r="C304" s="263" t="n"/>
      <c r="D304" s="263" t="n">
        <v>102616</v>
      </c>
      <c r="E304" s="267" t="inlineStr">
        <is>
          <t>잠실푸르지오월드마크(주상복합)</t>
        </is>
      </c>
      <c r="F304" s="263" t="n">
        <v>150</v>
      </c>
      <c r="G304" s="263" t="n"/>
      <c r="H304" s="263" t="n"/>
      <c r="I304" s="263">
        <f>G304-H304</f>
        <v/>
      </c>
      <c r="J304" s="323">
        <f>H304/G304</f>
        <v/>
      </c>
      <c r="K304" s="263" t="n">
        <v>2013.06</v>
      </c>
      <c r="L304" s="263" t="n">
        <v>288</v>
      </c>
      <c r="M304" s="263">
        <f>2026-INT(K304)+1</f>
        <v/>
      </c>
      <c r="N304" s="263" t="n">
        <v>4</v>
      </c>
      <c r="O304" s="263" t="n"/>
      <c r="P304" s="263" t="n">
        <v>206</v>
      </c>
      <c r="Q304" s="263" t="n">
        <v>62</v>
      </c>
      <c r="R304" s="263" t="inlineStr">
        <is>
          <t>계단식</t>
        </is>
      </c>
      <c r="S304" s="263" t="n">
        <v>3</v>
      </c>
      <c r="T304" s="263" t="n">
        <v>2</v>
      </c>
      <c r="U304" s="263" t="n"/>
      <c r="V304" s="263" t="n"/>
      <c r="W304" s="263" t="inlineStr">
        <is>
          <t>계단식</t>
        </is>
      </c>
      <c r="X304" s="263" t="n">
        <v>3</v>
      </c>
      <c r="Y304" s="263" t="n">
        <v>2</v>
      </c>
      <c r="Z304" s="263" t="n">
        <v>4</v>
      </c>
      <c r="AA304" s="263" t="n"/>
      <c r="AB304" s="263" t="n"/>
      <c r="AC304" s="263" t="n"/>
      <c r="AD304" s="263" t="n"/>
      <c r="AE304" s="263" t="n"/>
      <c r="AF304" s="263" t="n"/>
      <c r="AG304" s="263" t="n"/>
      <c r="AH304" s="263" t="n"/>
      <c r="AI304" s="263" t="n"/>
      <c r="AJ304" s="263" t="n"/>
      <c r="AK304" s="263" t="n"/>
    </row>
    <row r="305">
      <c r="A305" s="263" t="inlineStr">
        <is>
          <t>신천동</t>
        </is>
      </c>
      <c r="B305" s="263" t="n"/>
      <c r="C305" s="263" t="n"/>
      <c r="D305" s="263" t="n">
        <v>102616</v>
      </c>
      <c r="E305" s="267" t="inlineStr">
        <is>
          <t>잠실푸르지오월드마크(주상복합)</t>
        </is>
      </c>
      <c r="F305" s="263" t="n">
        <v>234</v>
      </c>
      <c r="G305" s="263" t="n"/>
      <c r="H305" s="263" t="n"/>
      <c r="I305" s="263">
        <f>G305-H305</f>
        <v/>
      </c>
      <c r="J305" s="323">
        <f>H305/G305</f>
        <v/>
      </c>
      <c r="K305" s="263" t="n">
        <v>2013.06</v>
      </c>
      <c r="L305" s="263" t="n">
        <v>288</v>
      </c>
      <c r="M305" s="263">
        <f>2026-INT(K305)+1</f>
        <v/>
      </c>
      <c r="N305" s="263" t="n">
        <v>2</v>
      </c>
      <c r="O305" s="263" t="n"/>
      <c r="P305" s="263" t="n">
        <v>322</v>
      </c>
      <c r="Q305" s="263" t="n">
        <v>97</v>
      </c>
      <c r="R305" s="263" t="inlineStr">
        <is>
          <t>계단식</t>
        </is>
      </c>
      <c r="S305" s="263" t="n">
        <v>5</v>
      </c>
      <c r="T305" s="263" t="n">
        <v>3</v>
      </c>
      <c r="U305" s="263" t="n"/>
      <c r="V305" s="263" t="n"/>
      <c r="W305" s="263" t="inlineStr">
        <is>
          <t>계단식</t>
        </is>
      </c>
      <c r="X305" s="263" t="n">
        <v>5</v>
      </c>
      <c r="Y305" s="263" t="n">
        <v>3</v>
      </c>
      <c r="Z305" s="263" t="n">
        <v>2</v>
      </c>
      <c r="AA305" s="263" t="n"/>
      <c r="AB305" s="263" t="n"/>
      <c r="AC305" s="263" t="n"/>
      <c r="AD305" s="263" t="n"/>
      <c r="AE305" s="263" t="n"/>
      <c r="AF305" s="263" t="n"/>
      <c r="AG305" s="263" t="n"/>
      <c r="AH305" s="263" t="n"/>
      <c r="AI305" s="263" t="n"/>
      <c r="AJ305" s="263" t="n"/>
      <c r="AK305" s="263" t="n"/>
    </row>
    <row r="306">
      <c r="A306" s="263" t="inlineStr">
        <is>
          <t>신천동</t>
        </is>
      </c>
      <c r="B306" s="263" t="n"/>
      <c r="C306" s="263" t="n"/>
      <c r="D306" s="263" t="n">
        <v>102616</v>
      </c>
      <c r="E306" s="267" t="inlineStr">
        <is>
          <t>잠실푸르지오월드마크(주상복합)</t>
        </is>
      </c>
      <c r="F306" s="263" t="n">
        <v>244</v>
      </c>
      <c r="G306" s="263" t="n"/>
      <c r="H306" s="263" t="n"/>
      <c r="I306" s="263">
        <f>G306-H306</f>
        <v/>
      </c>
      <c r="J306" s="323">
        <f>H306/G306</f>
        <v/>
      </c>
      <c r="K306" s="263" t="n">
        <v>2013.06</v>
      </c>
      <c r="L306" s="263" t="n">
        <v>288</v>
      </c>
      <c r="M306" s="263">
        <f>2026-INT(K306)+1</f>
        <v/>
      </c>
      <c r="N306" s="263" t="n">
        <v>2</v>
      </c>
      <c r="O306" s="263" t="n"/>
      <c r="P306" s="263" t="n">
        <v>335</v>
      </c>
      <c r="Q306" s="263" t="n">
        <v>101</v>
      </c>
      <c r="R306" s="263" t="inlineStr">
        <is>
          <t>계단식</t>
        </is>
      </c>
      <c r="S306" s="263" t="n">
        <v>5</v>
      </c>
      <c r="T306" s="263" t="n">
        <v>3</v>
      </c>
      <c r="U306" s="263" t="n">
        <v>36</v>
      </c>
      <c r="V306" s="263" t="n"/>
      <c r="W306" s="263" t="inlineStr">
        <is>
          <t>계단식</t>
        </is>
      </c>
      <c r="X306" s="263" t="n">
        <v>5</v>
      </c>
      <c r="Y306" s="263" t="n">
        <v>3</v>
      </c>
      <c r="Z306" s="263" t="n">
        <v>2</v>
      </c>
      <c r="AA306" s="263" t="n"/>
      <c r="AB306" s="263" t="n"/>
      <c r="AC306" s="263" t="n"/>
      <c r="AD306" s="263" t="n"/>
      <c r="AE306" s="263" t="n"/>
      <c r="AF306" s="263" t="n"/>
      <c r="AG306" s="263" t="n"/>
      <c r="AH306" s="263" t="n"/>
      <c r="AI306" s="263" t="n"/>
      <c r="AJ306" s="263" t="n"/>
      <c r="AK306" s="263" t="n"/>
    </row>
    <row r="307">
      <c r="A307" s="458" t="inlineStr">
        <is>
          <t>신천동</t>
        </is>
      </c>
      <c r="D307" s="458" t="n">
        <v>389</v>
      </c>
      <c r="E307" s="268" t="inlineStr">
        <is>
          <t>장미1차</t>
        </is>
      </c>
      <c r="F307" s="458" t="n">
        <v>71</v>
      </c>
      <c r="G307" s="458" t="n">
        <v>290000</v>
      </c>
      <c r="H307" s="458" t="n">
        <v>70000</v>
      </c>
      <c r="I307" s="263">
        <f>G307-H307</f>
        <v/>
      </c>
      <c r="J307" s="323">
        <f>H307/G307</f>
        <v/>
      </c>
      <c r="K307" s="458" t="n">
        <v>1979.01</v>
      </c>
      <c r="L307" s="458" t="n">
        <v>2100</v>
      </c>
      <c r="M307" s="458">
        <f>2026-INT(K307)+1</f>
        <v/>
      </c>
      <c r="N307" s="458" t="n">
        <v>532</v>
      </c>
      <c r="P307" s="458" t="n">
        <v>92</v>
      </c>
      <c r="Q307" s="458" t="n">
        <v>28</v>
      </c>
      <c r="R307" s="458" t="inlineStr">
        <is>
          <t>복도식</t>
        </is>
      </c>
      <c r="S307" s="458" t="n">
        <v>3</v>
      </c>
      <c r="T307" s="458" t="n">
        <v>1</v>
      </c>
      <c r="U307" s="458" t="n">
        <v>21.5</v>
      </c>
      <c r="V307" s="458" t="n">
        <v>14.97</v>
      </c>
      <c r="W307" s="458" t="inlineStr">
        <is>
          <t>복도식</t>
        </is>
      </c>
      <c r="X307" s="458" t="n">
        <v>3</v>
      </c>
      <c r="Y307" s="458" t="n">
        <v>1</v>
      </c>
      <c r="Z307" s="458" t="n">
        <v>532</v>
      </c>
    </row>
    <row r="308">
      <c r="A308" s="458" t="inlineStr">
        <is>
          <t>신천동</t>
        </is>
      </c>
      <c r="D308" s="458" t="n">
        <v>389</v>
      </c>
      <c r="E308" s="268" t="inlineStr">
        <is>
          <t>장미1차</t>
        </is>
      </c>
      <c r="F308" s="458" t="n">
        <v>82</v>
      </c>
      <c r="G308" s="458" t="n">
        <v>314500</v>
      </c>
      <c r="H308" s="458" t="n">
        <v>63001</v>
      </c>
      <c r="I308" s="263">
        <f>G308-H308</f>
        <v/>
      </c>
      <c r="J308" s="323">
        <f>H308/G308</f>
        <v/>
      </c>
      <c r="K308" s="458" t="n">
        <v>1979.01</v>
      </c>
      <c r="L308" s="458" t="n">
        <v>2100</v>
      </c>
      <c r="M308" s="458">
        <f>2026-INT(K308)+1</f>
        <v/>
      </c>
      <c r="N308" s="458" t="n">
        <v>672</v>
      </c>
      <c r="P308" s="458" t="n">
        <v>108</v>
      </c>
      <c r="Q308" s="458" t="n">
        <v>33</v>
      </c>
      <c r="R308" s="458" t="inlineStr">
        <is>
          <t>복도식</t>
        </is>
      </c>
      <c r="S308" s="458" t="n">
        <v>3</v>
      </c>
      <c r="T308" s="458" t="n">
        <v>2</v>
      </c>
      <c r="U308" s="458" t="n">
        <v>23.44</v>
      </c>
      <c r="V308" s="458" t="n">
        <v>16.8</v>
      </c>
      <c r="W308" s="458" t="inlineStr">
        <is>
          <t>복도식</t>
        </is>
      </c>
      <c r="X308" s="458" t="n">
        <v>3</v>
      </c>
      <c r="Y308" s="458" t="n">
        <v>2</v>
      </c>
      <c r="Z308" s="458" t="n">
        <v>672</v>
      </c>
    </row>
    <row r="309">
      <c r="A309" s="458" t="inlineStr">
        <is>
          <t>신천동</t>
        </is>
      </c>
      <c r="D309" s="458" t="n">
        <v>389</v>
      </c>
      <c r="E309" s="268" t="inlineStr">
        <is>
          <t>장미1차</t>
        </is>
      </c>
      <c r="F309" s="458" t="n">
        <v>99</v>
      </c>
      <c r="I309" s="263">
        <f>G309-H309</f>
        <v/>
      </c>
      <c r="J309" s="323">
        <f>H309/G309</f>
        <v/>
      </c>
      <c r="K309" s="458" t="n">
        <v>1979.01</v>
      </c>
      <c r="L309" s="458" t="n">
        <v>2100</v>
      </c>
      <c r="M309" s="458">
        <f>2026-INT(K309)+1</f>
        <v/>
      </c>
      <c r="N309" s="458" t="n">
        <v>336</v>
      </c>
      <c r="P309" s="458" t="n">
        <v>126</v>
      </c>
      <c r="Q309" s="458" t="n">
        <v>38</v>
      </c>
      <c r="R309" s="458" t="inlineStr">
        <is>
          <t>복도식</t>
        </is>
      </c>
      <c r="S309" s="458" t="n">
        <v>4</v>
      </c>
      <c r="T309" s="458" t="n">
        <v>2</v>
      </c>
      <c r="U309" s="458" t="n">
        <v>25</v>
      </c>
      <c r="V309" s="458" t="n">
        <v>20.4</v>
      </c>
      <c r="W309" s="458" t="inlineStr">
        <is>
          <t>복도식</t>
        </is>
      </c>
      <c r="X309" s="458" t="n">
        <v>4</v>
      </c>
      <c r="Y309" s="458" t="n">
        <v>2</v>
      </c>
      <c r="Z309" s="458" t="n">
        <v>336</v>
      </c>
    </row>
    <row r="310">
      <c r="A310" s="458" t="inlineStr">
        <is>
          <t>신천동</t>
        </is>
      </c>
      <c r="D310" s="458" t="n">
        <v>389</v>
      </c>
      <c r="E310" s="268" t="inlineStr">
        <is>
          <t>장미1차</t>
        </is>
      </c>
      <c r="F310" s="458" t="n">
        <v>120</v>
      </c>
      <c r="I310" s="263">
        <f>G310-H310</f>
        <v/>
      </c>
      <c r="J310" s="323">
        <f>H310/G310</f>
        <v/>
      </c>
      <c r="K310" s="458" t="n">
        <v>1979.01</v>
      </c>
      <c r="L310" s="458" t="n">
        <v>2100</v>
      </c>
      <c r="M310" s="458">
        <f>2026-INT(K310)+1</f>
        <v/>
      </c>
      <c r="N310" s="458" t="n">
        <v>308</v>
      </c>
      <c r="P310" s="458" t="n">
        <v>150</v>
      </c>
      <c r="Q310" s="458" t="n">
        <v>45</v>
      </c>
      <c r="R310" s="458" t="inlineStr">
        <is>
          <t>복도식</t>
        </is>
      </c>
      <c r="S310" s="458" t="n">
        <v>5</v>
      </c>
      <c r="T310" s="458" t="n">
        <v>2</v>
      </c>
      <c r="U310" s="458" t="n">
        <v>26</v>
      </c>
      <c r="V310" s="458" t="n">
        <v>22</v>
      </c>
      <c r="W310" s="458" t="inlineStr">
        <is>
          <t>복도식</t>
        </is>
      </c>
      <c r="X310" s="458" t="n">
        <v>5</v>
      </c>
      <c r="Y310" s="458" t="n">
        <v>2</v>
      </c>
      <c r="Z310" s="458" t="n">
        <v>308</v>
      </c>
    </row>
    <row r="311">
      <c r="A311" s="458" t="inlineStr">
        <is>
          <t>신천동</t>
        </is>
      </c>
      <c r="D311" s="458" t="n">
        <v>389</v>
      </c>
      <c r="E311" s="268" t="inlineStr">
        <is>
          <t>장미1차</t>
        </is>
      </c>
      <c r="F311" s="458" t="n">
        <v>174</v>
      </c>
      <c r="I311" s="263">
        <f>G311-H311</f>
        <v/>
      </c>
      <c r="J311" s="323">
        <f>H311/G311</f>
        <v/>
      </c>
      <c r="K311" s="458" t="n">
        <v>1979.01</v>
      </c>
      <c r="L311" s="458" t="n">
        <v>2100</v>
      </c>
      <c r="M311" s="458">
        <f>2026-INT(K311)+1</f>
        <v/>
      </c>
      <c r="N311" s="458" t="n">
        <v>168</v>
      </c>
      <c r="P311" s="458" t="n">
        <v>186</v>
      </c>
      <c r="Q311" s="458" t="n">
        <v>56</v>
      </c>
      <c r="R311" s="458" t="inlineStr">
        <is>
          <t>계단식</t>
        </is>
      </c>
      <c r="S311" s="458" t="n">
        <v>5</v>
      </c>
      <c r="T311" s="458" t="n">
        <v>2</v>
      </c>
      <c r="W311" s="458" t="inlineStr">
        <is>
          <t>계단식</t>
        </is>
      </c>
      <c r="X311" s="458" t="n">
        <v>5</v>
      </c>
      <c r="Y311" s="458" t="n">
        <v>2</v>
      </c>
      <c r="Z311" s="458" t="n">
        <v>168</v>
      </c>
    </row>
    <row r="312">
      <c r="A312" s="458" t="inlineStr">
        <is>
          <t>신천동</t>
        </is>
      </c>
      <c r="D312" s="458" t="n">
        <v>389</v>
      </c>
      <c r="E312" s="268" t="inlineStr">
        <is>
          <t>장미1차</t>
        </is>
      </c>
      <c r="F312" s="458" t="n">
        <v>196</v>
      </c>
      <c r="I312" s="263">
        <f>G312-H312</f>
        <v/>
      </c>
      <c r="J312" s="323">
        <f>H312/G312</f>
        <v/>
      </c>
      <c r="K312" s="458" t="n">
        <v>1979.01</v>
      </c>
      <c r="L312" s="458" t="n">
        <v>2100</v>
      </c>
      <c r="M312" s="458">
        <f>2026-INT(K312)+1</f>
        <v/>
      </c>
      <c r="N312" s="458" t="n">
        <v>84</v>
      </c>
      <c r="P312" s="458" t="n">
        <v>212</v>
      </c>
      <c r="Q312" s="458" t="n">
        <v>64</v>
      </c>
      <c r="R312" s="458" t="inlineStr">
        <is>
          <t>계단식</t>
        </is>
      </c>
      <c r="S312" s="458" t="n">
        <v>5</v>
      </c>
      <c r="T312" s="458" t="n">
        <v>2</v>
      </c>
      <c r="W312" s="458" t="inlineStr">
        <is>
          <t>계단식</t>
        </is>
      </c>
      <c r="X312" s="458" t="n">
        <v>5</v>
      </c>
      <c r="Y312" s="458" t="n">
        <v>2</v>
      </c>
      <c r="Z312" s="458" t="n">
        <v>84</v>
      </c>
    </row>
    <row r="313">
      <c r="A313" s="263" t="inlineStr">
        <is>
          <t>신천동</t>
        </is>
      </c>
      <c r="B313" s="263" t="n"/>
      <c r="C313" s="263" t="n"/>
      <c r="D313" s="263" t="n">
        <v>3754</v>
      </c>
      <c r="E313" s="267" t="inlineStr">
        <is>
          <t>장미2차</t>
        </is>
      </c>
      <c r="F313" s="263" t="n">
        <v>82</v>
      </c>
      <c r="G313" s="263" t="n">
        <v>320000</v>
      </c>
      <c r="H313" s="263" t="n">
        <v>78001</v>
      </c>
      <c r="I313" s="263">
        <f>G313-H313</f>
        <v/>
      </c>
      <c r="J313" s="323">
        <f>H313/G313</f>
        <v/>
      </c>
      <c r="K313" s="263" t="n">
        <v>1979.08</v>
      </c>
      <c r="L313" s="263" t="n">
        <v>1302</v>
      </c>
      <c r="M313" s="263">
        <f>2026-INT(K313)+1</f>
        <v/>
      </c>
      <c r="N313" s="263" t="n">
        <v>490</v>
      </c>
      <c r="O313" s="263" t="n"/>
      <c r="P313" s="263" t="n">
        <v>108</v>
      </c>
      <c r="Q313" s="263" t="n">
        <v>33</v>
      </c>
      <c r="R313" s="263" t="inlineStr">
        <is>
          <t>계단식</t>
        </is>
      </c>
      <c r="S313" s="263" t="n">
        <v>3</v>
      </c>
      <c r="T313" s="263" t="n">
        <v>2</v>
      </c>
      <c r="U313" s="263" t="n">
        <v>23.5</v>
      </c>
      <c r="V313" s="263" t="n">
        <v>14</v>
      </c>
      <c r="W313" s="263" t="inlineStr">
        <is>
          <t>계단식</t>
        </is>
      </c>
      <c r="X313" s="263" t="n">
        <v>3</v>
      </c>
      <c r="Y313" s="263" t="n">
        <v>2</v>
      </c>
      <c r="Z313" s="263" t="n">
        <v>490</v>
      </c>
      <c r="AA313" s="263" t="n"/>
      <c r="AB313" s="263" t="n"/>
      <c r="AC313" s="263" t="n"/>
      <c r="AD313" s="263" t="n"/>
      <c r="AE313" s="263" t="n"/>
      <c r="AF313" s="263" t="n"/>
      <c r="AG313" s="263" t="n"/>
      <c r="AH313" s="263" t="n"/>
      <c r="AI313" s="263" t="n"/>
      <c r="AJ313" s="263" t="n"/>
      <c r="AK313" s="263" t="n"/>
    </row>
    <row r="314">
      <c r="A314" s="263" t="inlineStr">
        <is>
          <t>신천동</t>
        </is>
      </c>
      <c r="B314" s="263" t="n"/>
      <c r="C314" s="263" t="n"/>
      <c r="D314" s="263" t="n">
        <v>3754</v>
      </c>
      <c r="E314" s="269" t="inlineStr">
        <is>
          <t>장미2차</t>
        </is>
      </c>
      <c r="F314" s="263" t="n">
        <v>86</v>
      </c>
      <c r="G314" s="263" t="n">
        <v>279000</v>
      </c>
      <c r="H314" s="263" t="n">
        <v>63001</v>
      </c>
      <c r="I314" s="263">
        <f>G314-H314</f>
        <v/>
      </c>
      <c r="J314" s="323">
        <f>H314/G314</f>
        <v/>
      </c>
      <c r="K314" s="263" t="n">
        <v>1979.08</v>
      </c>
      <c r="L314" s="263" t="n">
        <v>1302</v>
      </c>
      <c r="M314" s="263">
        <f>2026-INT(K314)+1</f>
        <v/>
      </c>
      <c r="N314" s="263" t="n">
        <v>294</v>
      </c>
      <c r="O314" s="263" t="n"/>
      <c r="P314" s="263" t="n">
        <v>92</v>
      </c>
      <c r="Q314" s="263" t="n">
        <v>28</v>
      </c>
      <c r="R314" s="263" t="inlineStr">
        <is>
          <t>복도식</t>
        </is>
      </c>
      <c r="S314" s="263" t="n">
        <v>3</v>
      </c>
      <c r="T314" s="263" t="n">
        <v>1</v>
      </c>
      <c r="U314" s="263" t="n"/>
      <c r="V314" s="263" t="n"/>
      <c r="W314" s="263" t="inlineStr">
        <is>
          <t>복도식</t>
        </is>
      </c>
      <c r="X314" s="263" t="n">
        <v>3</v>
      </c>
      <c r="Y314" s="263" t="n">
        <v>1</v>
      </c>
      <c r="Z314" s="263" t="n">
        <v>294</v>
      </c>
      <c r="AA314" s="263" t="n"/>
      <c r="AB314" s="263" t="n"/>
      <c r="AC314" s="263" t="n"/>
      <c r="AD314" s="263" t="n"/>
      <c r="AE314" s="263" t="n"/>
      <c r="AF314" s="263" t="n"/>
      <c r="AG314" s="263" t="n"/>
      <c r="AH314" s="263" t="n"/>
      <c r="AI314" s="263" t="n"/>
      <c r="AJ314" s="263" t="n"/>
      <c r="AK314" s="263" t="n"/>
    </row>
    <row r="315">
      <c r="A315" s="263" t="inlineStr">
        <is>
          <t>신천동</t>
        </is>
      </c>
      <c r="B315" s="263" t="n"/>
      <c r="C315" s="263" t="n"/>
      <c r="D315" s="263" t="n">
        <v>3754</v>
      </c>
      <c r="E315" s="267" t="inlineStr">
        <is>
          <t>장미2차</t>
        </is>
      </c>
      <c r="F315" s="263" t="n">
        <v>119</v>
      </c>
      <c r="G315" s="263" t="n"/>
      <c r="H315" s="263" t="n"/>
      <c r="I315" s="263">
        <f>G315-H315</f>
        <v/>
      </c>
      <c r="J315" s="323">
        <f>H315/G315</f>
        <v/>
      </c>
      <c r="K315" s="263" t="n">
        <v>1979.08</v>
      </c>
      <c r="L315" s="263" t="n">
        <v>1302</v>
      </c>
      <c r="M315" s="263">
        <f>2026-INT(K315)+1</f>
        <v/>
      </c>
      <c r="N315" s="263" t="n">
        <v>392</v>
      </c>
      <c r="O315" s="263" t="n"/>
      <c r="P315" s="263" t="n">
        <v>127</v>
      </c>
      <c r="Q315" s="263" t="n">
        <v>38</v>
      </c>
      <c r="R315" s="263" t="inlineStr">
        <is>
          <t>복도식</t>
        </is>
      </c>
      <c r="S315" s="263" t="n">
        <v>4</v>
      </c>
      <c r="T315" s="263" t="n">
        <v>2</v>
      </c>
      <c r="U315" s="263" t="n">
        <v>27.7</v>
      </c>
      <c r="V315" s="263" t="n"/>
      <c r="W315" s="263" t="inlineStr">
        <is>
          <t>복도식</t>
        </is>
      </c>
      <c r="X315" s="263" t="n">
        <v>4</v>
      </c>
      <c r="Y315" s="263" t="n">
        <v>2</v>
      </c>
      <c r="Z315" s="263" t="n">
        <v>392</v>
      </c>
      <c r="AA315" s="263" t="n"/>
      <c r="AB315" s="263" t="n"/>
      <c r="AC315" s="263" t="n"/>
      <c r="AD315" s="263" t="n"/>
      <c r="AE315" s="263" t="n"/>
      <c r="AF315" s="263" t="n"/>
      <c r="AG315" s="263" t="n"/>
      <c r="AH315" s="263" t="n"/>
      <c r="AI315" s="263" t="n"/>
      <c r="AJ315" s="263" t="n"/>
      <c r="AK315" s="263" t="n"/>
    </row>
    <row r="316">
      <c r="A316" s="263" t="inlineStr">
        <is>
          <t>신천동</t>
        </is>
      </c>
      <c r="B316" s="263" t="n"/>
      <c r="C316" s="263" t="n"/>
      <c r="D316" s="263" t="n">
        <v>3754</v>
      </c>
      <c r="E316" s="267" t="inlineStr">
        <is>
          <t>장미2차</t>
        </is>
      </c>
      <c r="F316" s="263" t="n">
        <v>119</v>
      </c>
      <c r="G316" s="263" t="n"/>
      <c r="H316" s="263" t="n"/>
      <c r="I316" s="263">
        <f>G316-H316</f>
        <v/>
      </c>
      <c r="J316" s="323">
        <f>H316/G316</f>
        <v/>
      </c>
      <c r="K316" s="263" t="n">
        <v>1979.08</v>
      </c>
      <c r="L316" s="263" t="n">
        <v>1302</v>
      </c>
      <c r="M316" s="263">
        <f>2026-INT(K316)+1</f>
        <v/>
      </c>
      <c r="N316" s="263" t="n">
        <v>126</v>
      </c>
      <c r="O316" s="263" t="n"/>
      <c r="P316" s="263" t="n">
        <v>151</v>
      </c>
      <c r="Q316" s="263" t="n">
        <v>46</v>
      </c>
      <c r="R316" s="263" t="inlineStr">
        <is>
          <t>복도식</t>
        </is>
      </c>
      <c r="S316" s="263" t="n">
        <v>5</v>
      </c>
      <c r="T316" s="263" t="n">
        <v>2</v>
      </c>
      <c r="U316" s="263" t="n">
        <v>27.7</v>
      </c>
      <c r="V316" s="263" t="n"/>
      <c r="W316" s="263" t="inlineStr">
        <is>
          <t>복도식</t>
        </is>
      </c>
      <c r="X316" s="263" t="n">
        <v>5</v>
      </c>
      <c r="Y316" s="263" t="n">
        <v>2</v>
      </c>
      <c r="Z316" s="263" t="n">
        <v>126</v>
      </c>
      <c r="AA316" s="263" t="n"/>
      <c r="AB316" s="263" t="n"/>
      <c r="AC316" s="263" t="n"/>
      <c r="AD316" s="263" t="n"/>
      <c r="AE316" s="263" t="n"/>
      <c r="AF316" s="263" t="n"/>
      <c r="AG316" s="263" t="n"/>
      <c r="AH316" s="263" t="n"/>
      <c r="AI316" s="263" t="n"/>
      <c r="AJ316" s="263" t="n"/>
      <c r="AK316" s="263" t="n"/>
    </row>
    <row r="317">
      <c r="A317" s="458" t="inlineStr">
        <is>
          <t>신천동</t>
        </is>
      </c>
      <c r="D317" s="458" t="n">
        <v>22675</v>
      </c>
      <c r="E317" s="146" t="inlineStr">
        <is>
          <t>파크리오</t>
        </is>
      </c>
      <c r="F317" s="458" t="n">
        <v>35</v>
      </c>
      <c r="G317" s="458" t="n">
        <v>137500</v>
      </c>
      <c r="H317" s="458" t="n">
        <v>60000</v>
      </c>
      <c r="I317" s="263">
        <f>G317-H317</f>
        <v/>
      </c>
      <c r="J317" s="323">
        <f>H317/G317</f>
        <v/>
      </c>
      <c r="K317" s="458" t="n">
        <v>2008.08</v>
      </c>
      <c r="L317" s="458" t="n">
        <v>6864</v>
      </c>
      <c r="M317" s="458">
        <f>2026-INT(K317)+1</f>
        <v/>
      </c>
      <c r="N317" s="458" t="n">
        <v>344</v>
      </c>
      <c r="P317" s="458" t="n">
        <v>52</v>
      </c>
      <c r="Q317" s="458" t="n">
        <v>16</v>
      </c>
      <c r="R317" s="458" t="inlineStr">
        <is>
          <t>계단식</t>
        </is>
      </c>
      <c r="S317" s="458" t="n">
        <v>1</v>
      </c>
      <c r="T317" s="458" t="n">
        <v>1</v>
      </c>
      <c r="U317" s="458" t="n">
        <v>10.35</v>
      </c>
      <c r="V317" s="458" t="n">
        <v>8</v>
      </c>
      <c r="W317" s="458" t="inlineStr">
        <is>
          <t>계단식</t>
        </is>
      </c>
      <c r="X317" s="458" t="n">
        <v>1</v>
      </c>
      <c r="Y317" s="458" t="n">
        <v>1</v>
      </c>
      <c r="Z317" s="458" t="n">
        <v>344</v>
      </c>
    </row>
    <row r="318">
      <c r="A318" s="458" t="inlineStr">
        <is>
          <t>신천동</t>
        </is>
      </c>
      <c r="D318" s="458" t="n">
        <v>22675</v>
      </c>
      <c r="E318" s="268" t="inlineStr">
        <is>
          <t>파크리오</t>
        </is>
      </c>
      <c r="F318" s="458" t="n">
        <v>59</v>
      </c>
      <c r="G318" s="263" t="n">
        <v>268000</v>
      </c>
      <c r="H318" s="263" t="n">
        <v>105000</v>
      </c>
      <c r="I318" s="263">
        <f>G318-H318</f>
        <v/>
      </c>
      <c r="J318" s="323">
        <f>H318/G318</f>
        <v/>
      </c>
      <c r="K318" s="458" t="n">
        <v>2008.08</v>
      </c>
      <c r="L318" s="458" t="n">
        <v>6864</v>
      </c>
      <c r="M318" s="458">
        <f>2026-INT(K318)+1</f>
        <v/>
      </c>
      <c r="N318" s="458" t="n">
        <v>1044</v>
      </c>
      <c r="P318" s="458" t="n">
        <v>86</v>
      </c>
      <c r="Q318" s="458" t="n">
        <v>26</v>
      </c>
      <c r="R318" s="458" t="inlineStr">
        <is>
          <t>계단식</t>
        </is>
      </c>
      <c r="S318" s="458" t="n">
        <v>3</v>
      </c>
      <c r="T318" s="458" t="n">
        <v>2</v>
      </c>
      <c r="U318" s="458" t="n">
        <v>20</v>
      </c>
      <c r="V318" s="458" t="n">
        <v>10</v>
      </c>
      <c r="W318" s="458" t="inlineStr">
        <is>
          <t>계단식</t>
        </is>
      </c>
      <c r="X318" s="458" t="n">
        <v>3</v>
      </c>
      <c r="Y318" s="458" t="n">
        <v>2</v>
      </c>
      <c r="Z318" s="458" t="n">
        <v>1044</v>
      </c>
    </row>
    <row r="319">
      <c r="A319" s="458" t="inlineStr">
        <is>
          <t>신천동</t>
        </is>
      </c>
      <c r="D319" s="458" t="n">
        <v>22675</v>
      </c>
      <c r="E319" s="268" t="inlineStr">
        <is>
          <t>파크리오</t>
        </is>
      </c>
      <c r="F319" s="458" t="n">
        <v>84</v>
      </c>
      <c r="G319" s="263" t="n">
        <v>278000</v>
      </c>
      <c r="H319" s="263" t="n">
        <v>110000</v>
      </c>
      <c r="I319" s="263">
        <f>G319-H319</f>
        <v/>
      </c>
      <c r="J319" s="323">
        <f>H319/G319</f>
        <v/>
      </c>
      <c r="K319" s="458" t="n">
        <v>2008.08</v>
      </c>
      <c r="L319" s="458" t="n">
        <v>6864</v>
      </c>
      <c r="M319" s="458">
        <f>2026-INT(K319)+1</f>
        <v/>
      </c>
      <c r="N319" s="458" t="n">
        <v>4260</v>
      </c>
      <c r="P319" s="458" t="n">
        <v>108</v>
      </c>
      <c r="Q319" s="458" t="n">
        <v>33</v>
      </c>
      <c r="R319" s="458" t="inlineStr">
        <is>
          <t>계단식</t>
        </is>
      </c>
      <c r="S319" s="458" t="n">
        <v>3</v>
      </c>
      <c r="T319" s="458" t="n">
        <v>2</v>
      </c>
      <c r="U319" s="458" t="n">
        <v>25.3</v>
      </c>
      <c r="V319" s="458" t="n">
        <v>12.65</v>
      </c>
      <c r="W319" s="458" t="inlineStr">
        <is>
          <t>계단식</t>
        </is>
      </c>
      <c r="X319" s="458" t="n">
        <v>3</v>
      </c>
      <c r="Y319" s="458" t="n">
        <v>2</v>
      </c>
      <c r="Z319" s="458" t="n">
        <v>4260</v>
      </c>
    </row>
    <row r="320">
      <c r="A320" s="458" t="inlineStr">
        <is>
          <t>신천동</t>
        </is>
      </c>
      <c r="D320" s="458" t="n">
        <v>22675</v>
      </c>
      <c r="E320" s="268" t="inlineStr">
        <is>
          <t>파크리오</t>
        </is>
      </c>
      <c r="F320" s="458" t="n">
        <v>121</v>
      </c>
      <c r="I320" s="263">
        <f>G320-H320</f>
        <v/>
      </c>
      <c r="J320" s="323">
        <f>H320/G320</f>
        <v/>
      </c>
      <c r="K320" s="458" t="n">
        <v>2008.08</v>
      </c>
      <c r="L320" s="458" t="n">
        <v>6864</v>
      </c>
      <c r="M320" s="458">
        <f>2026-INT(K320)+1</f>
        <v/>
      </c>
      <c r="N320" s="458" t="n">
        <v>642</v>
      </c>
      <c r="P320" s="458" t="n">
        <v>149</v>
      </c>
      <c r="Q320" s="458" t="n">
        <v>45</v>
      </c>
      <c r="R320" s="458" t="inlineStr">
        <is>
          <t>계단식</t>
        </is>
      </c>
      <c r="S320" s="458" t="n">
        <v>4</v>
      </c>
      <c r="T320" s="458" t="n">
        <v>2</v>
      </c>
      <c r="U320" s="458" t="n">
        <v>30</v>
      </c>
      <c r="V320" s="458" t="n">
        <v>21.3</v>
      </c>
      <c r="W320" s="458" t="inlineStr">
        <is>
          <t>계단식</t>
        </is>
      </c>
      <c r="X320" s="458" t="n">
        <v>4</v>
      </c>
      <c r="Y320" s="458" t="n">
        <v>2</v>
      </c>
      <c r="Z320" s="458" t="n">
        <v>642</v>
      </c>
    </row>
    <row r="321">
      <c r="A321" s="458" t="inlineStr">
        <is>
          <t>신천동</t>
        </is>
      </c>
      <c r="D321" s="458" t="n">
        <v>22675</v>
      </c>
      <c r="E321" s="268" t="inlineStr">
        <is>
          <t>파크리오</t>
        </is>
      </c>
      <c r="F321" s="458" t="n">
        <v>144</v>
      </c>
      <c r="I321" s="263">
        <f>G321-H321</f>
        <v/>
      </c>
      <c r="J321" s="323">
        <f>H321/G321</f>
        <v/>
      </c>
      <c r="K321" s="458" t="n">
        <v>2008.08</v>
      </c>
      <c r="L321" s="458" t="n">
        <v>6864</v>
      </c>
      <c r="M321" s="458">
        <f>2026-INT(K321)+1</f>
        <v/>
      </c>
      <c r="N321" s="458" t="n">
        <v>574</v>
      </c>
      <c r="P321" s="458" t="n">
        <v>174</v>
      </c>
      <c r="Q321" s="458" t="n">
        <v>53</v>
      </c>
      <c r="R321" s="458" t="inlineStr">
        <is>
          <t>계단식</t>
        </is>
      </c>
      <c r="S321" s="458" t="n">
        <v>4</v>
      </c>
      <c r="T321" s="458" t="n">
        <v>2</v>
      </c>
      <c r="U321" s="458" t="n">
        <v>33</v>
      </c>
      <c r="V321" s="458" t="n">
        <v>25</v>
      </c>
      <c r="W321" s="458" t="inlineStr">
        <is>
          <t>계단식</t>
        </is>
      </c>
      <c r="X321" s="458" t="n">
        <v>4</v>
      </c>
      <c r="Y321" s="458" t="n">
        <v>2</v>
      </c>
      <c r="Z321" s="458" t="n">
        <v>574</v>
      </c>
    </row>
    <row r="322">
      <c r="A322" s="263" t="inlineStr">
        <is>
          <t>신천동</t>
        </is>
      </c>
      <c r="B322" s="263" t="n"/>
      <c r="C322" s="263" t="n"/>
      <c r="D322" s="263" t="n">
        <v>393</v>
      </c>
      <c r="E322" s="267" t="inlineStr">
        <is>
          <t>한신잠실코아</t>
        </is>
      </c>
      <c r="F322" s="263" t="n">
        <v>31</v>
      </c>
      <c r="G322" s="263" t="n">
        <v>100001</v>
      </c>
      <c r="H322" s="263" t="n">
        <v>33001</v>
      </c>
      <c r="I322" s="263">
        <f>G322-H322</f>
        <v/>
      </c>
      <c r="J322" s="323">
        <f>H322/G322</f>
        <v/>
      </c>
      <c r="K322" s="263" t="n">
        <v>1988.12</v>
      </c>
      <c r="L322" s="263" t="n">
        <v>493</v>
      </c>
      <c r="M322" s="263">
        <f>2026-INT(K322)+1</f>
        <v/>
      </c>
      <c r="N322" s="263" t="n">
        <v>30</v>
      </c>
      <c r="O322" s="263" t="n"/>
      <c r="P322" s="263" t="n">
        <v>42</v>
      </c>
      <c r="Q322" s="263" t="n">
        <v>13</v>
      </c>
      <c r="R322" s="263" t="inlineStr">
        <is>
          <t>복도식</t>
        </is>
      </c>
      <c r="S322" s="263" t="n">
        <v>1</v>
      </c>
      <c r="T322" s="263" t="n">
        <v>1</v>
      </c>
      <c r="U322" s="263" t="n">
        <v>8.289999999999999</v>
      </c>
      <c r="V322" s="263" t="n">
        <v>8.199999999999999</v>
      </c>
      <c r="W322" s="263" t="inlineStr">
        <is>
          <t>복도식</t>
        </is>
      </c>
      <c r="X322" s="263" t="n">
        <v>1</v>
      </c>
      <c r="Y322" s="263" t="n">
        <v>1</v>
      </c>
      <c r="Z322" s="263" t="n">
        <v>30</v>
      </c>
      <c r="AA322" s="263" t="n"/>
      <c r="AB322" s="263" t="n"/>
      <c r="AC322" s="263" t="n"/>
      <c r="AD322" s="263" t="n"/>
      <c r="AE322" s="263" t="n"/>
      <c r="AF322" s="263" t="n"/>
      <c r="AG322" s="263" t="n"/>
      <c r="AH322" s="263" t="n"/>
      <c r="AI322" s="263" t="n"/>
      <c r="AJ322" s="263" t="n"/>
      <c r="AK322" s="263" t="n"/>
    </row>
    <row r="323">
      <c r="A323" s="263" t="inlineStr">
        <is>
          <t>신천동</t>
        </is>
      </c>
      <c r="B323" s="263" t="n"/>
      <c r="C323" s="263" t="n"/>
      <c r="D323" s="263" t="n">
        <v>393</v>
      </c>
      <c r="E323" s="267" t="inlineStr">
        <is>
          <t>한신잠실코아</t>
        </is>
      </c>
      <c r="F323" s="263" t="n">
        <v>41</v>
      </c>
      <c r="G323" s="263" t="n">
        <v>147000</v>
      </c>
      <c r="H323" s="263" t="n">
        <v>42000</v>
      </c>
      <c r="I323" s="263">
        <f>G323-H323</f>
        <v/>
      </c>
      <c r="J323" s="323">
        <f>H323/G323</f>
        <v/>
      </c>
      <c r="K323" s="263" t="n">
        <v>1988.12</v>
      </c>
      <c r="L323" s="263" t="n">
        <v>493</v>
      </c>
      <c r="M323" s="263">
        <f>2026-INT(K323)+1</f>
        <v/>
      </c>
      <c r="N323" s="263" t="n">
        <v>178</v>
      </c>
      <c r="O323" s="263" t="n"/>
      <c r="P323" s="263" t="n">
        <v>59</v>
      </c>
      <c r="Q323" s="263" t="n">
        <v>18</v>
      </c>
      <c r="R323" s="263" t="inlineStr">
        <is>
          <t>복도식</t>
        </is>
      </c>
      <c r="S323" s="263" t="n">
        <v>2</v>
      </c>
      <c r="T323" s="263" t="n">
        <v>1</v>
      </c>
      <c r="U323" s="263" t="n">
        <v>11</v>
      </c>
      <c r="V323" s="263" t="n">
        <v>6</v>
      </c>
      <c r="W323" s="263" t="inlineStr">
        <is>
          <t>복도식</t>
        </is>
      </c>
      <c r="X323" s="263" t="n">
        <v>2</v>
      </c>
      <c r="Y323" s="263" t="n">
        <v>1</v>
      </c>
      <c r="Z323" s="263" t="n">
        <v>178</v>
      </c>
      <c r="AA323" s="263" t="n"/>
      <c r="AB323" s="263" t="n"/>
      <c r="AC323" s="263" t="n"/>
      <c r="AD323" s="263" t="n"/>
      <c r="AE323" s="263" t="n"/>
      <c r="AF323" s="263" t="n"/>
      <c r="AG323" s="263" t="n"/>
      <c r="AH323" s="263" t="n"/>
      <c r="AI323" s="263" t="n"/>
      <c r="AJ323" s="263" t="n"/>
      <c r="AK323" s="263" t="n"/>
    </row>
    <row r="324">
      <c r="A324" s="263" t="inlineStr">
        <is>
          <t>신천동</t>
        </is>
      </c>
      <c r="B324" s="263" t="n"/>
      <c r="C324" s="263" t="n"/>
      <c r="D324" s="263" t="n">
        <v>393</v>
      </c>
      <c r="E324" s="267" t="inlineStr">
        <is>
          <t>한신잠실코아</t>
        </is>
      </c>
      <c r="F324" s="263" t="n">
        <v>50</v>
      </c>
      <c r="G324" s="263" t="n">
        <v>168000</v>
      </c>
      <c r="H324" s="263" t="n">
        <v>44001</v>
      </c>
      <c r="I324" s="263">
        <f>G324-H324</f>
        <v/>
      </c>
      <c r="J324" s="323">
        <f>H324/G324</f>
        <v/>
      </c>
      <c r="K324" s="263" t="n">
        <v>1988.12</v>
      </c>
      <c r="L324" s="263" t="n">
        <v>493</v>
      </c>
      <c r="M324" s="263">
        <f>2026-INT(K324)+1</f>
        <v/>
      </c>
      <c r="N324" s="263" t="n">
        <v>56</v>
      </c>
      <c r="O324" s="263" t="n"/>
      <c r="P324" s="263" t="n">
        <v>72</v>
      </c>
      <c r="Q324" s="263" t="n">
        <v>22</v>
      </c>
      <c r="R324" s="263" t="inlineStr">
        <is>
          <t>복도식</t>
        </is>
      </c>
      <c r="S324" s="263" t="n">
        <v>2</v>
      </c>
      <c r="T324" s="263" t="n">
        <v>1</v>
      </c>
      <c r="U324" s="263" t="n">
        <v>11.2</v>
      </c>
      <c r="V324" s="263" t="n">
        <v>9.4</v>
      </c>
      <c r="W324" s="263" t="inlineStr">
        <is>
          <t>복도식</t>
        </is>
      </c>
      <c r="X324" s="263" t="n">
        <v>2</v>
      </c>
      <c r="Y324" s="263" t="n">
        <v>1</v>
      </c>
      <c r="Z324" s="263" t="n">
        <v>56</v>
      </c>
      <c r="AA324" s="263" t="n"/>
      <c r="AB324" s="263" t="n"/>
      <c r="AC324" s="263" t="n"/>
      <c r="AD324" s="263" t="n"/>
      <c r="AE324" s="263" t="n"/>
      <c r="AF324" s="263" t="n"/>
      <c r="AG324" s="263" t="n"/>
      <c r="AH324" s="263" t="n"/>
      <c r="AI324" s="263" t="n"/>
      <c r="AJ324" s="263" t="n"/>
      <c r="AK324" s="263" t="n"/>
    </row>
    <row r="325">
      <c r="A325" s="263" t="inlineStr">
        <is>
          <t>신천동</t>
        </is>
      </c>
      <c r="B325" s="263" t="n"/>
      <c r="C325" s="263" t="n"/>
      <c r="D325" s="263" t="n">
        <v>393</v>
      </c>
      <c r="E325" s="267" t="inlineStr">
        <is>
          <t>한신잠실코아</t>
        </is>
      </c>
      <c r="F325" s="263" t="n">
        <v>52</v>
      </c>
      <c r="G325" s="263" t="n">
        <v>179001</v>
      </c>
      <c r="H325" s="263" t="n">
        <v>57000</v>
      </c>
      <c r="I325" s="263">
        <f>G325-H325</f>
        <v/>
      </c>
      <c r="J325" s="323">
        <f>H325/G325</f>
        <v/>
      </c>
      <c r="K325" s="263" t="n">
        <v>1988.12</v>
      </c>
      <c r="L325" s="263" t="n">
        <v>493</v>
      </c>
      <c r="M325" s="263">
        <f>2026-INT(K325)+1</f>
        <v/>
      </c>
      <c r="N325" s="263" t="n">
        <v>175</v>
      </c>
      <c r="O325" s="263" t="n"/>
      <c r="P325" s="263" t="n">
        <v>76</v>
      </c>
      <c r="Q325" s="263" t="n">
        <v>23</v>
      </c>
      <c r="R325" s="263" t="inlineStr">
        <is>
          <t>복도식</t>
        </is>
      </c>
      <c r="S325" s="263" t="n">
        <v>3</v>
      </c>
      <c r="T325" s="263" t="n">
        <v>1</v>
      </c>
      <c r="U325" s="263" t="n">
        <v>12.3</v>
      </c>
      <c r="V325" s="263" t="n">
        <v>9.4</v>
      </c>
      <c r="W325" s="263" t="inlineStr">
        <is>
          <t>복도식</t>
        </is>
      </c>
      <c r="X325" s="263" t="n">
        <v>3</v>
      </c>
      <c r="Y325" s="263" t="n">
        <v>1</v>
      </c>
      <c r="Z325" s="263" t="n">
        <v>175</v>
      </c>
      <c r="AA325" s="263" t="n"/>
      <c r="AB325" s="263" t="n"/>
      <c r="AC325" s="263" t="n"/>
      <c r="AD325" s="263" t="n"/>
      <c r="AE325" s="263" t="n"/>
      <c r="AF325" s="263" t="n"/>
      <c r="AG325" s="263" t="n"/>
      <c r="AH325" s="263" t="n"/>
      <c r="AI325" s="263" t="n"/>
      <c r="AJ325" s="263" t="n"/>
      <c r="AK325" s="263" t="n"/>
    </row>
    <row r="326">
      <c r="A326" s="263" t="inlineStr">
        <is>
          <t>신천동</t>
        </is>
      </c>
      <c r="B326" s="263" t="n"/>
      <c r="C326" s="263" t="n"/>
      <c r="D326" s="263" t="n">
        <v>393</v>
      </c>
      <c r="E326" s="269" t="inlineStr">
        <is>
          <t>한신잠실코아</t>
        </is>
      </c>
      <c r="F326" s="263" t="n">
        <v>59</v>
      </c>
      <c r="G326" s="263" t="n">
        <v>126001</v>
      </c>
      <c r="H326" s="263" t="n">
        <v>58001</v>
      </c>
      <c r="I326" s="263">
        <f>G326-H326</f>
        <v/>
      </c>
      <c r="J326" s="323">
        <f>H326/G326</f>
        <v/>
      </c>
      <c r="K326" s="263" t="n">
        <v>1988.12</v>
      </c>
      <c r="L326" s="263" t="n">
        <v>493</v>
      </c>
      <c r="M326" s="263">
        <f>2026-INT(K326)+1</f>
        <v/>
      </c>
      <c r="N326" s="263" t="n">
        <v>13</v>
      </c>
      <c r="O326" s="263" t="n"/>
      <c r="P326" s="263" t="n">
        <v>85</v>
      </c>
      <c r="Q326" s="263" t="n">
        <v>26</v>
      </c>
      <c r="R326" s="263" t="inlineStr">
        <is>
          <t>복도식</t>
        </is>
      </c>
      <c r="S326" s="263" t="n">
        <v>3</v>
      </c>
      <c r="T326" s="263" t="n">
        <v>1</v>
      </c>
      <c r="U326" s="263" t="n"/>
      <c r="V326" s="263" t="n">
        <v>12.3</v>
      </c>
      <c r="W326" s="263" t="inlineStr">
        <is>
          <t>복도식</t>
        </is>
      </c>
      <c r="X326" s="263" t="n">
        <v>3</v>
      </c>
      <c r="Y326" s="263" t="n">
        <v>1</v>
      </c>
      <c r="Z326" s="263" t="n">
        <v>13</v>
      </c>
      <c r="AA326" s="263" t="n"/>
      <c r="AB326" s="263" t="n"/>
      <c r="AC326" s="263" t="n"/>
      <c r="AD326" s="263" t="n"/>
      <c r="AE326" s="263" t="n"/>
      <c r="AF326" s="263" t="n"/>
      <c r="AG326" s="263" t="n"/>
      <c r="AH326" s="263" t="n"/>
      <c r="AI326" s="263" t="n"/>
      <c r="AJ326" s="263" t="n"/>
      <c r="AK326" s="263" t="n"/>
    </row>
    <row r="327" ht="14" customHeight="1" s="476">
      <c r="A327" s="263" t="inlineStr">
        <is>
          <t>신천동</t>
        </is>
      </c>
      <c r="B327" s="263" t="n"/>
      <c r="C327" s="263" t="n"/>
      <c r="D327" s="263" t="n">
        <v>393</v>
      </c>
      <c r="E327" s="267" t="inlineStr">
        <is>
          <t>한신잠실코아</t>
        </is>
      </c>
      <c r="F327" s="263" t="n">
        <v>64</v>
      </c>
      <c r="G327" s="263" t="n">
        <v>149001</v>
      </c>
      <c r="H327" s="263" t="n">
        <v>60001</v>
      </c>
      <c r="I327" s="263">
        <f>G327-H327</f>
        <v/>
      </c>
      <c r="J327" s="323">
        <f>H327/G327</f>
        <v/>
      </c>
      <c r="K327" s="263" t="n">
        <v>1988.12</v>
      </c>
      <c r="L327" s="263" t="n">
        <v>493</v>
      </c>
      <c r="M327" s="263">
        <f>2026-INT(K327)+1</f>
        <v/>
      </c>
      <c r="N327" s="263" t="n">
        <v>41</v>
      </c>
      <c r="O327" s="263" t="n"/>
      <c r="P327" s="263" t="n">
        <v>92</v>
      </c>
      <c r="Q327" s="263" t="n">
        <v>28</v>
      </c>
      <c r="R327" s="263" t="inlineStr">
        <is>
          <t>복도식</t>
        </is>
      </c>
      <c r="S327" s="263" t="n">
        <v>2</v>
      </c>
      <c r="T327" s="263" t="n">
        <v>1</v>
      </c>
      <c r="U327" s="263" t="n"/>
      <c r="V327" s="263" t="n">
        <v>11</v>
      </c>
      <c r="W327" s="263" t="inlineStr">
        <is>
          <t>복도식</t>
        </is>
      </c>
      <c r="X327" s="263" t="n">
        <v>2</v>
      </c>
      <c r="Y327" s="263" t="n">
        <v>1</v>
      </c>
      <c r="Z327" s="263" t="n">
        <v>41</v>
      </c>
      <c r="AA327" s="263" t="n"/>
      <c r="AB327" s="263" t="n"/>
      <c r="AC327" s="263" t="n"/>
      <c r="AD327" s="263" t="n"/>
      <c r="AE327" s="263" t="n"/>
      <c r="AF327" s="263" t="n"/>
      <c r="AG327" s="263" t="n"/>
      <c r="AH327" s="263" t="n"/>
      <c r="AI327" s="263" t="n"/>
      <c r="AJ327" s="263" t="n"/>
      <c r="AK327" s="263" t="n"/>
    </row>
    <row r="328">
      <c r="A328" s="458" t="inlineStr">
        <is>
          <t>오금동</t>
        </is>
      </c>
      <c r="D328" s="458" t="n">
        <v>629</v>
      </c>
      <c r="E328" s="268" t="inlineStr">
        <is>
          <t>가락상아</t>
        </is>
      </c>
      <c r="F328" s="458" t="n">
        <v>60</v>
      </c>
      <c r="G328" s="263" t="n">
        <v>200000</v>
      </c>
      <c r="H328" s="263" t="n">
        <v>25001</v>
      </c>
      <c r="I328" s="263">
        <f>G328-H328</f>
        <v/>
      </c>
      <c r="J328" s="323">
        <f>H328/G328</f>
        <v/>
      </c>
      <c r="K328" s="458" t="n">
        <v>1984.12</v>
      </c>
      <c r="L328" s="458" t="n">
        <v>226</v>
      </c>
      <c r="M328" s="458">
        <f>2026-INT(K328)+1</f>
        <v/>
      </c>
      <c r="N328" s="458" t="n">
        <v>72</v>
      </c>
      <c r="P328" s="458" t="n">
        <v>83</v>
      </c>
      <c r="Q328" s="458" t="n">
        <v>25</v>
      </c>
      <c r="R328" s="458" t="inlineStr">
        <is>
          <t>복도식</t>
        </is>
      </c>
      <c r="S328" s="458" t="n">
        <v>3</v>
      </c>
      <c r="T328" s="458" t="n">
        <v>1</v>
      </c>
      <c r="W328" s="458" t="inlineStr">
        <is>
          <t>복도식</t>
        </is>
      </c>
      <c r="X328" s="458" t="n">
        <v>3</v>
      </c>
      <c r="Y328" s="458" t="n">
        <v>1</v>
      </c>
      <c r="Z328" s="458" t="n">
        <v>72</v>
      </c>
    </row>
    <row r="329">
      <c r="A329" s="458" t="inlineStr">
        <is>
          <t>오금동</t>
        </is>
      </c>
      <c r="D329" s="458" t="n">
        <v>629</v>
      </c>
      <c r="E329" s="268" t="inlineStr">
        <is>
          <t>가락상아</t>
        </is>
      </c>
      <c r="F329" s="458" t="n">
        <v>106</v>
      </c>
      <c r="I329" s="263">
        <f>G329-H329</f>
        <v/>
      </c>
      <c r="J329" s="323">
        <f>H329/G329</f>
        <v/>
      </c>
      <c r="K329" s="458" t="n">
        <v>1984.12</v>
      </c>
      <c r="L329" s="458" t="n">
        <v>226</v>
      </c>
      <c r="M329" s="458">
        <f>2026-INT(K329)+1</f>
        <v/>
      </c>
      <c r="N329" s="458" t="n">
        <v>110</v>
      </c>
      <c r="P329" s="458" t="n">
        <v>126</v>
      </c>
      <c r="Q329" s="458" t="n">
        <v>38</v>
      </c>
      <c r="R329" s="458" t="inlineStr">
        <is>
          <t>계단식</t>
        </is>
      </c>
      <c r="S329" s="458" t="n">
        <v>4</v>
      </c>
      <c r="T329" s="458" t="n">
        <v>2</v>
      </c>
      <c r="U329" s="458" t="n">
        <v>16</v>
      </c>
      <c r="V329" s="458" t="n">
        <v>12.4</v>
      </c>
      <c r="W329" s="458" t="inlineStr">
        <is>
          <t>계단식</t>
        </is>
      </c>
      <c r="X329" s="458" t="n">
        <v>4</v>
      </c>
      <c r="Y329" s="458" t="n">
        <v>2</v>
      </c>
      <c r="Z329" s="458" t="n">
        <v>110</v>
      </c>
    </row>
    <row r="330">
      <c r="A330" s="458" t="inlineStr">
        <is>
          <t>오금동</t>
        </is>
      </c>
      <c r="D330" s="458" t="n">
        <v>629</v>
      </c>
      <c r="E330" s="268" t="inlineStr">
        <is>
          <t>가락상아</t>
        </is>
      </c>
      <c r="F330" s="458" t="n">
        <v>122</v>
      </c>
      <c r="I330" s="263">
        <f>G330-H330</f>
        <v/>
      </c>
      <c r="J330" s="323">
        <f>H330/G330</f>
        <v/>
      </c>
      <c r="K330" s="458" t="n">
        <v>1984.12</v>
      </c>
      <c r="L330" s="458" t="n">
        <v>226</v>
      </c>
      <c r="M330" s="458">
        <f>2026-INT(K330)+1</f>
        <v/>
      </c>
      <c r="N330" s="458" t="n">
        <v>44</v>
      </c>
      <c r="P330" s="458" t="n">
        <v>145</v>
      </c>
      <c r="Q330" s="458" t="n">
        <v>44</v>
      </c>
      <c r="R330" s="458" t="inlineStr">
        <is>
          <t>계단식</t>
        </is>
      </c>
      <c r="S330" s="458" t="n">
        <v>4</v>
      </c>
      <c r="T330" s="458" t="n">
        <v>2</v>
      </c>
      <c r="W330" s="458" t="inlineStr">
        <is>
          <t>계단식</t>
        </is>
      </c>
      <c r="X330" s="458" t="n">
        <v>4</v>
      </c>
      <c r="Y330" s="458" t="n">
        <v>2</v>
      </c>
      <c r="Z330" s="458" t="n">
        <v>44</v>
      </c>
    </row>
    <row r="331">
      <c r="A331" s="263" t="inlineStr">
        <is>
          <t>오금동</t>
        </is>
      </c>
      <c r="B331" s="263" t="n"/>
      <c r="C331" s="263" t="n"/>
      <c r="D331" s="263" t="n">
        <v>631</v>
      </c>
      <c r="E331" s="269" t="inlineStr">
        <is>
          <t>가락우창</t>
        </is>
      </c>
      <c r="F331" s="263" t="n">
        <v>76</v>
      </c>
      <c r="G331" s="263" t="n">
        <v>157001</v>
      </c>
      <c r="H331" s="263" t="n">
        <v>53000</v>
      </c>
      <c r="I331" s="263">
        <f>G331-H331</f>
        <v/>
      </c>
      <c r="J331" s="323">
        <f>H331/G331</f>
        <v/>
      </c>
      <c r="K331" s="263" t="n">
        <v>1985.1</v>
      </c>
      <c r="L331" s="263" t="n">
        <v>264</v>
      </c>
      <c r="M331" s="263">
        <f>2026-INT(K331)+1</f>
        <v/>
      </c>
      <c r="N331" s="263" t="n">
        <v>72</v>
      </c>
      <c r="O331" s="263" t="n"/>
      <c r="P331" s="263" t="n">
        <v>93</v>
      </c>
      <c r="Q331" s="263" t="n">
        <v>28</v>
      </c>
      <c r="R331" s="263" t="inlineStr">
        <is>
          <t>계단식</t>
        </is>
      </c>
      <c r="S331" s="263" t="n">
        <v>3</v>
      </c>
      <c r="T331" s="263" t="n">
        <v>1</v>
      </c>
      <c r="U331" s="263" t="n">
        <v>13.4</v>
      </c>
      <c r="V331" s="263" t="n">
        <v>10.9</v>
      </c>
      <c r="W331" s="263" t="inlineStr">
        <is>
          <t>계단식</t>
        </is>
      </c>
      <c r="X331" s="263" t="n">
        <v>3</v>
      </c>
      <c r="Y331" s="263" t="n">
        <v>1</v>
      </c>
      <c r="Z331" s="263" t="n">
        <v>72</v>
      </c>
      <c r="AA331" s="263" t="n"/>
      <c r="AB331" s="263" t="n"/>
      <c r="AC331" s="263" t="n"/>
      <c r="AD331" s="263" t="n"/>
      <c r="AE331" s="263" t="n"/>
      <c r="AF331" s="263" t="n"/>
      <c r="AG331" s="263" t="n"/>
      <c r="AH331" s="263" t="n"/>
      <c r="AI331" s="263" t="n"/>
      <c r="AJ331" s="263" t="n"/>
      <c r="AK331" s="263" t="n"/>
    </row>
    <row r="332">
      <c r="A332" s="263" t="inlineStr">
        <is>
          <t>오금동</t>
        </is>
      </c>
      <c r="B332" s="263" t="n"/>
      <c r="C332" s="263" t="n"/>
      <c r="D332" s="263" t="n">
        <v>631</v>
      </c>
      <c r="E332" s="267" t="inlineStr">
        <is>
          <t>가락우창</t>
        </is>
      </c>
      <c r="F332" s="263" t="n">
        <v>109</v>
      </c>
      <c r="G332" s="263" t="n"/>
      <c r="H332" s="263" t="n"/>
      <c r="I332" s="263">
        <f>G332-H332</f>
        <v/>
      </c>
      <c r="J332" s="323">
        <f>H332/G332</f>
        <v/>
      </c>
      <c r="K332" s="263" t="n">
        <v>1985.1</v>
      </c>
      <c r="L332" s="263" t="n">
        <v>264</v>
      </c>
      <c r="M332" s="263">
        <f>2026-INT(K332)+1</f>
        <v/>
      </c>
      <c r="N332" s="263" t="n">
        <v>144</v>
      </c>
      <c r="O332" s="263" t="n"/>
      <c r="P332" s="263" t="n">
        <v>129</v>
      </c>
      <c r="Q332" s="263" t="n">
        <v>39</v>
      </c>
      <c r="R332" s="263" t="inlineStr">
        <is>
          <t>계단식</t>
        </is>
      </c>
      <c r="S332" s="263" t="n">
        <v>4</v>
      </c>
      <c r="T332" s="263" t="n">
        <v>2</v>
      </c>
      <c r="U332" s="263" t="n">
        <v>15.6</v>
      </c>
      <c r="V332" s="263" t="n">
        <v>12.5</v>
      </c>
      <c r="W332" s="263" t="inlineStr">
        <is>
          <t>계단식</t>
        </is>
      </c>
      <c r="X332" s="263" t="n">
        <v>4</v>
      </c>
      <c r="Y332" s="263" t="n">
        <v>2</v>
      </c>
      <c r="Z332" s="263" t="n">
        <v>144</v>
      </c>
      <c r="AA332" s="263" t="n"/>
      <c r="AB332" s="263" t="n"/>
      <c r="AC332" s="263" t="n"/>
      <c r="AD332" s="263" t="n"/>
      <c r="AE332" s="263" t="n"/>
      <c r="AF332" s="263" t="n"/>
      <c r="AG332" s="263" t="n"/>
      <c r="AH332" s="263" t="n"/>
      <c r="AI332" s="263" t="n"/>
      <c r="AJ332" s="263" t="n"/>
      <c r="AK332" s="263" t="n"/>
    </row>
    <row r="333">
      <c r="A333" s="263" t="inlineStr">
        <is>
          <t>오금동</t>
        </is>
      </c>
      <c r="B333" s="263" t="n"/>
      <c r="C333" s="263" t="n"/>
      <c r="D333" s="263" t="n">
        <v>631</v>
      </c>
      <c r="E333" s="267" t="inlineStr">
        <is>
          <t>가락우창</t>
        </is>
      </c>
      <c r="F333" s="263" t="n">
        <v>132</v>
      </c>
      <c r="G333" s="263" t="n"/>
      <c r="H333" s="263" t="n"/>
      <c r="I333" s="263">
        <f>G333-H333</f>
        <v/>
      </c>
      <c r="J333" s="323">
        <f>H333/G333</f>
        <v/>
      </c>
      <c r="K333" s="263" t="n">
        <v>1985.1</v>
      </c>
      <c r="L333" s="263" t="n">
        <v>264</v>
      </c>
      <c r="M333" s="263">
        <f>2026-INT(K333)+1</f>
        <v/>
      </c>
      <c r="N333" s="263" t="n">
        <v>48</v>
      </c>
      <c r="O333" s="263" t="n"/>
      <c r="P333" s="263" t="n">
        <v>154</v>
      </c>
      <c r="Q333" s="263" t="n">
        <v>47</v>
      </c>
      <c r="R333" s="263" t="inlineStr">
        <is>
          <t>계단식</t>
        </is>
      </c>
      <c r="S333" s="263" t="n">
        <v>5</v>
      </c>
      <c r="T333" s="263" t="n">
        <v>2</v>
      </c>
      <c r="U333" s="263" t="n">
        <v>17</v>
      </c>
      <c r="V333" s="263" t="n">
        <v>13</v>
      </c>
      <c r="W333" s="263" t="inlineStr">
        <is>
          <t>계단식</t>
        </is>
      </c>
      <c r="X333" s="263" t="n">
        <v>5</v>
      </c>
      <c r="Y333" s="263" t="n">
        <v>2</v>
      </c>
      <c r="Z333" s="263" t="n">
        <v>48</v>
      </c>
      <c r="AA333" s="263" t="n"/>
      <c r="AB333" s="263" t="n"/>
      <c r="AC333" s="263" t="n"/>
      <c r="AD333" s="263" t="n"/>
      <c r="AE333" s="263" t="n"/>
      <c r="AF333" s="263" t="n"/>
      <c r="AG333" s="263" t="n"/>
      <c r="AH333" s="263" t="n"/>
      <c r="AI333" s="263" t="n"/>
      <c r="AJ333" s="263" t="n"/>
      <c r="AK333" s="263" t="n"/>
    </row>
    <row r="334">
      <c r="A334" s="458" t="inlineStr">
        <is>
          <t>오금동</t>
        </is>
      </c>
      <c r="D334" s="458" t="n">
        <v>626</v>
      </c>
      <c r="E334" s="146" t="inlineStr">
        <is>
          <t>대림</t>
        </is>
      </c>
      <c r="F334" s="458" t="n">
        <v>84</v>
      </c>
      <c r="G334" s="458" t="n">
        <v>237500</v>
      </c>
      <c r="H334" s="458" t="n">
        <v>72401</v>
      </c>
      <c r="I334" s="263">
        <f>G334-H334</f>
        <v/>
      </c>
      <c r="J334" s="323">
        <f>H334/G334</f>
        <v/>
      </c>
      <c r="K334" s="458" t="n">
        <v>1988.12</v>
      </c>
      <c r="L334" s="458" t="n">
        <v>749</v>
      </c>
      <c r="M334" s="458">
        <f>2026-INT(K334)+1</f>
        <v/>
      </c>
      <c r="N334" s="458" t="n">
        <v>389</v>
      </c>
      <c r="P334" s="458" t="n">
        <v>103</v>
      </c>
      <c r="Q334" s="458" t="n">
        <v>31</v>
      </c>
      <c r="R334" s="458" t="inlineStr">
        <is>
          <t>계단식</t>
        </is>
      </c>
      <c r="S334" s="458" t="n">
        <v>3</v>
      </c>
      <c r="T334" s="458" t="n">
        <v>1</v>
      </c>
      <c r="U334" s="458" t="n">
        <v>17</v>
      </c>
      <c r="V334" s="458" t="n">
        <v>10.08</v>
      </c>
      <c r="W334" s="458" t="inlineStr">
        <is>
          <t>계단식</t>
        </is>
      </c>
      <c r="X334" s="458" t="n">
        <v>3</v>
      </c>
      <c r="Y334" s="458" t="n">
        <v>1</v>
      </c>
      <c r="Z334" s="458" t="n">
        <v>389</v>
      </c>
    </row>
    <row r="335">
      <c r="A335" s="458" t="inlineStr">
        <is>
          <t>오금동</t>
        </is>
      </c>
      <c r="D335" s="458" t="n">
        <v>626</v>
      </c>
      <c r="E335" s="268" t="inlineStr">
        <is>
          <t>대림</t>
        </is>
      </c>
      <c r="F335" s="458" t="n">
        <v>125</v>
      </c>
      <c r="I335" s="263">
        <f>G335-H335</f>
        <v/>
      </c>
      <c r="J335" s="323">
        <f>H335/G335</f>
        <v/>
      </c>
      <c r="K335" s="458" t="n">
        <v>1988.12</v>
      </c>
      <c r="L335" s="458" t="n">
        <v>749</v>
      </c>
      <c r="M335" s="458">
        <f>2026-INT(K335)+1</f>
        <v/>
      </c>
      <c r="N335" s="458" t="n">
        <v>360</v>
      </c>
      <c r="P335" s="458" t="n">
        <v>145</v>
      </c>
      <c r="Q335" s="458" t="n">
        <v>44</v>
      </c>
      <c r="R335" s="458" t="inlineStr">
        <is>
          <t>계단식</t>
        </is>
      </c>
      <c r="S335" s="458" t="n">
        <v>4</v>
      </c>
      <c r="T335" s="458" t="n">
        <v>2</v>
      </c>
      <c r="U335" s="458" t="n">
        <v>18.2</v>
      </c>
      <c r="V335" s="458" t="n">
        <v>14.9</v>
      </c>
      <c r="W335" s="458" t="inlineStr">
        <is>
          <t>계단식</t>
        </is>
      </c>
      <c r="X335" s="458" t="n">
        <v>4</v>
      </c>
      <c r="Y335" s="458" t="n">
        <v>2</v>
      </c>
      <c r="Z335" s="458" t="n">
        <v>360</v>
      </c>
    </row>
    <row r="336">
      <c r="A336" s="263" t="inlineStr">
        <is>
          <t>오금동</t>
        </is>
      </c>
      <c r="B336" s="263" t="n"/>
      <c r="C336" s="263" t="n"/>
      <c r="D336" s="263" t="n">
        <v>627</v>
      </c>
      <c r="E336" s="267" t="inlineStr">
        <is>
          <t>삼성</t>
        </is>
      </c>
      <c r="F336" s="263" t="n">
        <v>73</v>
      </c>
      <c r="G336" s="263" t="n">
        <v>140000</v>
      </c>
      <c r="H336" s="263" t="n">
        <v>60001</v>
      </c>
      <c r="I336" s="263">
        <f>G336-H336</f>
        <v/>
      </c>
      <c r="J336" s="323">
        <f>H336/G336</f>
        <v/>
      </c>
      <c r="K336" s="263" t="n">
        <v>1989.05</v>
      </c>
      <c r="L336" s="263" t="n">
        <v>215</v>
      </c>
      <c r="M336" s="263">
        <f>2026-INT(K336)+1</f>
        <v/>
      </c>
      <c r="N336" s="263" t="n">
        <v>119</v>
      </c>
      <c r="O336" s="263" t="n"/>
      <c r="P336" s="263" t="n">
        <v>93</v>
      </c>
      <c r="Q336" s="263" t="n">
        <v>28</v>
      </c>
      <c r="R336" s="263" t="inlineStr">
        <is>
          <t>계단식</t>
        </is>
      </c>
      <c r="S336" s="263" t="n">
        <v>3</v>
      </c>
      <c r="T336" s="263" t="n">
        <v>1</v>
      </c>
      <c r="U336" s="263" t="n">
        <v>10.8</v>
      </c>
      <c r="V336" s="263" t="n">
        <v>9.300000000000001</v>
      </c>
      <c r="W336" s="263" t="inlineStr">
        <is>
          <t>계단식</t>
        </is>
      </c>
      <c r="X336" s="263" t="n">
        <v>3</v>
      </c>
      <c r="Y336" s="263" t="n">
        <v>1</v>
      </c>
      <c r="Z336" s="263" t="n">
        <v>119</v>
      </c>
      <c r="AA336" s="263" t="n"/>
      <c r="AB336" s="263" t="n"/>
      <c r="AC336" s="263" t="n"/>
      <c r="AD336" s="263" t="n"/>
      <c r="AE336" s="263" t="n"/>
      <c r="AF336" s="263" t="n"/>
      <c r="AG336" s="263" t="n"/>
      <c r="AH336" s="263" t="n"/>
      <c r="AI336" s="263" t="n"/>
      <c r="AJ336" s="263" t="n"/>
      <c r="AK336" s="263" t="n"/>
    </row>
    <row r="337">
      <c r="A337" s="263" t="inlineStr">
        <is>
          <t>오금동</t>
        </is>
      </c>
      <c r="B337" s="263" t="n"/>
      <c r="C337" s="263" t="n"/>
      <c r="D337" s="263" t="n">
        <v>627</v>
      </c>
      <c r="E337" s="267" t="inlineStr">
        <is>
          <t>삼성</t>
        </is>
      </c>
      <c r="F337" s="263" t="n">
        <v>84</v>
      </c>
      <c r="G337" s="263" t="n">
        <v>143000</v>
      </c>
      <c r="H337" s="263" t="n">
        <v>65001</v>
      </c>
      <c r="I337" s="263">
        <f>G337-H337</f>
        <v/>
      </c>
      <c r="J337" s="323">
        <f>H337/G337</f>
        <v/>
      </c>
      <c r="K337" s="263" t="n">
        <v>1989.05</v>
      </c>
      <c r="L337" s="263" t="n">
        <v>215</v>
      </c>
      <c r="M337" s="263">
        <f>2026-INT(K337)+1</f>
        <v/>
      </c>
      <c r="N337" s="263" t="n">
        <v>96</v>
      </c>
      <c r="O337" s="263" t="n"/>
      <c r="P337" s="263" t="n">
        <v>105</v>
      </c>
      <c r="Q337" s="263" t="n">
        <v>32</v>
      </c>
      <c r="R337" s="263" t="inlineStr">
        <is>
          <t>계단식</t>
        </is>
      </c>
      <c r="S337" s="263" t="n">
        <v>3</v>
      </c>
      <c r="T337" s="263" t="n">
        <v>2</v>
      </c>
      <c r="U337" s="263" t="n">
        <v>12.5</v>
      </c>
      <c r="V337" s="263" t="n"/>
      <c r="W337" s="263" t="inlineStr">
        <is>
          <t>계단식</t>
        </is>
      </c>
      <c r="X337" s="263" t="n">
        <v>3</v>
      </c>
      <c r="Y337" s="263" t="n">
        <v>2</v>
      </c>
      <c r="Z337" s="263" t="n">
        <v>96</v>
      </c>
      <c r="AA337" s="263" t="n"/>
      <c r="AB337" s="263" t="n"/>
      <c r="AC337" s="263" t="n"/>
      <c r="AD337" s="263" t="n"/>
      <c r="AE337" s="263" t="n"/>
      <c r="AF337" s="263" t="n"/>
      <c r="AG337" s="263" t="n"/>
      <c r="AH337" s="263" t="n"/>
      <c r="AI337" s="263" t="n"/>
      <c r="AJ337" s="263" t="n"/>
      <c r="AK337" s="263" t="n"/>
    </row>
    <row r="338">
      <c r="A338" s="458" t="inlineStr">
        <is>
          <t>오금동</t>
        </is>
      </c>
      <c r="D338" s="458" t="n">
        <v>628</v>
      </c>
      <c r="E338" s="146" t="inlineStr">
        <is>
          <t>상아2차</t>
        </is>
      </c>
      <c r="F338" s="458" t="n">
        <v>45</v>
      </c>
      <c r="G338" s="263" t="n">
        <v>145000</v>
      </c>
      <c r="H338" s="263" t="n">
        <v>34001</v>
      </c>
      <c r="I338" s="263">
        <f>G338-H338</f>
        <v/>
      </c>
      <c r="J338" s="323">
        <f>H338/G338</f>
        <v/>
      </c>
      <c r="K338" s="458" t="n">
        <v>1988.11</v>
      </c>
      <c r="L338" s="458" t="n">
        <v>750</v>
      </c>
      <c r="M338" s="458">
        <f>2026-INT(K338)+1</f>
        <v/>
      </c>
      <c r="N338" s="458" t="n">
        <v>224</v>
      </c>
      <c r="P338" s="458" t="n">
        <v>64</v>
      </c>
      <c r="Q338" s="458" t="n">
        <v>19</v>
      </c>
      <c r="R338" s="458" t="inlineStr">
        <is>
          <t>복도식</t>
        </is>
      </c>
      <c r="S338" s="458" t="n">
        <v>2</v>
      </c>
      <c r="T338" s="458" t="n">
        <v>1</v>
      </c>
      <c r="U338" s="458" t="n">
        <v>9.949999999999999</v>
      </c>
      <c r="V338" s="458" t="n">
        <v>6.8</v>
      </c>
      <c r="W338" s="458" t="inlineStr">
        <is>
          <t>복도식</t>
        </is>
      </c>
      <c r="X338" s="458" t="n">
        <v>2</v>
      </c>
      <c r="Y338" s="458" t="n">
        <v>1</v>
      </c>
      <c r="Z338" s="458" t="n">
        <v>224</v>
      </c>
    </row>
    <row r="339">
      <c r="A339" s="458" t="inlineStr">
        <is>
          <t>오금동</t>
        </is>
      </c>
      <c r="D339" s="458" t="n">
        <v>628</v>
      </c>
      <c r="E339" s="268" t="inlineStr">
        <is>
          <t>상아2차</t>
        </is>
      </c>
      <c r="F339" s="458" t="n">
        <v>50</v>
      </c>
      <c r="G339" s="263" t="n">
        <v>160000</v>
      </c>
      <c r="H339" s="263" t="n">
        <v>50001</v>
      </c>
      <c r="I339" s="263">
        <f>G339-H339</f>
        <v/>
      </c>
      <c r="J339" s="323">
        <f>H339/G339</f>
        <v/>
      </c>
      <c r="K339" s="458" t="n">
        <v>1988.11</v>
      </c>
      <c r="L339" s="458" t="n">
        <v>750</v>
      </c>
      <c r="M339" s="458">
        <f>2026-INT(K339)+1</f>
        <v/>
      </c>
      <c r="N339" s="458" t="n">
        <v>112</v>
      </c>
      <c r="P339" s="458" t="n">
        <v>70</v>
      </c>
      <c r="Q339" s="458" t="n">
        <v>21</v>
      </c>
      <c r="R339" s="458" t="inlineStr">
        <is>
          <t>복도식</t>
        </is>
      </c>
      <c r="S339" s="458" t="n">
        <v>3</v>
      </c>
      <c r="T339" s="458" t="n">
        <v>1</v>
      </c>
      <c r="U339" s="458" t="n">
        <v>10.45</v>
      </c>
      <c r="V339" s="458" t="n">
        <v>8</v>
      </c>
      <c r="W339" s="458" t="inlineStr">
        <is>
          <t>복도식</t>
        </is>
      </c>
      <c r="X339" s="458" t="n">
        <v>3</v>
      </c>
      <c r="Y339" s="458" t="n">
        <v>1</v>
      </c>
      <c r="Z339" s="458" t="n">
        <v>112</v>
      </c>
    </row>
    <row r="340">
      <c r="A340" s="458" t="inlineStr">
        <is>
          <t>오금동</t>
        </is>
      </c>
      <c r="D340" s="458" t="n">
        <v>628</v>
      </c>
      <c r="E340" s="268" t="inlineStr">
        <is>
          <t>상아2차</t>
        </is>
      </c>
      <c r="F340" s="458" t="n">
        <v>60</v>
      </c>
      <c r="G340" s="263" t="n">
        <v>172000</v>
      </c>
      <c r="H340" s="458" t="n">
        <v>55000</v>
      </c>
      <c r="I340" s="263">
        <f>G340-H340</f>
        <v/>
      </c>
      <c r="J340" s="323">
        <f>H340/G340</f>
        <v/>
      </c>
      <c r="K340" s="458" t="n">
        <v>1988.11</v>
      </c>
      <c r="L340" s="458" t="n">
        <v>750</v>
      </c>
      <c r="M340" s="458">
        <f>2026-INT(K340)+1</f>
        <v/>
      </c>
      <c r="N340" s="458" t="n">
        <v>168</v>
      </c>
      <c r="P340" s="458" t="n">
        <v>82</v>
      </c>
      <c r="Q340" s="458" t="n">
        <v>25</v>
      </c>
      <c r="R340" s="458" t="inlineStr">
        <is>
          <t>복도식</t>
        </is>
      </c>
      <c r="S340" s="458" t="n">
        <v>2</v>
      </c>
      <c r="T340" s="458" t="n">
        <v>1</v>
      </c>
      <c r="U340" s="458" t="n">
        <v>12.25</v>
      </c>
      <c r="V340" s="458" t="n">
        <v>8.300000000000001</v>
      </c>
      <c r="W340" s="458" t="inlineStr">
        <is>
          <t>복도식</t>
        </is>
      </c>
      <c r="X340" s="458" t="n">
        <v>2</v>
      </c>
      <c r="Y340" s="458" t="n">
        <v>1</v>
      </c>
      <c r="Z340" s="458" t="n">
        <v>168</v>
      </c>
    </row>
    <row r="341">
      <c r="A341" s="458" t="inlineStr">
        <is>
          <t>오금동</t>
        </is>
      </c>
      <c r="D341" s="458" t="n">
        <v>628</v>
      </c>
      <c r="E341" s="268" t="inlineStr">
        <is>
          <t>상아2차</t>
        </is>
      </c>
      <c r="F341" s="458" t="n">
        <v>84</v>
      </c>
      <c r="G341" s="263" t="n">
        <v>190000</v>
      </c>
      <c r="H341" s="263" t="n">
        <v>65001</v>
      </c>
      <c r="I341" s="263">
        <f>G341-H341</f>
        <v/>
      </c>
      <c r="J341" s="323">
        <f>H341/G341</f>
        <v/>
      </c>
      <c r="K341" s="458" t="n">
        <v>1988.11</v>
      </c>
      <c r="L341" s="458" t="n">
        <v>750</v>
      </c>
      <c r="M341" s="458">
        <f>2026-INT(K341)+1</f>
        <v/>
      </c>
      <c r="N341" s="458" t="n">
        <v>246</v>
      </c>
      <c r="P341" s="458" t="n">
        <v>104</v>
      </c>
      <c r="Q341" s="458" t="n">
        <v>31</v>
      </c>
      <c r="R341" s="458" t="inlineStr">
        <is>
          <t>계단식</t>
        </is>
      </c>
      <c r="S341" s="458" t="n">
        <v>3</v>
      </c>
      <c r="T341" s="458" t="n">
        <v>2</v>
      </c>
      <c r="U341" s="458" t="n">
        <v>14</v>
      </c>
      <c r="V341" s="458" t="n">
        <v>8.5</v>
      </c>
      <c r="W341" s="458" t="inlineStr">
        <is>
          <t>계단식</t>
        </is>
      </c>
      <c r="X341" s="458" t="n">
        <v>3</v>
      </c>
      <c r="Y341" s="458" t="n">
        <v>2</v>
      </c>
      <c r="Z341" s="458" t="n">
        <v>246</v>
      </c>
    </row>
    <row r="342">
      <c r="A342" s="263" t="inlineStr">
        <is>
          <t>오금동</t>
        </is>
      </c>
      <c r="B342" s="263" t="n"/>
      <c r="C342" s="263" t="n"/>
      <c r="D342" s="263" t="n">
        <v>147185</v>
      </c>
      <c r="E342" s="269" t="inlineStr">
        <is>
          <t>송파더플래티넘</t>
        </is>
      </c>
      <c r="F342" s="263" t="n">
        <v>52</v>
      </c>
      <c r="G342" s="263" t="n">
        <v>137000</v>
      </c>
      <c r="H342" s="263" t="n">
        <v>56001</v>
      </c>
      <c r="I342" s="263">
        <f>G342-H342</f>
        <v/>
      </c>
      <c r="J342" s="323">
        <f>H342/G342</f>
        <v/>
      </c>
      <c r="K342" s="263" t="n">
        <v>2024.01</v>
      </c>
      <c r="L342" s="263" t="n">
        <v>328</v>
      </c>
      <c r="M342" s="263">
        <f>2026-INT(K342)+1</f>
        <v/>
      </c>
      <c r="N342" s="263" t="n">
        <v>30</v>
      </c>
      <c r="O342" s="263" t="n"/>
      <c r="P342" s="263" t="n">
        <v>70</v>
      </c>
      <c r="Q342" s="263" t="n">
        <v>21</v>
      </c>
      <c r="R342" s="263" t="inlineStr">
        <is>
          <t>계단식</t>
        </is>
      </c>
      <c r="S342" s="263" t="n">
        <v>3</v>
      </c>
      <c r="T342" s="263" t="n">
        <v>2</v>
      </c>
      <c r="U342" s="263" t="n"/>
      <c r="V342" s="263" t="n"/>
      <c r="W342" s="263" t="inlineStr">
        <is>
          <t>계단식</t>
        </is>
      </c>
      <c r="X342" s="263" t="n">
        <v>3</v>
      </c>
      <c r="Y342" s="263" t="n">
        <v>2</v>
      </c>
      <c r="Z342" s="263" t="n">
        <v>30</v>
      </c>
      <c r="AA342" s="263" t="n"/>
      <c r="AB342" s="263" t="n"/>
      <c r="AC342" s="263" t="n"/>
      <c r="AD342" s="263" t="n"/>
      <c r="AE342" s="263" t="n"/>
      <c r="AF342" s="263" t="n"/>
      <c r="AG342" s="263" t="n"/>
      <c r="AH342" s="263" t="n"/>
      <c r="AI342" s="263" t="n"/>
      <c r="AJ342" s="263" t="n"/>
      <c r="AK342" s="263" t="n"/>
    </row>
    <row r="343">
      <c r="A343" s="263" t="inlineStr">
        <is>
          <t>오금동</t>
        </is>
      </c>
      <c r="B343" s="263" t="n"/>
      <c r="C343" s="263" t="n"/>
      <c r="D343" s="263" t="n">
        <v>147185</v>
      </c>
      <c r="E343" s="267" t="inlineStr">
        <is>
          <t>송파더플래티넘</t>
        </is>
      </c>
      <c r="F343" s="263" t="n">
        <v>65</v>
      </c>
      <c r="G343" s="263" t="n">
        <v>150000</v>
      </c>
      <c r="H343" s="263" t="n">
        <v>80000</v>
      </c>
      <c r="I343" s="263">
        <f>G343-H343</f>
        <v/>
      </c>
      <c r="J343" s="323">
        <f>H343/G343</f>
        <v/>
      </c>
      <c r="K343" s="263" t="n">
        <v>2024.01</v>
      </c>
      <c r="L343" s="263" t="n">
        <v>328</v>
      </c>
      <c r="M343" s="263">
        <f>2026-INT(K343)+1</f>
        <v/>
      </c>
      <c r="N343" s="263" t="n">
        <v>14</v>
      </c>
      <c r="O343" s="263" t="n"/>
      <c r="P343" s="263" t="n">
        <v>89</v>
      </c>
      <c r="Q343" s="263" t="n">
        <v>27</v>
      </c>
      <c r="R343" s="263" t="inlineStr">
        <is>
          <t>계단식</t>
        </is>
      </c>
      <c r="S343" s="263" t="n">
        <v>3</v>
      </c>
      <c r="T343" s="263" t="n">
        <v>2</v>
      </c>
      <c r="U343" s="263" t="n"/>
      <c r="V343" s="263" t="n"/>
      <c r="W343" s="263" t="inlineStr">
        <is>
          <t>계단식</t>
        </is>
      </c>
      <c r="X343" s="263" t="n">
        <v>3</v>
      </c>
      <c r="Y343" s="263" t="n">
        <v>2</v>
      </c>
      <c r="Z343" s="263" t="n">
        <v>14</v>
      </c>
      <c r="AA343" s="263" t="n"/>
      <c r="AB343" s="263" t="n"/>
      <c r="AC343" s="263" t="n"/>
      <c r="AD343" s="263" t="n"/>
      <c r="AE343" s="263" t="n"/>
      <c r="AF343" s="263" t="n"/>
      <c r="AG343" s="263" t="n"/>
      <c r="AH343" s="263" t="n"/>
      <c r="AI343" s="263" t="n"/>
      <c r="AJ343" s="263" t="n"/>
      <c r="AK343" s="263" t="n"/>
    </row>
    <row r="344">
      <c r="A344" s="263" t="inlineStr">
        <is>
          <t>오금동</t>
        </is>
      </c>
      <c r="B344" s="263" t="n"/>
      <c r="C344" s="263" t="n"/>
      <c r="D344" s="263" t="n">
        <v>147185</v>
      </c>
      <c r="E344" s="267" t="inlineStr">
        <is>
          <t>송파더플래티넘</t>
        </is>
      </c>
      <c r="F344" s="263" t="n">
        <v>66</v>
      </c>
      <c r="G344" s="263" t="n">
        <v>147000</v>
      </c>
      <c r="H344" s="263" t="n">
        <v>75000</v>
      </c>
      <c r="I344" s="263">
        <f>G344-H344</f>
        <v/>
      </c>
      <c r="J344" s="323">
        <f>H344/G344</f>
        <v/>
      </c>
      <c r="K344" s="263" t="n">
        <v>2024.01</v>
      </c>
      <c r="L344" s="263" t="n">
        <v>328</v>
      </c>
      <c r="M344" s="263">
        <f>2026-INT(K344)+1</f>
        <v/>
      </c>
      <c r="N344" s="263" t="n">
        <v>90</v>
      </c>
      <c r="O344" s="263" t="n"/>
      <c r="P344" s="263" t="n">
        <v>88</v>
      </c>
      <c r="Q344" s="263" t="n">
        <v>27</v>
      </c>
      <c r="R344" s="263" t="inlineStr">
        <is>
          <t>계단식</t>
        </is>
      </c>
      <c r="S344" s="263" t="n">
        <v>3</v>
      </c>
      <c r="T344" s="263" t="n">
        <v>2</v>
      </c>
      <c r="U344" s="263" t="n"/>
      <c r="V344" s="263" t="n"/>
      <c r="W344" s="263" t="inlineStr">
        <is>
          <t>계단식</t>
        </is>
      </c>
      <c r="X344" s="263" t="n">
        <v>3</v>
      </c>
      <c r="Y344" s="263" t="n">
        <v>2</v>
      </c>
      <c r="Z344" s="263" t="n">
        <v>90</v>
      </c>
      <c r="AA344" s="263" t="n"/>
      <c r="AB344" s="263" t="n"/>
      <c r="AC344" s="263" t="n"/>
      <c r="AD344" s="263" t="n"/>
      <c r="AE344" s="263" t="n"/>
      <c r="AF344" s="263" t="n"/>
      <c r="AG344" s="263" t="n"/>
      <c r="AH344" s="263" t="n"/>
      <c r="AI344" s="263" t="n"/>
      <c r="AJ344" s="263" t="n"/>
      <c r="AK344" s="263" t="n"/>
    </row>
    <row r="345">
      <c r="A345" s="263" t="inlineStr">
        <is>
          <t>오금동</t>
        </is>
      </c>
      <c r="B345" s="263" t="n"/>
      <c r="C345" s="263" t="n"/>
      <c r="D345" s="263" t="n">
        <v>147185</v>
      </c>
      <c r="E345" s="267" t="inlineStr">
        <is>
          <t>송파더플래티넘</t>
        </is>
      </c>
      <c r="F345" s="263" t="n">
        <v>73</v>
      </c>
      <c r="G345" s="263" t="n">
        <v>160000</v>
      </c>
      <c r="H345" s="263" t="n">
        <v>80000</v>
      </c>
      <c r="I345" s="263">
        <f>G345-H345</f>
        <v/>
      </c>
      <c r="J345" s="323">
        <f>H345/G345</f>
        <v/>
      </c>
      <c r="K345" s="263" t="n">
        <v>2024.01</v>
      </c>
      <c r="L345" s="263" t="n">
        <v>328</v>
      </c>
      <c r="M345" s="263">
        <f>2026-INT(K345)+1</f>
        <v/>
      </c>
      <c r="N345" s="263" t="n">
        <v>15</v>
      </c>
      <c r="O345" s="263" t="n"/>
      <c r="P345" s="263" t="n">
        <v>95</v>
      </c>
      <c r="Q345" s="263" t="n">
        <v>29</v>
      </c>
      <c r="R345" s="263" t="inlineStr">
        <is>
          <t>계단식</t>
        </is>
      </c>
      <c r="S345" s="263" t="n">
        <v>3</v>
      </c>
      <c r="T345" s="263" t="n">
        <v>2</v>
      </c>
      <c r="U345" s="263" t="n"/>
      <c r="V345" s="263" t="n"/>
      <c r="W345" s="263" t="inlineStr">
        <is>
          <t>계단식</t>
        </is>
      </c>
      <c r="X345" s="263" t="n">
        <v>3</v>
      </c>
      <c r="Y345" s="263" t="n">
        <v>2</v>
      </c>
      <c r="Z345" s="263" t="n">
        <v>15</v>
      </c>
      <c r="AA345" s="263" t="n"/>
      <c r="AB345" s="263" t="n"/>
      <c r="AC345" s="263" t="n"/>
      <c r="AD345" s="263" t="n"/>
      <c r="AE345" s="263" t="n"/>
      <c r="AF345" s="263" t="n"/>
      <c r="AG345" s="263" t="n"/>
      <c r="AH345" s="263" t="n"/>
      <c r="AI345" s="263" t="n"/>
      <c r="AJ345" s="263" t="n"/>
      <c r="AK345" s="263" t="n"/>
    </row>
    <row r="346">
      <c r="A346" s="263" t="inlineStr">
        <is>
          <t>오금동</t>
        </is>
      </c>
      <c r="B346" s="263" t="n"/>
      <c r="C346" s="263" t="n"/>
      <c r="D346" s="263" t="n">
        <v>147185</v>
      </c>
      <c r="E346" s="267" t="inlineStr">
        <is>
          <t>송파더플래티넘</t>
        </is>
      </c>
      <c r="F346" s="263" t="n">
        <v>89</v>
      </c>
      <c r="G346" s="263" t="n">
        <v>162000</v>
      </c>
      <c r="H346" s="263" t="n">
        <v>72501</v>
      </c>
      <c r="I346" s="263">
        <f>G346-H346</f>
        <v/>
      </c>
      <c r="J346" s="323">
        <f>H346/G346</f>
        <v/>
      </c>
      <c r="K346" s="263" t="n">
        <v>2024.01</v>
      </c>
      <c r="L346" s="263" t="n">
        <v>328</v>
      </c>
      <c r="M346" s="263">
        <f>2026-INT(K346)+1</f>
        <v/>
      </c>
      <c r="N346" s="263" t="n">
        <v>60</v>
      </c>
      <c r="O346" s="263" t="n"/>
      <c r="P346" s="263" t="n">
        <v>115</v>
      </c>
      <c r="Q346" s="263" t="n">
        <v>35</v>
      </c>
      <c r="R346" s="263" t="inlineStr">
        <is>
          <t>계단식</t>
        </is>
      </c>
      <c r="S346" s="263" t="n">
        <v>4</v>
      </c>
      <c r="T346" s="263" t="n">
        <v>2</v>
      </c>
      <c r="U346" s="263" t="n"/>
      <c r="V346" s="263" t="n"/>
      <c r="W346" s="263" t="inlineStr">
        <is>
          <t>계단식</t>
        </is>
      </c>
      <c r="X346" s="263" t="n">
        <v>4</v>
      </c>
      <c r="Y346" s="263" t="n">
        <v>2</v>
      </c>
      <c r="Z346" s="263" t="n">
        <v>60</v>
      </c>
      <c r="AA346" s="263" t="n"/>
      <c r="AB346" s="263" t="n"/>
      <c r="AC346" s="263" t="n"/>
      <c r="AD346" s="263" t="n"/>
      <c r="AE346" s="263" t="n"/>
      <c r="AF346" s="263" t="n"/>
      <c r="AG346" s="263" t="n"/>
      <c r="AH346" s="263" t="n"/>
      <c r="AI346" s="263" t="n"/>
      <c r="AJ346" s="263" t="n"/>
      <c r="AK346" s="263" t="n"/>
    </row>
    <row r="347">
      <c r="A347" s="263" t="inlineStr">
        <is>
          <t>오금동</t>
        </is>
      </c>
      <c r="B347" s="263" t="n"/>
      <c r="C347" s="263" t="n"/>
      <c r="D347" s="263" t="n">
        <v>147185</v>
      </c>
      <c r="E347" s="267" t="inlineStr">
        <is>
          <t>송파더플래티넘</t>
        </is>
      </c>
      <c r="F347" s="263" t="n">
        <v>106</v>
      </c>
      <c r="G347" s="263" t="n"/>
      <c r="H347" s="263" t="n"/>
      <c r="I347" s="263">
        <f>G347-H347</f>
        <v/>
      </c>
      <c r="J347" s="323">
        <f>H347/G347</f>
        <v/>
      </c>
      <c r="K347" s="263" t="n">
        <v>2024.01</v>
      </c>
      <c r="L347" s="263" t="n">
        <v>328</v>
      </c>
      <c r="M347" s="263">
        <f>2026-INT(K347)+1</f>
        <v/>
      </c>
      <c r="N347" s="263" t="n">
        <v>119</v>
      </c>
      <c r="O347" s="263" t="n"/>
      <c r="P347" s="263" t="n">
        <v>138</v>
      </c>
      <c r="Q347" s="263" t="n">
        <v>42</v>
      </c>
      <c r="R347" s="263" t="inlineStr">
        <is>
          <t>계단식</t>
        </is>
      </c>
      <c r="S347" s="263" t="n">
        <v>4</v>
      </c>
      <c r="T347" s="263" t="n">
        <v>2</v>
      </c>
      <c r="U347" s="263" t="n"/>
      <c r="V347" s="263" t="n"/>
      <c r="W347" s="263" t="inlineStr">
        <is>
          <t>계단식</t>
        </is>
      </c>
      <c r="X347" s="263" t="n">
        <v>4</v>
      </c>
      <c r="Y347" s="263" t="n">
        <v>2</v>
      </c>
      <c r="Z347" s="263" t="n">
        <v>119</v>
      </c>
      <c r="AA347" s="263" t="n"/>
      <c r="AB347" s="263" t="n"/>
      <c r="AC347" s="263" t="n"/>
      <c r="AD347" s="263" t="n"/>
      <c r="AE347" s="263" t="n"/>
      <c r="AF347" s="263" t="n"/>
      <c r="AG347" s="263" t="n"/>
      <c r="AH347" s="263" t="n"/>
      <c r="AI347" s="263" t="n"/>
      <c r="AJ347" s="263" t="n"/>
      <c r="AK347" s="263" t="n"/>
    </row>
    <row r="348">
      <c r="A348" s="458" t="inlineStr">
        <is>
          <t>오금동</t>
        </is>
      </c>
      <c r="D348" s="458" t="n">
        <v>114947</v>
      </c>
      <c r="E348" s="268" t="inlineStr">
        <is>
          <t>송파두산위브</t>
        </is>
      </c>
      <c r="F348" s="458" t="n">
        <v>59</v>
      </c>
      <c r="G348" s="263" t="n">
        <v>135000</v>
      </c>
      <c r="H348" s="263" t="n">
        <v>70001</v>
      </c>
      <c r="I348" s="263">
        <f>G348-H348</f>
        <v/>
      </c>
      <c r="J348" s="323">
        <f>H348/G348</f>
        <v/>
      </c>
      <c r="K348" s="458" t="n">
        <v>2019.02</v>
      </c>
      <c r="L348" s="458" t="n">
        <v>269</v>
      </c>
      <c r="M348" s="458">
        <f>2026-INT(K348)+1</f>
        <v/>
      </c>
      <c r="N348" s="458" t="n">
        <v>215</v>
      </c>
      <c r="P348" s="458" t="n">
        <v>81</v>
      </c>
      <c r="Q348" s="458" t="n">
        <v>25</v>
      </c>
      <c r="R348" s="458" t="inlineStr">
        <is>
          <t>계단식</t>
        </is>
      </c>
      <c r="S348" s="458" t="n">
        <v>3</v>
      </c>
      <c r="T348" s="458" t="n">
        <v>2</v>
      </c>
      <c r="U348" s="458" t="n">
        <v>12</v>
      </c>
      <c r="V348" s="458" t="n">
        <v>8.199999999999999</v>
      </c>
      <c r="W348" s="458" t="inlineStr">
        <is>
          <t>계단식</t>
        </is>
      </c>
      <c r="X348" s="458" t="n">
        <v>3</v>
      </c>
      <c r="Y348" s="458" t="n">
        <v>2</v>
      </c>
      <c r="Z348" s="458" t="n">
        <v>215</v>
      </c>
    </row>
    <row r="349">
      <c r="A349" s="458" t="inlineStr">
        <is>
          <t>오금동</t>
        </is>
      </c>
      <c r="D349" s="458" t="n">
        <v>114947</v>
      </c>
      <c r="E349" s="268" t="inlineStr">
        <is>
          <t>송파두산위브</t>
        </is>
      </c>
      <c r="F349" s="458" t="n">
        <v>84</v>
      </c>
      <c r="G349" s="263" t="n">
        <v>158000</v>
      </c>
      <c r="H349" s="263" t="n">
        <v>73501</v>
      </c>
      <c r="I349" s="263">
        <f>G349-H349</f>
        <v/>
      </c>
      <c r="J349" s="323">
        <f>H349/G349</f>
        <v/>
      </c>
      <c r="K349" s="458" t="n">
        <v>2019.02</v>
      </c>
      <c r="L349" s="458" t="n">
        <v>269</v>
      </c>
      <c r="M349" s="458">
        <f>2026-INT(K349)+1</f>
        <v/>
      </c>
      <c r="N349" s="458" t="n">
        <v>54</v>
      </c>
      <c r="P349" s="458" t="n">
        <v>113</v>
      </c>
      <c r="Q349" s="458" t="n">
        <v>34</v>
      </c>
      <c r="R349" s="458" t="inlineStr">
        <is>
          <t>계단식</t>
        </is>
      </c>
      <c r="S349" s="458" t="n">
        <v>4</v>
      </c>
      <c r="T349" s="458" t="n">
        <v>2</v>
      </c>
      <c r="U349" s="458" t="n">
        <v>14.17</v>
      </c>
      <c r="V349" s="458" t="n">
        <v>9.5</v>
      </c>
      <c r="W349" s="458" t="inlineStr">
        <is>
          <t>계단식</t>
        </is>
      </c>
      <c r="X349" s="458" t="n">
        <v>4</v>
      </c>
      <c r="Y349" s="458" t="n">
        <v>2</v>
      </c>
      <c r="Z349" s="458" t="n">
        <v>54</v>
      </c>
    </row>
    <row r="350">
      <c r="A350" s="263" t="inlineStr">
        <is>
          <t>오금동</t>
        </is>
      </c>
      <c r="B350" s="263" t="n"/>
      <c r="C350" s="263" t="n"/>
      <c r="D350" s="263" t="n">
        <v>115869</v>
      </c>
      <c r="E350" s="269" t="inlineStr">
        <is>
          <t>송파레미니스1단지</t>
        </is>
      </c>
      <c r="F350" s="263" t="n">
        <v>59</v>
      </c>
      <c r="G350" s="263" t="n">
        <v>165000</v>
      </c>
      <c r="H350" s="263" t="n">
        <v>70001</v>
      </c>
      <c r="I350" s="263">
        <f>G350-H350</f>
        <v/>
      </c>
      <c r="J350" s="323">
        <f>H350/G350</f>
        <v/>
      </c>
      <c r="K350" s="263" t="n">
        <v>2017.11</v>
      </c>
      <c r="L350" s="263" t="n">
        <v>575</v>
      </c>
      <c r="M350" s="263">
        <f>2026-INT(K350)+1</f>
        <v/>
      </c>
      <c r="N350" s="263" t="n">
        <v>30</v>
      </c>
      <c r="O350" s="263" t="n"/>
      <c r="P350" s="263" t="n">
        <v>88</v>
      </c>
      <c r="Q350" s="263" t="n">
        <v>27</v>
      </c>
      <c r="R350" s="263" t="inlineStr">
        <is>
          <t>계단식</t>
        </is>
      </c>
      <c r="S350" s="263" t="n">
        <v>3</v>
      </c>
      <c r="T350" s="263" t="n">
        <v>2</v>
      </c>
      <c r="U350" s="263" t="n"/>
      <c r="V350" s="263" t="n">
        <v>10.4</v>
      </c>
      <c r="W350" s="263" t="inlineStr">
        <is>
          <t>계단식</t>
        </is>
      </c>
      <c r="X350" s="263" t="n">
        <v>3</v>
      </c>
      <c r="Y350" s="263" t="n">
        <v>2</v>
      </c>
      <c r="Z350" s="263" t="n">
        <v>30</v>
      </c>
      <c r="AA350" s="263" t="n"/>
      <c r="AB350" s="263" t="n"/>
      <c r="AC350" s="263" t="n"/>
      <c r="AD350" s="263" t="n"/>
      <c r="AE350" s="263" t="n"/>
      <c r="AF350" s="263" t="n"/>
      <c r="AG350" s="263" t="n"/>
      <c r="AH350" s="263" t="n"/>
      <c r="AI350" s="263" t="n"/>
      <c r="AJ350" s="263" t="n"/>
      <c r="AK350" s="263" t="n"/>
    </row>
    <row r="351">
      <c r="A351" s="263" t="inlineStr">
        <is>
          <t>오금동</t>
        </is>
      </c>
      <c r="B351" s="263" t="n"/>
      <c r="C351" s="263" t="n"/>
      <c r="D351" s="263" t="n">
        <v>115869</v>
      </c>
      <c r="E351" s="267" t="inlineStr">
        <is>
          <t>송파레미니스1단지</t>
        </is>
      </c>
      <c r="F351" s="263" t="n">
        <v>84</v>
      </c>
      <c r="G351" s="263" t="n">
        <v>175001</v>
      </c>
      <c r="H351" s="263" t="n">
        <v>85001</v>
      </c>
      <c r="I351" s="263">
        <f>G351-H351</f>
        <v/>
      </c>
      <c r="J351" s="323">
        <f>H351/G351</f>
        <v/>
      </c>
      <c r="K351" s="263" t="n">
        <v>2017.11</v>
      </c>
      <c r="L351" s="263" t="n">
        <v>575</v>
      </c>
      <c r="M351" s="263">
        <f>2026-INT(K351)+1</f>
        <v/>
      </c>
      <c r="N351" s="263" t="n">
        <v>136</v>
      </c>
      <c r="O351" s="263" t="n"/>
      <c r="P351" s="263" t="n">
        <v>123</v>
      </c>
      <c r="Q351" s="263" t="n">
        <v>37</v>
      </c>
      <c r="R351" s="263" t="inlineStr">
        <is>
          <t>계단식</t>
        </is>
      </c>
      <c r="S351" s="263" t="n">
        <v>3</v>
      </c>
      <c r="T351" s="263" t="n">
        <v>2</v>
      </c>
      <c r="U351" s="263" t="n">
        <v>13.95</v>
      </c>
      <c r="V351" s="263" t="n">
        <v>9</v>
      </c>
      <c r="W351" s="263" t="inlineStr">
        <is>
          <t>계단식</t>
        </is>
      </c>
      <c r="X351" s="263" t="n">
        <v>3</v>
      </c>
      <c r="Y351" s="263" t="n">
        <v>2</v>
      </c>
      <c r="Z351" s="263" t="n">
        <v>136</v>
      </c>
      <c r="AA351" s="263" t="n"/>
      <c r="AB351" s="263" t="n"/>
      <c r="AC351" s="263" t="n"/>
      <c r="AD351" s="263" t="n"/>
      <c r="AE351" s="263" t="n"/>
      <c r="AF351" s="263" t="n"/>
      <c r="AG351" s="263" t="n"/>
      <c r="AH351" s="263" t="n"/>
      <c r="AI351" s="263" t="n"/>
      <c r="AJ351" s="263" t="n"/>
      <c r="AK351" s="263" t="n"/>
    </row>
    <row r="352">
      <c r="A352" s="458" t="inlineStr">
        <is>
          <t>오금동</t>
        </is>
      </c>
      <c r="D352" s="458" t="n">
        <v>118141</v>
      </c>
      <c r="E352" s="146" t="inlineStr">
        <is>
          <t>송파레미니스2단지</t>
        </is>
      </c>
      <c r="F352" s="458" t="n">
        <v>59</v>
      </c>
      <c r="G352" s="263" t="n">
        <v>149001</v>
      </c>
      <c r="H352" s="263" t="n">
        <v>65001</v>
      </c>
      <c r="I352" s="263">
        <f>G352-H352</f>
        <v/>
      </c>
      <c r="J352" s="323">
        <f>H352/G352</f>
        <v/>
      </c>
      <c r="K352" s="458" t="n">
        <v>2018.06</v>
      </c>
      <c r="L352" s="458" t="n">
        <v>818</v>
      </c>
      <c r="M352" s="458">
        <f>2026-INT(K352)+1</f>
        <v/>
      </c>
      <c r="N352" s="458" t="n">
        <v>18</v>
      </c>
      <c r="P352" s="458" t="n">
        <v>89</v>
      </c>
      <c r="Q352" s="458" t="n">
        <v>27</v>
      </c>
      <c r="R352" s="458" t="inlineStr">
        <is>
          <t>계단식</t>
        </is>
      </c>
      <c r="S352" s="458" t="n">
        <v>3</v>
      </c>
      <c r="T352" s="458" t="n">
        <v>2</v>
      </c>
      <c r="V352" s="458" t="n">
        <v>10</v>
      </c>
      <c r="W352" s="458" t="inlineStr">
        <is>
          <t>계단식</t>
        </is>
      </c>
      <c r="X352" s="458" t="n">
        <v>3</v>
      </c>
      <c r="Y352" s="458" t="n">
        <v>2</v>
      </c>
      <c r="Z352" s="458" t="n">
        <v>18</v>
      </c>
    </row>
    <row r="353">
      <c r="A353" s="458" t="inlineStr">
        <is>
          <t>오금동</t>
        </is>
      </c>
      <c r="D353" s="458" t="n">
        <v>118141</v>
      </c>
      <c r="E353" s="268" t="inlineStr">
        <is>
          <t>송파레미니스2단지</t>
        </is>
      </c>
      <c r="F353" s="458" t="n">
        <v>84</v>
      </c>
      <c r="G353" s="263" t="n">
        <v>171301</v>
      </c>
      <c r="H353" s="263" t="n">
        <v>83001</v>
      </c>
      <c r="I353" s="263">
        <f>G353-H353</f>
        <v/>
      </c>
      <c r="J353" s="323">
        <f>H353/G353</f>
        <v/>
      </c>
      <c r="K353" s="458" t="n">
        <v>2018.06</v>
      </c>
      <c r="L353" s="458" t="n">
        <v>818</v>
      </c>
      <c r="M353" s="458">
        <f>2026-INT(K353)+1</f>
        <v/>
      </c>
      <c r="N353" s="458" t="n">
        <v>220</v>
      </c>
      <c r="P353" s="458" t="n">
        <v>123</v>
      </c>
      <c r="Q353" s="458" t="n">
        <v>37</v>
      </c>
      <c r="R353" s="458" t="inlineStr">
        <is>
          <t>계단식</t>
        </is>
      </c>
      <c r="S353" s="458" t="n">
        <v>3</v>
      </c>
      <c r="T353" s="458" t="n">
        <v>2</v>
      </c>
      <c r="U353" s="458" t="n">
        <v>14.25</v>
      </c>
      <c r="V353" s="458" t="n">
        <v>11.1</v>
      </c>
      <c r="W353" s="458" t="inlineStr">
        <is>
          <t>계단식</t>
        </is>
      </c>
      <c r="X353" s="458" t="n">
        <v>3</v>
      </c>
      <c r="Y353" s="458" t="n">
        <v>2</v>
      </c>
      <c r="Z353" s="458" t="n">
        <v>220</v>
      </c>
    </row>
    <row r="354">
      <c r="A354" s="263" t="inlineStr">
        <is>
          <t>오금동</t>
        </is>
      </c>
      <c r="B354" s="263" t="n"/>
      <c r="C354" s="263" t="n"/>
      <c r="D354" s="263" t="n">
        <v>114818</v>
      </c>
      <c r="E354" s="267" t="inlineStr">
        <is>
          <t>송파호반베르디움더퍼스트</t>
        </is>
      </c>
      <c r="F354" s="263" t="n">
        <v>101</v>
      </c>
      <c r="G354" s="263" t="n"/>
      <c r="H354" s="263" t="n"/>
      <c r="I354" s="263">
        <f>G354-H354</f>
        <v/>
      </c>
      <c r="J354" s="323">
        <f>H354/G354</f>
        <v/>
      </c>
      <c r="K354" s="263" t="n">
        <v>2018.02</v>
      </c>
      <c r="L354" s="263" t="n">
        <v>220</v>
      </c>
      <c r="M354" s="263">
        <f>2026-INT(K354)+1</f>
        <v/>
      </c>
      <c r="N354" s="263" t="n">
        <v>220</v>
      </c>
      <c r="O354" s="263" t="n"/>
      <c r="P354" s="263" t="n">
        <v>130</v>
      </c>
      <c r="Q354" s="263" t="n">
        <v>39</v>
      </c>
      <c r="R354" s="263" t="inlineStr">
        <is>
          <t>계단식</t>
        </is>
      </c>
      <c r="S354" s="263" t="n">
        <v>4</v>
      </c>
      <c r="T354" s="263" t="n">
        <v>2</v>
      </c>
      <c r="U354" s="263" t="n">
        <v>18.5</v>
      </c>
      <c r="V354" s="263" t="n">
        <v>13.5</v>
      </c>
      <c r="W354" s="263" t="inlineStr">
        <is>
          <t>계단식</t>
        </is>
      </c>
      <c r="X354" s="263" t="n">
        <v>4</v>
      </c>
      <c r="Y354" s="263" t="n">
        <v>2</v>
      </c>
      <c r="Z354" s="263" t="n">
        <v>220</v>
      </c>
      <c r="AA354" s="263" t="n"/>
      <c r="AB354" s="263" t="n"/>
      <c r="AC354" s="263" t="n"/>
      <c r="AD354" s="263" t="n"/>
      <c r="AE354" s="263" t="n"/>
      <c r="AF354" s="263" t="n"/>
      <c r="AG354" s="263" t="n"/>
      <c r="AH354" s="263" t="n"/>
      <c r="AI354" s="263" t="n"/>
      <c r="AJ354" s="263" t="n"/>
      <c r="AK354" s="263" t="n"/>
    </row>
    <row r="355">
      <c r="A355" s="458" t="inlineStr">
        <is>
          <t>오금동</t>
        </is>
      </c>
      <c r="D355" s="458" t="n">
        <v>632</v>
      </c>
      <c r="E355" s="268" t="inlineStr">
        <is>
          <t>현대2,3,4차</t>
        </is>
      </c>
      <c r="F355" s="458" t="n">
        <v>84</v>
      </c>
      <c r="G355" s="263" t="n">
        <v>279000</v>
      </c>
      <c r="H355" s="263" t="n">
        <v>75001</v>
      </c>
      <c r="I355" s="263">
        <f>G355-H355</f>
        <v/>
      </c>
      <c r="J355" s="323">
        <f>H355/G355</f>
        <v/>
      </c>
      <c r="K355" s="458" t="n">
        <v>1984.12</v>
      </c>
      <c r="L355" s="458" t="n">
        <v>1316</v>
      </c>
      <c r="M355" s="458">
        <f>2026-INT(K355)+1</f>
        <v/>
      </c>
      <c r="N355" s="458" t="n">
        <v>364</v>
      </c>
      <c r="P355" s="458" t="n">
        <v>102</v>
      </c>
      <c r="Q355" s="458" t="n">
        <v>31</v>
      </c>
      <c r="R355" s="458" t="inlineStr">
        <is>
          <t>계단식</t>
        </is>
      </c>
      <c r="S355" s="458" t="n">
        <v>3</v>
      </c>
      <c r="T355" s="458" t="n">
        <v>1</v>
      </c>
      <c r="U355" s="458" t="n">
        <v>18.9</v>
      </c>
      <c r="V355" s="458" t="n">
        <v>14</v>
      </c>
      <c r="W355" s="458" t="inlineStr">
        <is>
          <t>계단식</t>
        </is>
      </c>
      <c r="X355" s="458" t="n">
        <v>3</v>
      </c>
      <c r="Y355" s="458" t="n">
        <v>1</v>
      </c>
      <c r="Z355" s="458" t="n">
        <v>364</v>
      </c>
    </row>
    <row r="356">
      <c r="A356" s="458" t="inlineStr">
        <is>
          <t>오금동</t>
        </is>
      </c>
      <c r="D356" s="458" t="n">
        <v>632</v>
      </c>
      <c r="E356" s="268" t="inlineStr">
        <is>
          <t>현대2,3,4차</t>
        </is>
      </c>
      <c r="F356" s="458" t="n">
        <v>130</v>
      </c>
      <c r="I356" s="263">
        <f>G356-H356</f>
        <v/>
      </c>
      <c r="J356" s="323">
        <f>H356/G356</f>
        <v/>
      </c>
      <c r="K356" s="458" t="n">
        <v>1984.12</v>
      </c>
      <c r="L356" s="458" t="n">
        <v>1316</v>
      </c>
      <c r="M356" s="458">
        <f>2026-INT(K356)+1</f>
        <v/>
      </c>
      <c r="N356" s="458" t="n">
        <v>658</v>
      </c>
      <c r="P356" s="458" t="n">
        <v>152</v>
      </c>
      <c r="Q356" s="458" t="n">
        <v>46</v>
      </c>
      <c r="R356" s="458" t="inlineStr">
        <is>
          <t>계단식</t>
        </is>
      </c>
      <c r="S356" s="458" t="n">
        <v>4</v>
      </c>
      <c r="T356" s="458" t="n">
        <v>2</v>
      </c>
      <c r="U356" s="458" t="n">
        <v>20.2</v>
      </c>
      <c r="V356" s="458" t="n">
        <v>12.9</v>
      </c>
      <c r="W356" s="458" t="inlineStr">
        <is>
          <t>계단식</t>
        </is>
      </c>
      <c r="X356" s="458" t="n">
        <v>4</v>
      </c>
      <c r="Y356" s="458" t="n">
        <v>2</v>
      </c>
      <c r="Z356" s="458" t="n">
        <v>658</v>
      </c>
    </row>
    <row r="357">
      <c r="A357" s="458" t="inlineStr">
        <is>
          <t>오금동</t>
        </is>
      </c>
      <c r="D357" s="458" t="n">
        <v>632</v>
      </c>
      <c r="E357" s="268" t="inlineStr">
        <is>
          <t>현대2,3,4차</t>
        </is>
      </c>
      <c r="F357" s="458" t="n">
        <v>134</v>
      </c>
      <c r="I357" s="263">
        <f>G357-H357</f>
        <v/>
      </c>
      <c r="J357" s="323">
        <f>H357/G357</f>
        <v/>
      </c>
      <c r="K357" s="458" t="n">
        <v>1984.12</v>
      </c>
      <c r="L357" s="458" t="n">
        <v>1316</v>
      </c>
      <c r="M357" s="458">
        <f>2026-INT(K357)+1</f>
        <v/>
      </c>
      <c r="N357" s="458" t="n">
        <v>14</v>
      </c>
      <c r="P357" s="458" t="n">
        <v>157</v>
      </c>
      <c r="Q357" s="458" t="n">
        <v>47</v>
      </c>
      <c r="R357" s="458" t="inlineStr">
        <is>
          <t>계단식</t>
        </is>
      </c>
      <c r="S357" s="458" t="n">
        <v>4</v>
      </c>
      <c r="T357" s="458" t="n">
        <v>2</v>
      </c>
      <c r="V357" s="458" t="n">
        <v>20</v>
      </c>
      <c r="W357" s="458" t="inlineStr">
        <is>
          <t>계단식</t>
        </is>
      </c>
      <c r="X357" s="458" t="n">
        <v>4</v>
      </c>
      <c r="Y357" s="458" t="n">
        <v>2</v>
      </c>
      <c r="Z357" s="458" t="n">
        <v>14</v>
      </c>
    </row>
    <row r="358">
      <c r="A358" s="458" t="inlineStr">
        <is>
          <t>오금동</t>
        </is>
      </c>
      <c r="D358" s="458" t="n">
        <v>632</v>
      </c>
      <c r="E358" s="268" t="inlineStr">
        <is>
          <t>현대2,3,4차</t>
        </is>
      </c>
      <c r="F358" s="458" t="n">
        <v>170</v>
      </c>
      <c r="I358" s="263">
        <f>G358-H358</f>
        <v/>
      </c>
      <c r="J358" s="323">
        <f>H358/G358</f>
        <v/>
      </c>
      <c r="K358" s="458" t="n">
        <v>1984.12</v>
      </c>
      <c r="L358" s="458" t="n">
        <v>1316</v>
      </c>
      <c r="M358" s="458">
        <f>2026-INT(K358)+1</f>
        <v/>
      </c>
      <c r="N358" s="458" t="n">
        <v>280</v>
      </c>
      <c r="P358" s="458" t="n">
        <v>193</v>
      </c>
      <c r="Q358" s="458" t="n">
        <v>58</v>
      </c>
      <c r="R358" s="458" t="inlineStr">
        <is>
          <t>계단식</t>
        </is>
      </c>
      <c r="S358" s="458" t="n">
        <v>5</v>
      </c>
      <c r="T358" s="458" t="n">
        <v>2</v>
      </c>
      <c r="U358" s="458" t="n">
        <v>22.9</v>
      </c>
      <c r="V358" s="458" t="n">
        <v>15</v>
      </c>
      <c r="W358" s="458" t="inlineStr">
        <is>
          <t>계단식</t>
        </is>
      </c>
      <c r="X358" s="458" t="n">
        <v>5</v>
      </c>
      <c r="Y358" s="458" t="n">
        <v>2</v>
      </c>
      <c r="Z358" s="458" t="n">
        <v>280</v>
      </c>
    </row>
    <row r="359">
      <c r="A359" s="263" t="inlineStr">
        <is>
          <t>오금동</t>
        </is>
      </c>
      <c r="B359" s="263" t="n"/>
      <c r="C359" s="263" t="n"/>
      <c r="D359" s="263" t="n">
        <v>633</v>
      </c>
      <c r="E359" s="269" t="inlineStr">
        <is>
          <t>현대백조</t>
        </is>
      </c>
      <c r="F359" s="263" t="n">
        <v>31</v>
      </c>
      <c r="G359" s="263" t="n">
        <v>68001</v>
      </c>
      <c r="H359" s="263" t="n">
        <v>29401</v>
      </c>
      <c r="I359" s="263">
        <f>G359-H359</f>
        <v/>
      </c>
      <c r="J359" s="323">
        <f>H359/G359</f>
        <v/>
      </c>
      <c r="K359" s="263" t="n">
        <v>1997.01</v>
      </c>
      <c r="L359" s="263" t="n">
        <v>438</v>
      </c>
      <c r="M359" s="263">
        <f>2026-INT(K359)+1</f>
        <v/>
      </c>
      <c r="N359" s="263" t="n">
        <v>79</v>
      </c>
      <c r="O359" s="263" t="n"/>
      <c r="P359" s="263" t="n">
        <v>44</v>
      </c>
      <c r="Q359" s="263" t="n">
        <v>13</v>
      </c>
      <c r="R359" s="263" t="inlineStr">
        <is>
          <t>복도식</t>
        </is>
      </c>
      <c r="S359" s="263" t="n">
        <v>1</v>
      </c>
      <c r="T359" s="263" t="n">
        <v>1</v>
      </c>
      <c r="U359" s="263" t="n">
        <v>6.42</v>
      </c>
      <c r="V359" s="263" t="n">
        <v>5.2</v>
      </c>
      <c r="W359" s="263" t="inlineStr">
        <is>
          <t>복도식</t>
        </is>
      </c>
      <c r="X359" s="263" t="n">
        <v>1</v>
      </c>
      <c r="Y359" s="263" t="n">
        <v>1</v>
      </c>
      <c r="Z359" s="263" t="n">
        <v>79</v>
      </c>
      <c r="AA359" s="263" t="n"/>
      <c r="AB359" s="263" t="n"/>
      <c r="AC359" s="263" t="n"/>
      <c r="AD359" s="263" t="n"/>
      <c r="AE359" s="263" t="n"/>
      <c r="AF359" s="263" t="n"/>
      <c r="AG359" s="263" t="n"/>
      <c r="AH359" s="263" t="n"/>
      <c r="AI359" s="263" t="n"/>
      <c r="AJ359" s="263" t="n"/>
      <c r="AK359" s="263" t="n"/>
    </row>
    <row r="360">
      <c r="A360" s="263" t="inlineStr">
        <is>
          <t>오금동</t>
        </is>
      </c>
      <c r="B360" s="263" t="n"/>
      <c r="C360" s="263" t="n"/>
      <c r="D360" s="263" t="n">
        <v>633</v>
      </c>
      <c r="E360" s="267" t="inlineStr">
        <is>
          <t>현대백조</t>
        </is>
      </c>
      <c r="F360" s="263" t="n">
        <v>78</v>
      </c>
      <c r="G360" s="263" t="n">
        <v>157001</v>
      </c>
      <c r="H360" s="263" t="n">
        <v>70001</v>
      </c>
      <c r="I360" s="263">
        <f>G360-H360</f>
        <v/>
      </c>
      <c r="J360" s="323">
        <f>H360/G360</f>
        <v/>
      </c>
      <c r="K360" s="263" t="n">
        <v>1997.01</v>
      </c>
      <c r="L360" s="263" t="n">
        <v>438</v>
      </c>
      <c r="M360" s="263">
        <f>2026-INT(K360)+1</f>
        <v/>
      </c>
      <c r="N360" s="263" t="n">
        <v>57</v>
      </c>
      <c r="O360" s="263" t="n"/>
      <c r="P360" s="263" t="n">
        <v>102</v>
      </c>
      <c r="Q360" s="263" t="n">
        <v>31</v>
      </c>
      <c r="R360" s="263" t="inlineStr">
        <is>
          <t>계단식</t>
        </is>
      </c>
      <c r="S360" s="263" t="n">
        <v>3</v>
      </c>
      <c r="T360" s="263" t="n">
        <v>2</v>
      </c>
      <c r="U360" s="263" t="n">
        <v>12.5</v>
      </c>
      <c r="V360" s="263" t="n">
        <v>9.6</v>
      </c>
      <c r="W360" s="263" t="inlineStr">
        <is>
          <t>계단식</t>
        </is>
      </c>
      <c r="X360" s="263" t="n">
        <v>3</v>
      </c>
      <c r="Y360" s="263" t="n">
        <v>2</v>
      </c>
      <c r="Z360" s="263" t="n">
        <v>57</v>
      </c>
      <c r="AA360" s="263" t="n"/>
      <c r="AB360" s="263" t="n"/>
      <c r="AC360" s="263" t="n"/>
      <c r="AD360" s="263" t="n"/>
      <c r="AE360" s="263" t="n"/>
      <c r="AF360" s="263" t="n"/>
      <c r="AG360" s="263" t="n"/>
      <c r="AH360" s="263" t="n"/>
      <c r="AI360" s="263" t="n"/>
      <c r="AJ360" s="263" t="n"/>
      <c r="AK360" s="263" t="n"/>
    </row>
    <row r="361">
      <c r="A361" s="263" t="inlineStr">
        <is>
          <t>오금동</t>
        </is>
      </c>
      <c r="B361" s="263" t="n"/>
      <c r="C361" s="263" t="n"/>
      <c r="D361" s="263" t="n">
        <v>633</v>
      </c>
      <c r="E361" s="267" t="inlineStr">
        <is>
          <t>현대백조</t>
        </is>
      </c>
      <c r="F361" s="263" t="n">
        <v>80</v>
      </c>
      <c r="G361" s="263" t="n">
        <v>104501</v>
      </c>
      <c r="H361" s="263" t="n">
        <v>78001</v>
      </c>
      <c r="I361" s="263">
        <f>G361-H361</f>
        <v/>
      </c>
      <c r="J361" s="323">
        <f>H361/G361</f>
        <v/>
      </c>
      <c r="K361" s="263" t="n">
        <v>1997.01</v>
      </c>
      <c r="L361" s="263" t="n">
        <v>438</v>
      </c>
      <c r="M361" s="263">
        <f>2026-INT(K361)+1</f>
        <v/>
      </c>
      <c r="N361" s="263" t="n">
        <v>19</v>
      </c>
      <c r="O361" s="263" t="n"/>
      <c r="P361" s="263" t="n">
        <v>104</v>
      </c>
      <c r="Q361" s="263" t="n">
        <v>31</v>
      </c>
      <c r="R361" s="263" t="inlineStr">
        <is>
          <t>계단식</t>
        </is>
      </c>
      <c r="S361" s="263" t="n">
        <v>3</v>
      </c>
      <c r="T361" s="263" t="n">
        <v>1</v>
      </c>
      <c r="U361" s="263" t="n">
        <v>12.5</v>
      </c>
      <c r="V361" s="263" t="n">
        <v>10.48</v>
      </c>
      <c r="W361" s="263" t="inlineStr">
        <is>
          <t>계단식</t>
        </is>
      </c>
      <c r="X361" s="263" t="n">
        <v>3</v>
      </c>
      <c r="Y361" s="263" t="n">
        <v>1</v>
      </c>
      <c r="Z361" s="263" t="n">
        <v>19</v>
      </c>
      <c r="AA361" s="263" t="n"/>
      <c r="AB361" s="263" t="n"/>
      <c r="AC361" s="263" t="n"/>
      <c r="AD361" s="263" t="n"/>
      <c r="AE361" s="263" t="n"/>
      <c r="AF361" s="263" t="n"/>
      <c r="AG361" s="263" t="n"/>
      <c r="AH361" s="263" t="n"/>
      <c r="AI361" s="263" t="n"/>
      <c r="AJ361" s="263" t="n"/>
      <c r="AK361" s="263" t="n"/>
    </row>
    <row r="362">
      <c r="A362" s="263" t="inlineStr">
        <is>
          <t>오금동</t>
        </is>
      </c>
      <c r="B362" s="263" t="n"/>
      <c r="C362" s="263" t="n"/>
      <c r="D362" s="263" t="n">
        <v>633</v>
      </c>
      <c r="E362" s="267" t="inlineStr">
        <is>
          <t>현대백조</t>
        </is>
      </c>
      <c r="F362" s="263" t="n">
        <v>84</v>
      </c>
      <c r="G362" s="263" t="n">
        <v>154001</v>
      </c>
      <c r="H362" s="263" t="n">
        <v>76001</v>
      </c>
      <c r="I362" s="263">
        <f>G362-H362</f>
        <v/>
      </c>
      <c r="J362" s="323">
        <f>H362/G362</f>
        <v/>
      </c>
      <c r="K362" s="263" t="n">
        <v>1997.01</v>
      </c>
      <c r="L362" s="263" t="n">
        <v>438</v>
      </c>
      <c r="M362" s="263">
        <f>2026-INT(K362)+1</f>
        <v/>
      </c>
      <c r="N362" s="263" t="n">
        <v>46</v>
      </c>
      <c r="O362" s="263" t="n"/>
      <c r="P362" s="263" t="n">
        <v>110</v>
      </c>
      <c r="Q362" s="263" t="n">
        <v>33</v>
      </c>
      <c r="R362" s="263" t="inlineStr">
        <is>
          <t>계단식</t>
        </is>
      </c>
      <c r="S362" s="263" t="n">
        <v>3</v>
      </c>
      <c r="T362" s="263" t="n">
        <v>2</v>
      </c>
      <c r="U362" s="263" t="n">
        <v>14.65</v>
      </c>
      <c r="V362" s="263" t="n"/>
      <c r="W362" s="263" t="inlineStr">
        <is>
          <t>계단식</t>
        </is>
      </c>
      <c r="X362" s="263" t="n">
        <v>3</v>
      </c>
      <c r="Y362" s="263" t="n">
        <v>2</v>
      </c>
      <c r="Z362" s="263" t="n">
        <v>46</v>
      </c>
      <c r="AA362" s="263" t="n"/>
      <c r="AB362" s="263" t="n"/>
      <c r="AC362" s="263" t="n"/>
      <c r="AD362" s="263" t="n"/>
      <c r="AE362" s="263" t="n"/>
      <c r="AF362" s="263" t="n"/>
      <c r="AG362" s="263" t="n"/>
      <c r="AH362" s="263" t="n"/>
      <c r="AI362" s="263" t="n"/>
      <c r="AJ362" s="263" t="n"/>
      <c r="AK362" s="263" t="n"/>
    </row>
    <row r="363">
      <c r="A363" s="263" t="inlineStr">
        <is>
          <t>오금동</t>
        </is>
      </c>
      <c r="B363" s="263" t="n"/>
      <c r="C363" s="263" t="n"/>
      <c r="D363" s="263" t="n">
        <v>633</v>
      </c>
      <c r="E363" s="267" t="inlineStr">
        <is>
          <t>현대백조</t>
        </is>
      </c>
      <c r="F363" s="263" t="n">
        <v>114</v>
      </c>
      <c r="G363" s="263" t="n"/>
      <c r="H363" s="263" t="n"/>
      <c r="I363" s="263">
        <f>G363-H363</f>
        <v/>
      </c>
      <c r="J363" s="323">
        <f>H363/G363</f>
        <v/>
      </c>
      <c r="K363" s="263" t="n">
        <v>1997.01</v>
      </c>
      <c r="L363" s="263" t="n">
        <v>438</v>
      </c>
      <c r="M363" s="263">
        <f>2026-INT(K363)+1</f>
        <v/>
      </c>
      <c r="N363" s="263" t="n">
        <v>84</v>
      </c>
      <c r="O363" s="263" t="n"/>
      <c r="P363" s="263" t="n">
        <v>140</v>
      </c>
      <c r="Q363" s="263" t="n">
        <v>42</v>
      </c>
      <c r="R363" s="263" t="inlineStr">
        <is>
          <t>계단식</t>
        </is>
      </c>
      <c r="S363" s="263" t="n">
        <v>4</v>
      </c>
      <c r="T363" s="263" t="n">
        <v>2</v>
      </c>
      <c r="U363" s="263" t="n"/>
      <c r="V363" s="263" t="n">
        <v>11.9</v>
      </c>
      <c r="W363" s="263" t="inlineStr">
        <is>
          <t>계단식</t>
        </is>
      </c>
      <c r="X363" s="263" t="n">
        <v>4</v>
      </c>
      <c r="Y363" s="263" t="n">
        <v>2</v>
      </c>
      <c r="Z363" s="263" t="n">
        <v>84</v>
      </c>
      <c r="AA363" s="263" t="n"/>
      <c r="AB363" s="263" t="n"/>
      <c r="AC363" s="263" t="n"/>
      <c r="AD363" s="263" t="n"/>
      <c r="AE363" s="263" t="n"/>
      <c r="AF363" s="263" t="n"/>
      <c r="AG363" s="263" t="n"/>
      <c r="AH363" s="263" t="n"/>
      <c r="AI363" s="263" t="n"/>
      <c r="AJ363" s="263" t="n"/>
      <c r="AK363" s="263" t="n"/>
    </row>
    <row r="364">
      <c r="A364" s="458" t="inlineStr">
        <is>
          <t>잠실동</t>
        </is>
      </c>
      <c r="D364" s="458" t="n">
        <v>12236</v>
      </c>
      <c r="E364" s="268" t="inlineStr">
        <is>
          <t>갤러리아팰리스(주상복합)</t>
        </is>
      </c>
      <c r="F364" s="458" t="n">
        <v>84</v>
      </c>
      <c r="G364" s="263" t="n">
        <v>250000</v>
      </c>
      <c r="H364" s="263" t="n">
        <v>105001</v>
      </c>
      <c r="I364" s="263">
        <f>G364-H364</f>
        <v/>
      </c>
      <c r="J364" s="323">
        <f>H364/G364</f>
        <v/>
      </c>
      <c r="K364" s="458" t="n">
        <v>2005.01</v>
      </c>
      <c r="L364" s="458" t="n">
        <v>741</v>
      </c>
      <c r="M364" s="458">
        <f>2026-INT(K364)+1</f>
        <v/>
      </c>
      <c r="N364" s="458" t="n">
        <v>48</v>
      </c>
      <c r="P364" s="458" t="n">
        <v>107</v>
      </c>
      <c r="Q364" s="458" t="n">
        <v>32</v>
      </c>
      <c r="R364" s="458" t="inlineStr">
        <is>
          <t>계단식</t>
        </is>
      </c>
      <c r="S364" s="458" t="n">
        <v>2</v>
      </c>
      <c r="T364" s="458" t="n">
        <v>2</v>
      </c>
      <c r="U364" s="458" t="n">
        <v>16.65</v>
      </c>
      <c r="V364" s="458" t="n">
        <v>16.8</v>
      </c>
      <c r="W364" s="458" t="inlineStr">
        <is>
          <t>계단식</t>
        </is>
      </c>
      <c r="X364" s="458" t="n">
        <v>2</v>
      </c>
      <c r="Y364" s="458" t="n">
        <v>2</v>
      </c>
      <c r="Z364" s="458" t="n">
        <v>48</v>
      </c>
    </row>
    <row r="365">
      <c r="A365" s="458" t="inlineStr">
        <is>
          <t>잠실동</t>
        </is>
      </c>
      <c r="D365" s="458" t="n">
        <v>12236</v>
      </c>
      <c r="E365" s="268" t="inlineStr">
        <is>
          <t>갤러리아팰리스(주상복합)</t>
        </is>
      </c>
      <c r="F365" s="458" t="n">
        <v>122</v>
      </c>
      <c r="I365" s="263">
        <f>G365-H365</f>
        <v/>
      </c>
      <c r="J365" s="323">
        <f>H365/G365</f>
        <v/>
      </c>
      <c r="K365" s="458" t="n">
        <v>2005.01</v>
      </c>
      <c r="L365" s="458" t="n">
        <v>741</v>
      </c>
      <c r="M365" s="458">
        <f>2026-INT(K365)+1</f>
        <v/>
      </c>
      <c r="N365" s="458" t="n">
        <v>48</v>
      </c>
      <c r="P365" s="458" t="n">
        <v>156</v>
      </c>
      <c r="Q365" s="458" t="n">
        <v>47</v>
      </c>
      <c r="R365" s="458" t="inlineStr">
        <is>
          <t>계단식</t>
        </is>
      </c>
      <c r="S365" s="458" t="n">
        <v>3</v>
      </c>
      <c r="T365" s="458" t="n">
        <v>2</v>
      </c>
      <c r="U365" s="458" t="n">
        <v>25.8</v>
      </c>
      <c r="V365" s="458" t="n">
        <v>24</v>
      </c>
      <c r="W365" s="458" t="inlineStr">
        <is>
          <t>계단식</t>
        </is>
      </c>
      <c r="X365" s="458" t="n">
        <v>3</v>
      </c>
      <c r="Y365" s="458" t="n">
        <v>2</v>
      </c>
      <c r="Z365" s="458" t="n">
        <v>48</v>
      </c>
    </row>
    <row r="366">
      <c r="A366" s="458" t="inlineStr">
        <is>
          <t>잠실동</t>
        </is>
      </c>
      <c r="D366" s="458" t="n">
        <v>12236</v>
      </c>
      <c r="E366" s="268" t="inlineStr">
        <is>
          <t>갤러리아팰리스(주상복합)</t>
        </is>
      </c>
      <c r="F366" s="458" t="n">
        <v>123</v>
      </c>
      <c r="I366" s="263">
        <f>G366-H366</f>
        <v/>
      </c>
      <c r="J366" s="323">
        <f>H366/G366</f>
        <v/>
      </c>
      <c r="K366" s="458" t="n">
        <v>2005.01</v>
      </c>
      <c r="L366" s="458" t="n">
        <v>741</v>
      </c>
      <c r="M366" s="458">
        <f>2026-INT(K366)+1</f>
        <v/>
      </c>
      <c r="N366" s="458" t="n">
        <v>89</v>
      </c>
      <c r="P366" s="458" t="n">
        <v>157</v>
      </c>
      <c r="Q366" s="458" t="n">
        <v>47</v>
      </c>
      <c r="R366" s="458" t="inlineStr">
        <is>
          <t>계단식</t>
        </is>
      </c>
      <c r="S366" s="458" t="n">
        <v>3</v>
      </c>
      <c r="T366" s="458" t="n">
        <v>2</v>
      </c>
      <c r="U366" s="458" t="n">
        <v>25.8</v>
      </c>
      <c r="V366" s="458" t="n">
        <v>24</v>
      </c>
      <c r="W366" s="458" t="inlineStr">
        <is>
          <t>계단식</t>
        </is>
      </c>
      <c r="X366" s="458" t="n">
        <v>3</v>
      </c>
      <c r="Y366" s="458" t="n">
        <v>2</v>
      </c>
      <c r="Z366" s="458" t="n">
        <v>89</v>
      </c>
    </row>
    <row r="367">
      <c r="A367" s="458" t="inlineStr">
        <is>
          <t>잠실동</t>
        </is>
      </c>
      <c r="D367" s="458" t="n">
        <v>12236</v>
      </c>
      <c r="E367" s="268" t="inlineStr">
        <is>
          <t>갤러리아팰리스(주상복합)</t>
        </is>
      </c>
      <c r="F367" s="458" t="n">
        <v>137</v>
      </c>
      <c r="I367" s="263">
        <f>G367-H367</f>
        <v/>
      </c>
      <c r="J367" s="323">
        <f>H367/G367</f>
        <v/>
      </c>
      <c r="K367" s="458" t="n">
        <v>2005.01</v>
      </c>
      <c r="L367" s="458" t="n">
        <v>741</v>
      </c>
      <c r="M367" s="458">
        <f>2026-INT(K367)+1</f>
        <v/>
      </c>
      <c r="N367" s="458" t="n">
        <v>27</v>
      </c>
      <c r="P367" s="458" t="n">
        <v>174</v>
      </c>
      <c r="Q367" s="458" t="n">
        <v>53</v>
      </c>
      <c r="R367" s="458" t="inlineStr">
        <is>
          <t>계단식</t>
        </is>
      </c>
      <c r="S367" s="458" t="n">
        <v>3</v>
      </c>
      <c r="T367" s="458" t="n">
        <v>2</v>
      </c>
      <c r="U367" s="458" t="n">
        <v>21.5</v>
      </c>
      <c r="W367" s="458" t="inlineStr">
        <is>
          <t>계단식</t>
        </is>
      </c>
      <c r="X367" s="458" t="n">
        <v>3</v>
      </c>
      <c r="Y367" s="458" t="n">
        <v>2</v>
      </c>
      <c r="Z367" s="458" t="n">
        <v>27</v>
      </c>
    </row>
    <row r="368">
      <c r="A368" s="458" t="inlineStr">
        <is>
          <t>잠실동</t>
        </is>
      </c>
      <c r="D368" s="458" t="n">
        <v>12236</v>
      </c>
      <c r="E368" s="268" t="inlineStr">
        <is>
          <t>갤러리아팰리스(주상복합)</t>
        </is>
      </c>
      <c r="F368" s="458" t="n">
        <v>138</v>
      </c>
      <c r="I368" s="263">
        <f>G368-H368</f>
        <v/>
      </c>
      <c r="J368" s="323">
        <f>H368/G368</f>
        <v/>
      </c>
      <c r="K368" s="458" t="n">
        <v>2005.01</v>
      </c>
      <c r="L368" s="458" t="n">
        <v>741</v>
      </c>
      <c r="M368" s="458">
        <f>2026-INT(K368)+1</f>
        <v/>
      </c>
      <c r="N368" s="458" t="n">
        <v>54</v>
      </c>
      <c r="P368" s="458" t="n">
        <v>176</v>
      </c>
      <c r="Q368" s="458" t="n">
        <v>53</v>
      </c>
      <c r="R368" s="458" t="inlineStr">
        <is>
          <t>계단식</t>
        </is>
      </c>
      <c r="S368" s="458" t="n">
        <v>3</v>
      </c>
      <c r="T368" s="458" t="n">
        <v>2</v>
      </c>
      <c r="U368" s="458" t="n">
        <v>21.5</v>
      </c>
      <c r="W368" s="458" t="inlineStr">
        <is>
          <t>계단식</t>
        </is>
      </c>
      <c r="X368" s="458" t="n">
        <v>3</v>
      </c>
      <c r="Y368" s="458" t="n">
        <v>2</v>
      </c>
      <c r="Z368" s="458" t="n">
        <v>54</v>
      </c>
    </row>
    <row r="369">
      <c r="A369" s="458" t="inlineStr">
        <is>
          <t>잠실동</t>
        </is>
      </c>
      <c r="D369" s="458" t="n">
        <v>12236</v>
      </c>
      <c r="E369" s="268" t="inlineStr">
        <is>
          <t>갤러리아팰리스(주상복합)</t>
        </is>
      </c>
      <c r="F369" s="458" t="n">
        <v>149</v>
      </c>
      <c r="I369" s="263">
        <f>G369-H369</f>
        <v/>
      </c>
      <c r="J369" s="323">
        <f>H369/G369</f>
        <v/>
      </c>
      <c r="K369" s="458" t="n">
        <v>2005.01</v>
      </c>
      <c r="L369" s="458" t="n">
        <v>741</v>
      </c>
      <c r="M369" s="458">
        <f>2026-INT(K369)+1</f>
        <v/>
      </c>
      <c r="N369" s="458" t="n">
        <v>4</v>
      </c>
      <c r="P369" s="458" t="n">
        <v>190</v>
      </c>
      <c r="Q369" s="458" t="n">
        <v>57</v>
      </c>
      <c r="R369" s="458" t="inlineStr">
        <is>
          <t>계단식</t>
        </is>
      </c>
      <c r="S369" s="458" t="n">
        <v>4</v>
      </c>
      <c r="T369" s="458" t="n">
        <v>2</v>
      </c>
      <c r="W369" s="458" t="inlineStr">
        <is>
          <t>계단식</t>
        </is>
      </c>
      <c r="X369" s="458" t="n">
        <v>4</v>
      </c>
      <c r="Y369" s="458" t="n">
        <v>2</v>
      </c>
      <c r="Z369" s="458" t="n">
        <v>4</v>
      </c>
    </row>
    <row r="370">
      <c r="A370" s="458" t="inlineStr">
        <is>
          <t>잠실동</t>
        </is>
      </c>
      <c r="D370" s="458" t="n">
        <v>12236</v>
      </c>
      <c r="E370" s="268" t="inlineStr">
        <is>
          <t>갤러리아팰리스(주상복합)</t>
        </is>
      </c>
      <c r="F370" s="458" t="n">
        <v>150</v>
      </c>
      <c r="I370" s="263">
        <f>G370-H370</f>
        <v/>
      </c>
      <c r="J370" s="323">
        <f>H370/G370</f>
        <v/>
      </c>
      <c r="K370" s="458" t="n">
        <v>2005.01</v>
      </c>
      <c r="L370" s="458" t="n">
        <v>741</v>
      </c>
      <c r="M370" s="458">
        <f>2026-INT(K370)+1</f>
        <v/>
      </c>
      <c r="N370" s="458" t="n">
        <v>31</v>
      </c>
      <c r="P370" s="458" t="n">
        <v>191</v>
      </c>
      <c r="Q370" s="458" t="n">
        <v>58</v>
      </c>
      <c r="R370" s="458" t="inlineStr">
        <is>
          <t>계단식</t>
        </is>
      </c>
      <c r="S370" s="458" t="n">
        <v>3</v>
      </c>
      <c r="T370" s="458" t="n">
        <v>2</v>
      </c>
      <c r="U370" s="458" t="n">
        <v>21</v>
      </c>
      <c r="W370" s="458" t="inlineStr">
        <is>
          <t>계단식</t>
        </is>
      </c>
      <c r="X370" s="458" t="n">
        <v>3</v>
      </c>
      <c r="Y370" s="458" t="n">
        <v>2</v>
      </c>
      <c r="Z370" s="458" t="n">
        <v>31</v>
      </c>
    </row>
    <row r="371">
      <c r="A371" s="458" t="inlineStr">
        <is>
          <t>잠실동</t>
        </is>
      </c>
      <c r="D371" s="458" t="n">
        <v>12236</v>
      </c>
      <c r="E371" s="268" t="inlineStr">
        <is>
          <t>갤러리아팰리스(주상복합)</t>
        </is>
      </c>
      <c r="F371" s="458" t="n">
        <v>151</v>
      </c>
      <c r="I371" s="263">
        <f>G371-H371</f>
        <v/>
      </c>
      <c r="J371" s="323">
        <f>H371/G371</f>
        <v/>
      </c>
      <c r="K371" s="458" t="n">
        <v>2005.01</v>
      </c>
      <c r="L371" s="458" t="n">
        <v>741</v>
      </c>
      <c r="M371" s="458">
        <f>2026-INT(K371)+1</f>
        <v/>
      </c>
      <c r="N371" s="458" t="n">
        <v>164</v>
      </c>
      <c r="P371" s="458" t="n">
        <v>192</v>
      </c>
      <c r="Q371" s="458" t="n">
        <v>58</v>
      </c>
      <c r="R371" s="458" t="inlineStr">
        <is>
          <t>계단식</t>
        </is>
      </c>
      <c r="S371" s="458" t="n">
        <v>3</v>
      </c>
      <c r="T371" s="458" t="n">
        <v>2</v>
      </c>
      <c r="U371" s="458" t="n">
        <v>26.4</v>
      </c>
      <c r="V371" s="458" t="n">
        <v>28</v>
      </c>
      <c r="W371" s="458" t="inlineStr">
        <is>
          <t>계단식</t>
        </is>
      </c>
      <c r="X371" s="458" t="n">
        <v>3</v>
      </c>
      <c r="Y371" s="458" t="n">
        <v>2</v>
      </c>
      <c r="Z371" s="458" t="n">
        <v>164</v>
      </c>
    </row>
    <row r="372">
      <c r="A372" s="458" t="inlineStr">
        <is>
          <t>잠실동</t>
        </is>
      </c>
      <c r="D372" s="458" t="n">
        <v>12236</v>
      </c>
      <c r="E372" s="268" t="inlineStr">
        <is>
          <t>갤러리아팰리스(주상복합)</t>
        </is>
      </c>
      <c r="F372" s="458" t="n">
        <v>152</v>
      </c>
      <c r="I372" s="263">
        <f>G372-H372</f>
        <v/>
      </c>
      <c r="J372" s="323">
        <f>H372/G372</f>
        <v/>
      </c>
      <c r="K372" s="458" t="n">
        <v>2005.01</v>
      </c>
      <c r="L372" s="458" t="n">
        <v>741</v>
      </c>
      <c r="M372" s="458">
        <f>2026-INT(K372)+1</f>
        <v/>
      </c>
      <c r="N372" s="458" t="n">
        <v>10</v>
      </c>
      <c r="P372" s="458" t="n">
        <v>194</v>
      </c>
      <c r="Q372" s="458" t="n">
        <v>59</v>
      </c>
      <c r="R372" s="458" t="inlineStr">
        <is>
          <t>계단식</t>
        </is>
      </c>
      <c r="S372" s="458" t="n">
        <v>3</v>
      </c>
      <c r="T372" s="458" t="n">
        <v>2</v>
      </c>
      <c r="U372" s="458" t="n">
        <v>26.4</v>
      </c>
      <c r="V372" s="458" t="n">
        <v>28</v>
      </c>
      <c r="W372" s="458" t="inlineStr">
        <is>
          <t>계단식</t>
        </is>
      </c>
      <c r="X372" s="458" t="n">
        <v>3</v>
      </c>
      <c r="Y372" s="458" t="n">
        <v>2</v>
      </c>
      <c r="Z372" s="458" t="n">
        <v>10</v>
      </c>
    </row>
    <row r="373">
      <c r="A373" s="458" t="inlineStr">
        <is>
          <t>잠실동</t>
        </is>
      </c>
      <c r="D373" s="458" t="n">
        <v>12236</v>
      </c>
      <c r="E373" s="268" t="inlineStr">
        <is>
          <t>갤러리아팰리스(주상복합)</t>
        </is>
      </c>
      <c r="F373" s="458" t="n">
        <v>162</v>
      </c>
      <c r="I373" s="263">
        <f>G373-H373</f>
        <v/>
      </c>
      <c r="J373" s="323">
        <f>H373/G373</f>
        <v/>
      </c>
      <c r="K373" s="458" t="n">
        <v>2005.01</v>
      </c>
      <c r="L373" s="458" t="n">
        <v>741</v>
      </c>
      <c r="M373" s="458">
        <f>2026-INT(K373)+1</f>
        <v/>
      </c>
      <c r="N373" s="458" t="n">
        <v>54</v>
      </c>
      <c r="P373" s="458" t="n">
        <v>206</v>
      </c>
      <c r="Q373" s="458" t="n">
        <v>62</v>
      </c>
      <c r="R373" s="458" t="inlineStr">
        <is>
          <t>계단식</t>
        </is>
      </c>
      <c r="S373" s="458" t="n">
        <v>4</v>
      </c>
      <c r="T373" s="458" t="n">
        <v>2</v>
      </c>
      <c r="U373" s="458" t="n">
        <v>33.3</v>
      </c>
      <c r="W373" s="458" t="inlineStr">
        <is>
          <t>계단식</t>
        </is>
      </c>
      <c r="X373" s="458" t="n">
        <v>4</v>
      </c>
      <c r="Y373" s="458" t="n">
        <v>2</v>
      </c>
      <c r="Z373" s="458" t="n">
        <v>54</v>
      </c>
    </row>
    <row r="374">
      <c r="A374" s="458" t="inlineStr">
        <is>
          <t>잠실동</t>
        </is>
      </c>
      <c r="D374" s="458" t="n">
        <v>12236</v>
      </c>
      <c r="E374" s="268" t="inlineStr">
        <is>
          <t>갤러리아팰리스(주상복합)</t>
        </is>
      </c>
      <c r="F374" s="458" t="n">
        <v>163</v>
      </c>
      <c r="I374" s="263">
        <f>G374-H374</f>
        <v/>
      </c>
      <c r="J374" s="323">
        <f>H374/G374</f>
        <v/>
      </c>
      <c r="K374" s="458" t="n">
        <v>2005.01</v>
      </c>
      <c r="L374" s="458" t="n">
        <v>741</v>
      </c>
      <c r="M374" s="458">
        <f>2026-INT(K374)+1</f>
        <v/>
      </c>
      <c r="N374" s="458" t="n">
        <v>84</v>
      </c>
      <c r="P374" s="458" t="n">
        <v>208</v>
      </c>
      <c r="Q374" s="458" t="n">
        <v>63</v>
      </c>
      <c r="R374" s="458" t="inlineStr">
        <is>
          <t>계단식</t>
        </is>
      </c>
      <c r="S374" s="458" t="n">
        <v>4</v>
      </c>
      <c r="T374" s="458" t="n">
        <v>2</v>
      </c>
      <c r="U374" s="458" t="n">
        <v>33.3</v>
      </c>
      <c r="V374" s="458" t="n">
        <v>27</v>
      </c>
      <c r="W374" s="458" t="inlineStr">
        <is>
          <t>계단식</t>
        </is>
      </c>
      <c r="X374" s="458" t="n">
        <v>4</v>
      </c>
      <c r="Y374" s="458" t="n">
        <v>2</v>
      </c>
      <c r="Z374" s="458" t="n">
        <v>84</v>
      </c>
    </row>
    <row r="375">
      <c r="A375" s="458" t="inlineStr">
        <is>
          <t>잠실동</t>
        </is>
      </c>
      <c r="D375" s="458" t="n">
        <v>12236</v>
      </c>
      <c r="E375" s="268" t="inlineStr">
        <is>
          <t>갤러리아팰리스(주상복합)</t>
        </is>
      </c>
      <c r="F375" s="458" t="n">
        <v>164</v>
      </c>
      <c r="I375" s="263">
        <f>G375-H375</f>
        <v/>
      </c>
      <c r="J375" s="323">
        <f>H375/G375</f>
        <v/>
      </c>
      <c r="K375" s="458" t="n">
        <v>2005.01</v>
      </c>
      <c r="L375" s="458" t="n">
        <v>741</v>
      </c>
      <c r="M375" s="458">
        <f>2026-INT(K375)+1</f>
        <v/>
      </c>
      <c r="N375" s="458" t="n">
        <v>27</v>
      </c>
      <c r="P375" s="458" t="n">
        <v>209</v>
      </c>
      <c r="Q375" s="458" t="n">
        <v>63</v>
      </c>
      <c r="R375" s="458" t="inlineStr">
        <is>
          <t>계단식</t>
        </is>
      </c>
      <c r="S375" s="458" t="n">
        <v>4</v>
      </c>
      <c r="T375" s="458" t="n">
        <v>2</v>
      </c>
      <c r="U375" s="458" t="n">
        <v>23.1</v>
      </c>
      <c r="V375" s="458" t="n">
        <v>27</v>
      </c>
      <c r="W375" s="458" t="inlineStr">
        <is>
          <t>계단식</t>
        </is>
      </c>
      <c r="X375" s="458" t="n">
        <v>4</v>
      </c>
      <c r="Y375" s="458" t="n">
        <v>2</v>
      </c>
      <c r="Z375" s="458" t="n">
        <v>27</v>
      </c>
    </row>
    <row r="376">
      <c r="A376" s="458" t="inlineStr">
        <is>
          <t>잠실동</t>
        </is>
      </c>
      <c r="D376" s="458" t="n">
        <v>12236</v>
      </c>
      <c r="E376" s="268" t="inlineStr">
        <is>
          <t>갤러리아팰리스(주상복합)</t>
        </is>
      </c>
      <c r="F376" s="458" t="n">
        <v>176</v>
      </c>
      <c r="I376" s="263">
        <f>G376-H376</f>
        <v/>
      </c>
      <c r="J376" s="323">
        <f>H376/G376</f>
        <v/>
      </c>
      <c r="K376" s="458" t="n">
        <v>2005.01</v>
      </c>
      <c r="L376" s="458" t="n">
        <v>741</v>
      </c>
      <c r="M376" s="458">
        <f>2026-INT(K376)+1</f>
        <v/>
      </c>
      <c r="N376" s="458" t="n">
        <v>86</v>
      </c>
      <c r="P376" s="458" t="n">
        <v>224</v>
      </c>
      <c r="Q376" s="458" t="n">
        <v>68</v>
      </c>
      <c r="R376" s="458" t="inlineStr">
        <is>
          <t>계단식</t>
        </is>
      </c>
      <c r="S376" s="458" t="n">
        <v>4</v>
      </c>
      <c r="T376" s="458" t="n">
        <v>3</v>
      </c>
      <c r="U376" s="458" t="n">
        <v>33.4</v>
      </c>
      <c r="W376" s="458" t="inlineStr">
        <is>
          <t>계단식</t>
        </is>
      </c>
      <c r="X376" s="458" t="n">
        <v>4</v>
      </c>
      <c r="Y376" s="458" t="n">
        <v>3</v>
      </c>
      <c r="Z376" s="458" t="n">
        <v>86</v>
      </c>
    </row>
    <row r="377">
      <c r="A377" s="458" t="inlineStr">
        <is>
          <t>잠실동</t>
        </is>
      </c>
      <c r="D377" s="458" t="n">
        <v>12236</v>
      </c>
      <c r="E377" s="268" t="inlineStr">
        <is>
          <t>갤러리아팰리스(주상복합)</t>
        </is>
      </c>
      <c r="F377" s="458" t="n">
        <v>176</v>
      </c>
      <c r="I377" s="263">
        <f>G377-H377</f>
        <v/>
      </c>
      <c r="J377" s="323">
        <f>H377/G377</f>
        <v/>
      </c>
      <c r="K377" s="458" t="n">
        <v>2005.01</v>
      </c>
      <c r="L377" s="458" t="n">
        <v>741</v>
      </c>
      <c r="M377" s="458">
        <f>2026-INT(K377)+1</f>
        <v/>
      </c>
      <c r="N377" s="458" t="n">
        <v>2</v>
      </c>
      <c r="P377" s="458" t="n">
        <v>224</v>
      </c>
      <c r="Q377" s="458" t="n">
        <v>68</v>
      </c>
      <c r="R377" s="458" t="inlineStr">
        <is>
          <t>계단식</t>
        </is>
      </c>
      <c r="S377" s="458" t="n">
        <v>4</v>
      </c>
      <c r="T377" s="458" t="n">
        <v>2</v>
      </c>
      <c r="U377" s="458" t="n">
        <v>33.4</v>
      </c>
      <c r="W377" s="458" t="inlineStr">
        <is>
          <t>계단식</t>
        </is>
      </c>
      <c r="X377" s="458" t="n">
        <v>4</v>
      </c>
      <c r="Y377" s="458" t="n">
        <v>2</v>
      </c>
      <c r="Z377" s="458" t="n">
        <v>2</v>
      </c>
    </row>
    <row r="378" ht="14" customHeight="1" s="476">
      <c r="A378" s="458" t="inlineStr">
        <is>
          <t>잠실동</t>
        </is>
      </c>
      <c r="D378" s="458" t="n">
        <v>12236</v>
      </c>
      <c r="E378" s="268" t="inlineStr">
        <is>
          <t>갤러리아팰리스(주상복합)</t>
        </is>
      </c>
      <c r="F378" s="458" t="n">
        <v>211</v>
      </c>
      <c r="I378" s="263">
        <f>G378-H378</f>
        <v/>
      </c>
      <c r="J378" s="323">
        <f>H378/G378</f>
        <v/>
      </c>
      <c r="K378" s="458" t="n">
        <v>2005.01</v>
      </c>
      <c r="L378" s="458" t="n">
        <v>741</v>
      </c>
      <c r="M378" s="458">
        <f>2026-INT(K378)+1</f>
        <v/>
      </c>
      <c r="N378" s="458" t="n">
        <v>3</v>
      </c>
      <c r="P378" s="458" t="n">
        <v>269</v>
      </c>
      <c r="Q378" s="458" t="n">
        <v>81</v>
      </c>
      <c r="R378" s="458" t="inlineStr">
        <is>
          <t>계단식</t>
        </is>
      </c>
      <c r="S378" s="458" t="n">
        <v>3</v>
      </c>
      <c r="T378" s="458" t="n">
        <v>3</v>
      </c>
      <c r="W378" s="458" t="inlineStr">
        <is>
          <t>계단식</t>
        </is>
      </c>
      <c r="X378" s="458" t="n">
        <v>3</v>
      </c>
      <c r="Y378" s="458" t="n">
        <v>3</v>
      </c>
      <c r="Z378" s="458" t="n">
        <v>3</v>
      </c>
    </row>
    <row r="379">
      <c r="A379" s="458" t="inlineStr">
        <is>
          <t>잠실동</t>
        </is>
      </c>
      <c r="D379" s="458" t="n">
        <v>12236</v>
      </c>
      <c r="E379" s="268" t="inlineStr">
        <is>
          <t>갤러리아팰리스(주상복합)</t>
        </is>
      </c>
      <c r="F379" s="458" t="n">
        <v>211</v>
      </c>
      <c r="I379" s="263">
        <f>G379-H379</f>
        <v/>
      </c>
      <c r="J379" s="323">
        <f>H379/G379</f>
        <v/>
      </c>
      <c r="K379" s="458" t="n">
        <v>2005.01</v>
      </c>
      <c r="L379" s="458" t="n">
        <v>741</v>
      </c>
      <c r="M379" s="458">
        <f>2026-INT(K379)+1</f>
        <v/>
      </c>
      <c r="N379" s="458" t="n">
        <v>1</v>
      </c>
      <c r="P379" s="458" t="n">
        <v>269</v>
      </c>
      <c r="Q379" s="458" t="n">
        <v>81</v>
      </c>
      <c r="R379" s="458" t="inlineStr">
        <is>
          <t>계단식</t>
        </is>
      </c>
      <c r="S379" s="458" t="n">
        <v>4</v>
      </c>
      <c r="T379" s="458" t="n">
        <v>3</v>
      </c>
      <c r="W379" s="458" t="inlineStr">
        <is>
          <t>계단식</t>
        </is>
      </c>
      <c r="X379" s="458" t="n">
        <v>4</v>
      </c>
      <c r="Y379" s="458" t="n">
        <v>3</v>
      </c>
      <c r="Z379" s="458" t="n">
        <v>1</v>
      </c>
    </row>
    <row r="380">
      <c r="A380" s="458" t="inlineStr">
        <is>
          <t>잠실동</t>
        </is>
      </c>
      <c r="D380" s="458" t="n">
        <v>12236</v>
      </c>
      <c r="E380" s="268" t="inlineStr">
        <is>
          <t>갤러리아팰리스(주상복합)</t>
        </is>
      </c>
      <c r="F380" s="458" t="n">
        <v>243</v>
      </c>
      <c r="I380" s="263">
        <f>G380-H380</f>
        <v/>
      </c>
      <c r="J380" s="323">
        <f>H380/G380</f>
        <v/>
      </c>
      <c r="K380" s="458" t="n">
        <v>2005.01</v>
      </c>
      <c r="L380" s="458" t="n">
        <v>741</v>
      </c>
      <c r="M380" s="458">
        <f>2026-INT(K380)+1</f>
        <v/>
      </c>
      <c r="N380" s="458" t="n">
        <v>4</v>
      </c>
      <c r="P380" s="458" t="n">
        <v>310</v>
      </c>
      <c r="Q380" s="458" t="n">
        <v>94</v>
      </c>
      <c r="R380" s="458" t="inlineStr">
        <is>
          <t>계단식</t>
        </is>
      </c>
      <c r="S380" s="458" t="n">
        <v>5</v>
      </c>
      <c r="T380" s="458" t="n">
        <v>3</v>
      </c>
      <c r="W380" s="458" t="inlineStr">
        <is>
          <t>계단식</t>
        </is>
      </c>
      <c r="X380" s="458" t="n">
        <v>5</v>
      </c>
      <c r="Y380" s="458" t="n">
        <v>3</v>
      </c>
      <c r="Z380" s="458" t="n">
        <v>4</v>
      </c>
    </row>
    <row r="381">
      <c r="A381" s="458" t="inlineStr">
        <is>
          <t>잠실동</t>
        </is>
      </c>
      <c r="D381" s="458" t="n">
        <v>12236</v>
      </c>
      <c r="E381" s="268" t="inlineStr">
        <is>
          <t>갤러리아팰리스(주상복합)</t>
        </is>
      </c>
      <c r="F381" s="458" t="n">
        <v>244</v>
      </c>
      <c r="I381" s="263">
        <f>G381-H381</f>
        <v/>
      </c>
      <c r="J381" s="323">
        <f>H381/G381</f>
        <v/>
      </c>
      <c r="K381" s="458" t="n">
        <v>2005.01</v>
      </c>
      <c r="L381" s="458" t="n">
        <v>741</v>
      </c>
      <c r="M381" s="458">
        <f>2026-INT(K381)+1</f>
        <v/>
      </c>
      <c r="N381" s="458" t="n">
        <v>3</v>
      </c>
      <c r="P381" s="458" t="n">
        <v>311</v>
      </c>
      <c r="Q381" s="458" t="n">
        <v>94</v>
      </c>
      <c r="R381" s="458" t="inlineStr">
        <is>
          <t>계단식</t>
        </is>
      </c>
      <c r="S381" s="458" t="n">
        <v>5</v>
      </c>
      <c r="T381" s="458" t="n">
        <v>3</v>
      </c>
      <c r="W381" s="458" t="inlineStr">
        <is>
          <t>계단식</t>
        </is>
      </c>
      <c r="X381" s="458" t="n">
        <v>5</v>
      </c>
      <c r="Y381" s="458" t="n">
        <v>3</v>
      </c>
      <c r="Z381" s="458" t="n">
        <v>3</v>
      </c>
    </row>
    <row r="382">
      <c r="A382" s="458" t="inlineStr">
        <is>
          <t>잠실동</t>
        </is>
      </c>
      <c r="D382" s="458" t="n">
        <v>12236</v>
      </c>
      <c r="E382" s="268" t="inlineStr">
        <is>
          <t>갤러리아팰리스(주상복합)</t>
        </is>
      </c>
      <c r="F382" s="458" t="n">
        <v>244</v>
      </c>
      <c r="I382" s="263">
        <f>G382-H382</f>
        <v/>
      </c>
      <c r="J382" s="323">
        <f>H382/G382</f>
        <v/>
      </c>
      <c r="K382" s="458" t="n">
        <v>2005.01</v>
      </c>
      <c r="L382" s="458" t="n">
        <v>741</v>
      </c>
      <c r="M382" s="458">
        <f>2026-INT(K382)+1</f>
        <v/>
      </c>
      <c r="N382" s="458" t="n">
        <v>2</v>
      </c>
      <c r="P382" s="458" t="n">
        <v>311</v>
      </c>
      <c r="Q382" s="458" t="n">
        <v>94</v>
      </c>
      <c r="R382" s="458" t="inlineStr">
        <is>
          <t>계단식</t>
        </is>
      </c>
      <c r="S382" s="458" t="n">
        <v>3</v>
      </c>
      <c r="T382" s="458" t="n">
        <v>3</v>
      </c>
      <c r="W382" s="458" t="inlineStr">
        <is>
          <t>계단식</t>
        </is>
      </c>
      <c r="X382" s="458" t="n">
        <v>3</v>
      </c>
      <c r="Y382" s="458" t="n">
        <v>3</v>
      </c>
      <c r="Z382" s="458" t="n">
        <v>2</v>
      </c>
    </row>
    <row r="383">
      <c r="A383" s="263" t="inlineStr">
        <is>
          <t>잠실동</t>
        </is>
      </c>
      <c r="B383" s="263" t="n"/>
      <c r="C383" s="263" t="n"/>
      <c r="D383" s="263" t="n">
        <v>15011</v>
      </c>
      <c r="E383" s="269" t="inlineStr">
        <is>
          <t>레이크팰리스</t>
        </is>
      </c>
      <c r="F383" s="263" t="n">
        <v>59</v>
      </c>
      <c r="G383" s="263" t="n">
        <v>264000</v>
      </c>
      <c r="H383" s="263" t="n">
        <v>110000</v>
      </c>
      <c r="I383" s="263">
        <f>G383-H383</f>
        <v/>
      </c>
      <c r="J383" s="323">
        <f>H383/G383</f>
        <v/>
      </c>
      <c r="K383" s="263" t="n">
        <v>2006.12</v>
      </c>
      <c r="L383" s="263" t="n">
        <v>2678</v>
      </c>
      <c r="M383" s="263">
        <f>2026-INT(K383)+1</f>
        <v/>
      </c>
      <c r="N383" s="263" t="n">
        <v>536</v>
      </c>
      <c r="O383" s="263" t="n"/>
      <c r="P383" s="263" t="n">
        <v>86</v>
      </c>
      <c r="Q383" s="263" t="n">
        <v>26</v>
      </c>
      <c r="R383" s="263" t="inlineStr">
        <is>
          <t>계단식</t>
        </is>
      </c>
      <c r="S383" s="263" t="n">
        <v>3</v>
      </c>
      <c r="T383" s="263" t="n">
        <v>2</v>
      </c>
      <c r="U383" s="263" t="n">
        <v>20.1</v>
      </c>
      <c r="V383" s="263" t="n">
        <v>14</v>
      </c>
      <c r="W383" s="263" t="inlineStr">
        <is>
          <t>계단식</t>
        </is>
      </c>
      <c r="X383" s="263" t="n">
        <v>3</v>
      </c>
      <c r="Y383" s="263" t="n">
        <v>2</v>
      </c>
      <c r="Z383" s="263" t="n">
        <v>536</v>
      </c>
      <c r="AA383" s="263" t="n"/>
      <c r="AB383" s="263" t="n"/>
      <c r="AC383" s="263" t="n"/>
      <c r="AD383" s="263" t="n"/>
      <c r="AE383" s="263" t="n"/>
      <c r="AF383" s="263" t="n"/>
      <c r="AG383" s="263" t="n"/>
      <c r="AH383" s="263" t="n"/>
      <c r="AI383" s="263" t="n"/>
      <c r="AJ383" s="263" t="n"/>
      <c r="AK383" s="263" t="n"/>
    </row>
    <row r="384">
      <c r="A384" s="263" t="inlineStr">
        <is>
          <t>잠실동</t>
        </is>
      </c>
      <c r="B384" s="263" t="n"/>
      <c r="C384" s="263" t="n"/>
      <c r="D384" s="263" t="n">
        <v>15011</v>
      </c>
      <c r="E384" s="267" t="inlineStr">
        <is>
          <t>레이크팰리스</t>
        </is>
      </c>
      <c r="F384" s="263" t="n">
        <v>84</v>
      </c>
      <c r="G384" s="263" t="n">
        <v>294500</v>
      </c>
      <c r="H384" s="263" t="n">
        <v>135000</v>
      </c>
      <c r="I384" s="263">
        <f>G384-H384</f>
        <v/>
      </c>
      <c r="J384" s="323">
        <f>H384/G384</f>
        <v/>
      </c>
      <c r="K384" s="263" t="n">
        <v>2006.12</v>
      </c>
      <c r="L384" s="263" t="n">
        <v>2678</v>
      </c>
      <c r="M384" s="263">
        <f>2026-INT(K384)+1</f>
        <v/>
      </c>
      <c r="N384" s="263" t="n">
        <v>1012</v>
      </c>
      <c r="O384" s="263" t="n"/>
      <c r="P384" s="263" t="n">
        <v>114</v>
      </c>
      <c r="Q384" s="263" t="n">
        <v>34</v>
      </c>
      <c r="R384" s="263" t="inlineStr">
        <is>
          <t>계단식</t>
        </is>
      </c>
      <c r="S384" s="263" t="n">
        <v>3</v>
      </c>
      <c r="T384" s="263" t="n">
        <v>2</v>
      </c>
      <c r="U384" s="263" t="n">
        <v>24.8</v>
      </c>
      <c r="V384" s="263" t="n">
        <v>17.5</v>
      </c>
      <c r="W384" s="263" t="inlineStr">
        <is>
          <t>계단식</t>
        </is>
      </c>
      <c r="X384" s="263" t="n">
        <v>3</v>
      </c>
      <c r="Y384" s="263" t="n">
        <v>2</v>
      </c>
      <c r="Z384" s="263" t="n">
        <v>1012</v>
      </c>
      <c r="AA384" s="263" t="n"/>
      <c r="AB384" s="263" t="n"/>
      <c r="AC384" s="263" t="n"/>
      <c r="AD384" s="263" t="n"/>
      <c r="AE384" s="263" t="n"/>
      <c r="AF384" s="263" t="n"/>
      <c r="AG384" s="263" t="n"/>
      <c r="AH384" s="263" t="n"/>
      <c r="AI384" s="263" t="n"/>
      <c r="AJ384" s="263" t="n"/>
      <c r="AK384" s="263" t="n"/>
    </row>
    <row r="385">
      <c r="A385" s="263" t="inlineStr">
        <is>
          <t>잠실동</t>
        </is>
      </c>
      <c r="B385" s="263" t="n"/>
      <c r="C385" s="263" t="n"/>
      <c r="D385" s="263" t="n">
        <v>15011</v>
      </c>
      <c r="E385" s="267" t="inlineStr">
        <is>
          <t>레이크팰리스</t>
        </is>
      </c>
      <c r="F385" s="263" t="n">
        <v>116</v>
      </c>
      <c r="G385" s="263" t="n"/>
      <c r="H385" s="263" t="n"/>
      <c r="I385" s="263">
        <f>G385-H385</f>
        <v/>
      </c>
      <c r="J385" s="323">
        <f>H385/G385</f>
        <v/>
      </c>
      <c r="K385" s="263" t="n">
        <v>2006.12</v>
      </c>
      <c r="L385" s="263" t="n">
        <v>2678</v>
      </c>
      <c r="M385" s="263">
        <f>2026-INT(K385)+1</f>
        <v/>
      </c>
      <c r="N385" s="263" t="n">
        <v>678</v>
      </c>
      <c r="O385" s="263" t="n"/>
      <c r="P385" s="263" t="n">
        <v>144</v>
      </c>
      <c r="Q385" s="263" t="n">
        <v>44</v>
      </c>
      <c r="R385" s="263" t="inlineStr">
        <is>
          <t>계단식</t>
        </is>
      </c>
      <c r="S385" s="263" t="n">
        <v>4</v>
      </c>
      <c r="T385" s="263" t="n">
        <v>2</v>
      </c>
      <c r="U385" s="263" t="n">
        <v>28.5</v>
      </c>
      <c r="V385" s="263" t="n">
        <v>19</v>
      </c>
      <c r="W385" s="263" t="inlineStr">
        <is>
          <t>계단식</t>
        </is>
      </c>
      <c r="X385" s="263" t="n">
        <v>4</v>
      </c>
      <c r="Y385" s="263" t="n">
        <v>2</v>
      </c>
      <c r="Z385" s="263" t="n">
        <v>678</v>
      </c>
      <c r="AA385" s="263" t="n"/>
      <c r="AB385" s="263" t="n"/>
      <c r="AC385" s="263" t="n"/>
      <c r="AD385" s="263" t="n"/>
      <c r="AE385" s="263" t="n"/>
      <c r="AF385" s="263" t="n"/>
      <c r="AG385" s="263" t="n"/>
      <c r="AH385" s="263" t="n"/>
      <c r="AI385" s="263" t="n"/>
      <c r="AJ385" s="263" t="n"/>
      <c r="AK385" s="263" t="n"/>
    </row>
    <row r="386">
      <c r="A386" s="263" t="inlineStr">
        <is>
          <t>잠실동</t>
        </is>
      </c>
      <c r="B386" s="263" t="n"/>
      <c r="C386" s="263" t="n"/>
      <c r="D386" s="263" t="n">
        <v>15011</v>
      </c>
      <c r="E386" s="267" t="inlineStr">
        <is>
          <t>레이크팰리스</t>
        </is>
      </c>
      <c r="F386" s="263" t="n">
        <v>135</v>
      </c>
      <c r="G386" s="263" t="n"/>
      <c r="H386" s="263" t="n"/>
      <c r="I386" s="263">
        <f>G386-H386</f>
        <v/>
      </c>
      <c r="J386" s="323">
        <f>H386/G386</f>
        <v/>
      </c>
      <c r="K386" s="263" t="n">
        <v>2006.12</v>
      </c>
      <c r="L386" s="263" t="n">
        <v>2678</v>
      </c>
      <c r="M386" s="263">
        <f>2026-INT(K386)+1</f>
        <v/>
      </c>
      <c r="N386" s="263" t="n">
        <v>308</v>
      </c>
      <c r="O386" s="263" t="n"/>
      <c r="P386" s="263" t="n">
        <v>166</v>
      </c>
      <c r="Q386" s="263" t="n">
        <v>50</v>
      </c>
      <c r="R386" s="263" t="inlineStr">
        <is>
          <t>계단식</t>
        </is>
      </c>
      <c r="S386" s="263" t="n">
        <v>4</v>
      </c>
      <c r="T386" s="263" t="n">
        <v>2</v>
      </c>
      <c r="U386" s="263" t="n">
        <v>35.5</v>
      </c>
      <c r="V386" s="263" t="n">
        <v>27</v>
      </c>
      <c r="W386" s="263" t="inlineStr">
        <is>
          <t>계단식</t>
        </is>
      </c>
      <c r="X386" s="263" t="n">
        <v>4</v>
      </c>
      <c r="Y386" s="263" t="n">
        <v>2</v>
      </c>
      <c r="Z386" s="263" t="n">
        <v>308</v>
      </c>
      <c r="AA386" s="263" t="n"/>
      <c r="AB386" s="263" t="n"/>
      <c r="AC386" s="263" t="n"/>
      <c r="AD386" s="263" t="n"/>
      <c r="AE386" s="263" t="n"/>
      <c r="AF386" s="263" t="n"/>
      <c r="AG386" s="263" t="n"/>
      <c r="AH386" s="263" t="n"/>
      <c r="AI386" s="263" t="n"/>
      <c r="AJ386" s="263" t="n"/>
      <c r="AK386" s="263" t="n"/>
    </row>
    <row r="387">
      <c r="A387" s="263" t="inlineStr">
        <is>
          <t>잠실동</t>
        </is>
      </c>
      <c r="B387" s="263" t="n"/>
      <c r="C387" s="263" t="n"/>
      <c r="D387" s="263" t="n">
        <v>15011</v>
      </c>
      <c r="E387" s="267" t="inlineStr">
        <is>
          <t>레이크팰리스</t>
        </is>
      </c>
      <c r="F387" s="263" t="n">
        <v>136</v>
      </c>
      <c r="G387" s="263" t="n"/>
      <c r="H387" s="263" t="n"/>
      <c r="I387" s="263">
        <f>G387-H387</f>
        <v/>
      </c>
      <c r="J387" s="323">
        <f>H387/G387</f>
        <v/>
      </c>
      <c r="K387" s="263" t="n">
        <v>2006.12</v>
      </c>
      <c r="L387" s="263" t="n">
        <v>2678</v>
      </c>
      <c r="M387" s="263">
        <f>2026-INT(K387)+1</f>
        <v/>
      </c>
      <c r="N387" s="263" t="n">
        <v>144</v>
      </c>
      <c r="O387" s="263" t="n"/>
      <c r="P387" s="263" t="n">
        <v>167</v>
      </c>
      <c r="Q387" s="263" t="n">
        <v>51</v>
      </c>
      <c r="R387" s="263" t="inlineStr">
        <is>
          <t>계단식</t>
        </is>
      </c>
      <c r="S387" s="263" t="n">
        <v>4</v>
      </c>
      <c r="T387" s="263" t="n">
        <v>2</v>
      </c>
      <c r="U387" s="263" t="n">
        <v>35.5</v>
      </c>
      <c r="V387" s="263" t="n">
        <v>25.9</v>
      </c>
      <c r="W387" s="263" t="inlineStr">
        <is>
          <t>계단식</t>
        </is>
      </c>
      <c r="X387" s="263" t="n">
        <v>4</v>
      </c>
      <c r="Y387" s="263" t="n">
        <v>2</v>
      </c>
      <c r="Z387" s="263" t="n">
        <v>144</v>
      </c>
      <c r="AA387" s="263" t="n"/>
      <c r="AB387" s="263" t="n"/>
      <c r="AC387" s="263" t="n"/>
      <c r="AD387" s="263" t="n"/>
      <c r="AE387" s="263" t="n"/>
      <c r="AF387" s="263" t="n"/>
      <c r="AG387" s="263" t="n"/>
      <c r="AH387" s="263" t="n"/>
      <c r="AI387" s="263" t="n"/>
      <c r="AJ387" s="263" t="n"/>
      <c r="AK387" s="263" t="n"/>
    </row>
    <row r="388">
      <c r="A388" s="458" t="inlineStr">
        <is>
          <t>잠실동</t>
        </is>
      </c>
      <c r="D388" s="458" t="n">
        <v>22746</v>
      </c>
      <c r="E388" s="146" t="inlineStr">
        <is>
          <t>리센츠</t>
        </is>
      </c>
      <c r="F388" s="458" t="n">
        <v>27</v>
      </c>
      <c r="G388" s="458" t="n">
        <v>150000</v>
      </c>
      <c r="H388" s="458" t="n">
        <v>65000</v>
      </c>
      <c r="I388" s="263">
        <f>G388-H388</f>
        <v/>
      </c>
      <c r="J388" s="323">
        <f>H388/G388</f>
        <v/>
      </c>
      <c r="K388" s="458" t="n">
        <v>2008.07</v>
      </c>
      <c r="L388" s="458" t="n">
        <v>5563</v>
      </c>
      <c r="M388" s="458">
        <f>2026-INT(K388)+1</f>
        <v/>
      </c>
      <c r="N388" s="458" t="n">
        <v>868</v>
      </c>
      <c r="P388" s="458" t="n">
        <v>42</v>
      </c>
      <c r="Q388" s="458" t="n">
        <v>13</v>
      </c>
      <c r="R388" s="458" t="inlineStr">
        <is>
          <t>계단식</t>
        </is>
      </c>
      <c r="S388" s="458" t="n">
        <v>1</v>
      </c>
      <c r="T388" s="458" t="n">
        <v>1</v>
      </c>
      <c r="U388" s="458" t="n">
        <v>12.75</v>
      </c>
      <c r="V388" s="458" t="n">
        <v>6</v>
      </c>
      <c r="W388" s="458" t="inlineStr">
        <is>
          <t>계단식</t>
        </is>
      </c>
      <c r="X388" s="458" t="n">
        <v>1</v>
      </c>
      <c r="Y388" s="458" t="n">
        <v>1</v>
      </c>
      <c r="Z388" s="458" t="n">
        <v>868</v>
      </c>
    </row>
    <row r="389">
      <c r="A389" s="458" t="inlineStr">
        <is>
          <t>잠실동</t>
        </is>
      </c>
      <c r="D389" s="458" t="n">
        <v>22746</v>
      </c>
      <c r="E389" s="268" t="inlineStr">
        <is>
          <t>리센츠</t>
        </is>
      </c>
      <c r="F389" s="458" t="n">
        <v>59</v>
      </c>
      <c r="G389" s="458" t="n">
        <v>300000</v>
      </c>
      <c r="H389" s="458" t="n">
        <v>120000</v>
      </c>
      <c r="I389" s="263">
        <f>G389-H389</f>
        <v/>
      </c>
      <c r="J389" s="323">
        <f>H389/G389</f>
        <v/>
      </c>
      <c r="K389" s="458" t="n">
        <v>2008.07</v>
      </c>
      <c r="L389" s="458" t="n">
        <v>5563</v>
      </c>
      <c r="M389" s="458">
        <f>2026-INT(K389)+1</f>
        <v/>
      </c>
      <c r="N389" s="458" t="n">
        <v>245</v>
      </c>
      <c r="P389" s="458" t="n">
        <v>82</v>
      </c>
      <c r="Q389" s="458" t="n">
        <v>25</v>
      </c>
      <c r="R389" s="458" t="inlineStr">
        <is>
          <t>계단식</t>
        </is>
      </c>
      <c r="S389" s="458" t="n">
        <v>3</v>
      </c>
      <c r="T389" s="458" t="n">
        <v>2</v>
      </c>
      <c r="U389" s="458" t="n">
        <v>20.8</v>
      </c>
      <c r="V389" s="458" t="n">
        <v>16.3</v>
      </c>
      <c r="W389" s="458" t="inlineStr">
        <is>
          <t>계단식</t>
        </is>
      </c>
      <c r="X389" s="458" t="n">
        <v>3</v>
      </c>
      <c r="Y389" s="458" t="n">
        <v>2</v>
      </c>
      <c r="Z389" s="458" t="n">
        <v>245</v>
      </c>
    </row>
    <row r="390">
      <c r="A390" s="458" t="inlineStr">
        <is>
          <t>잠실동</t>
        </is>
      </c>
      <c r="D390" s="458" t="n">
        <v>22746</v>
      </c>
      <c r="E390" s="268" t="inlineStr">
        <is>
          <t>리센츠</t>
        </is>
      </c>
      <c r="F390" s="458" t="n">
        <v>84</v>
      </c>
      <c r="G390" s="458" t="n">
        <v>335000</v>
      </c>
      <c r="H390" s="458" t="n">
        <v>155000</v>
      </c>
      <c r="I390" s="263">
        <f>G390-H390</f>
        <v/>
      </c>
      <c r="J390" s="323">
        <f>H390/G390</f>
        <v/>
      </c>
      <c r="K390" s="458" t="n">
        <v>2008.07</v>
      </c>
      <c r="L390" s="458" t="n">
        <v>5563</v>
      </c>
      <c r="M390" s="458">
        <f>2026-INT(K390)+1</f>
        <v/>
      </c>
      <c r="N390" s="458" t="n">
        <v>3590</v>
      </c>
      <c r="P390" s="458" t="n">
        <v>109</v>
      </c>
      <c r="Q390" s="458" t="n">
        <v>33</v>
      </c>
      <c r="R390" s="458" t="inlineStr">
        <is>
          <t>계단식</t>
        </is>
      </c>
      <c r="S390" s="458" t="n">
        <v>3</v>
      </c>
      <c r="T390" s="458" t="n">
        <v>2</v>
      </c>
      <c r="U390" s="458" t="n">
        <v>26.5</v>
      </c>
      <c r="V390" s="458" t="n">
        <v>18.2</v>
      </c>
      <c r="W390" s="458" t="inlineStr">
        <is>
          <t>계단식</t>
        </is>
      </c>
      <c r="X390" s="458" t="n">
        <v>3</v>
      </c>
      <c r="Y390" s="458" t="n">
        <v>2</v>
      </c>
      <c r="Z390" s="458" t="n">
        <v>3590</v>
      </c>
    </row>
    <row r="391">
      <c r="A391" s="458" t="inlineStr">
        <is>
          <t>잠실동</t>
        </is>
      </c>
      <c r="D391" s="458" t="n">
        <v>22746</v>
      </c>
      <c r="E391" s="268" t="inlineStr">
        <is>
          <t>리센츠</t>
        </is>
      </c>
      <c r="F391" s="458" t="n">
        <v>98</v>
      </c>
      <c r="I391" s="263">
        <f>G391-H391</f>
        <v/>
      </c>
      <c r="J391" s="323">
        <f>H391/G391</f>
        <v/>
      </c>
      <c r="K391" s="458" t="n">
        <v>2008.07</v>
      </c>
      <c r="L391" s="458" t="n">
        <v>5563</v>
      </c>
      <c r="M391" s="458">
        <f>2026-INT(K391)+1</f>
        <v/>
      </c>
      <c r="N391" s="458" t="n">
        <v>130</v>
      </c>
      <c r="P391" s="458" t="n">
        <v>126</v>
      </c>
      <c r="Q391" s="458" t="n">
        <v>38</v>
      </c>
      <c r="R391" s="458" t="inlineStr">
        <is>
          <t>계단식</t>
        </is>
      </c>
      <c r="S391" s="458" t="n">
        <v>4</v>
      </c>
      <c r="T391" s="458" t="n">
        <v>2</v>
      </c>
      <c r="V391" s="458" t="n">
        <v>25.6</v>
      </c>
      <c r="W391" s="458" t="inlineStr">
        <is>
          <t>계단식</t>
        </is>
      </c>
      <c r="X391" s="458" t="n">
        <v>4</v>
      </c>
      <c r="Y391" s="458" t="n">
        <v>2</v>
      </c>
      <c r="Z391" s="458" t="n">
        <v>130</v>
      </c>
    </row>
    <row r="392">
      <c r="A392" s="458" t="inlineStr">
        <is>
          <t>잠실동</t>
        </is>
      </c>
      <c r="D392" s="458" t="n">
        <v>22746</v>
      </c>
      <c r="E392" s="268" t="inlineStr">
        <is>
          <t>리센츠</t>
        </is>
      </c>
      <c r="F392" s="458" t="n">
        <v>124</v>
      </c>
      <c r="I392" s="263">
        <f>G392-H392</f>
        <v/>
      </c>
      <c r="J392" s="323">
        <f>H392/G392</f>
        <v/>
      </c>
      <c r="K392" s="458" t="n">
        <v>2008.07</v>
      </c>
      <c r="L392" s="458" t="n">
        <v>5563</v>
      </c>
      <c r="M392" s="458">
        <f>2026-INT(K392)+1</f>
        <v/>
      </c>
      <c r="N392" s="458" t="n">
        <v>730</v>
      </c>
      <c r="P392" s="458" t="n">
        <v>158</v>
      </c>
      <c r="Q392" s="458" t="n">
        <v>48</v>
      </c>
      <c r="R392" s="458" t="inlineStr">
        <is>
          <t>계단식</t>
        </is>
      </c>
      <c r="S392" s="458" t="n">
        <v>4</v>
      </c>
      <c r="T392" s="458" t="n">
        <v>2</v>
      </c>
      <c r="U392" s="458" t="n">
        <v>36.5</v>
      </c>
      <c r="V392" s="458" t="n">
        <v>28.3</v>
      </c>
      <c r="W392" s="458" t="inlineStr">
        <is>
          <t>계단식</t>
        </is>
      </c>
      <c r="X392" s="458" t="n">
        <v>4</v>
      </c>
      <c r="Y392" s="458" t="n">
        <v>2</v>
      </c>
      <c r="Z392" s="458" t="n">
        <v>730</v>
      </c>
    </row>
    <row r="393">
      <c r="A393" s="263" t="inlineStr">
        <is>
          <t>잠실동</t>
        </is>
      </c>
      <c r="B393" s="263" t="n"/>
      <c r="C393" s="263" t="n"/>
      <c r="D393" s="263" t="n">
        <v>635</v>
      </c>
      <c r="E393" s="267" t="inlineStr">
        <is>
          <t>아시아선수촌</t>
        </is>
      </c>
      <c r="F393" s="263" t="n">
        <v>99</v>
      </c>
      <c r="G393" s="263" t="n"/>
      <c r="H393" s="263" t="n"/>
      <c r="I393" s="263">
        <f>G393-H393</f>
        <v/>
      </c>
      <c r="J393" s="323">
        <f>H393/G393</f>
        <v/>
      </c>
      <c r="K393" s="263" t="n">
        <v>1986.06</v>
      </c>
      <c r="L393" s="263" t="n">
        <v>1356</v>
      </c>
      <c r="M393" s="263">
        <f>2026-INT(K393)+1</f>
        <v/>
      </c>
      <c r="N393" s="263" t="n">
        <v>318</v>
      </c>
      <c r="O393" s="263" t="n"/>
      <c r="P393" s="263" t="n">
        <v>124</v>
      </c>
      <c r="Q393" s="263" t="n">
        <v>38</v>
      </c>
      <c r="R393" s="263" t="inlineStr">
        <is>
          <t>계단식</t>
        </is>
      </c>
      <c r="S393" s="263" t="n">
        <v>3</v>
      </c>
      <c r="T393" s="263" t="n">
        <v>1</v>
      </c>
      <c r="U393" s="263" t="n">
        <v>32</v>
      </c>
      <c r="V393" s="263" t="n">
        <v>26.9</v>
      </c>
      <c r="W393" s="263" t="inlineStr">
        <is>
          <t>계단식</t>
        </is>
      </c>
      <c r="X393" s="263" t="n">
        <v>3</v>
      </c>
      <c r="Y393" s="263" t="n">
        <v>1</v>
      </c>
      <c r="Z393" s="263" t="n">
        <v>318</v>
      </c>
      <c r="AA393" s="263" t="n"/>
      <c r="AB393" s="263" t="n"/>
      <c r="AC393" s="263" t="n"/>
      <c r="AD393" s="263" t="n"/>
      <c r="AE393" s="263" t="n"/>
      <c r="AF393" s="263" t="n"/>
      <c r="AG393" s="263" t="n"/>
      <c r="AH393" s="263" t="n"/>
      <c r="AI393" s="263" t="n"/>
      <c r="AJ393" s="263" t="n"/>
      <c r="AK393" s="263" t="n"/>
    </row>
    <row r="394">
      <c r="A394" s="263" t="inlineStr">
        <is>
          <t>잠실동</t>
        </is>
      </c>
      <c r="B394" s="263" t="n"/>
      <c r="C394" s="263" t="n"/>
      <c r="D394" s="263" t="n">
        <v>635</v>
      </c>
      <c r="E394" s="267" t="inlineStr">
        <is>
          <t>아시아선수촌</t>
        </is>
      </c>
      <c r="F394" s="263" t="n">
        <v>122</v>
      </c>
      <c r="G394" s="263" t="n"/>
      <c r="H394" s="263" t="n"/>
      <c r="I394" s="263">
        <f>G394-H394</f>
        <v/>
      </c>
      <c r="J394" s="323">
        <f>H394/G394</f>
        <v/>
      </c>
      <c r="K394" s="263" t="n">
        <v>1986.06</v>
      </c>
      <c r="L394" s="263" t="n">
        <v>1356</v>
      </c>
      <c r="M394" s="263">
        <f>2026-INT(K394)+1</f>
        <v/>
      </c>
      <c r="N394" s="263" t="n">
        <v>18</v>
      </c>
      <c r="O394" s="263" t="n"/>
      <c r="P394" s="263" t="n">
        <v>154</v>
      </c>
      <c r="Q394" s="263" t="n">
        <v>47</v>
      </c>
      <c r="R394" s="263" t="inlineStr">
        <is>
          <t>계단식</t>
        </is>
      </c>
      <c r="S394" s="263" t="n">
        <v>3</v>
      </c>
      <c r="T394" s="263" t="n">
        <v>3</v>
      </c>
      <c r="U394" s="263" t="n">
        <v>29.5</v>
      </c>
      <c r="V394" s="263" t="n"/>
      <c r="W394" s="263" t="inlineStr">
        <is>
          <t>계단식</t>
        </is>
      </c>
      <c r="X394" s="263" t="n">
        <v>3</v>
      </c>
      <c r="Y394" s="263" t="n">
        <v>3</v>
      </c>
      <c r="Z394" s="263" t="n">
        <v>18</v>
      </c>
      <c r="AA394" s="263" t="n"/>
      <c r="AB394" s="263" t="n"/>
      <c r="AC394" s="263" t="n"/>
      <c r="AD394" s="263" t="n"/>
      <c r="AE394" s="263" t="n"/>
      <c r="AF394" s="263" t="n"/>
      <c r="AG394" s="263" t="n"/>
      <c r="AH394" s="263" t="n"/>
      <c r="AI394" s="263" t="n"/>
      <c r="AJ394" s="263" t="n"/>
      <c r="AK394" s="263" t="n"/>
    </row>
    <row r="395">
      <c r="A395" s="263" t="inlineStr">
        <is>
          <t>잠실동</t>
        </is>
      </c>
      <c r="B395" s="263" t="n"/>
      <c r="C395" s="263" t="n"/>
      <c r="D395" s="263" t="n">
        <v>635</v>
      </c>
      <c r="E395" s="267" t="inlineStr">
        <is>
          <t>아시아선수촌</t>
        </is>
      </c>
      <c r="F395" s="263" t="n">
        <v>134</v>
      </c>
      <c r="G395" s="263" t="n"/>
      <c r="H395" s="263" t="n"/>
      <c r="I395" s="263">
        <f>G395-H395</f>
        <v/>
      </c>
      <c r="J395" s="323">
        <f>H395/G395</f>
        <v/>
      </c>
      <c r="K395" s="263" t="n">
        <v>1986.06</v>
      </c>
      <c r="L395" s="263" t="n">
        <v>1356</v>
      </c>
      <c r="M395" s="263">
        <f>2026-INT(K395)+1</f>
        <v/>
      </c>
      <c r="N395" s="263" t="n">
        <v>300</v>
      </c>
      <c r="O395" s="263" t="n"/>
      <c r="P395" s="263" t="n">
        <v>168</v>
      </c>
      <c r="Q395" s="263" t="n">
        <v>51</v>
      </c>
      <c r="R395" s="263" t="inlineStr">
        <is>
          <t>계단식</t>
        </is>
      </c>
      <c r="S395" s="263" t="n">
        <v>4</v>
      </c>
      <c r="T395" s="263" t="n">
        <v>2</v>
      </c>
      <c r="U395" s="263" t="n">
        <v>37.5</v>
      </c>
      <c r="V395" s="263" t="n">
        <v>33</v>
      </c>
      <c r="W395" s="263" t="inlineStr">
        <is>
          <t>계단식</t>
        </is>
      </c>
      <c r="X395" s="263" t="n">
        <v>4</v>
      </c>
      <c r="Y395" s="263" t="n">
        <v>2</v>
      </c>
      <c r="Z395" s="263" t="n">
        <v>300</v>
      </c>
      <c r="AA395" s="263" t="n"/>
      <c r="AB395" s="263" t="n"/>
      <c r="AC395" s="263" t="n"/>
      <c r="AD395" s="263" t="n"/>
      <c r="AE395" s="263" t="n"/>
      <c r="AF395" s="263" t="n"/>
      <c r="AG395" s="263" t="n"/>
      <c r="AH395" s="263" t="n"/>
      <c r="AI395" s="263" t="n"/>
      <c r="AJ395" s="263" t="n"/>
      <c r="AK395" s="263" t="n"/>
    </row>
    <row r="396">
      <c r="A396" s="263" t="inlineStr">
        <is>
          <t>잠실동</t>
        </is>
      </c>
      <c r="B396" s="263" t="n"/>
      <c r="C396" s="263" t="n"/>
      <c r="D396" s="263" t="n">
        <v>635</v>
      </c>
      <c r="E396" s="267" t="inlineStr">
        <is>
          <t>아시아선수촌</t>
        </is>
      </c>
      <c r="F396" s="263" t="n">
        <v>139</v>
      </c>
      <c r="G396" s="263" t="n"/>
      <c r="H396" s="263" t="n"/>
      <c r="I396" s="263">
        <f>G396-H396</f>
        <v/>
      </c>
      <c r="J396" s="323">
        <f>H396/G396</f>
        <v/>
      </c>
      <c r="K396" s="263" t="n">
        <v>1986.06</v>
      </c>
      <c r="L396" s="263" t="n">
        <v>1356</v>
      </c>
      <c r="M396" s="263">
        <f>2026-INT(K396)+1</f>
        <v/>
      </c>
      <c r="N396" s="263" t="n">
        <v>22</v>
      </c>
      <c r="O396" s="263" t="n"/>
      <c r="P396" s="263" t="n">
        <v>171</v>
      </c>
      <c r="Q396" s="263" t="n">
        <v>52</v>
      </c>
      <c r="R396" s="263" t="inlineStr">
        <is>
          <t>계단식</t>
        </is>
      </c>
      <c r="S396" s="263" t="n">
        <v>3</v>
      </c>
      <c r="T396" s="263" t="n">
        <v>3</v>
      </c>
      <c r="U396" s="263" t="n">
        <v>31</v>
      </c>
      <c r="V396" s="263" t="n"/>
      <c r="W396" s="263" t="inlineStr">
        <is>
          <t>계단식</t>
        </is>
      </c>
      <c r="X396" s="263" t="n">
        <v>3</v>
      </c>
      <c r="Y396" s="263" t="n">
        <v>3</v>
      </c>
      <c r="Z396" s="263" t="n">
        <v>22</v>
      </c>
      <c r="AA396" s="263" t="n"/>
      <c r="AB396" s="263" t="n"/>
      <c r="AC396" s="263" t="n"/>
      <c r="AD396" s="263" t="n"/>
      <c r="AE396" s="263" t="n"/>
      <c r="AF396" s="263" t="n"/>
      <c r="AG396" s="263" t="n"/>
      <c r="AH396" s="263" t="n"/>
      <c r="AI396" s="263" t="n"/>
      <c r="AJ396" s="263" t="n"/>
      <c r="AK396" s="263" t="n"/>
    </row>
    <row r="397">
      <c r="A397" s="263" t="inlineStr">
        <is>
          <t>잠실동</t>
        </is>
      </c>
      <c r="B397" s="263" t="n"/>
      <c r="C397" s="263" t="n"/>
      <c r="D397" s="263" t="n">
        <v>635</v>
      </c>
      <c r="E397" s="267" t="inlineStr">
        <is>
          <t>아시아선수촌</t>
        </is>
      </c>
      <c r="F397" s="263" t="n">
        <v>151</v>
      </c>
      <c r="G397" s="263" t="n"/>
      <c r="H397" s="263" t="n"/>
      <c r="I397" s="263">
        <f>G397-H397</f>
        <v/>
      </c>
      <c r="J397" s="323">
        <f>H397/G397</f>
        <v/>
      </c>
      <c r="K397" s="263" t="n">
        <v>1986.06</v>
      </c>
      <c r="L397" s="263" t="n">
        <v>1356</v>
      </c>
      <c r="M397" s="263">
        <f>2026-INT(K397)+1</f>
        <v/>
      </c>
      <c r="N397" s="263" t="n">
        <v>446</v>
      </c>
      <c r="O397" s="263" t="n"/>
      <c r="P397" s="263" t="n">
        <v>185</v>
      </c>
      <c r="Q397" s="263" t="n">
        <v>56</v>
      </c>
      <c r="R397" s="263" t="inlineStr">
        <is>
          <t>계단식</t>
        </is>
      </c>
      <c r="S397" s="263" t="n">
        <v>4</v>
      </c>
      <c r="T397" s="263" t="n">
        <v>2</v>
      </c>
      <c r="U397" s="263" t="n">
        <v>42</v>
      </c>
      <c r="V397" s="263" t="n">
        <v>31</v>
      </c>
      <c r="W397" s="263" t="inlineStr">
        <is>
          <t>계단식</t>
        </is>
      </c>
      <c r="X397" s="263" t="n">
        <v>4</v>
      </c>
      <c r="Y397" s="263" t="n">
        <v>2</v>
      </c>
      <c r="Z397" s="263" t="n">
        <v>446</v>
      </c>
      <c r="AA397" s="263" t="n"/>
      <c r="AB397" s="263" t="n"/>
      <c r="AC397" s="263" t="n"/>
      <c r="AD397" s="263" t="n"/>
      <c r="AE397" s="263" t="n"/>
      <c r="AF397" s="263" t="n"/>
      <c r="AG397" s="263" t="n"/>
      <c r="AH397" s="263" t="n"/>
      <c r="AI397" s="263" t="n"/>
      <c r="AJ397" s="263" t="n"/>
      <c r="AK397" s="263" t="n"/>
    </row>
    <row r="398">
      <c r="A398" s="263" t="inlineStr">
        <is>
          <t>잠실동</t>
        </is>
      </c>
      <c r="B398" s="263" t="n"/>
      <c r="C398" s="263" t="n"/>
      <c r="D398" s="263" t="n">
        <v>635</v>
      </c>
      <c r="E398" s="267" t="inlineStr">
        <is>
          <t>아시아선수촌</t>
        </is>
      </c>
      <c r="F398" s="263" t="n">
        <v>178</v>
      </c>
      <c r="G398" s="263" t="n"/>
      <c r="H398" s="263" t="n"/>
      <c r="I398" s="263">
        <f>G398-H398</f>
        <v/>
      </c>
      <c r="J398" s="323">
        <f>H398/G398</f>
        <v/>
      </c>
      <c r="K398" s="263" t="n">
        <v>1986.06</v>
      </c>
      <c r="L398" s="263" t="n">
        <v>1356</v>
      </c>
      <c r="M398" s="263">
        <f>2026-INT(K398)+1</f>
        <v/>
      </c>
      <c r="N398" s="263" t="n">
        <v>252</v>
      </c>
      <c r="O398" s="263" t="n"/>
      <c r="P398" s="263" t="n">
        <v>213</v>
      </c>
      <c r="Q398" s="263" t="n">
        <v>64</v>
      </c>
      <c r="R398" s="263" t="inlineStr">
        <is>
          <t>계단식</t>
        </is>
      </c>
      <c r="S398" s="263" t="n">
        <v>5</v>
      </c>
      <c r="T398" s="263" t="n">
        <v>2</v>
      </c>
      <c r="U398" s="263" t="n">
        <v>47.3</v>
      </c>
      <c r="V398" s="263" t="n">
        <v>40</v>
      </c>
      <c r="W398" s="263" t="inlineStr">
        <is>
          <t>계단식</t>
        </is>
      </c>
      <c r="X398" s="263" t="n">
        <v>5</v>
      </c>
      <c r="Y398" s="263" t="n">
        <v>2</v>
      </c>
      <c r="Z398" s="263" t="n">
        <v>252</v>
      </c>
      <c r="AA398" s="263" t="n"/>
      <c r="AB398" s="263" t="n"/>
      <c r="AC398" s="263" t="n"/>
      <c r="AD398" s="263" t="n"/>
      <c r="AE398" s="263" t="n"/>
      <c r="AF398" s="263" t="n"/>
      <c r="AG398" s="263" t="n"/>
      <c r="AH398" s="263" t="n"/>
      <c r="AI398" s="263" t="n"/>
      <c r="AJ398" s="263" t="n"/>
      <c r="AK398" s="263" t="n"/>
    </row>
    <row r="399">
      <c r="A399" s="458" t="inlineStr">
        <is>
          <t>잠실동</t>
        </is>
      </c>
      <c r="D399" s="458" t="n">
        <v>12861</v>
      </c>
      <c r="E399" s="268" t="inlineStr">
        <is>
          <t>우성1,2,3차</t>
        </is>
      </c>
      <c r="F399" s="458" t="n">
        <v>80</v>
      </c>
      <c r="G399" s="458" t="n">
        <v>287000</v>
      </c>
      <c r="H399" s="458" t="n">
        <v>60000</v>
      </c>
      <c r="I399" s="263">
        <f>G399-H399</f>
        <v/>
      </c>
      <c r="J399" s="323">
        <f>H399/G399</f>
        <v/>
      </c>
      <c r="K399" s="458" t="n">
        <v>1981.12</v>
      </c>
      <c r="L399" s="458" t="n">
        <v>1842</v>
      </c>
      <c r="M399" s="458">
        <f>2026-INT(K399)+1</f>
        <v/>
      </c>
      <c r="N399" s="458" t="n">
        <v>176</v>
      </c>
      <c r="P399" s="458" t="n">
        <v>86</v>
      </c>
      <c r="Q399" s="458" t="n">
        <v>26</v>
      </c>
      <c r="R399" s="458" t="inlineStr">
        <is>
          <t>복도식</t>
        </is>
      </c>
      <c r="S399" s="458" t="n">
        <v>2</v>
      </c>
      <c r="T399" s="458" t="n">
        <v>1</v>
      </c>
      <c r="U399" s="458" t="n">
        <v>18.5</v>
      </c>
      <c r="V399" s="458" t="n">
        <v>18.2</v>
      </c>
      <c r="W399" s="458" t="inlineStr">
        <is>
          <t>복도식</t>
        </is>
      </c>
      <c r="X399" s="458" t="n">
        <v>2</v>
      </c>
      <c r="Y399" s="458" t="n">
        <v>1</v>
      </c>
      <c r="Z399" s="458" t="n">
        <v>176</v>
      </c>
    </row>
    <row r="400">
      <c r="A400" s="458" t="inlineStr">
        <is>
          <t>잠실동</t>
        </is>
      </c>
      <c r="D400" s="458" t="n">
        <v>12861</v>
      </c>
      <c r="E400" s="268" t="inlineStr">
        <is>
          <t>우성1,2,3차</t>
        </is>
      </c>
      <c r="F400" s="458" t="n">
        <v>80</v>
      </c>
      <c r="I400" s="263">
        <f>G400-H400</f>
        <v/>
      </c>
      <c r="J400" s="323">
        <f>H400/G400</f>
        <v/>
      </c>
      <c r="K400" s="458" t="n">
        <v>1981.12</v>
      </c>
      <c r="L400" s="458" t="n">
        <v>1842</v>
      </c>
      <c r="M400" s="458">
        <f>2026-INT(K400)+1</f>
        <v/>
      </c>
      <c r="N400" s="458" t="n">
        <v>88</v>
      </c>
      <c r="P400" s="458" t="n">
        <v>86</v>
      </c>
      <c r="Q400" s="458" t="n">
        <v>26</v>
      </c>
      <c r="R400" s="458" t="inlineStr">
        <is>
          <t>복도식</t>
        </is>
      </c>
      <c r="S400" s="458" t="n">
        <v>3</v>
      </c>
      <c r="T400" s="458" t="n">
        <v>1</v>
      </c>
      <c r="U400" s="458" t="n">
        <v>18.5</v>
      </c>
      <c r="V400" s="458" t="n">
        <v>18.2</v>
      </c>
      <c r="W400" s="458" t="inlineStr">
        <is>
          <t>복도식</t>
        </is>
      </c>
      <c r="X400" s="458" t="n">
        <v>3</v>
      </c>
      <c r="Y400" s="458" t="n">
        <v>1</v>
      </c>
      <c r="Z400" s="458" t="n">
        <v>88</v>
      </c>
    </row>
    <row r="401">
      <c r="A401" s="458" t="inlineStr">
        <is>
          <t>잠실동</t>
        </is>
      </c>
      <c r="D401" s="458" t="n">
        <v>12861</v>
      </c>
      <c r="E401" s="268" t="inlineStr">
        <is>
          <t>우성1,2,3차</t>
        </is>
      </c>
      <c r="F401" s="458" t="n">
        <v>82</v>
      </c>
      <c r="G401" s="458" t="n">
        <v>300000</v>
      </c>
      <c r="H401" s="458" t="n">
        <v>60000</v>
      </c>
      <c r="I401" s="263">
        <f>G401-H401</f>
        <v/>
      </c>
      <c r="J401" s="323">
        <f>H401/G401</f>
        <v/>
      </c>
      <c r="K401" s="458" t="n">
        <v>1981.12</v>
      </c>
      <c r="L401" s="458" t="n">
        <v>1842</v>
      </c>
      <c r="M401" s="458">
        <f>2026-INT(K401)+1</f>
        <v/>
      </c>
      <c r="N401" s="458" t="n">
        <v>65</v>
      </c>
      <c r="P401" s="458" t="n">
        <v>87</v>
      </c>
      <c r="Q401" s="458" t="n">
        <v>26</v>
      </c>
      <c r="R401" s="458" t="inlineStr">
        <is>
          <t>복도식</t>
        </is>
      </c>
      <c r="S401" s="458" t="n">
        <v>2</v>
      </c>
      <c r="T401" s="458" t="n">
        <v>1</v>
      </c>
      <c r="U401" s="458" t="n">
        <v>16.8</v>
      </c>
      <c r="W401" s="458" t="inlineStr">
        <is>
          <t>복도식</t>
        </is>
      </c>
      <c r="X401" s="458" t="n">
        <v>2</v>
      </c>
      <c r="Y401" s="458" t="n">
        <v>1</v>
      </c>
      <c r="Z401" s="458" t="n">
        <v>65</v>
      </c>
    </row>
    <row r="402">
      <c r="A402" s="458" t="inlineStr">
        <is>
          <t>잠실동</t>
        </is>
      </c>
      <c r="D402" s="458" t="n">
        <v>12861</v>
      </c>
      <c r="E402" s="268" t="inlineStr">
        <is>
          <t>우성1,2,3차</t>
        </is>
      </c>
      <c r="F402" s="458" t="n">
        <v>82</v>
      </c>
      <c r="I402" s="263">
        <f>G402-H402</f>
        <v/>
      </c>
      <c r="J402" s="323">
        <f>H402/G402</f>
        <v/>
      </c>
      <c r="K402" s="458" t="n">
        <v>1981.12</v>
      </c>
      <c r="L402" s="458" t="n">
        <v>1842</v>
      </c>
      <c r="M402" s="458">
        <f>2026-INT(K402)+1</f>
        <v/>
      </c>
      <c r="N402" s="458" t="n">
        <v>7</v>
      </c>
      <c r="P402" s="458" t="n">
        <v>88</v>
      </c>
      <c r="Q402" s="458" t="n">
        <v>27</v>
      </c>
      <c r="R402" s="458" t="inlineStr">
        <is>
          <t>계단식</t>
        </is>
      </c>
      <c r="S402" s="458" t="n">
        <v>3</v>
      </c>
      <c r="T402" s="458" t="n">
        <v>1</v>
      </c>
      <c r="U402" s="458" t="n">
        <v>16.8</v>
      </c>
      <c r="W402" s="458" t="inlineStr">
        <is>
          <t>계단식</t>
        </is>
      </c>
      <c r="X402" s="458" t="n">
        <v>3</v>
      </c>
      <c r="Y402" s="458" t="n">
        <v>1</v>
      </c>
      <c r="Z402" s="458" t="n">
        <v>7</v>
      </c>
    </row>
    <row r="403">
      <c r="A403" s="458" t="inlineStr">
        <is>
          <t>잠실동</t>
        </is>
      </c>
      <c r="D403" s="458" t="n">
        <v>12861</v>
      </c>
      <c r="E403" s="268" t="inlineStr">
        <is>
          <t>우성1,2,3차</t>
        </is>
      </c>
      <c r="F403" s="458" t="n">
        <v>84</v>
      </c>
      <c r="I403" s="263">
        <f>G403-H403</f>
        <v/>
      </c>
      <c r="J403" s="323">
        <f>H403/G403</f>
        <v/>
      </c>
      <c r="K403" s="458" t="n">
        <v>1981.12</v>
      </c>
      <c r="L403" s="458" t="n">
        <v>1842</v>
      </c>
      <c r="M403" s="458">
        <f>2026-INT(K403)+1</f>
        <v/>
      </c>
      <c r="N403" s="458" t="n">
        <v>11</v>
      </c>
      <c r="P403" s="458" t="n">
        <v>104</v>
      </c>
      <c r="Q403" s="458" t="n">
        <v>31</v>
      </c>
      <c r="R403" s="458" t="inlineStr">
        <is>
          <t>계단식</t>
        </is>
      </c>
      <c r="S403" s="458" t="n">
        <v>3</v>
      </c>
      <c r="T403" s="458" t="n">
        <v>1</v>
      </c>
      <c r="W403" s="458" t="inlineStr">
        <is>
          <t>계단식</t>
        </is>
      </c>
      <c r="X403" s="458" t="n">
        <v>3</v>
      </c>
      <c r="Y403" s="458" t="n">
        <v>1</v>
      </c>
      <c r="Z403" s="458" t="n">
        <v>11</v>
      </c>
    </row>
    <row r="404">
      <c r="A404" s="458" t="inlineStr">
        <is>
          <t>잠실동</t>
        </is>
      </c>
      <c r="D404" s="458" t="n">
        <v>12861</v>
      </c>
      <c r="E404" s="268" t="inlineStr">
        <is>
          <t>우성1,2,3차</t>
        </is>
      </c>
      <c r="F404" s="458" t="n">
        <v>96</v>
      </c>
      <c r="I404" s="263">
        <f>G404-H404</f>
        <v/>
      </c>
      <c r="J404" s="323">
        <f>H404/G404</f>
        <v/>
      </c>
      <c r="K404" s="458" t="n">
        <v>1981.12</v>
      </c>
      <c r="L404" s="458" t="n">
        <v>1842</v>
      </c>
      <c r="M404" s="458">
        <f>2026-INT(K404)+1</f>
        <v/>
      </c>
      <c r="N404" s="458" t="n">
        <v>799</v>
      </c>
      <c r="P404" s="458" t="n">
        <v>102</v>
      </c>
      <c r="Q404" s="458" t="n">
        <v>31</v>
      </c>
      <c r="R404" s="458" t="inlineStr">
        <is>
          <t>계단식</t>
        </is>
      </c>
      <c r="S404" s="458" t="n">
        <v>3</v>
      </c>
      <c r="T404" s="458" t="n">
        <v>1</v>
      </c>
      <c r="U404" s="458" t="n">
        <v>23</v>
      </c>
      <c r="V404" s="458" t="n">
        <v>17</v>
      </c>
      <c r="W404" s="458" t="inlineStr">
        <is>
          <t>계단식</t>
        </is>
      </c>
      <c r="X404" s="458" t="n">
        <v>3</v>
      </c>
      <c r="Y404" s="458" t="n">
        <v>1</v>
      </c>
      <c r="Z404" s="458" t="n">
        <v>799</v>
      </c>
    </row>
    <row r="405">
      <c r="A405" s="458" t="inlineStr">
        <is>
          <t>잠실동</t>
        </is>
      </c>
      <c r="D405" s="458" t="n">
        <v>12861</v>
      </c>
      <c r="E405" s="268" t="inlineStr">
        <is>
          <t>우성1,2,3차</t>
        </is>
      </c>
      <c r="F405" s="458" t="n">
        <v>131</v>
      </c>
      <c r="I405" s="263">
        <f>G405-H405</f>
        <v/>
      </c>
      <c r="J405" s="323">
        <f>H405/G405</f>
        <v/>
      </c>
      <c r="K405" s="458" t="n">
        <v>1981.12</v>
      </c>
      <c r="L405" s="458" t="n">
        <v>1842</v>
      </c>
      <c r="M405" s="458">
        <f>2026-INT(K405)+1</f>
        <v/>
      </c>
      <c r="N405" s="458" t="n">
        <v>432</v>
      </c>
      <c r="P405" s="458" t="n">
        <v>141</v>
      </c>
      <c r="Q405" s="458" t="n">
        <v>43</v>
      </c>
      <c r="R405" s="458" t="inlineStr">
        <is>
          <t>계단식</t>
        </is>
      </c>
      <c r="S405" s="458" t="n">
        <v>4</v>
      </c>
      <c r="T405" s="458" t="n">
        <v>2</v>
      </c>
      <c r="U405" s="458" t="n">
        <v>26.9</v>
      </c>
      <c r="V405" s="458" t="n">
        <v>22.3</v>
      </c>
      <c r="W405" s="458" t="inlineStr">
        <is>
          <t>계단식</t>
        </is>
      </c>
      <c r="X405" s="458" t="n">
        <v>4</v>
      </c>
      <c r="Y405" s="458" t="n">
        <v>2</v>
      </c>
      <c r="Z405" s="458" t="n">
        <v>432</v>
      </c>
    </row>
    <row r="406">
      <c r="A406" s="458" t="inlineStr">
        <is>
          <t>잠실동</t>
        </is>
      </c>
      <c r="D406" s="458" t="n">
        <v>12861</v>
      </c>
      <c r="E406" s="268" t="inlineStr">
        <is>
          <t>우성1,2,3차</t>
        </is>
      </c>
      <c r="F406" s="458" t="n">
        <v>136</v>
      </c>
      <c r="I406" s="263">
        <f>G406-H406</f>
        <v/>
      </c>
      <c r="J406" s="323">
        <f>H406/G406</f>
        <v/>
      </c>
      <c r="K406" s="458" t="n">
        <v>1981.12</v>
      </c>
      <c r="L406" s="458" t="n">
        <v>1842</v>
      </c>
      <c r="M406" s="458">
        <f>2026-INT(K406)+1</f>
        <v/>
      </c>
      <c r="N406" s="458" t="n">
        <v>120</v>
      </c>
      <c r="P406" s="458" t="n">
        <v>144</v>
      </c>
      <c r="Q406" s="458" t="n">
        <v>44</v>
      </c>
      <c r="R406" s="458" t="inlineStr">
        <is>
          <t>계단식</t>
        </is>
      </c>
      <c r="S406" s="458" t="n">
        <v>4</v>
      </c>
      <c r="T406" s="458" t="n">
        <v>2</v>
      </c>
      <c r="U406" s="458" t="n">
        <v>27</v>
      </c>
      <c r="W406" s="458" t="inlineStr">
        <is>
          <t>계단식</t>
        </is>
      </c>
      <c r="X406" s="458" t="n">
        <v>4</v>
      </c>
      <c r="Y406" s="458" t="n">
        <v>2</v>
      </c>
      <c r="Z406" s="458" t="n">
        <v>120</v>
      </c>
    </row>
    <row r="407">
      <c r="A407" s="458" t="inlineStr">
        <is>
          <t>잠실동</t>
        </is>
      </c>
      <c r="D407" s="458" t="n">
        <v>12861</v>
      </c>
      <c r="E407" s="268" t="inlineStr">
        <is>
          <t>우성1,2,3차</t>
        </is>
      </c>
      <c r="F407" s="458" t="n">
        <v>160</v>
      </c>
      <c r="I407" s="263">
        <f>G407-H407</f>
        <v/>
      </c>
      <c r="J407" s="323">
        <f>H407/G407</f>
        <v/>
      </c>
      <c r="K407" s="458" t="n">
        <v>1981.12</v>
      </c>
      <c r="L407" s="458" t="n">
        <v>1842</v>
      </c>
      <c r="M407" s="458">
        <f>2026-INT(K407)+1</f>
        <v/>
      </c>
      <c r="N407" s="458" t="n">
        <v>144</v>
      </c>
      <c r="P407" s="458" t="n">
        <v>173</v>
      </c>
      <c r="Q407" s="458" t="n">
        <v>52</v>
      </c>
      <c r="R407" s="458" t="inlineStr">
        <is>
          <t>계단식</t>
        </is>
      </c>
      <c r="S407" s="458" t="n">
        <v>5</v>
      </c>
      <c r="T407" s="458" t="n">
        <v>2</v>
      </c>
      <c r="W407" s="458" t="inlineStr">
        <is>
          <t>계단식</t>
        </is>
      </c>
      <c r="X407" s="458" t="n">
        <v>5</v>
      </c>
      <c r="Y407" s="458" t="n">
        <v>2</v>
      </c>
      <c r="Z407" s="458" t="n">
        <v>144</v>
      </c>
    </row>
    <row r="408">
      <c r="A408" s="263" t="inlineStr">
        <is>
          <t>잠실동</t>
        </is>
      </c>
      <c r="B408" s="263" t="n"/>
      <c r="C408" s="263" t="n"/>
      <c r="D408" s="263" t="n">
        <v>637</v>
      </c>
      <c r="E408" s="269" t="inlineStr">
        <is>
          <t>우성4차</t>
        </is>
      </c>
      <c r="F408" s="263" t="n">
        <v>81</v>
      </c>
      <c r="G408" s="263" t="n">
        <v>249000</v>
      </c>
      <c r="H408" s="263" t="n">
        <v>40001</v>
      </c>
      <c r="I408" s="263">
        <f>G408-H408</f>
        <v/>
      </c>
      <c r="J408" s="323">
        <f>H408/G408</f>
        <v/>
      </c>
      <c r="K408" s="263" t="n">
        <v>1983.08</v>
      </c>
      <c r="L408" s="263" t="n">
        <v>555</v>
      </c>
      <c r="M408" s="263">
        <f>2026-INT(K408)+1</f>
        <v/>
      </c>
      <c r="N408" s="263" t="n">
        <v>105</v>
      </c>
      <c r="O408" s="263" t="n"/>
      <c r="P408" s="263" t="n">
        <v>89</v>
      </c>
      <c r="Q408" s="263" t="n">
        <v>27</v>
      </c>
      <c r="R408" s="263" t="inlineStr">
        <is>
          <t>복도식</t>
        </is>
      </c>
      <c r="S408" s="263" t="n">
        <v>2</v>
      </c>
      <c r="T408" s="263" t="n">
        <v>1</v>
      </c>
      <c r="U408" s="263" t="n">
        <v>16.9</v>
      </c>
      <c r="V408" s="263" t="n">
        <v>12.9</v>
      </c>
      <c r="W408" s="263" t="inlineStr">
        <is>
          <t>복도식</t>
        </is>
      </c>
      <c r="X408" s="263" t="n">
        <v>2</v>
      </c>
      <c r="Y408" s="263" t="n">
        <v>1</v>
      </c>
      <c r="Z408" s="263" t="n">
        <v>105</v>
      </c>
      <c r="AA408" s="263" t="n"/>
      <c r="AB408" s="263" t="n"/>
      <c r="AC408" s="263" t="n"/>
      <c r="AD408" s="263" t="n"/>
      <c r="AE408" s="263" t="n"/>
      <c r="AF408" s="263" t="n"/>
      <c r="AG408" s="263" t="n"/>
      <c r="AH408" s="263" t="n"/>
      <c r="AI408" s="263" t="n"/>
      <c r="AJ408" s="263" t="n"/>
      <c r="AK408" s="263" t="n"/>
    </row>
    <row r="409" ht="17" customHeight="1" s="476">
      <c r="A409" s="263" t="inlineStr">
        <is>
          <t>잠실동</t>
        </is>
      </c>
      <c r="B409" s="263" t="n"/>
      <c r="C409" s="263" t="n"/>
      <c r="D409" s="263" t="n">
        <v>637</v>
      </c>
      <c r="E409" s="267" t="inlineStr">
        <is>
          <t>우성4차</t>
        </is>
      </c>
      <c r="F409" s="263" t="n">
        <v>84</v>
      </c>
      <c r="G409" s="263" t="n">
        <v>269000</v>
      </c>
      <c r="H409" s="272" t="inlineStr">
        <is>
          <t>-</t>
        </is>
      </c>
      <c r="I409" s="263">
        <f>G409-H409</f>
        <v/>
      </c>
      <c r="J409" s="323">
        <f>H409/G409</f>
        <v/>
      </c>
      <c r="K409" s="263" t="n">
        <v>1983.08</v>
      </c>
      <c r="L409" s="263" t="n">
        <v>555</v>
      </c>
      <c r="M409" s="263">
        <f>2026-INT(K409)+1</f>
        <v/>
      </c>
      <c r="N409" s="263" t="n">
        <v>1</v>
      </c>
      <c r="O409" s="263" t="n"/>
      <c r="P409" s="263" t="n">
        <v>94</v>
      </c>
      <c r="Q409" s="263" t="n">
        <v>28</v>
      </c>
      <c r="R409" s="263" t="inlineStr">
        <is>
          <t>계단식</t>
        </is>
      </c>
      <c r="S409" s="263" t="n">
        <v>3</v>
      </c>
      <c r="T409" s="263" t="n">
        <v>2</v>
      </c>
      <c r="U409" s="263" t="n"/>
      <c r="V409" s="263" t="n"/>
      <c r="W409" s="263" t="inlineStr">
        <is>
          <t>계단식</t>
        </is>
      </c>
      <c r="X409" s="263" t="n">
        <v>3</v>
      </c>
      <c r="Y409" s="263" t="n">
        <v>2</v>
      </c>
      <c r="Z409" s="263" t="n">
        <v>1</v>
      </c>
      <c r="AA409" s="263" t="n"/>
      <c r="AB409" s="263" t="n"/>
      <c r="AC409" s="263" t="n"/>
      <c r="AD409" s="263" t="n"/>
      <c r="AE409" s="263" t="n"/>
      <c r="AF409" s="263" t="n"/>
      <c r="AG409" s="263" t="n"/>
      <c r="AH409" s="263" t="n"/>
      <c r="AI409" s="263" t="n"/>
      <c r="AJ409" s="263" t="n"/>
      <c r="AK409" s="263" t="n"/>
    </row>
    <row r="410">
      <c r="A410" s="263" t="inlineStr">
        <is>
          <t>잠실동</t>
        </is>
      </c>
      <c r="B410" s="263" t="n"/>
      <c r="C410" s="263" t="n"/>
      <c r="D410" s="263" t="n">
        <v>637</v>
      </c>
      <c r="E410" s="267" t="inlineStr">
        <is>
          <t>우성4차</t>
        </is>
      </c>
      <c r="F410" s="263" t="n">
        <v>95</v>
      </c>
      <c r="G410" s="263" t="n"/>
      <c r="H410" s="263" t="n"/>
      <c r="I410" s="263">
        <f>G410-H410</f>
        <v/>
      </c>
      <c r="J410" s="323">
        <f>H410/G410</f>
        <v/>
      </c>
      <c r="K410" s="263" t="n">
        <v>1983.08</v>
      </c>
      <c r="L410" s="263" t="n">
        <v>555</v>
      </c>
      <c r="M410" s="263">
        <f>2026-INT(K410)+1</f>
        <v/>
      </c>
      <c r="N410" s="263" t="n">
        <v>299</v>
      </c>
      <c r="O410" s="263" t="n"/>
      <c r="P410" s="263" t="n">
        <v>105</v>
      </c>
      <c r="Q410" s="263" t="n">
        <v>32</v>
      </c>
      <c r="R410" s="263" t="inlineStr">
        <is>
          <t>계단식</t>
        </is>
      </c>
      <c r="S410" s="263" t="n">
        <v>3</v>
      </c>
      <c r="T410" s="263" t="n">
        <v>1</v>
      </c>
      <c r="U410" s="263" t="n">
        <v>17.9</v>
      </c>
      <c r="V410" s="263" t="n">
        <v>13.1</v>
      </c>
      <c r="W410" s="263" t="inlineStr">
        <is>
          <t>계단식</t>
        </is>
      </c>
      <c r="X410" s="263" t="n">
        <v>3</v>
      </c>
      <c r="Y410" s="263" t="n">
        <v>1</v>
      </c>
      <c r="Z410" s="263" t="n">
        <v>299</v>
      </c>
      <c r="AA410" s="263" t="n"/>
      <c r="AB410" s="263" t="n"/>
      <c r="AC410" s="263" t="n"/>
      <c r="AD410" s="263" t="n"/>
      <c r="AE410" s="263" t="n"/>
      <c r="AF410" s="263" t="n"/>
      <c r="AG410" s="263" t="n"/>
      <c r="AH410" s="263" t="n"/>
      <c r="AI410" s="263" t="n"/>
      <c r="AJ410" s="263" t="n"/>
      <c r="AK410" s="263" t="n"/>
    </row>
    <row r="411">
      <c r="A411" s="263" t="inlineStr">
        <is>
          <t>잠실동</t>
        </is>
      </c>
      <c r="B411" s="263" t="n"/>
      <c r="C411" s="263" t="n"/>
      <c r="D411" s="263" t="n">
        <v>637</v>
      </c>
      <c r="E411" s="267" t="inlineStr">
        <is>
          <t>우성4차</t>
        </is>
      </c>
      <c r="F411" s="263" t="n">
        <v>115</v>
      </c>
      <c r="G411" s="263" t="n"/>
      <c r="H411" s="263" t="n"/>
      <c r="I411" s="263">
        <f>G411-H411</f>
        <v/>
      </c>
      <c r="J411" s="323">
        <f>H411/G411</f>
        <v/>
      </c>
      <c r="K411" s="263" t="n">
        <v>1983.08</v>
      </c>
      <c r="L411" s="263" t="n">
        <v>555</v>
      </c>
      <c r="M411" s="263">
        <f>2026-INT(K411)+1</f>
        <v/>
      </c>
      <c r="N411" s="263" t="n">
        <v>150</v>
      </c>
      <c r="O411" s="263" t="n"/>
      <c r="P411" s="263" t="n">
        <v>127</v>
      </c>
      <c r="Q411" s="263" t="n">
        <v>38</v>
      </c>
      <c r="R411" s="263" t="inlineStr">
        <is>
          <t>계단식</t>
        </is>
      </c>
      <c r="S411" s="263" t="n">
        <v>4</v>
      </c>
      <c r="T411" s="263" t="n">
        <v>1</v>
      </c>
      <c r="U411" s="263" t="n">
        <v>19.8</v>
      </c>
      <c r="V411" s="263" t="n">
        <v>14.5</v>
      </c>
      <c r="W411" s="263" t="inlineStr">
        <is>
          <t>계단식</t>
        </is>
      </c>
      <c r="X411" s="263" t="n">
        <v>4</v>
      </c>
      <c r="Y411" s="263" t="n">
        <v>1</v>
      </c>
      <c r="Z411" s="263" t="n">
        <v>150</v>
      </c>
      <c r="AA411" s="263" t="n"/>
      <c r="AB411" s="263" t="n"/>
      <c r="AC411" s="263" t="n"/>
      <c r="AD411" s="263" t="n"/>
      <c r="AE411" s="263" t="n"/>
      <c r="AF411" s="263" t="n"/>
      <c r="AG411" s="263" t="n"/>
      <c r="AH411" s="263" t="n"/>
      <c r="AI411" s="263" t="n"/>
      <c r="AJ411" s="263" t="n"/>
      <c r="AK411" s="263" t="n"/>
    </row>
    <row r="412">
      <c r="A412" s="458" t="inlineStr">
        <is>
          <t>잠실동</t>
        </is>
      </c>
      <c r="D412" s="458" t="n">
        <v>22627</v>
      </c>
      <c r="E412" s="146" t="inlineStr">
        <is>
          <t>잠실엘스</t>
        </is>
      </c>
      <c r="F412" s="458" t="n">
        <v>59</v>
      </c>
      <c r="G412" s="458" t="n">
        <v>280000</v>
      </c>
      <c r="H412" s="458" t="n">
        <v>105000</v>
      </c>
      <c r="I412" s="263">
        <f>G412-H412</f>
        <v/>
      </c>
      <c r="J412" s="323">
        <f>H412/G412</f>
        <v/>
      </c>
      <c r="K412" s="458" t="n">
        <v>2008.09</v>
      </c>
      <c r="L412" s="458" t="n">
        <v>5678</v>
      </c>
      <c r="M412" s="458">
        <f>2026-INT(K412)+1</f>
        <v/>
      </c>
      <c r="N412" s="458" t="n">
        <v>1150</v>
      </c>
      <c r="P412" s="458" t="n">
        <v>84</v>
      </c>
      <c r="Q412" s="458" t="n">
        <v>25</v>
      </c>
      <c r="R412" s="458" t="inlineStr">
        <is>
          <t>계단식</t>
        </is>
      </c>
      <c r="S412" s="458" t="n">
        <v>3</v>
      </c>
      <c r="T412" s="458" t="n">
        <v>2</v>
      </c>
      <c r="U412" s="458" t="n">
        <v>21.9</v>
      </c>
      <c r="V412" s="458" t="n">
        <v>14.9</v>
      </c>
      <c r="W412" s="458" t="inlineStr">
        <is>
          <t>계단식</t>
        </is>
      </c>
      <c r="X412" s="458" t="n">
        <v>3</v>
      </c>
      <c r="Y412" s="458" t="n">
        <v>2</v>
      </c>
      <c r="Z412" s="458" t="n">
        <v>1150</v>
      </c>
    </row>
    <row r="413">
      <c r="A413" s="458" t="inlineStr">
        <is>
          <t>잠실동</t>
        </is>
      </c>
      <c r="D413" s="458" t="n">
        <v>22627</v>
      </c>
      <c r="E413" s="268" t="inlineStr">
        <is>
          <t>잠실엘스</t>
        </is>
      </c>
      <c r="F413" s="458" t="n">
        <v>84</v>
      </c>
      <c r="G413" s="263" t="n">
        <v>330000</v>
      </c>
      <c r="H413" s="458" t="n">
        <v>145000</v>
      </c>
      <c r="I413" s="263">
        <f>G413-H413</f>
        <v/>
      </c>
      <c r="J413" s="323">
        <f>H413/G413</f>
        <v/>
      </c>
      <c r="K413" s="458" t="n">
        <v>2008.09</v>
      </c>
      <c r="L413" s="458" t="n">
        <v>5678</v>
      </c>
      <c r="M413" s="458">
        <f>2026-INT(K413)+1</f>
        <v/>
      </c>
      <c r="N413" s="458" t="n">
        <v>4042</v>
      </c>
      <c r="P413" s="458" t="n">
        <v>109</v>
      </c>
      <c r="Q413" s="458" t="n">
        <v>33</v>
      </c>
      <c r="R413" s="458" t="inlineStr">
        <is>
          <t>계단식</t>
        </is>
      </c>
      <c r="S413" s="458" t="n">
        <v>3</v>
      </c>
      <c r="T413" s="458" t="n">
        <v>2</v>
      </c>
      <c r="U413" s="458" t="n">
        <v>27</v>
      </c>
      <c r="V413" s="458" t="n">
        <v>17</v>
      </c>
      <c r="W413" s="458" t="inlineStr">
        <is>
          <t>계단식</t>
        </is>
      </c>
      <c r="X413" s="458" t="n">
        <v>3</v>
      </c>
      <c r="Y413" s="458" t="n">
        <v>2</v>
      </c>
      <c r="Z413" s="458" t="n">
        <v>4042</v>
      </c>
    </row>
    <row r="414">
      <c r="A414" s="458" t="inlineStr">
        <is>
          <t>잠실동</t>
        </is>
      </c>
      <c r="D414" s="458" t="n">
        <v>22627</v>
      </c>
      <c r="E414" s="268" t="inlineStr">
        <is>
          <t>잠실엘스</t>
        </is>
      </c>
      <c r="F414" s="458" t="n">
        <v>119</v>
      </c>
      <c r="I414" s="263">
        <f>G414-H414</f>
        <v/>
      </c>
      <c r="J414" s="323">
        <f>H414/G414</f>
        <v/>
      </c>
      <c r="K414" s="458" t="n">
        <v>2008.09</v>
      </c>
      <c r="L414" s="458" t="n">
        <v>5678</v>
      </c>
      <c r="M414" s="458">
        <f>2026-INT(K414)+1</f>
        <v/>
      </c>
      <c r="N414" s="458" t="n">
        <v>486</v>
      </c>
      <c r="P414" s="458" t="n">
        <v>149</v>
      </c>
      <c r="Q414" s="458" t="n">
        <v>45</v>
      </c>
      <c r="R414" s="458" t="inlineStr">
        <is>
          <t>계단식</t>
        </is>
      </c>
      <c r="S414" s="458" t="n">
        <v>4</v>
      </c>
      <c r="T414" s="458" t="n">
        <v>2</v>
      </c>
      <c r="U414" s="458" t="n">
        <v>34</v>
      </c>
      <c r="V414" s="458" t="n">
        <v>31.2</v>
      </c>
      <c r="W414" s="458" t="inlineStr">
        <is>
          <t>계단식</t>
        </is>
      </c>
      <c r="X414" s="458" t="n">
        <v>4</v>
      </c>
      <c r="Y414" s="458" t="n">
        <v>2</v>
      </c>
      <c r="Z414" s="458" t="n">
        <v>486</v>
      </c>
    </row>
    <row r="415">
      <c r="A415" s="263" t="inlineStr">
        <is>
          <t>잠실동</t>
        </is>
      </c>
      <c r="B415" s="263" t="n"/>
      <c r="C415" s="263" t="n"/>
      <c r="D415" s="263" t="n">
        <v>639</v>
      </c>
      <c r="E415" s="267" t="inlineStr">
        <is>
          <t>잠실주공5단지</t>
        </is>
      </c>
      <c r="F415" s="263" t="n">
        <v>76</v>
      </c>
      <c r="G415" s="263" t="n">
        <v>391000</v>
      </c>
      <c r="H415" s="263" t="n">
        <v>70000</v>
      </c>
      <c r="I415" s="263">
        <f>G415-H415</f>
        <v/>
      </c>
      <c r="J415" s="323">
        <f>H415/G415</f>
        <v/>
      </c>
      <c r="K415" s="263" t="n">
        <v>1978.04</v>
      </c>
      <c r="L415" s="263" t="n">
        <v>3930</v>
      </c>
      <c r="M415" s="263">
        <f>2026-INT(K415)+1</f>
        <v/>
      </c>
      <c r="N415" s="263" t="n">
        <v>2280</v>
      </c>
      <c r="O415" s="263" t="n"/>
      <c r="P415" s="263" t="n">
        <v>112</v>
      </c>
      <c r="Q415" s="263" t="n">
        <v>34</v>
      </c>
      <c r="R415" s="263" t="inlineStr">
        <is>
          <t>복도식</t>
        </is>
      </c>
      <c r="S415" s="263" t="n">
        <v>3</v>
      </c>
      <c r="T415" s="263" t="n">
        <v>1</v>
      </c>
      <c r="U415" s="263" t="n">
        <v>28.7</v>
      </c>
      <c r="V415" s="263" t="n">
        <v>18.76</v>
      </c>
      <c r="W415" s="263" t="inlineStr">
        <is>
          <t>복도식</t>
        </is>
      </c>
      <c r="X415" s="263" t="n">
        <v>3</v>
      </c>
      <c r="Y415" s="263" t="n">
        <v>1</v>
      </c>
      <c r="Z415" s="263" t="n">
        <v>2280</v>
      </c>
      <c r="AA415" s="263" t="n"/>
      <c r="AB415" s="263" t="n"/>
      <c r="AC415" s="263" t="n"/>
      <c r="AD415" s="263" t="n"/>
      <c r="AE415" s="263" t="n"/>
      <c r="AF415" s="263" t="n"/>
      <c r="AG415" s="263" t="n"/>
      <c r="AH415" s="263" t="n"/>
      <c r="AI415" s="263" t="n"/>
      <c r="AJ415" s="263" t="n"/>
      <c r="AK415" s="263" t="n"/>
    </row>
    <row r="416">
      <c r="A416" s="263" t="inlineStr">
        <is>
          <t>잠실동</t>
        </is>
      </c>
      <c r="B416" s="263" t="n"/>
      <c r="C416" s="263" t="n"/>
      <c r="D416" s="263" t="n">
        <v>639</v>
      </c>
      <c r="E416" s="267" t="inlineStr">
        <is>
          <t>잠실주공5단지</t>
        </is>
      </c>
      <c r="F416" s="263" t="n">
        <v>81</v>
      </c>
      <c r="G416" s="263" t="n">
        <v>410000</v>
      </c>
      <c r="H416" s="263" t="n">
        <v>60000</v>
      </c>
      <c r="I416" s="263">
        <f>G416-H416</f>
        <v/>
      </c>
      <c r="J416" s="323">
        <f>H416/G416</f>
        <v/>
      </c>
      <c r="K416" s="263" t="n">
        <v>1978.04</v>
      </c>
      <c r="L416" s="263" t="n">
        <v>3930</v>
      </c>
      <c r="M416" s="263">
        <f>2026-INT(K416)+1</f>
        <v/>
      </c>
      <c r="N416" s="263" t="n">
        <v>300</v>
      </c>
      <c r="O416" s="263" t="n"/>
      <c r="P416" s="263" t="n">
        <v>115</v>
      </c>
      <c r="Q416" s="263" t="n">
        <v>35</v>
      </c>
      <c r="R416" s="263" t="inlineStr">
        <is>
          <t>계단식</t>
        </is>
      </c>
      <c r="S416" s="263" t="n">
        <v>3</v>
      </c>
      <c r="T416" s="263" t="n">
        <v>1</v>
      </c>
      <c r="U416" s="263" t="n">
        <v>29.5</v>
      </c>
      <c r="V416" s="263" t="n">
        <v>22.76</v>
      </c>
      <c r="W416" s="263" t="inlineStr">
        <is>
          <t>계단식</t>
        </is>
      </c>
      <c r="X416" s="263" t="n">
        <v>3</v>
      </c>
      <c r="Y416" s="263" t="n">
        <v>1</v>
      </c>
      <c r="Z416" s="263" t="n">
        <v>300</v>
      </c>
      <c r="AA416" s="263" t="n"/>
      <c r="AB416" s="263" t="n"/>
      <c r="AC416" s="263" t="n"/>
      <c r="AD416" s="263" t="n"/>
      <c r="AE416" s="263" t="n"/>
      <c r="AF416" s="263" t="n"/>
      <c r="AG416" s="263" t="n"/>
      <c r="AH416" s="263" t="n"/>
      <c r="AI416" s="263" t="n"/>
      <c r="AJ416" s="263" t="n"/>
      <c r="AK416" s="263" t="n"/>
    </row>
    <row r="417">
      <c r="A417" s="263" t="inlineStr">
        <is>
          <t>잠실동</t>
        </is>
      </c>
      <c r="B417" s="263" t="n"/>
      <c r="C417" s="263" t="n"/>
      <c r="D417" s="263" t="n">
        <v>639</v>
      </c>
      <c r="E417" s="267" t="inlineStr">
        <is>
          <t>잠실주공5단지</t>
        </is>
      </c>
      <c r="F417" s="263" t="n">
        <v>82</v>
      </c>
      <c r="G417" s="263" t="n"/>
      <c r="H417" s="263" t="n"/>
      <c r="I417" s="263">
        <f>G417-H417</f>
        <v/>
      </c>
      <c r="J417" s="323">
        <f>H417/G417</f>
        <v/>
      </c>
      <c r="K417" s="263" t="n">
        <v>1978.04</v>
      </c>
      <c r="L417" s="263" t="n">
        <v>3930</v>
      </c>
      <c r="M417" s="263">
        <f>2026-INT(K417)+1</f>
        <v/>
      </c>
      <c r="N417" s="263" t="n">
        <v>1350</v>
      </c>
      <c r="O417" s="263" t="n"/>
      <c r="P417" s="263" t="n">
        <v>119</v>
      </c>
      <c r="Q417" s="263" t="n">
        <v>36</v>
      </c>
      <c r="R417" s="263" t="inlineStr">
        <is>
          <t>복도식</t>
        </is>
      </c>
      <c r="S417" s="263" t="n">
        <v>4</v>
      </c>
      <c r="T417" s="263" t="n">
        <v>1</v>
      </c>
      <c r="U417" s="263" t="n">
        <v>32.79</v>
      </c>
      <c r="V417" s="263" t="n">
        <v>21.75</v>
      </c>
      <c r="W417" s="263" t="inlineStr">
        <is>
          <t>복도식</t>
        </is>
      </c>
      <c r="X417" s="263" t="n">
        <v>4</v>
      </c>
      <c r="Y417" s="263" t="n">
        <v>1</v>
      </c>
      <c r="Z417" s="263" t="n">
        <v>1350</v>
      </c>
      <c r="AA417" s="263" t="n"/>
      <c r="AB417" s="263" t="n"/>
      <c r="AC417" s="263" t="n"/>
      <c r="AD417" s="263" t="n"/>
      <c r="AE417" s="263" t="n"/>
      <c r="AF417" s="263" t="n"/>
      <c r="AG417" s="263" t="n"/>
      <c r="AH417" s="263" t="n"/>
      <c r="AI417" s="263" t="n"/>
      <c r="AJ417" s="263" t="n"/>
      <c r="AK417" s="263" t="n"/>
    </row>
    <row r="418">
      <c r="A418" s="458" t="inlineStr">
        <is>
          <t>잠실동</t>
        </is>
      </c>
      <c r="D418" s="458" t="n">
        <v>19127</v>
      </c>
      <c r="E418" s="146" t="inlineStr">
        <is>
          <t>트리지움</t>
        </is>
      </c>
      <c r="F418" s="458" t="n">
        <v>59</v>
      </c>
      <c r="G418" s="263" t="n">
        <v>2700000</v>
      </c>
      <c r="H418" s="263" t="n">
        <v>115000</v>
      </c>
      <c r="I418" s="263">
        <f>G418-H418</f>
        <v/>
      </c>
      <c r="J418" s="323">
        <f>H418/G418</f>
        <v/>
      </c>
      <c r="K418" s="458" t="n">
        <v>2007.08</v>
      </c>
      <c r="L418" s="458" t="n">
        <v>3696</v>
      </c>
      <c r="M418" s="458">
        <f>2026-INT(K418)+1</f>
        <v/>
      </c>
      <c r="N418" s="458" t="n">
        <v>740</v>
      </c>
      <c r="P418" s="458" t="n">
        <v>84</v>
      </c>
      <c r="Q418" s="458" t="n">
        <v>25</v>
      </c>
      <c r="R418" s="458" t="inlineStr">
        <is>
          <t>계단식</t>
        </is>
      </c>
      <c r="S418" s="458" t="n">
        <v>3</v>
      </c>
      <c r="T418" s="458" t="n">
        <v>2</v>
      </c>
      <c r="U418" s="458" t="n">
        <v>19.45</v>
      </c>
      <c r="V418" s="458" t="n">
        <v>12.1</v>
      </c>
      <c r="W418" s="458" t="inlineStr">
        <is>
          <t>계단식</t>
        </is>
      </c>
      <c r="X418" s="458" t="n">
        <v>3</v>
      </c>
      <c r="Y418" s="458" t="n">
        <v>2</v>
      </c>
      <c r="Z418" s="458" t="n">
        <v>740</v>
      </c>
    </row>
    <row r="419">
      <c r="A419" s="458" t="inlineStr">
        <is>
          <t>잠실동</t>
        </is>
      </c>
      <c r="D419" s="458" t="n">
        <v>19127</v>
      </c>
      <c r="E419" s="268" t="inlineStr">
        <is>
          <t>트리지움</t>
        </is>
      </c>
      <c r="F419" s="458" t="n">
        <v>84</v>
      </c>
      <c r="G419" s="263" t="n">
        <v>299000</v>
      </c>
      <c r="H419" s="263" t="n">
        <v>130000</v>
      </c>
      <c r="I419" s="263">
        <f>G419-H419</f>
        <v/>
      </c>
      <c r="J419" s="323">
        <f>H419/G419</f>
        <v/>
      </c>
      <c r="K419" s="458" t="n">
        <v>2007.08</v>
      </c>
      <c r="L419" s="458" t="n">
        <v>3696</v>
      </c>
      <c r="M419" s="458">
        <f>2026-INT(K419)+1</f>
        <v/>
      </c>
      <c r="N419" s="458" t="n">
        <v>2402</v>
      </c>
      <c r="P419" s="458" t="n">
        <v>110</v>
      </c>
      <c r="Q419" s="458" t="n">
        <v>33</v>
      </c>
      <c r="R419" s="458" t="inlineStr">
        <is>
          <t>계단식</t>
        </is>
      </c>
      <c r="S419" s="458" t="n">
        <v>3</v>
      </c>
      <c r="T419" s="458" t="n">
        <v>2</v>
      </c>
      <c r="U419" s="458" t="n">
        <v>24.5</v>
      </c>
      <c r="V419" s="458" t="n">
        <v>17.4</v>
      </c>
      <c r="W419" s="458" t="inlineStr">
        <is>
          <t>계단식</t>
        </is>
      </c>
      <c r="X419" s="458" t="n">
        <v>3</v>
      </c>
      <c r="Y419" s="458" t="n">
        <v>2</v>
      </c>
      <c r="Z419" s="458" t="n">
        <v>2402</v>
      </c>
    </row>
    <row r="420">
      <c r="A420" s="458" t="inlineStr">
        <is>
          <t>잠실동</t>
        </is>
      </c>
      <c r="D420" s="458" t="n">
        <v>19127</v>
      </c>
      <c r="E420" s="268" t="inlineStr">
        <is>
          <t>트리지움</t>
        </is>
      </c>
      <c r="F420" s="458" t="n">
        <v>114</v>
      </c>
      <c r="I420" s="263">
        <f>G420-H420</f>
        <v/>
      </c>
      <c r="J420" s="323">
        <f>H420/G420</f>
        <v/>
      </c>
      <c r="K420" s="458" t="n">
        <v>2007.08</v>
      </c>
      <c r="L420" s="458" t="n">
        <v>3696</v>
      </c>
      <c r="M420" s="458">
        <f>2026-INT(K420)+1</f>
        <v/>
      </c>
      <c r="N420" s="458" t="n">
        <v>330</v>
      </c>
      <c r="P420" s="458" t="n">
        <v>143</v>
      </c>
      <c r="Q420" s="458" t="n">
        <v>43</v>
      </c>
      <c r="R420" s="458" t="inlineStr">
        <is>
          <t>계단식</t>
        </is>
      </c>
      <c r="S420" s="458" t="n">
        <v>4</v>
      </c>
      <c r="T420" s="458" t="n">
        <v>2</v>
      </c>
      <c r="U420" s="458" t="n">
        <v>27.4</v>
      </c>
      <c r="V420" s="458" t="n">
        <v>22.5</v>
      </c>
      <c r="W420" s="458" t="inlineStr">
        <is>
          <t>계단식</t>
        </is>
      </c>
      <c r="X420" s="458" t="n">
        <v>4</v>
      </c>
      <c r="Y420" s="458" t="n">
        <v>2</v>
      </c>
      <c r="Z420" s="458" t="n">
        <v>330</v>
      </c>
    </row>
    <row r="421">
      <c r="A421" s="458" t="inlineStr">
        <is>
          <t>잠실동</t>
        </is>
      </c>
      <c r="D421" s="458" t="n">
        <v>19127</v>
      </c>
      <c r="E421" s="268" t="inlineStr">
        <is>
          <t>트리지움</t>
        </is>
      </c>
      <c r="F421" s="458" t="n">
        <v>149</v>
      </c>
      <c r="I421" s="263">
        <f>G421-H421</f>
        <v/>
      </c>
      <c r="J421" s="323">
        <f>H421/G421</f>
        <v/>
      </c>
      <c r="K421" s="458" t="n">
        <v>2007.08</v>
      </c>
      <c r="L421" s="458" t="n">
        <v>3696</v>
      </c>
      <c r="M421" s="458">
        <f>2026-INT(K421)+1</f>
        <v/>
      </c>
      <c r="N421" s="458" t="n">
        <v>224</v>
      </c>
      <c r="P421" s="458" t="n">
        <v>180</v>
      </c>
      <c r="Q421" s="458" t="n">
        <v>54</v>
      </c>
      <c r="R421" s="458" t="inlineStr">
        <is>
          <t>계단식</t>
        </is>
      </c>
      <c r="S421" s="458" t="n">
        <v>4</v>
      </c>
      <c r="T421" s="458" t="n">
        <v>2</v>
      </c>
      <c r="U421" s="458" t="n">
        <v>28.5</v>
      </c>
      <c r="V421" s="458" t="n">
        <v>27.3</v>
      </c>
      <c r="W421" s="458" t="inlineStr">
        <is>
          <t>계단식</t>
        </is>
      </c>
      <c r="X421" s="458" t="n">
        <v>4</v>
      </c>
      <c r="Y421" s="458" t="n">
        <v>2</v>
      </c>
      <c r="Z421" s="458" t="n">
        <v>224</v>
      </c>
    </row>
    <row r="422">
      <c r="A422" s="263" t="inlineStr">
        <is>
          <t>잠실동</t>
        </is>
      </c>
      <c r="B422" s="263" t="n"/>
      <c r="C422" s="263" t="n"/>
      <c r="D422" s="263" t="n">
        <v>640</v>
      </c>
      <c r="E422" s="269" t="inlineStr">
        <is>
          <t>현대</t>
        </is>
      </c>
      <c r="F422" s="263" t="n">
        <v>71</v>
      </c>
      <c r="G422" s="263" t="n">
        <v>169501</v>
      </c>
      <c r="H422" s="263" t="n">
        <v>65001</v>
      </c>
      <c r="I422" s="263">
        <f>G422-H422</f>
        <v/>
      </c>
      <c r="J422" s="323">
        <f>H422/G422</f>
        <v/>
      </c>
      <c r="K422" s="263" t="n">
        <v>1990.08</v>
      </c>
      <c r="L422" s="263" t="n">
        <v>336</v>
      </c>
      <c r="M422" s="263">
        <f>2026-INT(K422)+1</f>
        <v/>
      </c>
      <c r="N422" s="263" t="n">
        <v>67</v>
      </c>
      <c r="O422" s="263" t="n"/>
      <c r="P422" s="263" t="n">
        <v>86</v>
      </c>
      <c r="Q422" s="263" t="n">
        <v>26</v>
      </c>
      <c r="R422" s="263" t="inlineStr">
        <is>
          <t>계단식</t>
        </is>
      </c>
      <c r="S422" s="263" t="n">
        <v>3</v>
      </c>
      <c r="T422" s="263" t="n">
        <v>1</v>
      </c>
      <c r="U422" s="263" t="n"/>
      <c r="V422" s="263" t="n">
        <v>11.1</v>
      </c>
      <c r="W422" s="263" t="inlineStr">
        <is>
          <t>계단식</t>
        </is>
      </c>
      <c r="X422" s="263" t="n">
        <v>3</v>
      </c>
      <c r="Y422" s="263" t="n">
        <v>1</v>
      </c>
      <c r="Z422" s="263" t="n">
        <v>67</v>
      </c>
      <c r="AA422" s="263" t="n"/>
      <c r="AB422" s="263" t="n"/>
      <c r="AC422" s="263" t="n"/>
      <c r="AD422" s="263" t="n"/>
      <c r="AE422" s="263" t="n"/>
      <c r="AF422" s="263" t="n"/>
      <c r="AG422" s="263" t="n"/>
      <c r="AH422" s="263" t="n"/>
      <c r="AI422" s="263" t="n"/>
      <c r="AJ422" s="263" t="n"/>
      <c r="AK422" s="263" t="n"/>
    </row>
    <row r="423">
      <c r="A423" s="263" t="inlineStr">
        <is>
          <t>잠실동</t>
        </is>
      </c>
      <c r="B423" s="263" t="n"/>
      <c r="C423" s="263" t="n"/>
      <c r="D423" s="263" t="n">
        <v>640</v>
      </c>
      <c r="E423" s="267" t="inlineStr">
        <is>
          <t>현대</t>
        </is>
      </c>
      <c r="F423" s="263" t="n">
        <v>84</v>
      </c>
      <c r="G423" s="263" t="n">
        <v>184500</v>
      </c>
      <c r="H423" s="263" t="n">
        <v>55001</v>
      </c>
      <c r="I423" s="263">
        <f>G423-H423</f>
        <v/>
      </c>
      <c r="J423" s="323">
        <f>H423/G423</f>
        <v/>
      </c>
      <c r="K423" s="263" t="n">
        <v>1990.08</v>
      </c>
      <c r="L423" s="263" t="n">
        <v>336</v>
      </c>
      <c r="M423" s="263">
        <f>2026-INT(K423)+1</f>
        <v/>
      </c>
      <c r="N423" s="263" t="n">
        <v>269</v>
      </c>
      <c r="O423" s="263" t="n"/>
      <c r="P423" s="263" t="n">
        <v>102</v>
      </c>
      <c r="Q423" s="263" t="n">
        <v>31</v>
      </c>
      <c r="R423" s="263" t="inlineStr">
        <is>
          <t>계단식</t>
        </is>
      </c>
      <c r="S423" s="263" t="n">
        <v>3</v>
      </c>
      <c r="T423" s="263" t="n">
        <v>2</v>
      </c>
      <c r="U423" s="263" t="n">
        <v>15.95</v>
      </c>
      <c r="V423" s="263" t="n"/>
      <c r="W423" s="263" t="inlineStr">
        <is>
          <t>계단식</t>
        </is>
      </c>
      <c r="X423" s="263" t="n">
        <v>3</v>
      </c>
      <c r="Y423" s="263" t="n">
        <v>2</v>
      </c>
      <c r="Z423" s="263" t="n">
        <v>269</v>
      </c>
      <c r="AA423" s="263" t="n"/>
      <c r="AB423" s="263" t="n"/>
      <c r="AC423" s="263" t="n"/>
      <c r="AD423" s="263" t="n"/>
      <c r="AE423" s="263" t="n"/>
      <c r="AF423" s="263" t="n"/>
      <c r="AG423" s="263" t="n"/>
      <c r="AH423" s="263" t="n"/>
      <c r="AI423" s="263" t="n"/>
      <c r="AJ423" s="263" t="n"/>
      <c r="AK423" s="263" t="n"/>
    </row>
    <row r="424">
      <c r="A424" s="458" t="inlineStr">
        <is>
          <t>장지동</t>
        </is>
      </c>
      <c r="D424" s="458" t="n">
        <v>104122</v>
      </c>
      <c r="E424" s="146" t="inlineStr">
        <is>
          <t>송파더센트레</t>
        </is>
      </c>
      <c r="F424" s="458" t="n">
        <v>51</v>
      </c>
      <c r="G424" s="263" t="n">
        <v>153000</v>
      </c>
      <c r="H424" s="263" t="n">
        <v>65000</v>
      </c>
      <c r="I424" s="263">
        <f>G424-H424</f>
        <v/>
      </c>
      <c r="J424" s="323">
        <f>H424/G424</f>
        <v/>
      </c>
      <c r="K424" s="458" t="n">
        <v>2013.11</v>
      </c>
      <c r="L424" s="458" t="n">
        <v>1139</v>
      </c>
      <c r="M424" s="458">
        <f>2026-INT(K424)+1</f>
        <v/>
      </c>
      <c r="N424" s="458" t="n">
        <v>672</v>
      </c>
      <c r="P424" s="458" t="n">
        <v>73</v>
      </c>
      <c r="Q424" s="458" t="n">
        <v>22</v>
      </c>
      <c r="R424" s="458" t="inlineStr">
        <is>
          <t>계단식</t>
        </is>
      </c>
      <c r="S424" s="458" t="n">
        <v>2</v>
      </c>
      <c r="T424" s="458" t="n">
        <v>1</v>
      </c>
      <c r="U424" s="458" t="n">
        <v>11.8</v>
      </c>
      <c r="V424" s="458" t="n">
        <v>7.5</v>
      </c>
      <c r="W424" s="458" t="inlineStr">
        <is>
          <t>계단식</t>
        </is>
      </c>
      <c r="X424" s="458" t="n">
        <v>2</v>
      </c>
      <c r="Y424" s="458" t="n">
        <v>1</v>
      </c>
      <c r="Z424" s="458" t="n">
        <v>672</v>
      </c>
    </row>
    <row r="425">
      <c r="A425" s="458" t="inlineStr">
        <is>
          <t>장지동</t>
        </is>
      </c>
      <c r="D425" s="458" t="n">
        <v>104122</v>
      </c>
      <c r="E425" s="268" t="inlineStr">
        <is>
          <t>송파더센트레</t>
        </is>
      </c>
      <c r="F425" s="458" t="n">
        <v>54</v>
      </c>
      <c r="G425" s="263" t="n">
        <v>113001</v>
      </c>
      <c r="H425" s="263" t="n">
        <v>55001</v>
      </c>
      <c r="I425" s="263">
        <f>G425-H425</f>
        <v/>
      </c>
      <c r="J425" s="323">
        <f>H425/G425</f>
        <v/>
      </c>
      <c r="K425" s="458" t="n">
        <v>2013.11</v>
      </c>
      <c r="L425" s="458" t="n">
        <v>1139</v>
      </c>
      <c r="M425" s="458">
        <f>2026-INT(K425)+1</f>
        <v/>
      </c>
      <c r="N425" s="458" t="n">
        <v>12</v>
      </c>
      <c r="P425" s="458" t="n">
        <v>77</v>
      </c>
      <c r="Q425" s="458" t="n">
        <v>23</v>
      </c>
      <c r="R425" s="458" t="inlineStr">
        <is>
          <t>계단식</t>
        </is>
      </c>
      <c r="S425" s="458" t="n">
        <v>2</v>
      </c>
      <c r="T425" s="458" t="n">
        <v>1</v>
      </c>
      <c r="U425" s="458" t="n">
        <v>11.8</v>
      </c>
      <c r="W425" s="458" t="inlineStr">
        <is>
          <t>계단식</t>
        </is>
      </c>
      <c r="X425" s="458" t="n">
        <v>2</v>
      </c>
      <c r="Y425" s="458" t="n">
        <v>1</v>
      </c>
      <c r="Z425" s="458" t="n">
        <v>12</v>
      </c>
    </row>
    <row r="426">
      <c r="A426" s="458" t="inlineStr">
        <is>
          <t>장지동</t>
        </is>
      </c>
      <c r="D426" s="458" t="n">
        <v>104122</v>
      </c>
      <c r="E426" s="268" t="inlineStr">
        <is>
          <t>송파더센트레</t>
        </is>
      </c>
      <c r="F426" s="458" t="n">
        <v>59</v>
      </c>
      <c r="G426" s="263" t="n">
        <v>179000</v>
      </c>
      <c r="H426" s="263" t="n">
        <v>73000</v>
      </c>
      <c r="I426" s="263">
        <f>G426-H426</f>
        <v/>
      </c>
      <c r="J426" s="323">
        <f>H426/G426</f>
        <v/>
      </c>
      <c r="K426" s="458" t="n">
        <v>2013.11</v>
      </c>
      <c r="L426" s="458" t="n">
        <v>1139</v>
      </c>
      <c r="M426" s="458">
        <f>2026-INT(K426)+1</f>
        <v/>
      </c>
      <c r="N426" s="458" t="n">
        <v>455</v>
      </c>
      <c r="P426" s="458" t="n">
        <v>85</v>
      </c>
      <c r="Q426" s="458" t="n">
        <v>26</v>
      </c>
      <c r="R426" s="458" t="inlineStr">
        <is>
          <t>계단식</t>
        </is>
      </c>
      <c r="S426" s="458" t="n">
        <v>3</v>
      </c>
      <c r="T426" s="458" t="n">
        <v>2</v>
      </c>
      <c r="U426" s="458" t="n">
        <v>14</v>
      </c>
      <c r="V426" s="458" t="n">
        <v>9</v>
      </c>
      <c r="W426" s="458" t="inlineStr">
        <is>
          <t>계단식</t>
        </is>
      </c>
      <c r="X426" s="458" t="n">
        <v>3</v>
      </c>
      <c r="Y426" s="458" t="n">
        <v>2</v>
      </c>
      <c r="Z426" s="458" t="n">
        <v>455</v>
      </c>
    </row>
    <row r="427">
      <c r="A427" s="263" t="inlineStr">
        <is>
          <t>장지동</t>
        </is>
      </c>
      <c r="B427" s="263" t="n"/>
      <c r="C427" s="263" t="n"/>
      <c r="D427" s="263" t="n">
        <v>107683</v>
      </c>
      <c r="E427" s="267" t="inlineStr">
        <is>
          <t>송파와이즈더샵</t>
        </is>
      </c>
      <c r="F427" s="263" t="n">
        <v>96</v>
      </c>
      <c r="G427" s="263" t="n"/>
      <c r="H427" s="263" t="n"/>
      <c r="I427" s="263">
        <f>G427-H427</f>
        <v/>
      </c>
      <c r="J427" s="323">
        <f>H427/G427</f>
        <v/>
      </c>
      <c r="K427" s="263" t="n">
        <v>2016.02</v>
      </c>
      <c r="L427" s="263" t="n">
        <v>390</v>
      </c>
      <c r="M427" s="263">
        <f>2026-INT(K427)+1</f>
        <v/>
      </c>
      <c r="N427" s="263" t="n">
        <v>196</v>
      </c>
      <c r="O427" s="263" t="n"/>
      <c r="P427" s="263" t="n">
        <v>126</v>
      </c>
      <c r="Q427" s="263" t="n">
        <v>38</v>
      </c>
      <c r="R427" s="263" t="inlineStr">
        <is>
          <t>계단식</t>
        </is>
      </c>
      <c r="S427" s="263" t="n">
        <v>3</v>
      </c>
      <c r="T427" s="263" t="n">
        <v>2</v>
      </c>
      <c r="U427" s="263" t="n">
        <v>14.3</v>
      </c>
      <c r="V427" s="263" t="n">
        <v>12.8</v>
      </c>
      <c r="W427" s="263" t="inlineStr">
        <is>
          <t>계단식</t>
        </is>
      </c>
      <c r="X427" s="263" t="n">
        <v>3</v>
      </c>
      <c r="Y427" s="263" t="n">
        <v>2</v>
      </c>
      <c r="Z427" s="263" t="n">
        <v>196</v>
      </c>
      <c r="AA427" s="263" t="n"/>
      <c r="AB427" s="263" t="n"/>
      <c r="AC427" s="263" t="n"/>
      <c r="AD427" s="263" t="n"/>
      <c r="AE427" s="263" t="n"/>
      <c r="AF427" s="263" t="n"/>
      <c r="AG427" s="263" t="n"/>
      <c r="AH427" s="263" t="n"/>
      <c r="AI427" s="263" t="n"/>
      <c r="AJ427" s="263" t="n"/>
      <c r="AK427" s="263" t="n"/>
    </row>
    <row r="428">
      <c r="A428" s="263" t="inlineStr">
        <is>
          <t>장지동</t>
        </is>
      </c>
      <c r="B428" s="263" t="n"/>
      <c r="C428" s="263" t="n"/>
      <c r="D428" s="263" t="n">
        <v>107683</v>
      </c>
      <c r="E428" s="267" t="inlineStr">
        <is>
          <t>송파와이즈더샵</t>
        </is>
      </c>
      <c r="F428" s="263" t="n">
        <v>97</v>
      </c>
      <c r="G428" s="263" t="n"/>
      <c r="H428" s="263" t="n"/>
      <c r="I428" s="263">
        <f>G428-H428</f>
        <v/>
      </c>
      <c r="J428" s="323">
        <f>H428/G428</f>
        <v/>
      </c>
      <c r="K428" s="263" t="n">
        <v>2016.02</v>
      </c>
      <c r="L428" s="263" t="n">
        <v>390</v>
      </c>
      <c r="M428" s="263">
        <f>2026-INT(K428)+1</f>
        <v/>
      </c>
      <c r="N428" s="263" t="n">
        <v>186</v>
      </c>
      <c r="O428" s="263" t="n"/>
      <c r="P428" s="263" t="n">
        <v>127</v>
      </c>
      <c r="Q428" s="263" t="n">
        <v>38</v>
      </c>
      <c r="R428" s="263" t="inlineStr">
        <is>
          <t>계단식</t>
        </is>
      </c>
      <c r="S428" s="263" t="n">
        <v>3</v>
      </c>
      <c r="T428" s="263" t="n">
        <v>2</v>
      </c>
      <c r="U428" s="263" t="n">
        <v>18.35</v>
      </c>
      <c r="V428" s="263" t="n">
        <v>12.8</v>
      </c>
      <c r="W428" s="263" t="inlineStr">
        <is>
          <t>계단식</t>
        </is>
      </c>
      <c r="X428" s="263" t="n">
        <v>3</v>
      </c>
      <c r="Y428" s="263" t="n">
        <v>2</v>
      </c>
      <c r="Z428" s="263" t="n">
        <v>186</v>
      </c>
      <c r="AA428" s="263" t="n"/>
      <c r="AB428" s="263" t="n"/>
      <c r="AC428" s="263" t="n"/>
      <c r="AD428" s="263" t="n"/>
      <c r="AE428" s="263" t="n"/>
      <c r="AF428" s="263" t="n"/>
      <c r="AG428" s="263" t="n"/>
      <c r="AH428" s="263" t="n"/>
      <c r="AI428" s="263" t="n"/>
      <c r="AJ428" s="263" t="n"/>
      <c r="AK428" s="263" t="n"/>
    </row>
    <row r="429">
      <c r="A429" s="263" t="inlineStr">
        <is>
          <t>장지동</t>
        </is>
      </c>
      <c r="B429" s="263" t="n"/>
      <c r="C429" s="263" t="n"/>
      <c r="D429" s="263" t="n">
        <v>107683</v>
      </c>
      <c r="E429" s="267" t="inlineStr">
        <is>
          <t>송파와이즈더샵</t>
        </is>
      </c>
      <c r="F429" s="263" t="n">
        <v>98</v>
      </c>
      <c r="G429" s="263" t="n"/>
      <c r="H429" s="263" t="n"/>
      <c r="I429" s="263">
        <f>G429-H429</f>
        <v/>
      </c>
      <c r="J429" s="323">
        <f>H429/G429</f>
        <v/>
      </c>
      <c r="K429" s="263" t="n">
        <v>2016.02</v>
      </c>
      <c r="L429" s="263" t="n">
        <v>390</v>
      </c>
      <c r="M429" s="263">
        <f>2026-INT(K429)+1</f>
        <v/>
      </c>
      <c r="N429" s="263" t="n">
        <v>4</v>
      </c>
      <c r="O429" s="263" t="n"/>
      <c r="P429" s="263" t="n">
        <v>152</v>
      </c>
      <c r="Q429" s="263" t="n">
        <v>46</v>
      </c>
      <c r="R429" s="263" t="inlineStr">
        <is>
          <t>계단식</t>
        </is>
      </c>
      <c r="S429" s="263" t="n">
        <v>4</v>
      </c>
      <c r="T429" s="263" t="n">
        <v>2</v>
      </c>
      <c r="U429" s="263" t="n">
        <v>18.35</v>
      </c>
      <c r="V429" s="263" t="n">
        <v>12.8</v>
      </c>
      <c r="W429" s="263" t="inlineStr">
        <is>
          <t>계단식</t>
        </is>
      </c>
      <c r="X429" s="263" t="n">
        <v>4</v>
      </c>
      <c r="Y429" s="263" t="n">
        <v>2</v>
      </c>
      <c r="Z429" s="263" t="n">
        <v>4</v>
      </c>
      <c r="AA429" s="263" t="n"/>
      <c r="AB429" s="263" t="n"/>
      <c r="AC429" s="263" t="n"/>
      <c r="AD429" s="263" t="n"/>
      <c r="AE429" s="263" t="n"/>
      <c r="AF429" s="263" t="n"/>
      <c r="AG429" s="263" t="n"/>
      <c r="AH429" s="263" t="n"/>
      <c r="AI429" s="263" t="n"/>
      <c r="AJ429" s="263" t="n"/>
      <c r="AK429" s="263" t="n"/>
    </row>
    <row r="430">
      <c r="A430" s="263" t="inlineStr">
        <is>
          <t>장지동</t>
        </is>
      </c>
      <c r="B430" s="263" t="n"/>
      <c r="C430" s="263" t="n"/>
      <c r="D430" s="263" t="n">
        <v>107683</v>
      </c>
      <c r="E430" s="267" t="inlineStr">
        <is>
          <t>송파와이즈더샵</t>
        </is>
      </c>
      <c r="F430" s="263" t="n">
        <v>99</v>
      </c>
      <c r="G430" s="263" t="n"/>
      <c r="H430" s="263" t="n"/>
      <c r="I430" s="263">
        <f>G430-H430</f>
        <v/>
      </c>
      <c r="J430" s="323">
        <f>H430/G430</f>
        <v/>
      </c>
      <c r="K430" s="263" t="n">
        <v>2016.02</v>
      </c>
      <c r="L430" s="263" t="n">
        <v>390</v>
      </c>
      <c r="M430" s="263">
        <f>2026-INT(K430)+1</f>
        <v/>
      </c>
      <c r="N430" s="263" t="n">
        <v>4</v>
      </c>
      <c r="O430" s="263" t="n"/>
      <c r="P430" s="263" t="n">
        <v>154</v>
      </c>
      <c r="Q430" s="263" t="n">
        <v>47</v>
      </c>
      <c r="R430" s="263" t="inlineStr">
        <is>
          <t>계단식</t>
        </is>
      </c>
      <c r="S430" s="263" t="n">
        <v>4</v>
      </c>
      <c r="T430" s="263" t="n">
        <v>2</v>
      </c>
      <c r="U430" s="263" t="n">
        <v>18.35</v>
      </c>
      <c r="V430" s="263" t="n"/>
      <c r="W430" s="263" t="inlineStr">
        <is>
          <t>계단식</t>
        </is>
      </c>
      <c r="X430" s="263" t="n">
        <v>4</v>
      </c>
      <c r="Y430" s="263" t="n">
        <v>2</v>
      </c>
      <c r="Z430" s="263" t="n">
        <v>4</v>
      </c>
      <c r="AA430" s="263" t="n"/>
      <c r="AB430" s="263" t="n"/>
      <c r="AC430" s="263" t="n"/>
      <c r="AD430" s="263" t="n"/>
      <c r="AE430" s="263" t="n"/>
      <c r="AF430" s="263" t="n"/>
      <c r="AG430" s="263" t="n"/>
      <c r="AH430" s="263" t="n"/>
      <c r="AI430" s="263" t="n"/>
      <c r="AJ430" s="263" t="n"/>
      <c r="AK430" s="263" t="n"/>
    </row>
    <row r="431">
      <c r="A431" s="458" t="inlineStr">
        <is>
          <t>장지동</t>
        </is>
      </c>
      <c r="D431" s="458" t="n">
        <v>104126</v>
      </c>
      <c r="E431" s="146" t="inlineStr">
        <is>
          <t>송파위례24단지꿈에그린</t>
        </is>
      </c>
      <c r="F431" s="458" t="n">
        <v>51</v>
      </c>
      <c r="G431" s="458" t="n">
        <v>158000</v>
      </c>
      <c r="H431" s="458" t="n">
        <v>70000</v>
      </c>
      <c r="I431" s="263">
        <f>G431-H431</f>
        <v/>
      </c>
      <c r="J431" s="323">
        <f>H431/G431</f>
        <v/>
      </c>
      <c r="K431" s="458" t="n">
        <v>2013.11</v>
      </c>
      <c r="L431" s="458" t="n">
        <v>1810</v>
      </c>
      <c r="M431" s="458">
        <f>2026-INT(K431)+1</f>
        <v/>
      </c>
      <c r="N431" s="458" t="n">
        <v>690</v>
      </c>
      <c r="P431" s="458" t="n">
        <v>70</v>
      </c>
      <c r="Q431" s="458" t="n">
        <v>21</v>
      </c>
      <c r="R431" s="458" t="inlineStr">
        <is>
          <t>계단식</t>
        </is>
      </c>
      <c r="S431" s="458" t="n">
        <v>2</v>
      </c>
      <c r="T431" s="458" t="n">
        <v>1</v>
      </c>
      <c r="U431" s="458" t="n">
        <v>12.5</v>
      </c>
      <c r="V431" s="458" t="n">
        <v>6.09</v>
      </c>
      <c r="W431" s="458" t="inlineStr">
        <is>
          <t>계단식</t>
        </is>
      </c>
      <c r="X431" s="458" t="n">
        <v>2</v>
      </c>
      <c r="Y431" s="458" t="n">
        <v>1</v>
      </c>
      <c r="Z431" s="458" t="n">
        <v>690</v>
      </c>
    </row>
    <row r="432">
      <c r="A432" s="458" t="inlineStr">
        <is>
          <t>장지동</t>
        </is>
      </c>
      <c r="D432" s="458" t="n">
        <v>104126</v>
      </c>
      <c r="E432" s="268" t="inlineStr">
        <is>
          <t>송파위례24단지꿈에그린</t>
        </is>
      </c>
      <c r="F432" s="458" t="n">
        <v>54</v>
      </c>
      <c r="G432" s="458" t="n">
        <v>175000</v>
      </c>
      <c r="H432" s="458" t="n">
        <v>56001</v>
      </c>
      <c r="I432" s="263">
        <f>G432-H432</f>
        <v/>
      </c>
      <c r="J432" s="323">
        <f>H432/G432</f>
        <v/>
      </c>
      <c r="K432" s="458" t="n">
        <v>2013.11</v>
      </c>
      <c r="L432" s="458" t="n">
        <v>1810</v>
      </c>
      <c r="M432" s="458">
        <f>2026-INT(K432)+1</f>
        <v/>
      </c>
      <c r="N432" s="458" t="n">
        <v>24</v>
      </c>
      <c r="P432" s="458" t="n">
        <v>74</v>
      </c>
      <c r="Q432" s="458" t="n">
        <v>22</v>
      </c>
      <c r="R432" s="458" t="inlineStr">
        <is>
          <t>계단식</t>
        </is>
      </c>
      <c r="S432" s="458" t="n">
        <v>2</v>
      </c>
      <c r="T432" s="458" t="n">
        <v>1</v>
      </c>
      <c r="W432" s="458" t="inlineStr">
        <is>
          <t>계단식</t>
        </is>
      </c>
      <c r="X432" s="458" t="n">
        <v>2</v>
      </c>
      <c r="Y432" s="458" t="n">
        <v>1</v>
      </c>
      <c r="Z432" s="458" t="n">
        <v>24</v>
      </c>
    </row>
    <row r="433">
      <c r="A433" s="458" t="inlineStr">
        <is>
          <t>장지동</t>
        </is>
      </c>
      <c r="D433" s="458" t="n">
        <v>104126</v>
      </c>
      <c r="E433" s="268" t="inlineStr">
        <is>
          <t>송파위례24단지꿈에그린</t>
        </is>
      </c>
      <c r="F433" s="458" t="n">
        <v>59</v>
      </c>
      <c r="G433" s="458" t="n">
        <v>186000</v>
      </c>
      <c r="H433" s="458" t="n">
        <v>75000</v>
      </c>
      <c r="I433" s="263">
        <f>G433-H433</f>
        <v/>
      </c>
      <c r="J433" s="323">
        <f>H433/G433</f>
        <v/>
      </c>
      <c r="K433" s="458" t="n">
        <v>2013.11</v>
      </c>
      <c r="L433" s="458" t="n">
        <v>1810</v>
      </c>
      <c r="M433" s="458">
        <f>2026-INT(K433)+1</f>
        <v/>
      </c>
      <c r="N433" s="458" t="n">
        <v>496</v>
      </c>
      <c r="P433" s="458" t="n">
        <v>81</v>
      </c>
      <c r="Q433" s="458" t="n">
        <v>25</v>
      </c>
      <c r="R433" s="458" t="inlineStr">
        <is>
          <t>계단식</t>
        </is>
      </c>
      <c r="S433" s="458" t="n">
        <v>3</v>
      </c>
      <c r="T433" s="458" t="n">
        <v>2</v>
      </c>
      <c r="U433" s="458" t="n">
        <v>14.5</v>
      </c>
      <c r="V433" s="458" t="n">
        <v>10.5</v>
      </c>
      <c r="W433" s="458" t="inlineStr">
        <is>
          <t>계단식</t>
        </is>
      </c>
      <c r="X433" s="458" t="n">
        <v>3</v>
      </c>
      <c r="Y433" s="458" t="n">
        <v>2</v>
      </c>
      <c r="Z433" s="458" t="n">
        <v>496</v>
      </c>
    </row>
    <row r="434">
      <c r="A434" s="458" t="inlineStr">
        <is>
          <t>장지동</t>
        </is>
      </c>
      <c r="D434" s="458" t="n">
        <v>104126</v>
      </c>
      <c r="E434" s="268" t="inlineStr">
        <is>
          <t>송파위례24단지꿈에그린</t>
        </is>
      </c>
      <c r="F434" s="458" t="n">
        <v>75</v>
      </c>
      <c r="G434" s="458" t="n">
        <v>214000</v>
      </c>
      <c r="H434" s="458" t="n">
        <v>80001</v>
      </c>
      <c r="I434" s="263">
        <f>G434-H434</f>
        <v/>
      </c>
      <c r="J434" s="323">
        <f>H434/G434</f>
        <v/>
      </c>
      <c r="K434" s="458" t="n">
        <v>2013.11</v>
      </c>
      <c r="L434" s="458" t="n">
        <v>1810</v>
      </c>
      <c r="M434" s="458">
        <f>2026-INT(K434)+1</f>
        <v/>
      </c>
      <c r="N434" s="458" t="n">
        <v>151</v>
      </c>
      <c r="P434" s="458" t="n">
        <v>103</v>
      </c>
      <c r="Q434" s="458" t="n">
        <v>31</v>
      </c>
      <c r="R434" s="458" t="inlineStr">
        <is>
          <t>계단식</t>
        </is>
      </c>
      <c r="S434" s="458" t="n">
        <v>3</v>
      </c>
      <c r="T434" s="458" t="n">
        <v>2</v>
      </c>
      <c r="U434" s="458" t="n">
        <v>16</v>
      </c>
      <c r="V434" s="458" t="n">
        <v>12.5</v>
      </c>
      <c r="W434" s="458" t="inlineStr">
        <is>
          <t>계단식</t>
        </is>
      </c>
      <c r="X434" s="458" t="n">
        <v>3</v>
      </c>
      <c r="Y434" s="458" t="n">
        <v>2</v>
      </c>
      <c r="Z434" s="458" t="n">
        <v>151</v>
      </c>
    </row>
    <row r="435">
      <c r="A435" s="458" t="inlineStr">
        <is>
          <t>장지동</t>
        </is>
      </c>
      <c r="D435" s="458" t="n">
        <v>104126</v>
      </c>
      <c r="E435" s="268" t="inlineStr">
        <is>
          <t>송파위례24단지꿈에그린</t>
        </is>
      </c>
      <c r="F435" s="458" t="n">
        <v>78</v>
      </c>
      <c r="G435" s="458" t="n">
        <v>168301</v>
      </c>
      <c r="H435" s="458" t="n">
        <v>73001</v>
      </c>
      <c r="I435" s="263">
        <f>G435-H435</f>
        <v/>
      </c>
      <c r="J435" s="323">
        <f>H435/G435</f>
        <v/>
      </c>
      <c r="K435" s="458" t="n">
        <v>2013.11</v>
      </c>
      <c r="L435" s="458" t="n">
        <v>1810</v>
      </c>
      <c r="M435" s="458">
        <f>2026-INT(K435)+1</f>
        <v/>
      </c>
      <c r="N435" s="458" t="n">
        <v>12</v>
      </c>
      <c r="P435" s="458" t="n">
        <v>106</v>
      </c>
      <c r="Q435" s="458" t="n">
        <v>32</v>
      </c>
      <c r="R435" s="458" t="inlineStr">
        <is>
          <t>계단식</t>
        </is>
      </c>
      <c r="S435" s="458" t="n">
        <v>3</v>
      </c>
      <c r="T435" s="458" t="n">
        <v>2</v>
      </c>
      <c r="W435" s="458" t="inlineStr">
        <is>
          <t>계단식</t>
        </is>
      </c>
      <c r="X435" s="458" t="n">
        <v>3</v>
      </c>
      <c r="Y435" s="458" t="n">
        <v>2</v>
      </c>
      <c r="Z435" s="458" t="n">
        <v>12</v>
      </c>
    </row>
    <row r="436">
      <c r="A436" s="458" t="inlineStr">
        <is>
          <t>장지동</t>
        </is>
      </c>
      <c r="D436" s="458" t="n">
        <v>104126</v>
      </c>
      <c r="E436" s="268" t="inlineStr">
        <is>
          <t>송파위례24단지꿈에그린</t>
        </is>
      </c>
      <c r="F436" s="458" t="n">
        <v>84</v>
      </c>
      <c r="G436" s="458" t="n">
        <v>215001</v>
      </c>
      <c r="H436" s="458" t="n">
        <v>75001</v>
      </c>
      <c r="I436" s="263">
        <f>G436-H436</f>
        <v/>
      </c>
      <c r="J436" s="323">
        <f>H436/G436</f>
        <v/>
      </c>
      <c r="K436" s="458" t="n">
        <v>2013.11</v>
      </c>
      <c r="L436" s="458" t="n">
        <v>1810</v>
      </c>
      <c r="M436" s="458">
        <f>2026-INT(K436)+1</f>
        <v/>
      </c>
      <c r="N436" s="458" t="n">
        <v>437</v>
      </c>
      <c r="P436" s="458" t="n">
        <v>116</v>
      </c>
      <c r="Q436" s="458" t="n">
        <v>35</v>
      </c>
      <c r="R436" s="458" t="inlineStr">
        <is>
          <t>계단식</t>
        </is>
      </c>
      <c r="S436" s="458" t="n">
        <v>3</v>
      </c>
      <c r="T436" s="458" t="n">
        <v>2</v>
      </c>
      <c r="U436" s="458" t="n">
        <v>16.9</v>
      </c>
      <c r="V436" s="458" t="n">
        <v>12.7</v>
      </c>
      <c r="W436" s="458" t="inlineStr">
        <is>
          <t>계단식</t>
        </is>
      </c>
      <c r="X436" s="458" t="n">
        <v>3</v>
      </c>
      <c r="Y436" s="458" t="n">
        <v>2</v>
      </c>
      <c r="Z436" s="458" t="n">
        <v>437</v>
      </c>
    </row>
    <row r="437">
      <c r="A437" s="263" t="inlineStr">
        <is>
          <t>장지동</t>
        </is>
      </c>
      <c r="B437" s="263" t="n"/>
      <c r="C437" s="263" t="n"/>
      <c r="D437" s="263" t="n">
        <v>25929</v>
      </c>
      <c r="E437" s="267" t="inlineStr">
        <is>
          <t>송파파인타운10단지</t>
        </is>
      </c>
      <c r="F437" s="263" t="n">
        <v>59</v>
      </c>
      <c r="G437" s="263" t="n">
        <v>167000</v>
      </c>
      <c r="H437" s="263" t="n">
        <v>70001</v>
      </c>
      <c r="I437" s="263">
        <f>G437-H437</f>
        <v/>
      </c>
      <c r="J437" s="323">
        <f>H437/G437</f>
        <v/>
      </c>
      <c r="K437" s="263" t="n">
        <v>2007.08</v>
      </c>
      <c r="L437" s="263" t="n">
        <v>545</v>
      </c>
      <c r="M437" s="263">
        <f>2026-INT(K437)+1</f>
        <v/>
      </c>
      <c r="N437" s="263" t="n">
        <v>189</v>
      </c>
      <c r="O437" s="263" t="n"/>
      <c r="P437" s="263" t="n">
        <v>82</v>
      </c>
      <c r="Q437" s="263" t="n">
        <v>25</v>
      </c>
      <c r="R437" s="263" t="inlineStr">
        <is>
          <t>계단식</t>
        </is>
      </c>
      <c r="S437" s="263" t="n">
        <v>3</v>
      </c>
      <c r="T437" s="263" t="n">
        <v>2</v>
      </c>
      <c r="U437" s="263" t="n">
        <v>13.7</v>
      </c>
      <c r="V437" s="263" t="n">
        <v>9.699999999999999</v>
      </c>
      <c r="W437" s="263" t="inlineStr">
        <is>
          <t>계단식</t>
        </is>
      </c>
      <c r="X437" s="263" t="n">
        <v>3</v>
      </c>
      <c r="Y437" s="263" t="n">
        <v>2</v>
      </c>
      <c r="Z437" s="263" t="n">
        <v>189</v>
      </c>
      <c r="AA437" s="263" t="n"/>
      <c r="AB437" s="263" t="n"/>
      <c r="AC437" s="263" t="n"/>
      <c r="AD437" s="263" t="n"/>
      <c r="AE437" s="263" t="n"/>
      <c r="AF437" s="263" t="n"/>
      <c r="AG437" s="263" t="n"/>
      <c r="AH437" s="263" t="n"/>
      <c r="AI437" s="263" t="n"/>
      <c r="AJ437" s="263" t="n"/>
      <c r="AK437" s="263" t="n"/>
    </row>
    <row r="438">
      <c r="A438" s="458" t="inlineStr">
        <is>
          <t>장지동</t>
        </is>
      </c>
      <c r="D438" s="458" t="n">
        <v>25930</v>
      </c>
      <c r="E438" s="146" t="inlineStr">
        <is>
          <t>송파파인타운11단지</t>
        </is>
      </c>
      <c r="F438" s="458" t="n">
        <v>84</v>
      </c>
      <c r="G438" s="458" t="n">
        <v>180000</v>
      </c>
      <c r="H438" s="458" t="n">
        <v>95000</v>
      </c>
      <c r="I438" s="263">
        <f>G438-H438</f>
        <v/>
      </c>
      <c r="J438" s="323">
        <f>H438/G438</f>
        <v/>
      </c>
      <c r="K438" s="458" t="n">
        <v>2007.07</v>
      </c>
      <c r="L438" s="458" t="n">
        <v>333</v>
      </c>
      <c r="M438" s="458">
        <f>2026-INT(K438)+1</f>
        <v/>
      </c>
      <c r="N438" s="458" t="n">
        <v>209</v>
      </c>
      <c r="P438" s="458" t="n">
        <v>109</v>
      </c>
      <c r="Q438" s="458" t="n">
        <v>33</v>
      </c>
      <c r="R438" s="458" t="inlineStr">
        <is>
          <t>계단식</t>
        </is>
      </c>
      <c r="S438" s="458" t="n">
        <v>3</v>
      </c>
      <c r="T438" s="458" t="n">
        <v>2</v>
      </c>
      <c r="U438" s="458" t="n">
        <v>14.8</v>
      </c>
      <c r="V438" s="458" t="n">
        <v>10.4</v>
      </c>
      <c r="W438" s="458" t="inlineStr">
        <is>
          <t>계단식</t>
        </is>
      </c>
      <c r="X438" s="458" t="n">
        <v>3</v>
      </c>
      <c r="Y438" s="458" t="n">
        <v>2</v>
      </c>
      <c r="Z438" s="458" t="n">
        <v>209</v>
      </c>
    </row>
    <row r="439">
      <c r="A439" s="263" t="inlineStr">
        <is>
          <t>장지동</t>
        </is>
      </c>
      <c r="B439" s="263" t="n"/>
      <c r="C439" s="263" t="n"/>
      <c r="D439" s="263" t="n">
        <v>100455</v>
      </c>
      <c r="E439" s="269" t="inlineStr">
        <is>
          <t>송파파인타운1단지</t>
        </is>
      </c>
      <c r="F439" s="263" t="n">
        <v>84</v>
      </c>
      <c r="G439" s="263" t="n">
        <v>175500</v>
      </c>
      <c r="H439" s="263" t="n">
        <v>80000</v>
      </c>
      <c r="I439" s="263">
        <f>G439-H439</f>
        <v/>
      </c>
      <c r="J439" s="323">
        <f>H439/G439</f>
        <v/>
      </c>
      <c r="K439" s="263" t="n">
        <v>2010.01</v>
      </c>
      <c r="L439" s="263" t="n">
        <v>221</v>
      </c>
      <c r="M439" s="263">
        <f>2026-INT(K439)+1</f>
        <v/>
      </c>
      <c r="N439" s="263" t="n">
        <v>175</v>
      </c>
      <c r="O439" s="263" t="n"/>
      <c r="P439" s="263" t="n">
        <v>106</v>
      </c>
      <c r="Q439" s="263" t="n">
        <v>32</v>
      </c>
      <c r="R439" s="263" t="inlineStr">
        <is>
          <t>계단식</t>
        </is>
      </c>
      <c r="S439" s="263" t="n">
        <v>3</v>
      </c>
      <c r="T439" s="263" t="n">
        <v>2</v>
      </c>
      <c r="U439" s="263" t="n">
        <v>14.2</v>
      </c>
      <c r="V439" s="263" t="n">
        <v>10.2</v>
      </c>
      <c r="W439" s="263" t="inlineStr">
        <is>
          <t>계단식</t>
        </is>
      </c>
      <c r="X439" s="263" t="n">
        <v>3</v>
      </c>
      <c r="Y439" s="263" t="n">
        <v>2</v>
      </c>
      <c r="Z439" s="263" t="n">
        <v>175</v>
      </c>
      <c r="AA439" s="263" t="n"/>
      <c r="AB439" s="263" t="n"/>
      <c r="AC439" s="263" t="n"/>
      <c r="AD439" s="263" t="n"/>
      <c r="AE439" s="263" t="n"/>
      <c r="AF439" s="263" t="n"/>
      <c r="AG439" s="263" t="n"/>
      <c r="AH439" s="263" t="n"/>
      <c r="AI439" s="263" t="n"/>
      <c r="AJ439" s="263" t="n"/>
      <c r="AK439" s="263" t="n"/>
    </row>
    <row r="440">
      <c r="A440" s="458" t="inlineStr">
        <is>
          <t>장지동</t>
        </is>
      </c>
      <c r="D440" s="458" t="n">
        <v>26479</v>
      </c>
      <c r="E440" s="146" t="inlineStr">
        <is>
          <t>송파파인타운2단지</t>
        </is>
      </c>
      <c r="F440" s="458" t="n">
        <v>84</v>
      </c>
      <c r="G440" s="458" t="n">
        <v>179500</v>
      </c>
      <c r="H440" s="458" t="n">
        <v>73001</v>
      </c>
      <c r="I440" s="263">
        <f>G440-H440</f>
        <v/>
      </c>
      <c r="J440" s="323">
        <f>H440/G440</f>
        <v/>
      </c>
      <c r="K440" s="458" t="n">
        <v>2008.09</v>
      </c>
      <c r="L440" s="458" t="n">
        <v>374</v>
      </c>
      <c r="M440" s="458">
        <f>2026-INT(K440)+1</f>
        <v/>
      </c>
      <c r="N440" s="458" t="n">
        <v>111</v>
      </c>
      <c r="P440" s="458" t="n">
        <v>113</v>
      </c>
      <c r="Q440" s="458" t="n">
        <v>34</v>
      </c>
      <c r="R440" s="458" t="inlineStr">
        <is>
          <t>계단식</t>
        </is>
      </c>
      <c r="S440" s="458" t="n">
        <v>3</v>
      </c>
      <c r="T440" s="458" t="n">
        <v>2</v>
      </c>
      <c r="U440" s="458" t="n">
        <v>14.5</v>
      </c>
      <c r="V440" s="458" t="n">
        <v>10.5</v>
      </c>
      <c r="W440" s="458" t="inlineStr">
        <is>
          <t>계단식</t>
        </is>
      </c>
      <c r="X440" s="458" t="n">
        <v>3</v>
      </c>
      <c r="Y440" s="458" t="n">
        <v>2</v>
      </c>
      <c r="Z440" s="458" t="n">
        <v>111</v>
      </c>
    </row>
    <row r="441">
      <c r="A441" s="263" t="inlineStr">
        <is>
          <t>장지동</t>
        </is>
      </c>
      <c r="B441" s="263" t="n"/>
      <c r="C441" s="263" t="n"/>
      <c r="D441" s="263" t="n">
        <v>26222</v>
      </c>
      <c r="E441" s="267" t="inlineStr">
        <is>
          <t>송파파인타운3단지</t>
        </is>
      </c>
      <c r="F441" s="263" t="n">
        <v>84</v>
      </c>
      <c r="G441" s="263" t="n">
        <v>183000</v>
      </c>
      <c r="H441" s="263" t="n">
        <v>77000</v>
      </c>
      <c r="I441" s="263">
        <f>G441-H441</f>
        <v/>
      </c>
      <c r="J441" s="323">
        <f>H441/G441</f>
        <v/>
      </c>
      <c r="K441" s="263" t="n">
        <v>2008.07</v>
      </c>
      <c r="L441" s="263" t="n">
        <v>625</v>
      </c>
      <c r="M441" s="263">
        <f>2026-INT(K441)+1</f>
        <v/>
      </c>
      <c r="N441" s="263" t="n">
        <v>625</v>
      </c>
      <c r="O441" s="263" t="n"/>
      <c r="P441" s="263" t="n">
        <v>104</v>
      </c>
      <c r="Q441" s="263" t="n">
        <v>31</v>
      </c>
      <c r="R441" s="263" t="inlineStr">
        <is>
          <t>계단식</t>
        </is>
      </c>
      <c r="S441" s="263" t="n">
        <v>3</v>
      </c>
      <c r="T441" s="263" t="n">
        <v>2</v>
      </c>
      <c r="U441" s="263" t="n">
        <v>15.28</v>
      </c>
      <c r="V441" s="263" t="n">
        <v>10</v>
      </c>
      <c r="W441" s="263" t="inlineStr">
        <is>
          <t>계단식</t>
        </is>
      </c>
      <c r="X441" s="263" t="n">
        <v>3</v>
      </c>
      <c r="Y441" s="263" t="n">
        <v>2</v>
      </c>
      <c r="Z441" s="263" t="n">
        <v>625</v>
      </c>
      <c r="AA441" s="263" t="n"/>
      <c r="AB441" s="263" t="n"/>
      <c r="AC441" s="263" t="n"/>
      <c r="AD441" s="263" t="n"/>
      <c r="AE441" s="263" t="n"/>
      <c r="AF441" s="263" t="n"/>
      <c r="AG441" s="263" t="n"/>
      <c r="AH441" s="263" t="n"/>
      <c r="AI441" s="263" t="n"/>
      <c r="AJ441" s="263" t="n"/>
      <c r="AK441" s="263" t="n"/>
    </row>
    <row r="442">
      <c r="A442" s="458" t="inlineStr">
        <is>
          <t>장지동</t>
        </is>
      </c>
      <c r="D442" s="458" t="n">
        <v>26472</v>
      </c>
      <c r="E442" s="146" t="inlineStr">
        <is>
          <t>송파파인타운5단지</t>
        </is>
      </c>
      <c r="F442" s="458" t="n">
        <v>84</v>
      </c>
      <c r="G442" s="458" t="n">
        <v>210000</v>
      </c>
      <c r="H442" s="458" t="n">
        <v>85001</v>
      </c>
      <c r="I442" s="263">
        <f>G442-H442</f>
        <v/>
      </c>
      <c r="J442" s="323">
        <f>H442/G442</f>
        <v/>
      </c>
      <c r="K442" s="458" t="n">
        <v>2008.08</v>
      </c>
      <c r="L442" s="458" t="n">
        <v>455</v>
      </c>
      <c r="M442" s="458">
        <f>2026-INT(K442)+1</f>
        <v/>
      </c>
      <c r="N442" s="458" t="n">
        <v>228</v>
      </c>
      <c r="P442" s="458" t="n">
        <v>109</v>
      </c>
      <c r="Q442" s="458" t="n">
        <v>33</v>
      </c>
      <c r="R442" s="458" t="inlineStr">
        <is>
          <t>계단식</t>
        </is>
      </c>
      <c r="S442" s="458" t="n">
        <v>3</v>
      </c>
      <c r="T442" s="458" t="n">
        <v>2</v>
      </c>
      <c r="U442" s="458" t="n">
        <v>15.5</v>
      </c>
      <c r="V442" s="458" t="n">
        <v>12</v>
      </c>
      <c r="W442" s="458" t="inlineStr">
        <is>
          <t>계단식</t>
        </is>
      </c>
      <c r="X442" s="458" t="n">
        <v>3</v>
      </c>
      <c r="Y442" s="458" t="n">
        <v>2</v>
      </c>
      <c r="Z442" s="458" t="n">
        <v>228</v>
      </c>
    </row>
    <row r="443">
      <c r="A443" s="263" t="inlineStr">
        <is>
          <t>장지동</t>
        </is>
      </c>
      <c r="B443" s="263" t="n"/>
      <c r="C443" s="263" t="n"/>
      <c r="D443" s="263" t="n">
        <v>26481</v>
      </c>
      <c r="E443" s="269" t="inlineStr">
        <is>
          <t>송파파인타운6단지</t>
        </is>
      </c>
      <c r="F443" s="263" t="n">
        <v>84</v>
      </c>
      <c r="G443" s="263" t="n">
        <v>185000</v>
      </c>
      <c r="H443" s="263" t="n">
        <v>85000</v>
      </c>
      <c r="I443" s="263">
        <f>G443-H443</f>
        <v/>
      </c>
      <c r="J443" s="323">
        <f>H443/G443</f>
        <v/>
      </c>
      <c r="K443" s="263" t="n">
        <v>2008.08</v>
      </c>
      <c r="L443" s="263" t="n">
        <v>564</v>
      </c>
      <c r="M443" s="263">
        <f>2026-INT(K443)+1</f>
        <v/>
      </c>
      <c r="N443" s="263" t="n">
        <v>311</v>
      </c>
      <c r="O443" s="263" t="n"/>
      <c r="P443" s="263" t="n">
        <v>105</v>
      </c>
      <c r="Q443" s="263" t="n">
        <v>32</v>
      </c>
      <c r="R443" s="263" t="inlineStr">
        <is>
          <t>계단식</t>
        </is>
      </c>
      <c r="S443" s="263" t="n">
        <v>3</v>
      </c>
      <c r="T443" s="263" t="n">
        <v>2</v>
      </c>
      <c r="U443" s="263" t="n">
        <v>15</v>
      </c>
      <c r="V443" s="263" t="n">
        <v>7.6</v>
      </c>
      <c r="W443" s="263" t="inlineStr">
        <is>
          <t>계단식</t>
        </is>
      </c>
      <c r="X443" s="263" t="n">
        <v>3</v>
      </c>
      <c r="Y443" s="263" t="n">
        <v>2</v>
      </c>
      <c r="Z443" s="263" t="n">
        <v>311</v>
      </c>
      <c r="AA443" s="263" t="n"/>
      <c r="AB443" s="263" t="n"/>
      <c r="AC443" s="263" t="n"/>
      <c r="AD443" s="263" t="n"/>
      <c r="AE443" s="263" t="n"/>
      <c r="AF443" s="263" t="n"/>
      <c r="AG443" s="263" t="n"/>
      <c r="AH443" s="263" t="n"/>
      <c r="AI443" s="263" t="n"/>
      <c r="AJ443" s="263" t="n"/>
      <c r="AK443" s="263" t="n"/>
    </row>
    <row r="444">
      <c r="A444" s="458" t="inlineStr">
        <is>
          <t>장지동</t>
        </is>
      </c>
      <c r="D444" s="458" t="n">
        <v>26106</v>
      </c>
      <c r="E444" s="268" t="inlineStr">
        <is>
          <t>송파파인타운7단지</t>
        </is>
      </c>
      <c r="F444" s="458" t="n">
        <v>84</v>
      </c>
      <c r="G444" s="458" t="n">
        <v>190000</v>
      </c>
      <c r="H444" s="458" t="n">
        <v>90000</v>
      </c>
      <c r="I444" s="263">
        <f>G444-H444</f>
        <v/>
      </c>
      <c r="J444" s="323">
        <f>H444/G444</f>
        <v/>
      </c>
      <c r="K444" s="458" t="n">
        <v>2007.12</v>
      </c>
      <c r="L444" s="458" t="n">
        <v>537</v>
      </c>
      <c r="M444" s="458">
        <f>2026-INT(K444)+1</f>
        <v/>
      </c>
      <c r="N444" s="458" t="n">
        <v>237</v>
      </c>
      <c r="P444" s="458" t="n">
        <v>114</v>
      </c>
      <c r="Q444" s="458" t="n">
        <v>34</v>
      </c>
      <c r="R444" s="458" t="inlineStr">
        <is>
          <t>계단식</t>
        </is>
      </c>
      <c r="S444" s="458" t="n">
        <v>3</v>
      </c>
      <c r="T444" s="458" t="n">
        <v>2</v>
      </c>
      <c r="U444" s="458" t="n">
        <v>15.5</v>
      </c>
      <c r="V444" s="458" t="n">
        <v>11</v>
      </c>
      <c r="W444" s="458" t="inlineStr">
        <is>
          <t>계단식</t>
        </is>
      </c>
      <c r="X444" s="458" t="n">
        <v>3</v>
      </c>
      <c r="Y444" s="458" t="n">
        <v>2</v>
      </c>
      <c r="Z444" s="458" t="n">
        <v>237</v>
      </c>
    </row>
    <row r="445">
      <c r="A445" s="263" t="inlineStr">
        <is>
          <t>장지동</t>
        </is>
      </c>
      <c r="B445" s="263" t="n"/>
      <c r="C445" s="263" t="n"/>
      <c r="D445" s="263" t="n">
        <v>26471</v>
      </c>
      <c r="E445" s="269" t="inlineStr">
        <is>
          <t>송파파인타운8단지</t>
        </is>
      </c>
      <c r="F445" s="263" t="n">
        <v>59</v>
      </c>
      <c r="G445" s="263" t="n">
        <v>175000</v>
      </c>
      <c r="H445" s="263" t="n">
        <v>67701</v>
      </c>
      <c r="I445" s="263">
        <f>G445-H445</f>
        <v/>
      </c>
      <c r="J445" s="323">
        <f>H445/G445</f>
        <v/>
      </c>
      <c r="K445" s="263" t="n">
        <v>2008.1</v>
      </c>
      <c r="L445" s="263" t="n">
        <v>700</v>
      </c>
      <c r="M445" s="263">
        <f>2026-INT(K445)+1</f>
        <v/>
      </c>
      <c r="N445" s="263" t="n">
        <v>158</v>
      </c>
      <c r="O445" s="263" t="n"/>
      <c r="P445" s="263" t="n">
        <v>83</v>
      </c>
      <c r="Q445" s="263" t="n">
        <v>25</v>
      </c>
      <c r="R445" s="263" t="inlineStr">
        <is>
          <t>계단식</t>
        </is>
      </c>
      <c r="S445" s="263" t="n">
        <v>3</v>
      </c>
      <c r="T445" s="263" t="n">
        <v>2</v>
      </c>
      <c r="U445" s="263" t="n">
        <v>13.95</v>
      </c>
      <c r="V445" s="263" t="n">
        <v>9.800000000000001</v>
      </c>
      <c r="W445" s="263" t="inlineStr">
        <is>
          <t>계단식</t>
        </is>
      </c>
      <c r="X445" s="263" t="n">
        <v>3</v>
      </c>
      <c r="Y445" s="263" t="n">
        <v>2</v>
      </c>
      <c r="Z445" s="263" t="n">
        <v>158</v>
      </c>
      <c r="AA445" s="263" t="n"/>
      <c r="AB445" s="263" t="n"/>
      <c r="AC445" s="263" t="n"/>
      <c r="AD445" s="263" t="n"/>
      <c r="AE445" s="263" t="n"/>
      <c r="AF445" s="263" t="n"/>
      <c r="AG445" s="263" t="n"/>
      <c r="AH445" s="263" t="n"/>
      <c r="AI445" s="263" t="n"/>
      <c r="AJ445" s="263" t="n"/>
      <c r="AK445" s="263" t="n"/>
    </row>
    <row r="446">
      <c r="A446" s="458" t="inlineStr">
        <is>
          <t>장지동</t>
        </is>
      </c>
      <c r="D446" s="458" t="n">
        <v>26107</v>
      </c>
      <c r="E446" s="268" t="inlineStr">
        <is>
          <t>송파파인타운9단지</t>
        </is>
      </c>
      <c r="F446" s="458" t="n">
        <v>59</v>
      </c>
      <c r="I446" s="263">
        <f>G446-H446</f>
        <v/>
      </c>
      <c r="J446" s="323">
        <f>H446/G446</f>
        <v/>
      </c>
      <c r="K446" s="458" t="n">
        <v>2007.12</v>
      </c>
      <c r="L446" s="458" t="n">
        <v>796</v>
      </c>
      <c r="M446" s="458">
        <f>2026-INT(K446)+1</f>
        <v/>
      </c>
      <c r="N446" s="458" t="n">
        <v>160</v>
      </c>
      <c r="P446" s="458" t="n">
        <v>83</v>
      </c>
      <c r="Q446" s="458" t="n">
        <v>25</v>
      </c>
      <c r="R446" s="458" t="inlineStr">
        <is>
          <t>계단식</t>
        </is>
      </c>
      <c r="S446" s="458" t="n">
        <v>3</v>
      </c>
      <c r="T446" s="458" t="n">
        <v>2</v>
      </c>
      <c r="U446" s="458" t="n">
        <v>13.4</v>
      </c>
      <c r="V446" s="458" t="n">
        <v>8</v>
      </c>
      <c r="W446" s="458" t="inlineStr">
        <is>
          <t>계단식</t>
        </is>
      </c>
      <c r="X446" s="458" t="n">
        <v>3</v>
      </c>
      <c r="Y446" s="458" t="n">
        <v>2</v>
      </c>
      <c r="Z446" s="458" t="n">
        <v>160</v>
      </c>
    </row>
    <row r="447">
      <c r="A447" s="263" t="inlineStr">
        <is>
          <t>장지동</t>
        </is>
      </c>
      <c r="B447" s="263" t="n"/>
      <c r="C447" s="263" t="n"/>
      <c r="D447" s="263" t="n">
        <v>105367</v>
      </c>
      <c r="E447" s="267" t="inlineStr">
        <is>
          <t>위례신도시송파푸르지오</t>
        </is>
      </c>
      <c r="F447" s="263" t="n">
        <v>106</v>
      </c>
      <c r="G447" s="263" t="n"/>
      <c r="H447" s="263" t="n"/>
      <c r="I447" s="263">
        <f>G447-H447</f>
        <v/>
      </c>
      <c r="J447" s="323">
        <f>H447/G447</f>
        <v/>
      </c>
      <c r="K447" s="263" t="n">
        <v>2015.01</v>
      </c>
      <c r="L447" s="263" t="n">
        <v>549</v>
      </c>
      <c r="M447" s="263">
        <f>2026-INT(K447)+1</f>
        <v/>
      </c>
      <c r="N447" s="263" t="n">
        <v>169</v>
      </c>
      <c r="O447" s="263" t="n"/>
      <c r="P447" s="263" t="n">
        <v>138</v>
      </c>
      <c r="Q447" s="263" t="n">
        <v>42</v>
      </c>
      <c r="R447" s="263" t="inlineStr">
        <is>
          <t>계단식</t>
        </is>
      </c>
      <c r="S447" s="263" t="n">
        <v>4</v>
      </c>
      <c r="T447" s="263" t="n">
        <v>2</v>
      </c>
      <c r="U447" s="263" t="n">
        <v>19.6</v>
      </c>
      <c r="V447" s="263" t="n">
        <v>18.4</v>
      </c>
      <c r="W447" s="263" t="inlineStr">
        <is>
          <t>계단식</t>
        </is>
      </c>
      <c r="X447" s="263" t="n">
        <v>4</v>
      </c>
      <c r="Y447" s="263" t="n">
        <v>2</v>
      </c>
      <c r="Z447" s="263" t="n">
        <v>169</v>
      </c>
      <c r="AA447" s="263" t="n"/>
      <c r="AB447" s="263" t="n"/>
      <c r="AC447" s="263" t="n"/>
      <c r="AD447" s="263" t="n"/>
      <c r="AE447" s="263" t="n"/>
      <c r="AF447" s="263" t="n"/>
      <c r="AG447" s="263" t="n"/>
      <c r="AH447" s="263" t="n"/>
      <c r="AI447" s="263" t="n"/>
      <c r="AJ447" s="263" t="n"/>
      <c r="AK447" s="263" t="n"/>
    </row>
    <row r="448">
      <c r="A448" s="263" t="inlineStr">
        <is>
          <t>장지동</t>
        </is>
      </c>
      <c r="B448" s="263" t="n"/>
      <c r="C448" s="263" t="n"/>
      <c r="D448" s="263" t="n">
        <v>105367</v>
      </c>
      <c r="E448" s="267" t="inlineStr">
        <is>
          <t>위례신도시송파푸르지오</t>
        </is>
      </c>
      <c r="F448" s="263" t="n">
        <v>107</v>
      </c>
      <c r="G448" s="263" t="n"/>
      <c r="H448" s="263" t="n"/>
      <c r="I448" s="263">
        <f>G448-H448</f>
        <v/>
      </c>
      <c r="J448" s="323">
        <f>H448/G448</f>
        <v/>
      </c>
      <c r="K448" s="263" t="n">
        <v>2015.01</v>
      </c>
      <c r="L448" s="263" t="n">
        <v>549</v>
      </c>
      <c r="M448" s="263">
        <f>2026-INT(K448)+1</f>
        <v/>
      </c>
      <c r="N448" s="263" t="n">
        <v>49</v>
      </c>
      <c r="O448" s="263" t="n"/>
      <c r="P448" s="263" t="n">
        <v>140</v>
      </c>
      <c r="Q448" s="263" t="n">
        <v>42</v>
      </c>
      <c r="R448" s="263" t="inlineStr">
        <is>
          <t>계단식</t>
        </is>
      </c>
      <c r="S448" s="263" t="n">
        <v>4</v>
      </c>
      <c r="T448" s="263" t="n">
        <v>2</v>
      </c>
      <c r="U448" s="263" t="n">
        <v>19.6</v>
      </c>
      <c r="V448" s="263" t="n">
        <v>15.4</v>
      </c>
      <c r="W448" s="263" t="inlineStr">
        <is>
          <t>계단식</t>
        </is>
      </c>
      <c r="X448" s="263" t="n">
        <v>4</v>
      </c>
      <c r="Y448" s="263" t="n">
        <v>2</v>
      </c>
      <c r="Z448" s="263" t="n">
        <v>49</v>
      </c>
      <c r="AA448" s="263" t="n"/>
      <c r="AB448" s="263" t="n"/>
      <c r="AC448" s="263" t="n"/>
      <c r="AD448" s="263" t="n"/>
      <c r="AE448" s="263" t="n"/>
      <c r="AF448" s="263" t="n"/>
      <c r="AG448" s="263" t="n"/>
      <c r="AH448" s="263" t="n"/>
      <c r="AI448" s="263" t="n"/>
      <c r="AJ448" s="263" t="n"/>
      <c r="AK448" s="263" t="n"/>
    </row>
    <row r="449">
      <c r="A449" s="263" t="inlineStr">
        <is>
          <t>장지동</t>
        </is>
      </c>
      <c r="B449" s="263" t="n"/>
      <c r="C449" s="263" t="n"/>
      <c r="D449" s="263" t="n">
        <v>105367</v>
      </c>
      <c r="E449" s="267" t="inlineStr">
        <is>
          <t>위례신도시송파푸르지오</t>
        </is>
      </c>
      <c r="F449" s="263" t="n">
        <v>108</v>
      </c>
      <c r="G449" s="263" t="n"/>
      <c r="H449" s="263" t="n"/>
      <c r="I449" s="263">
        <f>G449-H449</f>
        <v/>
      </c>
      <c r="J449" s="323">
        <f>H449/G449</f>
        <v/>
      </c>
      <c r="K449" s="263" t="n">
        <v>2015.01</v>
      </c>
      <c r="L449" s="263" t="n">
        <v>549</v>
      </c>
      <c r="M449" s="263">
        <f>2026-INT(K449)+1</f>
        <v/>
      </c>
      <c r="N449" s="263" t="n">
        <v>218</v>
      </c>
      <c r="O449" s="263" t="n"/>
      <c r="P449" s="263" t="n">
        <v>139</v>
      </c>
      <c r="Q449" s="263" t="n">
        <v>42</v>
      </c>
      <c r="R449" s="263" t="inlineStr">
        <is>
          <t>계단식</t>
        </is>
      </c>
      <c r="S449" s="263" t="n">
        <v>4</v>
      </c>
      <c r="T449" s="263" t="n">
        <v>2</v>
      </c>
      <c r="U449" s="263" t="n">
        <v>19.6</v>
      </c>
      <c r="V449" s="263" t="n">
        <v>14.1</v>
      </c>
      <c r="W449" s="263" t="inlineStr">
        <is>
          <t>계단식</t>
        </is>
      </c>
      <c r="X449" s="263" t="n">
        <v>4</v>
      </c>
      <c r="Y449" s="263" t="n">
        <v>2</v>
      </c>
      <c r="Z449" s="263" t="n">
        <v>218</v>
      </c>
      <c r="AA449" s="263" t="n"/>
      <c r="AB449" s="263" t="n"/>
      <c r="AC449" s="263" t="n"/>
      <c r="AD449" s="263" t="n"/>
      <c r="AE449" s="263" t="n"/>
      <c r="AF449" s="263" t="n"/>
      <c r="AG449" s="263" t="n"/>
      <c r="AH449" s="263" t="n"/>
      <c r="AI449" s="263" t="n"/>
      <c r="AJ449" s="263" t="n"/>
      <c r="AK449" s="263" t="n"/>
    </row>
    <row r="450">
      <c r="A450" s="263" t="inlineStr">
        <is>
          <t>장지동</t>
        </is>
      </c>
      <c r="B450" s="263" t="n"/>
      <c r="C450" s="263" t="n"/>
      <c r="D450" s="263" t="n">
        <v>105367</v>
      </c>
      <c r="E450" s="267" t="inlineStr">
        <is>
          <t>위례신도시송파푸르지오</t>
        </is>
      </c>
      <c r="F450" s="263" t="n">
        <v>110</v>
      </c>
      <c r="G450" s="263" t="n"/>
      <c r="H450" s="263" t="n"/>
      <c r="I450" s="263">
        <f>G450-H450</f>
        <v/>
      </c>
      <c r="J450" s="323">
        <f>H450/G450</f>
        <v/>
      </c>
      <c r="K450" s="263" t="n">
        <v>2015.01</v>
      </c>
      <c r="L450" s="263" t="n">
        <v>549</v>
      </c>
      <c r="M450" s="263">
        <f>2026-INT(K450)+1</f>
        <v/>
      </c>
      <c r="N450" s="263" t="n">
        <v>8</v>
      </c>
      <c r="O450" s="263" t="n"/>
      <c r="P450" s="263" t="n">
        <v>143</v>
      </c>
      <c r="Q450" s="263" t="n">
        <v>43</v>
      </c>
      <c r="R450" s="263" t="inlineStr">
        <is>
          <t>계단식</t>
        </is>
      </c>
      <c r="S450" s="263" t="n">
        <v>4</v>
      </c>
      <c r="T450" s="263" t="n">
        <v>2</v>
      </c>
      <c r="U450" s="263" t="n"/>
      <c r="V450" s="263" t="n">
        <v>14.1</v>
      </c>
      <c r="W450" s="263" t="inlineStr">
        <is>
          <t>계단식</t>
        </is>
      </c>
      <c r="X450" s="263" t="n">
        <v>4</v>
      </c>
      <c r="Y450" s="263" t="n">
        <v>2</v>
      </c>
      <c r="Z450" s="263" t="n">
        <v>8</v>
      </c>
      <c r="AA450" s="263" t="n"/>
      <c r="AB450" s="263" t="n"/>
      <c r="AC450" s="263" t="n"/>
      <c r="AD450" s="263" t="n"/>
      <c r="AE450" s="263" t="n"/>
      <c r="AF450" s="263" t="n"/>
      <c r="AG450" s="263" t="n"/>
      <c r="AH450" s="263" t="n"/>
      <c r="AI450" s="263" t="n"/>
      <c r="AJ450" s="263" t="n"/>
      <c r="AK450" s="263" t="n"/>
    </row>
    <row r="451">
      <c r="A451" s="263" t="inlineStr">
        <is>
          <t>장지동</t>
        </is>
      </c>
      <c r="B451" s="263" t="n"/>
      <c r="C451" s="263" t="n"/>
      <c r="D451" s="263" t="n">
        <v>105367</v>
      </c>
      <c r="E451" s="267" t="inlineStr">
        <is>
          <t>위례신도시송파푸르지오</t>
        </is>
      </c>
      <c r="F451" s="263" t="n">
        <v>111</v>
      </c>
      <c r="G451" s="263" t="n"/>
      <c r="H451" s="263" t="n"/>
      <c r="I451" s="263">
        <f>G451-H451</f>
        <v/>
      </c>
      <c r="J451" s="323">
        <f>H451/G451</f>
        <v/>
      </c>
      <c r="K451" s="263" t="n">
        <v>2015.01</v>
      </c>
      <c r="L451" s="263" t="n">
        <v>549</v>
      </c>
      <c r="M451" s="263">
        <f>2026-INT(K451)+1</f>
        <v/>
      </c>
      <c r="N451" s="263" t="n">
        <v>60</v>
      </c>
      <c r="O451" s="263" t="n"/>
      <c r="P451" s="263" t="n">
        <v>145</v>
      </c>
      <c r="Q451" s="263" t="n">
        <v>44</v>
      </c>
      <c r="R451" s="263" t="inlineStr">
        <is>
          <t>계단식</t>
        </is>
      </c>
      <c r="S451" s="263" t="n">
        <v>4</v>
      </c>
      <c r="T451" s="263" t="n">
        <v>2</v>
      </c>
      <c r="U451" s="263" t="n">
        <v>18.4</v>
      </c>
      <c r="V451" s="263" t="n">
        <v>17.5</v>
      </c>
      <c r="W451" s="263" t="inlineStr">
        <is>
          <t>계단식</t>
        </is>
      </c>
      <c r="X451" s="263" t="n">
        <v>4</v>
      </c>
      <c r="Y451" s="263" t="n">
        <v>2</v>
      </c>
      <c r="Z451" s="263" t="n">
        <v>60</v>
      </c>
      <c r="AA451" s="263" t="n"/>
      <c r="AB451" s="263" t="n"/>
      <c r="AC451" s="263" t="n"/>
      <c r="AD451" s="263" t="n"/>
      <c r="AE451" s="263" t="n"/>
      <c r="AF451" s="263" t="n"/>
      <c r="AG451" s="263" t="n"/>
      <c r="AH451" s="263" t="n"/>
      <c r="AI451" s="263" t="n"/>
      <c r="AJ451" s="263" t="n"/>
      <c r="AK451" s="263" t="n"/>
    </row>
    <row r="452">
      <c r="A452" s="263" t="inlineStr">
        <is>
          <t>장지동</t>
        </is>
      </c>
      <c r="B452" s="263" t="n"/>
      <c r="C452" s="263" t="n"/>
      <c r="D452" s="263" t="n">
        <v>105367</v>
      </c>
      <c r="E452" s="267" t="inlineStr">
        <is>
          <t>위례신도시송파푸르지오</t>
        </is>
      </c>
      <c r="F452" s="263" t="n">
        <v>112</v>
      </c>
      <c r="G452" s="263" t="n"/>
      <c r="H452" s="263" t="n"/>
      <c r="I452" s="263">
        <f>G452-H452</f>
        <v/>
      </c>
      <c r="J452" s="323">
        <f>H452/G452</f>
        <v/>
      </c>
      <c r="K452" s="263" t="n">
        <v>2015.01</v>
      </c>
      <c r="L452" s="263" t="n">
        <v>549</v>
      </c>
      <c r="M452" s="263">
        <f>2026-INT(K452)+1</f>
        <v/>
      </c>
      <c r="N452" s="263" t="n">
        <v>45</v>
      </c>
      <c r="O452" s="263" t="n"/>
      <c r="P452" s="263" t="n">
        <v>145</v>
      </c>
      <c r="Q452" s="263" t="n">
        <v>44</v>
      </c>
      <c r="R452" s="263" t="inlineStr">
        <is>
          <t>계단식</t>
        </is>
      </c>
      <c r="S452" s="263" t="n">
        <v>4</v>
      </c>
      <c r="T452" s="263" t="n">
        <v>2</v>
      </c>
      <c r="U452" s="263" t="n">
        <v>18.4</v>
      </c>
      <c r="V452" s="263" t="n">
        <v>17.5</v>
      </c>
      <c r="W452" s="263" t="inlineStr">
        <is>
          <t>계단식</t>
        </is>
      </c>
      <c r="X452" s="263" t="n">
        <v>4</v>
      </c>
      <c r="Y452" s="263" t="n">
        <v>2</v>
      </c>
      <c r="Z452" s="263" t="n">
        <v>45</v>
      </c>
      <c r="AA452" s="263" t="n"/>
      <c r="AB452" s="263" t="n"/>
      <c r="AC452" s="263" t="n"/>
      <c r="AD452" s="263" t="n"/>
      <c r="AE452" s="263" t="n"/>
      <c r="AF452" s="263" t="n"/>
      <c r="AG452" s="263" t="n"/>
      <c r="AH452" s="263" t="n"/>
      <c r="AI452" s="263" t="n"/>
      <c r="AJ452" s="263" t="n"/>
      <c r="AK452" s="263" t="n"/>
    </row>
    <row r="453">
      <c r="A453" s="458" t="inlineStr">
        <is>
          <t>장지동</t>
        </is>
      </c>
      <c r="D453" s="458" t="n">
        <v>107339</v>
      </c>
      <c r="E453" s="268" t="inlineStr">
        <is>
          <t>위례아이파크</t>
        </is>
      </c>
      <c r="F453" s="458" t="n">
        <v>87</v>
      </c>
      <c r="I453" s="263">
        <f>G453-H453</f>
        <v/>
      </c>
      <c r="J453" s="323">
        <f>H453/G453</f>
        <v/>
      </c>
      <c r="K453" s="458" t="n">
        <v>2015.11</v>
      </c>
      <c r="L453" s="458" t="n">
        <v>400</v>
      </c>
      <c r="M453" s="458">
        <f>2026-INT(K453)+1</f>
        <v/>
      </c>
      <c r="N453" s="458" t="n">
        <v>180</v>
      </c>
      <c r="P453" s="458" t="n">
        <v>115</v>
      </c>
      <c r="Q453" s="458" t="n">
        <v>35</v>
      </c>
      <c r="R453" s="458" t="inlineStr">
        <is>
          <t>계단식</t>
        </is>
      </c>
      <c r="S453" s="458" t="n">
        <v>3</v>
      </c>
      <c r="T453" s="458" t="n">
        <v>2</v>
      </c>
      <c r="U453" s="458" t="n">
        <v>14.5</v>
      </c>
      <c r="V453" s="458" t="n">
        <v>13.5</v>
      </c>
      <c r="W453" s="458" t="inlineStr">
        <is>
          <t>계단식</t>
        </is>
      </c>
      <c r="X453" s="458" t="n">
        <v>3</v>
      </c>
      <c r="Y453" s="458" t="n">
        <v>2</v>
      </c>
      <c r="Z453" s="458" t="n">
        <v>180</v>
      </c>
    </row>
    <row r="454">
      <c r="A454" s="458" t="inlineStr">
        <is>
          <t>장지동</t>
        </is>
      </c>
      <c r="D454" s="458" t="n">
        <v>107339</v>
      </c>
      <c r="E454" s="268" t="inlineStr">
        <is>
          <t>위례아이파크</t>
        </is>
      </c>
      <c r="F454" s="458" t="n">
        <v>100</v>
      </c>
      <c r="I454" s="263">
        <f>G454-H454</f>
        <v/>
      </c>
      <c r="J454" s="323">
        <f>H454/G454</f>
        <v/>
      </c>
      <c r="K454" s="458" t="n">
        <v>2015.11</v>
      </c>
      <c r="L454" s="458" t="n">
        <v>400</v>
      </c>
      <c r="M454" s="458">
        <f>2026-INT(K454)+1</f>
        <v/>
      </c>
      <c r="N454" s="458" t="n">
        <v>149</v>
      </c>
      <c r="P454" s="458" t="n">
        <v>131</v>
      </c>
      <c r="Q454" s="458" t="n">
        <v>40</v>
      </c>
      <c r="R454" s="458" t="inlineStr">
        <is>
          <t>계단식</t>
        </is>
      </c>
      <c r="S454" s="458" t="n">
        <v>4</v>
      </c>
      <c r="T454" s="458" t="n">
        <v>2</v>
      </c>
      <c r="U454" s="458" t="n">
        <v>20</v>
      </c>
      <c r="V454" s="458" t="n">
        <v>17.4</v>
      </c>
      <c r="W454" s="458" t="inlineStr">
        <is>
          <t>계단식</t>
        </is>
      </c>
      <c r="X454" s="458" t="n">
        <v>4</v>
      </c>
      <c r="Y454" s="458" t="n">
        <v>2</v>
      </c>
      <c r="Z454" s="458" t="n">
        <v>149</v>
      </c>
    </row>
    <row r="455">
      <c r="A455" s="458" t="inlineStr">
        <is>
          <t>장지동</t>
        </is>
      </c>
      <c r="D455" s="458" t="n">
        <v>107339</v>
      </c>
      <c r="E455" s="268" t="inlineStr">
        <is>
          <t>위례아이파크</t>
        </is>
      </c>
      <c r="F455" s="458" t="n">
        <v>108</v>
      </c>
      <c r="I455" s="263">
        <f>G455-H455</f>
        <v/>
      </c>
      <c r="J455" s="323">
        <f>H455/G455</f>
        <v/>
      </c>
      <c r="K455" s="458" t="n">
        <v>2015.11</v>
      </c>
      <c r="L455" s="458" t="n">
        <v>400</v>
      </c>
      <c r="M455" s="458">
        <f>2026-INT(K455)+1</f>
        <v/>
      </c>
      <c r="N455" s="458" t="n">
        <v>23</v>
      </c>
      <c r="P455" s="458" t="n">
        <v>142</v>
      </c>
      <c r="Q455" s="458" t="n">
        <v>43</v>
      </c>
      <c r="R455" s="458" t="inlineStr">
        <is>
          <t>계단식</t>
        </is>
      </c>
      <c r="S455" s="458" t="n">
        <v>4</v>
      </c>
      <c r="T455" s="458" t="n">
        <v>2</v>
      </c>
      <c r="U455" s="458" t="n">
        <v>20</v>
      </c>
      <c r="W455" s="458" t="inlineStr">
        <is>
          <t>계단식</t>
        </is>
      </c>
      <c r="X455" s="458" t="n">
        <v>4</v>
      </c>
      <c r="Y455" s="458" t="n">
        <v>2</v>
      </c>
      <c r="Z455" s="458" t="n">
        <v>23</v>
      </c>
    </row>
    <row r="456">
      <c r="A456" s="458" t="inlineStr">
        <is>
          <t>장지동</t>
        </is>
      </c>
      <c r="D456" s="458" t="n">
        <v>107339</v>
      </c>
      <c r="E456" s="268" t="inlineStr">
        <is>
          <t>위례아이파크</t>
        </is>
      </c>
      <c r="F456" s="458" t="n">
        <v>114</v>
      </c>
      <c r="I456" s="263">
        <f>G456-H456</f>
        <v/>
      </c>
      <c r="J456" s="323">
        <f>H456/G456</f>
        <v/>
      </c>
      <c r="K456" s="458" t="n">
        <v>2015.11</v>
      </c>
      <c r="L456" s="458" t="n">
        <v>400</v>
      </c>
      <c r="M456" s="458">
        <f>2026-INT(K456)+1</f>
        <v/>
      </c>
      <c r="N456" s="458" t="n">
        <v>45</v>
      </c>
      <c r="P456" s="458" t="n">
        <v>150</v>
      </c>
      <c r="Q456" s="458" t="n">
        <v>45</v>
      </c>
      <c r="R456" s="458" t="inlineStr">
        <is>
          <t>계단식</t>
        </is>
      </c>
      <c r="S456" s="458" t="n">
        <v>4</v>
      </c>
      <c r="T456" s="458" t="n">
        <v>2</v>
      </c>
      <c r="U456" s="458" t="n">
        <v>20.1</v>
      </c>
      <c r="V456" s="458" t="n">
        <v>18.95</v>
      </c>
      <c r="W456" s="458" t="inlineStr">
        <is>
          <t>계단식</t>
        </is>
      </c>
      <c r="X456" s="458" t="n">
        <v>4</v>
      </c>
      <c r="Y456" s="458" t="n">
        <v>2</v>
      </c>
      <c r="Z456" s="458" t="n">
        <v>45</v>
      </c>
    </row>
    <row r="457">
      <c r="A457" s="458" t="inlineStr">
        <is>
          <t>장지동</t>
        </is>
      </c>
      <c r="D457" s="458" t="n">
        <v>107339</v>
      </c>
      <c r="E457" s="268" t="inlineStr">
        <is>
          <t>위례아이파크</t>
        </is>
      </c>
      <c r="F457" s="458" t="n">
        <v>128</v>
      </c>
      <c r="I457" s="263">
        <f>G457-H457</f>
        <v/>
      </c>
      <c r="J457" s="323">
        <f>H457/G457</f>
        <v/>
      </c>
      <c r="K457" s="458" t="n">
        <v>2015.11</v>
      </c>
      <c r="L457" s="458" t="n">
        <v>400</v>
      </c>
      <c r="M457" s="458">
        <f>2026-INT(K457)+1</f>
        <v/>
      </c>
      <c r="N457" s="458" t="n">
        <v>3</v>
      </c>
      <c r="P457" s="458" t="n">
        <v>172</v>
      </c>
      <c r="Q457" s="458" t="n">
        <v>52</v>
      </c>
      <c r="R457" s="458" t="inlineStr">
        <is>
          <t>계단식</t>
        </is>
      </c>
      <c r="S457" s="458" t="n">
        <v>4</v>
      </c>
      <c r="T457" s="458" t="n">
        <v>2</v>
      </c>
      <c r="W457" s="458" t="inlineStr">
        <is>
          <t>계단식</t>
        </is>
      </c>
      <c r="X457" s="458" t="n">
        <v>4</v>
      </c>
      <c r="Y457" s="458" t="n">
        <v>2</v>
      </c>
      <c r="Z457" s="458" t="n">
        <v>3</v>
      </c>
    </row>
    <row r="458">
      <c r="A458" s="263" t="inlineStr">
        <is>
          <t>장지동</t>
        </is>
      </c>
      <c r="B458" s="263" t="n"/>
      <c r="C458" s="263" t="n"/>
      <c r="D458" s="263" t="n">
        <v>107550</v>
      </c>
      <c r="E458" s="267" t="inlineStr">
        <is>
          <t>위례아이파크2차</t>
        </is>
      </c>
      <c r="F458" s="263" t="n">
        <v>90</v>
      </c>
      <c r="G458" s="263" t="n"/>
      <c r="H458" s="263" t="n"/>
      <c r="I458" s="263">
        <f>G458-H458</f>
        <v/>
      </c>
      <c r="J458" s="323">
        <f>H458/G458</f>
        <v/>
      </c>
      <c r="K458" s="263" t="n">
        <v>2016.05</v>
      </c>
      <c r="L458" s="263" t="n">
        <v>495</v>
      </c>
      <c r="M458" s="263">
        <f>2026-INT(K458)+1</f>
        <v/>
      </c>
      <c r="N458" s="263" t="n">
        <v>278</v>
      </c>
      <c r="O458" s="263" t="n"/>
      <c r="P458" s="263" t="n">
        <v>118</v>
      </c>
      <c r="Q458" s="263" t="n">
        <v>36</v>
      </c>
      <c r="R458" s="263" t="inlineStr">
        <is>
          <t>계단식</t>
        </is>
      </c>
      <c r="S458" s="263" t="n">
        <v>3</v>
      </c>
      <c r="T458" s="263" t="n">
        <v>2</v>
      </c>
      <c r="U458" s="263" t="n">
        <v>18</v>
      </c>
      <c r="V458" s="263" t="n">
        <v>14.5</v>
      </c>
      <c r="W458" s="263" t="inlineStr">
        <is>
          <t>계단식</t>
        </is>
      </c>
      <c r="X458" s="263" t="n">
        <v>3</v>
      </c>
      <c r="Y458" s="263" t="n">
        <v>2</v>
      </c>
      <c r="Z458" s="263" t="n">
        <v>278</v>
      </c>
      <c r="AA458" s="263" t="n"/>
      <c r="AB458" s="263" t="n"/>
      <c r="AC458" s="263" t="n"/>
      <c r="AD458" s="263" t="n"/>
      <c r="AE458" s="263" t="n"/>
      <c r="AF458" s="263" t="n"/>
      <c r="AG458" s="263" t="n"/>
      <c r="AH458" s="263" t="n"/>
      <c r="AI458" s="263" t="n"/>
      <c r="AJ458" s="263" t="n"/>
      <c r="AK458" s="263" t="n"/>
    </row>
    <row r="459">
      <c r="A459" s="263" t="inlineStr">
        <is>
          <t>장지동</t>
        </is>
      </c>
      <c r="B459" s="263" t="n"/>
      <c r="C459" s="263" t="n"/>
      <c r="D459" s="263" t="n">
        <v>107550</v>
      </c>
      <c r="E459" s="267" t="inlineStr">
        <is>
          <t>위례아이파크2차</t>
        </is>
      </c>
      <c r="F459" s="263" t="n">
        <v>108</v>
      </c>
      <c r="G459" s="263" t="n"/>
      <c r="H459" s="263" t="n"/>
      <c r="I459" s="263">
        <f>G459-H459</f>
        <v/>
      </c>
      <c r="J459" s="323">
        <f>H459/G459</f>
        <v/>
      </c>
      <c r="K459" s="263" t="n">
        <v>2016.05</v>
      </c>
      <c r="L459" s="263" t="n">
        <v>495</v>
      </c>
      <c r="M459" s="263">
        <f>2026-INT(K459)+1</f>
        <v/>
      </c>
      <c r="N459" s="263" t="n">
        <v>104</v>
      </c>
      <c r="O459" s="263" t="n"/>
      <c r="P459" s="263" t="n">
        <v>141</v>
      </c>
      <c r="Q459" s="263" t="n">
        <v>43</v>
      </c>
      <c r="R459" s="263" t="inlineStr">
        <is>
          <t>계단식</t>
        </is>
      </c>
      <c r="S459" s="263" t="n">
        <v>4</v>
      </c>
      <c r="T459" s="263" t="n">
        <v>2</v>
      </c>
      <c r="U459" s="263" t="n">
        <v>17.45</v>
      </c>
      <c r="V459" s="263" t="n">
        <v>17.6</v>
      </c>
      <c r="W459" s="263" t="inlineStr">
        <is>
          <t>계단식</t>
        </is>
      </c>
      <c r="X459" s="263" t="n">
        <v>4</v>
      </c>
      <c r="Y459" s="263" t="n">
        <v>2</v>
      </c>
      <c r="Z459" s="263" t="n">
        <v>104</v>
      </c>
      <c r="AA459" s="263" t="n"/>
      <c r="AB459" s="263" t="n"/>
      <c r="AC459" s="263" t="n"/>
      <c r="AD459" s="263" t="n"/>
      <c r="AE459" s="263" t="n"/>
      <c r="AF459" s="263" t="n"/>
      <c r="AG459" s="263" t="n"/>
      <c r="AH459" s="263" t="n"/>
      <c r="AI459" s="263" t="n"/>
      <c r="AJ459" s="263" t="n"/>
      <c r="AK459" s="263" t="n"/>
    </row>
    <row r="460">
      <c r="A460" s="263" t="inlineStr">
        <is>
          <t>장지동</t>
        </is>
      </c>
      <c r="B460" s="263" t="n"/>
      <c r="C460" s="263" t="n"/>
      <c r="D460" s="263" t="n">
        <v>107550</v>
      </c>
      <c r="E460" s="267" t="inlineStr">
        <is>
          <t>위례아이파크2차</t>
        </is>
      </c>
      <c r="F460" s="263" t="n">
        <v>115</v>
      </c>
      <c r="G460" s="263" t="n"/>
      <c r="H460" s="263" t="n"/>
      <c r="I460" s="263">
        <f>G460-H460</f>
        <v/>
      </c>
      <c r="J460" s="323">
        <f>H460/G460</f>
        <v/>
      </c>
      <c r="K460" s="263" t="n">
        <v>2016.05</v>
      </c>
      <c r="L460" s="263" t="n">
        <v>495</v>
      </c>
      <c r="M460" s="263">
        <f>2026-INT(K460)+1</f>
        <v/>
      </c>
      <c r="N460" s="263" t="n">
        <v>113</v>
      </c>
      <c r="O460" s="263" t="n"/>
      <c r="P460" s="263" t="n">
        <v>149</v>
      </c>
      <c r="Q460" s="263" t="n">
        <v>45</v>
      </c>
      <c r="R460" s="263" t="inlineStr">
        <is>
          <t>계단식</t>
        </is>
      </c>
      <c r="S460" s="263" t="n">
        <v>4</v>
      </c>
      <c r="T460" s="263" t="n">
        <v>2</v>
      </c>
      <c r="U460" s="263" t="n">
        <v>21.5</v>
      </c>
      <c r="V460" s="263" t="n">
        <v>18.6</v>
      </c>
      <c r="W460" s="263" t="inlineStr">
        <is>
          <t>계단식</t>
        </is>
      </c>
      <c r="X460" s="263" t="n">
        <v>4</v>
      </c>
      <c r="Y460" s="263" t="n">
        <v>2</v>
      </c>
      <c r="Z460" s="263" t="n">
        <v>113</v>
      </c>
      <c r="AA460" s="263" t="n"/>
      <c r="AB460" s="263" t="n"/>
      <c r="AC460" s="263" t="n"/>
      <c r="AD460" s="263" t="n"/>
      <c r="AE460" s="263" t="n"/>
      <c r="AF460" s="263" t="n"/>
      <c r="AG460" s="263" t="n"/>
      <c r="AH460" s="263" t="n"/>
      <c r="AI460" s="263" t="n"/>
      <c r="AJ460" s="263" t="n"/>
      <c r="AK460" s="263" t="n"/>
    </row>
    <row r="461">
      <c r="A461" s="458" t="inlineStr">
        <is>
          <t>장지동</t>
        </is>
      </c>
      <c r="D461" s="458" t="n">
        <v>109174</v>
      </c>
      <c r="E461" s="146" t="inlineStr">
        <is>
          <t>위례중앙푸르지오</t>
        </is>
      </c>
      <c r="F461" s="458" t="n">
        <v>84</v>
      </c>
      <c r="G461" s="458" t="n">
        <v>240000</v>
      </c>
      <c r="H461" s="458" t="n">
        <v>90000</v>
      </c>
      <c r="I461" s="263">
        <f>G461-H461</f>
        <v/>
      </c>
      <c r="J461" s="323">
        <f>H461/G461</f>
        <v/>
      </c>
      <c r="K461" s="458" t="n">
        <v>2016.12</v>
      </c>
      <c r="L461" s="458" t="n">
        <v>311</v>
      </c>
      <c r="M461" s="458">
        <f>2026-INT(K461)+1</f>
        <v/>
      </c>
      <c r="N461" s="458" t="n">
        <v>162</v>
      </c>
      <c r="P461" s="458" t="n">
        <v>110</v>
      </c>
      <c r="Q461" s="458" t="n">
        <v>33</v>
      </c>
      <c r="R461" s="458" t="inlineStr">
        <is>
          <t>계단식</t>
        </is>
      </c>
      <c r="S461" s="458" t="n">
        <v>3</v>
      </c>
      <c r="T461" s="458" t="n">
        <v>2</v>
      </c>
      <c r="U461" s="458" t="n">
        <v>18.5</v>
      </c>
      <c r="V461" s="458" t="n">
        <v>18.5</v>
      </c>
      <c r="W461" s="458" t="inlineStr">
        <is>
          <t>계단식</t>
        </is>
      </c>
      <c r="X461" s="458" t="n">
        <v>3</v>
      </c>
      <c r="Y461" s="458" t="n">
        <v>2</v>
      </c>
      <c r="Z461" s="458" t="n">
        <v>162</v>
      </c>
    </row>
    <row r="462">
      <c r="A462" s="458" t="inlineStr">
        <is>
          <t>장지동</t>
        </is>
      </c>
      <c r="D462" s="458" t="n">
        <v>109174</v>
      </c>
      <c r="E462" s="268" t="inlineStr">
        <is>
          <t>위례중앙푸르지오</t>
        </is>
      </c>
      <c r="F462" s="458" t="n">
        <v>102</v>
      </c>
      <c r="I462" s="263">
        <f>G462-H462</f>
        <v/>
      </c>
      <c r="J462" s="323">
        <f>H462/G462</f>
        <v/>
      </c>
      <c r="K462" s="458" t="n">
        <v>2016.12</v>
      </c>
      <c r="L462" s="458" t="n">
        <v>311</v>
      </c>
      <c r="M462" s="458">
        <f>2026-INT(K462)+1</f>
        <v/>
      </c>
      <c r="N462" s="458" t="n">
        <v>17</v>
      </c>
      <c r="P462" s="458" t="n">
        <v>134</v>
      </c>
      <c r="Q462" s="458" t="n">
        <v>41</v>
      </c>
      <c r="R462" s="458" t="inlineStr">
        <is>
          <t>계단식</t>
        </is>
      </c>
      <c r="S462" s="458" t="n">
        <v>4</v>
      </c>
      <c r="T462" s="458" t="n">
        <v>2</v>
      </c>
      <c r="V462" s="458" t="n">
        <v>10.61</v>
      </c>
      <c r="W462" s="458" t="inlineStr">
        <is>
          <t>계단식</t>
        </is>
      </c>
      <c r="X462" s="458" t="n">
        <v>4</v>
      </c>
      <c r="Y462" s="458" t="n">
        <v>2</v>
      </c>
      <c r="Z462" s="458" t="n">
        <v>17</v>
      </c>
    </row>
    <row r="463">
      <c r="A463" s="458" t="inlineStr">
        <is>
          <t>장지동</t>
        </is>
      </c>
      <c r="D463" s="458" t="n">
        <v>109174</v>
      </c>
      <c r="E463" s="268" t="inlineStr">
        <is>
          <t>위례중앙푸르지오</t>
        </is>
      </c>
      <c r="F463" s="458" t="n">
        <v>106</v>
      </c>
      <c r="I463" s="263">
        <f>G463-H463</f>
        <v/>
      </c>
      <c r="J463" s="323">
        <f>H463/G463</f>
        <v/>
      </c>
      <c r="K463" s="458" t="n">
        <v>2016.12</v>
      </c>
      <c r="L463" s="458" t="n">
        <v>311</v>
      </c>
      <c r="M463" s="458">
        <f>2026-INT(K463)+1</f>
        <v/>
      </c>
      <c r="N463" s="458" t="n">
        <v>68</v>
      </c>
      <c r="P463" s="458" t="n">
        <v>139</v>
      </c>
      <c r="Q463" s="458" t="n">
        <v>42</v>
      </c>
      <c r="R463" s="458" t="inlineStr">
        <is>
          <t>계단식</t>
        </is>
      </c>
      <c r="S463" s="458" t="n">
        <v>4</v>
      </c>
      <c r="T463" s="458" t="n">
        <v>2</v>
      </c>
      <c r="U463" s="458" t="n">
        <v>19.8</v>
      </c>
      <c r="V463" s="458" t="n">
        <v>16.6</v>
      </c>
      <c r="W463" s="458" t="inlineStr">
        <is>
          <t>계단식</t>
        </is>
      </c>
      <c r="X463" s="458" t="n">
        <v>4</v>
      </c>
      <c r="Y463" s="458" t="n">
        <v>2</v>
      </c>
      <c r="Z463" s="458" t="n">
        <v>68</v>
      </c>
    </row>
    <row r="464">
      <c r="A464" s="458" t="inlineStr">
        <is>
          <t>장지동</t>
        </is>
      </c>
      <c r="D464" s="458" t="n">
        <v>109174</v>
      </c>
      <c r="E464" s="268" t="inlineStr">
        <is>
          <t>위례중앙푸르지오</t>
        </is>
      </c>
      <c r="F464" s="458" t="n">
        <v>110</v>
      </c>
      <c r="I464" s="263">
        <f>G464-H464</f>
        <v/>
      </c>
      <c r="J464" s="323">
        <f>H464/G464</f>
        <v/>
      </c>
      <c r="K464" s="458" t="n">
        <v>2016.12</v>
      </c>
      <c r="L464" s="458" t="n">
        <v>311</v>
      </c>
      <c r="M464" s="458">
        <f>2026-INT(K464)+1</f>
        <v/>
      </c>
      <c r="N464" s="458" t="n">
        <v>56</v>
      </c>
      <c r="P464" s="458" t="n">
        <v>143</v>
      </c>
      <c r="Q464" s="458" t="n">
        <v>43</v>
      </c>
      <c r="R464" s="458" t="inlineStr">
        <is>
          <t>계단식</t>
        </is>
      </c>
      <c r="S464" s="458" t="n">
        <v>4</v>
      </c>
      <c r="T464" s="458" t="n">
        <v>2</v>
      </c>
      <c r="U464" s="458" t="n">
        <v>19.9</v>
      </c>
      <c r="W464" s="458" t="inlineStr">
        <is>
          <t>계단식</t>
        </is>
      </c>
      <c r="X464" s="458" t="n">
        <v>4</v>
      </c>
      <c r="Y464" s="458" t="n">
        <v>2</v>
      </c>
      <c r="Z464" s="458" t="n">
        <v>56</v>
      </c>
    </row>
    <row r="465">
      <c r="A465" s="458" t="inlineStr">
        <is>
          <t>장지동</t>
        </is>
      </c>
      <c r="D465" s="458" t="n">
        <v>109174</v>
      </c>
      <c r="E465" s="268" t="inlineStr">
        <is>
          <t>위례중앙푸르지오</t>
        </is>
      </c>
      <c r="F465" s="458" t="n">
        <v>152</v>
      </c>
      <c r="I465" s="263">
        <f>G465-H465</f>
        <v/>
      </c>
      <c r="J465" s="323">
        <f>H465/G465</f>
        <v/>
      </c>
      <c r="K465" s="458" t="n">
        <v>2016.12</v>
      </c>
      <c r="L465" s="458" t="n">
        <v>311</v>
      </c>
      <c r="M465" s="458">
        <f>2026-INT(K465)+1</f>
        <v/>
      </c>
      <c r="N465" s="458" t="n">
        <v>2</v>
      </c>
      <c r="P465" s="458" t="n">
        <v>202</v>
      </c>
      <c r="Q465" s="458" t="n">
        <v>61</v>
      </c>
      <c r="R465" s="458" t="inlineStr">
        <is>
          <t>계단식</t>
        </is>
      </c>
      <c r="S465" s="458" t="n">
        <v>4</v>
      </c>
      <c r="T465" s="458" t="n">
        <v>3</v>
      </c>
      <c r="U465" s="458" t="n">
        <v>23</v>
      </c>
      <c r="W465" s="458" t="inlineStr">
        <is>
          <t>계단식</t>
        </is>
      </c>
      <c r="X465" s="458" t="n">
        <v>4</v>
      </c>
      <c r="Y465" s="458" t="n">
        <v>3</v>
      </c>
      <c r="Z465" s="458" t="n">
        <v>2</v>
      </c>
    </row>
    <row r="466">
      <c r="A466" s="458" t="inlineStr">
        <is>
          <t>장지동</t>
        </is>
      </c>
      <c r="D466" s="458" t="n">
        <v>109174</v>
      </c>
      <c r="E466" s="268" t="inlineStr">
        <is>
          <t>위례중앙푸르지오</t>
        </is>
      </c>
      <c r="F466" s="458" t="n">
        <v>161</v>
      </c>
      <c r="I466" s="263">
        <f>G466-H466</f>
        <v/>
      </c>
      <c r="J466" s="323">
        <f>H466/G466</f>
        <v/>
      </c>
      <c r="K466" s="458" t="n">
        <v>2016.12</v>
      </c>
      <c r="L466" s="458" t="n">
        <v>311</v>
      </c>
      <c r="M466" s="458">
        <f>2026-INT(K466)+1</f>
        <v/>
      </c>
      <c r="N466" s="458" t="n">
        <v>2</v>
      </c>
      <c r="P466" s="458" t="n">
        <v>214</v>
      </c>
      <c r="Q466" s="458" t="n">
        <v>65</v>
      </c>
      <c r="R466" s="458" t="inlineStr">
        <is>
          <t>계단식</t>
        </is>
      </c>
      <c r="S466" s="458" t="n">
        <v>5</v>
      </c>
      <c r="T466" s="458" t="n">
        <v>3</v>
      </c>
      <c r="W466" s="458" t="inlineStr">
        <is>
          <t>계단식</t>
        </is>
      </c>
      <c r="X466" s="458" t="n">
        <v>5</v>
      </c>
      <c r="Y466" s="458" t="n">
        <v>3</v>
      </c>
      <c r="Z466" s="458" t="n">
        <v>2</v>
      </c>
    </row>
    <row r="467">
      <c r="A467" s="458" t="inlineStr">
        <is>
          <t>장지동</t>
        </is>
      </c>
      <c r="D467" s="458" t="n">
        <v>109174</v>
      </c>
      <c r="E467" s="268" t="inlineStr">
        <is>
          <t>위례중앙푸르지오</t>
        </is>
      </c>
      <c r="F467" s="458" t="n">
        <v>187</v>
      </c>
      <c r="I467" s="263">
        <f>G467-H467</f>
        <v/>
      </c>
      <c r="J467" s="323">
        <f>H467/G467</f>
        <v/>
      </c>
      <c r="K467" s="458" t="n">
        <v>2016.12</v>
      </c>
      <c r="L467" s="458" t="n">
        <v>311</v>
      </c>
      <c r="M467" s="458">
        <f>2026-INT(K467)+1</f>
        <v/>
      </c>
      <c r="N467" s="458" t="n">
        <v>1</v>
      </c>
      <c r="P467" s="458" t="n">
        <v>247</v>
      </c>
      <c r="Q467" s="458" t="n">
        <v>75</v>
      </c>
      <c r="R467" s="458" t="inlineStr">
        <is>
          <t>계단식</t>
        </is>
      </c>
      <c r="S467" s="458" t="n">
        <v>4</v>
      </c>
      <c r="T467" s="458" t="n">
        <v>3</v>
      </c>
      <c r="W467" s="458" t="inlineStr">
        <is>
          <t>계단식</t>
        </is>
      </c>
      <c r="X467" s="458" t="n">
        <v>4</v>
      </c>
      <c r="Y467" s="458" t="n">
        <v>3</v>
      </c>
      <c r="Z467" s="458" t="n">
        <v>1</v>
      </c>
    </row>
    <row r="468">
      <c r="A468" s="458" t="inlineStr">
        <is>
          <t>장지동</t>
        </is>
      </c>
      <c r="D468" s="458" t="n">
        <v>109174</v>
      </c>
      <c r="E468" s="268" t="inlineStr">
        <is>
          <t>위례중앙푸르지오</t>
        </is>
      </c>
      <c r="F468" s="458" t="n">
        <v>194</v>
      </c>
      <c r="I468" s="263">
        <f>G468-H468</f>
        <v/>
      </c>
      <c r="J468" s="323">
        <f>H468/G468</f>
        <v/>
      </c>
      <c r="K468" s="458" t="n">
        <v>2016.12</v>
      </c>
      <c r="L468" s="458" t="n">
        <v>311</v>
      </c>
      <c r="M468" s="458">
        <f>2026-INT(K468)+1</f>
        <v/>
      </c>
      <c r="N468" s="458" t="n">
        <v>1</v>
      </c>
      <c r="P468" s="458" t="n">
        <v>255</v>
      </c>
      <c r="Q468" s="458" t="n">
        <v>77</v>
      </c>
      <c r="R468" s="458" t="inlineStr">
        <is>
          <t>계단식</t>
        </is>
      </c>
      <c r="S468" s="458" t="n">
        <v>4</v>
      </c>
      <c r="T468" s="458" t="n">
        <v>3</v>
      </c>
      <c r="W468" s="458" t="inlineStr">
        <is>
          <t>계단식</t>
        </is>
      </c>
      <c r="X468" s="458" t="n">
        <v>4</v>
      </c>
      <c r="Y468" s="458" t="n">
        <v>3</v>
      </c>
      <c r="Z468" s="458" t="n">
        <v>1</v>
      </c>
    </row>
    <row r="469">
      <c r="A469" s="458" t="inlineStr">
        <is>
          <t>장지동</t>
        </is>
      </c>
      <c r="D469" s="458" t="n">
        <v>109174</v>
      </c>
      <c r="E469" s="268" t="inlineStr">
        <is>
          <t>위례중앙푸르지오</t>
        </is>
      </c>
      <c r="F469" s="458" t="n">
        <v>195</v>
      </c>
      <c r="I469" s="263">
        <f>G469-H469</f>
        <v/>
      </c>
      <c r="J469" s="323">
        <f>H469/G469</f>
        <v/>
      </c>
      <c r="K469" s="458" t="n">
        <v>2016.12</v>
      </c>
      <c r="L469" s="458" t="n">
        <v>311</v>
      </c>
      <c r="M469" s="458">
        <f>2026-INT(K469)+1</f>
        <v/>
      </c>
      <c r="N469" s="458" t="n">
        <v>1</v>
      </c>
      <c r="P469" s="458" t="n">
        <v>259</v>
      </c>
      <c r="Q469" s="458" t="n">
        <v>78</v>
      </c>
      <c r="R469" s="458" t="inlineStr">
        <is>
          <t>계단식</t>
        </is>
      </c>
      <c r="S469" s="458" t="n">
        <v>5</v>
      </c>
      <c r="T469" s="458" t="n">
        <v>3</v>
      </c>
      <c r="W469" s="458" t="inlineStr">
        <is>
          <t>계단식</t>
        </is>
      </c>
      <c r="X469" s="458" t="n">
        <v>5</v>
      </c>
      <c r="Y469" s="458" t="n">
        <v>3</v>
      </c>
      <c r="Z469" s="458" t="n">
        <v>1</v>
      </c>
    </row>
    <row r="470">
      <c r="A470" s="458" t="inlineStr">
        <is>
          <t>장지동</t>
        </is>
      </c>
      <c r="D470" s="458" t="n">
        <v>109174</v>
      </c>
      <c r="E470" s="268" t="inlineStr">
        <is>
          <t>위례중앙푸르지오</t>
        </is>
      </c>
      <c r="F470" s="458" t="n">
        <v>196</v>
      </c>
      <c r="I470" s="263">
        <f>G470-H470</f>
        <v/>
      </c>
      <c r="J470" s="323">
        <f>H470/G470</f>
        <v/>
      </c>
      <c r="K470" s="458" t="n">
        <v>2016.12</v>
      </c>
      <c r="L470" s="458" t="n">
        <v>311</v>
      </c>
      <c r="M470" s="458">
        <f>2026-INT(K470)+1</f>
        <v/>
      </c>
      <c r="N470" s="458" t="n">
        <v>1</v>
      </c>
      <c r="P470" s="458" t="n">
        <v>262</v>
      </c>
      <c r="Q470" s="458" t="n">
        <v>79</v>
      </c>
      <c r="R470" s="458" t="inlineStr">
        <is>
          <t>계단식</t>
        </is>
      </c>
      <c r="S470" s="458" t="n">
        <v>5</v>
      </c>
      <c r="T470" s="458" t="n">
        <v>3</v>
      </c>
      <c r="W470" s="458" t="inlineStr">
        <is>
          <t>계단식</t>
        </is>
      </c>
      <c r="X470" s="458" t="n">
        <v>5</v>
      </c>
      <c r="Y470" s="458" t="n">
        <v>3</v>
      </c>
      <c r="Z470" s="458" t="n">
        <v>1</v>
      </c>
    </row>
    <row r="471">
      <c r="A471" s="263" t="inlineStr">
        <is>
          <t>장지동</t>
        </is>
      </c>
      <c r="B471" s="263" t="n"/>
      <c r="C471" s="263" t="n"/>
      <c r="D471" s="263" t="n">
        <v>107807</v>
      </c>
      <c r="E471" s="267" t="inlineStr">
        <is>
          <t>힐스테이트송파위례</t>
        </is>
      </c>
      <c r="F471" s="263" t="n">
        <v>101</v>
      </c>
      <c r="G471" s="263" t="n"/>
      <c r="H471" s="263" t="n"/>
      <c r="I471" s="263">
        <f>G471-H471</f>
        <v/>
      </c>
      <c r="J471" s="323">
        <f>H471/G471</f>
        <v/>
      </c>
      <c r="K471" s="263" t="n">
        <v>2016.07</v>
      </c>
      <c r="L471" s="263" t="n">
        <v>490</v>
      </c>
      <c r="M471" s="263">
        <f>2026-INT(K471)+1</f>
        <v/>
      </c>
      <c r="N471" s="263" t="n">
        <v>472</v>
      </c>
      <c r="O471" s="263" t="n"/>
      <c r="P471" s="263" t="n">
        <v>130</v>
      </c>
      <c r="Q471" s="263" t="n">
        <v>39</v>
      </c>
      <c r="R471" s="263" t="inlineStr">
        <is>
          <t>계단식</t>
        </is>
      </c>
      <c r="S471" s="263" t="n">
        <v>4</v>
      </c>
      <c r="T471" s="263" t="n">
        <v>2</v>
      </c>
      <c r="U471" s="263" t="n">
        <v>19.2</v>
      </c>
      <c r="V471" s="263" t="n">
        <v>15.3</v>
      </c>
      <c r="W471" s="263" t="inlineStr">
        <is>
          <t>계단식</t>
        </is>
      </c>
      <c r="X471" s="263" t="n">
        <v>4</v>
      </c>
      <c r="Y471" s="263" t="n">
        <v>2</v>
      </c>
      <c r="Z471" s="263" t="n">
        <v>472</v>
      </c>
      <c r="AA471" s="263" t="n"/>
      <c r="AB471" s="263" t="n"/>
      <c r="AC471" s="263" t="n"/>
      <c r="AD471" s="263" t="n"/>
      <c r="AE471" s="263" t="n"/>
      <c r="AF471" s="263" t="n"/>
      <c r="AG471" s="263" t="n"/>
      <c r="AH471" s="263" t="n"/>
      <c r="AI471" s="263" t="n"/>
      <c r="AJ471" s="263" t="n"/>
      <c r="AK471" s="263" t="n"/>
    </row>
    <row r="472">
      <c r="A472" s="263" t="inlineStr">
        <is>
          <t>장지동</t>
        </is>
      </c>
      <c r="B472" s="263" t="n"/>
      <c r="C472" s="263" t="n"/>
      <c r="D472" s="263" t="n">
        <v>107807</v>
      </c>
      <c r="E472" s="267" t="inlineStr">
        <is>
          <t>힐스테이트송파위례</t>
        </is>
      </c>
      <c r="F472" s="263" t="n">
        <v>112</v>
      </c>
      <c r="G472" s="263" t="n"/>
      <c r="H472" s="263" t="n"/>
      <c r="I472" s="263">
        <f>G472-H472</f>
        <v/>
      </c>
      <c r="J472" s="323">
        <f>H472/G472</f>
        <v/>
      </c>
      <c r="K472" s="263" t="n">
        <v>2016.07</v>
      </c>
      <c r="L472" s="263" t="n">
        <v>490</v>
      </c>
      <c r="M472" s="263">
        <f>2026-INT(K472)+1</f>
        <v/>
      </c>
      <c r="N472" s="263" t="n">
        <v>16</v>
      </c>
      <c r="O472" s="263" t="n"/>
      <c r="P472" s="263" t="n">
        <v>144</v>
      </c>
      <c r="Q472" s="263" t="n">
        <v>44</v>
      </c>
      <c r="R472" s="263" t="inlineStr">
        <is>
          <t>계단식</t>
        </is>
      </c>
      <c r="S472" s="263" t="n">
        <v>4</v>
      </c>
      <c r="T472" s="263" t="n">
        <v>2</v>
      </c>
      <c r="U472" s="263" t="n"/>
      <c r="V472" s="263" t="n">
        <v>16.65</v>
      </c>
      <c r="W472" s="263" t="inlineStr">
        <is>
          <t>계단식</t>
        </is>
      </c>
      <c r="X472" s="263" t="n">
        <v>4</v>
      </c>
      <c r="Y472" s="263" t="n">
        <v>2</v>
      </c>
      <c r="Z472" s="263" t="n">
        <v>16</v>
      </c>
      <c r="AA472" s="263" t="n"/>
      <c r="AB472" s="263" t="n"/>
      <c r="AC472" s="263" t="n"/>
      <c r="AD472" s="263" t="n"/>
      <c r="AE472" s="263" t="n"/>
      <c r="AF472" s="263" t="n"/>
      <c r="AG472" s="263" t="n"/>
      <c r="AH472" s="263" t="n"/>
      <c r="AI472" s="263" t="n"/>
      <c r="AJ472" s="263" t="n"/>
      <c r="AK472" s="263" t="n"/>
    </row>
    <row r="473">
      <c r="A473" s="263" t="inlineStr">
        <is>
          <t>장지동</t>
        </is>
      </c>
      <c r="B473" s="263" t="n"/>
      <c r="C473" s="263" t="n"/>
      <c r="D473" s="263" t="n">
        <v>107807</v>
      </c>
      <c r="E473" s="267" t="inlineStr">
        <is>
          <t>힐스테이트송파위례</t>
        </is>
      </c>
      <c r="F473" s="263" t="n">
        <v>149</v>
      </c>
      <c r="G473" s="263" t="n"/>
      <c r="H473" s="263" t="n"/>
      <c r="I473" s="263">
        <f>G473-H473</f>
        <v/>
      </c>
      <c r="J473" s="323">
        <f>H473/G473</f>
        <v/>
      </c>
      <c r="K473" s="263" t="n">
        <v>2016.07</v>
      </c>
      <c r="L473" s="263" t="n">
        <v>490</v>
      </c>
      <c r="M473" s="263">
        <f>2026-INT(K473)+1</f>
        <v/>
      </c>
      <c r="N473" s="263" t="n">
        <v>2</v>
      </c>
      <c r="O473" s="263" t="n"/>
      <c r="P473" s="263" t="n">
        <v>195</v>
      </c>
      <c r="Q473" s="263" t="n">
        <v>59</v>
      </c>
      <c r="R473" s="263" t="inlineStr">
        <is>
          <t>계단식</t>
        </is>
      </c>
      <c r="S473" s="263" t="n">
        <v>5</v>
      </c>
      <c r="T473" s="263" t="n">
        <v>3</v>
      </c>
      <c r="U473" s="263" t="n"/>
      <c r="V473" s="263" t="n"/>
      <c r="W473" s="263" t="inlineStr">
        <is>
          <t>계단식</t>
        </is>
      </c>
      <c r="X473" s="263" t="n">
        <v>5</v>
      </c>
      <c r="Y473" s="263" t="n">
        <v>3</v>
      </c>
      <c r="Z473" s="263" t="n">
        <v>2</v>
      </c>
      <c r="AA473" s="263" t="n"/>
      <c r="AB473" s="263" t="n"/>
      <c r="AC473" s="263" t="n"/>
      <c r="AD473" s="263" t="n"/>
      <c r="AE473" s="263" t="n"/>
      <c r="AF473" s="263" t="n"/>
      <c r="AG473" s="263" t="n"/>
      <c r="AH473" s="263" t="n"/>
      <c r="AI473" s="263" t="n"/>
      <c r="AJ473" s="263" t="n"/>
      <c r="AK473" s="263" t="n"/>
    </row>
    <row r="474">
      <c r="A474" s="458" t="inlineStr">
        <is>
          <t>풍납동</t>
        </is>
      </c>
      <c r="D474" s="458" t="n">
        <v>648</v>
      </c>
      <c r="E474" s="268" t="inlineStr">
        <is>
          <t>극동</t>
        </is>
      </c>
      <c r="F474" s="458" t="n">
        <v>58</v>
      </c>
      <c r="I474" s="263">
        <f>G474-H474</f>
        <v/>
      </c>
      <c r="J474" s="323">
        <f>H474/G474</f>
        <v/>
      </c>
      <c r="K474" s="458" t="n">
        <v>1987.12</v>
      </c>
      <c r="L474" s="458" t="n">
        <v>415</v>
      </c>
      <c r="M474" s="458">
        <f>2026-INT(K474)+1</f>
        <v/>
      </c>
      <c r="N474" s="458" t="n">
        <v>36</v>
      </c>
      <c r="P474" s="458" t="n">
        <v>82</v>
      </c>
      <c r="Q474" s="458" t="n">
        <v>25</v>
      </c>
      <c r="R474" s="458" t="inlineStr">
        <is>
          <t>복도식</t>
        </is>
      </c>
      <c r="S474" s="458" t="n">
        <v>2</v>
      </c>
      <c r="T474" s="458" t="n">
        <v>1</v>
      </c>
      <c r="U474" s="458" t="n">
        <v>10.5</v>
      </c>
      <c r="W474" s="458" t="inlineStr">
        <is>
          <t>복도식</t>
        </is>
      </c>
      <c r="X474" s="458" t="n">
        <v>2</v>
      </c>
      <c r="Y474" s="458" t="n">
        <v>1</v>
      </c>
      <c r="Z474" s="458" t="n">
        <v>36</v>
      </c>
    </row>
    <row r="475">
      <c r="A475" s="458" t="inlineStr">
        <is>
          <t>풍납동</t>
        </is>
      </c>
      <c r="D475" s="458" t="n">
        <v>648</v>
      </c>
      <c r="E475" s="146" t="inlineStr">
        <is>
          <t>극동</t>
        </is>
      </c>
      <c r="F475" s="458" t="n">
        <v>59</v>
      </c>
      <c r="G475" s="458" t="n">
        <v>164000</v>
      </c>
      <c r="H475" s="458" t="n">
        <v>50000</v>
      </c>
      <c r="I475" s="263">
        <f>G475-H475</f>
        <v/>
      </c>
      <c r="J475" s="323">
        <f>H475/G475</f>
        <v/>
      </c>
      <c r="K475" s="458" t="n">
        <v>1987.12</v>
      </c>
      <c r="L475" s="458" t="n">
        <v>415</v>
      </c>
      <c r="M475" s="458">
        <f>2026-INT(K475)+1</f>
        <v/>
      </c>
      <c r="N475" s="458" t="n">
        <v>147</v>
      </c>
      <c r="P475" s="458" t="n">
        <v>81</v>
      </c>
      <c r="Q475" s="458" t="n">
        <v>25</v>
      </c>
      <c r="R475" s="458" t="inlineStr">
        <is>
          <t>복도식</t>
        </is>
      </c>
      <c r="S475" s="458" t="n">
        <v>2</v>
      </c>
      <c r="T475" s="458" t="n">
        <v>1</v>
      </c>
      <c r="U475" s="458" t="n">
        <v>11.95</v>
      </c>
      <c r="V475" s="458" t="n">
        <v>9.85</v>
      </c>
      <c r="W475" s="458" t="inlineStr">
        <is>
          <t>복도식</t>
        </is>
      </c>
      <c r="X475" s="458" t="n">
        <v>2</v>
      </c>
      <c r="Y475" s="458" t="n">
        <v>1</v>
      </c>
      <c r="Z475" s="458" t="n">
        <v>147</v>
      </c>
    </row>
    <row r="476">
      <c r="A476" s="458" t="inlineStr">
        <is>
          <t>풍납동</t>
        </is>
      </c>
      <c r="D476" s="458" t="n">
        <v>648</v>
      </c>
      <c r="E476" s="268" t="inlineStr">
        <is>
          <t>극동</t>
        </is>
      </c>
      <c r="F476" s="458" t="n">
        <v>79</v>
      </c>
      <c r="G476" s="458" t="n">
        <v>169500</v>
      </c>
      <c r="H476" s="458" t="n">
        <v>52501</v>
      </c>
      <c r="I476" s="263">
        <f>G476-H476</f>
        <v/>
      </c>
      <c r="J476" s="323">
        <f>H476/G476</f>
        <v/>
      </c>
      <c r="K476" s="458" t="n">
        <v>1987.12</v>
      </c>
      <c r="L476" s="458" t="n">
        <v>415</v>
      </c>
      <c r="M476" s="458">
        <f>2026-INT(K476)+1</f>
        <v/>
      </c>
      <c r="N476" s="458" t="n">
        <v>232</v>
      </c>
      <c r="P476" s="458" t="n">
        <v>96</v>
      </c>
      <c r="Q476" s="458" t="n">
        <v>29</v>
      </c>
      <c r="R476" s="458" t="inlineStr">
        <is>
          <t>계단식</t>
        </is>
      </c>
      <c r="S476" s="458" t="n">
        <v>3</v>
      </c>
      <c r="T476" s="458" t="n">
        <v>1</v>
      </c>
      <c r="U476" s="458" t="n">
        <v>13.25</v>
      </c>
      <c r="V476" s="458" t="n">
        <v>10.8</v>
      </c>
      <c r="W476" s="458" t="inlineStr">
        <is>
          <t>계단식</t>
        </is>
      </c>
      <c r="X476" s="458" t="n">
        <v>3</v>
      </c>
      <c r="Y476" s="458" t="n">
        <v>1</v>
      </c>
      <c r="Z476" s="458" t="n">
        <v>232</v>
      </c>
    </row>
    <row r="477">
      <c r="A477" s="263" t="inlineStr">
        <is>
          <t>풍납동</t>
        </is>
      </c>
      <c r="B477" s="263" t="n"/>
      <c r="C477" s="263" t="n"/>
      <c r="D477" s="263" t="n">
        <v>643</v>
      </c>
      <c r="E477" s="267" t="inlineStr">
        <is>
          <t>동아한가람</t>
        </is>
      </c>
      <c r="F477" s="263" t="n">
        <v>59</v>
      </c>
      <c r="G477" s="263" t="n"/>
      <c r="H477" s="263" t="n"/>
      <c r="I477" s="263">
        <f>G477-H477</f>
        <v/>
      </c>
      <c r="J477" s="323">
        <f>H477/G477</f>
        <v/>
      </c>
      <c r="K477" s="263" t="n">
        <v>1995.06</v>
      </c>
      <c r="L477" s="263" t="n">
        <v>782</v>
      </c>
      <c r="M477" s="263">
        <f>2026-INT(K477)+1</f>
        <v/>
      </c>
      <c r="N477" s="263" t="n">
        <v>83</v>
      </c>
      <c r="O477" s="263" t="n"/>
      <c r="P477" s="263" t="n">
        <v>74</v>
      </c>
      <c r="Q477" s="263" t="n">
        <v>22</v>
      </c>
      <c r="R477" s="263" t="inlineStr">
        <is>
          <t>계단식</t>
        </is>
      </c>
      <c r="S477" s="263" t="n">
        <v>3</v>
      </c>
      <c r="T477" s="263" t="n">
        <v>1</v>
      </c>
      <c r="U477" s="263" t="n">
        <v>10.5</v>
      </c>
      <c r="V477" s="263" t="n"/>
      <c r="W477" s="263" t="inlineStr">
        <is>
          <t>계단식</t>
        </is>
      </c>
      <c r="X477" s="263" t="n">
        <v>3</v>
      </c>
      <c r="Y477" s="263" t="n">
        <v>1</v>
      </c>
      <c r="Z477" s="263" t="n">
        <v>83</v>
      </c>
      <c r="AA477" s="263" t="n"/>
      <c r="AB477" s="263" t="n"/>
      <c r="AC477" s="263" t="n"/>
      <c r="AD477" s="263" t="n"/>
      <c r="AE477" s="263" t="n"/>
      <c r="AF477" s="263" t="n"/>
      <c r="AG477" s="263" t="n"/>
      <c r="AH477" s="263" t="n"/>
      <c r="AI477" s="263" t="n"/>
      <c r="AJ477" s="263" t="n"/>
      <c r="AK477" s="263" t="n"/>
    </row>
    <row r="478">
      <c r="A478" s="263" t="inlineStr">
        <is>
          <t>풍납동</t>
        </is>
      </c>
      <c r="B478" s="263" t="n"/>
      <c r="C478" s="263" t="n"/>
      <c r="D478" s="263" t="n">
        <v>643</v>
      </c>
      <c r="E478" s="267" t="inlineStr">
        <is>
          <t>동아한가람</t>
        </is>
      </c>
      <c r="F478" s="263" t="n">
        <v>84</v>
      </c>
      <c r="G478" s="263" t="n"/>
      <c r="H478" s="263" t="n"/>
      <c r="I478" s="263">
        <f>G478-H478</f>
        <v/>
      </c>
      <c r="J478" s="323">
        <f>H478/G478</f>
        <v/>
      </c>
      <c r="K478" s="263" t="n">
        <v>1995.06</v>
      </c>
      <c r="L478" s="263" t="n">
        <v>782</v>
      </c>
      <c r="M478" s="263">
        <f>2026-INT(K478)+1</f>
        <v/>
      </c>
      <c r="N478" s="263" t="n">
        <v>699</v>
      </c>
      <c r="O478" s="263" t="n"/>
      <c r="P478" s="263" t="n">
        <v>104</v>
      </c>
      <c r="Q478" s="263" t="n">
        <v>31</v>
      </c>
      <c r="R478" s="263" t="inlineStr">
        <is>
          <t>계단식</t>
        </is>
      </c>
      <c r="S478" s="263" t="n">
        <v>3</v>
      </c>
      <c r="T478" s="263" t="n">
        <v>2</v>
      </c>
      <c r="U478" s="263" t="n">
        <v>14.7</v>
      </c>
      <c r="V478" s="263" t="n">
        <v>8.699999999999999</v>
      </c>
      <c r="W478" s="263" t="inlineStr">
        <is>
          <t>계단식</t>
        </is>
      </c>
      <c r="X478" s="263" t="n">
        <v>3</v>
      </c>
      <c r="Y478" s="263" t="n">
        <v>2</v>
      </c>
      <c r="Z478" s="263" t="n">
        <v>699</v>
      </c>
      <c r="AA478" s="263" t="n"/>
      <c r="AB478" s="263" t="n"/>
      <c r="AC478" s="263" t="n"/>
      <c r="AD478" s="263" t="n"/>
      <c r="AE478" s="263" t="n"/>
      <c r="AF478" s="263" t="n"/>
      <c r="AG478" s="263" t="n"/>
      <c r="AH478" s="263" t="n"/>
      <c r="AI478" s="263" t="n"/>
      <c r="AJ478" s="263" t="n"/>
      <c r="AK478" s="263" t="n"/>
    </row>
    <row r="479">
      <c r="A479" s="458" t="inlineStr">
        <is>
          <t>풍납동</t>
        </is>
      </c>
      <c r="D479" s="458" t="n">
        <v>644</v>
      </c>
      <c r="E479" s="268" t="inlineStr">
        <is>
          <t>미성맨션</t>
        </is>
      </c>
      <c r="F479" s="458" t="n">
        <v>63</v>
      </c>
      <c r="G479" s="458" t="n">
        <v>104501</v>
      </c>
      <c r="H479" s="458" t="n">
        <v>42001</v>
      </c>
      <c r="I479" s="263">
        <f>G479-H479</f>
        <v/>
      </c>
      <c r="J479" s="323">
        <f>H479/G479</f>
        <v/>
      </c>
      <c r="K479" s="458" t="n">
        <v>1985.06</v>
      </c>
      <c r="L479" s="458" t="n">
        <v>275</v>
      </c>
      <c r="M479" s="458">
        <f>2026-INT(K479)+1</f>
        <v/>
      </c>
      <c r="N479" s="458" t="n">
        <v>55</v>
      </c>
      <c r="P479" s="458" t="n">
        <v>86</v>
      </c>
      <c r="Q479" s="458" t="n">
        <v>26</v>
      </c>
      <c r="R479" s="458" t="inlineStr">
        <is>
          <t>복도식</t>
        </is>
      </c>
      <c r="S479" s="458" t="n">
        <v>2</v>
      </c>
      <c r="T479" s="458" t="n">
        <v>1</v>
      </c>
      <c r="V479" s="458" t="n">
        <v>8.800000000000001</v>
      </c>
      <c r="W479" s="458" t="inlineStr">
        <is>
          <t>복도식</t>
        </is>
      </c>
      <c r="X479" s="458" t="n">
        <v>2</v>
      </c>
      <c r="Y479" s="458" t="n">
        <v>1</v>
      </c>
      <c r="Z479" s="458" t="n">
        <v>55</v>
      </c>
    </row>
    <row r="480">
      <c r="A480" s="458" t="inlineStr">
        <is>
          <t>풍납동</t>
        </is>
      </c>
      <c r="D480" s="458" t="n">
        <v>644</v>
      </c>
      <c r="E480" s="268" t="inlineStr">
        <is>
          <t>미성맨션</t>
        </is>
      </c>
      <c r="F480" s="458" t="n">
        <v>98</v>
      </c>
      <c r="I480" s="263">
        <f>G480-H480</f>
        <v/>
      </c>
      <c r="J480" s="323">
        <f>H480/G480</f>
        <v/>
      </c>
      <c r="K480" s="458" t="n">
        <v>1985.06</v>
      </c>
      <c r="L480" s="458" t="n">
        <v>275</v>
      </c>
      <c r="M480" s="458">
        <f>2026-INT(K480)+1</f>
        <v/>
      </c>
      <c r="N480" s="458" t="n">
        <v>22</v>
      </c>
      <c r="P480" s="458" t="n">
        <v>119</v>
      </c>
      <c r="Q480" s="458" t="n">
        <v>36</v>
      </c>
      <c r="R480" s="458" t="inlineStr">
        <is>
          <t>계단식</t>
        </is>
      </c>
      <c r="S480" s="458" t="n">
        <v>3</v>
      </c>
      <c r="T480" s="458" t="n">
        <v>1</v>
      </c>
      <c r="W480" s="458" t="inlineStr">
        <is>
          <t>계단식</t>
        </is>
      </c>
      <c r="X480" s="458" t="n">
        <v>3</v>
      </c>
      <c r="Y480" s="458" t="n">
        <v>1</v>
      </c>
      <c r="Z480" s="458" t="n">
        <v>22</v>
      </c>
    </row>
    <row r="481">
      <c r="A481" s="458" t="inlineStr">
        <is>
          <t>풍납동</t>
        </is>
      </c>
      <c r="D481" s="458" t="n">
        <v>644</v>
      </c>
      <c r="E481" s="268" t="inlineStr">
        <is>
          <t>미성맨션</t>
        </is>
      </c>
      <c r="F481" s="458" t="n">
        <v>116</v>
      </c>
      <c r="I481" s="263">
        <f>G481-H481</f>
        <v/>
      </c>
      <c r="J481" s="323">
        <f>H481/G481</f>
        <v/>
      </c>
      <c r="K481" s="458" t="n">
        <v>1985.06</v>
      </c>
      <c r="L481" s="458" t="n">
        <v>275</v>
      </c>
      <c r="M481" s="458">
        <f>2026-INT(K481)+1</f>
        <v/>
      </c>
      <c r="N481" s="458" t="n">
        <v>198</v>
      </c>
      <c r="P481" s="458" t="n">
        <v>139</v>
      </c>
      <c r="Q481" s="458" t="n">
        <v>42</v>
      </c>
      <c r="R481" s="458" t="inlineStr">
        <is>
          <t>계단식</t>
        </is>
      </c>
      <c r="S481" s="458" t="n">
        <v>4</v>
      </c>
      <c r="T481" s="458" t="n">
        <v>2</v>
      </c>
      <c r="U481" s="458" t="n">
        <v>14.5</v>
      </c>
      <c r="V481" s="458" t="n">
        <v>10</v>
      </c>
      <c r="W481" s="458" t="inlineStr">
        <is>
          <t>계단식</t>
        </is>
      </c>
      <c r="X481" s="458" t="n">
        <v>4</v>
      </c>
      <c r="Y481" s="458" t="n">
        <v>2</v>
      </c>
      <c r="Z481" s="458" t="n">
        <v>198</v>
      </c>
    </row>
    <row r="482">
      <c r="A482" s="263" t="inlineStr">
        <is>
          <t>풍납동</t>
        </is>
      </c>
      <c r="B482" s="263" t="n"/>
      <c r="C482" s="263" t="n"/>
      <c r="D482" s="263" t="n">
        <v>3759</v>
      </c>
      <c r="E482" s="269" t="inlineStr">
        <is>
          <t>신성노바빌</t>
        </is>
      </c>
      <c r="F482" s="263" t="n">
        <v>59</v>
      </c>
      <c r="G482" s="263" t="n">
        <v>125001</v>
      </c>
      <c r="H482" s="263" t="n">
        <v>60001</v>
      </c>
      <c r="I482" s="263">
        <f>G482-H482</f>
        <v/>
      </c>
      <c r="J482" s="323">
        <f>H482/G482</f>
        <v/>
      </c>
      <c r="K482" s="263" t="n">
        <v>2000.09</v>
      </c>
      <c r="L482" s="263" t="n">
        <v>236</v>
      </c>
      <c r="M482" s="263">
        <f>2026-INT(K482)+1</f>
        <v/>
      </c>
      <c r="N482" s="263" t="n">
        <v>124</v>
      </c>
      <c r="O482" s="263" t="n"/>
      <c r="P482" s="263" t="n">
        <v>83</v>
      </c>
      <c r="Q482" s="263" t="n">
        <v>25</v>
      </c>
      <c r="R482" s="263" t="inlineStr">
        <is>
          <t>복도식</t>
        </is>
      </c>
      <c r="S482" s="263" t="n">
        <v>3</v>
      </c>
      <c r="T482" s="263" t="n">
        <v>1</v>
      </c>
      <c r="U482" s="263" t="n">
        <v>11.85</v>
      </c>
      <c r="V482" s="263" t="n"/>
      <c r="W482" s="263" t="inlineStr">
        <is>
          <t>복도식</t>
        </is>
      </c>
      <c r="X482" s="263" t="n">
        <v>3</v>
      </c>
      <c r="Y482" s="263" t="n">
        <v>1</v>
      </c>
      <c r="Z482" s="263" t="n">
        <v>124</v>
      </c>
      <c r="AA482" s="263" t="n"/>
      <c r="AB482" s="263" t="n"/>
      <c r="AC482" s="263" t="n"/>
      <c r="AD482" s="263" t="n"/>
      <c r="AE482" s="263" t="n"/>
      <c r="AF482" s="263" t="n"/>
      <c r="AG482" s="263" t="n"/>
      <c r="AH482" s="263" t="n"/>
      <c r="AI482" s="263" t="n"/>
      <c r="AJ482" s="263" t="n"/>
      <c r="AK482" s="263" t="n"/>
    </row>
    <row r="483">
      <c r="A483" s="263" t="inlineStr">
        <is>
          <t>풍납동</t>
        </is>
      </c>
      <c r="B483" s="263" t="n"/>
      <c r="C483" s="263" t="n"/>
      <c r="D483" s="263" t="n">
        <v>3759</v>
      </c>
      <c r="E483" s="267" t="inlineStr">
        <is>
          <t>신성노바빌</t>
        </is>
      </c>
      <c r="F483" s="263" t="n">
        <v>84</v>
      </c>
      <c r="G483" s="263" t="n">
        <v>154501</v>
      </c>
      <c r="H483" s="263" t="n">
        <v>73001</v>
      </c>
      <c r="I483" s="263">
        <f>G483-H483</f>
        <v/>
      </c>
      <c r="J483" s="323">
        <f>H483/G483</f>
        <v/>
      </c>
      <c r="K483" s="263" t="n">
        <v>2000.09</v>
      </c>
      <c r="L483" s="263" t="n">
        <v>236</v>
      </c>
      <c r="M483" s="263">
        <f>2026-INT(K483)+1</f>
        <v/>
      </c>
      <c r="N483" s="263" t="n">
        <v>74</v>
      </c>
      <c r="O483" s="263" t="n"/>
      <c r="P483" s="263" t="n">
        <v>109</v>
      </c>
      <c r="Q483" s="263" t="n">
        <v>33</v>
      </c>
      <c r="R483" s="263" t="inlineStr">
        <is>
          <t>복합식</t>
        </is>
      </c>
      <c r="S483" s="263" t="n">
        <v>3</v>
      </c>
      <c r="T483" s="263" t="n">
        <v>2</v>
      </c>
      <c r="U483" s="263" t="n">
        <v>13.47</v>
      </c>
      <c r="V483" s="263" t="n"/>
      <c r="W483" s="263" t="inlineStr">
        <is>
          <t>복합식</t>
        </is>
      </c>
      <c r="X483" s="263" t="n">
        <v>3</v>
      </c>
      <c r="Y483" s="263" t="n">
        <v>2</v>
      </c>
      <c r="Z483" s="263" t="n">
        <v>74</v>
      </c>
      <c r="AA483" s="263" t="n"/>
      <c r="AB483" s="263" t="n"/>
      <c r="AC483" s="263" t="n"/>
      <c r="AD483" s="263" t="n"/>
      <c r="AE483" s="263" t="n"/>
      <c r="AF483" s="263" t="n"/>
      <c r="AG483" s="263" t="n"/>
      <c r="AH483" s="263" t="n"/>
      <c r="AI483" s="263" t="n"/>
      <c r="AJ483" s="263" t="n"/>
      <c r="AK483" s="263" t="n"/>
    </row>
    <row r="484">
      <c r="A484" s="263" t="inlineStr">
        <is>
          <t>풍납동</t>
        </is>
      </c>
      <c r="B484" s="263" t="n"/>
      <c r="C484" s="263" t="n"/>
      <c r="D484" s="263" t="n">
        <v>3759</v>
      </c>
      <c r="E484" s="267" t="inlineStr">
        <is>
          <t>신성노바빌</t>
        </is>
      </c>
      <c r="F484" s="263" t="n">
        <v>114</v>
      </c>
      <c r="G484" s="263" t="n"/>
      <c r="H484" s="263" t="n"/>
      <c r="I484" s="263">
        <f>G484-H484</f>
        <v/>
      </c>
      <c r="J484" s="323">
        <f>H484/G484</f>
        <v/>
      </c>
      <c r="K484" s="263" t="n">
        <v>2000.09</v>
      </c>
      <c r="L484" s="263" t="n">
        <v>236</v>
      </c>
      <c r="M484" s="263">
        <f>2026-INT(K484)+1</f>
        <v/>
      </c>
      <c r="N484" s="263" t="n">
        <v>38</v>
      </c>
      <c r="O484" s="263" t="n"/>
      <c r="P484" s="263" t="n">
        <v>142</v>
      </c>
      <c r="Q484" s="263" t="n">
        <v>43</v>
      </c>
      <c r="R484" s="263" t="inlineStr">
        <is>
          <t>계단식</t>
        </is>
      </c>
      <c r="S484" s="263" t="n">
        <v>4</v>
      </c>
      <c r="T484" s="263" t="n">
        <v>2</v>
      </c>
      <c r="U484" s="263" t="n"/>
      <c r="V484" s="263" t="n">
        <v>14.5</v>
      </c>
      <c r="W484" s="263" t="inlineStr">
        <is>
          <t>계단식</t>
        </is>
      </c>
      <c r="X484" s="263" t="n">
        <v>4</v>
      </c>
      <c r="Y484" s="263" t="n">
        <v>2</v>
      </c>
      <c r="Z484" s="263" t="n">
        <v>38</v>
      </c>
      <c r="AA484" s="263" t="n"/>
      <c r="AB484" s="263" t="n"/>
      <c r="AC484" s="263" t="n"/>
      <c r="AD484" s="263" t="n"/>
      <c r="AE484" s="263" t="n"/>
      <c r="AF484" s="263" t="n"/>
      <c r="AG484" s="263" t="n"/>
      <c r="AH484" s="263" t="n"/>
      <c r="AI484" s="263" t="n"/>
      <c r="AJ484" s="263" t="n"/>
      <c r="AK484" s="263" t="n"/>
    </row>
    <row r="485">
      <c r="A485" s="458" t="inlineStr">
        <is>
          <t>풍납동</t>
        </is>
      </c>
      <c r="D485" s="458" t="n">
        <v>646</v>
      </c>
      <c r="E485" s="146" t="inlineStr">
        <is>
          <t>쌍용</t>
        </is>
      </c>
      <c r="F485" s="458" t="n">
        <v>84</v>
      </c>
      <c r="G485" s="458" t="n">
        <v>170000</v>
      </c>
      <c r="H485" s="458" t="n">
        <v>80000</v>
      </c>
      <c r="I485" s="263">
        <f>G485-H485</f>
        <v/>
      </c>
      <c r="J485" s="323">
        <f>H485/G485</f>
        <v/>
      </c>
      <c r="K485" s="458" t="n">
        <v>1994.07</v>
      </c>
      <c r="L485" s="458" t="n">
        <v>417</v>
      </c>
      <c r="M485" s="458">
        <f>2026-INT(K485)+1</f>
        <v/>
      </c>
      <c r="N485" s="458" t="n">
        <v>417</v>
      </c>
      <c r="P485" s="458" t="n">
        <v>106</v>
      </c>
      <c r="Q485" s="458" t="n">
        <v>32</v>
      </c>
      <c r="R485" s="458" t="inlineStr">
        <is>
          <t>계단식</t>
        </is>
      </c>
      <c r="S485" s="458" t="n">
        <v>3</v>
      </c>
      <c r="T485" s="458" t="n">
        <v>2</v>
      </c>
      <c r="U485" s="458" t="n">
        <v>14.3</v>
      </c>
      <c r="V485" s="458" t="n">
        <v>10.25</v>
      </c>
      <c r="W485" s="458" t="inlineStr">
        <is>
          <t>계단식</t>
        </is>
      </c>
      <c r="X485" s="458" t="n">
        <v>3</v>
      </c>
      <c r="Y485" s="458" t="n">
        <v>2</v>
      </c>
      <c r="Z485" s="458" t="n">
        <v>417</v>
      </c>
    </row>
    <row r="486">
      <c r="A486" s="263" t="inlineStr">
        <is>
          <t>풍납동</t>
        </is>
      </c>
      <c r="B486" s="263" t="n"/>
      <c r="C486" s="263" t="n"/>
      <c r="D486" s="263" t="n">
        <v>416</v>
      </c>
      <c r="E486" s="269" t="inlineStr">
        <is>
          <t>씨티극동</t>
        </is>
      </c>
      <c r="F486" s="263" t="n">
        <v>59</v>
      </c>
      <c r="G486" s="263" t="n">
        <v>125000</v>
      </c>
      <c r="H486" s="263" t="n">
        <v>50001</v>
      </c>
      <c r="I486" s="263">
        <f>G486-H486</f>
        <v/>
      </c>
      <c r="J486" s="323">
        <f>H486/G486</f>
        <v/>
      </c>
      <c r="K486" s="263" t="n">
        <v>1998.05</v>
      </c>
      <c r="L486" s="263" t="n">
        <v>442</v>
      </c>
      <c r="M486" s="263">
        <f>2026-INT(K486)+1</f>
        <v/>
      </c>
      <c r="N486" s="263" t="n">
        <v>204</v>
      </c>
      <c r="O486" s="263" t="n"/>
      <c r="P486" s="263" t="n">
        <v>77</v>
      </c>
      <c r="Q486" s="263" t="n">
        <v>23</v>
      </c>
      <c r="R486" s="263" t="inlineStr">
        <is>
          <t>계단식</t>
        </is>
      </c>
      <c r="S486" s="263" t="n">
        <v>3</v>
      </c>
      <c r="T486" s="263" t="n">
        <v>1</v>
      </c>
      <c r="U486" s="263" t="n">
        <v>10.49</v>
      </c>
      <c r="V486" s="263" t="n">
        <v>8.300000000000001</v>
      </c>
      <c r="W486" s="263" t="inlineStr">
        <is>
          <t>계단식</t>
        </is>
      </c>
      <c r="X486" s="263" t="n">
        <v>3</v>
      </c>
      <c r="Y486" s="263" t="n">
        <v>1</v>
      </c>
      <c r="Z486" s="263" t="n">
        <v>204</v>
      </c>
      <c r="AA486" s="263" t="n"/>
      <c r="AB486" s="263" t="n"/>
      <c r="AC486" s="263" t="n"/>
      <c r="AD486" s="263" t="n"/>
      <c r="AE486" s="263" t="n"/>
      <c r="AF486" s="263" t="n"/>
      <c r="AG486" s="263" t="n"/>
      <c r="AH486" s="263" t="n"/>
      <c r="AI486" s="263" t="n"/>
      <c r="AJ486" s="263" t="n"/>
      <c r="AK486" s="263" t="n"/>
    </row>
    <row r="487">
      <c r="A487" s="263" t="inlineStr">
        <is>
          <t>풍납동</t>
        </is>
      </c>
      <c r="B487" s="263" t="n"/>
      <c r="C487" s="263" t="n"/>
      <c r="D487" s="263" t="n">
        <v>416</v>
      </c>
      <c r="E487" s="267" t="inlineStr">
        <is>
          <t>씨티극동</t>
        </is>
      </c>
      <c r="F487" s="263" t="n">
        <v>80</v>
      </c>
      <c r="G487" s="263" t="n">
        <v>145001</v>
      </c>
      <c r="H487" s="263" t="n">
        <v>73001</v>
      </c>
      <c r="I487" s="263">
        <f>G487-H487</f>
        <v/>
      </c>
      <c r="J487" s="323">
        <f>H487/G487</f>
        <v/>
      </c>
      <c r="K487" s="263" t="n">
        <v>1998.05</v>
      </c>
      <c r="L487" s="263" t="n">
        <v>442</v>
      </c>
      <c r="M487" s="263">
        <f>2026-INT(K487)+1</f>
        <v/>
      </c>
      <c r="N487" s="263" t="n">
        <v>39</v>
      </c>
      <c r="O487" s="263" t="n"/>
      <c r="P487" s="263" t="n">
        <v>101</v>
      </c>
      <c r="Q487" s="263" t="n">
        <v>31</v>
      </c>
      <c r="R487" s="263" t="inlineStr">
        <is>
          <t>계단식</t>
        </is>
      </c>
      <c r="S487" s="263" t="n">
        <v>3</v>
      </c>
      <c r="T487" s="263" t="n">
        <v>2</v>
      </c>
      <c r="U487" s="263" t="n">
        <v>12.1</v>
      </c>
      <c r="V487" s="263" t="n">
        <v>10.6</v>
      </c>
      <c r="W487" s="263" t="inlineStr">
        <is>
          <t>계단식</t>
        </is>
      </c>
      <c r="X487" s="263" t="n">
        <v>3</v>
      </c>
      <c r="Y487" s="263" t="n">
        <v>2</v>
      </c>
      <c r="Z487" s="263" t="n">
        <v>39</v>
      </c>
      <c r="AA487" s="263" t="n"/>
      <c r="AB487" s="263" t="n"/>
      <c r="AC487" s="263" t="n"/>
      <c r="AD487" s="263" t="n"/>
      <c r="AE487" s="263" t="n"/>
      <c r="AF487" s="263" t="n"/>
      <c r="AG487" s="263" t="n"/>
      <c r="AH487" s="263" t="n"/>
      <c r="AI487" s="263" t="n"/>
      <c r="AJ487" s="263" t="n"/>
      <c r="AK487" s="263" t="n"/>
    </row>
    <row r="488">
      <c r="A488" s="263" t="inlineStr">
        <is>
          <t>풍납동</t>
        </is>
      </c>
      <c r="B488" s="263" t="n"/>
      <c r="C488" s="263" t="n"/>
      <c r="D488" s="263" t="n">
        <v>416</v>
      </c>
      <c r="E488" s="267" t="inlineStr">
        <is>
          <t>씨티극동</t>
        </is>
      </c>
      <c r="F488" s="263" t="n">
        <v>83</v>
      </c>
      <c r="G488" s="263" t="n"/>
      <c r="H488" s="263" t="n"/>
      <c r="I488" s="263">
        <f>G488-H488</f>
        <v/>
      </c>
      <c r="J488" s="323">
        <f>H488/G488</f>
        <v/>
      </c>
      <c r="K488" s="263" t="n">
        <v>1998.05</v>
      </c>
      <c r="L488" s="263" t="n">
        <v>442</v>
      </c>
      <c r="M488" s="263">
        <f>2026-INT(K488)+1</f>
        <v/>
      </c>
      <c r="N488" s="263" t="n">
        <v>20</v>
      </c>
      <c r="O488" s="263" t="n"/>
      <c r="P488" s="263" t="n">
        <v>105</v>
      </c>
      <c r="Q488" s="263" t="n">
        <v>32</v>
      </c>
      <c r="R488" s="263" t="inlineStr">
        <is>
          <t>계단식</t>
        </is>
      </c>
      <c r="S488" s="263" t="n">
        <v>3</v>
      </c>
      <c r="T488" s="263" t="n">
        <v>2</v>
      </c>
      <c r="U488" s="263" t="n">
        <v>12.45</v>
      </c>
      <c r="V488" s="263" t="n"/>
      <c r="W488" s="263" t="inlineStr">
        <is>
          <t>계단식</t>
        </is>
      </c>
      <c r="X488" s="263" t="n">
        <v>3</v>
      </c>
      <c r="Y488" s="263" t="n">
        <v>2</v>
      </c>
      <c r="Z488" s="263" t="n">
        <v>20</v>
      </c>
      <c r="AA488" s="263" t="n"/>
      <c r="AB488" s="263" t="n"/>
      <c r="AC488" s="263" t="n"/>
      <c r="AD488" s="263" t="n"/>
      <c r="AE488" s="263" t="n"/>
      <c r="AF488" s="263" t="n"/>
      <c r="AG488" s="263" t="n"/>
      <c r="AH488" s="263" t="n"/>
      <c r="AI488" s="263" t="n"/>
      <c r="AJ488" s="263" t="n"/>
      <c r="AK488" s="263" t="n"/>
    </row>
    <row r="489">
      <c r="A489" s="263" t="inlineStr">
        <is>
          <t>풍납동</t>
        </is>
      </c>
      <c r="B489" s="263" t="n"/>
      <c r="C489" s="263" t="n"/>
      <c r="D489" s="263" t="n">
        <v>416</v>
      </c>
      <c r="E489" s="267" t="inlineStr">
        <is>
          <t>씨티극동</t>
        </is>
      </c>
      <c r="F489" s="263" t="n">
        <v>84</v>
      </c>
      <c r="G489" s="263" t="n">
        <v>148001</v>
      </c>
      <c r="H489" s="263" t="n">
        <v>70000</v>
      </c>
      <c r="I489" s="263">
        <f>G489-H489</f>
        <v/>
      </c>
      <c r="J489" s="323">
        <f>H489/G489</f>
        <v/>
      </c>
      <c r="K489" s="263" t="n">
        <v>1998.05</v>
      </c>
      <c r="L489" s="263" t="n">
        <v>442</v>
      </c>
      <c r="M489" s="263">
        <f>2026-INT(K489)+1</f>
        <v/>
      </c>
      <c r="N489" s="263" t="n">
        <v>88</v>
      </c>
      <c r="O489" s="263" t="n"/>
      <c r="P489" s="263" t="n">
        <v>109</v>
      </c>
      <c r="Q489" s="263" t="n">
        <v>33</v>
      </c>
      <c r="R489" s="263" t="inlineStr">
        <is>
          <t>계단식</t>
        </is>
      </c>
      <c r="S489" s="263" t="n">
        <v>3</v>
      </c>
      <c r="T489" s="263" t="n">
        <v>2</v>
      </c>
      <c r="U489" s="263" t="n">
        <v>12.45</v>
      </c>
      <c r="V489" s="263" t="n"/>
      <c r="W489" s="263" t="inlineStr">
        <is>
          <t>계단식</t>
        </is>
      </c>
      <c r="X489" s="263" t="n">
        <v>3</v>
      </c>
      <c r="Y489" s="263" t="n">
        <v>2</v>
      </c>
      <c r="Z489" s="263" t="n">
        <v>88</v>
      </c>
      <c r="AA489" s="263" t="n"/>
      <c r="AB489" s="263" t="n"/>
      <c r="AC489" s="263" t="n"/>
      <c r="AD489" s="263" t="n"/>
      <c r="AE489" s="263" t="n"/>
      <c r="AF489" s="263" t="n"/>
      <c r="AG489" s="263" t="n"/>
      <c r="AH489" s="263" t="n"/>
      <c r="AI489" s="263" t="n"/>
      <c r="AJ489" s="263" t="n"/>
      <c r="AK489" s="263" t="n"/>
    </row>
    <row r="490">
      <c r="A490" s="263" t="inlineStr">
        <is>
          <t>풍납동</t>
        </is>
      </c>
      <c r="B490" s="263" t="n"/>
      <c r="C490" s="263" t="n"/>
      <c r="D490" s="263" t="n">
        <v>416</v>
      </c>
      <c r="E490" s="267" t="inlineStr">
        <is>
          <t>씨티극동</t>
        </is>
      </c>
      <c r="F490" s="263" t="n">
        <v>100</v>
      </c>
      <c r="G490" s="263" t="n"/>
      <c r="H490" s="263" t="n"/>
      <c r="I490" s="263">
        <f>G490-H490</f>
        <v/>
      </c>
      <c r="J490" s="323">
        <f>H490/G490</f>
        <v/>
      </c>
      <c r="K490" s="263" t="n">
        <v>1998.05</v>
      </c>
      <c r="L490" s="263" t="n">
        <v>442</v>
      </c>
      <c r="M490" s="263">
        <f>2026-INT(K490)+1</f>
        <v/>
      </c>
      <c r="N490" s="263" t="n">
        <v>3</v>
      </c>
      <c r="O490" s="263" t="n"/>
      <c r="P490" s="263" t="n">
        <v>126</v>
      </c>
      <c r="Q490" s="263" t="n">
        <v>38</v>
      </c>
      <c r="R490" s="263" t="inlineStr">
        <is>
          <t>계단식</t>
        </is>
      </c>
      <c r="S490" s="263" t="n">
        <v>4</v>
      </c>
      <c r="T490" s="263" t="n">
        <v>2</v>
      </c>
      <c r="U490" s="263" t="n"/>
      <c r="V490" s="263" t="n"/>
      <c r="W490" s="263" t="inlineStr">
        <is>
          <t>계단식</t>
        </is>
      </c>
      <c r="X490" s="263" t="n">
        <v>4</v>
      </c>
      <c r="Y490" s="263" t="n">
        <v>2</v>
      </c>
      <c r="Z490" s="263" t="n">
        <v>3</v>
      </c>
      <c r="AA490" s="263" t="n"/>
      <c r="AB490" s="263" t="n"/>
      <c r="AC490" s="263" t="n"/>
      <c r="AD490" s="263" t="n"/>
      <c r="AE490" s="263" t="n"/>
      <c r="AF490" s="263" t="n"/>
      <c r="AG490" s="263" t="n"/>
      <c r="AH490" s="263" t="n"/>
      <c r="AI490" s="263" t="n"/>
      <c r="AJ490" s="263" t="n"/>
      <c r="AK490" s="263" t="n"/>
    </row>
    <row r="491">
      <c r="A491" s="263" t="inlineStr">
        <is>
          <t>풍납동</t>
        </is>
      </c>
      <c r="B491" s="263" t="n"/>
      <c r="C491" s="263" t="n"/>
      <c r="D491" s="263" t="n">
        <v>416</v>
      </c>
      <c r="E491" s="267" t="inlineStr">
        <is>
          <t>씨티극동</t>
        </is>
      </c>
      <c r="F491" s="263" t="n">
        <v>114</v>
      </c>
      <c r="G491" s="263" t="n"/>
      <c r="H491" s="263" t="n"/>
      <c r="I491" s="263">
        <f>G491-H491</f>
        <v/>
      </c>
      <c r="J491" s="323">
        <f>H491/G491</f>
        <v/>
      </c>
      <c r="K491" s="263" t="n">
        <v>1998.05</v>
      </c>
      <c r="L491" s="263" t="n">
        <v>442</v>
      </c>
      <c r="M491" s="263">
        <f>2026-INT(K491)+1</f>
        <v/>
      </c>
      <c r="N491" s="263" t="n">
        <v>78</v>
      </c>
      <c r="O491" s="263" t="n"/>
      <c r="P491" s="263" t="n">
        <v>144</v>
      </c>
      <c r="Q491" s="263" t="n">
        <v>44</v>
      </c>
      <c r="R491" s="263" t="inlineStr">
        <is>
          <t>계단식</t>
        </is>
      </c>
      <c r="S491" s="263" t="n">
        <v>4</v>
      </c>
      <c r="T491" s="263" t="n">
        <v>2</v>
      </c>
      <c r="U491" s="263" t="n">
        <v>16</v>
      </c>
      <c r="V491" s="263" t="n"/>
      <c r="W491" s="263" t="inlineStr">
        <is>
          <t>계단식</t>
        </is>
      </c>
      <c r="X491" s="263" t="n">
        <v>4</v>
      </c>
      <c r="Y491" s="263" t="n">
        <v>2</v>
      </c>
      <c r="Z491" s="263" t="n">
        <v>78</v>
      </c>
      <c r="AA491" s="263" t="n"/>
      <c r="AB491" s="263" t="n"/>
      <c r="AC491" s="263" t="n"/>
      <c r="AD491" s="263" t="n"/>
      <c r="AE491" s="263" t="n"/>
      <c r="AF491" s="263" t="n"/>
      <c r="AG491" s="263" t="n"/>
      <c r="AH491" s="263" t="n"/>
      <c r="AI491" s="263" t="n"/>
      <c r="AJ491" s="263" t="n"/>
      <c r="AK491" s="263" t="n"/>
    </row>
    <row r="492">
      <c r="A492" s="263" t="inlineStr">
        <is>
          <t>풍납동</t>
        </is>
      </c>
      <c r="B492" s="263" t="n"/>
      <c r="C492" s="263" t="n"/>
      <c r="D492" s="263" t="n">
        <v>416</v>
      </c>
      <c r="E492" s="267" t="inlineStr">
        <is>
          <t>씨티극동</t>
        </is>
      </c>
      <c r="F492" s="263" t="n">
        <v>135</v>
      </c>
      <c r="G492" s="263" t="n"/>
      <c r="H492" s="263" t="n"/>
      <c r="I492" s="263">
        <f>G492-H492</f>
        <v/>
      </c>
      <c r="J492" s="323">
        <f>H492/G492</f>
        <v/>
      </c>
      <c r="K492" s="263" t="n">
        <v>1998.05</v>
      </c>
      <c r="L492" s="263" t="n">
        <v>442</v>
      </c>
      <c r="M492" s="263">
        <f>2026-INT(K492)+1</f>
        <v/>
      </c>
      <c r="N492" s="263" t="n">
        <v>4</v>
      </c>
      <c r="O492" s="263" t="n"/>
      <c r="P492" s="263" t="n">
        <v>170</v>
      </c>
      <c r="Q492" s="263" t="n">
        <v>51</v>
      </c>
      <c r="R492" s="263" t="inlineStr">
        <is>
          <t>계단식</t>
        </is>
      </c>
      <c r="S492" s="263" t="n">
        <v>5</v>
      </c>
      <c r="T492" s="263" t="n">
        <v>3</v>
      </c>
      <c r="U492" s="263" t="n">
        <v>19</v>
      </c>
      <c r="V492" s="263" t="n"/>
      <c r="W492" s="263" t="inlineStr">
        <is>
          <t>계단식</t>
        </is>
      </c>
      <c r="X492" s="263" t="n">
        <v>5</v>
      </c>
      <c r="Y492" s="263" t="n">
        <v>3</v>
      </c>
      <c r="Z492" s="263" t="n">
        <v>4</v>
      </c>
      <c r="AA492" s="263" t="n"/>
      <c r="AB492" s="263" t="n"/>
      <c r="AC492" s="263" t="n"/>
      <c r="AD492" s="263" t="n"/>
      <c r="AE492" s="263" t="n"/>
      <c r="AF492" s="263" t="n"/>
      <c r="AG492" s="263" t="n"/>
      <c r="AH492" s="263" t="n"/>
      <c r="AI492" s="263" t="n"/>
      <c r="AJ492" s="263" t="n"/>
      <c r="AK492" s="263" t="n"/>
    </row>
    <row r="493">
      <c r="A493" s="263" t="inlineStr">
        <is>
          <t>풍납동</t>
        </is>
      </c>
      <c r="B493" s="263" t="n"/>
      <c r="C493" s="263" t="n"/>
      <c r="D493" s="263" t="n">
        <v>416</v>
      </c>
      <c r="E493" s="267" t="inlineStr">
        <is>
          <t>씨티극동</t>
        </is>
      </c>
      <c r="F493" s="263" t="n">
        <v>162</v>
      </c>
      <c r="G493" s="263" t="n"/>
      <c r="H493" s="263" t="n"/>
      <c r="I493" s="263">
        <f>G493-H493</f>
        <v/>
      </c>
      <c r="J493" s="323">
        <f>H493/G493</f>
        <v/>
      </c>
      <c r="K493" s="263" t="n">
        <v>1998.05</v>
      </c>
      <c r="L493" s="263" t="n">
        <v>442</v>
      </c>
      <c r="M493" s="263">
        <f>2026-INT(K493)+1</f>
        <v/>
      </c>
      <c r="N493" s="263" t="n">
        <v>2</v>
      </c>
      <c r="O493" s="263" t="n"/>
      <c r="P493" s="263" t="n">
        <v>204</v>
      </c>
      <c r="Q493" s="263" t="n">
        <v>62</v>
      </c>
      <c r="R493" s="263" t="inlineStr">
        <is>
          <t>계단식</t>
        </is>
      </c>
      <c r="S493" s="263" t="n">
        <v>5</v>
      </c>
      <c r="T493" s="263" t="n">
        <v>2</v>
      </c>
      <c r="U493" s="263" t="n"/>
      <c r="V493" s="263" t="n"/>
      <c r="W493" s="263" t="inlineStr">
        <is>
          <t>계단식</t>
        </is>
      </c>
      <c r="X493" s="263" t="n">
        <v>5</v>
      </c>
      <c r="Y493" s="263" t="n">
        <v>2</v>
      </c>
      <c r="Z493" s="263" t="n">
        <v>2</v>
      </c>
      <c r="AA493" s="263" t="n"/>
      <c r="AB493" s="263" t="n"/>
      <c r="AC493" s="263" t="n"/>
      <c r="AD493" s="263" t="n"/>
      <c r="AE493" s="263" t="n"/>
      <c r="AF493" s="263" t="n"/>
      <c r="AG493" s="263" t="n"/>
      <c r="AH493" s="263" t="n"/>
      <c r="AI493" s="263" t="n"/>
      <c r="AJ493" s="263" t="n"/>
      <c r="AK493" s="263" t="n"/>
    </row>
    <row r="494">
      <c r="A494" s="263" t="inlineStr">
        <is>
          <t>풍납동</t>
        </is>
      </c>
      <c r="B494" s="263" t="n"/>
      <c r="C494" s="263" t="n"/>
      <c r="D494" s="263" t="n">
        <v>416</v>
      </c>
      <c r="E494" s="267" t="inlineStr">
        <is>
          <t>씨티극동</t>
        </is>
      </c>
      <c r="F494" s="263" t="n">
        <v>178</v>
      </c>
      <c r="G494" s="263" t="n"/>
      <c r="H494" s="263" t="n"/>
      <c r="I494" s="263">
        <f>G494-H494</f>
        <v/>
      </c>
      <c r="J494" s="323">
        <f>H494/G494</f>
        <v/>
      </c>
      <c r="K494" s="263" t="n">
        <v>1998.05</v>
      </c>
      <c r="L494" s="263" t="n">
        <v>442</v>
      </c>
      <c r="M494" s="263">
        <f>2026-INT(K494)+1</f>
        <v/>
      </c>
      <c r="N494" s="263" t="n">
        <v>2</v>
      </c>
      <c r="O494" s="263" t="n"/>
      <c r="P494" s="263" t="n">
        <v>224</v>
      </c>
      <c r="Q494" s="263" t="n">
        <v>68</v>
      </c>
      <c r="R494" s="263" t="inlineStr">
        <is>
          <t>계단식</t>
        </is>
      </c>
      <c r="S494" s="263" t="n">
        <v>5</v>
      </c>
      <c r="T494" s="263" t="n">
        <v>2</v>
      </c>
      <c r="U494" s="263" t="n"/>
      <c r="V494" s="263" t="n">
        <v>17.2</v>
      </c>
      <c r="W494" s="263" t="inlineStr">
        <is>
          <t>계단식</t>
        </is>
      </c>
      <c r="X494" s="263" t="n">
        <v>5</v>
      </c>
      <c r="Y494" s="263" t="n">
        <v>2</v>
      </c>
      <c r="Z494" s="263" t="n">
        <v>2</v>
      </c>
      <c r="AA494" s="263" t="n"/>
      <c r="AB494" s="263" t="n"/>
      <c r="AC494" s="263" t="n"/>
      <c r="AD494" s="263" t="n"/>
      <c r="AE494" s="263" t="n"/>
      <c r="AF494" s="263" t="n"/>
      <c r="AG494" s="263" t="n"/>
      <c r="AH494" s="263" t="n"/>
      <c r="AI494" s="263" t="n"/>
      <c r="AJ494" s="263" t="n"/>
      <c r="AK494" s="263" t="n"/>
    </row>
    <row r="495">
      <c r="A495" s="263" t="inlineStr">
        <is>
          <t>풍납동</t>
        </is>
      </c>
      <c r="B495" s="263" t="n"/>
      <c r="C495" s="263" t="n"/>
      <c r="D495" s="263" t="n">
        <v>416</v>
      </c>
      <c r="E495" s="267" t="inlineStr">
        <is>
          <t>씨티극동</t>
        </is>
      </c>
      <c r="F495" s="263" t="n">
        <v>198</v>
      </c>
      <c r="G495" s="263" t="n"/>
      <c r="H495" s="263" t="n"/>
      <c r="I495" s="263">
        <f>G495-H495</f>
        <v/>
      </c>
      <c r="J495" s="323">
        <f>H495/G495</f>
        <v/>
      </c>
      <c r="K495" s="263" t="n">
        <v>1998.05</v>
      </c>
      <c r="L495" s="263" t="n">
        <v>442</v>
      </c>
      <c r="M495" s="263">
        <f>2026-INT(K495)+1</f>
        <v/>
      </c>
      <c r="N495" s="263" t="n">
        <v>1</v>
      </c>
      <c r="O495" s="263" t="n"/>
      <c r="P495" s="263" t="n">
        <v>250</v>
      </c>
      <c r="Q495" s="263" t="n">
        <v>76</v>
      </c>
      <c r="R495" s="263" t="inlineStr">
        <is>
          <t>계단식</t>
        </is>
      </c>
      <c r="S495" s="263" t="n">
        <v>5</v>
      </c>
      <c r="T495" s="263" t="n">
        <v>3</v>
      </c>
      <c r="U495" s="263" t="n"/>
      <c r="V495" s="263" t="n"/>
      <c r="W495" s="263" t="inlineStr">
        <is>
          <t>계단식</t>
        </is>
      </c>
      <c r="X495" s="263" t="n">
        <v>5</v>
      </c>
      <c r="Y495" s="263" t="n">
        <v>3</v>
      </c>
      <c r="Z495" s="263" t="n">
        <v>1</v>
      </c>
      <c r="AA495" s="263" t="n"/>
      <c r="AB495" s="263" t="n"/>
      <c r="AC495" s="263" t="n"/>
      <c r="AD495" s="263" t="n"/>
      <c r="AE495" s="263" t="n"/>
      <c r="AF495" s="263" t="n"/>
      <c r="AG495" s="263" t="n"/>
      <c r="AH495" s="263" t="n"/>
      <c r="AI495" s="263" t="n"/>
      <c r="AJ495" s="263" t="n"/>
      <c r="AK495" s="263" t="n"/>
    </row>
    <row r="496">
      <c r="A496" s="263" t="inlineStr">
        <is>
          <t>풍납동</t>
        </is>
      </c>
      <c r="B496" s="263" t="n"/>
      <c r="C496" s="263" t="n"/>
      <c r="D496" s="263" t="n">
        <v>416</v>
      </c>
      <c r="E496" s="267" t="inlineStr">
        <is>
          <t>씨티극동</t>
        </is>
      </c>
      <c r="F496" s="263" t="n">
        <v>201</v>
      </c>
      <c r="G496" s="263" t="n"/>
      <c r="H496" s="263" t="n"/>
      <c r="I496" s="263">
        <f>G496-H496</f>
        <v/>
      </c>
      <c r="J496" s="323">
        <f>H496/G496</f>
        <v/>
      </c>
      <c r="K496" s="263" t="n">
        <v>1998.05</v>
      </c>
      <c r="L496" s="263" t="n">
        <v>442</v>
      </c>
      <c r="M496" s="263">
        <f>2026-INT(K496)+1</f>
        <v/>
      </c>
      <c r="N496" s="263" t="n">
        <v>1</v>
      </c>
      <c r="O496" s="263" t="n"/>
      <c r="P496" s="263" t="n">
        <v>253</v>
      </c>
      <c r="Q496" s="263" t="n">
        <v>77</v>
      </c>
      <c r="R496" s="263" t="inlineStr">
        <is>
          <t>계단식</t>
        </is>
      </c>
      <c r="S496" s="263" t="n">
        <v>5</v>
      </c>
      <c r="T496" s="263" t="n">
        <v>3</v>
      </c>
      <c r="U496" s="263" t="n"/>
      <c r="V496" s="263" t="n"/>
      <c r="W496" s="263" t="inlineStr">
        <is>
          <t>계단식</t>
        </is>
      </c>
      <c r="X496" s="263" t="n">
        <v>5</v>
      </c>
      <c r="Y496" s="263" t="n">
        <v>3</v>
      </c>
      <c r="Z496" s="263" t="n">
        <v>1</v>
      </c>
      <c r="AA496" s="263" t="n"/>
      <c r="AB496" s="263" t="n"/>
      <c r="AC496" s="263" t="n"/>
      <c r="AD496" s="263" t="n"/>
      <c r="AE496" s="263" t="n"/>
      <c r="AF496" s="263" t="n"/>
      <c r="AG496" s="263" t="n"/>
      <c r="AH496" s="263" t="n"/>
      <c r="AI496" s="263" t="n"/>
      <c r="AJ496" s="263" t="n"/>
      <c r="AK496" s="263" t="n"/>
    </row>
    <row r="497">
      <c r="A497" s="458" t="inlineStr">
        <is>
          <t>풍납동</t>
        </is>
      </c>
      <c r="D497" s="458" t="n">
        <v>115046</v>
      </c>
      <c r="E497" s="146" t="inlineStr">
        <is>
          <t>잠실올림픽공원아이파크</t>
        </is>
      </c>
      <c r="F497" s="458" t="n">
        <v>51</v>
      </c>
      <c r="G497" s="458" t="n">
        <v>210000</v>
      </c>
      <c r="I497" s="263">
        <f>G497-H497</f>
        <v/>
      </c>
      <c r="J497" s="323">
        <f>H497/G497</f>
        <v/>
      </c>
      <c r="K497" s="458" t="n">
        <v>2019.11</v>
      </c>
      <c r="L497" s="458" t="n">
        <v>697</v>
      </c>
      <c r="M497" s="458">
        <f>2026-INT(K497)+1</f>
        <v/>
      </c>
      <c r="N497" s="458" t="n">
        <v>18</v>
      </c>
      <c r="P497" s="458" t="n">
        <v>75</v>
      </c>
      <c r="Q497" s="458" t="n">
        <v>23</v>
      </c>
      <c r="R497" s="458" t="inlineStr">
        <is>
          <t>계단식</t>
        </is>
      </c>
      <c r="S497" s="458" t="n">
        <v>2</v>
      </c>
      <c r="T497" s="458" t="n">
        <v>1</v>
      </c>
      <c r="V497" s="458" t="n">
        <v>12.6</v>
      </c>
      <c r="W497" s="458" t="inlineStr">
        <is>
          <t>계단식</t>
        </is>
      </c>
      <c r="X497" s="458" t="n">
        <v>2</v>
      </c>
      <c r="Y497" s="458" t="n">
        <v>1</v>
      </c>
      <c r="Z497" s="458" t="n">
        <v>18</v>
      </c>
    </row>
    <row r="498">
      <c r="A498" s="458" t="inlineStr">
        <is>
          <t>풍납동</t>
        </is>
      </c>
      <c r="D498" s="458" t="n">
        <v>115046</v>
      </c>
      <c r="E498" s="268" t="inlineStr">
        <is>
          <t>잠실올림픽공원아이파크</t>
        </is>
      </c>
      <c r="F498" s="458" t="n">
        <v>59</v>
      </c>
      <c r="G498" s="458" t="n">
        <v>208000</v>
      </c>
      <c r="H498" s="458" t="n">
        <v>105000</v>
      </c>
      <c r="I498" s="263">
        <f>G498-H498</f>
        <v/>
      </c>
      <c r="J498" s="323">
        <f>H498/G498</f>
        <v/>
      </c>
      <c r="K498" s="458" t="n">
        <v>2019.11</v>
      </c>
      <c r="L498" s="458" t="n">
        <v>697</v>
      </c>
      <c r="M498" s="458">
        <f>2026-INT(K498)+1</f>
        <v/>
      </c>
      <c r="N498" s="458" t="n">
        <v>226</v>
      </c>
      <c r="P498" s="458" t="n">
        <v>83</v>
      </c>
      <c r="Q498" s="458" t="n">
        <v>25</v>
      </c>
      <c r="R498" s="458" t="inlineStr">
        <is>
          <t>계단식</t>
        </is>
      </c>
      <c r="S498" s="458" t="n">
        <v>3</v>
      </c>
      <c r="T498" s="458" t="n">
        <v>2</v>
      </c>
      <c r="U498" s="458" t="n">
        <v>16.5</v>
      </c>
      <c r="V498" s="458" t="n">
        <v>13</v>
      </c>
      <c r="W498" s="458" t="inlineStr">
        <is>
          <t>계단식</t>
        </is>
      </c>
      <c r="X498" s="458" t="n">
        <v>3</v>
      </c>
      <c r="Y498" s="458" t="n">
        <v>2</v>
      </c>
      <c r="Z498" s="458" t="n">
        <v>226</v>
      </c>
    </row>
    <row r="499">
      <c r="A499" s="458" t="inlineStr">
        <is>
          <t>풍납동</t>
        </is>
      </c>
      <c r="D499" s="458" t="n">
        <v>115046</v>
      </c>
      <c r="E499" s="268" t="inlineStr">
        <is>
          <t>잠실올림픽공원아이파크</t>
        </is>
      </c>
      <c r="F499" s="458" t="n">
        <v>75</v>
      </c>
      <c r="G499" s="458" t="n">
        <v>229000</v>
      </c>
      <c r="H499" s="458" t="n">
        <v>110000</v>
      </c>
      <c r="I499" s="263">
        <f>G499-H499</f>
        <v/>
      </c>
      <c r="J499" s="323">
        <f>H499/G499</f>
        <v/>
      </c>
      <c r="K499" s="458" t="n">
        <v>2019.11</v>
      </c>
      <c r="L499" s="458" t="n">
        <v>697</v>
      </c>
      <c r="M499" s="458">
        <f>2026-INT(K499)+1</f>
        <v/>
      </c>
      <c r="N499" s="458" t="n">
        <v>208</v>
      </c>
      <c r="P499" s="458" t="n">
        <v>103</v>
      </c>
      <c r="Q499" s="458" t="n">
        <v>31</v>
      </c>
      <c r="R499" s="458" t="inlineStr">
        <is>
          <t>계단식</t>
        </is>
      </c>
      <c r="S499" s="458" t="n">
        <v>3</v>
      </c>
      <c r="T499" s="458" t="n">
        <v>2</v>
      </c>
      <c r="U499" s="458" t="n">
        <v>20</v>
      </c>
      <c r="V499" s="458" t="n">
        <v>14.7</v>
      </c>
      <c r="W499" s="458" t="inlineStr">
        <is>
          <t>계단식</t>
        </is>
      </c>
      <c r="X499" s="458" t="n">
        <v>3</v>
      </c>
      <c r="Y499" s="458" t="n">
        <v>2</v>
      </c>
      <c r="Z499" s="458" t="n">
        <v>208</v>
      </c>
    </row>
    <row r="500">
      <c r="A500" s="458" t="inlineStr">
        <is>
          <t>풍납동</t>
        </is>
      </c>
      <c r="D500" s="458" t="n">
        <v>115046</v>
      </c>
      <c r="E500" s="268" t="inlineStr">
        <is>
          <t>잠실올림픽공원아이파크</t>
        </is>
      </c>
      <c r="F500" s="458" t="n">
        <v>84</v>
      </c>
      <c r="G500" s="458" t="n">
        <v>270000</v>
      </c>
      <c r="H500" s="458" t="n">
        <v>123000</v>
      </c>
      <c r="I500" s="263">
        <f>G500-H500</f>
        <v/>
      </c>
      <c r="J500" s="323">
        <f>H500/G500</f>
        <v/>
      </c>
      <c r="K500" s="458" t="n">
        <v>2019.11</v>
      </c>
      <c r="L500" s="458" t="n">
        <v>697</v>
      </c>
      <c r="M500" s="458">
        <f>2026-INT(K500)+1</f>
        <v/>
      </c>
      <c r="N500" s="458" t="n">
        <v>124</v>
      </c>
      <c r="P500" s="458" t="n">
        <v>112</v>
      </c>
      <c r="Q500" s="458" t="n">
        <v>34</v>
      </c>
      <c r="R500" s="458" t="inlineStr">
        <is>
          <t>계단식</t>
        </is>
      </c>
      <c r="S500" s="458" t="n">
        <v>3</v>
      </c>
      <c r="T500" s="458" t="n">
        <v>2</v>
      </c>
      <c r="U500" s="458" t="n">
        <v>18.45</v>
      </c>
      <c r="V500" s="458" t="n">
        <v>16</v>
      </c>
      <c r="W500" s="458" t="inlineStr">
        <is>
          <t>계단식</t>
        </is>
      </c>
      <c r="X500" s="458" t="n">
        <v>3</v>
      </c>
      <c r="Y500" s="458" t="n">
        <v>2</v>
      </c>
      <c r="Z500" s="458" t="n">
        <v>124</v>
      </c>
    </row>
    <row r="501">
      <c r="A501" s="458" t="inlineStr">
        <is>
          <t>풍납동</t>
        </is>
      </c>
      <c r="D501" s="458" t="n">
        <v>115046</v>
      </c>
      <c r="E501" s="268" t="inlineStr">
        <is>
          <t>잠실올림픽공원아이파크</t>
        </is>
      </c>
      <c r="F501" s="458" t="n">
        <v>109</v>
      </c>
      <c r="I501" s="263">
        <f>G501-H501</f>
        <v/>
      </c>
      <c r="J501" s="323">
        <f>H501/G501</f>
        <v/>
      </c>
      <c r="K501" s="458" t="n">
        <v>2019.11</v>
      </c>
      <c r="L501" s="458" t="n">
        <v>697</v>
      </c>
      <c r="M501" s="458">
        <f>2026-INT(K501)+1</f>
        <v/>
      </c>
      <c r="N501" s="458" t="n">
        <v>26</v>
      </c>
      <c r="P501" s="458" t="n">
        <v>144</v>
      </c>
      <c r="Q501" s="458" t="n">
        <v>44</v>
      </c>
      <c r="R501" s="458" t="inlineStr">
        <is>
          <t>계단식</t>
        </is>
      </c>
      <c r="S501" s="458" t="n">
        <v>4</v>
      </c>
      <c r="T501" s="458" t="n">
        <v>2</v>
      </c>
      <c r="V501" s="458" t="n">
        <v>20</v>
      </c>
      <c r="W501" s="458" t="inlineStr">
        <is>
          <t>계단식</t>
        </is>
      </c>
      <c r="X501" s="458" t="n">
        <v>4</v>
      </c>
      <c r="Y501" s="458" t="n">
        <v>2</v>
      </c>
      <c r="Z501" s="458" t="n">
        <v>26</v>
      </c>
    </row>
    <row r="502">
      <c r="A502" s="263" t="inlineStr">
        <is>
          <t>풍납동</t>
        </is>
      </c>
      <c r="B502" s="263" t="n"/>
      <c r="C502" s="263" t="n"/>
      <c r="D502" s="263" t="n">
        <v>649</v>
      </c>
      <c r="E502" s="269" t="inlineStr">
        <is>
          <t>풍납현대</t>
        </is>
      </c>
      <c r="F502" s="263" t="n">
        <v>71</v>
      </c>
      <c r="G502" s="263" t="n">
        <v>159000</v>
      </c>
      <c r="H502" s="263" t="n">
        <v>16171</v>
      </c>
      <c r="I502" s="263">
        <f>G502-H502</f>
        <v/>
      </c>
      <c r="J502" s="323">
        <f>H502/G502</f>
        <v/>
      </c>
      <c r="K502" s="263" t="n">
        <v>1995.11</v>
      </c>
      <c r="L502" s="263" t="n">
        <v>708</v>
      </c>
      <c r="M502" s="263">
        <f>2026-INT(K502)+1</f>
        <v/>
      </c>
      <c r="N502" s="263" t="n">
        <v>78</v>
      </c>
      <c r="O502" s="263" t="n"/>
      <c r="P502" s="263" t="n">
        <v>88</v>
      </c>
      <c r="Q502" s="263" t="n">
        <v>27</v>
      </c>
      <c r="R502" s="263" t="inlineStr">
        <is>
          <t>계단식</t>
        </is>
      </c>
      <c r="S502" s="263" t="n">
        <v>3</v>
      </c>
      <c r="T502" s="263" t="n">
        <v>1</v>
      </c>
      <c r="U502" s="263" t="n">
        <v>13.6</v>
      </c>
      <c r="V502" s="263" t="n">
        <v>10.4</v>
      </c>
      <c r="W502" s="263" t="inlineStr">
        <is>
          <t>계단식</t>
        </is>
      </c>
      <c r="X502" s="263" t="n">
        <v>3</v>
      </c>
      <c r="Y502" s="263" t="n">
        <v>1</v>
      </c>
      <c r="Z502" s="263" t="n">
        <v>78</v>
      </c>
      <c r="AA502" s="263" t="n"/>
      <c r="AB502" s="263" t="n"/>
      <c r="AC502" s="263" t="n"/>
      <c r="AD502" s="263" t="n"/>
      <c r="AE502" s="263" t="n"/>
      <c r="AF502" s="263" t="n"/>
      <c r="AG502" s="263" t="n"/>
      <c r="AH502" s="263" t="n"/>
      <c r="AI502" s="263" t="n"/>
      <c r="AJ502" s="263" t="n"/>
      <c r="AK502" s="263" t="n"/>
    </row>
    <row r="503">
      <c r="A503" s="263" t="inlineStr">
        <is>
          <t>풍납동</t>
        </is>
      </c>
      <c r="B503" s="263" t="n"/>
      <c r="C503" s="263" t="n"/>
      <c r="D503" s="263" t="n">
        <v>649</v>
      </c>
      <c r="E503" s="267" t="inlineStr">
        <is>
          <t>풍납현대</t>
        </is>
      </c>
      <c r="F503" s="263" t="n">
        <v>83</v>
      </c>
      <c r="G503" s="263" t="n">
        <v>181000</v>
      </c>
      <c r="H503" s="263" t="n">
        <v>70000</v>
      </c>
      <c r="I503" s="263">
        <f>G503-H503</f>
        <v/>
      </c>
      <c r="J503" s="323">
        <f>H503/G503</f>
        <v/>
      </c>
      <c r="K503" s="263" t="n">
        <v>1995.11</v>
      </c>
      <c r="L503" s="263" t="n">
        <v>708</v>
      </c>
      <c r="M503" s="263">
        <f>2026-INT(K503)+1</f>
        <v/>
      </c>
      <c r="N503" s="263" t="n">
        <v>532</v>
      </c>
      <c r="O503" s="263" t="n"/>
      <c r="P503" s="263" t="n">
        <v>101</v>
      </c>
      <c r="Q503" s="263" t="n">
        <v>31</v>
      </c>
      <c r="R503" s="263" t="inlineStr">
        <is>
          <t>계단식</t>
        </is>
      </c>
      <c r="S503" s="263" t="n">
        <v>3</v>
      </c>
      <c r="T503" s="263" t="n">
        <v>2</v>
      </c>
      <c r="U503" s="263" t="n">
        <v>14.7</v>
      </c>
      <c r="V503" s="263" t="n">
        <v>8.699999999999999</v>
      </c>
      <c r="W503" s="263" t="inlineStr">
        <is>
          <t>계단식</t>
        </is>
      </c>
      <c r="X503" s="263" t="n">
        <v>3</v>
      </c>
      <c r="Y503" s="263" t="n">
        <v>2</v>
      </c>
      <c r="Z503" s="263" t="n">
        <v>532</v>
      </c>
      <c r="AA503" s="263" t="n"/>
      <c r="AB503" s="263" t="n"/>
      <c r="AC503" s="263" t="n"/>
      <c r="AD503" s="263" t="n"/>
      <c r="AE503" s="263" t="n"/>
      <c r="AF503" s="263" t="n"/>
      <c r="AG503" s="263" t="n"/>
      <c r="AH503" s="263" t="n"/>
      <c r="AI503" s="263" t="n"/>
      <c r="AJ503" s="263" t="n"/>
      <c r="AK503" s="263" t="n"/>
    </row>
    <row r="504">
      <c r="A504" s="263" t="inlineStr">
        <is>
          <t>풍납동</t>
        </is>
      </c>
      <c r="B504" s="263" t="n"/>
      <c r="C504" s="263" t="n"/>
      <c r="D504" s="263" t="n">
        <v>649</v>
      </c>
      <c r="E504" s="267" t="inlineStr">
        <is>
          <t>풍납현대</t>
        </is>
      </c>
      <c r="F504" s="263" t="n">
        <v>84</v>
      </c>
      <c r="G504" s="263" t="n"/>
      <c r="H504" s="263" t="n"/>
      <c r="I504" s="263">
        <f>G504-H504</f>
        <v/>
      </c>
      <c r="J504" s="323">
        <f>H504/G504</f>
        <v/>
      </c>
      <c r="K504" s="263" t="n">
        <v>1995.11</v>
      </c>
      <c r="L504" s="263" t="n">
        <v>708</v>
      </c>
      <c r="M504" s="263">
        <f>2026-INT(K504)+1</f>
        <v/>
      </c>
      <c r="N504" s="263" t="n">
        <v>98</v>
      </c>
      <c r="O504" s="263" t="n"/>
      <c r="P504" s="263" t="n">
        <v>102</v>
      </c>
      <c r="Q504" s="263" t="n">
        <v>31</v>
      </c>
      <c r="R504" s="263" t="inlineStr">
        <is>
          <t>계단식</t>
        </is>
      </c>
      <c r="S504" s="263" t="n">
        <v>3</v>
      </c>
      <c r="T504" s="263" t="n">
        <v>2</v>
      </c>
      <c r="U504" s="263" t="n">
        <v>14.7</v>
      </c>
      <c r="V504" s="263" t="n">
        <v>8.699999999999999</v>
      </c>
      <c r="W504" s="263" t="inlineStr">
        <is>
          <t>계단식</t>
        </is>
      </c>
      <c r="X504" s="263" t="n">
        <v>3</v>
      </c>
      <c r="Y504" s="263" t="n">
        <v>2</v>
      </c>
      <c r="Z504" s="263" t="n">
        <v>98</v>
      </c>
      <c r="AA504" s="263" t="n"/>
      <c r="AB504" s="263" t="n"/>
      <c r="AC504" s="263" t="n"/>
      <c r="AD504" s="263" t="n"/>
      <c r="AE504" s="263" t="n"/>
      <c r="AF504" s="263" t="n"/>
      <c r="AG504" s="263" t="n"/>
      <c r="AH504" s="263" t="n"/>
      <c r="AI504" s="263" t="n"/>
      <c r="AJ504" s="263" t="n"/>
      <c r="AK504" s="263" t="n"/>
    </row>
    <row r="505">
      <c r="A505" s="458" t="inlineStr">
        <is>
          <t>풍납동</t>
        </is>
      </c>
      <c r="D505" s="458" t="n">
        <v>650</v>
      </c>
      <c r="E505" s="146" t="inlineStr">
        <is>
          <t>한강극동</t>
        </is>
      </c>
      <c r="F505" s="458" t="n">
        <v>59</v>
      </c>
      <c r="G505" s="263" t="n">
        <v>144500</v>
      </c>
      <c r="H505" s="263" t="n">
        <v>55001</v>
      </c>
      <c r="I505" s="263">
        <f>G505-H505</f>
        <v/>
      </c>
      <c r="J505" s="323">
        <f>H505/G505</f>
        <v/>
      </c>
      <c r="K505" s="458" t="n">
        <v>1995.07</v>
      </c>
      <c r="L505" s="458" t="n">
        <v>895</v>
      </c>
      <c r="M505" s="458">
        <f>2026-INT(K505)+1</f>
        <v/>
      </c>
      <c r="N505" s="458" t="n">
        <v>315</v>
      </c>
      <c r="P505" s="458" t="n">
        <v>79</v>
      </c>
      <c r="Q505" s="458" t="n">
        <v>24</v>
      </c>
      <c r="R505" s="458" t="inlineStr">
        <is>
          <t>복도식</t>
        </is>
      </c>
      <c r="S505" s="458" t="n">
        <v>2</v>
      </c>
      <c r="T505" s="458" t="n">
        <v>1</v>
      </c>
      <c r="U505" s="458" t="n">
        <v>10.9</v>
      </c>
      <c r="V505" s="458" t="n">
        <v>8.550000000000001</v>
      </c>
      <c r="W505" s="458" t="inlineStr">
        <is>
          <t>복도식</t>
        </is>
      </c>
      <c r="X505" s="458" t="n">
        <v>2</v>
      </c>
      <c r="Y505" s="458" t="n">
        <v>1</v>
      </c>
      <c r="Z505" s="458" t="n">
        <v>315</v>
      </c>
    </row>
    <row r="506">
      <c r="A506" s="458" t="inlineStr">
        <is>
          <t>풍납동</t>
        </is>
      </c>
      <c r="D506" s="458" t="n">
        <v>650</v>
      </c>
      <c r="E506" s="268" t="inlineStr">
        <is>
          <t>한강극동</t>
        </is>
      </c>
      <c r="F506" s="458" t="n">
        <v>84</v>
      </c>
      <c r="G506" s="263" t="n">
        <v>187000</v>
      </c>
      <c r="H506" s="263" t="n">
        <v>75001</v>
      </c>
      <c r="I506" s="263">
        <f>G506-H506</f>
        <v/>
      </c>
      <c r="J506" s="323">
        <f>H506/G506</f>
        <v/>
      </c>
      <c r="K506" s="458" t="n">
        <v>1995.07</v>
      </c>
      <c r="L506" s="458" t="n">
        <v>895</v>
      </c>
      <c r="M506" s="458">
        <f>2026-INT(K506)+1</f>
        <v/>
      </c>
      <c r="N506" s="458" t="n">
        <v>328</v>
      </c>
      <c r="P506" s="458" t="n">
        <v>106</v>
      </c>
      <c r="Q506" s="458" t="n">
        <v>32</v>
      </c>
      <c r="R506" s="458" t="inlineStr">
        <is>
          <t>계단식</t>
        </is>
      </c>
      <c r="S506" s="458" t="n">
        <v>3</v>
      </c>
      <c r="T506" s="458" t="n">
        <v>2</v>
      </c>
      <c r="U506" s="458" t="n">
        <v>14.2</v>
      </c>
      <c r="V506" s="458" t="n">
        <v>8.85</v>
      </c>
      <c r="W506" s="458" t="inlineStr">
        <is>
          <t>계단식</t>
        </is>
      </c>
      <c r="X506" s="458" t="n">
        <v>3</v>
      </c>
      <c r="Y506" s="458" t="n">
        <v>2</v>
      </c>
      <c r="Z506" s="458" t="n">
        <v>328</v>
      </c>
    </row>
    <row r="507">
      <c r="A507" s="458" t="inlineStr">
        <is>
          <t>풍납동</t>
        </is>
      </c>
      <c r="D507" s="458" t="n">
        <v>650</v>
      </c>
      <c r="E507" s="268" t="inlineStr">
        <is>
          <t>한강극동</t>
        </is>
      </c>
      <c r="F507" s="458" t="n">
        <v>114</v>
      </c>
      <c r="I507" s="263">
        <f>G507-H507</f>
        <v/>
      </c>
      <c r="J507" s="323">
        <f>H507/G507</f>
        <v/>
      </c>
      <c r="K507" s="458" t="n">
        <v>1995.07</v>
      </c>
      <c r="L507" s="458" t="n">
        <v>895</v>
      </c>
      <c r="M507" s="458">
        <f>2026-INT(K507)+1</f>
        <v/>
      </c>
      <c r="N507" s="458" t="n">
        <v>252</v>
      </c>
      <c r="P507" s="458" t="n">
        <v>138</v>
      </c>
      <c r="Q507" s="458" t="n">
        <v>42</v>
      </c>
      <c r="R507" s="458" t="inlineStr">
        <is>
          <t>계단식</t>
        </is>
      </c>
      <c r="S507" s="458" t="n">
        <v>4</v>
      </c>
      <c r="T507" s="458" t="n">
        <v>2</v>
      </c>
      <c r="U507" s="458" t="n">
        <v>15.6</v>
      </c>
      <c r="V507" s="458" t="n">
        <v>13.7</v>
      </c>
      <c r="W507" s="458" t="inlineStr">
        <is>
          <t>계단식</t>
        </is>
      </c>
      <c r="X507" s="458" t="n">
        <v>4</v>
      </c>
      <c r="Y507" s="458" t="n">
        <v>2</v>
      </c>
      <c r="Z507" s="458" t="n">
        <v>252</v>
      </c>
    </row>
    <row r="508">
      <c r="A508" s="263" t="inlineStr">
        <is>
          <t>풍납동</t>
        </is>
      </c>
      <c r="B508" s="263" t="n"/>
      <c r="C508" s="263" t="n"/>
      <c r="D508" s="263" t="n">
        <v>422</v>
      </c>
      <c r="E508" s="267" t="inlineStr">
        <is>
          <t>현대리버빌1지구</t>
        </is>
      </c>
      <c r="F508" s="263" t="n">
        <v>43</v>
      </c>
      <c r="G508" s="263" t="n">
        <v>100000</v>
      </c>
      <c r="H508" s="263" t="n">
        <v>43001</v>
      </c>
      <c r="I508" s="263">
        <f>G508-H508</f>
        <v/>
      </c>
      <c r="J508" s="323">
        <f>H508/G508</f>
        <v/>
      </c>
      <c r="K508" s="263" t="n">
        <v>1999.11</v>
      </c>
      <c r="L508" s="263" t="n">
        <v>557</v>
      </c>
      <c r="M508" s="263">
        <f>2026-INT(K508)+1</f>
        <v/>
      </c>
      <c r="N508" s="263" t="n">
        <v>192</v>
      </c>
      <c r="O508" s="263" t="n"/>
      <c r="P508" s="263" t="n">
        <v>58</v>
      </c>
      <c r="Q508" s="263" t="n">
        <v>18</v>
      </c>
      <c r="R508" s="263" t="inlineStr">
        <is>
          <t>복도식</t>
        </is>
      </c>
      <c r="S508" s="263" t="n">
        <v>2</v>
      </c>
      <c r="T508" s="263" t="n">
        <v>1</v>
      </c>
      <c r="U508" s="263" t="n">
        <v>8.300000000000001</v>
      </c>
      <c r="V508" s="263" t="n">
        <v>6.25</v>
      </c>
      <c r="W508" s="263" t="inlineStr">
        <is>
          <t>복도식</t>
        </is>
      </c>
      <c r="X508" s="263" t="n">
        <v>2</v>
      </c>
      <c r="Y508" s="263" t="n">
        <v>1</v>
      </c>
      <c r="Z508" s="263" t="n">
        <v>192</v>
      </c>
      <c r="AA508" s="263" t="n"/>
      <c r="AB508" s="263" t="n"/>
      <c r="AC508" s="263" t="n"/>
      <c r="AD508" s="263" t="n"/>
      <c r="AE508" s="263" t="n"/>
      <c r="AF508" s="263" t="n"/>
      <c r="AG508" s="263" t="n"/>
      <c r="AH508" s="263" t="n"/>
      <c r="AI508" s="263" t="n"/>
      <c r="AJ508" s="263" t="n"/>
      <c r="AK508" s="263" t="n"/>
    </row>
    <row r="509">
      <c r="A509" s="263" t="inlineStr">
        <is>
          <t>풍납동</t>
        </is>
      </c>
      <c r="B509" s="263" t="n"/>
      <c r="C509" s="263" t="n"/>
      <c r="D509" s="263" t="n">
        <v>422</v>
      </c>
      <c r="E509" s="267" t="inlineStr">
        <is>
          <t>현대리버빌1지구</t>
        </is>
      </c>
      <c r="F509" s="263" t="n">
        <v>47</v>
      </c>
      <c r="G509" s="263" t="n"/>
      <c r="H509" s="263" t="n"/>
      <c r="I509" s="263">
        <f>G509-H509</f>
        <v/>
      </c>
      <c r="J509" s="323">
        <f>H509/G509</f>
        <v/>
      </c>
      <c r="K509" s="263" t="n">
        <v>1999.11</v>
      </c>
      <c r="L509" s="263" t="n">
        <v>557</v>
      </c>
      <c r="M509" s="263">
        <f>2026-INT(K509)+1</f>
        <v/>
      </c>
      <c r="N509" s="263" t="n">
        <v>13</v>
      </c>
      <c r="O509" s="263" t="n"/>
      <c r="P509" s="263" t="n">
        <v>65</v>
      </c>
      <c r="Q509" s="263" t="n">
        <v>20</v>
      </c>
      <c r="R509" s="263" t="inlineStr">
        <is>
          <t>복도식</t>
        </is>
      </c>
      <c r="S509" s="263" t="n">
        <v>2</v>
      </c>
      <c r="T509" s="263" t="n">
        <v>1</v>
      </c>
      <c r="U509" s="263" t="n"/>
      <c r="V509" s="263" t="n">
        <v>6.1</v>
      </c>
      <c r="W509" s="263" t="inlineStr">
        <is>
          <t>복도식</t>
        </is>
      </c>
      <c r="X509" s="263" t="n">
        <v>2</v>
      </c>
      <c r="Y509" s="263" t="n">
        <v>1</v>
      </c>
      <c r="Z509" s="263" t="n">
        <v>13</v>
      </c>
      <c r="AA509" s="263" t="n"/>
      <c r="AB509" s="263" t="n"/>
      <c r="AC509" s="263" t="n"/>
      <c r="AD509" s="263" t="n"/>
      <c r="AE509" s="263" t="n"/>
      <c r="AF509" s="263" t="n"/>
      <c r="AG509" s="263" t="n"/>
      <c r="AH509" s="263" t="n"/>
      <c r="AI509" s="263" t="n"/>
      <c r="AJ509" s="263" t="n"/>
      <c r="AK509" s="263" t="n"/>
    </row>
    <row r="510">
      <c r="A510" s="263" t="inlineStr">
        <is>
          <t>풍납동</t>
        </is>
      </c>
      <c r="B510" s="263" t="n"/>
      <c r="C510" s="263" t="n"/>
      <c r="D510" s="263" t="n">
        <v>422</v>
      </c>
      <c r="E510" s="267" t="inlineStr">
        <is>
          <t>현대리버빌1지구</t>
        </is>
      </c>
      <c r="F510" s="263" t="n">
        <v>58</v>
      </c>
      <c r="G510" s="263" t="n">
        <v>140000</v>
      </c>
      <c r="H510" s="263" t="n">
        <v>55001</v>
      </c>
      <c r="I510" s="263">
        <f>G510-H510</f>
        <v/>
      </c>
      <c r="J510" s="323">
        <f>H510/G510</f>
        <v/>
      </c>
      <c r="K510" s="263" t="n">
        <v>1999.11</v>
      </c>
      <c r="L510" s="263" t="n">
        <v>557</v>
      </c>
      <c r="M510" s="263">
        <f>2026-INT(K510)+1</f>
        <v/>
      </c>
      <c r="N510" s="263" t="n">
        <v>16</v>
      </c>
      <c r="O510" s="263" t="n"/>
      <c r="P510" s="263" t="n">
        <v>80</v>
      </c>
      <c r="Q510" s="263" t="n">
        <v>24</v>
      </c>
      <c r="R510" s="263" t="inlineStr">
        <is>
          <t>복도식</t>
        </is>
      </c>
      <c r="S510" s="263" t="n">
        <v>2</v>
      </c>
      <c r="T510" s="263" t="n">
        <v>1</v>
      </c>
      <c r="U510" s="263" t="n"/>
      <c r="V510" s="263" t="n"/>
      <c r="W510" s="263" t="inlineStr">
        <is>
          <t>복도식</t>
        </is>
      </c>
      <c r="X510" s="263" t="n">
        <v>2</v>
      </c>
      <c r="Y510" s="263" t="n">
        <v>1</v>
      </c>
      <c r="Z510" s="263" t="n">
        <v>16</v>
      </c>
      <c r="AA510" s="263" t="n"/>
      <c r="AB510" s="263" t="n"/>
      <c r="AC510" s="263" t="n"/>
      <c r="AD510" s="263" t="n"/>
      <c r="AE510" s="263" t="n"/>
      <c r="AF510" s="263" t="n"/>
      <c r="AG510" s="263" t="n"/>
      <c r="AH510" s="263" t="n"/>
      <c r="AI510" s="263" t="n"/>
      <c r="AJ510" s="263" t="n"/>
      <c r="AK510" s="263" t="n"/>
    </row>
    <row r="511" ht="14" customHeight="1" s="476">
      <c r="A511" s="263" t="inlineStr">
        <is>
          <t>풍납동</t>
        </is>
      </c>
      <c r="B511" s="263" t="n"/>
      <c r="C511" s="263" t="n"/>
      <c r="D511" s="263" t="n">
        <v>422</v>
      </c>
      <c r="E511" s="267" t="inlineStr">
        <is>
          <t>현대리버빌1지구</t>
        </is>
      </c>
      <c r="F511" s="263" t="n">
        <v>59</v>
      </c>
      <c r="G511" s="263" t="n"/>
      <c r="H511" s="263" t="n"/>
      <c r="I511" s="263">
        <f>G511-H511</f>
        <v/>
      </c>
      <c r="J511" s="323">
        <f>H511/G511</f>
        <v/>
      </c>
      <c r="K511" s="263" t="n">
        <v>1999.11</v>
      </c>
      <c r="L511" s="263" t="n">
        <v>557</v>
      </c>
      <c r="M511" s="263">
        <f>2026-INT(K511)+1</f>
        <v/>
      </c>
      <c r="N511" s="263" t="n">
        <v>56</v>
      </c>
      <c r="O511" s="263" t="n"/>
      <c r="P511" s="263" t="n">
        <v>83</v>
      </c>
      <c r="Q511" s="263" t="n">
        <v>25</v>
      </c>
      <c r="R511" s="263" t="inlineStr">
        <is>
          <t>복도식</t>
        </is>
      </c>
      <c r="S511" s="263" t="n">
        <v>3</v>
      </c>
      <c r="T511" s="263" t="n">
        <v>1</v>
      </c>
      <c r="U511" s="263" t="n">
        <v>11.5</v>
      </c>
      <c r="V511" s="263" t="n"/>
      <c r="W511" s="263" t="inlineStr">
        <is>
          <t>복도식</t>
        </is>
      </c>
      <c r="X511" s="263" t="n">
        <v>3</v>
      </c>
      <c r="Y511" s="263" t="n">
        <v>1</v>
      </c>
      <c r="Z511" s="263" t="n">
        <v>56</v>
      </c>
      <c r="AA511" s="263" t="n"/>
      <c r="AB511" s="263" t="n"/>
      <c r="AC511" s="263" t="n"/>
      <c r="AD511" s="263" t="n"/>
      <c r="AE511" s="263" t="n"/>
      <c r="AF511" s="263" t="n"/>
      <c r="AG511" s="263" t="n"/>
      <c r="AH511" s="263" t="n"/>
      <c r="AI511" s="263" t="n"/>
      <c r="AJ511" s="263" t="n"/>
      <c r="AK511" s="263" t="n"/>
    </row>
    <row r="512">
      <c r="A512" s="263" t="inlineStr">
        <is>
          <t>풍납동</t>
        </is>
      </c>
      <c r="B512" s="263" t="n"/>
      <c r="C512" s="263" t="n"/>
      <c r="D512" s="263" t="n">
        <v>422</v>
      </c>
      <c r="E512" s="267" t="inlineStr">
        <is>
          <t>현대리버빌1지구</t>
        </is>
      </c>
      <c r="F512" s="263" t="n">
        <v>84</v>
      </c>
      <c r="G512" s="263" t="n">
        <v>170000</v>
      </c>
      <c r="H512" s="263" t="n">
        <v>80001</v>
      </c>
      <c r="I512" s="263">
        <f>G512-H512</f>
        <v/>
      </c>
      <c r="J512" s="323">
        <f>H512/G512</f>
        <v/>
      </c>
      <c r="K512" s="263" t="n">
        <v>1999.11</v>
      </c>
      <c r="L512" s="263" t="n">
        <v>557</v>
      </c>
      <c r="M512" s="263">
        <f>2026-INT(K512)+1</f>
        <v/>
      </c>
      <c r="N512" s="263" t="n">
        <v>127</v>
      </c>
      <c r="O512" s="263" t="n"/>
      <c r="P512" s="263" t="n">
        <v>104</v>
      </c>
      <c r="Q512" s="263" t="n">
        <v>31</v>
      </c>
      <c r="R512" s="263" t="inlineStr">
        <is>
          <t>계단식</t>
        </is>
      </c>
      <c r="S512" s="263" t="n">
        <v>3</v>
      </c>
      <c r="T512" s="263" t="n">
        <v>2</v>
      </c>
      <c r="U512" s="263" t="n">
        <v>12.1</v>
      </c>
      <c r="V512" s="263" t="n">
        <v>11.3</v>
      </c>
      <c r="W512" s="263" t="inlineStr">
        <is>
          <t>계단식</t>
        </is>
      </c>
      <c r="X512" s="263" t="n">
        <v>3</v>
      </c>
      <c r="Y512" s="263" t="n">
        <v>2</v>
      </c>
      <c r="Z512" s="263" t="n">
        <v>127</v>
      </c>
      <c r="AA512" s="263" t="n"/>
      <c r="AB512" s="263" t="n"/>
      <c r="AC512" s="263" t="n"/>
      <c r="AD512" s="263" t="n"/>
      <c r="AE512" s="263" t="n"/>
      <c r="AF512" s="263" t="n"/>
      <c r="AG512" s="263" t="n"/>
      <c r="AH512" s="263" t="n"/>
      <c r="AI512" s="263" t="n"/>
      <c r="AJ512" s="263" t="n"/>
      <c r="AK512" s="263" t="n"/>
    </row>
    <row r="513">
      <c r="A513" s="263" t="inlineStr">
        <is>
          <t>풍납동</t>
        </is>
      </c>
      <c r="B513" s="263" t="n"/>
      <c r="C513" s="263" t="n"/>
      <c r="D513" s="263" t="n">
        <v>422</v>
      </c>
      <c r="E513" s="267" t="inlineStr">
        <is>
          <t>현대리버빌1지구</t>
        </is>
      </c>
      <c r="F513" s="263" t="n">
        <v>114</v>
      </c>
      <c r="G513" s="263" t="n"/>
      <c r="H513" s="263" t="n"/>
      <c r="I513" s="263">
        <f>G513-H513</f>
        <v/>
      </c>
      <c r="J513" s="323">
        <f>H513/G513</f>
        <v/>
      </c>
      <c r="K513" s="263" t="n">
        <v>1999.11</v>
      </c>
      <c r="L513" s="263" t="n">
        <v>557</v>
      </c>
      <c r="M513" s="263">
        <f>2026-INT(K513)+1</f>
        <v/>
      </c>
      <c r="N513" s="263" t="n">
        <v>45</v>
      </c>
      <c r="O513" s="263" t="n"/>
      <c r="P513" s="263" t="n">
        <v>140</v>
      </c>
      <c r="Q513" s="263" t="n">
        <v>42</v>
      </c>
      <c r="R513" s="263" t="inlineStr">
        <is>
          <t>계단식</t>
        </is>
      </c>
      <c r="S513" s="263" t="n">
        <v>4</v>
      </c>
      <c r="T513" s="263" t="n">
        <v>2</v>
      </c>
      <c r="U513" s="263" t="n">
        <v>16.2</v>
      </c>
      <c r="V513" s="263" t="n">
        <v>14</v>
      </c>
      <c r="W513" s="263" t="inlineStr">
        <is>
          <t>계단식</t>
        </is>
      </c>
      <c r="X513" s="263" t="n">
        <v>4</v>
      </c>
      <c r="Y513" s="263" t="n">
        <v>2</v>
      </c>
      <c r="Z513" s="263" t="n">
        <v>45</v>
      </c>
      <c r="AA513" s="263" t="n"/>
      <c r="AB513" s="263" t="n"/>
      <c r="AC513" s="263" t="n"/>
      <c r="AD513" s="263" t="n"/>
      <c r="AE513" s="263" t="n"/>
      <c r="AF513" s="263" t="n"/>
      <c r="AG513" s="263" t="n"/>
      <c r="AH513" s="263" t="n"/>
      <c r="AI513" s="263" t="n"/>
      <c r="AJ513" s="263" t="n"/>
      <c r="AK513" s="263" t="n"/>
    </row>
    <row r="514" ht="14" customHeight="1" s="476">
      <c r="A514" s="263" t="inlineStr">
        <is>
          <t>풍납동</t>
        </is>
      </c>
      <c r="B514" s="263" t="n"/>
      <c r="C514" s="263" t="n"/>
      <c r="D514" s="263" t="n">
        <v>422</v>
      </c>
      <c r="E514" s="267" t="inlineStr">
        <is>
          <t>현대리버빌1지구</t>
        </is>
      </c>
      <c r="F514" s="263" t="n">
        <v>153</v>
      </c>
      <c r="G514" s="263" t="n"/>
      <c r="H514" s="263" t="n"/>
      <c r="I514" s="263">
        <f>G514-H514</f>
        <v/>
      </c>
      <c r="J514" s="323">
        <f>H514/G514</f>
        <v/>
      </c>
      <c r="K514" s="263" t="n">
        <v>1999.11</v>
      </c>
      <c r="L514" s="263" t="n">
        <v>557</v>
      </c>
      <c r="M514" s="263">
        <f>2026-INT(K514)+1</f>
        <v/>
      </c>
      <c r="N514" s="263" t="n">
        <v>19</v>
      </c>
      <c r="O514" s="263" t="n"/>
      <c r="P514" s="263" t="n">
        <v>187</v>
      </c>
      <c r="Q514" s="263" t="n">
        <v>57</v>
      </c>
      <c r="R514" s="263" t="inlineStr">
        <is>
          <t>계단식</t>
        </is>
      </c>
      <c r="S514" s="263" t="n">
        <v>4</v>
      </c>
      <c r="T514" s="263" t="n">
        <v>2</v>
      </c>
      <c r="U514" s="263" t="n"/>
      <c r="V514" s="263" t="n"/>
      <c r="W514" s="263" t="inlineStr">
        <is>
          <t>계단식</t>
        </is>
      </c>
      <c r="X514" s="263" t="n">
        <v>4</v>
      </c>
      <c r="Y514" s="263" t="n">
        <v>2</v>
      </c>
      <c r="Z514" s="263" t="n">
        <v>19</v>
      </c>
      <c r="AA514" s="263" t="n"/>
      <c r="AB514" s="263" t="n"/>
      <c r="AC514" s="263" t="n"/>
      <c r="AD514" s="263" t="n"/>
      <c r="AE514" s="263" t="n"/>
      <c r="AF514" s="263" t="n"/>
      <c r="AG514" s="263" t="n"/>
      <c r="AH514" s="263" t="n"/>
      <c r="AI514" s="263" t="n"/>
      <c r="AJ514" s="263" t="n"/>
      <c r="AK514" s="263" t="n"/>
    </row>
    <row r="515">
      <c r="A515" s="263" t="inlineStr">
        <is>
          <t>풍납동</t>
        </is>
      </c>
      <c r="B515" s="263" t="n"/>
      <c r="C515" s="263" t="n"/>
      <c r="D515" s="263" t="n">
        <v>422</v>
      </c>
      <c r="E515" s="267" t="inlineStr">
        <is>
          <t>현대리버빌1지구</t>
        </is>
      </c>
      <c r="F515" s="263" t="n">
        <v>167</v>
      </c>
      <c r="G515" s="263" t="n"/>
      <c r="H515" s="263" t="n"/>
      <c r="I515" s="263">
        <f>G515-H515</f>
        <v/>
      </c>
      <c r="J515" s="323">
        <f>H515/G515</f>
        <v/>
      </c>
      <c r="K515" s="263" t="n">
        <v>1999.11</v>
      </c>
      <c r="L515" s="263" t="n">
        <v>557</v>
      </c>
      <c r="M515" s="263">
        <f>2026-INT(K515)+1</f>
        <v/>
      </c>
      <c r="N515" s="263" t="n">
        <v>12</v>
      </c>
      <c r="O515" s="263" t="n"/>
      <c r="P515" s="263" t="n">
        <v>204</v>
      </c>
      <c r="Q515" s="263" t="n">
        <v>62</v>
      </c>
      <c r="R515" s="263" t="inlineStr">
        <is>
          <t>계단식</t>
        </is>
      </c>
      <c r="S515" s="263" t="n">
        <v>5</v>
      </c>
      <c r="T515" s="263" t="n">
        <v>2</v>
      </c>
      <c r="U515" s="263" t="n"/>
      <c r="V515" s="263" t="n"/>
      <c r="W515" s="263" t="inlineStr">
        <is>
          <t>계단식</t>
        </is>
      </c>
      <c r="X515" s="263" t="n">
        <v>5</v>
      </c>
      <c r="Y515" s="263" t="n">
        <v>2</v>
      </c>
      <c r="Z515" s="263" t="n">
        <v>12</v>
      </c>
      <c r="AA515" s="263" t="n"/>
      <c r="AB515" s="263" t="n"/>
      <c r="AC515" s="263" t="n"/>
      <c r="AD515" s="263" t="n"/>
      <c r="AE515" s="263" t="n"/>
      <c r="AF515" s="263" t="n"/>
      <c r="AG515" s="263" t="n"/>
      <c r="AH515" s="263" t="n"/>
      <c r="AI515" s="263" t="n"/>
      <c r="AJ515" s="263" t="n"/>
      <c r="AK515" s="263" t="n"/>
    </row>
    <row r="516">
      <c r="A516" s="263" t="inlineStr">
        <is>
          <t>풍납동</t>
        </is>
      </c>
      <c r="B516" s="263" t="n"/>
      <c r="C516" s="263" t="n"/>
      <c r="D516" s="263" t="n">
        <v>422</v>
      </c>
      <c r="E516" s="267" t="inlineStr">
        <is>
          <t>현대리버빌1지구</t>
        </is>
      </c>
      <c r="F516" s="263" t="n">
        <v>184</v>
      </c>
      <c r="G516" s="263" t="n"/>
      <c r="H516" s="263" t="n"/>
      <c r="I516" s="263">
        <f>G516-H516</f>
        <v/>
      </c>
      <c r="J516" s="323">
        <f>H516/G516</f>
        <v/>
      </c>
      <c r="K516" s="263" t="n">
        <v>1999.11</v>
      </c>
      <c r="L516" s="263" t="n">
        <v>557</v>
      </c>
      <c r="M516" s="263">
        <f>2026-INT(K516)+1</f>
        <v/>
      </c>
      <c r="N516" s="263" t="n">
        <v>2</v>
      </c>
      <c r="O516" s="263" t="n"/>
      <c r="P516" s="263" t="n">
        <v>221</v>
      </c>
      <c r="Q516" s="263" t="n">
        <v>67</v>
      </c>
      <c r="R516" s="263" t="inlineStr">
        <is>
          <t>계단식</t>
        </is>
      </c>
      <c r="S516" s="263" t="n">
        <v>5</v>
      </c>
      <c r="T516" s="263" t="n">
        <v>2</v>
      </c>
      <c r="U516" s="263" t="n"/>
      <c r="V516" s="263" t="n"/>
      <c r="W516" s="263" t="inlineStr">
        <is>
          <t>계단식</t>
        </is>
      </c>
      <c r="X516" s="263" t="n">
        <v>5</v>
      </c>
      <c r="Y516" s="263" t="n">
        <v>2</v>
      </c>
      <c r="Z516" s="263" t="n">
        <v>2</v>
      </c>
      <c r="AA516" s="263" t="n"/>
      <c r="AB516" s="263" t="n"/>
      <c r="AC516" s="263" t="n"/>
      <c r="AD516" s="263" t="n"/>
      <c r="AE516" s="263" t="n"/>
      <c r="AF516" s="263" t="n"/>
      <c r="AG516" s="263" t="n"/>
      <c r="AH516" s="263" t="n"/>
      <c r="AI516" s="263" t="n"/>
      <c r="AJ516" s="263" t="n"/>
      <c r="AK516" s="263" t="n"/>
    </row>
    <row r="517">
      <c r="A517" s="263" t="inlineStr">
        <is>
          <t>풍납동</t>
        </is>
      </c>
      <c r="B517" s="263" t="n"/>
      <c r="C517" s="263" t="n"/>
      <c r="D517" s="263" t="n">
        <v>422</v>
      </c>
      <c r="E517" s="267" t="inlineStr">
        <is>
          <t>현대리버빌1지구</t>
        </is>
      </c>
      <c r="F517" s="263" t="n">
        <v>187</v>
      </c>
      <c r="G517" s="263" t="n"/>
      <c r="H517" s="263" t="n"/>
      <c r="I517" s="263">
        <f>G517-H517</f>
        <v/>
      </c>
      <c r="J517" s="323">
        <f>H517/G517</f>
        <v/>
      </c>
      <c r="K517" s="263" t="n">
        <v>1999.11</v>
      </c>
      <c r="L517" s="263" t="n">
        <v>557</v>
      </c>
      <c r="M517" s="263">
        <f>2026-INT(K517)+1</f>
        <v/>
      </c>
      <c r="N517" s="263" t="n">
        <v>75</v>
      </c>
      <c r="O517" s="263" t="n"/>
      <c r="P517" s="263" t="n">
        <v>223</v>
      </c>
      <c r="Q517" s="263" t="n">
        <v>67</v>
      </c>
      <c r="R517" s="263" t="inlineStr">
        <is>
          <t>계단식</t>
        </is>
      </c>
      <c r="S517" s="263" t="n">
        <v>5</v>
      </c>
      <c r="T517" s="263" t="n">
        <v>2</v>
      </c>
      <c r="U517" s="263" t="n">
        <v>18.5</v>
      </c>
      <c r="V517" s="263" t="n"/>
      <c r="W517" s="263" t="inlineStr">
        <is>
          <t>계단식</t>
        </is>
      </c>
      <c r="X517" s="263" t="n">
        <v>5</v>
      </c>
      <c r="Y517" s="263" t="n">
        <v>2</v>
      </c>
      <c r="Z517" s="263" t="n">
        <v>75</v>
      </c>
      <c r="AA517" s="263" t="n"/>
      <c r="AB517" s="263" t="n"/>
      <c r="AC517" s="263" t="n"/>
      <c r="AD517" s="263" t="n"/>
      <c r="AE517" s="263" t="n"/>
      <c r="AF517" s="263" t="n"/>
      <c r="AG517" s="263" t="n"/>
      <c r="AH517" s="263" t="n"/>
      <c r="AI517" s="263" t="n"/>
      <c r="AJ517" s="263" t="n"/>
      <c r="AK517" s="263" t="n"/>
    </row>
    <row r="518">
      <c r="A518" s="458" t="inlineStr">
        <is>
          <t>풍납동</t>
        </is>
      </c>
      <c r="D518" s="458" t="n">
        <v>625</v>
      </c>
      <c r="E518" s="146" t="inlineStr">
        <is>
          <t>현대리버빌2차</t>
        </is>
      </c>
      <c r="F518" s="458" t="n">
        <v>40</v>
      </c>
      <c r="G518" s="458" t="n">
        <v>135000</v>
      </c>
      <c r="H518" s="458" t="n">
        <v>25001</v>
      </c>
      <c r="I518" s="263">
        <f>G518-H518</f>
        <v/>
      </c>
      <c r="J518" s="323">
        <f>H518/G518</f>
        <v/>
      </c>
      <c r="K518" s="458" t="n">
        <v>1999.11</v>
      </c>
      <c r="L518" s="458" t="n">
        <v>384</v>
      </c>
      <c r="M518" s="458">
        <f>2026-INT(K518)+1</f>
        <v/>
      </c>
      <c r="N518" s="458" t="n">
        <v>102</v>
      </c>
      <c r="P518" s="458" t="n">
        <v>60</v>
      </c>
      <c r="Q518" s="458" t="n">
        <v>18</v>
      </c>
      <c r="R518" s="458" t="inlineStr">
        <is>
          <t>복도식</t>
        </is>
      </c>
      <c r="S518" s="458" t="n">
        <v>1</v>
      </c>
      <c r="T518" s="458" t="n">
        <v>1</v>
      </c>
      <c r="U518" s="458" t="n">
        <v>7.5</v>
      </c>
      <c r="V518" s="458" t="n">
        <v>5.2</v>
      </c>
      <c r="W518" s="458" t="inlineStr">
        <is>
          <t>복도식</t>
        </is>
      </c>
      <c r="X518" s="458" t="n">
        <v>1</v>
      </c>
      <c r="Y518" s="458" t="n">
        <v>1</v>
      </c>
      <c r="Z518" s="458" t="n">
        <v>102</v>
      </c>
    </row>
    <row r="519">
      <c r="A519" s="458" t="inlineStr">
        <is>
          <t>풍납동</t>
        </is>
      </c>
      <c r="D519" s="458" t="n">
        <v>625</v>
      </c>
      <c r="E519" s="268" t="inlineStr">
        <is>
          <t>현대리버빌2차</t>
        </is>
      </c>
      <c r="F519" s="458" t="n">
        <v>59</v>
      </c>
      <c r="G519" s="458" t="n">
        <v>150000</v>
      </c>
      <c r="H519" s="458" t="n">
        <v>60001</v>
      </c>
      <c r="I519" s="263">
        <f>G519-H519</f>
        <v/>
      </c>
      <c r="J519" s="323">
        <f>H519/G519</f>
        <v/>
      </c>
      <c r="K519" s="458" t="n">
        <v>1999.11</v>
      </c>
      <c r="L519" s="458" t="n">
        <v>384</v>
      </c>
      <c r="M519" s="458">
        <f>2026-INT(K519)+1</f>
        <v/>
      </c>
      <c r="N519" s="458" t="n">
        <v>80</v>
      </c>
      <c r="P519" s="458" t="n">
        <v>87</v>
      </c>
      <c r="Q519" s="458" t="n">
        <v>26</v>
      </c>
      <c r="R519" s="458" t="inlineStr">
        <is>
          <t>복도식</t>
        </is>
      </c>
      <c r="S519" s="458" t="n">
        <v>3</v>
      </c>
      <c r="T519" s="458" t="n">
        <v>1</v>
      </c>
      <c r="U519" s="458" t="n">
        <v>10.7</v>
      </c>
      <c r="V519" s="458" t="n">
        <v>6.9</v>
      </c>
      <c r="W519" s="458" t="inlineStr">
        <is>
          <t>복도식</t>
        </is>
      </c>
      <c r="X519" s="458" t="n">
        <v>3</v>
      </c>
      <c r="Y519" s="458" t="n">
        <v>1</v>
      </c>
      <c r="Z519" s="458" t="n">
        <v>80</v>
      </c>
    </row>
    <row r="520">
      <c r="A520" s="458" t="inlineStr">
        <is>
          <t>풍납동</t>
        </is>
      </c>
      <c r="D520" s="458" t="n">
        <v>625</v>
      </c>
      <c r="E520" s="268" t="inlineStr">
        <is>
          <t>현대리버빌2차</t>
        </is>
      </c>
      <c r="F520" s="458" t="n">
        <v>78</v>
      </c>
      <c r="G520" s="458" t="n">
        <v>150000</v>
      </c>
      <c r="H520" s="458" t="n">
        <v>76000</v>
      </c>
      <c r="I520" s="263">
        <f>G520-H520</f>
        <v/>
      </c>
      <c r="J520" s="323">
        <f>H520/G520</f>
        <v/>
      </c>
      <c r="K520" s="458" t="n">
        <v>1999.11</v>
      </c>
      <c r="L520" s="458" t="n">
        <v>384</v>
      </c>
      <c r="M520" s="458">
        <f>2026-INT(K520)+1</f>
        <v/>
      </c>
      <c r="N520" s="458" t="n">
        <v>12</v>
      </c>
      <c r="P520" s="458" t="n">
        <v>103</v>
      </c>
      <c r="Q520" s="458" t="n">
        <v>31</v>
      </c>
      <c r="R520" s="458" t="inlineStr">
        <is>
          <t>계단식</t>
        </is>
      </c>
      <c r="S520" s="458" t="n">
        <v>3</v>
      </c>
      <c r="T520" s="458" t="n">
        <v>1</v>
      </c>
      <c r="W520" s="458" t="inlineStr">
        <is>
          <t>계단식</t>
        </is>
      </c>
      <c r="X520" s="458" t="n">
        <v>3</v>
      </c>
      <c r="Y520" s="458" t="n">
        <v>1</v>
      </c>
      <c r="Z520" s="458" t="n">
        <v>12</v>
      </c>
    </row>
    <row r="521">
      <c r="A521" s="458" t="inlineStr">
        <is>
          <t>풍납동</t>
        </is>
      </c>
      <c r="D521" s="458" t="n">
        <v>625</v>
      </c>
      <c r="E521" s="268" t="inlineStr">
        <is>
          <t>현대리버빌2차</t>
        </is>
      </c>
      <c r="F521" s="458" t="n">
        <v>84</v>
      </c>
      <c r="G521" s="458" t="n">
        <v>149501</v>
      </c>
      <c r="H521" s="458" t="n">
        <v>67201</v>
      </c>
      <c r="I521" s="263">
        <f>G521-H521</f>
        <v/>
      </c>
      <c r="J521" s="323">
        <f>H521/G521</f>
        <v/>
      </c>
      <c r="K521" s="458" t="n">
        <v>1999.11</v>
      </c>
      <c r="L521" s="458" t="n">
        <v>384</v>
      </c>
      <c r="M521" s="458">
        <f>2026-INT(K521)+1</f>
        <v/>
      </c>
      <c r="N521" s="458" t="n">
        <v>170</v>
      </c>
      <c r="P521" s="458" t="n">
        <v>108</v>
      </c>
      <c r="Q521" s="458" t="n">
        <v>33</v>
      </c>
      <c r="R521" s="458" t="inlineStr">
        <is>
          <t>계단식</t>
        </is>
      </c>
      <c r="S521" s="458" t="n">
        <v>3</v>
      </c>
      <c r="T521" s="458" t="n">
        <v>2</v>
      </c>
      <c r="U521" s="458" t="n">
        <v>13.8</v>
      </c>
      <c r="V521" s="458" t="n">
        <v>10</v>
      </c>
      <c r="W521" s="458" t="inlineStr">
        <is>
          <t>계단식</t>
        </is>
      </c>
      <c r="X521" s="458" t="n">
        <v>3</v>
      </c>
      <c r="Y521" s="458" t="n">
        <v>2</v>
      </c>
      <c r="Z521" s="458" t="n">
        <v>170</v>
      </c>
    </row>
    <row r="522">
      <c r="A522" s="458" t="inlineStr">
        <is>
          <t>풍납동</t>
        </is>
      </c>
      <c r="D522" s="458" t="n">
        <v>625</v>
      </c>
      <c r="E522" s="268" t="inlineStr">
        <is>
          <t>현대리버빌2차</t>
        </is>
      </c>
      <c r="F522" s="458" t="n">
        <v>114</v>
      </c>
      <c r="I522" s="263">
        <f>G522-H522</f>
        <v/>
      </c>
      <c r="J522" s="323">
        <f>H522/G522</f>
        <v/>
      </c>
      <c r="K522" s="458" t="n">
        <v>1999.11</v>
      </c>
      <c r="L522" s="458" t="n">
        <v>384</v>
      </c>
      <c r="M522" s="458">
        <f>2026-INT(K522)+1</f>
        <v/>
      </c>
      <c r="N522" s="458" t="n">
        <v>20</v>
      </c>
      <c r="P522" s="458" t="n">
        <v>141</v>
      </c>
      <c r="Q522" s="458" t="n">
        <v>43</v>
      </c>
      <c r="R522" s="458" t="inlineStr">
        <is>
          <t>계단식</t>
        </is>
      </c>
      <c r="S522" s="458" t="n">
        <v>4</v>
      </c>
      <c r="T522" s="458" t="n">
        <v>2</v>
      </c>
      <c r="U522" s="458" t="n">
        <v>16.2</v>
      </c>
      <c r="V522" s="458" t="n">
        <v>14</v>
      </c>
      <c r="W522" s="458" t="inlineStr">
        <is>
          <t>계단식</t>
        </is>
      </c>
      <c r="X522" s="458" t="n">
        <v>4</v>
      </c>
      <c r="Y522" s="458" t="n">
        <v>2</v>
      </c>
      <c r="Z522" s="458" t="n">
        <v>20</v>
      </c>
    </row>
    <row r="526" ht="17" customHeight="1" s="476">
      <c r="I526" s="270" t="inlineStr">
        <is>
          <t>ㅇ</t>
        </is>
      </c>
    </row>
    <row r="528" ht="17" customHeight="1" s="476">
      <c r="L528" s="270" t="inlineStr">
        <is>
          <t>ㅇ</t>
        </is>
      </c>
    </row>
  </sheetData>
  <autoFilter ref="A5:AV522">
    <sortState ref="A6:AV522">
      <sortCondition ref="A5:A522"/>
    </sortState>
  </autoFilter>
  <mergeCells count="2">
    <mergeCell ref="AH4:AL4"/>
    <mergeCell ref="B4:C4"/>
  </mergeCells>
  <hyperlinks>
    <hyperlink xmlns:r="http://schemas.openxmlformats.org/officeDocument/2006/relationships" ref="G2" r:id="rId1"/>
    <hyperlink xmlns:r="http://schemas.openxmlformats.org/officeDocument/2006/relationships" ref="J2" display="https://www.sisajournal-e.com/news/articleView.html?idxno=420828" r:id="rId2"/>
    <hyperlink xmlns:r="http://schemas.openxmlformats.org/officeDocument/2006/relationships" ref="M2" display="https://weolbu.com/community/4102956/%ED%95%9C-%EB%8B%AC-5kg-%EA%B0%90%EB%9F%89%ED%95%98%EB%A9%B0-%EA%B9%A8%EB%8B%AC%EC%9D%80-%EC%9D%98%EC%A7%80%EB%A0%A5-%EC%97%86%EC%9D%B4-%EC%84%B1%EA%B3%BC%EB%A5%BC-%EB%82%B4%EB%8A%94-%ED%99%98%EA%B2%BD%EC%85%8B%ED%8C%85%EC%9D%98-%EB%B9%84%EB%B0%80-%EA%B3%A8%EB%93%9C%ED%8A%B8%EC%9C%88?inviteCode=EC3C58&amp;utm_source=user_share&amp;utm_medium=referral&amp;utm_campaign=user_share_button" r:id="rId3"/>
    <hyperlink xmlns:r="http://schemas.openxmlformats.org/officeDocument/2006/relationships" ref="P2" display="https://namu.wiki/w/%EC%84%B1%EB%8F%99%EA%B5%AC%EC%B9%98%EC%86%8C %EA%B0%9C%EB%B0%9C %EB%85%BC%EB%9E%80" r:id="rId4"/>
    <hyperlink xmlns:r="http://schemas.openxmlformats.org/officeDocument/2006/relationships" ref="G3" r:id="rId5"/>
    <hyperlink xmlns:r="http://schemas.openxmlformats.org/officeDocument/2006/relationships" ref="J3" r:id="rId6"/>
    <hyperlink xmlns:r="http://schemas.openxmlformats.org/officeDocument/2006/relationships" ref="M3" r:id="rId7"/>
    <hyperlink xmlns:r="http://schemas.openxmlformats.org/officeDocument/2006/relationships" ref="E6" r:id="rId8"/>
    <hyperlink xmlns:r="http://schemas.openxmlformats.org/officeDocument/2006/relationships" ref="E7" r:id="rId9"/>
    <hyperlink xmlns:r="http://schemas.openxmlformats.org/officeDocument/2006/relationships" ref="E8" r:id="rId10"/>
    <hyperlink xmlns:r="http://schemas.openxmlformats.org/officeDocument/2006/relationships" ref="E9" r:id="rId11"/>
    <hyperlink xmlns:r="http://schemas.openxmlformats.org/officeDocument/2006/relationships" ref="E10" r:id="rId12"/>
    <hyperlink xmlns:r="http://schemas.openxmlformats.org/officeDocument/2006/relationships" ref="E11" r:id="rId13"/>
    <hyperlink xmlns:r="http://schemas.openxmlformats.org/officeDocument/2006/relationships" ref="E12" r:id="rId14"/>
    <hyperlink xmlns:r="http://schemas.openxmlformats.org/officeDocument/2006/relationships" ref="E13" r:id="rId15"/>
    <hyperlink xmlns:r="http://schemas.openxmlformats.org/officeDocument/2006/relationships" ref="E14" r:id="rId16"/>
    <hyperlink xmlns:r="http://schemas.openxmlformats.org/officeDocument/2006/relationships" ref="E15" r:id="rId17"/>
    <hyperlink xmlns:r="http://schemas.openxmlformats.org/officeDocument/2006/relationships" ref="E16" r:id="rId18"/>
    <hyperlink xmlns:r="http://schemas.openxmlformats.org/officeDocument/2006/relationships" ref="E17" r:id="rId19"/>
    <hyperlink xmlns:r="http://schemas.openxmlformats.org/officeDocument/2006/relationships" ref="E18" r:id="rId20"/>
    <hyperlink xmlns:r="http://schemas.openxmlformats.org/officeDocument/2006/relationships" ref="E19" r:id="rId21"/>
    <hyperlink xmlns:r="http://schemas.openxmlformats.org/officeDocument/2006/relationships" ref="E20" r:id="rId22"/>
    <hyperlink xmlns:r="http://schemas.openxmlformats.org/officeDocument/2006/relationships" ref="E21" r:id="rId23"/>
    <hyperlink xmlns:r="http://schemas.openxmlformats.org/officeDocument/2006/relationships" ref="E22" r:id="rId24"/>
    <hyperlink xmlns:r="http://schemas.openxmlformats.org/officeDocument/2006/relationships" ref="E23" r:id="rId25"/>
    <hyperlink xmlns:r="http://schemas.openxmlformats.org/officeDocument/2006/relationships" ref="E24" r:id="rId26"/>
    <hyperlink xmlns:r="http://schemas.openxmlformats.org/officeDocument/2006/relationships" ref="E25" r:id="rId27"/>
    <hyperlink xmlns:r="http://schemas.openxmlformats.org/officeDocument/2006/relationships" ref="E26" r:id="rId28"/>
    <hyperlink xmlns:r="http://schemas.openxmlformats.org/officeDocument/2006/relationships" ref="E27" r:id="rId29"/>
    <hyperlink xmlns:r="http://schemas.openxmlformats.org/officeDocument/2006/relationships" ref="E28" r:id="rId30"/>
    <hyperlink xmlns:r="http://schemas.openxmlformats.org/officeDocument/2006/relationships" ref="E29" r:id="rId31"/>
    <hyperlink xmlns:r="http://schemas.openxmlformats.org/officeDocument/2006/relationships" ref="E30" r:id="rId32"/>
    <hyperlink xmlns:r="http://schemas.openxmlformats.org/officeDocument/2006/relationships" ref="E31" r:id="rId33"/>
    <hyperlink xmlns:r="http://schemas.openxmlformats.org/officeDocument/2006/relationships" ref="E32" r:id="rId34"/>
    <hyperlink xmlns:r="http://schemas.openxmlformats.org/officeDocument/2006/relationships" ref="E33" r:id="rId35"/>
    <hyperlink xmlns:r="http://schemas.openxmlformats.org/officeDocument/2006/relationships" ref="E34" r:id="rId36"/>
    <hyperlink xmlns:r="http://schemas.openxmlformats.org/officeDocument/2006/relationships" ref="E35" r:id="rId37"/>
    <hyperlink xmlns:r="http://schemas.openxmlformats.org/officeDocument/2006/relationships" ref="E36" r:id="rId38"/>
    <hyperlink xmlns:r="http://schemas.openxmlformats.org/officeDocument/2006/relationships" ref="E37" r:id="rId39"/>
    <hyperlink xmlns:r="http://schemas.openxmlformats.org/officeDocument/2006/relationships" ref="E38" r:id="rId40"/>
    <hyperlink xmlns:r="http://schemas.openxmlformats.org/officeDocument/2006/relationships" ref="E39" r:id="rId41"/>
    <hyperlink xmlns:r="http://schemas.openxmlformats.org/officeDocument/2006/relationships" ref="E40" r:id="rId42"/>
    <hyperlink xmlns:r="http://schemas.openxmlformats.org/officeDocument/2006/relationships" ref="E41" r:id="rId43"/>
    <hyperlink xmlns:r="http://schemas.openxmlformats.org/officeDocument/2006/relationships" ref="E42" r:id="rId44"/>
    <hyperlink xmlns:r="http://schemas.openxmlformats.org/officeDocument/2006/relationships" ref="E43" r:id="rId45"/>
    <hyperlink xmlns:r="http://schemas.openxmlformats.org/officeDocument/2006/relationships" ref="E44" r:id="rId46"/>
    <hyperlink xmlns:r="http://schemas.openxmlformats.org/officeDocument/2006/relationships" ref="E45" r:id="rId47"/>
    <hyperlink xmlns:r="http://schemas.openxmlformats.org/officeDocument/2006/relationships" ref="E46" r:id="rId48"/>
    <hyperlink xmlns:r="http://schemas.openxmlformats.org/officeDocument/2006/relationships" ref="E47" r:id="rId49"/>
    <hyperlink xmlns:r="http://schemas.openxmlformats.org/officeDocument/2006/relationships" ref="E48" r:id="rId50"/>
    <hyperlink xmlns:r="http://schemas.openxmlformats.org/officeDocument/2006/relationships" ref="E49" r:id="rId51"/>
    <hyperlink xmlns:r="http://schemas.openxmlformats.org/officeDocument/2006/relationships" ref="E50" r:id="rId52"/>
    <hyperlink xmlns:r="http://schemas.openxmlformats.org/officeDocument/2006/relationships" ref="E51" r:id="rId53"/>
    <hyperlink xmlns:r="http://schemas.openxmlformats.org/officeDocument/2006/relationships" ref="E52" r:id="rId54"/>
    <hyperlink xmlns:r="http://schemas.openxmlformats.org/officeDocument/2006/relationships" ref="E53" r:id="rId55"/>
    <hyperlink xmlns:r="http://schemas.openxmlformats.org/officeDocument/2006/relationships" ref="E54" r:id="rId56"/>
    <hyperlink xmlns:r="http://schemas.openxmlformats.org/officeDocument/2006/relationships" ref="E55" r:id="rId57"/>
    <hyperlink xmlns:r="http://schemas.openxmlformats.org/officeDocument/2006/relationships" ref="E56" r:id="rId58"/>
    <hyperlink xmlns:r="http://schemas.openxmlformats.org/officeDocument/2006/relationships" ref="E57" r:id="rId59"/>
    <hyperlink xmlns:r="http://schemas.openxmlformats.org/officeDocument/2006/relationships" ref="E58" r:id="rId60"/>
    <hyperlink xmlns:r="http://schemas.openxmlformats.org/officeDocument/2006/relationships" ref="E59" r:id="rId61"/>
    <hyperlink xmlns:r="http://schemas.openxmlformats.org/officeDocument/2006/relationships" ref="E60" r:id="rId62"/>
    <hyperlink xmlns:r="http://schemas.openxmlformats.org/officeDocument/2006/relationships" ref="E61" r:id="rId63"/>
    <hyperlink xmlns:r="http://schemas.openxmlformats.org/officeDocument/2006/relationships" ref="E62" r:id="rId64"/>
    <hyperlink xmlns:r="http://schemas.openxmlformats.org/officeDocument/2006/relationships" ref="E63" r:id="rId65"/>
    <hyperlink xmlns:r="http://schemas.openxmlformats.org/officeDocument/2006/relationships" ref="E64" r:id="rId66"/>
    <hyperlink xmlns:r="http://schemas.openxmlformats.org/officeDocument/2006/relationships" ref="E65" r:id="rId67"/>
    <hyperlink xmlns:r="http://schemas.openxmlformats.org/officeDocument/2006/relationships" ref="E66" r:id="rId68"/>
    <hyperlink xmlns:r="http://schemas.openxmlformats.org/officeDocument/2006/relationships" ref="E67" r:id="rId69"/>
    <hyperlink xmlns:r="http://schemas.openxmlformats.org/officeDocument/2006/relationships" ref="E68" r:id="rId70"/>
    <hyperlink xmlns:r="http://schemas.openxmlformats.org/officeDocument/2006/relationships" ref="E69" r:id="rId71"/>
    <hyperlink xmlns:r="http://schemas.openxmlformats.org/officeDocument/2006/relationships" ref="E70" r:id="rId72"/>
    <hyperlink xmlns:r="http://schemas.openxmlformats.org/officeDocument/2006/relationships" ref="E71" r:id="rId73"/>
    <hyperlink xmlns:r="http://schemas.openxmlformats.org/officeDocument/2006/relationships" ref="E72" r:id="rId74"/>
    <hyperlink xmlns:r="http://schemas.openxmlformats.org/officeDocument/2006/relationships" ref="E73" r:id="rId75"/>
    <hyperlink xmlns:r="http://schemas.openxmlformats.org/officeDocument/2006/relationships" ref="E74" r:id="rId76"/>
    <hyperlink xmlns:r="http://schemas.openxmlformats.org/officeDocument/2006/relationships" ref="E75" r:id="rId77"/>
    <hyperlink xmlns:r="http://schemas.openxmlformats.org/officeDocument/2006/relationships" ref="E76" r:id="rId78"/>
    <hyperlink xmlns:r="http://schemas.openxmlformats.org/officeDocument/2006/relationships" ref="E77" r:id="rId79"/>
    <hyperlink xmlns:r="http://schemas.openxmlformats.org/officeDocument/2006/relationships" ref="E78" r:id="rId80"/>
    <hyperlink xmlns:r="http://schemas.openxmlformats.org/officeDocument/2006/relationships" ref="E79" r:id="rId81"/>
    <hyperlink xmlns:r="http://schemas.openxmlformats.org/officeDocument/2006/relationships" ref="E80" r:id="rId82"/>
    <hyperlink xmlns:r="http://schemas.openxmlformats.org/officeDocument/2006/relationships" ref="E81" r:id="rId83"/>
    <hyperlink xmlns:r="http://schemas.openxmlformats.org/officeDocument/2006/relationships" ref="E82" r:id="rId84"/>
    <hyperlink xmlns:r="http://schemas.openxmlformats.org/officeDocument/2006/relationships" ref="E83" r:id="rId85"/>
    <hyperlink xmlns:r="http://schemas.openxmlformats.org/officeDocument/2006/relationships" ref="E84" r:id="rId86"/>
    <hyperlink xmlns:r="http://schemas.openxmlformats.org/officeDocument/2006/relationships" ref="E85" r:id="rId87"/>
    <hyperlink xmlns:r="http://schemas.openxmlformats.org/officeDocument/2006/relationships" ref="E86" r:id="rId88"/>
    <hyperlink xmlns:r="http://schemas.openxmlformats.org/officeDocument/2006/relationships" ref="E87" r:id="rId89"/>
    <hyperlink xmlns:r="http://schemas.openxmlformats.org/officeDocument/2006/relationships" ref="E88" r:id="rId90"/>
    <hyperlink xmlns:r="http://schemas.openxmlformats.org/officeDocument/2006/relationships" ref="E89" r:id="rId91"/>
    <hyperlink xmlns:r="http://schemas.openxmlformats.org/officeDocument/2006/relationships" ref="E90" r:id="rId92"/>
    <hyperlink xmlns:r="http://schemas.openxmlformats.org/officeDocument/2006/relationships" ref="E91" r:id="rId93"/>
    <hyperlink xmlns:r="http://schemas.openxmlformats.org/officeDocument/2006/relationships" ref="E92" r:id="rId94"/>
    <hyperlink xmlns:r="http://schemas.openxmlformats.org/officeDocument/2006/relationships" ref="E93" r:id="rId95"/>
    <hyperlink xmlns:r="http://schemas.openxmlformats.org/officeDocument/2006/relationships" ref="E94" r:id="rId96"/>
    <hyperlink xmlns:r="http://schemas.openxmlformats.org/officeDocument/2006/relationships" ref="E95" r:id="rId97"/>
    <hyperlink xmlns:r="http://schemas.openxmlformats.org/officeDocument/2006/relationships" ref="E96" r:id="rId98"/>
    <hyperlink xmlns:r="http://schemas.openxmlformats.org/officeDocument/2006/relationships" ref="E97" r:id="rId99"/>
    <hyperlink xmlns:r="http://schemas.openxmlformats.org/officeDocument/2006/relationships" ref="E98" r:id="rId100"/>
    <hyperlink xmlns:r="http://schemas.openxmlformats.org/officeDocument/2006/relationships" ref="E99" r:id="rId101"/>
    <hyperlink xmlns:r="http://schemas.openxmlformats.org/officeDocument/2006/relationships" ref="E100" r:id="rId102"/>
    <hyperlink xmlns:r="http://schemas.openxmlformats.org/officeDocument/2006/relationships" ref="E101" r:id="rId103"/>
    <hyperlink xmlns:r="http://schemas.openxmlformats.org/officeDocument/2006/relationships" ref="E102" r:id="rId104"/>
    <hyperlink xmlns:r="http://schemas.openxmlformats.org/officeDocument/2006/relationships" ref="E103" r:id="rId105"/>
    <hyperlink xmlns:r="http://schemas.openxmlformats.org/officeDocument/2006/relationships" ref="E104" r:id="rId106"/>
    <hyperlink xmlns:r="http://schemas.openxmlformats.org/officeDocument/2006/relationships" ref="E105" r:id="rId107"/>
    <hyperlink xmlns:r="http://schemas.openxmlformats.org/officeDocument/2006/relationships" ref="E106" r:id="rId108"/>
    <hyperlink xmlns:r="http://schemas.openxmlformats.org/officeDocument/2006/relationships" ref="E107" r:id="rId109"/>
    <hyperlink xmlns:r="http://schemas.openxmlformats.org/officeDocument/2006/relationships" ref="E108" r:id="rId110"/>
    <hyperlink xmlns:r="http://schemas.openxmlformats.org/officeDocument/2006/relationships" ref="E109" r:id="rId111"/>
    <hyperlink xmlns:r="http://schemas.openxmlformats.org/officeDocument/2006/relationships" ref="E110" r:id="rId112"/>
    <hyperlink xmlns:r="http://schemas.openxmlformats.org/officeDocument/2006/relationships" ref="E111" r:id="rId113"/>
    <hyperlink xmlns:r="http://schemas.openxmlformats.org/officeDocument/2006/relationships" ref="E112" r:id="rId114"/>
    <hyperlink xmlns:r="http://schemas.openxmlformats.org/officeDocument/2006/relationships" ref="E113" r:id="rId115"/>
    <hyperlink xmlns:r="http://schemas.openxmlformats.org/officeDocument/2006/relationships" ref="E114" r:id="rId116"/>
    <hyperlink xmlns:r="http://schemas.openxmlformats.org/officeDocument/2006/relationships" ref="E115" r:id="rId117"/>
    <hyperlink xmlns:r="http://schemas.openxmlformats.org/officeDocument/2006/relationships" ref="E116" r:id="rId118"/>
    <hyperlink xmlns:r="http://schemas.openxmlformats.org/officeDocument/2006/relationships" ref="E117" r:id="rId119"/>
    <hyperlink xmlns:r="http://schemas.openxmlformats.org/officeDocument/2006/relationships" ref="E118" r:id="rId120"/>
    <hyperlink xmlns:r="http://schemas.openxmlformats.org/officeDocument/2006/relationships" ref="E119" r:id="rId121"/>
    <hyperlink xmlns:r="http://schemas.openxmlformats.org/officeDocument/2006/relationships" ref="E120" r:id="rId122"/>
    <hyperlink xmlns:r="http://schemas.openxmlformats.org/officeDocument/2006/relationships" ref="E121" r:id="rId123"/>
    <hyperlink xmlns:r="http://schemas.openxmlformats.org/officeDocument/2006/relationships" ref="E122" r:id="rId124"/>
    <hyperlink xmlns:r="http://schemas.openxmlformats.org/officeDocument/2006/relationships" ref="E123" r:id="rId125"/>
    <hyperlink xmlns:r="http://schemas.openxmlformats.org/officeDocument/2006/relationships" ref="E124" r:id="rId126"/>
    <hyperlink xmlns:r="http://schemas.openxmlformats.org/officeDocument/2006/relationships" ref="E125" r:id="rId127"/>
    <hyperlink xmlns:r="http://schemas.openxmlformats.org/officeDocument/2006/relationships" ref="E126" r:id="rId128"/>
    <hyperlink xmlns:r="http://schemas.openxmlformats.org/officeDocument/2006/relationships" ref="E127" r:id="rId129"/>
    <hyperlink xmlns:r="http://schemas.openxmlformats.org/officeDocument/2006/relationships" ref="E128" r:id="rId130"/>
    <hyperlink xmlns:r="http://schemas.openxmlformats.org/officeDocument/2006/relationships" ref="E129" r:id="rId131"/>
    <hyperlink xmlns:r="http://schemas.openxmlformats.org/officeDocument/2006/relationships" ref="E130" r:id="rId132"/>
    <hyperlink xmlns:r="http://schemas.openxmlformats.org/officeDocument/2006/relationships" ref="E131" r:id="rId133"/>
    <hyperlink xmlns:r="http://schemas.openxmlformats.org/officeDocument/2006/relationships" ref="E132" r:id="rId134"/>
    <hyperlink xmlns:r="http://schemas.openxmlformats.org/officeDocument/2006/relationships" ref="E133" r:id="rId135"/>
    <hyperlink xmlns:r="http://schemas.openxmlformats.org/officeDocument/2006/relationships" ref="E134" r:id="rId136"/>
    <hyperlink xmlns:r="http://schemas.openxmlformats.org/officeDocument/2006/relationships" ref="E135" r:id="rId137"/>
    <hyperlink xmlns:r="http://schemas.openxmlformats.org/officeDocument/2006/relationships" ref="E136" r:id="rId138"/>
    <hyperlink xmlns:r="http://schemas.openxmlformats.org/officeDocument/2006/relationships" ref="E137" r:id="rId139"/>
    <hyperlink xmlns:r="http://schemas.openxmlformats.org/officeDocument/2006/relationships" ref="E138" r:id="rId140"/>
    <hyperlink xmlns:r="http://schemas.openxmlformats.org/officeDocument/2006/relationships" ref="E139" r:id="rId141"/>
    <hyperlink xmlns:r="http://schemas.openxmlformats.org/officeDocument/2006/relationships" ref="E140" r:id="rId142"/>
    <hyperlink xmlns:r="http://schemas.openxmlformats.org/officeDocument/2006/relationships" ref="E141" r:id="rId143"/>
    <hyperlink xmlns:r="http://schemas.openxmlformats.org/officeDocument/2006/relationships" ref="E142" r:id="rId144"/>
    <hyperlink xmlns:r="http://schemas.openxmlformats.org/officeDocument/2006/relationships" ref="E143" r:id="rId145"/>
    <hyperlink xmlns:r="http://schemas.openxmlformats.org/officeDocument/2006/relationships" ref="E144" r:id="rId146"/>
    <hyperlink xmlns:r="http://schemas.openxmlformats.org/officeDocument/2006/relationships" ref="E145" r:id="rId147"/>
    <hyperlink xmlns:r="http://schemas.openxmlformats.org/officeDocument/2006/relationships" ref="E146" r:id="rId148"/>
    <hyperlink xmlns:r="http://schemas.openxmlformats.org/officeDocument/2006/relationships" ref="E147" r:id="rId149"/>
    <hyperlink xmlns:r="http://schemas.openxmlformats.org/officeDocument/2006/relationships" ref="E148" r:id="rId150"/>
    <hyperlink xmlns:r="http://schemas.openxmlformats.org/officeDocument/2006/relationships" ref="E149" r:id="rId151"/>
    <hyperlink xmlns:r="http://schemas.openxmlformats.org/officeDocument/2006/relationships" ref="E150" r:id="rId152"/>
    <hyperlink xmlns:r="http://schemas.openxmlformats.org/officeDocument/2006/relationships" ref="E151" r:id="rId153"/>
    <hyperlink xmlns:r="http://schemas.openxmlformats.org/officeDocument/2006/relationships" ref="E152" r:id="rId154"/>
    <hyperlink xmlns:r="http://schemas.openxmlformats.org/officeDocument/2006/relationships" ref="E153" r:id="rId155"/>
    <hyperlink xmlns:r="http://schemas.openxmlformats.org/officeDocument/2006/relationships" ref="E154" r:id="rId156"/>
    <hyperlink xmlns:r="http://schemas.openxmlformats.org/officeDocument/2006/relationships" ref="E155" r:id="rId157"/>
    <hyperlink xmlns:r="http://schemas.openxmlformats.org/officeDocument/2006/relationships" ref="E156" r:id="rId158"/>
    <hyperlink xmlns:r="http://schemas.openxmlformats.org/officeDocument/2006/relationships" ref="E157" r:id="rId159"/>
    <hyperlink xmlns:r="http://schemas.openxmlformats.org/officeDocument/2006/relationships" ref="E158" r:id="rId160"/>
    <hyperlink xmlns:r="http://schemas.openxmlformats.org/officeDocument/2006/relationships" ref="E159" r:id="rId161"/>
    <hyperlink xmlns:r="http://schemas.openxmlformats.org/officeDocument/2006/relationships" ref="E160" r:id="rId162"/>
    <hyperlink xmlns:r="http://schemas.openxmlformats.org/officeDocument/2006/relationships" ref="E161" r:id="rId163"/>
    <hyperlink xmlns:r="http://schemas.openxmlformats.org/officeDocument/2006/relationships" ref="E162" r:id="rId164"/>
    <hyperlink xmlns:r="http://schemas.openxmlformats.org/officeDocument/2006/relationships" ref="E163" r:id="rId165"/>
    <hyperlink xmlns:r="http://schemas.openxmlformats.org/officeDocument/2006/relationships" ref="E164" r:id="rId166"/>
    <hyperlink xmlns:r="http://schemas.openxmlformats.org/officeDocument/2006/relationships" ref="E165" r:id="rId167"/>
    <hyperlink xmlns:r="http://schemas.openxmlformats.org/officeDocument/2006/relationships" ref="E166" r:id="rId168"/>
    <hyperlink xmlns:r="http://schemas.openxmlformats.org/officeDocument/2006/relationships" ref="E167" r:id="rId169"/>
    <hyperlink xmlns:r="http://schemas.openxmlformats.org/officeDocument/2006/relationships" ref="E168" r:id="rId170"/>
    <hyperlink xmlns:r="http://schemas.openxmlformats.org/officeDocument/2006/relationships" ref="E169" r:id="rId171"/>
    <hyperlink xmlns:r="http://schemas.openxmlformats.org/officeDocument/2006/relationships" ref="E170" r:id="rId172"/>
    <hyperlink xmlns:r="http://schemas.openxmlformats.org/officeDocument/2006/relationships" ref="E171" r:id="rId173"/>
    <hyperlink xmlns:r="http://schemas.openxmlformats.org/officeDocument/2006/relationships" ref="E172" r:id="rId174"/>
    <hyperlink xmlns:r="http://schemas.openxmlformats.org/officeDocument/2006/relationships" ref="E173" r:id="rId175"/>
    <hyperlink xmlns:r="http://schemas.openxmlformats.org/officeDocument/2006/relationships" ref="E174" r:id="rId176"/>
    <hyperlink xmlns:r="http://schemas.openxmlformats.org/officeDocument/2006/relationships" ref="E175" r:id="rId177"/>
    <hyperlink xmlns:r="http://schemas.openxmlformats.org/officeDocument/2006/relationships" ref="E176" r:id="rId178"/>
    <hyperlink xmlns:r="http://schemas.openxmlformats.org/officeDocument/2006/relationships" ref="E177" r:id="rId179"/>
    <hyperlink xmlns:r="http://schemas.openxmlformats.org/officeDocument/2006/relationships" ref="E178" r:id="rId180"/>
    <hyperlink xmlns:r="http://schemas.openxmlformats.org/officeDocument/2006/relationships" ref="E179" r:id="rId181"/>
    <hyperlink xmlns:r="http://schemas.openxmlformats.org/officeDocument/2006/relationships" ref="E180" r:id="rId182"/>
    <hyperlink xmlns:r="http://schemas.openxmlformats.org/officeDocument/2006/relationships" ref="E181" r:id="rId183"/>
    <hyperlink xmlns:r="http://schemas.openxmlformats.org/officeDocument/2006/relationships" ref="E182" r:id="rId184"/>
    <hyperlink xmlns:r="http://schemas.openxmlformats.org/officeDocument/2006/relationships" ref="E183" r:id="rId185"/>
    <hyperlink xmlns:r="http://schemas.openxmlformats.org/officeDocument/2006/relationships" ref="E184" r:id="rId186"/>
    <hyperlink xmlns:r="http://schemas.openxmlformats.org/officeDocument/2006/relationships" ref="E185" r:id="rId187"/>
    <hyperlink xmlns:r="http://schemas.openxmlformats.org/officeDocument/2006/relationships" ref="E186" r:id="rId188"/>
    <hyperlink xmlns:r="http://schemas.openxmlformats.org/officeDocument/2006/relationships" ref="E187" r:id="rId189"/>
    <hyperlink xmlns:r="http://schemas.openxmlformats.org/officeDocument/2006/relationships" ref="E188" r:id="rId190"/>
    <hyperlink xmlns:r="http://schemas.openxmlformats.org/officeDocument/2006/relationships" ref="E189" r:id="rId191"/>
    <hyperlink xmlns:r="http://schemas.openxmlformats.org/officeDocument/2006/relationships" ref="E190" r:id="rId192"/>
    <hyperlink xmlns:r="http://schemas.openxmlformats.org/officeDocument/2006/relationships" ref="E191" r:id="rId193"/>
    <hyperlink xmlns:r="http://schemas.openxmlformats.org/officeDocument/2006/relationships" ref="E192" r:id="rId194"/>
    <hyperlink xmlns:r="http://schemas.openxmlformats.org/officeDocument/2006/relationships" ref="E193" r:id="rId195"/>
    <hyperlink xmlns:r="http://schemas.openxmlformats.org/officeDocument/2006/relationships" ref="E194" r:id="rId196"/>
    <hyperlink xmlns:r="http://schemas.openxmlformats.org/officeDocument/2006/relationships" ref="E195" r:id="rId197"/>
    <hyperlink xmlns:r="http://schemas.openxmlformats.org/officeDocument/2006/relationships" ref="E196" r:id="rId198"/>
    <hyperlink xmlns:r="http://schemas.openxmlformats.org/officeDocument/2006/relationships" ref="E197" r:id="rId199"/>
    <hyperlink xmlns:r="http://schemas.openxmlformats.org/officeDocument/2006/relationships" ref="E198" r:id="rId200"/>
    <hyperlink xmlns:r="http://schemas.openxmlformats.org/officeDocument/2006/relationships" ref="E199" r:id="rId201"/>
    <hyperlink xmlns:r="http://schemas.openxmlformats.org/officeDocument/2006/relationships" ref="E200" r:id="rId202"/>
    <hyperlink xmlns:r="http://schemas.openxmlformats.org/officeDocument/2006/relationships" ref="E201" r:id="rId203"/>
    <hyperlink xmlns:r="http://schemas.openxmlformats.org/officeDocument/2006/relationships" ref="E202" r:id="rId204"/>
    <hyperlink xmlns:r="http://schemas.openxmlformats.org/officeDocument/2006/relationships" ref="E203" r:id="rId205"/>
    <hyperlink xmlns:r="http://schemas.openxmlformats.org/officeDocument/2006/relationships" ref="E204" r:id="rId206"/>
    <hyperlink xmlns:r="http://schemas.openxmlformats.org/officeDocument/2006/relationships" ref="E205" r:id="rId207"/>
    <hyperlink xmlns:r="http://schemas.openxmlformats.org/officeDocument/2006/relationships" ref="E206" r:id="rId208"/>
    <hyperlink xmlns:r="http://schemas.openxmlformats.org/officeDocument/2006/relationships" ref="E207" r:id="rId209"/>
    <hyperlink xmlns:r="http://schemas.openxmlformats.org/officeDocument/2006/relationships" ref="E208" r:id="rId210"/>
    <hyperlink xmlns:r="http://schemas.openxmlformats.org/officeDocument/2006/relationships" ref="E209" r:id="rId211"/>
    <hyperlink xmlns:r="http://schemas.openxmlformats.org/officeDocument/2006/relationships" ref="E210" r:id="rId212"/>
    <hyperlink xmlns:r="http://schemas.openxmlformats.org/officeDocument/2006/relationships" ref="E211" r:id="rId213"/>
    <hyperlink xmlns:r="http://schemas.openxmlformats.org/officeDocument/2006/relationships" ref="E212" r:id="rId214"/>
    <hyperlink xmlns:r="http://schemas.openxmlformats.org/officeDocument/2006/relationships" ref="E213" r:id="rId215"/>
    <hyperlink xmlns:r="http://schemas.openxmlformats.org/officeDocument/2006/relationships" ref="E214" r:id="rId216"/>
    <hyperlink xmlns:r="http://schemas.openxmlformats.org/officeDocument/2006/relationships" ref="E215" r:id="rId217"/>
    <hyperlink xmlns:r="http://schemas.openxmlformats.org/officeDocument/2006/relationships" ref="E216" r:id="rId218"/>
    <hyperlink xmlns:r="http://schemas.openxmlformats.org/officeDocument/2006/relationships" ref="E217" r:id="rId219"/>
    <hyperlink xmlns:r="http://schemas.openxmlformats.org/officeDocument/2006/relationships" ref="E218" r:id="rId220"/>
    <hyperlink xmlns:r="http://schemas.openxmlformats.org/officeDocument/2006/relationships" ref="E219" r:id="rId221"/>
    <hyperlink xmlns:r="http://schemas.openxmlformats.org/officeDocument/2006/relationships" ref="E220" r:id="rId222"/>
    <hyperlink xmlns:r="http://schemas.openxmlformats.org/officeDocument/2006/relationships" ref="E221" r:id="rId223"/>
    <hyperlink xmlns:r="http://schemas.openxmlformats.org/officeDocument/2006/relationships" ref="E222" r:id="rId224"/>
    <hyperlink xmlns:r="http://schemas.openxmlformats.org/officeDocument/2006/relationships" ref="E223" r:id="rId225"/>
    <hyperlink xmlns:r="http://schemas.openxmlformats.org/officeDocument/2006/relationships" ref="E224" r:id="rId226"/>
    <hyperlink xmlns:r="http://schemas.openxmlformats.org/officeDocument/2006/relationships" ref="E225" r:id="rId227"/>
    <hyperlink xmlns:r="http://schemas.openxmlformats.org/officeDocument/2006/relationships" ref="E226" r:id="rId228"/>
    <hyperlink xmlns:r="http://schemas.openxmlformats.org/officeDocument/2006/relationships" ref="E227" r:id="rId229"/>
    <hyperlink xmlns:r="http://schemas.openxmlformats.org/officeDocument/2006/relationships" ref="E228" r:id="rId230"/>
    <hyperlink xmlns:r="http://schemas.openxmlformats.org/officeDocument/2006/relationships" ref="E229" r:id="rId231"/>
    <hyperlink xmlns:r="http://schemas.openxmlformats.org/officeDocument/2006/relationships" ref="E230" r:id="rId232"/>
    <hyperlink xmlns:r="http://schemas.openxmlformats.org/officeDocument/2006/relationships" ref="E231" r:id="rId233"/>
    <hyperlink xmlns:r="http://schemas.openxmlformats.org/officeDocument/2006/relationships" ref="E232" r:id="rId234"/>
    <hyperlink xmlns:r="http://schemas.openxmlformats.org/officeDocument/2006/relationships" ref="E233" r:id="rId235"/>
    <hyperlink xmlns:r="http://schemas.openxmlformats.org/officeDocument/2006/relationships" ref="E234" r:id="rId236"/>
    <hyperlink xmlns:r="http://schemas.openxmlformats.org/officeDocument/2006/relationships" ref="E235" r:id="rId237"/>
    <hyperlink xmlns:r="http://schemas.openxmlformats.org/officeDocument/2006/relationships" ref="E236" r:id="rId238"/>
    <hyperlink xmlns:r="http://schemas.openxmlformats.org/officeDocument/2006/relationships" ref="E237" r:id="rId239"/>
    <hyperlink xmlns:r="http://schemas.openxmlformats.org/officeDocument/2006/relationships" ref="E238" r:id="rId240"/>
    <hyperlink xmlns:r="http://schemas.openxmlformats.org/officeDocument/2006/relationships" ref="E239" r:id="rId241"/>
    <hyperlink xmlns:r="http://schemas.openxmlformats.org/officeDocument/2006/relationships" ref="E240" r:id="rId242"/>
    <hyperlink xmlns:r="http://schemas.openxmlformats.org/officeDocument/2006/relationships" ref="E241" r:id="rId243"/>
    <hyperlink xmlns:r="http://schemas.openxmlformats.org/officeDocument/2006/relationships" ref="E242" r:id="rId244"/>
    <hyperlink xmlns:r="http://schemas.openxmlformats.org/officeDocument/2006/relationships" ref="E243" r:id="rId245"/>
    <hyperlink xmlns:r="http://schemas.openxmlformats.org/officeDocument/2006/relationships" ref="E244" r:id="rId246"/>
    <hyperlink xmlns:r="http://schemas.openxmlformats.org/officeDocument/2006/relationships" ref="E245" r:id="rId247"/>
    <hyperlink xmlns:r="http://schemas.openxmlformats.org/officeDocument/2006/relationships" ref="E246" r:id="rId248"/>
    <hyperlink xmlns:r="http://schemas.openxmlformats.org/officeDocument/2006/relationships" ref="E247" r:id="rId249"/>
    <hyperlink xmlns:r="http://schemas.openxmlformats.org/officeDocument/2006/relationships" ref="E248" r:id="rId250"/>
    <hyperlink xmlns:r="http://schemas.openxmlformats.org/officeDocument/2006/relationships" ref="E249" r:id="rId251"/>
    <hyperlink xmlns:r="http://schemas.openxmlformats.org/officeDocument/2006/relationships" ref="E250" r:id="rId252"/>
    <hyperlink xmlns:r="http://schemas.openxmlformats.org/officeDocument/2006/relationships" ref="E251" r:id="rId253"/>
    <hyperlink xmlns:r="http://schemas.openxmlformats.org/officeDocument/2006/relationships" ref="E252" r:id="rId254"/>
    <hyperlink xmlns:r="http://schemas.openxmlformats.org/officeDocument/2006/relationships" ref="E253" r:id="rId255"/>
    <hyperlink xmlns:r="http://schemas.openxmlformats.org/officeDocument/2006/relationships" ref="E254" r:id="rId256"/>
    <hyperlink xmlns:r="http://schemas.openxmlformats.org/officeDocument/2006/relationships" ref="E255" r:id="rId257"/>
    <hyperlink xmlns:r="http://schemas.openxmlformats.org/officeDocument/2006/relationships" ref="E256" r:id="rId258"/>
    <hyperlink xmlns:r="http://schemas.openxmlformats.org/officeDocument/2006/relationships" ref="E257" r:id="rId259"/>
    <hyperlink xmlns:r="http://schemas.openxmlformats.org/officeDocument/2006/relationships" ref="E258" r:id="rId260"/>
    <hyperlink xmlns:r="http://schemas.openxmlformats.org/officeDocument/2006/relationships" ref="E259" r:id="rId261"/>
    <hyperlink xmlns:r="http://schemas.openxmlformats.org/officeDocument/2006/relationships" ref="E260" r:id="rId262"/>
    <hyperlink xmlns:r="http://schemas.openxmlformats.org/officeDocument/2006/relationships" ref="E261" r:id="rId263"/>
    <hyperlink xmlns:r="http://schemas.openxmlformats.org/officeDocument/2006/relationships" ref="E262" r:id="rId264"/>
    <hyperlink xmlns:r="http://schemas.openxmlformats.org/officeDocument/2006/relationships" ref="E263" r:id="rId265"/>
    <hyperlink xmlns:r="http://schemas.openxmlformats.org/officeDocument/2006/relationships" ref="E264" r:id="rId266"/>
    <hyperlink xmlns:r="http://schemas.openxmlformats.org/officeDocument/2006/relationships" ref="E265" r:id="rId267"/>
    <hyperlink xmlns:r="http://schemas.openxmlformats.org/officeDocument/2006/relationships" ref="E266" r:id="rId268"/>
    <hyperlink xmlns:r="http://schemas.openxmlformats.org/officeDocument/2006/relationships" ref="E267" r:id="rId269"/>
    <hyperlink xmlns:r="http://schemas.openxmlformats.org/officeDocument/2006/relationships" ref="E268" r:id="rId270"/>
    <hyperlink xmlns:r="http://schemas.openxmlformats.org/officeDocument/2006/relationships" ref="E269" r:id="rId271"/>
    <hyperlink xmlns:r="http://schemas.openxmlformats.org/officeDocument/2006/relationships" ref="E270" r:id="rId272"/>
    <hyperlink xmlns:r="http://schemas.openxmlformats.org/officeDocument/2006/relationships" ref="E271" r:id="rId273"/>
    <hyperlink xmlns:r="http://schemas.openxmlformats.org/officeDocument/2006/relationships" ref="E272" r:id="rId274"/>
    <hyperlink xmlns:r="http://schemas.openxmlformats.org/officeDocument/2006/relationships" ref="E273" r:id="rId275"/>
    <hyperlink xmlns:r="http://schemas.openxmlformats.org/officeDocument/2006/relationships" ref="E274" r:id="rId276"/>
    <hyperlink xmlns:r="http://schemas.openxmlformats.org/officeDocument/2006/relationships" ref="E275" r:id="rId277"/>
    <hyperlink xmlns:r="http://schemas.openxmlformats.org/officeDocument/2006/relationships" ref="E276" r:id="rId278"/>
    <hyperlink xmlns:r="http://schemas.openxmlformats.org/officeDocument/2006/relationships" ref="E277" r:id="rId279"/>
    <hyperlink xmlns:r="http://schemas.openxmlformats.org/officeDocument/2006/relationships" ref="E278" r:id="rId280"/>
    <hyperlink xmlns:r="http://schemas.openxmlformats.org/officeDocument/2006/relationships" ref="E279" r:id="rId281"/>
    <hyperlink xmlns:r="http://schemas.openxmlformats.org/officeDocument/2006/relationships" ref="E280" r:id="rId282"/>
    <hyperlink xmlns:r="http://schemas.openxmlformats.org/officeDocument/2006/relationships" ref="E281" r:id="rId283"/>
    <hyperlink xmlns:r="http://schemas.openxmlformats.org/officeDocument/2006/relationships" ref="E282" r:id="rId284"/>
    <hyperlink xmlns:r="http://schemas.openxmlformats.org/officeDocument/2006/relationships" ref="E283" r:id="rId285"/>
    <hyperlink xmlns:r="http://schemas.openxmlformats.org/officeDocument/2006/relationships" ref="E284" r:id="rId286"/>
    <hyperlink xmlns:r="http://schemas.openxmlformats.org/officeDocument/2006/relationships" ref="E285" r:id="rId287"/>
    <hyperlink xmlns:r="http://schemas.openxmlformats.org/officeDocument/2006/relationships" ref="E286" r:id="rId288"/>
    <hyperlink xmlns:r="http://schemas.openxmlformats.org/officeDocument/2006/relationships" ref="E287" r:id="rId289"/>
    <hyperlink xmlns:r="http://schemas.openxmlformats.org/officeDocument/2006/relationships" ref="E288" r:id="rId290"/>
    <hyperlink xmlns:r="http://schemas.openxmlformats.org/officeDocument/2006/relationships" ref="E289" r:id="rId291"/>
    <hyperlink xmlns:r="http://schemas.openxmlformats.org/officeDocument/2006/relationships" ref="E290" r:id="rId292"/>
    <hyperlink xmlns:r="http://schemas.openxmlformats.org/officeDocument/2006/relationships" ref="E291" r:id="rId293"/>
    <hyperlink xmlns:r="http://schemas.openxmlformats.org/officeDocument/2006/relationships" ref="E292" r:id="rId294"/>
    <hyperlink xmlns:r="http://schemas.openxmlformats.org/officeDocument/2006/relationships" ref="E293" r:id="rId295"/>
    <hyperlink xmlns:r="http://schemas.openxmlformats.org/officeDocument/2006/relationships" ref="E294" r:id="rId296"/>
    <hyperlink xmlns:r="http://schemas.openxmlformats.org/officeDocument/2006/relationships" ref="E295" r:id="rId297"/>
    <hyperlink xmlns:r="http://schemas.openxmlformats.org/officeDocument/2006/relationships" ref="E296" r:id="rId298"/>
    <hyperlink xmlns:r="http://schemas.openxmlformats.org/officeDocument/2006/relationships" ref="E297" r:id="rId299"/>
    <hyperlink xmlns:r="http://schemas.openxmlformats.org/officeDocument/2006/relationships" ref="E298" r:id="rId300"/>
    <hyperlink xmlns:r="http://schemas.openxmlformats.org/officeDocument/2006/relationships" ref="E299" r:id="rId301"/>
    <hyperlink xmlns:r="http://schemas.openxmlformats.org/officeDocument/2006/relationships" ref="E300" r:id="rId302"/>
    <hyperlink xmlns:r="http://schemas.openxmlformats.org/officeDocument/2006/relationships" ref="E301" r:id="rId303"/>
    <hyperlink xmlns:r="http://schemas.openxmlformats.org/officeDocument/2006/relationships" ref="E302" r:id="rId304"/>
    <hyperlink xmlns:r="http://schemas.openxmlformats.org/officeDocument/2006/relationships" ref="E303" r:id="rId305"/>
    <hyperlink xmlns:r="http://schemas.openxmlformats.org/officeDocument/2006/relationships" ref="E304" r:id="rId306"/>
    <hyperlink xmlns:r="http://schemas.openxmlformats.org/officeDocument/2006/relationships" ref="E305" r:id="rId307"/>
    <hyperlink xmlns:r="http://schemas.openxmlformats.org/officeDocument/2006/relationships" ref="E306" r:id="rId308"/>
    <hyperlink xmlns:r="http://schemas.openxmlformats.org/officeDocument/2006/relationships" ref="E307" r:id="rId309"/>
    <hyperlink xmlns:r="http://schemas.openxmlformats.org/officeDocument/2006/relationships" ref="E308" r:id="rId310"/>
    <hyperlink xmlns:r="http://schemas.openxmlformats.org/officeDocument/2006/relationships" ref="E309" r:id="rId311"/>
    <hyperlink xmlns:r="http://schemas.openxmlformats.org/officeDocument/2006/relationships" ref="E310" r:id="rId312"/>
    <hyperlink xmlns:r="http://schemas.openxmlformats.org/officeDocument/2006/relationships" ref="E311" r:id="rId313"/>
    <hyperlink xmlns:r="http://schemas.openxmlformats.org/officeDocument/2006/relationships" ref="E312" r:id="rId314"/>
    <hyperlink xmlns:r="http://schemas.openxmlformats.org/officeDocument/2006/relationships" ref="E313" r:id="rId315"/>
    <hyperlink xmlns:r="http://schemas.openxmlformats.org/officeDocument/2006/relationships" ref="E314" r:id="rId316"/>
    <hyperlink xmlns:r="http://schemas.openxmlformats.org/officeDocument/2006/relationships" ref="E315" r:id="rId317"/>
    <hyperlink xmlns:r="http://schemas.openxmlformats.org/officeDocument/2006/relationships" ref="E316" r:id="rId318"/>
    <hyperlink xmlns:r="http://schemas.openxmlformats.org/officeDocument/2006/relationships" ref="E317" r:id="rId319"/>
    <hyperlink xmlns:r="http://schemas.openxmlformats.org/officeDocument/2006/relationships" ref="E318" r:id="rId320"/>
    <hyperlink xmlns:r="http://schemas.openxmlformats.org/officeDocument/2006/relationships" ref="E319" r:id="rId321"/>
    <hyperlink xmlns:r="http://schemas.openxmlformats.org/officeDocument/2006/relationships" ref="E320" r:id="rId322"/>
    <hyperlink xmlns:r="http://schemas.openxmlformats.org/officeDocument/2006/relationships" ref="E321" r:id="rId323"/>
    <hyperlink xmlns:r="http://schemas.openxmlformats.org/officeDocument/2006/relationships" ref="E322" r:id="rId324"/>
    <hyperlink xmlns:r="http://schemas.openxmlformats.org/officeDocument/2006/relationships" ref="E323" r:id="rId325"/>
    <hyperlink xmlns:r="http://schemas.openxmlformats.org/officeDocument/2006/relationships" ref="E324" r:id="rId326"/>
    <hyperlink xmlns:r="http://schemas.openxmlformats.org/officeDocument/2006/relationships" ref="E325" r:id="rId327"/>
    <hyperlink xmlns:r="http://schemas.openxmlformats.org/officeDocument/2006/relationships" ref="E326" r:id="rId328"/>
    <hyperlink xmlns:r="http://schemas.openxmlformats.org/officeDocument/2006/relationships" ref="E327" r:id="rId329"/>
    <hyperlink xmlns:r="http://schemas.openxmlformats.org/officeDocument/2006/relationships" ref="E328" r:id="rId330"/>
    <hyperlink xmlns:r="http://schemas.openxmlformats.org/officeDocument/2006/relationships" ref="E329" r:id="rId331"/>
    <hyperlink xmlns:r="http://schemas.openxmlformats.org/officeDocument/2006/relationships" ref="E330" r:id="rId332"/>
    <hyperlink xmlns:r="http://schemas.openxmlformats.org/officeDocument/2006/relationships" ref="E331" r:id="rId333"/>
    <hyperlink xmlns:r="http://schemas.openxmlformats.org/officeDocument/2006/relationships" ref="E332" r:id="rId334"/>
    <hyperlink xmlns:r="http://schemas.openxmlformats.org/officeDocument/2006/relationships" ref="E333" r:id="rId335"/>
    <hyperlink xmlns:r="http://schemas.openxmlformats.org/officeDocument/2006/relationships" ref="E334" r:id="rId336"/>
    <hyperlink xmlns:r="http://schemas.openxmlformats.org/officeDocument/2006/relationships" ref="E335" r:id="rId337"/>
    <hyperlink xmlns:r="http://schemas.openxmlformats.org/officeDocument/2006/relationships" ref="E336" r:id="rId338"/>
    <hyperlink xmlns:r="http://schemas.openxmlformats.org/officeDocument/2006/relationships" ref="E337" r:id="rId339"/>
    <hyperlink xmlns:r="http://schemas.openxmlformats.org/officeDocument/2006/relationships" ref="E338" r:id="rId340"/>
    <hyperlink xmlns:r="http://schemas.openxmlformats.org/officeDocument/2006/relationships" ref="E339" r:id="rId341"/>
    <hyperlink xmlns:r="http://schemas.openxmlformats.org/officeDocument/2006/relationships" ref="E340" r:id="rId342"/>
    <hyperlink xmlns:r="http://schemas.openxmlformats.org/officeDocument/2006/relationships" ref="E341" r:id="rId343"/>
    <hyperlink xmlns:r="http://schemas.openxmlformats.org/officeDocument/2006/relationships" ref="E342" r:id="rId344"/>
    <hyperlink xmlns:r="http://schemas.openxmlformats.org/officeDocument/2006/relationships" ref="E343" r:id="rId345"/>
    <hyperlink xmlns:r="http://schemas.openxmlformats.org/officeDocument/2006/relationships" ref="E344" r:id="rId346"/>
    <hyperlink xmlns:r="http://schemas.openxmlformats.org/officeDocument/2006/relationships" ref="E345" r:id="rId347"/>
    <hyperlink xmlns:r="http://schemas.openxmlformats.org/officeDocument/2006/relationships" ref="E346" r:id="rId348"/>
    <hyperlink xmlns:r="http://schemas.openxmlformats.org/officeDocument/2006/relationships" ref="E347" r:id="rId349"/>
    <hyperlink xmlns:r="http://schemas.openxmlformats.org/officeDocument/2006/relationships" ref="E348" r:id="rId350"/>
    <hyperlink xmlns:r="http://schemas.openxmlformats.org/officeDocument/2006/relationships" ref="E349" r:id="rId351"/>
    <hyperlink xmlns:r="http://schemas.openxmlformats.org/officeDocument/2006/relationships" ref="E350" r:id="rId352"/>
    <hyperlink xmlns:r="http://schemas.openxmlformats.org/officeDocument/2006/relationships" ref="E351" r:id="rId353"/>
    <hyperlink xmlns:r="http://schemas.openxmlformats.org/officeDocument/2006/relationships" ref="E352" r:id="rId354"/>
    <hyperlink xmlns:r="http://schemas.openxmlformats.org/officeDocument/2006/relationships" ref="E353" r:id="rId355"/>
    <hyperlink xmlns:r="http://schemas.openxmlformats.org/officeDocument/2006/relationships" ref="E354" r:id="rId356"/>
    <hyperlink xmlns:r="http://schemas.openxmlformats.org/officeDocument/2006/relationships" ref="E355" r:id="rId357"/>
    <hyperlink xmlns:r="http://schemas.openxmlformats.org/officeDocument/2006/relationships" ref="E356" r:id="rId358"/>
    <hyperlink xmlns:r="http://schemas.openxmlformats.org/officeDocument/2006/relationships" ref="E357" r:id="rId359"/>
    <hyperlink xmlns:r="http://schemas.openxmlformats.org/officeDocument/2006/relationships" ref="E358" r:id="rId360"/>
    <hyperlink xmlns:r="http://schemas.openxmlformats.org/officeDocument/2006/relationships" ref="E359" r:id="rId361"/>
    <hyperlink xmlns:r="http://schemas.openxmlformats.org/officeDocument/2006/relationships" ref="E360" r:id="rId362"/>
    <hyperlink xmlns:r="http://schemas.openxmlformats.org/officeDocument/2006/relationships" ref="E361" r:id="rId363"/>
    <hyperlink xmlns:r="http://schemas.openxmlformats.org/officeDocument/2006/relationships" ref="E362" r:id="rId364"/>
    <hyperlink xmlns:r="http://schemas.openxmlformats.org/officeDocument/2006/relationships" ref="E363" r:id="rId365"/>
    <hyperlink xmlns:r="http://schemas.openxmlformats.org/officeDocument/2006/relationships" ref="E364" r:id="rId366"/>
    <hyperlink xmlns:r="http://schemas.openxmlformats.org/officeDocument/2006/relationships" ref="E365" r:id="rId367"/>
    <hyperlink xmlns:r="http://schemas.openxmlformats.org/officeDocument/2006/relationships" ref="E366" r:id="rId368"/>
    <hyperlink xmlns:r="http://schemas.openxmlformats.org/officeDocument/2006/relationships" ref="E367" r:id="rId369"/>
    <hyperlink xmlns:r="http://schemas.openxmlformats.org/officeDocument/2006/relationships" ref="E368" r:id="rId370"/>
    <hyperlink xmlns:r="http://schemas.openxmlformats.org/officeDocument/2006/relationships" ref="E369" r:id="rId371"/>
    <hyperlink xmlns:r="http://schemas.openxmlformats.org/officeDocument/2006/relationships" ref="E370" r:id="rId372"/>
    <hyperlink xmlns:r="http://schemas.openxmlformats.org/officeDocument/2006/relationships" ref="E371" r:id="rId373"/>
    <hyperlink xmlns:r="http://schemas.openxmlformats.org/officeDocument/2006/relationships" ref="E372" r:id="rId374"/>
    <hyperlink xmlns:r="http://schemas.openxmlformats.org/officeDocument/2006/relationships" ref="E373" r:id="rId375"/>
    <hyperlink xmlns:r="http://schemas.openxmlformats.org/officeDocument/2006/relationships" ref="E374" r:id="rId376"/>
    <hyperlink xmlns:r="http://schemas.openxmlformats.org/officeDocument/2006/relationships" ref="E375" r:id="rId377"/>
    <hyperlink xmlns:r="http://schemas.openxmlformats.org/officeDocument/2006/relationships" ref="E376" r:id="rId378"/>
    <hyperlink xmlns:r="http://schemas.openxmlformats.org/officeDocument/2006/relationships" ref="E377" r:id="rId379"/>
    <hyperlink xmlns:r="http://schemas.openxmlformats.org/officeDocument/2006/relationships" ref="E378" r:id="rId380"/>
    <hyperlink xmlns:r="http://schemas.openxmlformats.org/officeDocument/2006/relationships" ref="E379" r:id="rId381"/>
    <hyperlink xmlns:r="http://schemas.openxmlformats.org/officeDocument/2006/relationships" ref="E380" r:id="rId382"/>
    <hyperlink xmlns:r="http://schemas.openxmlformats.org/officeDocument/2006/relationships" ref="E381" r:id="rId383"/>
    <hyperlink xmlns:r="http://schemas.openxmlformats.org/officeDocument/2006/relationships" ref="E382" r:id="rId384"/>
    <hyperlink xmlns:r="http://schemas.openxmlformats.org/officeDocument/2006/relationships" ref="E383" r:id="rId385"/>
    <hyperlink xmlns:r="http://schemas.openxmlformats.org/officeDocument/2006/relationships" ref="E384" r:id="rId386"/>
    <hyperlink xmlns:r="http://schemas.openxmlformats.org/officeDocument/2006/relationships" ref="E385" r:id="rId387"/>
    <hyperlink xmlns:r="http://schemas.openxmlformats.org/officeDocument/2006/relationships" ref="E386" r:id="rId388"/>
    <hyperlink xmlns:r="http://schemas.openxmlformats.org/officeDocument/2006/relationships" ref="E387" r:id="rId389"/>
    <hyperlink xmlns:r="http://schemas.openxmlformats.org/officeDocument/2006/relationships" ref="E388" r:id="rId390"/>
    <hyperlink xmlns:r="http://schemas.openxmlformats.org/officeDocument/2006/relationships" ref="E389" r:id="rId391"/>
    <hyperlink xmlns:r="http://schemas.openxmlformats.org/officeDocument/2006/relationships" ref="E390" r:id="rId392"/>
    <hyperlink xmlns:r="http://schemas.openxmlformats.org/officeDocument/2006/relationships" ref="E391" r:id="rId393"/>
    <hyperlink xmlns:r="http://schemas.openxmlformats.org/officeDocument/2006/relationships" ref="E392" r:id="rId394"/>
    <hyperlink xmlns:r="http://schemas.openxmlformats.org/officeDocument/2006/relationships" ref="E393" r:id="rId395"/>
    <hyperlink xmlns:r="http://schemas.openxmlformats.org/officeDocument/2006/relationships" ref="E394" r:id="rId396"/>
    <hyperlink xmlns:r="http://schemas.openxmlformats.org/officeDocument/2006/relationships" ref="E395" r:id="rId397"/>
    <hyperlink xmlns:r="http://schemas.openxmlformats.org/officeDocument/2006/relationships" ref="E396" r:id="rId398"/>
    <hyperlink xmlns:r="http://schemas.openxmlformats.org/officeDocument/2006/relationships" ref="E397" r:id="rId399"/>
    <hyperlink xmlns:r="http://schemas.openxmlformats.org/officeDocument/2006/relationships" ref="E398" r:id="rId400"/>
    <hyperlink xmlns:r="http://schemas.openxmlformats.org/officeDocument/2006/relationships" ref="E399" r:id="rId401"/>
    <hyperlink xmlns:r="http://schemas.openxmlformats.org/officeDocument/2006/relationships" ref="E400" r:id="rId402"/>
    <hyperlink xmlns:r="http://schemas.openxmlformats.org/officeDocument/2006/relationships" ref="E401" r:id="rId403"/>
    <hyperlink xmlns:r="http://schemas.openxmlformats.org/officeDocument/2006/relationships" ref="E402" r:id="rId404"/>
    <hyperlink xmlns:r="http://schemas.openxmlformats.org/officeDocument/2006/relationships" ref="E403" r:id="rId405"/>
    <hyperlink xmlns:r="http://schemas.openxmlformats.org/officeDocument/2006/relationships" ref="E404" r:id="rId406"/>
    <hyperlink xmlns:r="http://schemas.openxmlformats.org/officeDocument/2006/relationships" ref="E405" r:id="rId407"/>
    <hyperlink xmlns:r="http://schemas.openxmlformats.org/officeDocument/2006/relationships" ref="E406" r:id="rId408"/>
    <hyperlink xmlns:r="http://schemas.openxmlformats.org/officeDocument/2006/relationships" ref="E407" r:id="rId409"/>
    <hyperlink xmlns:r="http://schemas.openxmlformats.org/officeDocument/2006/relationships" ref="E408" r:id="rId410"/>
    <hyperlink xmlns:r="http://schemas.openxmlformats.org/officeDocument/2006/relationships" ref="E409" r:id="rId411"/>
    <hyperlink xmlns:r="http://schemas.openxmlformats.org/officeDocument/2006/relationships" ref="E410" r:id="rId412"/>
    <hyperlink xmlns:r="http://schemas.openxmlformats.org/officeDocument/2006/relationships" ref="E411" r:id="rId413"/>
    <hyperlink xmlns:r="http://schemas.openxmlformats.org/officeDocument/2006/relationships" ref="E412" r:id="rId414"/>
    <hyperlink xmlns:r="http://schemas.openxmlformats.org/officeDocument/2006/relationships" ref="E413" r:id="rId415"/>
    <hyperlink xmlns:r="http://schemas.openxmlformats.org/officeDocument/2006/relationships" ref="E414" r:id="rId416"/>
    <hyperlink xmlns:r="http://schemas.openxmlformats.org/officeDocument/2006/relationships" ref="E415" r:id="rId417"/>
    <hyperlink xmlns:r="http://schemas.openxmlformats.org/officeDocument/2006/relationships" ref="E416" r:id="rId418"/>
    <hyperlink xmlns:r="http://schemas.openxmlformats.org/officeDocument/2006/relationships" ref="E417" r:id="rId419"/>
    <hyperlink xmlns:r="http://schemas.openxmlformats.org/officeDocument/2006/relationships" ref="E418" r:id="rId420"/>
    <hyperlink xmlns:r="http://schemas.openxmlformats.org/officeDocument/2006/relationships" ref="E419" r:id="rId421"/>
    <hyperlink xmlns:r="http://schemas.openxmlformats.org/officeDocument/2006/relationships" ref="E420" r:id="rId422"/>
    <hyperlink xmlns:r="http://schemas.openxmlformats.org/officeDocument/2006/relationships" ref="E421" r:id="rId423"/>
    <hyperlink xmlns:r="http://schemas.openxmlformats.org/officeDocument/2006/relationships" ref="E422" r:id="rId424"/>
    <hyperlink xmlns:r="http://schemas.openxmlformats.org/officeDocument/2006/relationships" ref="E423" r:id="rId425"/>
    <hyperlink xmlns:r="http://schemas.openxmlformats.org/officeDocument/2006/relationships" ref="E424" r:id="rId426"/>
    <hyperlink xmlns:r="http://schemas.openxmlformats.org/officeDocument/2006/relationships" ref="E425" r:id="rId427"/>
    <hyperlink xmlns:r="http://schemas.openxmlformats.org/officeDocument/2006/relationships" ref="E426" r:id="rId428"/>
    <hyperlink xmlns:r="http://schemas.openxmlformats.org/officeDocument/2006/relationships" ref="E427" r:id="rId429"/>
    <hyperlink xmlns:r="http://schemas.openxmlformats.org/officeDocument/2006/relationships" ref="E428" r:id="rId430"/>
    <hyperlink xmlns:r="http://schemas.openxmlformats.org/officeDocument/2006/relationships" ref="E429" r:id="rId431"/>
    <hyperlink xmlns:r="http://schemas.openxmlformats.org/officeDocument/2006/relationships" ref="E430" r:id="rId432"/>
    <hyperlink xmlns:r="http://schemas.openxmlformats.org/officeDocument/2006/relationships" ref="E431" r:id="rId433"/>
    <hyperlink xmlns:r="http://schemas.openxmlformats.org/officeDocument/2006/relationships" ref="E432" r:id="rId434"/>
    <hyperlink xmlns:r="http://schemas.openxmlformats.org/officeDocument/2006/relationships" ref="E433" r:id="rId435"/>
    <hyperlink xmlns:r="http://schemas.openxmlformats.org/officeDocument/2006/relationships" ref="E434" r:id="rId436"/>
    <hyperlink xmlns:r="http://schemas.openxmlformats.org/officeDocument/2006/relationships" ref="E435" r:id="rId437"/>
    <hyperlink xmlns:r="http://schemas.openxmlformats.org/officeDocument/2006/relationships" ref="E436" r:id="rId438"/>
    <hyperlink xmlns:r="http://schemas.openxmlformats.org/officeDocument/2006/relationships" ref="E437" r:id="rId439"/>
    <hyperlink xmlns:r="http://schemas.openxmlformats.org/officeDocument/2006/relationships" ref="E438" r:id="rId440"/>
    <hyperlink xmlns:r="http://schemas.openxmlformats.org/officeDocument/2006/relationships" ref="E439" r:id="rId441"/>
    <hyperlink xmlns:r="http://schemas.openxmlformats.org/officeDocument/2006/relationships" ref="E440" r:id="rId442"/>
    <hyperlink xmlns:r="http://schemas.openxmlformats.org/officeDocument/2006/relationships" ref="E441" r:id="rId443"/>
    <hyperlink xmlns:r="http://schemas.openxmlformats.org/officeDocument/2006/relationships" ref="E442" r:id="rId444"/>
    <hyperlink xmlns:r="http://schemas.openxmlformats.org/officeDocument/2006/relationships" ref="E443" r:id="rId445"/>
    <hyperlink xmlns:r="http://schemas.openxmlformats.org/officeDocument/2006/relationships" ref="E444" r:id="rId446"/>
    <hyperlink xmlns:r="http://schemas.openxmlformats.org/officeDocument/2006/relationships" ref="E445" r:id="rId447"/>
    <hyperlink xmlns:r="http://schemas.openxmlformats.org/officeDocument/2006/relationships" ref="E446" r:id="rId448"/>
    <hyperlink xmlns:r="http://schemas.openxmlformats.org/officeDocument/2006/relationships" ref="E447" r:id="rId449"/>
    <hyperlink xmlns:r="http://schemas.openxmlformats.org/officeDocument/2006/relationships" ref="E448" r:id="rId450"/>
    <hyperlink xmlns:r="http://schemas.openxmlformats.org/officeDocument/2006/relationships" ref="E449" r:id="rId451"/>
    <hyperlink xmlns:r="http://schemas.openxmlformats.org/officeDocument/2006/relationships" ref="E450" r:id="rId452"/>
    <hyperlink xmlns:r="http://schemas.openxmlformats.org/officeDocument/2006/relationships" ref="E451" r:id="rId453"/>
    <hyperlink xmlns:r="http://schemas.openxmlformats.org/officeDocument/2006/relationships" ref="E452" r:id="rId454"/>
    <hyperlink xmlns:r="http://schemas.openxmlformats.org/officeDocument/2006/relationships" ref="E453" r:id="rId455"/>
    <hyperlink xmlns:r="http://schemas.openxmlformats.org/officeDocument/2006/relationships" ref="E454" r:id="rId456"/>
    <hyperlink xmlns:r="http://schemas.openxmlformats.org/officeDocument/2006/relationships" ref="E455" r:id="rId457"/>
    <hyperlink xmlns:r="http://schemas.openxmlformats.org/officeDocument/2006/relationships" ref="E456" r:id="rId458"/>
    <hyperlink xmlns:r="http://schemas.openxmlformats.org/officeDocument/2006/relationships" ref="E457" r:id="rId459"/>
    <hyperlink xmlns:r="http://schemas.openxmlformats.org/officeDocument/2006/relationships" ref="E458" r:id="rId460"/>
    <hyperlink xmlns:r="http://schemas.openxmlformats.org/officeDocument/2006/relationships" ref="E459" r:id="rId461"/>
    <hyperlink xmlns:r="http://schemas.openxmlformats.org/officeDocument/2006/relationships" ref="E460" r:id="rId462"/>
    <hyperlink xmlns:r="http://schemas.openxmlformats.org/officeDocument/2006/relationships" ref="E461" r:id="rId463"/>
    <hyperlink xmlns:r="http://schemas.openxmlformats.org/officeDocument/2006/relationships" ref="E462" r:id="rId464"/>
    <hyperlink xmlns:r="http://schemas.openxmlformats.org/officeDocument/2006/relationships" ref="E463" r:id="rId465"/>
    <hyperlink xmlns:r="http://schemas.openxmlformats.org/officeDocument/2006/relationships" ref="E464" r:id="rId466"/>
    <hyperlink xmlns:r="http://schemas.openxmlformats.org/officeDocument/2006/relationships" ref="E465" r:id="rId467"/>
    <hyperlink xmlns:r="http://schemas.openxmlformats.org/officeDocument/2006/relationships" ref="E466" r:id="rId468"/>
    <hyperlink xmlns:r="http://schemas.openxmlformats.org/officeDocument/2006/relationships" ref="E467" r:id="rId469"/>
    <hyperlink xmlns:r="http://schemas.openxmlformats.org/officeDocument/2006/relationships" ref="E468" r:id="rId470"/>
    <hyperlink xmlns:r="http://schemas.openxmlformats.org/officeDocument/2006/relationships" ref="E469" r:id="rId471"/>
    <hyperlink xmlns:r="http://schemas.openxmlformats.org/officeDocument/2006/relationships" ref="E470" r:id="rId472"/>
    <hyperlink xmlns:r="http://schemas.openxmlformats.org/officeDocument/2006/relationships" ref="E471" r:id="rId473"/>
    <hyperlink xmlns:r="http://schemas.openxmlformats.org/officeDocument/2006/relationships" ref="E472" r:id="rId474"/>
    <hyperlink xmlns:r="http://schemas.openxmlformats.org/officeDocument/2006/relationships" ref="E473" r:id="rId475"/>
    <hyperlink xmlns:r="http://schemas.openxmlformats.org/officeDocument/2006/relationships" ref="E474" r:id="rId476"/>
    <hyperlink xmlns:r="http://schemas.openxmlformats.org/officeDocument/2006/relationships" ref="E475" r:id="rId477"/>
    <hyperlink xmlns:r="http://schemas.openxmlformats.org/officeDocument/2006/relationships" ref="E476" r:id="rId478"/>
    <hyperlink xmlns:r="http://schemas.openxmlformats.org/officeDocument/2006/relationships" ref="E477" r:id="rId479"/>
    <hyperlink xmlns:r="http://schemas.openxmlformats.org/officeDocument/2006/relationships" ref="E478" r:id="rId480"/>
    <hyperlink xmlns:r="http://schemas.openxmlformats.org/officeDocument/2006/relationships" ref="E479" r:id="rId481"/>
    <hyperlink xmlns:r="http://schemas.openxmlformats.org/officeDocument/2006/relationships" ref="E480" r:id="rId482"/>
    <hyperlink xmlns:r="http://schemas.openxmlformats.org/officeDocument/2006/relationships" ref="E481" r:id="rId483"/>
    <hyperlink xmlns:r="http://schemas.openxmlformats.org/officeDocument/2006/relationships" ref="E482" r:id="rId484"/>
    <hyperlink xmlns:r="http://schemas.openxmlformats.org/officeDocument/2006/relationships" ref="E483" r:id="rId485"/>
    <hyperlink xmlns:r="http://schemas.openxmlformats.org/officeDocument/2006/relationships" ref="E484" r:id="rId486"/>
    <hyperlink xmlns:r="http://schemas.openxmlformats.org/officeDocument/2006/relationships" ref="E485" r:id="rId487"/>
    <hyperlink xmlns:r="http://schemas.openxmlformats.org/officeDocument/2006/relationships" ref="E486" r:id="rId488"/>
    <hyperlink xmlns:r="http://schemas.openxmlformats.org/officeDocument/2006/relationships" ref="E487" r:id="rId489"/>
    <hyperlink xmlns:r="http://schemas.openxmlformats.org/officeDocument/2006/relationships" ref="E488" r:id="rId490"/>
    <hyperlink xmlns:r="http://schemas.openxmlformats.org/officeDocument/2006/relationships" ref="E489" r:id="rId491"/>
    <hyperlink xmlns:r="http://schemas.openxmlformats.org/officeDocument/2006/relationships" ref="E490" r:id="rId492"/>
    <hyperlink xmlns:r="http://schemas.openxmlformats.org/officeDocument/2006/relationships" ref="E491" r:id="rId493"/>
    <hyperlink xmlns:r="http://schemas.openxmlformats.org/officeDocument/2006/relationships" ref="E492" r:id="rId494"/>
    <hyperlink xmlns:r="http://schemas.openxmlformats.org/officeDocument/2006/relationships" ref="E493" r:id="rId495"/>
    <hyperlink xmlns:r="http://schemas.openxmlformats.org/officeDocument/2006/relationships" ref="E494" r:id="rId496"/>
    <hyperlink xmlns:r="http://schemas.openxmlformats.org/officeDocument/2006/relationships" ref="E495" r:id="rId497"/>
    <hyperlink xmlns:r="http://schemas.openxmlformats.org/officeDocument/2006/relationships" ref="E496" r:id="rId498"/>
    <hyperlink xmlns:r="http://schemas.openxmlformats.org/officeDocument/2006/relationships" ref="E497" r:id="rId499"/>
    <hyperlink xmlns:r="http://schemas.openxmlformats.org/officeDocument/2006/relationships" ref="E498" r:id="rId500"/>
    <hyperlink xmlns:r="http://schemas.openxmlformats.org/officeDocument/2006/relationships" ref="E499" r:id="rId501"/>
    <hyperlink xmlns:r="http://schemas.openxmlformats.org/officeDocument/2006/relationships" ref="E500" r:id="rId502"/>
    <hyperlink xmlns:r="http://schemas.openxmlformats.org/officeDocument/2006/relationships" ref="E501" r:id="rId503"/>
    <hyperlink xmlns:r="http://schemas.openxmlformats.org/officeDocument/2006/relationships" ref="E502" r:id="rId504"/>
    <hyperlink xmlns:r="http://schemas.openxmlformats.org/officeDocument/2006/relationships" ref="E503" r:id="rId505"/>
    <hyperlink xmlns:r="http://schemas.openxmlformats.org/officeDocument/2006/relationships" ref="E504" r:id="rId506"/>
    <hyperlink xmlns:r="http://schemas.openxmlformats.org/officeDocument/2006/relationships" ref="E505" r:id="rId507"/>
    <hyperlink xmlns:r="http://schemas.openxmlformats.org/officeDocument/2006/relationships" ref="E506" r:id="rId508"/>
    <hyperlink xmlns:r="http://schemas.openxmlformats.org/officeDocument/2006/relationships" ref="E507" r:id="rId509"/>
    <hyperlink xmlns:r="http://schemas.openxmlformats.org/officeDocument/2006/relationships" ref="E508" r:id="rId510"/>
    <hyperlink xmlns:r="http://schemas.openxmlformats.org/officeDocument/2006/relationships" ref="E509" r:id="rId511"/>
    <hyperlink xmlns:r="http://schemas.openxmlformats.org/officeDocument/2006/relationships" ref="E510" r:id="rId512"/>
    <hyperlink xmlns:r="http://schemas.openxmlformats.org/officeDocument/2006/relationships" ref="E511" r:id="rId513"/>
    <hyperlink xmlns:r="http://schemas.openxmlformats.org/officeDocument/2006/relationships" ref="E512" r:id="rId514"/>
    <hyperlink xmlns:r="http://schemas.openxmlformats.org/officeDocument/2006/relationships" ref="E513" r:id="rId515"/>
    <hyperlink xmlns:r="http://schemas.openxmlformats.org/officeDocument/2006/relationships" ref="E514" r:id="rId516"/>
    <hyperlink xmlns:r="http://schemas.openxmlformats.org/officeDocument/2006/relationships" ref="E515" r:id="rId517"/>
    <hyperlink xmlns:r="http://schemas.openxmlformats.org/officeDocument/2006/relationships" ref="E516" r:id="rId518"/>
    <hyperlink xmlns:r="http://schemas.openxmlformats.org/officeDocument/2006/relationships" ref="E517" r:id="rId519"/>
    <hyperlink xmlns:r="http://schemas.openxmlformats.org/officeDocument/2006/relationships" ref="E518" r:id="rId520"/>
    <hyperlink xmlns:r="http://schemas.openxmlformats.org/officeDocument/2006/relationships" ref="E519" r:id="rId521"/>
    <hyperlink xmlns:r="http://schemas.openxmlformats.org/officeDocument/2006/relationships" ref="E520" r:id="rId522"/>
    <hyperlink xmlns:r="http://schemas.openxmlformats.org/officeDocument/2006/relationships" ref="E521" r:id="rId523"/>
    <hyperlink xmlns:r="http://schemas.openxmlformats.org/officeDocument/2006/relationships" ref="E522" r:id="rId524"/>
  </hyperlinks>
  <pageMargins left="0.75" right="0.75" top="1" bottom="1" header="0.5" footer="0.5"/>
  <pageSetup orientation="portrait" paperSize="9" horizontalDpi="360" verticalDpi="36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N383"/>
  <sheetViews>
    <sheetView workbookViewId="0">
      <selection activeCell="A1" sqref="A1"/>
    </sheetView>
  </sheetViews>
  <sheetFormatPr baseColWidth="8" defaultRowHeight="14"/>
  <cols>
    <col width="8.7265625" customWidth="1" style="476" min="1" max="1"/>
    <col width="7.81640625" customWidth="1" style="476" min="2" max="2"/>
    <col width="9.453125" customWidth="1" style="476" min="3" max="4"/>
    <col width="33.453125" customWidth="1" style="476" min="5" max="5"/>
    <col width="9.54296875" customWidth="1" style="476" min="6" max="6"/>
    <col width="7.81640625" customWidth="1" style="476" min="7" max="7"/>
    <col width="5.90625" customWidth="1" style="476" min="8" max="8"/>
    <col width="6.7265625" customWidth="1" style="476" min="9" max="9"/>
    <col width="13" customWidth="1" style="476" min="10" max="10"/>
    <col width="5.453125" customWidth="1" style="476" min="11" max="11"/>
    <col width="6.6328125" customWidth="1" style="476" min="12" max="12"/>
    <col width="5.08984375" customWidth="1" style="476" min="13" max="13"/>
    <col width="7.08984375" customWidth="1" style="476" min="14" max="14"/>
    <col width="6.6328125" customWidth="1" style="476" min="15" max="15"/>
    <col width="5" customWidth="1" style="476" min="16" max="16"/>
    <col width="11" customWidth="1" style="476" min="17" max="17"/>
    <col width="13" customWidth="1" style="476" min="18" max="18"/>
    <col width="9.81640625" customWidth="1" style="476" min="19" max="20"/>
    <col width="9.6328125" customWidth="1" style="476" min="21" max="21"/>
    <col width="13" customWidth="1" style="476" min="22" max="22"/>
    <col width="6.90625" customWidth="1" style="476" min="23" max="23"/>
    <col width="3.90625" customWidth="1" style="476" min="24" max="24"/>
    <col width="13" customWidth="1" style="476" min="25" max="25"/>
    <col width="5.7265625" customWidth="1" style="476" min="26" max="26"/>
    <col width="9.81640625" customWidth="1" style="476" min="27" max="27"/>
    <col width="10.26953125" customWidth="1" style="476" min="28" max="28"/>
    <col width="5.90625" customWidth="1" style="476" min="29" max="29"/>
    <col width="9.81640625" customWidth="1" style="476" min="30" max="30"/>
    <col width="13" customWidth="1" style="476" min="31" max="32"/>
    <col width="7.81640625" customWidth="1" style="476" min="33" max="33"/>
    <col width="9.81640625" customWidth="1" style="476" min="34" max="35"/>
    <col width="13" customWidth="1" style="476" min="36" max="36"/>
    <col width="7.81640625" customWidth="1" style="476" min="37" max="37"/>
    <col width="13" customWidth="1" style="476" min="38" max="38"/>
    <col width="8.7265625" customWidth="1" style="476" min="39" max="39"/>
    <col width="11.1796875" customWidth="1" style="476" min="40" max="40"/>
    <col width="8.7265625" customWidth="1" style="476" min="41" max="41"/>
    <col width="13" customWidth="1" style="476" min="42" max="47"/>
    <col width="8.453125" customWidth="1" style="476" min="48" max="48"/>
  </cols>
  <sheetData>
    <row r="1">
      <c r="B1" s="163" t="inlineStr">
        <is>
          <t>상</t>
        </is>
      </c>
      <c r="C1" s="13" t="inlineStr">
        <is>
          <t>중</t>
        </is>
      </c>
      <c r="D1" s="160" t="n"/>
      <c r="AH1" s="231" t="n"/>
      <c r="AM1" s="238" t="n"/>
    </row>
    <row r="2">
      <c r="B2" s="163" t="inlineStr">
        <is>
          <t>하</t>
        </is>
      </c>
      <c r="C2" s="163" t="n"/>
      <c r="AH2" s="231" t="n"/>
      <c r="AM2" s="238" t="n"/>
    </row>
    <row r="3">
      <c r="A3" s="221" t="n">
        <v>84</v>
      </c>
      <c r="B3" s="448" t="inlineStr">
        <is>
          <t>선호도</t>
        </is>
      </c>
      <c r="C3" s="445" t="n"/>
      <c r="D3" s="256" t="n"/>
      <c r="E3" s="257" t="inlineStr">
        <is>
          <t>단지정보 (30평)</t>
        </is>
      </c>
      <c r="F3" s="258" t="n"/>
      <c r="G3" s="258" t="n"/>
      <c r="H3" s="258" t="n"/>
      <c r="I3" s="258" t="n"/>
      <c r="J3" s="258" t="n"/>
      <c r="K3" s="258" t="n"/>
      <c r="L3" s="258" t="n"/>
      <c r="M3" s="258" t="n"/>
      <c r="N3" s="258" t="n"/>
      <c r="O3" s="258" t="n"/>
      <c r="P3" s="258" t="n"/>
      <c r="Q3" s="259" t="n"/>
      <c r="R3" s="259" t="n"/>
      <c r="S3" s="258" t="n"/>
      <c r="T3" s="258" t="n"/>
      <c r="U3" s="258" t="n"/>
      <c r="V3" s="258" t="n"/>
      <c r="W3" s="258" t="n"/>
      <c r="X3" s="258" t="n"/>
      <c r="Y3" s="258" t="n"/>
      <c r="Z3" s="258" t="n"/>
      <c r="AA3" s="258" t="n"/>
      <c r="AB3" s="258" t="n"/>
      <c r="AC3" s="258" t="n"/>
      <c r="AD3" s="258" t="n"/>
      <c r="AE3" s="258" t="n"/>
      <c r="AF3" s="258" t="n"/>
      <c r="AG3" s="258" t="n"/>
      <c r="AH3" s="447" t="inlineStr">
        <is>
          <t>투자결과</t>
        </is>
      </c>
      <c r="AI3" s="443" t="n"/>
      <c r="AJ3" s="443" t="n"/>
      <c r="AK3" s="443" t="n"/>
      <c r="AL3" s="445" t="n"/>
    </row>
    <row r="4" ht="17" customHeight="1" s="476">
      <c r="B4" s="165" t="inlineStr">
        <is>
          <t>생활권</t>
        </is>
      </c>
      <c r="C4" s="166" t="inlineStr">
        <is>
          <t>생활권 내</t>
        </is>
      </c>
      <c r="D4" s="231" t="inlineStr">
        <is>
          <t>단지코드</t>
        </is>
      </c>
      <c r="E4" s="231" t="inlineStr">
        <is>
          <t>단지명</t>
        </is>
      </c>
      <c r="F4" s="231" t="inlineStr">
        <is>
          <t>사용승인일</t>
        </is>
      </c>
      <c r="G4" s="231" t="inlineStr">
        <is>
          <t>총세대수</t>
        </is>
      </c>
      <c r="H4" s="22" t="inlineStr">
        <is>
          <t>나이</t>
        </is>
      </c>
      <c r="I4" s="68" t="inlineStr">
        <is>
          <t>타입</t>
        </is>
      </c>
      <c r="J4" s="68" t="inlineStr">
        <is>
          <t>공급면적</t>
        </is>
      </c>
      <c r="K4" s="167" t="inlineStr">
        <is>
          <t>전용면적</t>
        </is>
      </c>
      <c r="L4" s="167" t="inlineStr">
        <is>
          <t>평형</t>
        </is>
      </c>
      <c r="M4" s="231" t="inlineStr">
        <is>
          <t>구조</t>
        </is>
      </c>
      <c r="N4" s="231" t="inlineStr">
        <is>
          <t>방수</t>
        </is>
      </c>
      <c r="O4" s="231" t="inlineStr">
        <is>
          <t>욕실수</t>
        </is>
      </c>
      <c r="P4" s="231" t="inlineStr">
        <is>
          <t>평형별 세대수</t>
        </is>
      </c>
      <c r="Q4" s="260" t="inlineStr">
        <is>
          <t>매</t>
        </is>
      </c>
      <c r="R4" s="260" t="inlineStr">
        <is>
          <t>전</t>
        </is>
      </c>
      <c r="S4" s="167" t="inlineStr">
        <is>
          <t>차</t>
        </is>
      </c>
      <c r="T4" s="167" t="inlineStr">
        <is>
          <t>전세가율</t>
        </is>
      </c>
      <c r="U4" s="167" t="inlineStr">
        <is>
          <t>전고</t>
        </is>
      </c>
      <c r="V4" s="167" t="inlineStr">
        <is>
          <t>전저</t>
        </is>
      </c>
      <c r="W4" s="57" t="inlineStr">
        <is>
          <t>계/복</t>
        </is>
      </c>
      <c r="X4" s="167" t="inlineStr">
        <is>
          <t>방</t>
        </is>
      </c>
      <c r="Y4" s="167" t="inlineStr">
        <is>
          <t>화</t>
        </is>
      </c>
      <c r="Z4" s="167" t="inlineStr">
        <is>
          <t>면적세대수</t>
        </is>
      </c>
      <c r="AA4" s="221" t="inlineStr">
        <is>
          <t>시기(년)</t>
        </is>
      </c>
      <c r="AB4" s="238" t="inlineStr">
        <is>
          <t>(전세가율80%이상인)기간</t>
        </is>
      </c>
      <c r="AC4" s="221" t="inlineStr">
        <is>
          <t>평형</t>
        </is>
      </c>
      <c r="AD4" s="221" t="inlineStr">
        <is>
          <t>매매가</t>
        </is>
      </c>
      <c r="AE4" s="221" t="inlineStr">
        <is>
          <t>전세가</t>
        </is>
      </c>
      <c r="AF4" s="221" t="inlineStr">
        <is>
          <t>전세가율</t>
        </is>
      </c>
      <c r="AG4" s="24" t="inlineStr">
        <is>
          <t>투자금</t>
        </is>
      </c>
      <c r="AH4" s="165" t="inlineStr">
        <is>
          <t>시기(년)</t>
        </is>
      </c>
      <c r="AI4" s="165" t="inlineStr">
        <is>
          <t>매매가</t>
        </is>
      </c>
      <c r="AJ4" s="165" t="inlineStr">
        <is>
          <t>수익금</t>
        </is>
      </c>
      <c r="AK4" s="261" t="inlineStr">
        <is>
          <t>상승율</t>
        </is>
      </c>
      <c r="AL4" s="262" t="inlineStr">
        <is>
          <t>수익율</t>
        </is>
      </c>
      <c r="AN4" s="14" t="n"/>
    </row>
    <row r="5">
      <c r="A5" s="274" t="inlineStr">
        <is>
          <t>가양동</t>
        </is>
      </c>
      <c r="B5" s="274" t="n"/>
      <c r="C5" s="274" t="n"/>
      <c r="D5" s="274" t="n">
        <v>1305</v>
      </c>
      <c r="E5" s="275" t="inlineStr">
        <is>
          <t>가양2단지성지</t>
        </is>
      </c>
      <c r="F5" s="274" t="n">
        <v>1992.11</v>
      </c>
      <c r="G5" s="274" t="n">
        <v>1624</v>
      </c>
      <c r="H5" s="274">
        <f>2026-INT(F5)+1</f>
        <v/>
      </c>
      <c r="I5" s="274" t="n"/>
      <c r="J5" s="274" t="n">
        <v>49</v>
      </c>
      <c r="K5" s="274" t="n">
        <v>34</v>
      </c>
      <c r="L5" s="274" t="n">
        <v>15</v>
      </c>
      <c r="M5" s="274" t="inlineStr">
        <is>
          <t>복도식</t>
        </is>
      </c>
      <c r="N5" s="274" t="n">
        <v>2</v>
      </c>
      <c r="O5" s="274" t="n">
        <v>1</v>
      </c>
      <c r="P5" s="274" t="n">
        <v>497</v>
      </c>
      <c r="Q5" s="274" t="n"/>
      <c r="R5" s="274" t="n"/>
      <c r="S5" s="274" t="n"/>
      <c r="T5" s="274" t="n"/>
      <c r="U5" s="274" t="n">
        <v>6.3</v>
      </c>
      <c r="V5" s="274" t="n">
        <v>4.6</v>
      </c>
      <c r="W5" s="274" t="n"/>
      <c r="X5" s="274" t="n"/>
      <c r="Y5" s="274" t="n"/>
      <c r="Z5" s="274" t="n"/>
      <c r="AA5" s="274" t="n"/>
      <c r="AB5" s="274" t="n"/>
      <c r="AC5" s="274" t="n"/>
      <c r="AD5" s="274" t="n"/>
      <c r="AE5" s="274" t="n"/>
      <c r="AF5" s="274" t="n"/>
      <c r="AG5" s="274" t="n"/>
      <c r="AH5" s="274" t="n"/>
      <c r="AI5" s="274" t="n"/>
      <c r="AJ5" s="274" t="n"/>
      <c r="AK5" s="274" t="n"/>
    </row>
    <row r="6">
      <c r="A6" s="276" t="inlineStr">
        <is>
          <t>가양동</t>
        </is>
      </c>
      <c r="B6" s="274" t="n"/>
      <c r="C6" s="274" t="n"/>
      <c r="D6" s="276" t="n">
        <v>1305</v>
      </c>
      <c r="E6" s="275" t="inlineStr">
        <is>
          <t>가양2단지성지</t>
        </is>
      </c>
      <c r="F6" s="276" t="n">
        <v>1992.11</v>
      </c>
      <c r="G6" s="276" t="n">
        <v>1624</v>
      </c>
      <c r="H6" s="276">
        <f>2026-INT(F6)+1</f>
        <v/>
      </c>
      <c r="I6" s="274" t="n"/>
      <c r="J6" s="276" t="n">
        <v>56</v>
      </c>
      <c r="K6" s="276" t="n">
        <v>39</v>
      </c>
      <c r="L6" s="276" t="n">
        <v>17</v>
      </c>
      <c r="M6" s="276" t="inlineStr">
        <is>
          <t>복도식</t>
        </is>
      </c>
      <c r="N6" s="276" t="n">
        <v>2</v>
      </c>
      <c r="O6" s="276" t="n">
        <v>1</v>
      </c>
      <c r="P6" s="276" t="n">
        <v>623</v>
      </c>
      <c r="Q6" s="274" t="n"/>
      <c r="R6" s="274" t="n"/>
      <c r="S6" s="274" t="n"/>
      <c r="T6" s="274" t="n"/>
      <c r="U6" s="276" t="n">
        <v>8.4</v>
      </c>
      <c r="V6" s="276" t="n">
        <v>4</v>
      </c>
      <c r="W6" s="274" t="n"/>
      <c r="X6" s="274" t="n"/>
      <c r="Y6" s="274" t="n"/>
      <c r="Z6" s="274" t="n"/>
      <c r="AA6" s="274" t="n"/>
      <c r="AB6" s="274" t="n"/>
      <c r="AC6" s="274" t="n"/>
      <c r="AD6" s="274" t="n"/>
      <c r="AE6" s="274" t="n"/>
      <c r="AF6" s="274" t="n"/>
      <c r="AG6" s="274" t="n"/>
      <c r="AH6" s="274" t="n"/>
      <c r="AI6" s="274" t="n"/>
      <c r="AJ6" s="274" t="n"/>
      <c r="AK6" s="274" t="n"/>
    </row>
    <row r="7">
      <c r="A7" s="276" t="inlineStr">
        <is>
          <t>가양동</t>
        </is>
      </c>
      <c r="B7" s="274" t="n"/>
      <c r="C7" s="274" t="n"/>
      <c r="D7" s="276" t="n">
        <v>1305</v>
      </c>
      <c r="E7" s="275" t="inlineStr">
        <is>
          <t>가양2단지성지</t>
        </is>
      </c>
      <c r="F7" s="276" t="n">
        <v>1992.11</v>
      </c>
      <c r="G7" s="276" t="n">
        <v>1624</v>
      </c>
      <c r="H7" s="276">
        <f>2026-INT(F7)+1</f>
        <v/>
      </c>
      <c r="I7" s="274" t="n"/>
      <c r="J7" s="276" t="n">
        <v>70</v>
      </c>
      <c r="K7" s="276" t="n">
        <v>49</v>
      </c>
      <c r="L7" s="276" t="n">
        <v>21</v>
      </c>
      <c r="M7" s="276" t="inlineStr">
        <is>
          <t>복도식</t>
        </is>
      </c>
      <c r="N7" s="276" t="n">
        <v>3</v>
      </c>
      <c r="O7" s="276" t="n">
        <v>1</v>
      </c>
      <c r="P7" s="276" t="n">
        <v>504</v>
      </c>
      <c r="Q7" s="274" t="n"/>
      <c r="R7" s="274" t="n"/>
      <c r="S7" s="274" t="n"/>
      <c r="T7" s="274" t="n"/>
      <c r="U7" s="276" t="n">
        <v>9.949999999999999</v>
      </c>
      <c r="V7" s="276" t="n">
        <v>4.8</v>
      </c>
      <c r="W7" s="274" t="n"/>
      <c r="X7" s="274" t="n"/>
      <c r="Y7" s="274" t="n"/>
      <c r="Z7" s="274" t="n"/>
      <c r="AA7" s="274" t="n"/>
      <c r="AB7" s="274" t="n"/>
      <c r="AC7" s="274" t="n"/>
      <c r="AD7" s="274" t="n"/>
      <c r="AE7" s="274" t="n"/>
      <c r="AF7" s="274" t="n"/>
      <c r="AG7" s="274" t="n"/>
      <c r="AH7" s="274" t="n"/>
      <c r="AI7" s="274" t="n"/>
      <c r="AJ7" s="274" t="n"/>
      <c r="AK7" s="274" t="n"/>
    </row>
    <row r="8">
      <c r="A8" s="458" t="inlineStr">
        <is>
          <t>가양동</t>
        </is>
      </c>
      <c r="D8" s="458" t="n">
        <v>1347</v>
      </c>
      <c r="E8" s="277" t="inlineStr">
        <is>
          <t>가양6단지</t>
        </is>
      </c>
      <c r="F8" s="458" t="n">
        <v>1992.11</v>
      </c>
      <c r="G8" s="458" t="n">
        <v>1476</v>
      </c>
      <c r="H8" s="458">
        <f>2026-INT(F8)+1</f>
        <v/>
      </c>
      <c r="J8" s="458" t="n">
        <v>51</v>
      </c>
      <c r="K8" s="458" t="n">
        <v>39</v>
      </c>
      <c r="L8" s="458" t="n">
        <v>15</v>
      </c>
      <c r="M8" s="458" t="inlineStr">
        <is>
          <t>복도식</t>
        </is>
      </c>
      <c r="N8" s="458" t="n">
        <v>2</v>
      </c>
      <c r="O8" s="458" t="n">
        <v>1</v>
      </c>
      <c r="P8" s="458" t="n">
        <v>432</v>
      </c>
      <c r="U8" s="458" t="n">
        <v>7.4</v>
      </c>
      <c r="V8" s="458" t="n">
        <v>5.05</v>
      </c>
    </row>
    <row r="9">
      <c r="A9" s="458" t="inlineStr">
        <is>
          <t>가양동</t>
        </is>
      </c>
      <c r="D9" s="458" t="n">
        <v>1347</v>
      </c>
      <c r="E9" s="277" t="inlineStr">
        <is>
          <t>가양6단지</t>
        </is>
      </c>
      <c r="F9" s="458" t="n">
        <v>1992.11</v>
      </c>
      <c r="G9" s="458" t="n">
        <v>1476</v>
      </c>
      <c r="H9" s="458">
        <f>2026-INT(F9)+1</f>
        <v/>
      </c>
      <c r="J9" s="458" t="n">
        <v>64</v>
      </c>
      <c r="K9" s="458" t="n">
        <v>49</v>
      </c>
      <c r="L9" s="458" t="n">
        <v>19</v>
      </c>
      <c r="M9" s="458" t="inlineStr">
        <is>
          <t>복도식</t>
        </is>
      </c>
      <c r="N9" s="458" t="n">
        <v>3</v>
      </c>
      <c r="O9" s="458" t="n">
        <v>1</v>
      </c>
      <c r="P9" s="458" t="n">
        <v>594</v>
      </c>
      <c r="U9" s="458" t="n">
        <v>9.949999999999999</v>
      </c>
      <c r="V9" s="458" t="n">
        <v>5.8</v>
      </c>
    </row>
    <row r="10">
      <c r="A10" s="458" t="inlineStr">
        <is>
          <t>가양동</t>
        </is>
      </c>
      <c r="D10" s="458" t="n">
        <v>1347</v>
      </c>
      <c r="E10" s="277" t="inlineStr">
        <is>
          <t>가양6단지</t>
        </is>
      </c>
      <c r="F10" s="458" t="n">
        <v>1992.11</v>
      </c>
      <c r="G10" s="458" t="n">
        <v>1476</v>
      </c>
      <c r="H10" s="458">
        <f>2026-INT(F10)+1</f>
        <v/>
      </c>
      <c r="J10" s="458" t="n">
        <v>74</v>
      </c>
      <c r="K10" s="458" t="n">
        <v>58</v>
      </c>
      <c r="L10" s="458" t="n">
        <v>22</v>
      </c>
      <c r="M10" s="458" t="inlineStr">
        <is>
          <t>복도식</t>
        </is>
      </c>
      <c r="N10" s="458" t="n">
        <v>3</v>
      </c>
      <c r="O10" s="458" t="n">
        <v>1</v>
      </c>
      <c r="P10" s="458" t="n">
        <v>450</v>
      </c>
      <c r="U10" s="458" t="n">
        <v>9.949999999999999</v>
      </c>
      <c r="V10" s="458" t="n">
        <v>5.3</v>
      </c>
    </row>
    <row r="11">
      <c r="A11" s="274" t="inlineStr">
        <is>
          <t>가양동</t>
        </is>
      </c>
      <c r="B11" s="274" t="n"/>
      <c r="C11" s="274" t="n"/>
      <c r="D11" s="274" t="n">
        <v>1348</v>
      </c>
      <c r="E11" s="275" t="inlineStr">
        <is>
          <t>가양9단지</t>
        </is>
      </c>
      <c r="F11" s="274" t="n">
        <v>1993.02</v>
      </c>
      <c r="G11" s="274" t="n">
        <v>1005</v>
      </c>
      <c r="H11" s="274">
        <f>2026-INT(F11)+1</f>
        <v/>
      </c>
      <c r="I11" s="274" t="n"/>
      <c r="J11" s="274" t="n">
        <v>46</v>
      </c>
      <c r="K11" s="274" t="n">
        <v>34</v>
      </c>
      <c r="L11" s="274" t="n">
        <v>14</v>
      </c>
      <c r="M11" s="274" t="inlineStr">
        <is>
          <t>복도식</t>
        </is>
      </c>
      <c r="N11" s="274" t="n">
        <v>2</v>
      </c>
      <c r="O11" s="274" t="n">
        <v>1</v>
      </c>
      <c r="P11" s="274" t="n">
        <v>300</v>
      </c>
      <c r="Q11" s="274" t="n"/>
      <c r="R11" s="274" t="n"/>
      <c r="S11" s="274" t="n"/>
      <c r="T11" s="274" t="n"/>
      <c r="U11" s="274" t="n">
        <v>6.6</v>
      </c>
      <c r="V11" s="274" t="n">
        <v>4.6</v>
      </c>
      <c r="W11" s="274" t="n"/>
      <c r="X11" s="274" t="n"/>
      <c r="Y11" s="274" t="n"/>
      <c r="Z11" s="274" t="n"/>
      <c r="AA11" s="274" t="n"/>
      <c r="AB11" s="274" t="n"/>
      <c r="AC11" s="274" t="n"/>
      <c r="AD11" s="274" t="n"/>
      <c r="AE11" s="274" t="n"/>
      <c r="AF11" s="274" t="n"/>
      <c r="AG11" s="274" t="n"/>
      <c r="AH11" s="274" t="n"/>
      <c r="AI11" s="274" t="n"/>
      <c r="AJ11" s="274" t="n"/>
      <c r="AK11" s="274" t="n"/>
    </row>
    <row r="12">
      <c r="A12" s="274" t="inlineStr">
        <is>
          <t>가양동</t>
        </is>
      </c>
      <c r="B12" s="274" t="n"/>
      <c r="C12" s="274" t="n"/>
      <c r="D12" s="274" t="n">
        <v>1348</v>
      </c>
      <c r="E12" s="275" t="inlineStr">
        <is>
          <t>가양9단지</t>
        </is>
      </c>
      <c r="F12" s="274" t="n">
        <v>1993.02</v>
      </c>
      <c r="G12" s="274" t="n">
        <v>1005</v>
      </c>
      <c r="H12" s="274">
        <f>2026-INT(F12)+1</f>
        <v/>
      </c>
      <c r="I12" s="274" t="n"/>
      <c r="J12" s="274" t="n">
        <v>57</v>
      </c>
      <c r="K12" s="274" t="n">
        <v>39</v>
      </c>
      <c r="L12" s="274" t="n">
        <v>17</v>
      </c>
      <c r="M12" s="274" t="inlineStr">
        <is>
          <t>복도식</t>
        </is>
      </c>
      <c r="N12" s="274" t="n">
        <v>2</v>
      </c>
      <c r="O12" s="274" t="n">
        <v>1</v>
      </c>
      <c r="P12" s="274" t="n">
        <v>405</v>
      </c>
      <c r="Q12" s="274" t="n"/>
      <c r="R12" s="274" t="n"/>
      <c r="S12" s="274" t="n"/>
      <c r="T12" s="274" t="n"/>
      <c r="U12" s="274" t="n">
        <v>7.1</v>
      </c>
      <c r="V12" s="274" t="n">
        <v>5.1</v>
      </c>
      <c r="W12" s="274" t="n"/>
      <c r="X12" s="274" t="n"/>
      <c r="Y12" s="274" t="n"/>
      <c r="Z12" s="274" t="n"/>
      <c r="AA12" s="274" t="n"/>
      <c r="AB12" s="274" t="n"/>
      <c r="AC12" s="274" t="n"/>
      <c r="AD12" s="274" t="n"/>
      <c r="AE12" s="274" t="n"/>
      <c r="AF12" s="274" t="n"/>
      <c r="AG12" s="274" t="n"/>
      <c r="AH12" s="274" t="n"/>
      <c r="AI12" s="274" t="n"/>
      <c r="AJ12" s="274" t="n"/>
      <c r="AK12" s="274" t="n"/>
    </row>
    <row r="13">
      <c r="A13" s="276" t="inlineStr">
        <is>
          <t>가양동</t>
        </is>
      </c>
      <c r="B13" s="274" t="n"/>
      <c r="C13" s="274" t="n"/>
      <c r="D13" s="276" t="n">
        <v>1348</v>
      </c>
      <c r="E13" s="275" t="inlineStr">
        <is>
          <t>가양9단지</t>
        </is>
      </c>
      <c r="F13" s="276" t="n">
        <v>1993.02</v>
      </c>
      <c r="G13" s="276" t="n">
        <v>1005</v>
      </c>
      <c r="H13" s="276">
        <f>2026-INT(F13)+1</f>
        <v/>
      </c>
      <c r="I13" s="274" t="n"/>
      <c r="J13" s="276" t="n">
        <v>71</v>
      </c>
      <c r="K13" s="276" t="n">
        <v>49</v>
      </c>
      <c r="L13" s="276" t="n">
        <v>21</v>
      </c>
      <c r="M13" s="276" t="inlineStr">
        <is>
          <t>복도식</t>
        </is>
      </c>
      <c r="N13" s="276" t="n">
        <v>3</v>
      </c>
      <c r="O13" s="276" t="n">
        <v>1</v>
      </c>
      <c r="P13" s="276" t="n">
        <v>300</v>
      </c>
      <c r="Q13" s="274" t="n"/>
      <c r="R13" s="274" t="n"/>
      <c r="S13" s="274" t="n"/>
      <c r="T13" s="274" t="n"/>
      <c r="U13" s="276" t="n">
        <v>9.77</v>
      </c>
      <c r="V13" s="276" t="n">
        <v>5.9</v>
      </c>
      <c r="W13" s="274" t="n"/>
      <c r="X13" s="274" t="n"/>
      <c r="Y13" s="274" t="n"/>
      <c r="Z13" s="274" t="n"/>
      <c r="AA13" s="274" t="n"/>
      <c r="AB13" s="274" t="n"/>
      <c r="AC13" s="274" t="n"/>
      <c r="AD13" s="274" t="n"/>
      <c r="AE13" s="274" t="n"/>
      <c r="AF13" s="274" t="n"/>
      <c r="AG13" s="274" t="n"/>
      <c r="AH13" s="274" t="n"/>
      <c r="AI13" s="274" t="n"/>
      <c r="AJ13" s="274" t="n"/>
      <c r="AK13" s="274" t="n"/>
    </row>
    <row r="14">
      <c r="A14" s="458" t="inlineStr">
        <is>
          <t>가양동</t>
        </is>
      </c>
      <c r="D14" s="458" t="n">
        <v>1350</v>
      </c>
      <c r="E14" s="277" t="inlineStr">
        <is>
          <t>가양우성</t>
        </is>
      </c>
      <c r="F14" s="458" t="n">
        <v>1990.1</v>
      </c>
      <c r="G14" s="458" t="n">
        <v>414</v>
      </c>
      <c r="H14" s="458">
        <f>2026-INT(F14)+1</f>
        <v/>
      </c>
      <c r="J14" s="458" t="n">
        <v>91</v>
      </c>
      <c r="K14" s="458" t="n">
        <v>75</v>
      </c>
      <c r="L14" s="458" t="n">
        <v>28</v>
      </c>
      <c r="M14" s="458" t="inlineStr">
        <is>
          <t>계단식</t>
        </is>
      </c>
      <c r="N14" s="458" t="n">
        <v>3</v>
      </c>
      <c r="O14" s="458" t="n">
        <v>1</v>
      </c>
      <c r="P14" s="458" t="n">
        <v>54</v>
      </c>
      <c r="U14" s="458" t="n">
        <v>9.300000000000001</v>
      </c>
      <c r="V14" s="458" t="n"/>
    </row>
    <row r="15">
      <c r="A15" s="458" t="inlineStr">
        <is>
          <t>가양동</t>
        </is>
      </c>
      <c r="D15" s="458" t="n">
        <v>1350</v>
      </c>
      <c r="E15" s="277" t="inlineStr">
        <is>
          <t>가양우성</t>
        </is>
      </c>
      <c r="F15" s="458" t="n">
        <v>1990.1</v>
      </c>
      <c r="G15" s="458" t="n">
        <v>414</v>
      </c>
      <c r="H15" s="458">
        <f>2026-INT(F15)+1</f>
        <v/>
      </c>
      <c r="J15" s="458" t="n">
        <v>101</v>
      </c>
      <c r="K15" s="458" t="n">
        <v>84</v>
      </c>
      <c r="L15" s="458" t="n">
        <v>31</v>
      </c>
      <c r="M15" s="458" t="inlineStr">
        <is>
          <t>계단식</t>
        </is>
      </c>
      <c r="N15" s="458" t="n">
        <v>3</v>
      </c>
      <c r="O15" s="458" t="n">
        <v>2</v>
      </c>
      <c r="P15" s="458" t="n">
        <v>360</v>
      </c>
      <c r="U15" s="458" t="n">
        <v>11.4</v>
      </c>
      <c r="V15" s="458" t="n">
        <v>7.8</v>
      </c>
    </row>
    <row r="16">
      <c r="A16" s="274" t="inlineStr">
        <is>
          <t>가양동</t>
        </is>
      </c>
      <c r="B16" s="274" t="n"/>
      <c r="C16" s="274" t="n"/>
      <c r="D16" s="274" t="n">
        <v>1012</v>
      </c>
      <c r="E16" s="275" t="inlineStr">
        <is>
          <t>강나루현대</t>
        </is>
      </c>
      <c r="F16" s="274" t="n">
        <v>1999.03</v>
      </c>
      <c r="G16" s="274" t="n">
        <v>642</v>
      </c>
      <c r="H16" s="274">
        <f>2026-INT(F16)+1</f>
        <v/>
      </c>
      <c r="I16" s="274" t="n"/>
      <c r="J16" s="274" t="n">
        <v>80</v>
      </c>
      <c r="K16" s="274" t="n">
        <v>59</v>
      </c>
      <c r="L16" s="274" t="n">
        <v>24</v>
      </c>
      <c r="M16" s="274" t="inlineStr">
        <is>
          <t>계단식</t>
        </is>
      </c>
      <c r="N16" s="274" t="n">
        <v>3</v>
      </c>
      <c r="O16" s="274" t="n">
        <v>1</v>
      </c>
      <c r="P16" s="274" t="n">
        <v>342</v>
      </c>
      <c r="Q16" s="274" t="n"/>
      <c r="R16" s="274" t="n"/>
      <c r="S16" s="274" t="n"/>
      <c r="T16" s="274" t="n"/>
      <c r="U16" s="274" t="n">
        <v>9.289999999999999</v>
      </c>
      <c r="V16" s="274" t="n">
        <v>6.6</v>
      </c>
      <c r="W16" s="274" t="n"/>
      <c r="X16" s="274" t="n"/>
      <c r="Y16" s="274" t="n"/>
      <c r="Z16" s="274" t="n"/>
      <c r="AA16" s="274" t="n"/>
      <c r="AB16" s="274" t="n"/>
      <c r="AC16" s="274" t="n"/>
      <c r="AD16" s="274" t="n"/>
      <c r="AE16" s="274" t="n"/>
      <c r="AF16" s="274" t="n"/>
      <c r="AG16" s="274" t="n"/>
      <c r="AH16" s="274" t="n"/>
      <c r="AI16" s="274" t="n"/>
      <c r="AJ16" s="274" t="n"/>
      <c r="AK16" s="274" t="n"/>
    </row>
    <row r="17">
      <c r="A17" s="274" t="inlineStr">
        <is>
          <t>가양동</t>
        </is>
      </c>
      <c r="B17" s="274" t="n"/>
      <c r="C17" s="274" t="n"/>
      <c r="D17" s="274" t="n">
        <v>1012</v>
      </c>
      <c r="E17" s="275" t="inlineStr">
        <is>
          <t>강나루현대</t>
        </is>
      </c>
      <c r="F17" s="274" t="n">
        <v>1999.03</v>
      </c>
      <c r="G17" s="274" t="n">
        <v>642</v>
      </c>
      <c r="H17" s="274">
        <f>2026-INT(F17)+1</f>
        <v/>
      </c>
      <c r="I17" s="274" t="n"/>
      <c r="J17" s="274" t="n">
        <v>108</v>
      </c>
      <c r="K17" s="274" t="n">
        <v>84</v>
      </c>
      <c r="L17" s="274" t="n">
        <v>33</v>
      </c>
      <c r="M17" s="274" t="inlineStr">
        <is>
          <t>계단식</t>
        </is>
      </c>
      <c r="N17" s="274" t="n">
        <v>3</v>
      </c>
      <c r="O17" s="274" t="n">
        <v>2</v>
      </c>
      <c r="P17" s="274" t="n">
        <v>300</v>
      </c>
      <c r="Q17" s="274" t="n"/>
      <c r="R17" s="274" t="n"/>
      <c r="S17" s="274" t="n"/>
      <c r="T17" s="274" t="n"/>
      <c r="U17" s="274" t="n">
        <v>12</v>
      </c>
      <c r="V17" s="274" t="n">
        <v>8.5</v>
      </c>
      <c r="W17" s="274" t="n"/>
      <c r="X17" s="274" t="n"/>
      <c r="Y17" s="274" t="n"/>
      <c r="Z17" s="274" t="n"/>
      <c r="AA17" s="274" t="n"/>
      <c r="AB17" s="274" t="n"/>
      <c r="AC17" s="274" t="n"/>
      <c r="AD17" s="274" t="n"/>
      <c r="AE17" s="274" t="n"/>
      <c r="AF17" s="274" t="n"/>
      <c r="AG17" s="274" t="n"/>
      <c r="AH17" s="274" t="n"/>
      <c r="AI17" s="274" t="n"/>
      <c r="AJ17" s="274" t="n"/>
      <c r="AK17" s="274" t="n"/>
    </row>
    <row r="18">
      <c r="A18" s="458" t="inlineStr">
        <is>
          <t>가양동</t>
        </is>
      </c>
      <c r="D18" s="458" t="n">
        <v>1346</v>
      </c>
      <c r="E18" s="277" t="inlineStr">
        <is>
          <t>강변3단지</t>
        </is>
      </c>
      <c r="F18" s="458" t="n">
        <v>1992.12</v>
      </c>
      <c r="G18" s="458" t="n">
        <v>1556</v>
      </c>
      <c r="H18" s="458">
        <f>2026-INT(F18)+1</f>
        <v/>
      </c>
      <c r="J18" s="458" t="n">
        <v>45</v>
      </c>
      <c r="K18" s="458" t="n">
        <v>34</v>
      </c>
      <c r="L18" s="458" t="n">
        <v>14</v>
      </c>
      <c r="M18" s="458" t="inlineStr">
        <is>
          <t>복도식</t>
        </is>
      </c>
      <c r="N18" s="458" t="n">
        <v>2</v>
      </c>
      <c r="O18" s="458" t="n">
        <v>1</v>
      </c>
      <c r="P18" s="458" t="n">
        <v>476</v>
      </c>
      <c r="U18" s="458" t="n">
        <v>6.85</v>
      </c>
      <c r="V18" s="458" t="n">
        <v>4.47</v>
      </c>
    </row>
    <row r="19">
      <c r="A19" s="458" t="inlineStr">
        <is>
          <t>가양동</t>
        </is>
      </c>
      <c r="D19" s="458" t="n">
        <v>1346</v>
      </c>
      <c r="E19" s="277" t="inlineStr">
        <is>
          <t>강변3단지</t>
        </is>
      </c>
      <c r="F19" s="458" t="n">
        <v>1992.12</v>
      </c>
      <c r="G19" s="458" t="n">
        <v>1556</v>
      </c>
      <c r="H19" s="458">
        <f>2026-INT(F19)+1</f>
        <v/>
      </c>
      <c r="J19" s="458" t="n">
        <v>51</v>
      </c>
      <c r="K19" s="458" t="n">
        <v>39</v>
      </c>
      <c r="L19" s="458" t="n">
        <v>15</v>
      </c>
      <c r="M19" s="458" t="inlineStr">
        <is>
          <t>복도식</t>
        </is>
      </c>
      <c r="N19" s="458" t="n">
        <v>2</v>
      </c>
      <c r="O19" s="458" t="n">
        <v>1</v>
      </c>
      <c r="P19" s="458" t="n">
        <v>630</v>
      </c>
      <c r="U19" s="458" t="n">
        <v>8</v>
      </c>
      <c r="V19" s="458" t="n">
        <v>4.8</v>
      </c>
    </row>
    <row r="20">
      <c r="A20" s="458" t="inlineStr">
        <is>
          <t>가양동</t>
        </is>
      </c>
      <c r="D20" s="458" t="n">
        <v>1346</v>
      </c>
      <c r="E20" s="277" t="inlineStr">
        <is>
          <t>강변3단지</t>
        </is>
      </c>
      <c r="F20" s="458" t="n">
        <v>1992.12</v>
      </c>
      <c r="G20" s="458" t="n">
        <v>1556</v>
      </c>
      <c r="H20" s="458">
        <f>2026-INT(F20)+1</f>
        <v/>
      </c>
      <c r="J20" s="458" t="n">
        <v>66</v>
      </c>
      <c r="K20" s="458" t="n">
        <v>49</v>
      </c>
      <c r="L20" s="458" t="n">
        <v>20</v>
      </c>
      <c r="M20" s="458" t="inlineStr">
        <is>
          <t>복도식</t>
        </is>
      </c>
      <c r="N20" s="458" t="n">
        <v>2</v>
      </c>
      <c r="O20" s="458" t="n">
        <v>1</v>
      </c>
      <c r="P20" s="458" t="n">
        <v>450</v>
      </c>
      <c r="U20" s="458" t="n">
        <v>9.6</v>
      </c>
      <c r="V20" s="458" t="n">
        <v>6.1</v>
      </c>
    </row>
    <row r="21">
      <c r="A21" s="276" t="inlineStr">
        <is>
          <t>가양동</t>
        </is>
      </c>
      <c r="B21" s="274" t="n"/>
      <c r="C21" s="274" t="n"/>
      <c r="D21" s="276" t="n">
        <v>103293</v>
      </c>
      <c r="E21" s="275" t="inlineStr">
        <is>
          <t>강서한강자이</t>
        </is>
      </c>
      <c r="F21" s="276" t="n">
        <v>2013.09</v>
      </c>
      <c r="G21" s="276" t="n">
        <v>790</v>
      </c>
      <c r="H21" s="276">
        <f>2026-INT(F21)+1</f>
        <v/>
      </c>
      <c r="I21" s="274" t="n"/>
      <c r="J21" s="276" t="n">
        <v>87</v>
      </c>
      <c r="K21" s="276" t="n">
        <v>59</v>
      </c>
      <c r="L21" s="276" t="n">
        <v>26</v>
      </c>
      <c r="M21" s="276" t="inlineStr">
        <is>
          <t>계단식</t>
        </is>
      </c>
      <c r="N21" s="276" t="n">
        <v>3</v>
      </c>
      <c r="O21" s="276" t="n">
        <v>2</v>
      </c>
      <c r="P21" s="276" t="n">
        <v>136</v>
      </c>
      <c r="Q21" s="274" t="n"/>
      <c r="R21" s="274" t="n"/>
      <c r="S21" s="274" t="n"/>
      <c r="T21" s="274" t="n"/>
      <c r="U21" s="276" t="n">
        <v>11.9</v>
      </c>
      <c r="V21" s="276" t="n">
        <v>10.1</v>
      </c>
      <c r="W21" s="274" t="n"/>
      <c r="X21" s="274" t="n"/>
      <c r="Y21" s="274" t="n"/>
      <c r="Z21" s="274" t="n"/>
      <c r="AA21" s="274" t="n"/>
      <c r="AB21" s="274" t="n"/>
      <c r="AC21" s="274" t="n"/>
      <c r="AD21" s="274" t="n"/>
      <c r="AE21" s="274" t="n"/>
      <c r="AF21" s="274" t="n"/>
      <c r="AG21" s="274" t="n"/>
      <c r="AH21" s="274" t="n"/>
      <c r="AI21" s="274" t="n"/>
      <c r="AJ21" s="274" t="n"/>
      <c r="AK21" s="274" t="n"/>
    </row>
    <row r="22">
      <c r="A22" s="274" t="inlineStr">
        <is>
          <t>가양동</t>
        </is>
      </c>
      <c r="B22" s="274" t="n"/>
      <c r="C22" s="274" t="n"/>
      <c r="D22" s="274" t="n">
        <v>103293</v>
      </c>
      <c r="E22" s="275" t="inlineStr">
        <is>
          <t>강서한강자이</t>
        </is>
      </c>
      <c r="F22" s="274" t="n">
        <v>2013.09</v>
      </c>
      <c r="G22" s="274" t="n">
        <v>790</v>
      </c>
      <c r="H22" s="274">
        <f>2026-INT(F22)+1</f>
        <v/>
      </c>
      <c r="I22" s="274" t="n"/>
      <c r="J22" s="274" t="n">
        <v>112</v>
      </c>
      <c r="K22" s="274" t="n">
        <v>84</v>
      </c>
      <c r="L22" s="274" t="n">
        <v>34</v>
      </c>
      <c r="M22" s="274" t="inlineStr">
        <is>
          <t>계단식</t>
        </is>
      </c>
      <c r="N22" s="274" t="n">
        <v>3</v>
      </c>
      <c r="O22" s="274" t="n">
        <v>2</v>
      </c>
      <c r="P22" s="274" t="n">
        <v>257</v>
      </c>
      <c r="Q22" s="274" t="n"/>
      <c r="R22" s="274" t="n"/>
      <c r="S22" s="274" t="n"/>
      <c r="T22" s="274" t="n"/>
      <c r="U22" s="274" t="n">
        <v>13.6</v>
      </c>
      <c r="V22" s="274" t="n">
        <v>11.05</v>
      </c>
      <c r="W22" s="274" t="n"/>
      <c r="X22" s="274" t="n"/>
      <c r="Y22" s="274" t="n"/>
      <c r="Z22" s="274" t="n"/>
      <c r="AA22" s="274" t="n"/>
      <c r="AB22" s="274" t="n"/>
      <c r="AC22" s="274" t="n"/>
      <c r="AD22" s="274" t="n"/>
      <c r="AE22" s="274" t="n"/>
      <c r="AF22" s="274" t="n"/>
      <c r="AG22" s="274" t="n"/>
      <c r="AH22" s="274" t="n"/>
      <c r="AI22" s="274" t="n"/>
      <c r="AJ22" s="274" t="n"/>
      <c r="AK22" s="274" t="n"/>
    </row>
    <row r="23">
      <c r="A23" s="274" t="inlineStr">
        <is>
          <t>가양동</t>
        </is>
      </c>
      <c r="B23" s="274" t="n"/>
      <c r="C23" s="274" t="n"/>
      <c r="D23" s="274" t="n">
        <v>103293</v>
      </c>
      <c r="E23" s="275" t="inlineStr">
        <is>
          <t>강서한강자이</t>
        </is>
      </c>
      <c r="F23" s="274" t="n">
        <v>2013.09</v>
      </c>
      <c r="G23" s="274" t="n">
        <v>790</v>
      </c>
      <c r="H23" s="274">
        <f>2026-INT(F23)+1</f>
        <v/>
      </c>
      <c r="I23" s="274" t="n"/>
      <c r="J23" s="274" t="n">
        <v>130</v>
      </c>
      <c r="K23" s="274" t="n">
        <v>98</v>
      </c>
      <c r="L23" s="274" t="n">
        <v>39</v>
      </c>
      <c r="M23" s="274" t="inlineStr">
        <is>
          <t>계단식</t>
        </is>
      </c>
      <c r="N23" s="274" t="n">
        <v>3</v>
      </c>
      <c r="O23" s="274" t="n">
        <v>2</v>
      </c>
      <c r="P23" s="274" t="n">
        <v>76</v>
      </c>
      <c r="Q23" s="274" t="n"/>
      <c r="R23" s="274" t="n"/>
      <c r="S23" s="274" t="n"/>
      <c r="T23" s="274" t="n"/>
      <c r="U23" s="274" t="n">
        <v>16.1</v>
      </c>
      <c r="V23" s="274" t="n">
        <v>14.8</v>
      </c>
      <c r="W23" s="274" t="n"/>
      <c r="X23" s="274" t="n"/>
      <c r="Y23" s="274" t="n"/>
      <c r="Z23" s="274" t="n"/>
      <c r="AA23" s="274" t="n"/>
      <c r="AB23" s="274" t="n"/>
      <c r="AC23" s="274" t="n"/>
      <c r="AD23" s="274" t="n"/>
      <c r="AE23" s="274" t="n"/>
      <c r="AF23" s="274" t="n"/>
      <c r="AG23" s="274" t="n"/>
      <c r="AH23" s="274" t="n"/>
      <c r="AI23" s="274" t="n"/>
      <c r="AJ23" s="274" t="n"/>
      <c r="AK23" s="274" t="n"/>
    </row>
    <row r="24">
      <c r="A24" s="274" t="inlineStr">
        <is>
          <t>가양동</t>
        </is>
      </c>
      <c r="B24" s="274" t="n"/>
      <c r="C24" s="274" t="n"/>
      <c r="D24" s="274" t="n">
        <v>103293</v>
      </c>
      <c r="E24" s="275" t="inlineStr">
        <is>
          <t>강서한강자이</t>
        </is>
      </c>
      <c r="F24" s="274" t="n">
        <v>2013.09</v>
      </c>
      <c r="G24" s="274" t="n">
        <v>790</v>
      </c>
      <c r="H24" s="274">
        <f>2026-INT(F24)+1</f>
        <v/>
      </c>
      <c r="I24" s="274" t="n"/>
      <c r="J24" s="274" t="n">
        <v>131</v>
      </c>
      <c r="K24" s="274" t="n">
        <v>102</v>
      </c>
      <c r="L24" s="274" t="n">
        <v>40</v>
      </c>
      <c r="M24" s="274" t="inlineStr">
        <is>
          <t>계단식</t>
        </is>
      </c>
      <c r="N24" s="274" t="n">
        <v>3</v>
      </c>
      <c r="O24" s="274" t="n">
        <v>2</v>
      </c>
      <c r="P24" s="274" t="n">
        <v>38</v>
      </c>
      <c r="Q24" s="274" t="n"/>
      <c r="R24" s="274" t="n"/>
      <c r="S24" s="274" t="n"/>
      <c r="T24" s="274" t="n"/>
      <c r="U24" s="274" t="n">
        <v>14.5</v>
      </c>
      <c r="V24" s="274" t="n">
        <v>13.25</v>
      </c>
      <c r="W24" s="274" t="n"/>
      <c r="X24" s="274" t="n"/>
      <c r="Y24" s="274" t="n"/>
      <c r="Z24" s="274" t="n"/>
      <c r="AA24" s="274" t="n"/>
      <c r="AB24" s="274" t="n"/>
      <c r="AC24" s="274" t="n"/>
      <c r="AD24" s="274" t="n"/>
      <c r="AE24" s="274" t="n"/>
      <c r="AF24" s="274" t="n"/>
      <c r="AG24" s="274" t="n"/>
      <c r="AH24" s="274" t="n"/>
      <c r="AI24" s="274" t="n"/>
      <c r="AJ24" s="274" t="n"/>
      <c r="AK24" s="274" t="n"/>
    </row>
    <row r="25">
      <c r="A25" s="274" t="inlineStr">
        <is>
          <t>가양동</t>
        </is>
      </c>
      <c r="B25" s="274" t="n"/>
      <c r="C25" s="274" t="n"/>
      <c r="D25" s="274" t="n">
        <v>103293</v>
      </c>
      <c r="E25" s="275" t="inlineStr">
        <is>
          <t>강서한강자이</t>
        </is>
      </c>
      <c r="F25" s="274" t="n">
        <v>2013.09</v>
      </c>
      <c r="G25" s="274" t="n">
        <v>790</v>
      </c>
      <c r="H25" s="274">
        <f>2026-INT(F25)+1</f>
        <v/>
      </c>
      <c r="I25" s="274" t="n"/>
      <c r="J25" s="274" t="n">
        <v>156</v>
      </c>
      <c r="K25" s="274" t="n">
        <v>124</v>
      </c>
      <c r="L25" s="274" t="n">
        <v>47</v>
      </c>
      <c r="M25" s="274" t="inlineStr">
        <is>
          <t>계단식</t>
        </is>
      </c>
      <c r="N25" s="274" t="n">
        <v>4</v>
      </c>
      <c r="O25" s="274" t="n">
        <v>2</v>
      </c>
      <c r="P25" s="274" t="n">
        <v>122</v>
      </c>
      <c r="Q25" s="274" t="n"/>
      <c r="R25" s="274" t="n"/>
      <c r="S25" s="274" t="n"/>
      <c r="T25" s="274" t="n"/>
      <c r="U25" s="274" t="n">
        <v>15.8</v>
      </c>
      <c r="V25" s="274" t="n"/>
      <c r="W25" s="274" t="n"/>
      <c r="X25" s="274" t="n"/>
      <c r="Y25" s="274" t="n"/>
      <c r="Z25" s="274" t="n"/>
      <c r="AA25" s="274" t="n"/>
      <c r="AB25" s="274" t="n"/>
      <c r="AC25" s="274" t="n"/>
      <c r="AD25" s="274" t="n"/>
      <c r="AE25" s="274" t="n"/>
      <c r="AF25" s="274" t="n"/>
      <c r="AG25" s="274" t="n"/>
      <c r="AH25" s="274" t="n"/>
      <c r="AI25" s="274" t="n"/>
      <c r="AJ25" s="274" t="n"/>
      <c r="AK25" s="274" t="n"/>
    </row>
    <row r="26">
      <c r="A26" s="276" t="inlineStr">
        <is>
          <t>가양동</t>
        </is>
      </c>
      <c r="B26" s="274" t="n"/>
      <c r="C26" s="274" t="n"/>
      <c r="D26" s="276" t="n">
        <v>103293</v>
      </c>
      <c r="E26" s="275" t="inlineStr">
        <is>
          <t>강서한강자이</t>
        </is>
      </c>
      <c r="F26" s="276" t="n">
        <v>2013.09</v>
      </c>
      <c r="G26" s="276" t="n">
        <v>790</v>
      </c>
      <c r="H26" s="276">
        <f>2026-INT(F26)+1</f>
        <v/>
      </c>
      <c r="I26" s="274" t="n"/>
      <c r="J26" s="276" t="n">
        <v>161</v>
      </c>
      <c r="K26" s="276" t="n">
        <v>127</v>
      </c>
      <c r="L26" s="276" t="n">
        <v>49</v>
      </c>
      <c r="M26" s="276" t="inlineStr">
        <is>
          <t>계단식</t>
        </is>
      </c>
      <c r="N26" s="276" t="n">
        <v>4</v>
      </c>
      <c r="O26" s="276" t="n">
        <v>2</v>
      </c>
      <c r="P26" s="276" t="n">
        <v>60</v>
      </c>
      <c r="Q26" s="274" t="n"/>
      <c r="R26" s="274" t="n"/>
      <c r="S26" s="274" t="n"/>
      <c r="T26" s="274" t="n"/>
      <c r="U26" s="274" t="n"/>
      <c r="V26" s="274" t="n"/>
      <c r="W26" s="274" t="n"/>
      <c r="X26" s="274" t="n"/>
      <c r="Y26" s="274" t="n"/>
      <c r="Z26" s="274" t="n"/>
      <c r="AA26" s="274" t="n"/>
      <c r="AB26" s="274" t="n"/>
      <c r="AC26" s="274" t="n"/>
      <c r="AD26" s="274" t="n"/>
      <c r="AE26" s="274" t="n"/>
      <c r="AF26" s="274" t="n"/>
      <c r="AG26" s="274" t="n"/>
      <c r="AH26" s="274" t="n"/>
      <c r="AI26" s="274" t="n"/>
      <c r="AJ26" s="274" t="n"/>
      <c r="AK26" s="274" t="n"/>
    </row>
    <row r="27">
      <c r="A27" s="276" t="inlineStr">
        <is>
          <t>가양동</t>
        </is>
      </c>
      <c r="B27" s="274" t="n"/>
      <c r="C27" s="274" t="n"/>
      <c r="D27" s="276" t="n">
        <v>103293</v>
      </c>
      <c r="E27" s="275" t="inlineStr">
        <is>
          <t>강서한강자이</t>
        </is>
      </c>
      <c r="F27" s="276" t="n">
        <v>2013.09</v>
      </c>
      <c r="G27" s="276" t="n">
        <v>790</v>
      </c>
      <c r="H27" s="276">
        <f>2026-INT(F27)+1</f>
        <v/>
      </c>
      <c r="I27" s="274" t="n"/>
      <c r="J27" s="276" t="n">
        <v>195</v>
      </c>
      <c r="K27" s="276" t="n">
        <v>154</v>
      </c>
      <c r="L27" s="276" t="n">
        <v>59</v>
      </c>
      <c r="M27" s="276" t="inlineStr">
        <is>
          <t>계단식</t>
        </is>
      </c>
      <c r="N27" s="276" t="n">
        <v>4</v>
      </c>
      <c r="O27" s="276" t="n">
        <v>2</v>
      </c>
      <c r="P27" s="276" t="n">
        <v>20</v>
      </c>
      <c r="Q27" s="274" t="n"/>
      <c r="R27" s="274" t="n"/>
      <c r="S27" s="274" t="n"/>
      <c r="T27" s="274" t="n"/>
      <c r="U27" s="274" t="n">
        <v>18.1</v>
      </c>
      <c r="V27" s="274" t="n"/>
      <c r="W27" s="274" t="n"/>
      <c r="X27" s="274" t="n"/>
      <c r="Y27" s="274" t="n"/>
      <c r="Z27" s="274" t="n"/>
      <c r="AA27" s="274" t="n"/>
      <c r="AB27" s="274" t="n"/>
      <c r="AC27" s="274" t="n"/>
      <c r="AD27" s="274" t="n"/>
      <c r="AE27" s="274" t="n"/>
      <c r="AF27" s="274" t="n"/>
      <c r="AG27" s="274" t="n"/>
      <c r="AH27" s="274" t="n"/>
      <c r="AI27" s="274" t="n"/>
      <c r="AJ27" s="274" t="n"/>
      <c r="AK27" s="274" t="n"/>
    </row>
    <row r="28">
      <c r="A28" s="458" t="inlineStr">
        <is>
          <t>가양동</t>
        </is>
      </c>
      <c r="D28" s="458" t="n">
        <v>1345</v>
      </c>
      <c r="E28" s="277" t="inlineStr">
        <is>
          <t>대림,경동</t>
        </is>
      </c>
      <c r="F28" s="458" t="n">
        <v>1993.09</v>
      </c>
      <c r="G28" s="458" t="n">
        <v>540</v>
      </c>
      <c r="H28" s="458">
        <f>2026-INT(F28)+1</f>
        <v/>
      </c>
      <c r="J28" s="458" t="n">
        <v>154</v>
      </c>
      <c r="K28" s="458" t="n">
        <v>131</v>
      </c>
      <c r="L28" s="458" t="n">
        <v>47</v>
      </c>
      <c r="M28" s="458" t="inlineStr">
        <is>
          <t>계단식</t>
        </is>
      </c>
      <c r="N28" s="458" t="n">
        <v>4</v>
      </c>
      <c r="O28" s="458" t="n">
        <v>2</v>
      </c>
      <c r="P28" s="458" t="n">
        <v>540</v>
      </c>
      <c r="U28" s="458" t="n">
        <v>16.3</v>
      </c>
      <c r="V28" s="458" t="n">
        <v>10.7</v>
      </c>
    </row>
    <row r="29">
      <c r="A29" s="274" t="inlineStr">
        <is>
          <t>가양동</t>
        </is>
      </c>
      <c r="B29" s="274" t="n"/>
      <c r="C29" s="274" t="n"/>
      <c r="D29" s="274" t="n">
        <v>1349</v>
      </c>
      <c r="E29" s="275" t="inlineStr">
        <is>
          <t>동신,대아</t>
        </is>
      </c>
      <c r="F29" s="274" t="n">
        <v>1993.06</v>
      </c>
      <c r="G29" s="274" t="n">
        <v>660</v>
      </c>
      <c r="H29" s="274">
        <f>2026-INT(F29)+1</f>
        <v/>
      </c>
      <c r="I29" s="274" t="n"/>
      <c r="J29" s="274" t="n">
        <v>122</v>
      </c>
      <c r="K29" s="274" t="n">
        <v>101</v>
      </c>
      <c r="L29" s="274" t="n">
        <v>37</v>
      </c>
      <c r="M29" s="274" t="inlineStr">
        <is>
          <t>계단식</t>
        </is>
      </c>
      <c r="N29" s="274" t="n">
        <v>4</v>
      </c>
      <c r="O29" s="274" t="n">
        <v>2</v>
      </c>
      <c r="P29" s="274" t="n">
        <v>180</v>
      </c>
      <c r="Q29" s="274" t="n"/>
      <c r="R29" s="274" t="n"/>
      <c r="S29" s="274" t="n"/>
      <c r="T29" s="274" t="n"/>
      <c r="U29" s="274" t="n">
        <v>13.35</v>
      </c>
      <c r="V29" s="274" t="n"/>
      <c r="W29" s="274" t="n"/>
      <c r="X29" s="274" t="n"/>
      <c r="Y29" s="274" t="n"/>
      <c r="Z29" s="274" t="n"/>
      <c r="AA29" s="274" t="n"/>
      <c r="AB29" s="274" t="n"/>
      <c r="AC29" s="274" t="n"/>
      <c r="AD29" s="274" t="n"/>
      <c r="AE29" s="274" t="n"/>
      <c r="AF29" s="274" t="n"/>
      <c r="AG29" s="274" t="n"/>
      <c r="AH29" s="274" t="n"/>
      <c r="AI29" s="274" t="n"/>
      <c r="AJ29" s="274" t="n"/>
      <c r="AK29" s="274" t="n"/>
    </row>
    <row r="30">
      <c r="A30" s="274" t="inlineStr">
        <is>
          <t>가양동</t>
        </is>
      </c>
      <c r="B30" s="274" t="n"/>
      <c r="C30" s="274" t="n"/>
      <c r="D30" s="274" t="n">
        <v>1349</v>
      </c>
      <c r="E30" s="275" t="inlineStr">
        <is>
          <t>동신,대아</t>
        </is>
      </c>
      <c r="F30" s="274" t="n">
        <v>1993.06</v>
      </c>
      <c r="G30" s="274" t="n">
        <v>660</v>
      </c>
      <c r="H30" s="274">
        <f>2026-INT(F30)+1</f>
        <v/>
      </c>
      <c r="I30" s="274" t="n"/>
      <c r="J30" s="274" t="n">
        <v>158</v>
      </c>
      <c r="K30" s="274" t="n">
        <v>134</v>
      </c>
      <c r="L30" s="274" t="n">
        <v>48</v>
      </c>
      <c r="M30" s="274" t="inlineStr">
        <is>
          <t>계단식</t>
        </is>
      </c>
      <c r="N30" s="274" t="n">
        <v>4</v>
      </c>
      <c r="O30" s="274" t="n">
        <v>2</v>
      </c>
      <c r="P30" s="274" t="n">
        <v>360</v>
      </c>
      <c r="Q30" s="274" t="n"/>
      <c r="R30" s="274" t="n"/>
      <c r="S30" s="274" t="n"/>
      <c r="T30" s="274" t="n"/>
      <c r="U30" s="274" t="n">
        <v>16.5</v>
      </c>
      <c r="V30" s="274" t="n">
        <v>13</v>
      </c>
      <c r="W30" s="274" t="n"/>
      <c r="X30" s="274" t="n"/>
      <c r="Y30" s="274" t="n"/>
      <c r="Z30" s="274" t="n"/>
      <c r="AA30" s="274" t="n"/>
      <c r="AB30" s="274" t="n"/>
      <c r="AC30" s="274" t="n"/>
      <c r="AD30" s="274" t="n"/>
      <c r="AE30" s="274" t="n"/>
      <c r="AF30" s="274" t="n"/>
      <c r="AG30" s="274" t="n"/>
      <c r="AH30" s="274" t="n"/>
      <c r="AI30" s="274" t="n"/>
      <c r="AJ30" s="274" t="n"/>
      <c r="AK30" s="274" t="n"/>
    </row>
    <row r="31">
      <c r="A31" s="276" t="inlineStr">
        <is>
          <t>가양동</t>
        </is>
      </c>
      <c r="B31" s="274" t="n"/>
      <c r="C31" s="274" t="n"/>
      <c r="D31" s="276" t="n">
        <v>1349</v>
      </c>
      <c r="E31" s="275" t="inlineStr">
        <is>
          <t>동신,대아</t>
        </is>
      </c>
      <c r="F31" s="276" t="n">
        <v>1993.06</v>
      </c>
      <c r="G31" s="276" t="n">
        <v>660</v>
      </c>
      <c r="H31" s="276">
        <f>2026-INT(F31)+1</f>
        <v/>
      </c>
      <c r="I31" s="274" t="n"/>
      <c r="J31" s="276" t="n">
        <v>192</v>
      </c>
      <c r="K31" s="276" t="n">
        <v>164</v>
      </c>
      <c r="L31" s="276" t="n">
        <v>58</v>
      </c>
      <c r="M31" s="276" t="inlineStr">
        <is>
          <t>계단식</t>
        </is>
      </c>
      <c r="N31" s="276" t="n">
        <v>5</v>
      </c>
      <c r="O31" s="276" t="n">
        <v>2</v>
      </c>
      <c r="P31" s="276" t="n">
        <v>120</v>
      </c>
      <c r="Q31" s="274" t="n"/>
      <c r="R31" s="274" t="n"/>
      <c r="S31" s="274" t="n"/>
      <c r="T31" s="274" t="n"/>
      <c r="U31" s="276" t="n">
        <v>15.7</v>
      </c>
      <c r="V31" s="276" t="n">
        <v>11</v>
      </c>
      <c r="W31" s="274" t="n"/>
      <c r="X31" s="274" t="n"/>
      <c r="Y31" s="274" t="n"/>
      <c r="Z31" s="274" t="n"/>
      <c r="AA31" s="274" t="n"/>
      <c r="AB31" s="274" t="n"/>
      <c r="AC31" s="274" t="n"/>
      <c r="AD31" s="274" t="n"/>
      <c r="AE31" s="274" t="n"/>
      <c r="AF31" s="274" t="n"/>
      <c r="AG31" s="274" t="n"/>
      <c r="AH31" s="274" t="n"/>
      <c r="AI31" s="274" t="n"/>
      <c r="AJ31" s="274" t="n"/>
      <c r="AK31" s="274" t="n"/>
    </row>
    <row r="32">
      <c r="A32" s="458" t="inlineStr">
        <is>
          <t>가양동</t>
        </is>
      </c>
      <c r="D32" s="458" t="n">
        <v>1351</v>
      </c>
      <c r="E32" s="277" t="inlineStr">
        <is>
          <t>한강타운</t>
        </is>
      </c>
      <c r="F32" s="458" t="n">
        <v>1993.06</v>
      </c>
      <c r="G32" s="458" t="n">
        <v>990</v>
      </c>
      <c r="H32" s="458">
        <f>2026-INT(F32)+1</f>
        <v/>
      </c>
      <c r="J32" s="458" t="n">
        <v>103</v>
      </c>
      <c r="K32" s="458" t="n">
        <v>84</v>
      </c>
      <c r="L32" s="458" t="n">
        <v>31</v>
      </c>
      <c r="M32" s="458" t="inlineStr">
        <is>
          <t>계단식</t>
        </is>
      </c>
      <c r="N32" s="458" t="n">
        <v>3</v>
      </c>
      <c r="O32" s="458" t="n">
        <v>2</v>
      </c>
      <c r="P32" s="458" t="n">
        <v>990</v>
      </c>
      <c r="U32" s="458" t="n">
        <v>13.72</v>
      </c>
      <c r="V32" s="458" t="n">
        <v>9</v>
      </c>
    </row>
    <row r="33">
      <c r="A33" s="276" t="inlineStr">
        <is>
          <t>가양동</t>
        </is>
      </c>
      <c r="B33" s="274" t="n"/>
      <c r="C33" s="274" t="n"/>
      <c r="D33" s="276" t="n">
        <v>1309</v>
      </c>
      <c r="E33" s="275" t="inlineStr">
        <is>
          <t>한보구암마을</t>
        </is>
      </c>
      <c r="F33" s="276" t="n">
        <v>1999.02</v>
      </c>
      <c r="G33" s="276" t="n">
        <v>359</v>
      </c>
      <c r="H33" s="276">
        <f>2026-INT(F33)+1</f>
        <v/>
      </c>
      <c r="I33" s="274" t="n"/>
      <c r="J33" s="276" t="n">
        <v>74</v>
      </c>
      <c r="K33" s="276" t="n">
        <v>59</v>
      </c>
      <c r="L33" s="276" t="n">
        <v>22</v>
      </c>
      <c r="M33" s="276" t="inlineStr">
        <is>
          <t>계단식</t>
        </is>
      </c>
      <c r="N33" s="276" t="n">
        <v>3</v>
      </c>
      <c r="O33" s="276" t="n">
        <v>1</v>
      </c>
      <c r="P33" s="276" t="n">
        <v>181</v>
      </c>
      <c r="Q33" s="274" t="n"/>
      <c r="R33" s="274" t="n"/>
      <c r="S33" s="274" t="n"/>
      <c r="T33" s="274" t="n"/>
      <c r="U33" s="276" t="n">
        <v>8.199999999999999</v>
      </c>
      <c r="V33" s="276" t="n">
        <v>6</v>
      </c>
      <c r="W33" s="274" t="n"/>
      <c r="X33" s="274" t="n"/>
      <c r="Y33" s="274" t="n"/>
      <c r="Z33" s="274" t="n"/>
      <c r="AA33" s="274" t="n"/>
      <c r="AB33" s="274" t="n"/>
      <c r="AC33" s="274" t="n"/>
      <c r="AD33" s="274" t="n"/>
      <c r="AE33" s="274" t="n"/>
      <c r="AF33" s="274" t="n"/>
      <c r="AG33" s="274" t="n"/>
      <c r="AH33" s="274" t="n"/>
      <c r="AI33" s="274" t="n"/>
      <c r="AJ33" s="274" t="n"/>
      <c r="AK33" s="274" t="n"/>
    </row>
    <row r="34">
      <c r="A34" s="274" t="inlineStr">
        <is>
          <t>가양동</t>
        </is>
      </c>
      <c r="B34" s="274" t="n"/>
      <c r="C34" s="274" t="n"/>
      <c r="D34" s="274" t="n">
        <v>1309</v>
      </c>
      <c r="E34" s="275" t="inlineStr">
        <is>
          <t>한보구암마을</t>
        </is>
      </c>
      <c r="F34" s="274" t="n">
        <v>1999.02</v>
      </c>
      <c r="G34" s="274" t="n">
        <v>359</v>
      </c>
      <c r="H34" s="274">
        <f>2026-INT(F34)+1</f>
        <v/>
      </c>
      <c r="I34" s="274" t="n"/>
      <c r="J34" s="274" t="n">
        <v>106</v>
      </c>
      <c r="K34" s="274" t="n">
        <v>84</v>
      </c>
      <c r="L34" s="274" t="n">
        <v>32</v>
      </c>
      <c r="M34" s="274" t="inlineStr">
        <is>
          <t>계단식</t>
        </is>
      </c>
      <c r="N34" s="274" t="n">
        <v>3</v>
      </c>
      <c r="O34" s="274" t="n">
        <v>2</v>
      </c>
      <c r="P34" s="274" t="n">
        <v>178</v>
      </c>
      <c r="Q34" s="274" t="n"/>
      <c r="R34" s="274" t="n"/>
      <c r="S34" s="274" t="n"/>
      <c r="T34" s="274" t="n"/>
      <c r="U34" s="274" t="n">
        <v>8.5</v>
      </c>
      <c r="V34" s="274" t="n">
        <v>5.98</v>
      </c>
      <c r="W34" s="274" t="n"/>
      <c r="X34" s="274" t="n"/>
      <c r="Y34" s="274" t="n"/>
      <c r="Z34" s="274" t="n"/>
      <c r="AA34" s="274" t="n"/>
      <c r="AB34" s="274" t="n"/>
      <c r="AC34" s="274" t="n"/>
      <c r="AD34" s="274" t="n"/>
      <c r="AE34" s="274" t="n"/>
      <c r="AF34" s="274" t="n"/>
      <c r="AG34" s="274" t="n"/>
      <c r="AH34" s="274" t="n"/>
      <c r="AI34" s="274" t="n"/>
      <c r="AJ34" s="274" t="n"/>
      <c r="AK34" s="274" t="n"/>
    </row>
    <row r="35">
      <c r="A35" s="458" t="inlineStr">
        <is>
          <t>공항동</t>
        </is>
      </c>
      <c r="D35" s="458" t="n">
        <v>27329</v>
      </c>
      <c r="E35" s="277" t="inlineStr">
        <is>
          <t>강서센트레빌4차</t>
        </is>
      </c>
      <c r="F35" s="458" t="n">
        <v>2009.11</v>
      </c>
      <c r="G35" s="458" t="n">
        <v>215</v>
      </c>
      <c r="H35" s="458">
        <f>2026-INT(F35)+1</f>
        <v/>
      </c>
      <c r="J35" s="458" t="n">
        <v>75</v>
      </c>
      <c r="K35" s="458" t="n">
        <v>59</v>
      </c>
      <c r="L35" s="458" t="n">
        <v>23</v>
      </c>
      <c r="M35" s="458" t="inlineStr">
        <is>
          <t>계단식</t>
        </is>
      </c>
      <c r="N35" s="458" t="n">
        <v>3</v>
      </c>
      <c r="O35" s="458" t="n">
        <v>2</v>
      </c>
      <c r="P35" s="458" t="n">
        <v>39</v>
      </c>
      <c r="U35" s="458" t="n">
        <v>8.5</v>
      </c>
    </row>
    <row r="36">
      <c r="A36" s="458" t="inlineStr">
        <is>
          <t>공항동</t>
        </is>
      </c>
      <c r="D36" s="458" t="n">
        <v>27329</v>
      </c>
      <c r="E36" s="277" t="inlineStr">
        <is>
          <t>강서센트레빌4차</t>
        </is>
      </c>
      <c r="F36" s="458" t="n">
        <v>2009.11</v>
      </c>
      <c r="G36" s="458" t="n">
        <v>215</v>
      </c>
      <c r="H36" s="458">
        <f>2026-INT(F36)+1</f>
        <v/>
      </c>
      <c r="J36" s="458" t="n">
        <v>97</v>
      </c>
      <c r="K36" s="458" t="n">
        <v>77</v>
      </c>
      <c r="L36" s="458" t="n">
        <v>29</v>
      </c>
      <c r="M36" s="458" t="inlineStr">
        <is>
          <t>계단식</t>
        </is>
      </c>
      <c r="N36" s="458" t="n">
        <v>3</v>
      </c>
      <c r="O36" s="458" t="n">
        <v>2</v>
      </c>
      <c r="P36" s="458" t="n">
        <v>2</v>
      </c>
      <c r="U36" s="458" t="n"/>
      <c r="V36" s="458" t="n"/>
    </row>
    <row r="37">
      <c r="A37" s="458" t="inlineStr">
        <is>
          <t>공항동</t>
        </is>
      </c>
      <c r="D37" s="458" t="n">
        <v>27329</v>
      </c>
      <c r="E37" s="277" t="inlineStr">
        <is>
          <t>강서센트레빌4차</t>
        </is>
      </c>
      <c r="F37" s="458" t="n">
        <v>2009.11</v>
      </c>
      <c r="G37" s="458" t="n">
        <v>215</v>
      </c>
      <c r="H37" s="458">
        <f>2026-INT(F37)+1</f>
        <v/>
      </c>
      <c r="J37" s="458" t="n">
        <v>106</v>
      </c>
      <c r="K37" s="458" t="n">
        <v>84</v>
      </c>
      <c r="L37" s="458" t="n">
        <v>32</v>
      </c>
      <c r="M37" s="458" t="inlineStr">
        <is>
          <t>계단식</t>
        </is>
      </c>
      <c r="N37" s="458" t="n">
        <v>3</v>
      </c>
      <c r="O37" s="458" t="n">
        <v>2</v>
      </c>
      <c r="P37" s="458" t="n">
        <v>123</v>
      </c>
      <c r="U37" s="458" t="n">
        <v>9.529999999999999</v>
      </c>
      <c r="V37" s="458" t="n">
        <v>8.699999999999999</v>
      </c>
    </row>
    <row r="38">
      <c r="A38" s="458" t="inlineStr">
        <is>
          <t>공항동</t>
        </is>
      </c>
      <c r="D38" s="458" t="n">
        <v>27329</v>
      </c>
      <c r="E38" s="277" t="inlineStr">
        <is>
          <t>강서센트레빌4차</t>
        </is>
      </c>
      <c r="F38" s="458" t="n">
        <v>2009.11</v>
      </c>
      <c r="G38" s="458" t="n">
        <v>215</v>
      </c>
      <c r="H38" s="458">
        <f>2026-INT(F38)+1</f>
        <v/>
      </c>
      <c r="J38" s="458" t="n">
        <v>146</v>
      </c>
      <c r="K38" s="458" t="n">
        <v>118</v>
      </c>
      <c r="L38" s="458" t="n">
        <v>44</v>
      </c>
      <c r="M38" s="458" t="inlineStr">
        <is>
          <t>계단식</t>
        </is>
      </c>
      <c r="N38" s="458" t="n">
        <v>4</v>
      </c>
      <c r="O38" s="458" t="n">
        <v>2</v>
      </c>
      <c r="P38" s="458" t="n">
        <v>30</v>
      </c>
      <c r="U38" s="458" t="n">
        <v>8.699999999999999</v>
      </c>
      <c r="V38" s="458" t="n">
        <v>8.75</v>
      </c>
    </row>
    <row r="39">
      <c r="A39" s="276" t="inlineStr">
        <is>
          <t>내발산동</t>
        </is>
      </c>
      <c r="B39" s="274" t="n"/>
      <c r="C39" s="274" t="n"/>
      <c r="D39" s="276" t="n">
        <v>25967</v>
      </c>
      <c r="E39" s="275" t="inlineStr">
        <is>
          <t>마곡수명산파크1단지</t>
        </is>
      </c>
      <c r="F39" s="276" t="n">
        <v>2007.11</v>
      </c>
      <c r="G39" s="276" t="n">
        <v>1421</v>
      </c>
      <c r="H39" s="276">
        <f>2026-INT(F39)+1</f>
        <v/>
      </c>
      <c r="I39" s="274" t="n"/>
      <c r="J39" s="276" t="n">
        <v>107</v>
      </c>
      <c r="K39" s="276" t="n">
        <v>84</v>
      </c>
      <c r="L39" s="276" t="n">
        <v>32</v>
      </c>
      <c r="M39" s="276" t="inlineStr">
        <is>
          <t>계단식</t>
        </is>
      </c>
      <c r="N39" s="276" t="n">
        <v>3</v>
      </c>
      <c r="O39" s="276" t="n">
        <v>2</v>
      </c>
      <c r="P39" s="276" t="n">
        <v>580</v>
      </c>
      <c r="Q39" s="274" t="n"/>
      <c r="R39" s="274" t="n"/>
      <c r="S39" s="274" t="n"/>
      <c r="T39" s="274" t="n"/>
      <c r="U39" s="274" t="n">
        <v>13</v>
      </c>
      <c r="V39" s="274" t="n">
        <v>6.15</v>
      </c>
      <c r="W39" s="274" t="n"/>
      <c r="X39" s="274" t="n"/>
      <c r="Y39" s="274" t="n"/>
      <c r="Z39" s="274" t="n"/>
      <c r="AA39" s="274" t="n"/>
      <c r="AB39" s="274" t="n"/>
      <c r="AC39" s="274" t="n"/>
      <c r="AD39" s="274" t="n"/>
      <c r="AE39" s="274" t="n"/>
      <c r="AF39" s="274" t="n"/>
      <c r="AG39" s="274" t="n"/>
      <c r="AH39" s="274" t="n"/>
      <c r="AI39" s="274" t="n"/>
      <c r="AJ39" s="274" t="n"/>
      <c r="AK39" s="274" t="n"/>
    </row>
    <row r="40">
      <c r="A40" s="458" t="inlineStr">
        <is>
          <t>내발산동</t>
        </is>
      </c>
      <c r="D40" s="458" t="n">
        <v>25922</v>
      </c>
      <c r="E40" s="277" t="inlineStr">
        <is>
          <t>마곡수명산파크2단지</t>
        </is>
      </c>
      <c r="F40" s="458" t="n">
        <v>2007.07</v>
      </c>
      <c r="G40" s="458" t="n">
        <v>629</v>
      </c>
      <c r="H40" s="458">
        <f>2026-INT(F40)+1</f>
        <v/>
      </c>
      <c r="J40" s="458" t="n">
        <v>108</v>
      </c>
      <c r="K40" s="458" t="n">
        <v>84</v>
      </c>
      <c r="L40" s="458" t="n">
        <v>33</v>
      </c>
      <c r="M40" s="458" t="inlineStr">
        <is>
          <t>계단식</t>
        </is>
      </c>
      <c r="N40" s="458" t="n">
        <v>3</v>
      </c>
      <c r="O40" s="458" t="n">
        <v>2</v>
      </c>
      <c r="P40" s="458" t="n">
        <v>357</v>
      </c>
      <c r="U40" s="458" t="n">
        <v>12.8</v>
      </c>
      <c r="V40" s="458" t="n">
        <v>8.4</v>
      </c>
    </row>
    <row r="41">
      <c r="A41" s="274" t="inlineStr">
        <is>
          <t>내발산동</t>
        </is>
      </c>
      <c r="B41" s="274" t="n"/>
      <c r="C41" s="274" t="n"/>
      <c r="D41" s="274" t="n">
        <v>25968</v>
      </c>
      <c r="E41" s="275" t="inlineStr">
        <is>
          <t>마곡수명산파크3단지</t>
        </is>
      </c>
      <c r="F41" s="274" t="n">
        <v>2007.09</v>
      </c>
      <c r="G41" s="274" t="n">
        <v>518</v>
      </c>
      <c r="H41" s="274">
        <f>2026-INT(F41)+1</f>
        <v/>
      </c>
      <c r="I41" s="274" t="n"/>
      <c r="J41" s="274" t="n">
        <v>108</v>
      </c>
      <c r="K41" s="274" t="n">
        <v>84</v>
      </c>
      <c r="L41" s="274" t="n">
        <v>33</v>
      </c>
      <c r="M41" s="274" t="inlineStr">
        <is>
          <t>계단식</t>
        </is>
      </c>
      <c r="N41" s="274" t="n">
        <v>3</v>
      </c>
      <c r="O41" s="274" t="n">
        <v>2</v>
      </c>
      <c r="P41" s="274" t="n">
        <v>237</v>
      </c>
      <c r="Q41" s="274" t="n"/>
      <c r="R41" s="274" t="n"/>
      <c r="S41" s="274" t="n"/>
      <c r="T41" s="274" t="n"/>
      <c r="U41" s="274" t="n">
        <v>12.9</v>
      </c>
      <c r="V41" s="274" t="n">
        <v>6.5</v>
      </c>
      <c r="W41" s="274" t="n"/>
      <c r="X41" s="274" t="n"/>
      <c r="Y41" s="274" t="n"/>
      <c r="Z41" s="274" t="n"/>
      <c r="AA41" s="274" t="n"/>
      <c r="AB41" s="274" t="n"/>
      <c r="AC41" s="274" t="n"/>
      <c r="AD41" s="274" t="n"/>
      <c r="AE41" s="274" t="n"/>
      <c r="AF41" s="274" t="n"/>
      <c r="AG41" s="274" t="n"/>
      <c r="AH41" s="274" t="n"/>
      <c r="AI41" s="274" t="n"/>
      <c r="AJ41" s="274" t="n"/>
      <c r="AK41" s="274" t="n"/>
    </row>
    <row r="42">
      <c r="A42" s="458" t="inlineStr">
        <is>
          <t>내발산동</t>
        </is>
      </c>
      <c r="D42" s="458" t="n">
        <v>26123</v>
      </c>
      <c r="E42" s="277" t="inlineStr">
        <is>
          <t>마곡수명산파크4단지</t>
        </is>
      </c>
      <c r="F42" s="458" t="n">
        <v>2008.02</v>
      </c>
      <c r="G42" s="458" t="n">
        <v>919</v>
      </c>
      <c r="H42" s="458">
        <f>2026-INT(F42)+1</f>
        <v/>
      </c>
      <c r="J42" s="458" t="n">
        <v>79</v>
      </c>
      <c r="K42" s="458" t="n">
        <v>59</v>
      </c>
      <c r="L42" s="458" t="n">
        <v>24</v>
      </c>
      <c r="M42" s="458" t="inlineStr">
        <is>
          <t>계단식</t>
        </is>
      </c>
      <c r="N42" s="458" t="n">
        <v>3</v>
      </c>
      <c r="O42" s="458" t="n">
        <v>2</v>
      </c>
      <c r="P42" s="458" t="n">
        <v>383</v>
      </c>
      <c r="U42" s="458" t="n">
        <v>9.4</v>
      </c>
      <c r="V42" s="458" t="n">
        <v>6.8</v>
      </c>
    </row>
    <row r="43">
      <c r="A43" s="458" t="inlineStr">
        <is>
          <t>내발산동</t>
        </is>
      </c>
      <c r="D43" s="458" t="n">
        <v>26123</v>
      </c>
      <c r="E43" s="277" t="inlineStr">
        <is>
          <t>마곡수명산파크4단지</t>
        </is>
      </c>
      <c r="F43" s="458" t="n">
        <v>2008.02</v>
      </c>
      <c r="G43" s="458" t="n">
        <v>919</v>
      </c>
      <c r="H43" s="458">
        <f>2026-INT(F43)+1</f>
        <v/>
      </c>
      <c r="J43" s="458" t="n">
        <v>111</v>
      </c>
      <c r="K43" s="458" t="n">
        <v>84</v>
      </c>
      <c r="L43" s="458" t="n">
        <v>34</v>
      </c>
      <c r="M43" s="458" t="inlineStr">
        <is>
          <t>계단식</t>
        </is>
      </c>
      <c r="N43" s="458" t="n">
        <v>3</v>
      </c>
      <c r="O43" s="458" t="n">
        <v>2</v>
      </c>
      <c r="P43" s="458" t="n">
        <v>247</v>
      </c>
      <c r="U43" s="458" t="n">
        <v>12</v>
      </c>
      <c r="V43" s="458" t="n">
        <v>7.4</v>
      </c>
    </row>
    <row r="44">
      <c r="A44" s="276" t="inlineStr">
        <is>
          <t>내발산동</t>
        </is>
      </c>
      <c r="B44" s="274" t="n"/>
      <c r="C44" s="274" t="n"/>
      <c r="D44" s="276" t="n">
        <v>26124</v>
      </c>
      <c r="E44" s="275" t="inlineStr">
        <is>
          <t>마곡수명산파크5단지</t>
        </is>
      </c>
      <c r="F44" s="276" t="n">
        <v>2008.06</v>
      </c>
      <c r="G44" s="276" t="n">
        <v>948</v>
      </c>
      <c r="H44" s="276">
        <f>2026-INT(F44)+1</f>
        <v/>
      </c>
      <c r="I44" s="274" t="n"/>
      <c r="J44" s="276" t="n">
        <v>80</v>
      </c>
      <c r="K44" s="276" t="n">
        <v>59</v>
      </c>
      <c r="L44" s="276" t="n">
        <v>24</v>
      </c>
      <c r="M44" s="276" t="inlineStr">
        <is>
          <t>계단식</t>
        </is>
      </c>
      <c r="N44" s="276" t="n">
        <v>3</v>
      </c>
      <c r="O44" s="276" t="n">
        <v>2</v>
      </c>
      <c r="P44" s="276" t="n">
        <v>458</v>
      </c>
      <c r="Q44" s="274" t="n"/>
      <c r="R44" s="274" t="n"/>
      <c r="S44" s="274" t="n"/>
      <c r="T44" s="274" t="n"/>
      <c r="U44" s="276" t="n">
        <v>10.99</v>
      </c>
      <c r="V44" s="276" t="n">
        <v>6.9</v>
      </c>
      <c r="W44" s="274" t="n"/>
      <c r="X44" s="274" t="n"/>
      <c r="Y44" s="274" t="n"/>
      <c r="Z44" s="274" t="n"/>
      <c r="AA44" s="274" t="n"/>
      <c r="AB44" s="274" t="n"/>
      <c r="AC44" s="274" t="n"/>
      <c r="AD44" s="274" t="n"/>
      <c r="AE44" s="274" t="n"/>
      <c r="AF44" s="274" t="n"/>
      <c r="AG44" s="274" t="n"/>
      <c r="AH44" s="274" t="n"/>
      <c r="AI44" s="274" t="n"/>
      <c r="AJ44" s="274" t="n"/>
      <c r="AK44" s="274" t="n"/>
    </row>
    <row r="45">
      <c r="A45" s="458" t="inlineStr">
        <is>
          <t>내발산동</t>
        </is>
      </c>
      <c r="D45" s="458" t="n">
        <v>25969</v>
      </c>
      <c r="E45" s="277" t="inlineStr">
        <is>
          <t>마곡수명산파크6단지</t>
        </is>
      </c>
      <c r="F45" s="458" t="n">
        <v>2007.1</v>
      </c>
      <c r="G45" s="458" t="n">
        <v>399</v>
      </c>
      <c r="H45" s="458">
        <f>2026-INT(F45)+1</f>
        <v/>
      </c>
      <c r="J45" s="458" t="n">
        <v>107</v>
      </c>
      <c r="K45" s="458" t="n">
        <v>84</v>
      </c>
      <c r="L45" s="458" t="n">
        <v>32</v>
      </c>
      <c r="M45" s="458" t="inlineStr">
        <is>
          <t>계단식</t>
        </is>
      </c>
      <c r="N45" s="458" t="n">
        <v>3</v>
      </c>
      <c r="O45" s="458" t="n">
        <v>2</v>
      </c>
      <c r="P45" s="458" t="n">
        <v>38</v>
      </c>
      <c r="U45" s="458" t="n">
        <v>11.8</v>
      </c>
      <c r="V45" s="458" t="n">
        <v>7.6</v>
      </c>
    </row>
    <row r="46">
      <c r="A46" s="458" t="inlineStr">
        <is>
          <t>내발산동</t>
        </is>
      </c>
      <c r="D46" s="458" t="n">
        <v>25969</v>
      </c>
      <c r="E46" s="277" t="inlineStr">
        <is>
          <t>마곡수명산파크6단지</t>
        </is>
      </c>
      <c r="F46" s="458" t="n">
        <v>2007.1</v>
      </c>
      <c r="G46" s="458" t="n">
        <v>399</v>
      </c>
      <c r="H46" s="458">
        <f>2026-INT(F46)+1</f>
        <v/>
      </c>
      <c r="J46" s="458" t="n">
        <v>108</v>
      </c>
      <c r="K46" s="458" t="n">
        <v>84</v>
      </c>
      <c r="L46" s="458" t="n">
        <v>33</v>
      </c>
      <c r="M46" s="458" t="inlineStr">
        <is>
          <t>복도식</t>
        </is>
      </c>
      <c r="N46" s="458" t="n">
        <v>3</v>
      </c>
      <c r="O46" s="458" t="n">
        <v>2</v>
      </c>
      <c r="P46" s="458" t="n">
        <v>124</v>
      </c>
      <c r="U46" s="458" t="n">
        <v>11.8</v>
      </c>
      <c r="V46" s="458" t="n">
        <v>7.6</v>
      </c>
    </row>
    <row r="47">
      <c r="A47" s="274" t="inlineStr">
        <is>
          <t>내발산동</t>
        </is>
      </c>
      <c r="B47" s="274" t="n"/>
      <c r="C47" s="274" t="n"/>
      <c r="D47" s="274" t="n">
        <v>26128</v>
      </c>
      <c r="E47" s="275" t="inlineStr">
        <is>
          <t>마곡수명산파크7단지</t>
        </is>
      </c>
      <c r="F47" s="274" t="n">
        <v>2008.1</v>
      </c>
      <c r="G47" s="274" t="n">
        <v>643</v>
      </c>
      <c r="H47" s="274">
        <f>2026-INT(F47)+1</f>
        <v/>
      </c>
      <c r="I47" s="274" t="n"/>
      <c r="J47" s="274" t="n">
        <v>109</v>
      </c>
      <c r="K47" s="274" t="n">
        <v>84</v>
      </c>
      <c r="L47" s="274" t="n">
        <v>33</v>
      </c>
      <c r="M47" s="274" t="inlineStr">
        <is>
          <t>계단식</t>
        </is>
      </c>
      <c r="N47" s="274" t="n">
        <v>3</v>
      </c>
      <c r="O47" s="274" t="n">
        <v>2</v>
      </c>
      <c r="P47" s="274" t="n">
        <v>248</v>
      </c>
      <c r="Q47" s="274" t="n"/>
      <c r="R47" s="274" t="n"/>
      <c r="S47" s="274" t="n"/>
      <c r="T47" s="274" t="n"/>
      <c r="U47" s="274" t="n">
        <v>9.9</v>
      </c>
      <c r="V47" s="274" t="n">
        <v>7</v>
      </c>
      <c r="W47" s="274" t="n"/>
      <c r="X47" s="274" t="n"/>
      <c r="Y47" s="274" t="n"/>
      <c r="Z47" s="274" t="n"/>
      <c r="AA47" s="274" t="n"/>
      <c r="AB47" s="274" t="n"/>
      <c r="AC47" s="274" t="n"/>
      <c r="AD47" s="274" t="n"/>
      <c r="AE47" s="274" t="n"/>
      <c r="AF47" s="274" t="n"/>
      <c r="AG47" s="274" t="n"/>
      <c r="AH47" s="274" t="n"/>
      <c r="AI47" s="274" t="n"/>
      <c r="AJ47" s="274" t="n"/>
      <c r="AK47" s="274" t="n"/>
    </row>
    <row r="48">
      <c r="A48" s="458" t="inlineStr">
        <is>
          <t>내발산동</t>
        </is>
      </c>
      <c r="D48" s="458" t="n">
        <v>182637</v>
      </c>
      <c r="E48" s="277" t="inlineStr">
        <is>
          <t>센터스퀘어발산</t>
        </is>
      </c>
      <c r="F48" s="458" t="n">
        <v>2025.03</v>
      </c>
      <c r="G48" s="458" t="n">
        <v>716</v>
      </c>
      <c r="H48" s="458">
        <f>2026-INT(F48)+1</f>
        <v/>
      </c>
      <c r="J48" s="458" t="n">
        <v>29</v>
      </c>
      <c r="K48" s="458" t="n">
        <v>19</v>
      </c>
      <c r="L48" s="458" t="n">
        <v>9</v>
      </c>
      <c r="M48" s="458" t="inlineStr">
        <is>
          <t>계단식</t>
        </is>
      </c>
      <c r="N48" s="458" t="n">
        <v>1</v>
      </c>
      <c r="O48" s="458" t="n">
        <v>1</v>
      </c>
      <c r="P48" s="458" t="n">
        <v>192</v>
      </c>
    </row>
    <row r="49">
      <c r="A49" s="458" t="inlineStr">
        <is>
          <t>내발산동</t>
        </is>
      </c>
      <c r="D49" s="458" t="n">
        <v>182637</v>
      </c>
      <c r="E49" s="277" t="inlineStr">
        <is>
          <t>센터스퀘어발산</t>
        </is>
      </c>
      <c r="F49" s="458" t="n">
        <v>2025.03</v>
      </c>
      <c r="G49" s="458" t="n">
        <v>716</v>
      </c>
      <c r="H49" s="458">
        <f>2026-INT(F49)+1</f>
        <v/>
      </c>
      <c r="J49" s="458" t="n">
        <v>33</v>
      </c>
      <c r="K49" s="458" t="n">
        <v>22</v>
      </c>
      <c r="L49" s="458" t="n">
        <v>10</v>
      </c>
      <c r="M49" s="458" t="inlineStr">
        <is>
          <t>계단식</t>
        </is>
      </c>
      <c r="N49" s="458" t="n">
        <v>1</v>
      </c>
      <c r="O49" s="458" t="n">
        <v>1</v>
      </c>
      <c r="P49" s="458" t="n">
        <v>45</v>
      </c>
    </row>
    <row r="50">
      <c r="A50" s="458" t="inlineStr">
        <is>
          <t>내발산동</t>
        </is>
      </c>
      <c r="D50" s="458" t="n">
        <v>182637</v>
      </c>
      <c r="E50" s="277" t="inlineStr">
        <is>
          <t>센터스퀘어발산</t>
        </is>
      </c>
      <c r="F50" s="458" t="n">
        <v>2025.03</v>
      </c>
      <c r="G50" s="458" t="n">
        <v>716</v>
      </c>
      <c r="H50" s="458">
        <f>2026-INT(F50)+1</f>
        <v/>
      </c>
      <c r="J50" s="458" t="n">
        <v>49</v>
      </c>
      <c r="K50" s="458" t="n">
        <v>32</v>
      </c>
      <c r="L50" s="458" t="n">
        <v>15</v>
      </c>
      <c r="M50" s="458" t="inlineStr">
        <is>
          <t>계단식</t>
        </is>
      </c>
      <c r="N50" s="458" t="n">
        <v>1</v>
      </c>
      <c r="O50" s="458" t="n">
        <v>1</v>
      </c>
      <c r="P50" s="458" t="n">
        <v>2</v>
      </c>
      <c r="U50" s="458" t="n"/>
      <c r="V50" s="458" t="n"/>
    </row>
    <row r="51">
      <c r="A51" s="458" t="inlineStr">
        <is>
          <t>내발산동</t>
        </is>
      </c>
      <c r="D51" s="458" t="n">
        <v>182637</v>
      </c>
      <c r="E51" s="277" t="inlineStr">
        <is>
          <t>센터스퀘어발산</t>
        </is>
      </c>
      <c r="F51" s="458" t="n">
        <v>2025.03</v>
      </c>
      <c r="G51" s="458" t="n">
        <v>716</v>
      </c>
      <c r="H51" s="458">
        <f>2026-INT(F51)+1</f>
        <v/>
      </c>
      <c r="J51" s="458" t="n">
        <v>55</v>
      </c>
      <c r="K51" s="458" t="n">
        <v>36</v>
      </c>
      <c r="L51" s="458" t="n">
        <v>17</v>
      </c>
      <c r="M51" s="458" t="inlineStr">
        <is>
          <t>계단식</t>
        </is>
      </c>
      <c r="N51" s="458" t="n">
        <v>2</v>
      </c>
      <c r="O51" s="458" t="n">
        <v>1</v>
      </c>
      <c r="P51" s="458" t="n">
        <v>85</v>
      </c>
      <c r="U51" s="458" t="n"/>
      <c r="V51" s="458" t="n"/>
    </row>
    <row r="52">
      <c r="A52" s="458" t="inlineStr">
        <is>
          <t>내발산동</t>
        </is>
      </c>
      <c r="D52" s="458" t="n">
        <v>182637</v>
      </c>
      <c r="E52" s="277" t="inlineStr">
        <is>
          <t>센터스퀘어발산</t>
        </is>
      </c>
      <c r="F52" s="458" t="n">
        <v>2025.03</v>
      </c>
      <c r="G52" s="458" t="n">
        <v>716</v>
      </c>
      <c r="H52" s="458">
        <f>2026-INT(F52)+1</f>
        <v/>
      </c>
      <c r="J52" s="458" t="n">
        <v>61</v>
      </c>
      <c r="K52" s="458" t="n">
        <v>41</v>
      </c>
      <c r="L52" s="458" t="n">
        <v>18</v>
      </c>
      <c r="M52" s="458" t="inlineStr">
        <is>
          <t>계단식</t>
        </is>
      </c>
      <c r="N52" s="458" t="n">
        <v>2</v>
      </c>
      <c r="O52" s="458" t="n">
        <v>1</v>
      </c>
      <c r="P52" s="458" t="n">
        <v>70</v>
      </c>
    </row>
    <row r="53">
      <c r="A53" s="458" t="inlineStr">
        <is>
          <t>내발산동</t>
        </is>
      </c>
      <c r="D53" s="458" t="n">
        <v>182637</v>
      </c>
      <c r="E53" s="277" t="inlineStr">
        <is>
          <t>센터스퀘어발산</t>
        </is>
      </c>
      <c r="F53" s="458" t="n">
        <v>2025.03</v>
      </c>
      <c r="G53" s="458" t="n">
        <v>716</v>
      </c>
      <c r="H53" s="458">
        <f>2026-INT(F53)+1</f>
        <v/>
      </c>
      <c r="J53" s="458" t="n">
        <v>65</v>
      </c>
      <c r="K53" s="458" t="n">
        <v>43</v>
      </c>
      <c r="L53" s="458" t="n">
        <v>20</v>
      </c>
      <c r="M53" s="458" t="inlineStr">
        <is>
          <t>계단식</t>
        </is>
      </c>
      <c r="N53" s="458" t="n">
        <v>2</v>
      </c>
      <c r="O53" s="458" t="n">
        <v>1</v>
      </c>
      <c r="P53" s="458" t="n">
        <v>35</v>
      </c>
      <c r="U53" s="458" t="n"/>
      <c r="V53" s="458" t="n"/>
    </row>
    <row r="54">
      <c r="A54" s="458" t="inlineStr">
        <is>
          <t>내발산동</t>
        </is>
      </c>
      <c r="D54" s="458" t="n">
        <v>182637</v>
      </c>
      <c r="E54" s="277" t="inlineStr">
        <is>
          <t>센터스퀘어발산</t>
        </is>
      </c>
      <c r="F54" s="458" t="n">
        <v>2025.03</v>
      </c>
      <c r="G54" s="458" t="n">
        <v>716</v>
      </c>
      <c r="H54" s="458">
        <f>2026-INT(F54)+1</f>
        <v/>
      </c>
      <c r="J54" s="458" t="n">
        <v>71</v>
      </c>
      <c r="K54" s="458" t="n">
        <v>48</v>
      </c>
      <c r="L54" s="458" t="n">
        <v>21</v>
      </c>
      <c r="M54" s="458" t="inlineStr">
        <is>
          <t>계단식</t>
        </is>
      </c>
      <c r="N54" s="458" t="n">
        <v>2</v>
      </c>
      <c r="O54" s="458" t="n">
        <v>1</v>
      </c>
      <c r="P54" s="458" t="n">
        <v>29</v>
      </c>
      <c r="U54" s="458" t="n"/>
      <c r="V54" s="458" t="n"/>
    </row>
    <row r="55">
      <c r="A55" s="274" t="inlineStr">
        <is>
          <t>내발산동</t>
        </is>
      </c>
      <c r="B55" s="274" t="n"/>
      <c r="C55" s="274" t="n"/>
      <c r="D55" s="274" t="n">
        <v>11337</v>
      </c>
      <c r="E55" s="275" t="inlineStr">
        <is>
          <t>우장산힐스테이트</t>
        </is>
      </c>
      <c r="F55" s="274" t="n">
        <v>2005.05</v>
      </c>
      <c r="G55" s="274" t="n">
        <v>2198</v>
      </c>
      <c r="H55" s="274">
        <f>2026-INT(F55)+1</f>
        <v/>
      </c>
      <c r="I55" s="274" t="n"/>
      <c r="J55" s="274" t="n">
        <v>79</v>
      </c>
      <c r="K55" s="274" t="n">
        <v>59</v>
      </c>
      <c r="L55" s="274" t="n">
        <v>24</v>
      </c>
      <c r="M55" s="274" t="inlineStr">
        <is>
          <t>계단식</t>
        </is>
      </c>
      <c r="N55" s="274" t="n">
        <v>3</v>
      </c>
      <c r="O55" s="274" t="n">
        <v>2</v>
      </c>
      <c r="P55" s="274" t="n">
        <v>515</v>
      </c>
      <c r="Q55" s="274" t="n"/>
      <c r="R55" s="274" t="n"/>
      <c r="S55" s="274" t="n"/>
      <c r="T55" s="274" t="n"/>
      <c r="U55" s="274" t="n">
        <v>12</v>
      </c>
      <c r="V55" s="274" t="n">
        <v>8.6</v>
      </c>
      <c r="W55" s="274" t="n"/>
      <c r="X55" s="274" t="n"/>
      <c r="Y55" s="274" t="n"/>
      <c r="Z55" s="274" t="n"/>
      <c r="AA55" s="274" t="n"/>
      <c r="AB55" s="274" t="n"/>
      <c r="AC55" s="274" t="n"/>
      <c r="AD55" s="274" t="n"/>
      <c r="AE55" s="274" t="n"/>
      <c r="AF55" s="274" t="n"/>
      <c r="AG55" s="274" t="n"/>
      <c r="AH55" s="274" t="n"/>
      <c r="AI55" s="274" t="n"/>
      <c r="AJ55" s="274" t="n"/>
      <c r="AK55" s="274" t="n"/>
    </row>
    <row r="56">
      <c r="A56" s="274" t="inlineStr">
        <is>
          <t>내발산동</t>
        </is>
      </c>
      <c r="B56" s="274" t="n"/>
      <c r="C56" s="274" t="n"/>
      <c r="D56" s="274" t="n">
        <v>11337</v>
      </c>
      <c r="E56" s="275" t="inlineStr">
        <is>
          <t>우장산힐스테이트</t>
        </is>
      </c>
      <c r="F56" s="274" t="n">
        <v>2005.05</v>
      </c>
      <c r="G56" s="274" t="n">
        <v>2198</v>
      </c>
      <c r="H56" s="274">
        <f>2026-INT(F56)+1</f>
        <v/>
      </c>
      <c r="I56" s="274" t="n"/>
      <c r="J56" s="274" t="n">
        <v>109</v>
      </c>
      <c r="K56" s="274" t="n">
        <v>84</v>
      </c>
      <c r="L56" s="274" t="n">
        <v>33</v>
      </c>
      <c r="M56" s="274" t="inlineStr">
        <is>
          <t>계단식</t>
        </is>
      </c>
      <c r="N56" s="274" t="n">
        <v>3</v>
      </c>
      <c r="O56" s="274" t="n">
        <v>2</v>
      </c>
      <c r="P56" s="274" t="n">
        <v>1077</v>
      </c>
      <c r="Q56" s="274" t="n"/>
      <c r="R56" s="274" t="n"/>
      <c r="S56" s="274" t="n"/>
      <c r="T56" s="274" t="n"/>
      <c r="U56" s="274" t="n">
        <v>14.9</v>
      </c>
      <c r="V56" s="274" t="n">
        <v>10.05</v>
      </c>
      <c r="W56" s="274" t="n"/>
      <c r="X56" s="274" t="n"/>
      <c r="Y56" s="274" t="n"/>
      <c r="Z56" s="274" t="n"/>
      <c r="AA56" s="274" t="n"/>
      <c r="AB56" s="274" t="n"/>
      <c r="AC56" s="274" t="n"/>
      <c r="AD56" s="274" t="n"/>
      <c r="AE56" s="274" t="n"/>
      <c r="AF56" s="274" t="n"/>
      <c r="AG56" s="274" t="n"/>
      <c r="AH56" s="274" t="n"/>
      <c r="AI56" s="274" t="n"/>
      <c r="AJ56" s="274" t="n"/>
      <c r="AK56" s="274" t="n"/>
    </row>
    <row r="57">
      <c r="A57" s="274" t="inlineStr">
        <is>
          <t>내발산동</t>
        </is>
      </c>
      <c r="B57" s="274" t="n"/>
      <c r="C57" s="274" t="n"/>
      <c r="D57" s="274" t="n">
        <v>11337</v>
      </c>
      <c r="E57" s="275" t="inlineStr">
        <is>
          <t>우장산힐스테이트</t>
        </is>
      </c>
      <c r="F57" s="274" t="n">
        <v>2005.05</v>
      </c>
      <c r="G57" s="274" t="n">
        <v>2198</v>
      </c>
      <c r="H57" s="274">
        <f>2026-INT(F57)+1</f>
        <v/>
      </c>
      <c r="I57" s="274" t="n"/>
      <c r="J57" s="274" t="n">
        <v>132</v>
      </c>
      <c r="K57" s="274" t="n">
        <v>101</v>
      </c>
      <c r="L57" s="274" t="n">
        <v>40</v>
      </c>
      <c r="M57" s="274" t="inlineStr">
        <is>
          <t>계단식</t>
        </is>
      </c>
      <c r="N57" s="274" t="n">
        <v>3</v>
      </c>
      <c r="O57" s="274" t="n">
        <v>2</v>
      </c>
      <c r="P57" s="274" t="n">
        <v>334</v>
      </c>
      <c r="Q57" s="274" t="n"/>
      <c r="R57" s="274" t="n"/>
      <c r="S57" s="274" t="n"/>
      <c r="T57" s="274" t="n"/>
      <c r="U57" s="274" t="n">
        <v>16</v>
      </c>
      <c r="V57" s="274" t="n">
        <v>13</v>
      </c>
      <c r="W57" s="274" t="n"/>
      <c r="X57" s="274" t="n"/>
      <c r="Y57" s="274" t="n"/>
      <c r="Z57" s="274" t="n"/>
      <c r="AA57" s="274" t="n"/>
      <c r="AB57" s="274" t="n"/>
      <c r="AC57" s="274" t="n"/>
      <c r="AD57" s="274" t="n"/>
      <c r="AE57" s="274" t="n"/>
      <c r="AF57" s="274" t="n"/>
      <c r="AG57" s="274" t="n"/>
      <c r="AH57" s="274" t="n"/>
      <c r="AI57" s="274" t="n"/>
      <c r="AJ57" s="274" t="n"/>
      <c r="AK57" s="274" t="n"/>
    </row>
    <row r="58">
      <c r="A58" s="274" t="inlineStr">
        <is>
          <t>내발산동</t>
        </is>
      </c>
      <c r="B58" s="274" t="n"/>
      <c r="C58" s="274" t="n"/>
      <c r="D58" s="274" t="n">
        <v>11337</v>
      </c>
      <c r="E58" s="275" t="inlineStr">
        <is>
          <t>우장산힐스테이트</t>
        </is>
      </c>
      <c r="F58" s="274" t="n">
        <v>2005.05</v>
      </c>
      <c r="G58" s="274" t="n">
        <v>2198</v>
      </c>
      <c r="H58" s="274">
        <f>2026-INT(F58)+1</f>
        <v/>
      </c>
      <c r="I58" s="274" t="n"/>
      <c r="J58" s="274" t="n">
        <v>158</v>
      </c>
      <c r="K58" s="274" t="n">
        <v>126</v>
      </c>
      <c r="L58" s="274" t="n">
        <v>48</v>
      </c>
      <c r="M58" s="274" t="inlineStr">
        <is>
          <t>계단식</t>
        </is>
      </c>
      <c r="N58" s="274" t="n">
        <v>4</v>
      </c>
      <c r="O58" s="274" t="n">
        <v>2</v>
      </c>
      <c r="P58" s="274" t="n">
        <v>272</v>
      </c>
      <c r="Q58" s="274" t="n"/>
      <c r="R58" s="274" t="n"/>
      <c r="S58" s="274" t="n"/>
      <c r="T58" s="274" t="n"/>
      <c r="U58" s="274" t="n">
        <v>16.8</v>
      </c>
      <c r="V58" s="274" t="n">
        <v>11.5</v>
      </c>
      <c r="W58" s="274" t="n"/>
      <c r="X58" s="274" t="n"/>
      <c r="Y58" s="274" t="n"/>
      <c r="Z58" s="274" t="n"/>
      <c r="AA58" s="274" t="n"/>
      <c r="AB58" s="274" t="n"/>
      <c r="AC58" s="274" t="n"/>
      <c r="AD58" s="274" t="n"/>
      <c r="AE58" s="274" t="n"/>
      <c r="AF58" s="274" t="n"/>
      <c r="AG58" s="274" t="n"/>
      <c r="AH58" s="274" t="n"/>
      <c r="AI58" s="274" t="n"/>
      <c r="AJ58" s="274" t="n"/>
      <c r="AK58" s="274" t="n"/>
    </row>
    <row r="59">
      <c r="A59" s="458" t="inlineStr">
        <is>
          <t>등촌동</t>
        </is>
      </c>
      <c r="D59" s="458" t="n">
        <v>3329</v>
      </c>
      <c r="E59" s="277" t="inlineStr">
        <is>
          <t>e-편한대림</t>
        </is>
      </c>
      <c r="F59" s="458" t="n">
        <v>2002.05</v>
      </c>
      <c r="G59" s="458" t="n">
        <v>222</v>
      </c>
      <c r="H59" s="458">
        <f>2026-INT(F59)+1</f>
        <v/>
      </c>
      <c r="J59" s="458" t="n">
        <v>108</v>
      </c>
      <c r="K59" s="458" t="n">
        <v>75</v>
      </c>
      <c r="L59" s="458" t="n">
        <v>33</v>
      </c>
      <c r="M59" s="458" t="inlineStr">
        <is>
          <t>계단식</t>
        </is>
      </c>
      <c r="N59" s="458" t="n">
        <v>3</v>
      </c>
      <c r="O59" s="458" t="n">
        <v>2</v>
      </c>
      <c r="P59" s="458" t="n">
        <v>32</v>
      </c>
      <c r="U59" s="458" t="n">
        <v>10.35</v>
      </c>
    </row>
    <row r="60">
      <c r="A60" s="458" t="inlineStr">
        <is>
          <t>등촌동</t>
        </is>
      </c>
      <c r="D60" s="458" t="n">
        <v>3329</v>
      </c>
      <c r="E60" s="277" t="inlineStr">
        <is>
          <t>e-편한대림</t>
        </is>
      </c>
      <c r="F60" s="458" t="n">
        <v>2002.05</v>
      </c>
      <c r="G60" s="458" t="n">
        <v>222</v>
      </c>
      <c r="H60" s="458">
        <f>2026-INT(F60)+1</f>
        <v/>
      </c>
      <c r="J60" s="458" t="n">
        <v>111</v>
      </c>
      <c r="K60" s="458" t="n">
        <v>84</v>
      </c>
      <c r="L60" s="458" t="n">
        <v>34</v>
      </c>
      <c r="M60" s="458" t="inlineStr">
        <is>
          <t>계단식</t>
        </is>
      </c>
      <c r="N60" s="458" t="n">
        <v>3</v>
      </c>
      <c r="O60" s="458" t="n">
        <v>2</v>
      </c>
      <c r="P60" s="458" t="n">
        <v>94</v>
      </c>
      <c r="U60" s="458" t="n">
        <v>9.300000000000001</v>
      </c>
    </row>
    <row r="61">
      <c r="A61" s="458" t="inlineStr">
        <is>
          <t>등촌동</t>
        </is>
      </c>
      <c r="D61" s="458" t="n">
        <v>3329</v>
      </c>
      <c r="E61" s="277" t="inlineStr">
        <is>
          <t>e-편한대림</t>
        </is>
      </c>
      <c r="F61" s="458" t="n">
        <v>2002.05</v>
      </c>
      <c r="G61" s="458" t="n">
        <v>222</v>
      </c>
      <c r="H61" s="458">
        <f>2026-INT(F61)+1</f>
        <v/>
      </c>
      <c r="J61" s="458" t="n">
        <v>132</v>
      </c>
      <c r="K61" s="458" t="n">
        <v>96</v>
      </c>
      <c r="L61" s="458" t="n">
        <v>40</v>
      </c>
      <c r="M61" s="458" t="inlineStr">
        <is>
          <t>계단식</t>
        </is>
      </c>
      <c r="N61" s="458" t="n">
        <v>4</v>
      </c>
      <c r="O61" s="458" t="n">
        <v>2</v>
      </c>
      <c r="P61" s="458" t="n">
        <v>32</v>
      </c>
      <c r="U61" s="458" t="n">
        <v>10</v>
      </c>
      <c r="V61" s="458" t="n">
        <v>9.800000000000001</v>
      </c>
    </row>
    <row r="62">
      <c r="A62" s="458" t="inlineStr">
        <is>
          <t>등촌동</t>
        </is>
      </c>
      <c r="D62" s="458" t="n">
        <v>3329</v>
      </c>
      <c r="E62" s="277" t="inlineStr">
        <is>
          <t>e-편한대림</t>
        </is>
      </c>
      <c r="F62" s="458" t="n">
        <v>2002.05</v>
      </c>
      <c r="G62" s="458" t="n">
        <v>222</v>
      </c>
      <c r="H62" s="458">
        <f>2026-INT(F62)+1</f>
        <v/>
      </c>
      <c r="J62" s="458" t="n">
        <v>146</v>
      </c>
      <c r="K62" s="458" t="n">
        <v>116</v>
      </c>
      <c r="L62" s="458" t="n">
        <v>44</v>
      </c>
      <c r="M62" s="458" t="inlineStr">
        <is>
          <t>계단식</t>
        </is>
      </c>
      <c r="N62" s="458" t="n">
        <v>4</v>
      </c>
      <c r="O62" s="458" t="n">
        <v>2</v>
      </c>
      <c r="P62" s="458" t="n">
        <v>64</v>
      </c>
      <c r="U62" s="458" t="n"/>
      <c r="V62" s="458" t="n"/>
    </row>
    <row r="63">
      <c r="A63" s="276" t="inlineStr">
        <is>
          <t>등촌동</t>
        </is>
      </c>
      <c r="B63" s="274" t="n"/>
      <c r="C63" s="274" t="n"/>
      <c r="D63" s="276" t="n">
        <v>127100</v>
      </c>
      <c r="E63" s="275" t="inlineStr">
        <is>
          <t>가양역두산위브</t>
        </is>
      </c>
      <c r="F63" s="276" t="n">
        <v>2022.03</v>
      </c>
      <c r="G63" s="276" t="n">
        <v>220</v>
      </c>
      <c r="H63" s="276">
        <f>2026-INT(F63)+1</f>
        <v/>
      </c>
      <c r="I63" s="274" t="n"/>
      <c r="J63" s="276" t="n">
        <v>42</v>
      </c>
      <c r="K63" s="276" t="n">
        <v>31</v>
      </c>
      <c r="L63" s="276" t="n">
        <v>13</v>
      </c>
      <c r="M63" s="276" t="inlineStr">
        <is>
          <t>계단식</t>
        </is>
      </c>
      <c r="N63" s="276" t="n">
        <v>2</v>
      </c>
      <c r="O63" s="276" t="n">
        <v>1</v>
      </c>
      <c r="P63" s="276" t="n">
        <v>19</v>
      </c>
      <c r="Q63" s="274" t="n"/>
      <c r="R63" s="274" t="n"/>
      <c r="S63" s="274" t="n"/>
      <c r="T63" s="274" t="n"/>
      <c r="U63" s="276" t="n"/>
      <c r="V63" s="276" t="n"/>
      <c r="W63" s="274" t="n"/>
      <c r="X63" s="274" t="n"/>
      <c r="Y63" s="274" t="n"/>
      <c r="Z63" s="274" t="n"/>
      <c r="AA63" s="274" t="n"/>
      <c r="AB63" s="274" t="n"/>
      <c r="AC63" s="274" t="n"/>
      <c r="AD63" s="274" t="n"/>
      <c r="AE63" s="274" t="n"/>
      <c r="AF63" s="274" t="n"/>
      <c r="AG63" s="274" t="n"/>
      <c r="AH63" s="274" t="n"/>
      <c r="AI63" s="274" t="n"/>
      <c r="AJ63" s="274" t="n"/>
      <c r="AK63" s="274" t="n"/>
    </row>
    <row r="64">
      <c r="A64" s="276" t="inlineStr">
        <is>
          <t>등촌동</t>
        </is>
      </c>
      <c r="B64" s="274" t="n"/>
      <c r="C64" s="274" t="n"/>
      <c r="D64" s="276" t="n">
        <v>127100</v>
      </c>
      <c r="E64" s="275" t="inlineStr">
        <is>
          <t>가양역두산위브</t>
        </is>
      </c>
      <c r="F64" s="276" t="n">
        <v>2022.03</v>
      </c>
      <c r="G64" s="276" t="n">
        <v>220</v>
      </c>
      <c r="H64" s="276">
        <f>2026-INT(F64)+1</f>
        <v/>
      </c>
      <c r="I64" s="274" t="n"/>
      <c r="J64" s="276" t="n">
        <v>65</v>
      </c>
      <c r="K64" s="276" t="n">
        <v>50</v>
      </c>
      <c r="L64" s="276" t="n">
        <v>20</v>
      </c>
      <c r="M64" s="276" t="inlineStr">
        <is>
          <t>계단식</t>
        </is>
      </c>
      <c r="N64" s="276" t="n">
        <v>3</v>
      </c>
      <c r="O64" s="276" t="n">
        <v>2</v>
      </c>
      <c r="P64" s="276" t="n">
        <v>38</v>
      </c>
      <c r="Q64" s="274" t="n"/>
      <c r="R64" s="274" t="n"/>
      <c r="S64" s="274" t="n"/>
      <c r="T64" s="274" t="n"/>
      <c r="U64" s="276" t="n"/>
      <c r="V64" s="276" t="n"/>
      <c r="W64" s="274" t="n"/>
      <c r="X64" s="274" t="n"/>
      <c r="Y64" s="274" t="n"/>
      <c r="Z64" s="274" t="n"/>
      <c r="AA64" s="274" t="n"/>
      <c r="AB64" s="274" t="n"/>
      <c r="AC64" s="274" t="n"/>
      <c r="AD64" s="274" t="n"/>
      <c r="AE64" s="274" t="n"/>
      <c r="AF64" s="274" t="n"/>
      <c r="AG64" s="274" t="n"/>
      <c r="AH64" s="274" t="n"/>
      <c r="AI64" s="274" t="n"/>
      <c r="AJ64" s="274" t="n"/>
      <c r="AK64" s="274" t="n"/>
    </row>
    <row r="65">
      <c r="A65" s="274" t="inlineStr">
        <is>
          <t>등촌동</t>
        </is>
      </c>
      <c r="B65" s="274" t="n"/>
      <c r="C65" s="274" t="n"/>
      <c r="D65" s="274" t="n">
        <v>127100</v>
      </c>
      <c r="E65" s="275" t="inlineStr">
        <is>
          <t>가양역두산위브</t>
        </is>
      </c>
      <c r="F65" s="274" t="n">
        <v>2022.03</v>
      </c>
      <c r="G65" s="274" t="n">
        <v>220</v>
      </c>
      <c r="H65" s="274">
        <f>2026-INT(F65)+1</f>
        <v/>
      </c>
      <c r="I65" s="274" t="n"/>
      <c r="J65" s="274" t="n">
        <v>78</v>
      </c>
      <c r="K65" s="274" t="n">
        <v>59</v>
      </c>
      <c r="L65" s="274" t="n">
        <v>24</v>
      </c>
      <c r="M65" s="274" t="inlineStr">
        <is>
          <t>계단식</t>
        </is>
      </c>
      <c r="N65" s="274" t="n">
        <v>3</v>
      </c>
      <c r="O65" s="274" t="n">
        <v>2</v>
      </c>
      <c r="P65" s="274" t="n">
        <v>106</v>
      </c>
      <c r="Q65" s="274" t="n"/>
      <c r="R65" s="274" t="n"/>
      <c r="S65" s="274" t="n"/>
      <c r="T65" s="274" t="n"/>
      <c r="U65" s="274" t="n">
        <v>8.970000000000001</v>
      </c>
      <c r="V65" s="274" t="n">
        <v>8.300000000000001</v>
      </c>
      <c r="W65" s="274" t="n"/>
      <c r="X65" s="274" t="n"/>
      <c r="Y65" s="274" t="n"/>
      <c r="Z65" s="274" t="n"/>
      <c r="AA65" s="274" t="n"/>
      <c r="AB65" s="274" t="n"/>
      <c r="AC65" s="274" t="n"/>
      <c r="AD65" s="274" t="n"/>
      <c r="AE65" s="274" t="n"/>
      <c r="AF65" s="274" t="n"/>
      <c r="AG65" s="274" t="n"/>
      <c r="AH65" s="274" t="n"/>
      <c r="AI65" s="274" t="n"/>
      <c r="AJ65" s="274" t="n"/>
      <c r="AK65" s="274" t="n"/>
    </row>
    <row r="66">
      <c r="A66" s="274" t="inlineStr">
        <is>
          <t>등촌동</t>
        </is>
      </c>
      <c r="B66" s="274" t="n"/>
      <c r="C66" s="274" t="n"/>
      <c r="D66" s="274" t="n">
        <v>127100</v>
      </c>
      <c r="E66" s="275" t="inlineStr">
        <is>
          <t>가양역두산위브</t>
        </is>
      </c>
      <c r="F66" s="274" t="n">
        <v>2022.03</v>
      </c>
      <c r="G66" s="274" t="n">
        <v>220</v>
      </c>
      <c r="H66" s="274">
        <f>2026-INT(F66)+1</f>
        <v/>
      </c>
      <c r="I66" s="274" t="n"/>
      <c r="J66" s="274" t="n">
        <v>82</v>
      </c>
      <c r="K66" s="274" t="n">
        <v>64</v>
      </c>
      <c r="L66" s="274" t="n">
        <v>25</v>
      </c>
      <c r="M66" s="274" t="inlineStr">
        <is>
          <t>계단식</t>
        </is>
      </c>
      <c r="N66" s="274" t="n">
        <v>3</v>
      </c>
      <c r="O66" s="274" t="n">
        <v>2</v>
      </c>
      <c r="P66" s="274" t="n">
        <v>18</v>
      </c>
      <c r="Q66" s="274" t="n"/>
      <c r="R66" s="274" t="n"/>
      <c r="S66" s="274" t="n"/>
      <c r="T66" s="274" t="n"/>
      <c r="U66" s="274" t="n"/>
      <c r="V66" s="274" t="n"/>
      <c r="W66" s="274" t="n"/>
      <c r="X66" s="274" t="n"/>
      <c r="Y66" s="274" t="n"/>
      <c r="Z66" s="274" t="n"/>
      <c r="AA66" s="274" t="n"/>
      <c r="AB66" s="274" t="n"/>
      <c r="AC66" s="274" t="n"/>
      <c r="AD66" s="274" t="n"/>
      <c r="AE66" s="274" t="n"/>
      <c r="AF66" s="274" t="n"/>
      <c r="AG66" s="274" t="n"/>
      <c r="AH66" s="274" t="n"/>
      <c r="AI66" s="274" t="n"/>
      <c r="AJ66" s="274" t="n"/>
      <c r="AK66" s="274" t="n"/>
    </row>
    <row r="67">
      <c r="A67" s="274" t="inlineStr">
        <is>
          <t>등촌동</t>
        </is>
      </c>
      <c r="B67" s="274" t="n"/>
      <c r="C67" s="274" t="n"/>
      <c r="D67" s="274" t="n">
        <v>127100</v>
      </c>
      <c r="E67" s="275" t="inlineStr">
        <is>
          <t>가양역두산위브</t>
        </is>
      </c>
      <c r="F67" s="274" t="n">
        <v>2022.03</v>
      </c>
      <c r="G67" s="274" t="n">
        <v>220</v>
      </c>
      <c r="H67" s="274">
        <f>2026-INT(F67)+1</f>
        <v/>
      </c>
      <c r="I67" s="274" t="n"/>
      <c r="J67" s="274" t="n">
        <v>105</v>
      </c>
      <c r="K67" s="274" t="n">
        <v>84</v>
      </c>
      <c r="L67" s="274" t="n">
        <v>32</v>
      </c>
      <c r="M67" s="274" t="inlineStr">
        <is>
          <t>계단식</t>
        </is>
      </c>
      <c r="N67" s="274" t="n">
        <v>3</v>
      </c>
      <c r="O67" s="274" t="n">
        <v>2</v>
      </c>
      <c r="P67" s="274" t="n">
        <v>38</v>
      </c>
      <c r="Q67" s="274" t="n"/>
      <c r="R67" s="274" t="n"/>
      <c r="S67" s="274" t="n"/>
      <c r="T67" s="274" t="n"/>
      <c r="U67" s="274" t="n"/>
      <c r="V67" s="274" t="n"/>
      <c r="W67" s="274" t="n"/>
      <c r="X67" s="274" t="n"/>
      <c r="Y67" s="274" t="n"/>
      <c r="Z67" s="274" t="n"/>
      <c r="AA67" s="274" t="n"/>
      <c r="AB67" s="274" t="n"/>
      <c r="AC67" s="274" t="n"/>
      <c r="AD67" s="274" t="n"/>
      <c r="AE67" s="274" t="n"/>
      <c r="AF67" s="274" t="n"/>
      <c r="AG67" s="274" t="n"/>
      <c r="AH67" s="274" t="n"/>
      <c r="AI67" s="274" t="n"/>
      <c r="AJ67" s="274" t="n"/>
      <c r="AK67" s="274" t="n"/>
    </row>
    <row r="68">
      <c r="A68" s="274" t="inlineStr">
        <is>
          <t>등촌동</t>
        </is>
      </c>
      <c r="B68" s="274" t="n"/>
      <c r="C68" s="274" t="n"/>
      <c r="D68" s="274" t="n">
        <v>127100</v>
      </c>
      <c r="E68" s="275" t="inlineStr">
        <is>
          <t>가양역두산위브</t>
        </is>
      </c>
      <c r="F68" s="274" t="n">
        <v>2022.03</v>
      </c>
      <c r="G68" s="274" t="n">
        <v>220</v>
      </c>
      <c r="H68" s="274">
        <f>2026-INT(F68)+1</f>
        <v/>
      </c>
      <c r="I68" s="274" t="n"/>
      <c r="J68" s="274" t="n">
        <v>154</v>
      </c>
      <c r="K68" s="274" t="n">
        <v>116</v>
      </c>
      <c r="L68" s="274" t="n">
        <v>47</v>
      </c>
      <c r="M68" s="274" t="inlineStr">
        <is>
          <t>계단식</t>
        </is>
      </c>
      <c r="N68" s="274" t="n">
        <v>3</v>
      </c>
      <c r="O68" s="274" t="n">
        <v>2</v>
      </c>
      <c r="P68" s="274" t="n">
        <v>1</v>
      </c>
      <c r="Q68" s="274" t="n"/>
      <c r="R68" s="274" t="n"/>
      <c r="S68" s="274" t="n"/>
      <c r="T68" s="274" t="n"/>
      <c r="U68" s="274" t="n"/>
      <c r="V68" s="274" t="n"/>
      <c r="W68" s="274" t="n"/>
      <c r="X68" s="274" t="n"/>
      <c r="Y68" s="274" t="n"/>
      <c r="Z68" s="274" t="n"/>
      <c r="AA68" s="274" t="n"/>
      <c r="AB68" s="274" t="n"/>
      <c r="AC68" s="274" t="n"/>
      <c r="AD68" s="274" t="n"/>
      <c r="AE68" s="274" t="n"/>
      <c r="AF68" s="274" t="n"/>
      <c r="AG68" s="274" t="n"/>
      <c r="AH68" s="274" t="n"/>
      <c r="AI68" s="274" t="n"/>
      <c r="AJ68" s="274" t="n"/>
      <c r="AK68" s="274" t="n"/>
    </row>
    <row r="69">
      <c r="A69" s="458" t="inlineStr">
        <is>
          <t>등촌동</t>
        </is>
      </c>
      <c r="D69" s="458" t="n">
        <v>8076</v>
      </c>
      <c r="E69" s="277" t="inlineStr">
        <is>
          <t>대동황토방1차</t>
        </is>
      </c>
      <c r="F69" s="458" t="n">
        <v>2000.07</v>
      </c>
      <c r="G69" s="458" t="n">
        <v>241</v>
      </c>
      <c r="H69" s="458">
        <f>2026-INT(F69)+1</f>
        <v/>
      </c>
      <c r="J69" s="458" t="n">
        <v>79</v>
      </c>
      <c r="K69" s="458" t="n">
        <v>59</v>
      </c>
      <c r="L69" s="458" t="n">
        <v>24</v>
      </c>
      <c r="M69" s="458" t="inlineStr">
        <is>
          <t>계단식</t>
        </is>
      </c>
      <c r="N69" s="458" t="n">
        <v>3</v>
      </c>
      <c r="O69" s="458" t="n">
        <v>1</v>
      </c>
      <c r="P69" s="458" t="n">
        <v>57</v>
      </c>
      <c r="U69" s="458" t="n">
        <v>6.45</v>
      </c>
      <c r="V69" s="458" t="n">
        <v>6.9</v>
      </c>
    </row>
    <row r="70">
      <c r="A70" s="458" t="inlineStr">
        <is>
          <t>등촌동</t>
        </is>
      </c>
      <c r="D70" s="458" t="n">
        <v>8076</v>
      </c>
      <c r="E70" s="277" t="inlineStr">
        <is>
          <t>대동황토방1차</t>
        </is>
      </c>
      <c r="F70" s="458" t="n">
        <v>2000.07</v>
      </c>
      <c r="G70" s="458" t="n">
        <v>241</v>
      </c>
      <c r="H70" s="458">
        <f>2026-INT(F70)+1</f>
        <v/>
      </c>
      <c r="J70" s="458" t="n">
        <v>79</v>
      </c>
      <c r="K70" s="458" t="n">
        <v>59</v>
      </c>
      <c r="L70" s="458" t="n">
        <v>24</v>
      </c>
      <c r="M70" s="458" t="inlineStr">
        <is>
          <t>복도식</t>
        </is>
      </c>
      <c r="N70" s="458" t="n">
        <v>3</v>
      </c>
      <c r="O70" s="458" t="n">
        <v>1</v>
      </c>
      <c r="P70" s="458" t="n">
        <v>18</v>
      </c>
      <c r="U70" s="458" t="n">
        <v>6.45</v>
      </c>
      <c r="V70" s="458" t="n">
        <v>6.9</v>
      </c>
    </row>
    <row r="71">
      <c r="A71" s="458" t="inlineStr">
        <is>
          <t>등촌동</t>
        </is>
      </c>
      <c r="D71" s="458" t="n">
        <v>8076</v>
      </c>
      <c r="E71" s="277" t="inlineStr">
        <is>
          <t>대동황토방1차</t>
        </is>
      </c>
      <c r="F71" s="458" t="n">
        <v>2000.07</v>
      </c>
      <c r="G71" s="458" t="n">
        <v>241</v>
      </c>
      <c r="H71" s="458">
        <f>2026-INT(F71)+1</f>
        <v/>
      </c>
      <c r="J71" s="458" t="n">
        <v>110</v>
      </c>
      <c r="K71" s="458" t="n">
        <v>84</v>
      </c>
      <c r="L71" s="458" t="n">
        <v>33</v>
      </c>
      <c r="M71" s="458" t="inlineStr">
        <is>
          <t>계단식</t>
        </is>
      </c>
      <c r="N71" s="458" t="n">
        <v>3</v>
      </c>
      <c r="O71" s="458" t="n">
        <v>2</v>
      </c>
      <c r="P71" s="458" t="n">
        <v>111</v>
      </c>
      <c r="U71" s="458" t="n">
        <v>10.4</v>
      </c>
    </row>
    <row r="72">
      <c r="A72" s="458" t="inlineStr">
        <is>
          <t>등촌동</t>
        </is>
      </c>
      <c r="D72" s="458" t="n">
        <v>8076</v>
      </c>
      <c r="E72" s="277" t="inlineStr">
        <is>
          <t>대동황토방1차</t>
        </is>
      </c>
      <c r="F72" s="458" t="n">
        <v>2000.07</v>
      </c>
      <c r="G72" s="458" t="n">
        <v>241</v>
      </c>
      <c r="H72" s="458">
        <f>2026-INT(F72)+1</f>
        <v/>
      </c>
      <c r="J72" s="458" t="n">
        <v>148</v>
      </c>
      <c r="K72" s="458" t="n">
        <v>114</v>
      </c>
      <c r="L72" s="458" t="n">
        <v>45</v>
      </c>
      <c r="M72" s="458" t="inlineStr">
        <is>
          <t>계단식</t>
        </is>
      </c>
      <c r="N72" s="458" t="n">
        <v>4</v>
      </c>
      <c r="O72" s="458" t="n">
        <v>2</v>
      </c>
      <c r="P72" s="458" t="n">
        <v>55</v>
      </c>
    </row>
    <row r="73">
      <c r="A73" s="274" t="inlineStr">
        <is>
          <t>등촌동</t>
        </is>
      </c>
      <c r="B73" s="274" t="n"/>
      <c r="C73" s="274" t="n"/>
      <c r="D73" s="274" t="n">
        <v>15578</v>
      </c>
      <c r="E73" s="275" t="inlineStr">
        <is>
          <t>두보하이츠</t>
        </is>
      </c>
      <c r="F73" s="274" t="n">
        <v>1988.11</v>
      </c>
      <c r="G73" s="274" t="n">
        <v>213</v>
      </c>
      <c r="H73" s="274">
        <f>2026-INT(F73)+1</f>
        <v/>
      </c>
      <c r="I73" s="274" t="n"/>
      <c r="J73" s="274" t="n">
        <v>66</v>
      </c>
      <c r="K73" s="274" t="n">
        <v>44</v>
      </c>
      <c r="L73" s="274" t="n">
        <v>20</v>
      </c>
      <c r="M73" s="274" t="inlineStr">
        <is>
          <t>계단식</t>
        </is>
      </c>
      <c r="N73" s="274" t="n">
        <v>3</v>
      </c>
      <c r="O73" s="274" t="n">
        <v>1</v>
      </c>
      <c r="P73" s="274" t="n">
        <v>24</v>
      </c>
      <c r="Q73" s="274" t="n"/>
      <c r="R73" s="274" t="n"/>
      <c r="S73" s="274" t="n"/>
      <c r="T73" s="274" t="n"/>
      <c r="U73" s="274" t="n"/>
      <c r="V73" s="274" t="n"/>
      <c r="W73" s="274" t="n"/>
      <c r="X73" s="274" t="n"/>
      <c r="Y73" s="274" t="n"/>
      <c r="Z73" s="274" t="n"/>
      <c r="AA73" s="274" t="n"/>
      <c r="AB73" s="274" t="n"/>
      <c r="AC73" s="274" t="n"/>
      <c r="AD73" s="274" t="n"/>
      <c r="AE73" s="274" t="n"/>
      <c r="AF73" s="274" t="n"/>
      <c r="AG73" s="274" t="n"/>
      <c r="AH73" s="274" t="n"/>
      <c r="AI73" s="274" t="n"/>
      <c r="AJ73" s="274" t="n"/>
      <c r="AK73" s="274" t="n"/>
    </row>
    <row r="74">
      <c r="A74" s="274" t="inlineStr">
        <is>
          <t>등촌동</t>
        </is>
      </c>
      <c r="B74" s="274" t="n"/>
      <c r="C74" s="274" t="n"/>
      <c r="D74" s="274" t="n">
        <v>15578</v>
      </c>
      <c r="E74" s="275" t="inlineStr">
        <is>
          <t>두보하이츠</t>
        </is>
      </c>
      <c r="F74" s="274" t="n">
        <v>1988.11</v>
      </c>
      <c r="G74" s="274" t="n">
        <v>213</v>
      </c>
      <c r="H74" s="274">
        <f>2026-INT(F74)+1</f>
        <v/>
      </c>
      <c r="I74" s="274" t="n"/>
      <c r="J74" s="274" t="n">
        <v>69</v>
      </c>
      <c r="K74" s="274" t="n">
        <v>46</v>
      </c>
      <c r="L74" s="274" t="n">
        <v>21</v>
      </c>
      <c r="M74" s="274" t="inlineStr">
        <is>
          <t>계단식</t>
        </is>
      </c>
      <c r="N74" s="274" t="n">
        <v>3</v>
      </c>
      <c r="O74" s="274" t="n">
        <v>1</v>
      </c>
      <c r="P74" s="274" t="n">
        <v>24</v>
      </c>
      <c r="Q74" s="274" t="n"/>
      <c r="R74" s="274" t="n"/>
      <c r="S74" s="274" t="n"/>
      <c r="T74" s="274" t="n"/>
      <c r="U74" s="274" t="n"/>
      <c r="V74" s="274" t="n"/>
      <c r="W74" s="274" t="n"/>
      <c r="X74" s="274" t="n"/>
      <c r="Y74" s="274" t="n"/>
      <c r="Z74" s="274" t="n"/>
      <c r="AA74" s="274" t="n"/>
      <c r="AB74" s="274" t="n"/>
      <c r="AC74" s="274" t="n"/>
      <c r="AD74" s="274" t="n"/>
      <c r="AE74" s="274" t="n"/>
      <c r="AF74" s="274" t="n"/>
      <c r="AG74" s="274" t="n"/>
      <c r="AH74" s="274" t="n"/>
      <c r="AI74" s="274" t="n"/>
      <c r="AJ74" s="274" t="n"/>
      <c r="AK74" s="274" t="n"/>
    </row>
    <row r="75">
      <c r="A75" s="274" t="inlineStr">
        <is>
          <t>등촌동</t>
        </is>
      </c>
      <c r="B75" s="274" t="n"/>
      <c r="C75" s="274" t="n"/>
      <c r="D75" s="274" t="n">
        <v>15578</v>
      </c>
      <c r="E75" s="275" t="inlineStr">
        <is>
          <t>두보하이츠</t>
        </is>
      </c>
      <c r="F75" s="274" t="n">
        <v>1988.11</v>
      </c>
      <c r="G75" s="274" t="n">
        <v>213</v>
      </c>
      <c r="H75" s="274">
        <f>2026-INT(F75)+1</f>
        <v/>
      </c>
      <c r="I75" s="274" t="n"/>
      <c r="J75" s="274" t="n">
        <v>73</v>
      </c>
      <c r="K75" s="274" t="n">
        <v>50</v>
      </c>
      <c r="L75" s="274" t="n">
        <v>22</v>
      </c>
      <c r="M75" s="274" t="inlineStr">
        <is>
          <t>계단식</t>
        </is>
      </c>
      <c r="N75" s="274" t="n">
        <v>3</v>
      </c>
      <c r="O75" s="274" t="n">
        <v>1</v>
      </c>
      <c r="P75" s="274" t="n">
        <v>24</v>
      </c>
      <c r="Q75" s="274" t="n"/>
      <c r="R75" s="274" t="n"/>
      <c r="S75" s="274" t="n"/>
      <c r="T75" s="274" t="n"/>
      <c r="U75" s="274" t="n"/>
      <c r="V75" s="274" t="n"/>
      <c r="W75" s="274" t="n"/>
      <c r="X75" s="274" t="n"/>
      <c r="Y75" s="274" t="n"/>
      <c r="Z75" s="274" t="n"/>
      <c r="AA75" s="274" t="n"/>
      <c r="AB75" s="274" t="n"/>
      <c r="AC75" s="274" t="n"/>
      <c r="AD75" s="274" t="n"/>
      <c r="AE75" s="274" t="n"/>
      <c r="AF75" s="274" t="n"/>
      <c r="AG75" s="274" t="n"/>
      <c r="AH75" s="274" t="n"/>
      <c r="AI75" s="274" t="n"/>
      <c r="AJ75" s="274" t="n"/>
      <c r="AK75" s="274" t="n"/>
    </row>
    <row r="76">
      <c r="A76" s="274" t="inlineStr">
        <is>
          <t>등촌동</t>
        </is>
      </c>
      <c r="B76" s="274" t="n"/>
      <c r="C76" s="274" t="n"/>
      <c r="D76" s="274" t="n">
        <v>15578</v>
      </c>
      <c r="E76" s="275" t="inlineStr">
        <is>
          <t>두보하이츠</t>
        </is>
      </c>
      <c r="F76" s="274" t="n">
        <v>1988.11</v>
      </c>
      <c r="G76" s="274" t="n">
        <v>213</v>
      </c>
      <c r="H76" s="274">
        <f>2026-INT(F76)+1</f>
        <v/>
      </c>
      <c r="I76" s="274" t="n"/>
      <c r="J76" s="274" t="n">
        <v>76</v>
      </c>
      <c r="K76" s="274" t="n">
        <v>52</v>
      </c>
      <c r="L76" s="274" t="n">
        <v>23</v>
      </c>
      <c r="M76" s="274" t="inlineStr">
        <is>
          <t>계단식</t>
        </is>
      </c>
      <c r="N76" s="274" t="n">
        <v>3</v>
      </c>
      <c r="O76" s="274" t="n">
        <v>1</v>
      </c>
      <c r="P76" s="274" t="n">
        <v>18</v>
      </c>
      <c r="Q76" s="274" t="n"/>
      <c r="R76" s="274" t="n"/>
      <c r="S76" s="274" t="n"/>
      <c r="T76" s="274" t="n"/>
      <c r="U76" s="274" t="n"/>
      <c r="V76" s="274" t="n"/>
      <c r="W76" s="274" t="n"/>
      <c r="X76" s="274" t="n"/>
      <c r="Y76" s="274" t="n"/>
      <c r="Z76" s="274" t="n"/>
      <c r="AA76" s="274" t="n"/>
      <c r="AB76" s="274" t="n"/>
      <c r="AC76" s="274" t="n"/>
      <c r="AD76" s="274" t="n"/>
      <c r="AE76" s="274" t="n"/>
      <c r="AF76" s="274" t="n"/>
      <c r="AG76" s="274" t="n"/>
      <c r="AH76" s="274" t="n"/>
      <c r="AI76" s="274" t="n"/>
      <c r="AJ76" s="274" t="n"/>
      <c r="AK76" s="274" t="n"/>
    </row>
    <row r="77">
      <c r="A77" s="274" t="inlineStr">
        <is>
          <t>등촌동</t>
        </is>
      </c>
      <c r="B77" s="274" t="n"/>
      <c r="C77" s="274" t="n"/>
      <c r="D77" s="274" t="n">
        <v>15578</v>
      </c>
      <c r="E77" s="275" t="inlineStr">
        <is>
          <t>두보하이츠</t>
        </is>
      </c>
      <c r="F77" s="274" t="n">
        <v>1988.11</v>
      </c>
      <c r="G77" s="274" t="n">
        <v>213</v>
      </c>
      <c r="H77" s="274">
        <f>2026-INT(F77)+1</f>
        <v/>
      </c>
      <c r="I77" s="274" t="n"/>
      <c r="J77" s="274" t="n">
        <v>77</v>
      </c>
      <c r="K77" s="274" t="n">
        <v>53</v>
      </c>
      <c r="L77" s="274" t="n">
        <v>23</v>
      </c>
      <c r="M77" s="274" t="inlineStr">
        <is>
          <t>계단식</t>
        </is>
      </c>
      <c r="N77" s="274" t="n">
        <v>3</v>
      </c>
      <c r="O77" s="274" t="n">
        <v>1</v>
      </c>
      <c r="P77" s="274" t="n">
        <v>54</v>
      </c>
      <c r="Q77" s="274" t="n"/>
      <c r="R77" s="274" t="n"/>
      <c r="S77" s="274" t="n"/>
      <c r="T77" s="274" t="n"/>
      <c r="U77" s="274" t="n"/>
      <c r="V77" s="274" t="n"/>
      <c r="W77" s="274" t="n"/>
      <c r="X77" s="274" t="n"/>
      <c r="Y77" s="274" t="n"/>
      <c r="Z77" s="274" t="n"/>
      <c r="AA77" s="274" t="n"/>
      <c r="AB77" s="274" t="n"/>
      <c r="AC77" s="274" t="n"/>
      <c r="AD77" s="274" t="n"/>
      <c r="AE77" s="274" t="n"/>
      <c r="AF77" s="274" t="n"/>
      <c r="AG77" s="274" t="n"/>
      <c r="AH77" s="274" t="n"/>
      <c r="AI77" s="274" t="n"/>
      <c r="AJ77" s="274" t="n"/>
      <c r="AK77" s="274" t="n"/>
    </row>
    <row r="78">
      <c r="A78" s="276" t="inlineStr">
        <is>
          <t>등촌동</t>
        </is>
      </c>
      <c r="B78" s="274" t="n"/>
      <c r="C78" s="274" t="n"/>
      <c r="D78" s="276" t="n">
        <v>15578</v>
      </c>
      <c r="E78" s="275" t="inlineStr">
        <is>
          <t>두보하이츠</t>
        </is>
      </c>
      <c r="F78" s="276" t="n">
        <v>1988.11</v>
      </c>
      <c r="G78" s="276" t="n">
        <v>213</v>
      </c>
      <c r="H78" s="276">
        <f>2026-INT(F78)+1</f>
        <v/>
      </c>
      <c r="I78" s="274" t="n"/>
      <c r="J78" s="276" t="n">
        <v>78</v>
      </c>
      <c r="K78" s="276" t="n">
        <v>48</v>
      </c>
      <c r="L78" s="276" t="n">
        <v>24</v>
      </c>
      <c r="M78" s="276" t="inlineStr">
        <is>
          <t>계단식</t>
        </is>
      </c>
      <c r="N78" s="276" t="n">
        <v>3</v>
      </c>
      <c r="O78" s="276" t="n">
        <v>1</v>
      </c>
      <c r="P78" s="276" t="n">
        <v>3</v>
      </c>
      <c r="Q78" s="274" t="n"/>
      <c r="R78" s="274" t="n"/>
      <c r="S78" s="274" t="n"/>
      <c r="T78" s="274" t="n"/>
      <c r="U78" s="276" t="n"/>
      <c r="V78" s="276" t="n"/>
      <c r="W78" s="274" t="n"/>
      <c r="X78" s="274" t="n"/>
      <c r="Y78" s="274" t="n"/>
      <c r="Z78" s="274" t="n"/>
      <c r="AA78" s="274" t="n"/>
      <c r="AB78" s="274" t="n"/>
      <c r="AC78" s="274" t="n"/>
      <c r="AD78" s="274" t="n"/>
      <c r="AE78" s="274" t="n"/>
      <c r="AF78" s="274" t="n"/>
      <c r="AG78" s="274" t="n"/>
      <c r="AH78" s="274" t="n"/>
      <c r="AI78" s="274" t="n"/>
      <c r="AJ78" s="274" t="n"/>
      <c r="AK78" s="274" t="n"/>
    </row>
    <row r="79">
      <c r="A79" s="276" t="inlineStr">
        <is>
          <t>등촌동</t>
        </is>
      </c>
      <c r="B79" s="274" t="n"/>
      <c r="C79" s="274" t="n"/>
      <c r="D79" s="276" t="n">
        <v>15578</v>
      </c>
      <c r="E79" s="275" t="inlineStr">
        <is>
          <t>두보하이츠</t>
        </is>
      </c>
      <c r="F79" s="276" t="n">
        <v>1988.11</v>
      </c>
      <c r="G79" s="276" t="n">
        <v>213</v>
      </c>
      <c r="H79" s="276">
        <f>2026-INT(F79)+1</f>
        <v/>
      </c>
      <c r="I79" s="274" t="n"/>
      <c r="J79" s="276" t="n">
        <v>84</v>
      </c>
      <c r="K79" s="276" t="n">
        <v>58</v>
      </c>
      <c r="L79" s="276" t="n">
        <v>25</v>
      </c>
      <c r="M79" s="276" t="inlineStr">
        <is>
          <t>계단식</t>
        </is>
      </c>
      <c r="N79" s="276" t="n">
        <v>3</v>
      </c>
      <c r="O79" s="276" t="n">
        <v>1</v>
      </c>
      <c r="P79" s="276" t="n">
        <v>21</v>
      </c>
      <c r="Q79" s="274" t="n"/>
      <c r="R79" s="274" t="n"/>
      <c r="S79" s="274" t="n"/>
      <c r="T79" s="274" t="n"/>
      <c r="U79" s="276" t="n"/>
      <c r="V79" s="276" t="n"/>
      <c r="W79" s="274" t="n"/>
      <c r="X79" s="274" t="n"/>
      <c r="Y79" s="274" t="n"/>
      <c r="Z79" s="274" t="n"/>
      <c r="AA79" s="274" t="n"/>
      <c r="AB79" s="274" t="n"/>
      <c r="AC79" s="274" t="n"/>
      <c r="AD79" s="274" t="n"/>
      <c r="AE79" s="274" t="n"/>
      <c r="AF79" s="274" t="n"/>
      <c r="AG79" s="274" t="n"/>
      <c r="AH79" s="274" t="n"/>
      <c r="AI79" s="274" t="n"/>
      <c r="AJ79" s="274" t="n"/>
      <c r="AK79" s="274" t="n"/>
    </row>
    <row r="80">
      <c r="A80" s="274" t="inlineStr">
        <is>
          <t>등촌동</t>
        </is>
      </c>
      <c r="B80" s="274" t="n"/>
      <c r="C80" s="274" t="n"/>
      <c r="D80" s="274" t="n">
        <v>15578</v>
      </c>
      <c r="E80" s="275" t="inlineStr">
        <is>
          <t>두보하이츠</t>
        </is>
      </c>
      <c r="F80" s="274" t="n">
        <v>1988.11</v>
      </c>
      <c r="G80" s="274" t="n">
        <v>213</v>
      </c>
      <c r="H80" s="274">
        <f>2026-INT(F80)+1</f>
        <v/>
      </c>
      <c r="I80" s="274" t="n"/>
      <c r="J80" s="274" t="n">
        <v>86</v>
      </c>
      <c r="K80" s="274" t="n">
        <v>59</v>
      </c>
      <c r="L80" s="274" t="n">
        <v>26</v>
      </c>
      <c r="M80" s="274" t="inlineStr">
        <is>
          <t>계단식</t>
        </is>
      </c>
      <c r="N80" s="274" t="n">
        <v>3</v>
      </c>
      <c r="O80" s="274" t="n">
        <v>1</v>
      </c>
      <c r="P80" s="274" t="n">
        <v>36</v>
      </c>
      <c r="Q80" s="274" t="n"/>
      <c r="R80" s="274" t="n"/>
      <c r="S80" s="274" t="n"/>
      <c r="T80" s="274" t="n"/>
      <c r="U80" s="274" t="n"/>
      <c r="V80" s="274" t="n"/>
      <c r="W80" s="274" t="n"/>
      <c r="X80" s="274" t="n"/>
      <c r="Y80" s="274" t="n"/>
      <c r="Z80" s="274" t="n"/>
      <c r="AA80" s="274" t="n"/>
      <c r="AB80" s="274" t="n"/>
      <c r="AC80" s="274" t="n"/>
      <c r="AD80" s="274" t="n"/>
      <c r="AE80" s="274" t="n"/>
      <c r="AF80" s="274" t="n"/>
      <c r="AG80" s="274" t="n"/>
      <c r="AH80" s="274" t="n"/>
      <c r="AI80" s="274" t="n"/>
      <c r="AJ80" s="274" t="n"/>
      <c r="AK80" s="274" t="n"/>
    </row>
    <row r="81">
      <c r="A81" s="274" t="inlineStr">
        <is>
          <t>등촌동</t>
        </is>
      </c>
      <c r="B81" s="274" t="n"/>
      <c r="C81" s="274" t="n"/>
      <c r="D81" s="274" t="n">
        <v>15578</v>
      </c>
      <c r="E81" s="275" t="inlineStr">
        <is>
          <t>두보하이츠</t>
        </is>
      </c>
      <c r="F81" s="274" t="n">
        <v>1988.11</v>
      </c>
      <c r="G81" s="274" t="n">
        <v>213</v>
      </c>
      <c r="H81" s="274">
        <f>2026-INT(F81)+1</f>
        <v/>
      </c>
      <c r="I81" s="274" t="n"/>
      <c r="J81" s="274" t="n">
        <v>88</v>
      </c>
      <c r="K81" s="274" t="n">
        <v>55</v>
      </c>
      <c r="L81" s="274" t="n">
        <v>27</v>
      </c>
      <c r="M81" s="274" t="inlineStr">
        <is>
          <t>계단식</t>
        </is>
      </c>
      <c r="N81" s="274" t="n">
        <v>3</v>
      </c>
      <c r="O81" s="274" t="n">
        <v>1</v>
      </c>
      <c r="P81" s="274" t="n">
        <v>3</v>
      </c>
      <c r="Q81" s="274" t="n"/>
      <c r="R81" s="274" t="n"/>
      <c r="S81" s="274" t="n"/>
      <c r="T81" s="274" t="n"/>
      <c r="U81" s="274" t="n"/>
      <c r="V81" s="274" t="n"/>
      <c r="W81" s="274" t="n"/>
      <c r="X81" s="274" t="n"/>
      <c r="Y81" s="274" t="n"/>
      <c r="Z81" s="274" t="n"/>
      <c r="AA81" s="274" t="n"/>
      <c r="AB81" s="274" t="n"/>
      <c r="AC81" s="274" t="n"/>
      <c r="AD81" s="274" t="n"/>
      <c r="AE81" s="274" t="n"/>
      <c r="AF81" s="274" t="n"/>
      <c r="AG81" s="274" t="n"/>
      <c r="AH81" s="274" t="n"/>
      <c r="AI81" s="274" t="n"/>
      <c r="AJ81" s="274" t="n"/>
      <c r="AK81" s="274" t="n"/>
    </row>
    <row r="82">
      <c r="A82" s="274" t="inlineStr">
        <is>
          <t>등촌동</t>
        </is>
      </c>
      <c r="B82" s="274" t="n"/>
      <c r="C82" s="274" t="n"/>
      <c r="D82" s="274" t="n">
        <v>15578</v>
      </c>
      <c r="E82" s="275" t="inlineStr">
        <is>
          <t>두보하이츠</t>
        </is>
      </c>
      <c r="F82" s="274" t="n">
        <v>1988.11</v>
      </c>
      <c r="G82" s="274" t="n">
        <v>213</v>
      </c>
      <c r="H82" s="274">
        <f>2026-INT(F82)+1</f>
        <v/>
      </c>
      <c r="I82" s="274" t="n"/>
      <c r="J82" s="274" t="n">
        <v>91</v>
      </c>
      <c r="K82" s="274" t="n">
        <v>57</v>
      </c>
      <c r="L82" s="274" t="n">
        <v>28</v>
      </c>
      <c r="M82" s="274" t="inlineStr">
        <is>
          <t>계단식</t>
        </is>
      </c>
      <c r="N82" s="274" t="n">
        <v>3</v>
      </c>
      <c r="O82" s="274" t="n">
        <v>1</v>
      </c>
      <c r="P82" s="274" t="n">
        <v>6</v>
      </c>
      <c r="Q82" s="274" t="n"/>
      <c r="R82" s="274" t="n"/>
      <c r="S82" s="274" t="n"/>
      <c r="T82" s="274" t="n"/>
      <c r="U82" s="274" t="n"/>
      <c r="V82" s="274" t="n"/>
      <c r="W82" s="274" t="n"/>
      <c r="X82" s="274" t="n"/>
      <c r="Y82" s="274" t="n"/>
      <c r="Z82" s="274" t="n"/>
      <c r="AA82" s="274" t="n"/>
      <c r="AB82" s="274" t="n"/>
      <c r="AC82" s="274" t="n"/>
      <c r="AD82" s="274" t="n"/>
      <c r="AE82" s="274" t="n"/>
      <c r="AF82" s="274" t="n"/>
      <c r="AG82" s="274" t="n"/>
      <c r="AH82" s="274" t="n"/>
      <c r="AI82" s="274" t="n"/>
      <c r="AJ82" s="274" t="n"/>
      <c r="AK82" s="274" t="n"/>
    </row>
    <row r="83">
      <c r="A83" s="458" t="inlineStr">
        <is>
          <t>등촌동</t>
        </is>
      </c>
      <c r="D83" s="458" t="n">
        <v>4</v>
      </c>
      <c r="E83" s="277" t="inlineStr">
        <is>
          <t>등촌대림</t>
        </is>
      </c>
      <c r="F83" s="458" t="n">
        <v>1995.07</v>
      </c>
      <c r="G83" s="458" t="n">
        <v>680</v>
      </c>
      <c r="H83" s="458">
        <f>2026-INT(F83)+1</f>
        <v/>
      </c>
      <c r="J83" s="458" t="n">
        <v>113</v>
      </c>
      <c r="K83" s="458" t="n">
        <v>89</v>
      </c>
      <c r="L83" s="458" t="n">
        <v>34</v>
      </c>
      <c r="M83" s="458" t="inlineStr">
        <is>
          <t>계단식</t>
        </is>
      </c>
      <c r="N83" s="458" t="n">
        <v>3</v>
      </c>
      <c r="O83" s="458" t="n">
        <v>2</v>
      </c>
      <c r="P83" s="458" t="n">
        <v>296</v>
      </c>
      <c r="U83" s="458" t="n">
        <v>13.4</v>
      </c>
      <c r="V83" s="458" t="n">
        <v>9.1</v>
      </c>
    </row>
    <row r="84">
      <c r="A84" s="458" t="inlineStr">
        <is>
          <t>등촌동</t>
        </is>
      </c>
      <c r="D84" s="458" t="n">
        <v>4</v>
      </c>
      <c r="E84" s="277" t="inlineStr">
        <is>
          <t>등촌대림</t>
        </is>
      </c>
      <c r="F84" s="458" t="n">
        <v>1995.07</v>
      </c>
      <c r="G84" s="458" t="n">
        <v>680</v>
      </c>
      <c r="H84" s="458">
        <f>2026-INT(F84)+1</f>
        <v/>
      </c>
      <c r="J84" s="458" t="n">
        <v>151</v>
      </c>
      <c r="K84" s="458" t="n">
        <v>123</v>
      </c>
      <c r="L84" s="458" t="n">
        <v>46</v>
      </c>
      <c r="M84" s="458" t="inlineStr">
        <is>
          <t>계단식</t>
        </is>
      </c>
      <c r="N84" s="458" t="n">
        <v>4</v>
      </c>
      <c r="O84" s="458" t="n">
        <v>2</v>
      </c>
      <c r="P84" s="458" t="n">
        <v>384</v>
      </c>
      <c r="U84" s="458" t="n">
        <v>12.5</v>
      </c>
      <c r="V84" s="458" t="n"/>
    </row>
    <row r="85">
      <c r="A85" s="276" t="inlineStr">
        <is>
          <t>등촌동</t>
        </is>
      </c>
      <c r="B85" s="274" t="n"/>
      <c r="C85" s="274" t="n"/>
      <c r="D85" s="276" t="n">
        <v>5</v>
      </c>
      <c r="E85" s="275" t="inlineStr">
        <is>
          <t>등촌동성</t>
        </is>
      </c>
      <c r="F85" s="276" t="n">
        <v>1995.11</v>
      </c>
      <c r="G85" s="276" t="n">
        <v>457</v>
      </c>
      <c r="H85" s="276">
        <f>2026-INT(F85)+1</f>
        <v/>
      </c>
      <c r="I85" s="274" t="n"/>
      <c r="J85" s="276" t="n">
        <v>120</v>
      </c>
      <c r="K85" s="276" t="n">
        <v>101</v>
      </c>
      <c r="L85" s="276" t="n">
        <v>36</v>
      </c>
      <c r="M85" s="276" t="inlineStr">
        <is>
          <t>계단식</t>
        </is>
      </c>
      <c r="N85" s="276" t="n">
        <v>3</v>
      </c>
      <c r="O85" s="276" t="n">
        <v>2</v>
      </c>
      <c r="P85" s="276" t="n">
        <v>228</v>
      </c>
      <c r="Q85" s="274" t="n"/>
      <c r="R85" s="274" t="n"/>
      <c r="S85" s="274" t="n"/>
      <c r="T85" s="274" t="n"/>
      <c r="U85" s="276" t="n">
        <v>11</v>
      </c>
      <c r="V85" s="276" t="n">
        <v>9</v>
      </c>
      <c r="W85" s="274" t="n"/>
      <c r="X85" s="274" t="n"/>
      <c r="Y85" s="274" t="n"/>
      <c r="Z85" s="274" t="n"/>
      <c r="AA85" s="274" t="n"/>
      <c r="AB85" s="274" t="n"/>
      <c r="AC85" s="274" t="n"/>
      <c r="AD85" s="274" t="n"/>
      <c r="AE85" s="274" t="n"/>
      <c r="AF85" s="274" t="n"/>
      <c r="AG85" s="274" t="n"/>
      <c r="AH85" s="274" t="n"/>
      <c r="AI85" s="274" t="n"/>
      <c r="AJ85" s="274" t="n"/>
      <c r="AK85" s="274" t="n"/>
    </row>
    <row r="86">
      <c r="A86" s="274" t="inlineStr">
        <is>
          <t>등촌동</t>
        </is>
      </c>
      <c r="B86" s="274" t="n"/>
      <c r="C86" s="274" t="n"/>
      <c r="D86" s="274" t="n">
        <v>5</v>
      </c>
      <c r="E86" s="275" t="inlineStr">
        <is>
          <t>등촌동성</t>
        </is>
      </c>
      <c r="F86" s="274" t="n">
        <v>1995.11</v>
      </c>
      <c r="G86" s="274" t="n">
        <v>457</v>
      </c>
      <c r="H86" s="274">
        <f>2026-INT(F86)+1</f>
        <v/>
      </c>
      <c r="I86" s="274" t="n"/>
      <c r="J86" s="274" t="n">
        <v>159</v>
      </c>
      <c r="K86" s="274" t="n">
        <v>134</v>
      </c>
      <c r="L86" s="274" t="n">
        <v>48</v>
      </c>
      <c r="M86" s="274" t="inlineStr">
        <is>
          <t>계단식</t>
        </is>
      </c>
      <c r="N86" s="274" t="n">
        <v>4</v>
      </c>
      <c r="O86" s="274" t="n">
        <v>2</v>
      </c>
      <c r="P86" s="274" t="n">
        <v>129</v>
      </c>
      <c r="Q86" s="274" t="n"/>
      <c r="R86" s="274" t="n"/>
      <c r="S86" s="274" t="n"/>
      <c r="T86" s="274" t="n"/>
      <c r="U86" s="274" t="n">
        <v>13.8</v>
      </c>
      <c r="V86" s="274" t="n">
        <v>10.8</v>
      </c>
      <c r="W86" s="274" t="n"/>
      <c r="X86" s="274" t="n"/>
      <c r="Y86" s="274" t="n"/>
      <c r="Z86" s="274" t="n"/>
      <c r="AA86" s="274" t="n"/>
      <c r="AB86" s="274" t="n"/>
      <c r="AC86" s="274" t="n"/>
      <c r="AD86" s="274" t="n"/>
      <c r="AE86" s="274" t="n"/>
      <c r="AF86" s="274" t="n"/>
      <c r="AG86" s="274" t="n"/>
      <c r="AH86" s="274" t="n"/>
      <c r="AI86" s="274" t="n"/>
      <c r="AJ86" s="274" t="n"/>
      <c r="AK86" s="274" t="n"/>
    </row>
    <row r="87">
      <c r="A87" s="274" t="inlineStr">
        <is>
          <t>등촌동</t>
        </is>
      </c>
      <c r="B87" s="274" t="n"/>
      <c r="C87" s="274" t="n"/>
      <c r="D87" s="274" t="n">
        <v>5</v>
      </c>
      <c r="E87" s="275" t="inlineStr">
        <is>
          <t>등촌동성</t>
        </is>
      </c>
      <c r="F87" s="274" t="n">
        <v>1995.11</v>
      </c>
      <c r="G87" s="274" t="n">
        <v>457</v>
      </c>
      <c r="H87" s="274">
        <f>2026-INT(F87)+1</f>
        <v/>
      </c>
      <c r="I87" s="274" t="n"/>
      <c r="J87" s="274" t="n">
        <v>177</v>
      </c>
      <c r="K87" s="274" t="n">
        <v>150</v>
      </c>
      <c r="L87" s="274" t="n">
        <v>54</v>
      </c>
      <c r="M87" s="274" t="inlineStr">
        <is>
          <t>계단식</t>
        </is>
      </c>
      <c r="N87" s="274" t="n">
        <v>5</v>
      </c>
      <c r="O87" s="274" t="n">
        <v>2</v>
      </c>
      <c r="P87" s="274" t="n">
        <v>100</v>
      </c>
      <c r="Q87" s="274" t="n"/>
      <c r="R87" s="274" t="n"/>
      <c r="S87" s="274" t="n"/>
      <c r="T87" s="274" t="n"/>
      <c r="U87" s="274" t="n">
        <v>13.2</v>
      </c>
      <c r="V87" s="274" t="n">
        <v>11</v>
      </c>
      <c r="W87" s="274" t="n"/>
      <c r="X87" s="274" t="n"/>
      <c r="Y87" s="274" t="n"/>
      <c r="Z87" s="274" t="n"/>
      <c r="AA87" s="274" t="n"/>
      <c r="AB87" s="274" t="n"/>
      <c r="AC87" s="274" t="n"/>
      <c r="AD87" s="274" t="n"/>
      <c r="AE87" s="274" t="n"/>
      <c r="AF87" s="274" t="n"/>
      <c r="AG87" s="274" t="n"/>
      <c r="AH87" s="274" t="n"/>
      <c r="AI87" s="274" t="n"/>
      <c r="AJ87" s="274" t="n"/>
      <c r="AK87" s="274" t="n"/>
    </row>
    <row r="88">
      <c r="A88" s="458" t="inlineStr">
        <is>
          <t>등촌동</t>
        </is>
      </c>
      <c r="D88" s="458" t="n">
        <v>1017</v>
      </c>
      <c r="E88" s="277" t="inlineStr">
        <is>
          <t>등촌마을서광</t>
        </is>
      </c>
      <c r="F88" s="458" t="n">
        <v>1999.04</v>
      </c>
      <c r="G88" s="458" t="n">
        <v>430</v>
      </c>
      <c r="H88" s="458">
        <f>2026-INT(F88)+1</f>
        <v/>
      </c>
      <c r="J88" s="458" t="n">
        <v>79</v>
      </c>
      <c r="K88" s="458" t="n">
        <v>59</v>
      </c>
      <c r="L88" s="458" t="n">
        <v>24</v>
      </c>
      <c r="M88" s="458" t="inlineStr">
        <is>
          <t>계단식</t>
        </is>
      </c>
      <c r="N88" s="458" t="n">
        <v>3</v>
      </c>
      <c r="O88" s="458" t="n">
        <v>1</v>
      </c>
      <c r="P88" s="458" t="n">
        <v>227</v>
      </c>
      <c r="U88" s="458" t="n">
        <v>8.5</v>
      </c>
      <c r="V88" s="458" t="n">
        <v>6.1</v>
      </c>
    </row>
    <row r="89">
      <c r="A89" s="458" t="inlineStr">
        <is>
          <t>등촌동</t>
        </is>
      </c>
      <c r="D89" s="458" t="n">
        <v>1017</v>
      </c>
      <c r="E89" s="277" t="inlineStr">
        <is>
          <t>등촌마을서광</t>
        </is>
      </c>
      <c r="F89" s="458" t="n">
        <v>1999.04</v>
      </c>
      <c r="G89" s="458" t="n">
        <v>430</v>
      </c>
      <c r="H89" s="458">
        <f>2026-INT(F89)+1</f>
        <v/>
      </c>
      <c r="J89" s="458" t="n">
        <v>107</v>
      </c>
      <c r="K89" s="458" t="n">
        <v>84</v>
      </c>
      <c r="L89" s="458" t="n">
        <v>32</v>
      </c>
      <c r="M89" s="458" t="inlineStr">
        <is>
          <t>계단식</t>
        </is>
      </c>
      <c r="N89" s="458" t="n">
        <v>3</v>
      </c>
      <c r="O89" s="458" t="n">
        <v>2</v>
      </c>
      <c r="P89" s="458" t="n">
        <v>203</v>
      </c>
      <c r="U89" s="458" t="n">
        <v>10.5</v>
      </c>
      <c r="V89" s="458" t="n">
        <v>7.45</v>
      </c>
    </row>
    <row r="90">
      <c r="A90" s="274" t="inlineStr">
        <is>
          <t>등촌동</t>
        </is>
      </c>
      <c r="B90" s="274" t="n"/>
      <c r="C90" s="274" t="n"/>
      <c r="D90" s="274" t="n">
        <v>13859</v>
      </c>
      <c r="E90" s="275" t="inlineStr">
        <is>
          <t>등촌아이파크</t>
        </is>
      </c>
      <c r="F90" s="274" t="n">
        <v>2004.01</v>
      </c>
      <c r="G90" s="274" t="n">
        <v>1653</v>
      </c>
      <c r="H90" s="274">
        <f>2026-INT(F90)+1</f>
        <v/>
      </c>
      <c r="I90" s="274" t="n"/>
      <c r="J90" s="274" t="n">
        <v>105</v>
      </c>
      <c r="K90" s="274" t="n">
        <v>84</v>
      </c>
      <c r="L90" s="274" t="n">
        <v>32</v>
      </c>
      <c r="M90" s="274" t="inlineStr">
        <is>
          <t>계단식</t>
        </is>
      </c>
      <c r="N90" s="274" t="n">
        <v>3</v>
      </c>
      <c r="O90" s="274" t="n">
        <v>2</v>
      </c>
      <c r="P90" s="274" t="n">
        <v>905</v>
      </c>
      <c r="Q90" s="274" t="n"/>
      <c r="R90" s="274" t="n"/>
      <c r="S90" s="274" t="n"/>
      <c r="T90" s="274" t="n"/>
      <c r="U90" s="274" t="n">
        <v>12.95</v>
      </c>
      <c r="V90" s="274" t="n">
        <v>6.5</v>
      </c>
      <c r="W90" s="274" t="n"/>
      <c r="X90" s="274" t="n"/>
      <c r="Y90" s="274" t="n"/>
      <c r="Z90" s="274" t="n"/>
      <c r="AA90" s="274" t="n"/>
      <c r="AB90" s="274" t="n"/>
      <c r="AC90" s="274" t="n"/>
      <c r="AD90" s="274" t="n"/>
      <c r="AE90" s="274" t="n"/>
      <c r="AF90" s="274" t="n"/>
      <c r="AG90" s="274" t="n"/>
      <c r="AH90" s="274" t="n"/>
      <c r="AI90" s="274" t="n"/>
      <c r="AJ90" s="274" t="n"/>
      <c r="AK90" s="274" t="n"/>
    </row>
    <row r="91">
      <c r="A91" s="274" t="inlineStr">
        <is>
          <t>등촌동</t>
        </is>
      </c>
      <c r="B91" s="274" t="n"/>
      <c r="C91" s="274" t="n"/>
      <c r="D91" s="274" t="n">
        <v>13859</v>
      </c>
      <c r="E91" s="275" t="inlineStr">
        <is>
          <t>등촌아이파크</t>
        </is>
      </c>
      <c r="F91" s="274" t="n">
        <v>2004.01</v>
      </c>
      <c r="G91" s="274" t="n">
        <v>1653</v>
      </c>
      <c r="H91" s="274">
        <f>2026-INT(F91)+1</f>
        <v/>
      </c>
      <c r="I91" s="274" t="n"/>
      <c r="J91" s="274" t="n">
        <v>150</v>
      </c>
      <c r="K91" s="274" t="n">
        <v>119</v>
      </c>
      <c r="L91" s="274" t="n">
        <v>45</v>
      </c>
      <c r="M91" s="274" t="inlineStr">
        <is>
          <t>계단식</t>
        </is>
      </c>
      <c r="N91" s="274" t="n">
        <v>4</v>
      </c>
      <c r="O91" s="274" t="n">
        <v>2</v>
      </c>
      <c r="P91" s="274" t="n">
        <v>137</v>
      </c>
      <c r="Q91" s="274" t="n"/>
      <c r="R91" s="274" t="n"/>
      <c r="S91" s="274" t="n"/>
      <c r="T91" s="274" t="n"/>
      <c r="U91" s="274" t="n">
        <v>14</v>
      </c>
      <c r="V91" s="274" t="n">
        <v>9.4</v>
      </c>
      <c r="W91" s="274" t="n"/>
      <c r="X91" s="274" t="n"/>
      <c r="Y91" s="274" t="n"/>
      <c r="Z91" s="274" t="n"/>
      <c r="AA91" s="274" t="n"/>
      <c r="AB91" s="274" t="n"/>
      <c r="AC91" s="274" t="n"/>
      <c r="AD91" s="274" t="n"/>
      <c r="AE91" s="274" t="n"/>
      <c r="AF91" s="274" t="n"/>
      <c r="AG91" s="274" t="n"/>
      <c r="AH91" s="274" t="n"/>
      <c r="AI91" s="274" t="n"/>
      <c r="AJ91" s="274" t="n"/>
      <c r="AK91" s="274" t="n"/>
    </row>
    <row r="92">
      <c r="A92" s="274" t="inlineStr">
        <is>
          <t>등촌동</t>
        </is>
      </c>
      <c r="B92" s="274" t="n"/>
      <c r="C92" s="274" t="n"/>
      <c r="D92" s="274" t="n">
        <v>13859</v>
      </c>
      <c r="E92" s="275" t="inlineStr">
        <is>
          <t>등촌아이파크</t>
        </is>
      </c>
      <c r="F92" s="274" t="n">
        <v>2004.01</v>
      </c>
      <c r="G92" s="274" t="n">
        <v>1653</v>
      </c>
      <c r="H92" s="274">
        <f>2026-INT(F92)+1</f>
        <v/>
      </c>
      <c r="I92" s="274" t="n"/>
      <c r="J92" s="274" t="n">
        <v>170</v>
      </c>
      <c r="K92" s="274" t="n">
        <v>134</v>
      </c>
      <c r="L92" s="274" t="n">
        <v>51</v>
      </c>
      <c r="M92" s="274" t="inlineStr">
        <is>
          <t>계단식</t>
        </is>
      </c>
      <c r="N92" s="274" t="n">
        <v>4</v>
      </c>
      <c r="O92" s="274" t="n">
        <v>2</v>
      </c>
      <c r="P92" s="274" t="n">
        <v>378</v>
      </c>
      <c r="Q92" s="274" t="n"/>
      <c r="R92" s="274" t="n"/>
      <c r="S92" s="274" t="n"/>
      <c r="T92" s="274" t="n"/>
      <c r="U92" s="274" t="n">
        <v>15.5</v>
      </c>
      <c r="V92" s="274" t="n">
        <v>9.75</v>
      </c>
      <c r="W92" s="274" t="n"/>
      <c r="X92" s="274" t="n"/>
      <c r="Y92" s="274" t="n"/>
      <c r="Z92" s="274" t="n"/>
      <c r="AA92" s="274" t="n"/>
      <c r="AB92" s="274" t="n"/>
      <c r="AC92" s="274" t="n"/>
      <c r="AD92" s="274" t="n"/>
      <c r="AE92" s="274" t="n"/>
      <c r="AF92" s="274" t="n"/>
      <c r="AG92" s="274" t="n"/>
      <c r="AH92" s="274" t="n"/>
      <c r="AI92" s="274" t="n"/>
      <c r="AJ92" s="274" t="n"/>
      <c r="AK92" s="274" t="n"/>
    </row>
    <row r="93">
      <c r="A93" s="274" t="inlineStr">
        <is>
          <t>등촌동</t>
        </is>
      </c>
      <c r="B93" s="274" t="n"/>
      <c r="C93" s="274" t="n"/>
      <c r="D93" s="274" t="n">
        <v>13859</v>
      </c>
      <c r="E93" s="275" t="inlineStr">
        <is>
          <t>등촌아이파크</t>
        </is>
      </c>
      <c r="F93" s="274" t="n">
        <v>2004.01</v>
      </c>
      <c r="G93" s="274" t="n">
        <v>1653</v>
      </c>
      <c r="H93" s="274">
        <f>2026-INT(F93)+1</f>
        <v/>
      </c>
      <c r="I93" s="274" t="n"/>
      <c r="J93" s="274" t="n">
        <v>204</v>
      </c>
      <c r="K93" s="274" t="n">
        <v>165</v>
      </c>
      <c r="L93" s="274" t="n">
        <v>62</v>
      </c>
      <c r="M93" s="274" t="inlineStr">
        <is>
          <t>계단식</t>
        </is>
      </c>
      <c r="N93" s="274" t="n">
        <v>4</v>
      </c>
      <c r="O93" s="274" t="n">
        <v>3</v>
      </c>
      <c r="P93" s="274" t="n">
        <v>227</v>
      </c>
      <c r="Q93" s="274" t="n"/>
      <c r="R93" s="274" t="n"/>
      <c r="S93" s="274" t="n"/>
      <c r="T93" s="274" t="n"/>
      <c r="U93" s="274" t="n">
        <v>15</v>
      </c>
      <c r="V93" s="274" t="n">
        <v>12.5</v>
      </c>
      <c r="W93" s="274" t="n"/>
      <c r="X93" s="274" t="n"/>
      <c r="Y93" s="274" t="n"/>
      <c r="Z93" s="274" t="n"/>
      <c r="AA93" s="274" t="n"/>
      <c r="AB93" s="274" t="n"/>
      <c r="AC93" s="274" t="n"/>
      <c r="AD93" s="274" t="n"/>
      <c r="AE93" s="274" t="n"/>
      <c r="AF93" s="274" t="n"/>
      <c r="AG93" s="274" t="n"/>
      <c r="AH93" s="274" t="n"/>
      <c r="AI93" s="274" t="n"/>
      <c r="AJ93" s="274" t="n"/>
      <c r="AK93" s="274" t="n"/>
    </row>
    <row r="94">
      <c r="A94" s="276" t="inlineStr">
        <is>
          <t>등촌동</t>
        </is>
      </c>
      <c r="B94" s="274" t="n"/>
      <c r="C94" s="274" t="n"/>
      <c r="D94" s="276" t="n">
        <v>13859</v>
      </c>
      <c r="E94" s="275" t="inlineStr">
        <is>
          <t>등촌아이파크</t>
        </is>
      </c>
      <c r="F94" s="276" t="n">
        <v>2004.01</v>
      </c>
      <c r="G94" s="276" t="n">
        <v>1653</v>
      </c>
      <c r="H94" s="276">
        <f>2026-INT(F94)+1</f>
        <v/>
      </c>
      <c r="I94" s="274" t="n"/>
      <c r="J94" s="276" t="n">
        <v>296</v>
      </c>
      <c r="K94" s="276" t="n">
        <v>233</v>
      </c>
      <c r="L94" s="276" t="n">
        <v>90</v>
      </c>
      <c r="M94" s="276" t="inlineStr">
        <is>
          <t>계단식</t>
        </is>
      </c>
      <c r="N94" s="276" t="n">
        <v>5</v>
      </c>
      <c r="O94" s="276" t="n">
        <v>4</v>
      </c>
      <c r="P94" s="276" t="n">
        <v>6</v>
      </c>
      <c r="Q94" s="274" t="n"/>
      <c r="R94" s="274" t="n"/>
      <c r="S94" s="274" t="n"/>
      <c r="T94" s="274" t="n"/>
      <c r="U94" s="276" t="n"/>
      <c r="V94" s="276" t="n"/>
      <c r="W94" s="274" t="n"/>
      <c r="X94" s="274" t="n"/>
      <c r="Y94" s="274" t="n"/>
      <c r="Z94" s="274" t="n"/>
      <c r="AA94" s="274" t="n"/>
      <c r="AB94" s="274" t="n"/>
      <c r="AC94" s="274" t="n"/>
      <c r="AD94" s="274" t="n"/>
      <c r="AE94" s="274" t="n"/>
      <c r="AF94" s="274" t="n"/>
      <c r="AG94" s="274" t="n"/>
      <c r="AH94" s="274" t="n"/>
      <c r="AI94" s="274" t="n"/>
      <c r="AJ94" s="274" t="n"/>
      <c r="AK94" s="274" t="n"/>
    </row>
    <row r="95">
      <c r="A95" s="458" t="inlineStr">
        <is>
          <t>등촌동</t>
        </is>
      </c>
      <c r="D95" s="458" t="n">
        <v>10</v>
      </c>
      <c r="E95" s="277" t="inlineStr">
        <is>
          <t>등촌주공10단지</t>
        </is>
      </c>
      <c r="F95" s="458" t="n">
        <v>1995.1</v>
      </c>
      <c r="G95" s="458" t="n">
        <v>566</v>
      </c>
      <c r="H95" s="458">
        <f>2026-INT(F95)+1</f>
        <v/>
      </c>
      <c r="J95" s="458" t="n">
        <v>55</v>
      </c>
      <c r="K95" s="458" t="n">
        <v>37</v>
      </c>
      <c r="L95" s="458" t="n">
        <v>17</v>
      </c>
      <c r="M95" s="458" t="inlineStr">
        <is>
          <t>복도식</t>
        </is>
      </c>
      <c r="N95" s="458" t="n">
        <v>2</v>
      </c>
      <c r="O95" s="458" t="n">
        <v>1</v>
      </c>
      <c r="P95" s="458" t="n">
        <v>149</v>
      </c>
      <c r="U95" s="458" t="n">
        <v>7.27</v>
      </c>
      <c r="V95" s="458" t="n">
        <v>3.7</v>
      </c>
    </row>
    <row r="96">
      <c r="A96" s="458" t="inlineStr">
        <is>
          <t>등촌동</t>
        </is>
      </c>
      <c r="D96" s="458" t="n">
        <v>10</v>
      </c>
      <c r="E96" s="277" t="inlineStr">
        <is>
          <t>등촌주공10단지</t>
        </is>
      </c>
      <c r="F96" s="458" t="n">
        <v>1995.1</v>
      </c>
      <c r="G96" s="458" t="n">
        <v>566</v>
      </c>
      <c r="H96" s="458">
        <f>2026-INT(F96)+1</f>
        <v/>
      </c>
      <c r="J96" s="458" t="n">
        <v>80</v>
      </c>
      <c r="K96" s="458" t="n">
        <v>58</v>
      </c>
      <c r="L96" s="458" t="n">
        <v>24</v>
      </c>
      <c r="M96" s="458" t="inlineStr">
        <is>
          <t>복도식</t>
        </is>
      </c>
      <c r="N96" s="458" t="n">
        <v>3</v>
      </c>
      <c r="O96" s="458" t="n">
        <v>1</v>
      </c>
      <c r="P96" s="458" t="n">
        <v>417</v>
      </c>
      <c r="U96" s="458" t="n">
        <v>9.6</v>
      </c>
      <c r="V96" s="458" t="n">
        <v>5.7</v>
      </c>
    </row>
    <row r="97">
      <c r="A97" s="274" t="inlineStr">
        <is>
          <t>등촌동</t>
        </is>
      </c>
      <c r="B97" s="274" t="n"/>
      <c r="C97" s="274" t="n"/>
      <c r="D97" s="274" t="n">
        <v>11</v>
      </c>
      <c r="E97" s="275" t="inlineStr">
        <is>
          <t>등촌주공2단지</t>
        </is>
      </c>
      <c r="F97" s="274" t="n">
        <v>1995.06</v>
      </c>
      <c r="G97" s="274" t="n">
        <v>505</v>
      </c>
      <c r="H97" s="274">
        <f>2026-INT(F97)+1</f>
        <v/>
      </c>
      <c r="I97" s="274" t="n"/>
      <c r="J97" s="274" t="n">
        <v>56</v>
      </c>
      <c r="K97" s="274" t="n">
        <v>41</v>
      </c>
      <c r="L97" s="274" t="n">
        <v>17</v>
      </c>
      <c r="M97" s="274" t="inlineStr">
        <is>
          <t>복도식</t>
        </is>
      </c>
      <c r="N97" s="274" t="n">
        <v>1</v>
      </c>
      <c r="O97" s="274" t="n">
        <v>1</v>
      </c>
      <c r="P97" s="274" t="n">
        <v>445</v>
      </c>
      <c r="Q97" s="274" t="n"/>
      <c r="R97" s="274" t="n"/>
      <c r="S97" s="274" t="n"/>
      <c r="T97" s="274" t="n"/>
      <c r="U97" s="274" t="n"/>
      <c r="V97" s="274" t="n"/>
      <c r="W97" s="274" t="n"/>
      <c r="X97" s="274" t="n"/>
      <c r="Y97" s="274" t="n"/>
      <c r="Z97" s="274" t="n"/>
      <c r="AA97" s="274" t="n"/>
      <c r="AB97" s="274" t="n"/>
      <c r="AC97" s="274" t="n"/>
      <c r="AD97" s="274" t="n"/>
      <c r="AE97" s="274" t="n"/>
      <c r="AF97" s="274" t="n"/>
      <c r="AG97" s="274" t="n"/>
      <c r="AH97" s="274" t="n"/>
      <c r="AI97" s="274" t="n"/>
      <c r="AJ97" s="274" t="n"/>
      <c r="AK97" s="274" t="n"/>
    </row>
    <row r="98">
      <c r="A98" s="274" t="inlineStr">
        <is>
          <t>등촌동</t>
        </is>
      </c>
      <c r="B98" s="274" t="n"/>
      <c r="C98" s="274" t="n"/>
      <c r="D98" s="274" t="n">
        <v>11</v>
      </c>
      <c r="E98" s="275" t="inlineStr">
        <is>
          <t>등촌주공2단지</t>
        </is>
      </c>
      <c r="F98" s="274" t="n">
        <v>1995.06</v>
      </c>
      <c r="G98" s="274" t="n">
        <v>505</v>
      </c>
      <c r="H98" s="274">
        <f>2026-INT(F98)+1</f>
        <v/>
      </c>
      <c r="I98" s="274" t="n"/>
      <c r="J98" s="274" t="n">
        <v>57</v>
      </c>
      <c r="K98" s="274" t="n">
        <v>41</v>
      </c>
      <c r="L98" s="274" t="n">
        <v>17</v>
      </c>
      <c r="M98" s="274" t="inlineStr">
        <is>
          <t>복도식</t>
        </is>
      </c>
      <c r="N98" s="274" t="n">
        <v>2</v>
      </c>
      <c r="O98" s="274" t="n">
        <v>1</v>
      </c>
      <c r="P98" s="274" t="n">
        <v>31</v>
      </c>
      <c r="Q98" s="274" t="n"/>
      <c r="R98" s="274" t="n"/>
      <c r="S98" s="274" t="n"/>
      <c r="T98" s="274" t="n"/>
      <c r="U98" s="274" t="n"/>
      <c r="V98" s="274" t="n"/>
      <c r="W98" s="274" t="n"/>
      <c r="X98" s="274" t="n"/>
      <c r="Y98" s="274" t="n"/>
      <c r="Z98" s="274" t="n"/>
      <c r="AA98" s="274" t="n"/>
      <c r="AB98" s="274" t="n"/>
      <c r="AC98" s="274" t="n"/>
      <c r="AD98" s="274" t="n"/>
      <c r="AE98" s="274" t="n"/>
      <c r="AF98" s="274" t="n"/>
      <c r="AG98" s="274" t="n"/>
      <c r="AH98" s="274" t="n"/>
      <c r="AI98" s="274" t="n"/>
      <c r="AJ98" s="274" t="n"/>
      <c r="AK98" s="274" t="n"/>
    </row>
    <row r="99">
      <c r="A99" s="274" t="inlineStr">
        <is>
          <t>등촌동</t>
        </is>
      </c>
      <c r="B99" s="274" t="n"/>
      <c r="C99" s="274" t="n"/>
      <c r="D99" s="274" t="n">
        <v>11</v>
      </c>
      <c r="E99" s="275" t="inlineStr">
        <is>
          <t>등촌주공2단지</t>
        </is>
      </c>
      <c r="F99" s="274" t="n">
        <v>1995.06</v>
      </c>
      <c r="G99" s="274" t="n">
        <v>505</v>
      </c>
      <c r="H99" s="274">
        <f>2026-INT(F99)+1</f>
        <v/>
      </c>
      <c r="I99" s="274" t="n"/>
      <c r="J99" s="274" t="n">
        <v>70</v>
      </c>
      <c r="K99" s="274" t="n">
        <v>49</v>
      </c>
      <c r="L99" s="274" t="n">
        <v>21</v>
      </c>
      <c r="M99" s="274" t="inlineStr">
        <is>
          <t>복도식</t>
        </is>
      </c>
      <c r="N99" s="274" t="n">
        <v>2</v>
      </c>
      <c r="O99" s="274" t="n">
        <v>1</v>
      </c>
      <c r="P99" s="274" t="n">
        <v>29</v>
      </c>
      <c r="Q99" s="274" t="n"/>
      <c r="R99" s="274" t="n"/>
      <c r="S99" s="274" t="n"/>
      <c r="T99" s="274" t="n"/>
      <c r="U99" s="274" t="n"/>
      <c r="V99" s="274" t="n"/>
      <c r="W99" s="274" t="n"/>
      <c r="X99" s="274" t="n"/>
      <c r="Y99" s="274" t="n"/>
      <c r="Z99" s="274" t="n"/>
      <c r="AA99" s="274" t="n"/>
      <c r="AB99" s="274" t="n"/>
      <c r="AC99" s="274" t="n"/>
      <c r="AD99" s="274" t="n"/>
      <c r="AE99" s="274" t="n"/>
      <c r="AF99" s="274" t="n"/>
      <c r="AG99" s="274" t="n"/>
      <c r="AH99" s="274" t="n"/>
      <c r="AI99" s="274" t="n"/>
      <c r="AJ99" s="274" t="n"/>
      <c r="AK99" s="274" t="n"/>
    </row>
    <row r="100">
      <c r="A100" s="458" t="inlineStr">
        <is>
          <t>등촌동</t>
        </is>
      </c>
      <c r="D100" s="458" t="n">
        <v>12</v>
      </c>
      <c r="E100" s="277" t="inlineStr">
        <is>
          <t>등촌주공3단지</t>
        </is>
      </c>
      <c r="F100" s="458" t="n">
        <v>1995.1</v>
      </c>
      <c r="G100" s="458" t="n">
        <v>1016</v>
      </c>
      <c r="H100" s="458">
        <f>2026-INT(F100)+1</f>
        <v/>
      </c>
      <c r="J100" s="458" t="n">
        <v>53</v>
      </c>
      <c r="K100" s="458" t="n">
        <v>37</v>
      </c>
      <c r="L100" s="458" t="n">
        <v>16</v>
      </c>
      <c r="M100" s="458" t="inlineStr">
        <is>
          <t>복도식</t>
        </is>
      </c>
      <c r="N100" s="458" t="n">
        <v>2</v>
      </c>
      <c r="O100" s="458" t="n">
        <v>1</v>
      </c>
      <c r="P100" s="458" t="n">
        <v>178</v>
      </c>
      <c r="U100" s="458" t="n">
        <v>6.5</v>
      </c>
      <c r="V100" s="458" t="n">
        <v>5.24</v>
      </c>
    </row>
    <row r="101">
      <c r="A101" s="458" t="inlineStr">
        <is>
          <t>등촌동</t>
        </is>
      </c>
      <c r="D101" s="458" t="n">
        <v>12</v>
      </c>
      <c r="E101" s="277" t="inlineStr">
        <is>
          <t>등촌주공3단지</t>
        </is>
      </c>
      <c r="F101" s="458" t="n">
        <v>1995.1</v>
      </c>
      <c r="G101" s="458" t="n">
        <v>1016</v>
      </c>
      <c r="H101" s="458">
        <f>2026-INT(F101)+1</f>
        <v/>
      </c>
      <c r="J101" s="458" t="n">
        <v>79</v>
      </c>
      <c r="K101" s="458" t="n">
        <v>58</v>
      </c>
      <c r="L101" s="458" t="n">
        <v>24</v>
      </c>
      <c r="M101" s="458" t="inlineStr">
        <is>
          <t>복도식</t>
        </is>
      </c>
      <c r="N101" s="458" t="n">
        <v>3</v>
      </c>
      <c r="O101" s="458" t="n">
        <v>1</v>
      </c>
      <c r="P101" s="458" t="n">
        <v>838</v>
      </c>
      <c r="U101" s="458" t="n">
        <v>10.5</v>
      </c>
      <c r="V101" s="458" t="n">
        <v>4.89</v>
      </c>
    </row>
    <row r="102">
      <c r="A102" s="276" t="inlineStr">
        <is>
          <t>등촌동</t>
        </is>
      </c>
      <c r="B102" s="274" t="n"/>
      <c r="C102" s="274" t="n"/>
      <c r="D102" s="276" t="n">
        <v>13</v>
      </c>
      <c r="E102" s="275" t="inlineStr">
        <is>
          <t>등촌주공5단지</t>
        </is>
      </c>
      <c r="F102" s="276" t="n">
        <v>1995.1</v>
      </c>
      <c r="G102" s="276" t="n">
        <v>1045</v>
      </c>
      <c r="H102" s="276">
        <f>2026-INT(F102)+1</f>
        <v/>
      </c>
      <c r="I102" s="274" t="n"/>
      <c r="J102" s="276" t="n">
        <v>55</v>
      </c>
      <c r="K102" s="276" t="n">
        <v>37</v>
      </c>
      <c r="L102" s="276" t="n">
        <v>17</v>
      </c>
      <c r="M102" s="276" t="inlineStr">
        <is>
          <t>복도식</t>
        </is>
      </c>
      <c r="N102" s="276" t="n">
        <v>2</v>
      </c>
      <c r="O102" s="276" t="n">
        <v>1</v>
      </c>
      <c r="P102" s="276" t="n">
        <v>238</v>
      </c>
      <c r="Q102" s="274" t="n"/>
      <c r="R102" s="274" t="n"/>
      <c r="S102" s="274" t="n"/>
      <c r="T102" s="274" t="n"/>
      <c r="U102" s="276" t="n">
        <v>7.16</v>
      </c>
      <c r="V102" s="276" t="n">
        <v>4.9</v>
      </c>
      <c r="W102" s="274" t="n"/>
      <c r="X102" s="274" t="n"/>
      <c r="Y102" s="274" t="n"/>
      <c r="Z102" s="274" t="n"/>
      <c r="AA102" s="274" t="n"/>
      <c r="AB102" s="274" t="n"/>
      <c r="AC102" s="274" t="n"/>
      <c r="AD102" s="274" t="n"/>
      <c r="AE102" s="274" t="n"/>
      <c r="AF102" s="274" t="n"/>
      <c r="AG102" s="274" t="n"/>
      <c r="AH102" s="274" t="n"/>
      <c r="AI102" s="274" t="n"/>
      <c r="AJ102" s="274" t="n"/>
      <c r="AK102" s="274" t="n"/>
    </row>
    <row r="103">
      <c r="A103" s="276" t="inlineStr">
        <is>
          <t>등촌동</t>
        </is>
      </c>
      <c r="B103" s="274" t="n"/>
      <c r="C103" s="274" t="n"/>
      <c r="D103" s="276" t="n">
        <v>13</v>
      </c>
      <c r="E103" s="275" t="inlineStr">
        <is>
          <t>등촌주공5단지</t>
        </is>
      </c>
      <c r="F103" s="276" t="n">
        <v>1995.1</v>
      </c>
      <c r="G103" s="276" t="n">
        <v>1045</v>
      </c>
      <c r="H103" s="276">
        <f>2026-INT(F103)+1</f>
        <v/>
      </c>
      <c r="I103" s="274" t="n"/>
      <c r="J103" s="276" t="n">
        <v>78</v>
      </c>
      <c r="K103" s="276" t="n">
        <v>58</v>
      </c>
      <c r="L103" s="276" t="n">
        <v>24</v>
      </c>
      <c r="M103" s="276" t="inlineStr">
        <is>
          <t>복도식</t>
        </is>
      </c>
      <c r="N103" s="276" t="n">
        <v>3</v>
      </c>
      <c r="O103" s="276" t="n">
        <v>1</v>
      </c>
      <c r="P103" s="276" t="n">
        <v>807</v>
      </c>
      <c r="Q103" s="274" t="n"/>
      <c r="R103" s="274" t="n"/>
      <c r="S103" s="274" t="n"/>
      <c r="T103" s="274" t="n"/>
      <c r="U103" s="276" t="n">
        <v>9.470000000000001</v>
      </c>
      <c r="V103" s="276" t="n">
        <v>5.2</v>
      </c>
      <c r="W103" s="274" t="n"/>
      <c r="X103" s="274" t="n"/>
      <c r="Y103" s="274" t="n"/>
      <c r="Z103" s="274" t="n"/>
      <c r="AA103" s="274" t="n"/>
      <c r="AB103" s="274" t="n"/>
      <c r="AC103" s="274" t="n"/>
      <c r="AD103" s="274" t="n"/>
      <c r="AE103" s="274" t="n"/>
      <c r="AF103" s="274" t="n"/>
      <c r="AG103" s="274" t="n"/>
      <c r="AH103" s="274" t="n"/>
      <c r="AI103" s="274" t="n"/>
      <c r="AJ103" s="274" t="n"/>
      <c r="AK103" s="274" t="n"/>
    </row>
    <row r="104">
      <c r="A104" s="458" t="inlineStr">
        <is>
          <t>등촌동</t>
        </is>
      </c>
      <c r="D104" s="458" t="n">
        <v>14</v>
      </c>
      <c r="E104" s="277" t="inlineStr">
        <is>
          <t>등촌주공8단지</t>
        </is>
      </c>
      <c r="F104" s="458" t="n">
        <v>1994.11</v>
      </c>
      <c r="G104" s="458" t="n">
        <v>445</v>
      </c>
      <c r="H104" s="458">
        <f>2026-INT(F104)+1</f>
        <v/>
      </c>
      <c r="J104" s="458" t="n">
        <v>56</v>
      </c>
      <c r="K104" s="458" t="n">
        <v>41</v>
      </c>
      <c r="L104" s="458" t="n">
        <v>17</v>
      </c>
      <c r="M104" s="458" t="inlineStr">
        <is>
          <t>복도식</t>
        </is>
      </c>
      <c r="N104" s="458" t="n">
        <v>2</v>
      </c>
      <c r="O104" s="458" t="n">
        <v>1</v>
      </c>
      <c r="P104" s="458" t="n">
        <v>445</v>
      </c>
      <c r="U104" s="458" t="n">
        <v>7.2</v>
      </c>
      <c r="V104" s="458" t="n">
        <v>2.7</v>
      </c>
    </row>
    <row r="105">
      <c r="A105" s="274" t="inlineStr">
        <is>
          <t>등촌동</t>
        </is>
      </c>
      <c r="B105" s="274" t="n"/>
      <c r="C105" s="274" t="n"/>
      <c r="D105" s="274" t="n">
        <v>6</v>
      </c>
      <c r="E105" s="275" t="inlineStr">
        <is>
          <t>라인</t>
        </is>
      </c>
      <c r="F105" s="274" t="n">
        <v>1997.1</v>
      </c>
      <c r="G105" s="274" t="n">
        <v>317</v>
      </c>
      <c r="H105" s="274">
        <f>2026-INT(F105)+1</f>
        <v/>
      </c>
      <c r="I105" s="274" t="n"/>
      <c r="J105" s="274" t="n">
        <v>87</v>
      </c>
      <c r="K105" s="274" t="n">
        <v>59</v>
      </c>
      <c r="L105" s="274" t="n">
        <v>26</v>
      </c>
      <c r="M105" s="274" t="inlineStr">
        <is>
          <t>복도식</t>
        </is>
      </c>
      <c r="N105" s="274" t="n">
        <v>2</v>
      </c>
      <c r="O105" s="274" t="n">
        <v>1</v>
      </c>
      <c r="P105" s="274" t="n">
        <v>169</v>
      </c>
      <c r="Q105" s="274" t="n"/>
      <c r="R105" s="274" t="n"/>
      <c r="S105" s="274" t="n"/>
      <c r="T105" s="274" t="n"/>
      <c r="U105" s="274" t="n">
        <v>8</v>
      </c>
      <c r="V105" s="274" t="n">
        <v>5.1</v>
      </c>
      <c r="W105" s="274" t="n"/>
      <c r="X105" s="274" t="n"/>
      <c r="Y105" s="274" t="n"/>
      <c r="Z105" s="274" t="n"/>
      <c r="AA105" s="274" t="n"/>
      <c r="AB105" s="274" t="n"/>
      <c r="AC105" s="274" t="n"/>
      <c r="AD105" s="274" t="n"/>
      <c r="AE105" s="274" t="n"/>
      <c r="AF105" s="274" t="n"/>
      <c r="AG105" s="274" t="n"/>
      <c r="AH105" s="274" t="n"/>
      <c r="AI105" s="274" t="n"/>
      <c r="AJ105" s="274" t="n"/>
      <c r="AK105" s="274" t="n"/>
    </row>
    <row r="106">
      <c r="A106" s="274" t="inlineStr">
        <is>
          <t>등촌동</t>
        </is>
      </c>
      <c r="B106" s="274" t="n"/>
      <c r="C106" s="274" t="n"/>
      <c r="D106" s="274" t="n">
        <v>6</v>
      </c>
      <c r="E106" s="275" t="inlineStr">
        <is>
          <t>라인</t>
        </is>
      </c>
      <c r="F106" s="274" t="n">
        <v>1997.1</v>
      </c>
      <c r="G106" s="274" t="n">
        <v>317</v>
      </c>
      <c r="H106" s="274">
        <f>2026-INT(F106)+1</f>
        <v/>
      </c>
      <c r="I106" s="274" t="n"/>
      <c r="J106" s="274" t="n">
        <v>107</v>
      </c>
      <c r="K106" s="274" t="n">
        <v>84</v>
      </c>
      <c r="L106" s="274" t="n">
        <v>32</v>
      </c>
      <c r="M106" s="274" t="inlineStr">
        <is>
          <t>계단식</t>
        </is>
      </c>
      <c r="N106" s="274" t="n">
        <v>3</v>
      </c>
      <c r="O106" s="274" t="n">
        <v>2</v>
      </c>
      <c r="P106" s="274" t="n">
        <v>108</v>
      </c>
      <c r="Q106" s="274" t="n"/>
      <c r="R106" s="274" t="n"/>
      <c r="S106" s="274" t="n"/>
      <c r="T106" s="274" t="n"/>
      <c r="U106" s="274" t="n">
        <v>8.800000000000001</v>
      </c>
      <c r="V106" s="274" t="n"/>
      <c r="W106" s="274" t="n"/>
      <c r="X106" s="274" t="n"/>
      <c r="Y106" s="274" t="n"/>
      <c r="Z106" s="274" t="n"/>
      <c r="AA106" s="274" t="n"/>
      <c r="AB106" s="274" t="n"/>
      <c r="AC106" s="274" t="n"/>
      <c r="AD106" s="274" t="n"/>
      <c r="AE106" s="274" t="n"/>
      <c r="AF106" s="274" t="n"/>
      <c r="AG106" s="274" t="n"/>
      <c r="AH106" s="274" t="n"/>
      <c r="AI106" s="274" t="n"/>
      <c r="AJ106" s="274" t="n"/>
      <c r="AK106" s="274" t="n"/>
    </row>
    <row r="107">
      <c r="A107" s="274" t="inlineStr">
        <is>
          <t>등촌동</t>
        </is>
      </c>
      <c r="B107" s="274" t="n"/>
      <c r="C107" s="274" t="n"/>
      <c r="D107" s="274" t="n">
        <v>6</v>
      </c>
      <c r="E107" s="275" t="inlineStr">
        <is>
          <t>라인</t>
        </is>
      </c>
      <c r="F107" s="274" t="n">
        <v>1997.1</v>
      </c>
      <c r="G107" s="274" t="n">
        <v>317</v>
      </c>
      <c r="H107" s="274">
        <f>2026-INT(F107)+1</f>
        <v/>
      </c>
      <c r="I107" s="274" t="n"/>
      <c r="J107" s="274" t="n">
        <v>117</v>
      </c>
      <c r="K107" s="274" t="n">
        <v>93</v>
      </c>
      <c r="L107" s="274" t="n">
        <v>35</v>
      </c>
      <c r="M107" s="274" t="inlineStr">
        <is>
          <t>계단식</t>
        </is>
      </c>
      <c r="N107" s="274" t="n">
        <v>3</v>
      </c>
      <c r="O107" s="274" t="n">
        <v>2</v>
      </c>
      <c r="P107" s="274" t="n">
        <v>40</v>
      </c>
      <c r="Q107" s="274" t="n"/>
      <c r="R107" s="274" t="n"/>
      <c r="S107" s="274" t="n"/>
      <c r="T107" s="274" t="n"/>
      <c r="U107" s="274" t="n">
        <v>8.98</v>
      </c>
      <c r="V107" s="274" t="n">
        <v>8.050000000000001</v>
      </c>
      <c r="W107" s="274" t="n"/>
      <c r="X107" s="274" t="n"/>
      <c r="Y107" s="274" t="n"/>
      <c r="Z107" s="274" t="n"/>
      <c r="AA107" s="274" t="n"/>
      <c r="AB107" s="274" t="n"/>
      <c r="AC107" s="274" t="n"/>
      <c r="AD107" s="274" t="n"/>
      <c r="AE107" s="274" t="n"/>
      <c r="AF107" s="274" t="n"/>
      <c r="AG107" s="274" t="n"/>
      <c r="AH107" s="274" t="n"/>
      <c r="AI107" s="274" t="n"/>
      <c r="AJ107" s="274" t="n"/>
      <c r="AK107" s="274" t="n"/>
    </row>
    <row r="108">
      <c r="A108" s="458" t="inlineStr">
        <is>
          <t>등촌동</t>
        </is>
      </c>
      <c r="D108" s="458" t="n">
        <v>15</v>
      </c>
      <c r="E108" s="277" t="inlineStr">
        <is>
          <t>미주진로</t>
        </is>
      </c>
      <c r="F108" s="458" t="n">
        <v>1994.1</v>
      </c>
      <c r="G108" s="458" t="n">
        <v>488</v>
      </c>
      <c r="H108" s="458">
        <f>2026-INT(F108)+1</f>
        <v/>
      </c>
      <c r="J108" s="458" t="n">
        <v>105</v>
      </c>
      <c r="K108" s="458" t="n">
        <v>84</v>
      </c>
      <c r="L108" s="458" t="n">
        <v>32</v>
      </c>
      <c r="M108" s="458" t="inlineStr">
        <is>
          <t>계단식</t>
        </is>
      </c>
      <c r="N108" s="458" t="n">
        <v>3</v>
      </c>
      <c r="O108" s="458" t="n">
        <v>2</v>
      </c>
      <c r="P108" s="458" t="n">
        <v>488</v>
      </c>
      <c r="U108" s="458" t="n">
        <v>9.300000000000001</v>
      </c>
      <c r="V108" s="458" t="n">
        <v>7.28</v>
      </c>
    </row>
    <row r="109">
      <c r="A109" s="276" t="inlineStr">
        <is>
          <t>등촌동</t>
        </is>
      </c>
      <c r="B109" s="274" t="n"/>
      <c r="C109" s="274" t="n"/>
      <c r="D109" s="276" t="n">
        <v>7</v>
      </c>
      <c r="E109" s="275" t="inlineStr">
        <is>
          <t>부영</t>
        </is>
      </c>
      <c r="F109" s="276" t="n">
        <v>1994.12</v>
      </c>
      <c r="G109" s="276" t="n">
        <v>712</v>
      </c>
      <c r="H109" s="276">
        <f>2026-INT(F109)+1</f>
        <v/>
      </c>
      <c r="I109" s="274" t="n"/>
      <c r="J109" s="276" t="n">
        <v>105</v>
      </c>
      <c r="K109" s="276" t="n">
        <v>80</v>
      </c>
      <c r="L109" s="276" t="n">
        <v>32</v>
      </c>
      <c r="M109" s="276" t="inlineStr">
        <is>
          <t>복도식</t>
        </is>
      </c>
      <c r="N109" s="276" t="n">
        <v>3</v>
      </c>
      <c r="O109" s="276" t="n">
        <v>2</v>
      </c>
      <c r="P109" s="276" t="n">
        <v>712</v>
      </c>
      <c r="Q109" s="274" t="n"/>
      <c r="R109" s="274" t="n"/>
      <c r="S109" s="274" t="n"/>
      <c r="T109" s="274" t="n"/>
      <c r="U109" s="276" t="n">
        <v>11.3</v>
      </c>
      <c r="V109" s="276" t="n">
        <v>7.17</v>
      </c>
      <c r="W109" s="274" t="n"/>
      <c r="X109" s="274" t="n"/>
      <c r="Y109" s="274" t="n"/>
      <c r="Z109" s="274" t="n"/>
      <c r="AA109" s="274" t="n"/>
      <c r="AB109" s="274" t="n"/>
      <c r="AC109" s="274" t="n"/>
      <c r="AD109" s="274" t="n"/>
      <c r="AE109" s="274" t="n"/>
      <c r="AF109" s="274" t="n"/>
      <c r="AG109" s="274" t="n"/>
      <c r="AH109" s="274" t="n"/>
      <c r="AI109" s="274" t="n"/>
      <c r="AJ109" s="274" t="n"/>
      <c r="AK109" s="274" t="n"/>
    </row>
    <row r="110">
      <c r="A110" s="458" t="inlineStr">
        <is>
          <t>등촌동</t>
        </is>
      </c>
      <c r="D110" s="458" t="n">
        <v>1015</v>
      </c>
      <c r="E110" s="277" t="inlineStr">
        <is>
          <t>우성</t>
        </is>
      </c>
      <c r="F110" s="458" t="n">
        <v>1992.05</v>
      </c>
      <c r="G110" s="458" t="n">
        <v>244</v>
      </c>
      <c r="H110" s="458">
        <f>2026-INT(F110)+1</f>
        <v/>
      </c>
      <c r="J110" s="458" t="n">
        <v>55</v>
      </c>
      <c r="K110" s="458" t="n">
        <v>47</v>
      </c>
      <c r="L110" s="458" t="n">
        <v>17</v>
      </c>
      <c r="M110" s="458" t="inlineStr">
        <is>
          <t>계단식</t>
        </is>
      </c>
      <c r="N110" s="458" t="n">
        <v>2</v>
      </c>
      <c r="O110" s="458" t="n">
        <v>1</v>
      </c>
      <c r="P110" s="458" t="n">
        <v>8</v>
      </c>
      <c r="U110" s="458" t="n">
        <v>6.23</v>
      </c>
      <c r="V110" s="458" t="n"/>
    </row>
    <row r="111">
      <c r="A111" s="458" t="inlineStr">
        <is>
          <t>등촌동</t>
        </is>
      </c>
      <c r="D111" s="458" t="n">
        <v>1015</v>
      </c>
      <c r="E111" s="277" t="inlineStr">
        <is>
          <t>우성</t>
        </is>
      </c>
      <c r="F111" s="458" t="n">
        <v>1992.05</v>
      </c>
      <c r="G111" s="458" t="n">
        <v>244</v>
      </c>
      <c r="H111" s="458">
        <f>2026-INT(F111)+1</f>
        <v/>
      </c>
      <c r="J111" s="458" t="n">
        <v>76</v>
      </c>
      <c r="K111" s="458" t="n">
        <v>65</v>
      </c>
      <c r="L111" s="458" t="n">
        <v>23</v>
      </c>
      <c r="M111" s="458" t="inlineStr">
        <is>
          <t>계단식</t>
        </is>
      </c>
      <c r="N111" s="458" t="n">
        <v>3</v>
      </c>
      <c r="O111" s="458" t="n">
        <v>1</v>
      </c>
      <c r="P111" s="458" t="n">
        <v>8</v>
      </c>
      <c r="V111" s="458" t="n">
        <v>5.93</v>
      </c>
    </row>
    <row r="112">
      <c r="A112" s="458" t="inlineStr">
        <is>
          <t>등촌동</t>
        </is>
      </c>
      <c r="D112" s="458" t="n">
        <v>1015</v>
      </c>
      <c r="E112" s="277" t="inlineStr">
        <is>
          <t>우성</t>
        </is>
      </c>
      <c r="F112" s="458" t="n">
        <v>1992.05</v>
      </c>
      <c r="G112" s="458" t="n">
        <v>244</v>
      </c>
      <c r="H112" s="458">
        <f>2026-INT(F112)+1</f>
        <v/>
      </c>
      <c r="J112" s="458" t="n">
        <v>78</v>
      </c>
      <c r="K112" s="458" t="n">
        <v>66</v>
      </c>
      <c r="L112" s="458" t="n">
        <v>24</v>
      </c>
      <c r="M112" s="458" t="inlineStr">
        <is>
          <t>계단식</t>
        </is>
      </c>
      <c r="N112" s="458" t="n">
        <v>3</v>
      </c>
      <c r="O112" s="458" t="n">
        <v>1</v>
      </c>
      <c r="P112" s="458" t="n">
        <v>96</v>
      </c>
      <c r="U112" s="458" t="n">
        <v>7</v>
      </c>
      <c r="V112" s="458" t="n">
        <v>5.8</v>
      </c>
    </row>
    <row r="113">
      <c r="A113" s="458" t="inlineStr">
        <is>
          <t>등촌동</t>
        </is>
      </c>
      <c r="D113" s="458" t="n">
        <v>1015</v>
      </c>
      <c r="E113" s="277" t="inlineStr">
        <is>
          <t>우성</t>
        </is>
      </c>
      <c r="F113" s="458" t="n">
        <v>1992.05</v>
      </c>
      <c r="G113" s="458" t="n">
        <v>244</v>
      </c>
      <c r="H113" s="458">
        <f>2026-INT(F113)+1</f>
        <v/>
      </c>
      <c r="J113" s="458" t="n">
        <v>79</v>
      </c>
      <c r="K113" s="458" t="n">
        <v>67</v>
      </c>
      <c r="L113" s="458" t="n">
        <v>24</v>
      </c>
      <c r="M113" s="458" t="inlineStr">
        <is>
          <t>계단식</t>
        </is>
      </c>
      <c r="N113" s="458" t="n">
        <v>3</v>
      </c>
      <c r="O113" s="458" t="n">
        <v>1</v>
      </c>
      <c r="P113" s="458" t="n">
        <v>22</v>
      </c>
      <c r="U113" s="458" t="n">
        <v>7</v>
      </c>
      <c r="V113" s="458" t="n">
        <v>5.8</v>
      </c>
    </row>
    <row r="114">
      <c r="A114" s="458" t="inlineStr">
        <is>
          <t>등촌동</t>
        </is>
      </c>
      <c r="D114" s="458" t="n">
        <v>1015</v>
      </c>
      <c r="E114" s="277" t="inlineStr">
        <is>
          <t>우성</t>
        </is>
      </c>
      <c r="F114" s="458" t="n">
        <v>1992.05</v>
      </c>
      <c r="G114" s="458" t="n">
        <v>244</v>
      </c>
      <c r="H114" s="458">
        <f>2026-INT(F114)+1</f>
        <v/>
      </c>
      <c r="J114" s="458" t="n">
        <v>88</v>
      </c>
      <c r="K114" s="458" t="n">
        <v>77</v>
      </c>
      <c r="L114" s="458" t="n">
        <v>27</v>
      </c>
      <c r="M114" s="458" t="inlineStr">
        <is>
          <t>계단식</t>
        </is>
      </c>
      <c r="N114" s="458" t="n">
        <v>3</v>
      </c>
      <c r="O114" s="458" t="n">
        <v>1</v>
      </c>
      <c r="P114" s="458" t="n">
        <v>7</v>
      </c>
    </row>
    <row r="115">
      <c r="A115" s="458" t="inlineStr">
        <is>
          <t>등촌동</t>
        </is>
      </c>
      <c r="D115" s="458" t="n">
        <v>1015</v>
      </c>
      <c r="E115" s="277" t="inlineStr">
        <is>
          <t>우성</t>
        </is>
      </c>
      <c r="F115" s="458" t="n">
        <v>1992.05</v>
      </c>
      <c r="G115" s="458" t="n">
        <v>244</v>
      </c>
      <c r="H115" s="458">
        <f>2026-INT(F115)+1</f>
        <v/>
      </c>
      <c r="J115" s="458" t="n">
        <v>95</v>
      </c>
      <c r="K115" s="458" t="n">
        <v>83</v>
      </c>
      <c r="L115" s="458" t="n">
        <v>29</v>
      </c>
      <c r="M115" s="458" t="inlineStr">
        <is>
          <t>계단식</t>
        </is>
      </c>
      <c r="N115" s="458" t="n">
        <v>3</v>
      </c>
      <c r="O115" s="458" t="n">
        <v>2</v>
      </c>
      <c r="P115" s="458" t="n">
        <v>14</v>
      </c>
    </row>
    <row r="116">
      <c r="A116" s="458" t="inlineStr">
        <is>
          <t>등촌동</t>
        </is>
      </c>
      <c r="D116" s="458" t="n">
        <v>1015</v>
      </c>
      <c r="E116" s="277" t="inlineStr">
        <is>
          <t>우성</t>
        </is>
      </c>
      <c r="F116" s="458" t="n">
        <v>1992.05</v>
      </c>
      <c r="G116" s="458" t="n">
        <v>244</v>
      </c>
      <c r="H116" s="458">
        <f>2026-INT(F116)+1</f>
        <v/>
      </c>
      <c r="J116" s="458" t="n">
        <v>97</v>
      </c>
      <c r="K116" s="458" t="n">
        <v>84</v>
      </c>
      <c r="L116" s="458" t="n">
        <v>29</v>
      </c>
      <c r="M116" s="458" t="inlineStr">
        <is>
          <t>계단식</t>
        </is>
      </c>
      <c r="N116" s="458" t="n">
        <v>3</v>
      </c>
      <c r="O116" s="458" t="n">
        <v>2</v>
      </c>
      <c r="P116" s="458" t="n">
        <v>89</v>
      </c>
      <c r="U116" s="458" t="n">
        <v>9.4</v>
      </c>
      <c r="V116" s="458" t="n">
        <v>6.6</v>
      </c>
    </row>
    <row r="117">
      <c r="A117" s="276" t="inlineStr">
        <is>
          <t>등촌동</t>
        </is>
      </c>
      <c r="B117" s="274" t="n"/>
      <c r="C117" s="274" t="n"/>
      <c r="D117" s="276" t="n">
        <v>8183</v>
      </c>
      <c r="E117" s="275" t="inlineStr">
        <is>
          <t>코오롱하늘채</t>
        </is>
      </c>
      <c r="F117" s="276" t="n">
        <v>2003.11</v>
      </c>
      <c r="G117" s="276" t="n">
        <v>200</v>
      </c>
      <c r="H117" s="276">
        <f>2026-INT(F117)+1</f>
        <v/>
      </c>
      <c r="I117" s="274" t="n"/>
      <c r="J117" s="276" t="n">
        <v>80</v>
      </c>
      <c r="K117" s="276" t="n">
        <v>59</v>
      </c>
      <c r="L117" s="276" t="n">
        <v>24</v>
      </c>
      <c r="M117" s="276" t="inlineStr">
        <is>
          <t>복도식</t>
        </is>
      </c>
      <c r="N117" s="276" t="n">
        <v>3</v>
      </c>
      <c r="O117" s="276" t="n">
        <v>1</v>
      </c>
      <c r="P117" s="276" t="n">
        <v>74</v>
      </c>
      <c r="Q117" s="274" t="n"/>
      <c r="R117" s="274" t="n"/>
      <c r="S117" s="274" t="n"/>
      <c r="T117" s="274" t="n"/>
      <c r="U117" s="274" t="n">
        <v>7.8</v>
      </c>
      <c r="V117" s="274" t="n">
        <v>7.2</v>
      </c>
      <c r="W117" s="274" t="n"/>
      <c r="X117" s="274" t="n"/>
      <c r="Y117" s="274" t="n"/>
      <c r="Z117" s="274" t="n"/>
      <c r="AA117" s="274" t="n"/>
      <c r="AB117" s="274" t="n"/>
      <c r="AC117" s="274" t="n"/>
      <c r="AD117" s="274" t="n"/>
      <c r="AE117" s="274" t="n"/>
      <c r="AF117" s="274" t="n"/>
      <c r="AG117" s="274" t="n"/>
      <c r="AH117" s="274" t="n"/>
      <c r="AI117" s="274" t="n"/>
      <c r="AJ117" s="274" t="n"/>
      <c r="AK117" s="274" t="n"/>
    </row>
    <row r="118">
      <c r="A118" s="276" t="inlineStr">
        <is>
          <t>등촌동</t>
        </is>
      </c>
      <c r="B118" s="274" t="n"/>
      <c r="C118" s="274" t="n"/>
      <c r="D118" s="276" t="n">
        <v>8183</v>
      </c>
      <c r="E118" s="275" t="inlineStr">
        <is>
          <t>코오롱하늘채</t>
        </is>
      </c>
      <c r="F118" s="276" t="n">
        <v>2003.11</v>
      </c>
      <c r="G118" s="276" t="n">
        <v>200</v>
      </c>
      <c r="H118" s="276">
        <f>2026-INT(F118)+1</f>
        <v/>
      </c>
      <c r="I118" s="274" t="n"/>
      <c r="J118" s="276" t="n">
        <v>104</v>
      </c>
      <c r="K118" s="276" t="n">
        <v>84</v>
      </c>
      <c r="L118" s="276" t="n">
        <v>31</v>
      </c>
      <c r="M118" s="276" t="inlineStr">
        <is>
          <t>계단식</t>
        </is>
      </c>
      <c r="N118" s="276" t="n">
        <v>3</v>
      </c>
      <c r="O118" s="276" t="n">
        <v>2</v>
      </c>
      <c r="P118" s="276" t="n">
        <v>126</v>
      </c>
      <c r="Q118" s="274" t="n"/>
      <c r="R118" s="274" t="n"/>
      <c r="S118" s="274" t="n"/>
      <c r="T118" s="274" t="n"/>
      <c r="U118" s="274" t="n">
        <v>9.5</v>
      </c>
      <c r="V118" s="274" t="n">
        <v>8.199999999999999</v>
      </c>
      <c r="W118" s="274" t="n"/>
      <c r="X118" s="274" t="n"/>
      <c r="Y118" s="274" t="n"/>
      <c r="Z118" s="274" t="n"/>
      <c r="AA118" s="274" t="n"/>
      <c r="AB118" s="274" t="n"/>
      <c r="AC118" s="274" t="n"/>
      <c r="AD118" s="274" t="n"/>
      <c r="AE118" s="274" t="n"/>
      <c r="AF118" s="274" t="n"/>
      <c r="AG118" s="274" t="n"/>
      <c r="AH118" s="274" t="n"/>
      <c r="AI118" s="274" t="n"/>
      <c r="AJ118" s="274" t="n"/>
      <c r="AK118" s="274" t="n"/>
    </row>
    <row r="119">
      <c r="A119" s="458" t="inlineStr">
        <is>
          <t>등촌동</t>
        </is>
      </c>
      <c r="D119" s="458" t="n">
        <v>1018</v>
      </c>
      <c r="E119" s="277" t="inlineStr">
        <is>
          <t>태진아름</t>
        </is>
      </c>
      <c r="F119" s="458" t="n">
        <v>1995.09</v>
      </c>
      <c r="G119" s="458" t="n">
        <v>221</v>
      </c>
      <c r="H119" s="458">
        <f>2026-INT(F119)+1</f>
        <v/>
      </c>
      <c r="J119" s="458" t="n">
        <v>83</v>
      </c>
      <c r="K119" s="458" t="n">
        <v>59</v>
      </c>
      <c r="L119" s="458" t="n">
        <v>25</v>
      </c>
      <c r="M119" s="458" t="inlineStr">
        <is>
          <t>복도식</t>
        </is>
      </c>
      <c r="N119" s="458" t="n">
        <v>3</v>
      </c>
      <c r="O119" s="458" t="n">
        <v>1</v>
      </c>
      <c r="P119" s="458" t="n">
        <v>96</v>
      </c>
      <c r="U119" s="458" t="n">
        <v>6.9</v>
      </c>
      <c r="V119" s="458" t="n">
        <v>6.9</v>
      </c>
    </row>
    <row r="120">
      <c r="A120" s="458" t="inlineStr">
        <is>
          <t>등촌동</t>
        </is>
      </c>
      <c r="D120" s="458" t="n">
        <v>1018</v>
      </c>
      <c r="E120" s="277" t="inlineStr">
        <is>
          <t>태진아름</t>
        </is>
      </c>
      <c r="F120" s="458" t="n">
        <v>1995.09</v>
      </c>
      <c r="G120" s="458" t="n">
        <v>221</v>
      </c>
      <c r="H120" s="458">
        <f>2026-INT(F120)+1</f>
        <v/>
      </c>
      <c r="J120" s="458" t="n">
        <v>105</v>
      </c>
      <c r="K120" s="458" t="n">
        <v>84</v>
      </c>
      <c r="L120" s="458" t="n">
        <v>32</v>
      </c>
      <c r="M120" s="458" t="inlineStr">
        <is>
          <t>계단식</t>
        </is>
      </c>
      <c r="N120" s="458" t="n">
        <v>3</v>
      </c>
      <c r="O120" s="458" t="n">
        <v>2</v>
      </c>
      <c r="P120" s="458" t="n">
        <v>95</v>
      </c>
      <c r="U120" s="458" t="n">
        <v>8.85</v>
      </c>
      <c r="V120" s="458" t="n">
        <v>8.300000000000001</v>
      </c>
    </row>
    <row r="121">
      <c r="A121" s="458" t="inlineStr">
        <is>
          <t>등촌동</t>
        </is>
      </c>
      <c r="D121" s="458" t="n">
        <v>1018</v>
      </c>
      <c r="E121" s="277" t="inlineStr">
        <is>
          <t>태진아름</t>
        </is>
      </c>
      <c r="F121" s="458" t="n">
        <v>1995.09</v>
      </c>
      <c r="G121" s="458" t="n">
        <v>221</v>
      </c>
      <c r="H121" s="458">
        <f>2026-INT(F121)+1</f>
        <v/>
      </c>
      <c r="J121" s="458" t="n">
        <v>145</v>
      </c>
      <c r="K121" s="458" t="n">
        <v>121</v>
      </c>
      <c r="L121" s="458" t="n">
        <v>44</v>
      </c>
      <c r="M121" s="458" t="inlineStr">
        <is>
          <t>계단식</t>
        </is>
      </c>
      <c r="N121" s="458" t="n">
        <v>4</v>
      </c>
      <c r="O121" s="458" t="n">
        <v>2</v>
      </c>
      <c r="P121" s="458" t="n">
        <v>30</v>
      </c>
      <c r="U121" s="458" t="n">
        <v>9.4</v>
      </c>
    </row>
    <row r="122">
      <c r="A122" s="274" t="inlineStr">
        <is>
          <t>등촌동</t>
        </is>
      </c>
      <c r="B122" s="274" t="n"/>
      <c r="C122" s="274" t="n"/>
      <c r="D122" s="274" t="n">
        <v>8075</v>
      </c>
      <c r="E122" s="275" t="inlineStr">
        <is>
          <t>한사랑삼성1차</t>
        </is>
      </c>
      <c r="F122" s="274" t="n">
        <v>1997.12</v>
      </c>
      <c r="G122" s="274" t="n">
        <v>244</v>
      </c>
      <c r="H122" s="274">
        <f>2026-INT(F122)+1</f>
        <v/>
      </c>
      <c r="I122" s="274" t="n"/>
      <c r="J122" s="274" t="n">
        <v>85</v>
      </c>
      <c r="K122" s="274" t="n">
        <v>59</v>
      </c>
      <c r="L122" s="274" t="n">
        <v>26</v>
      </c>
      <c r="M122" s="274" t="inlineStr">
        <is>
          <t>복도식</t>
        </is>
      </c>
      <c r="N122" s="274" t="n">
        <v>2</v>
      </c>
      <c r="O122" s="274" t="n">
        <v>1</v>
      </c>
      <c r="P122" s="274" t="n">
        <v>98</v>
      </c>
      <c r="Q122" s="274" t="n"/>
      <c r="R122" s="274" t="n"/>
      <c r="S122" s="274" t="n"/>
      <c r="T122" s="274" t="n"/>
      <c r="U122" s="274" t="n">
        <v>8</v>
      </c>
      <c r="V122" s="274" t="n">
        <v>5.1</v>
      </c>
      <c r="W122" s="274" t="n"/>
      <c r="X122" s="274" t="n"/>
      <c r="Y122" s="274" t="n"/>
      <c r="Z122" s="274" t="n"/>
      <c r="AA122" s="274" t="n"/>
      <c r="AB122" s="274" t="n"/>
      <c r="AC122" s="274" t="n"/>
      <c r="AD122" s="274" t="n"/>
      <c r="AE122" s="274" t="n"/>
      <c r="AF122" s="274" t="n"/>
      <c r="AG122" s="274" t="n"/>
      <c r="AH122" s="274" t="n"/>
      <c r="AI122" s="274" t="n"/>
      <c r="AJ122" s="274" t="n"/>
      <c r="AK122" s="274" t="n"/>
    </row>
    <row r="123">
      <c r="A123" s="274" t="inlineStr">
        <is>
          <t>등촌동</t>
        </is>
      </c>
      <c r="B123" s="274" t="n"/>
      <c r="C123" s="274" t="n"/>
      <c r="D123" s="274" t="n">
        <v>8075</v>
      </c>
      <c r="E123" s="275" t="inlineStr">
        <is>
          <t>한사랑삼성1차</t>
        </is>
      </c>
      <c r="F123" s="274" t="n">
        <v>1997.12</v>
      </c>
      <c r="G123" s="274" t="n">
        <v>244</v>
      </c>
      <c r="H123" s="274">
        <f>2026-INT(F123)+1</f>
        <v/>
      </c>
      <c r="I123" s="274" t="n"/>
      <c r="J123" s="274" t="n">
        <v>104</v>
      </c>
      <c r="K123" s="274" t="n">
        <v>82</v>
      </c>
      <c r="L123" s="274" t="n">
        <v>31</v>
      </c>
      <c r="M123" s="274" t="inlineStr">
        <is>
          <t>계단식</t>
        </is>
      </c>
      <c r="N123" s="274" t="n">
        <v>3</v>
      </c>
      <c r="O123" s="274" t="n">
        <v>2</v>
      </c>
      <c r="P123" s="274" t="n">
        <v>4</v>
      </c>
      <c r="Q123" s="274" t="n"/>
      <c r="R123" s="274" t="n"/>
      <c r="S123" s="274" t="n"/>
      <c r="T123" s="274" t="n"/>
      <c r="U123" s="274" t="n"/>
      <c r="V123" s="274" t="n"/>
      <c r="W123" s="274" t="n"/>
      <c r="X123" s="274" t="n"/>
      <c r="Y123" s="274" t="n"/>
      <c r="Z123" s="274" t="n"/>
      <c r="AA123" s="274" t="n"/>
      <c r="AB123" s="274" t="n"/>
      <c r="AC123" s="274" t="n"/>
      <c r="AD123" s="274" t="n"/>
      <c r="AE123" s="274" t="n"/>
      <c r="AF123" s="274" t="n"/>
      <c r="AG123" s="274" t="n"/>
      <c r="AH123" s="274" t="n"/>
      <c r="AI123" s="274" t="n"/>
      <c r="AJ123" s="274" t="n"/>
      <c r="AK123" s="274" t="n"/>
    </row>
    <row r="124">
      <c r="A124" s="276" t="inlineStr">
        <is>
          <t>등촌동</t>
        </is>
      </c>
      <c r="B124" s="274" t="n"/>
      <c r="C124" s="274" t="n"/>
      <c r="D124" s="276" t="n">
        <v>8075</v>
      </c>
      <c r="E124" s="275" t="inlineStr">
        <is>
          <t>한사랑삼성1차</t>
        </is>
      </c>
      <c r="F124" s="276" t="n">
        <v>1997.12</v>
      </c>
      <c r="G124" s="276" t="n">
        <v>244</v>
      </c>
      <c r="H124" s="276">
        <f>2026-INT(F124)+1</f>
        <v/>
      </c>
      <c r="I124" s="274" t="n"/>
      <c r="J124" s="276" t="n">
        <v>107</v>
      </c>
      <c r="K124" s="276" t="n">
        <v>84</v>
      </c>
      <c r="L124" s="276" t="n">
        <v>32</v>
      </c>
      <c r="M124" s="276" t="inlineStr">
        <is>
          <t>계단식</t>
        </is>
      </c>
      <c r="N124" s="276" t="n">
        <v>3</v>
      </c>
      <c r="O124" s="276" t="n">
        <v>2</v>
      </c>
      <c r="P124" s="276" t="n">
        <v>142</v>
      </c>
      <c r="Q124" s="274" t="n"/>
      <c r="R124" s="274" t="n"/>
      <c r="S124" s="274" t="n"/>
      <c r="T124" s="274" t="n"/>
      <c r="U124" s="274" t="n">
        <v>10.28</v>
      </c>
      <c r="V124" s="274" t="n">
        <v>7.8</v>
      </c>
      <c r="W124" s="274" t="n"/>
      <c r="X124" s="274" t="n"/>
      <c r="Y124" s="274" t="n"/>
      <c r="Z124" s="274" t="n"/>
      <c r="AA124" s="274" t="n"/>
      <c r="AB124" s="274" t="n"/>
      <c r="AC124" s="274" t="n"/>
      <c r="AD124" s="274" t="n"/>
      <c r="AE124" s="274" t="n"/>
      <c r="AF124" s="274" t="n"/>
      <c r="AG124" s="274" t="n"/>
      <c r="AH124" s="274" t="n"/>
      <c r="AI124" s="274" t="n"/>
      <c r="AJ124" s="274" t="n"/>
      <c r="AK124" s="274" t="n"/>
    </row>
    <row r="125">
      <c r="A125" s="458" t="inlineStr">
        <is>
          <t>등촌동</t>
        </is>
      </c>
      <c r="D125" s="458" t="n">
        <v>1016</v>
      </c>
      <c r="E125" s="277" t="inlineStr">
        <is>
          <t>한사랑삼성2차</t>
        </is>
      </c>
      <c r="F125" s="458" t="n">
        <v>1999.06</v>
      </c>
      <c r="G125" s="458" t="n">
        <v>339</v>
      </c>
      <c r="H125" s="458">
        <f>2026-INT(F125)+1</f>
        <v/>
      </c>
      <c r="J125" s="458" t="n">
        <v>78</v>
      </c>
      <c r="K125" s="458" t="n">
        <v>59</v>
      </c>
      <c r="L125" s="458" t="n">
        <v>24</v>
      </c>
      <c r="M125" s="458" t="inlineStr">
        <is>
          <t>계단식</t>
        </is>
      </c>
      <c r="N125" s="458" t="n">
        <v>3</v>
      </c>
      <c r="O125" s="458" t="n">
        <v>1</v>
      </c>
      <c r="P125" s="458" t="n">
        <v>124</v>
      </c>
      <c r="U125" s="458" t="n">
        <v>8.5</v>
      </c>
      <c r="V125" s="458" t="n">
        <v>6.1</v>
      </c>
    </row>
    <row r="126">
      <c r="A126" s="458" t="inlineStr">
        <is>
          <t>등촌동</t>
        </is>
      </c>
      <c r="D126" s="458" t="n">
        <v>1016</v>
      </c>
      <c r="E126" s="277" t="inlineStr">
        <is>
          <t>한사랑삼성2차</t>
        </is>
      </c>
      <c r="F126" s="458" t="n">
        <v>1999.06</v>
      </c>
      <c r="G126" s="458" t="n">
        <v>339</v>
      </c>
      <c r="H126" s="458">
        <f>2026-INT(F126)+1</f>
        <v/>
      </c>
      <c r="J126" s="458" t="n">
        <v>100</v>
      </c>
      <c r="K126" s="458" t="n">
        <v>79</v>
      </c>
      <c r="L126" s="458" t="n">
        <v>30</v>
      </c>
      <c r="M126" s="458" t="inlineStr">
        <is>
          <t>계단식</t>
        </is>
      </c>
      <c r="N126" s="458" t="n">
        <v>3</v>
      </c>
      <c r="O126" s="458" t="n">
        <v>2</v>
      </c>
      <c r="P126" s="458" t="n">
        <v>2</v>
      </c>
    </row>
    <row r="127">
      <c r="A127" s="458" t="inlineStr">
        <is>
          <t>등촌동</t>
        </is>
      </c>
      <c r="D127" s="458" t="n">
        <v>1016</v>
      </c>
      <c r="E127" s="277" t="inlineStr">
        <is>
          <t>한사랑삼성2차</t>
        </is>
      </c>
      <c r="F127" s="458" t="n">
        <v>1999.06</v>
      </c>
      <c r="G127" s="458" t="n">
        <v>339</v>
      </c>
      <c r="H127" s="458">
        <f>2026-INT(F127)+1</f>
        <v/>
      </c>
      <c r="J127" s="458" t="n">
        <v>103</v>
      </c>
      <c r="K127" s="458" t="n">
        <v>81</v>
      </c>
      <c r="L127" s="458" t="n">
        <v>31</v>
      </c>
      <c r="M127" s="458" t="inlineStr">
        <is>
          <t>계단식</t>
        </is>
      </c>
      <c r="N127" s="458" t="n">
        <v>3</v>
      </c>
      <c r="O127" s="458" t="n">
        <v>2</v>
      </c>
      <c r="P127" s="458" t="n">
        <v>3</v>
      </c>
    </row>
    <row r="128">
      <c r="A128" s="458" t="inlineStr">
        <is>
          <t>등촌동</t>
        </is>
      </c>
      <c r="D128" s="458" t="n">
        <v>1016</v>
      </c>
      <c r="E128" s="277" t="inlineStr">
        <is>
          <t>한사랑삼성2차</t>
        </is>
      </c>
      <c r="F128" s="458" t="n">
        <v>1999.06</v>
      </c>
      <c r="G128" s="458" t="n">
        <v>339</v>
      </c>
      <c r="H128" s="458">
        <f>2026-INT(F128)+1</f>
        <v/>
      </c>
      <c r="J128" s="458" t="n">
        <v>107</v>
      </c>
      <c r="K128" s="458" t="n">
        <v>84</v>
      </c>
      <c r="L128" s="458" t="n">
        <v>32</v>
      </c>
      <c r="M128" s="458" t="inlineStr">
        <is>
          <t>계단식</t>
        </is>
      </c>
      <c r="N128" s="458" t="n">
        <v>3</v>
      </c>
      <c r="O128" s="458" t="n">
        <v>2</v>
      </c>
      <c r="P128" s="458" t="n">
        <v>210</v>
      </c>
      <c r="U128" s="458" t="n">
        <v>10.5</v>
      </c>
      <c r="V128" s="458" t="n">
        <v>7.45</v>
      </c>
    </row>
    <row r="129">
      <c r="A129" s="274" t="inlineStr">
        <is>
          <t>마곡동</t>
        </is>
      </c>
      <c r="B129" s="274" t="n"/>
      <c r="C129" s="274" t="n"/>
      <c r="D129" s="274" t="n">
        <v>109799</v>
      </c>
      <c r="E129" s="275" t="inlineStr">
        <is>
          <t>마곡13단지힐스테이트마스터</t>
        </is>
      </c>
      <c r="F129" s="274" t="n">
        <v>2017.04</v>
      </c>
      <c r="G129" s="274" t="n">
        <v>1194</v>
      </c>
      <c r="H129" s="274">
        <f>2026-INT(F129)+1</f>
        <v/>
      </c>
      <c r="I129" s="274" t="n"/>
      <c r="J129" s="274" t="n">
        <v>81</v>
      </c>
      <c r="K129" s="274" t="n">
        <v>59</v>
      </c>
      <c r="L129" s="274" t="n">
        <v>25</v>
      </c>
      <c r="M129" s="274" t="inlineStr">
        <is>
          <t>계단식</t>
        </is>
      </c>
      <c r="N129" s="274" t="n">
        <v>3</v>
      </c>
      <c r="O129" s="274" t="n">
        <v>2</v>
      </c>
      <c r="P129" s="274" t="n">
        <v>393</v>
      </c>
      <c r="Q129" s="274" t="n"/>
      <c r="R129" s="274" t="n"/>
      <c r="S129" s="274" t="n"/>
      <c r="T129" s="274" t="n"/>
      <c r="U129" s="274" t="n">
        <v>13.8</v>
      </c>
      <c r="V129" s="274" t="n">
        <v>9</v>
      </c>
      <c r="W129" s="274" t="n"/>
      <c r="X129" s="274" t="n"/>
      <c r="Y129" s="274" t="n"/>
      <c r="Z129" s="274" t="n"/>
      <c r="AA129" s="274" t="n"/>
      <c r="AB129" s="274" t="n"/>
      <c r="AC129" s="274" t="n"/>
      <c r="AD129" s="274" t="n"/>
      <c r="AE129" s="274" t="n"/>
      <c r="AF129" s="274" t="n"/>
      <c r="AG129" s="274" t="n"/>
      <c r="AH129" s="274" t="n"/>
      <c r="AI129" s="274" t="n"/>
      <c r="AJ129" s="274" t="n"/>
      <c r="AK129" s="274" t="n"/>
    </row>
    <row r="130">
      <c r="A130" s="274" t="inlineStr">
        <is>
          <t>마곡동</t>
        </is>
      </c>
      <c r="B130" s="274" t="n"/>
      <c r="C130" s="274" t="n"/>
      <c r="D130" s="274" t="n">
        <v>109799</v>
      </c>
      <c r="E130" s="275" t="inlineStr">
        <is>
          <t>마곡13단지힐스테이트마스터</t>
        </is>
      </c>
      <c r="F130" s="274" t="n">
        <v>2017.04</v>
      </c>
      <c r="G130" s="274" t="n">
        <v>1194</v>
      </c>
      <c r="H130" s="274">
        <f>2026-INT(F130)+1</f>
        <v/>
      </c>
      <c r="I130" s="274" t="n"/>
      <c r="J130" s="274" t="n">
        <v>114</v>
      </c>
      <c r="K130" s="274" t="n">
        <v>84</v>
      </c>
      <c r="L130" s="274" t="n">
        <v>34</v>
      </c>
      <c r="M130" s="274" t="inlineStr">
        <is>
          <t>계단식</t>
        </is>
      </c>
      <c r="N130" s="274" t="n">
        <v>3</v>
      </c>
      <c r="O130" s="274" t="n">
        <v>2</v>
      </c>
      <c r="P130" s="274" t="n">
        <v>801</v>
      </c>
      <c r="Q130" s="274" t="n"/>
      <c r="R130" s="274" t="n"/>
      <c r="S130" s="274" t="n"/>
      <c r="T130" s="274" t="n"/>
      <c r="U130" s="274" t="n">
        <v>16.8</v>
      </c>
      <c r="V130" s="274" t="n">
        <v>10.9</v>
      </c>
      <c r="W130" s="274" t="n"/>
      <c r="X130" s="274" t="n"/>
      <c r="Y130" s="274" t="n"/>
      <c r="Z130" s="274" t="n"/>
      <c r="AA130" s="274" t="n"/>
      <c r="AB130" s="274" t="n"/>
      <c r="AC130" s="274" t="n"/>
      <c r="AD130" s="274" t="n"/>
      <c r="AE130" s="274" t="n"/>
      <c r="AF130" s="274" t="n"/>
      <c r="AG130" s="274" t="n"/>
      <c r="AH130" s="274" t="n"/>
      <c r="AI130" s="274" t="n"/>
      <c r="AJ130" s="274" t="n"/>
      <c r="AK130" s="274" t="n"/>
    </row>
    <row r="131">
      <c r="A131" s="458" t="inlineStr">
        <is>
          <t>마곡동</t>
        </is>
      </c>
      <c r="D131" s="458" t="n">
        <v>1020</v>
      </c>
      <c r="E131" s="277" t="inlineStr">
        <is>
          <t>마곡벽산</t>
        </is>
      </c>
      <c r="F131" s="458" t="n">
        <v>1999.06</v>
      </c>
      <c r="G131" s="458" t="n">
        <v>479</v>
      </c>
      <c r="H131" s="458">
        <f>2026-INT(F131)+1</f>
        <v/>
      </c>
      <c r="J131" s="458" t="n">
        <v>84</v>
      </c>
      <c r="K131" s="458" t="n">
        <v>59</v>
      </c>
      <c r="L131" s="458" t="n">
        <v>25</v>
      </c>
      <c r="M131" s="458" t="inlineStr">
        <is>
          <t>계단식</t>
        </is>
      </c>
      <c r="N131" s="458" t="n">
        <v>3</v>
      </c>
      <c r="O131" s="458" t="n">
        <v>1</v>
      </c>
      <c r="P131" s="458" t="n">
        <v>152</v>
      </c>
      <c r="U131" s="458" t="n">
        <v>8.4</v>
      </c>
      <c r="V131" s="458" t="n">
        <v>5.78</v>
      </c>
    </row>
    <row r="132">
      <c r="A132" s="458" t="inlineStr">
        <is>
          <t>마곡동</t>
        </is>
      </c>
      <c r="D132" s="458" t="n">
        <v>1020</v>
      </c>
      <c r="E132" s="277" t="inlineStr">
        <is>
          <t>마곡벽산</t>
        </is>
      </c>
      <c r="F132" s="458" t="n">
        <v>1999.06</v>
      </c>
      <c r="G132" s="458" t="n">
        <v>479</v>
      </c>
      <c r="H132" s="458">
        <f>2026-INT(F132)+1</f>
        <v/>
      </c>
      <c r="J132" s="458" t="n">
        <v>108</v>
      </c>
      <c r="K132" s="458" t="n">
        <v>84</v>
      </c>
      <c r="L132" s="458" t="n">
        <v>33</v>
      </c>
      <c r="M132" s="458" t="inlineStr">
        <is>
          <t>계단식</t>
        </is>
      </c>
      <c r="N132" s="458" t="n">
        <v>3</v>
      </c>
      <c r="O132" s="458" t="n">
        <v>2</v>
      </c>
      <c r="P132" s="458" t="n">
        <v>271</v>
      </c>
      <c r="U132" s="458" t="n">
        <v>9.6</v>
      </c>
      <c r="V132" s="458" t="n">
        <v>6.4</v>
      </c>
    </row>
    <row r="133">
      <c r="A133" s="458" t="inlineStr">
        <is>
          <t>마곡동</t>
        </is>
      </c>
      <c r="D133" s="458" t="n">
        <v>1020</v>
      </c>
      <c r="E133" s="277" t="inlineStr">
        <is>
          <t>마곡벽산</t>
        </is>
      </c>
      <c r="F133" s="458" t="n">
        <v>1999.06</v>
      </c>
      <c r="G133" s="458" t="n">
        <v>479</v>
      </c>
      <c r="H133" s="458">
        <f>2026-INT(F133)+1</f>
        <v/>
      </c>
      <c r="J133" s="458" t="n">
        <v>140</v>
      </c>
      <c r="K133" s="458" t="n">
        <v>114</v>
      </c>
      <c r="L133" s="458" t="n">
        <v>42</v>
      </c>
      <c r="M133" s="458" t="inlineStr">
        <is>
          <t>계단식</t>
        </is>
      </c>
      <c r="N133" s="458" t="n">
        <v>4</v>
      </c>
      <c r="O133" s="458" t="n">
        <v>2</v>
      </c>
      <c r="P133" s="458" t="n">
        <v>56</v>
      </c>
      <c r="U133" s="458" t="n">
        <v>9.800000000000001</v>
      </c>
      <c r="V133" s="458" t="n">
        <v>7.5</v>
      </c>
    </row>
    <row r="134">
      <c r="A134" s="274" t="inlineStr">
        <is>
          <t>마곡동</t>
        </is>
      </c>
      <c r="B134" s="274" t="n"/>
      <c r="C134" s="274" t="n"/>
      <c r="D134" s="274" t="n">
        <v>112279</v>
      </c>
      <c r="E134" s="275" t="inlineStr">
        <is>
          <t>마곡엠밸리10단지</t>
        </is>
      </c>
      <c r="F134" s="274" t="n">
        <v>2016.08</v>
      </c>
      <c r="G134" s="274" t="n">
        <v>550</v>
      </c>
      <c r="H134" s="274">
        <f>2026-INT(F134)+1</f>
        <v/>
      </c>
      <c r="I134" s="274" t="n"/>
      <c r="J134" s="274" t="n">
        <v>116</v>
      </c>
      <c r="K134" s="274" t="n">
        <v>84</v>
      </c>
      <c r="L134" s="274" t="n">
        <v>35</v>
      </c>
      <c r="M134" s="274" t="inlineStr">
        <is>
          <t>계단식</t>
        </is>
      </c>
      <c r="N134" s="274" t="n">
        <v>3</v>
      </c>
      <c r="O134" s="274" t="n">
        <v>2</v>
      </c>
      <c r="P134" s="274" t="n">
        <v>58</v>
      </c>
      <c r="Q134" s="274" t="n"/>
      <c r="R134" s="274" t="n"/>
      <c r="S134" s="274" t="n"/>
      <c r="T134" s="274" t="n"/>
      <c r="U134" s="274" t="n">
        <v>13.7</v>
      </c>
      <c r="V134" s="274" t="n">
        <v>11.25</v>
      </c>
      <c r="W134" s="274" t="n"/>
      <c r="X134" s="274" t="n"/>
      <c r="Y134" s="274" t="n"/>
      <c r="Z134" s="274" t="n"/>
      <c r="AA134" s="274" t="n"/>
      <c r="AB134" s="274" t="n"/>
      <c r="AC134" s="274" t="n"/>
      <c r="AD134" s="274" t="n"/>
      <c r="AE134" s="274" t="n"/>
      <c r="AF134" s="274" t="n"/>
      <c r="AG134" s="274" t="n"/>
      <c r="AH134" s="274" t="n"/>
      <c r="AI134" s="274" t="n"/>
      <c r="AJ134" s="274" t="n"/>
      <c r="AK134" s="274" t="n"/>
    </row>
    <row r="135">
      <c r="A135" s="458" t="inlineStr">
        <is>
          <t>마곡동</t>
        </is>
      </c>
      <c r="D135" s="458" t="n">
        <v>112280</v>
      </c>
      <c r="E135" s="277" t="inlineStr">
        <is>
          <t>마곡엠밸리11단지</t>
        </is>
      </c>
      <c r="F135" s="458" t="n">
        <v>2016.09</v>
      </c>
      <c r="G135" s="458" t="n">
        <v>347</v>
      </c>
      <c r="H135" s="458">
        <f>2026-INT(F135)+1</f>
        <v/>
      </c>
      <c r="J135" s="458" t="n">
        <v>84</v>
      </c>
      <c r="K135" s="458" t="n">
        <v>59</v>
      </c>
      <c r="L135" s="458" t="n">
        <v>25</v>
      </c>
      <c r="M135" s="458" t="inlineStr">
        <is>
          <t>계단식</t>
        </is>
      </c>
      <c r="N135" s="458" t="n">
        <v>3</v>
      </c>
      <c r="O135" s="458" t="n">
        <v>2</v>
      </c>
      <c r="P135" s="458" t="n">
        <v>50</v>
      </c>
      <c r="V135" s="458" t="n">
        <v>9.35</v>
      </c>
    </row>
    <row r="136">
      <c r="A136" s="458" t="inlineStr">
        <is>
          <t>마곡동</t>
        </is>
      </c>
      <c r="D136" s="458" t="n">
        <v>112280</v>
      </c>
      <c r="E136" s="277" t="inlineStr">
        <is>
          <t>마곡엠밸리11단지</t>
        </is>
      </c>
      <c r="F136" s="458" t="n">
        <v>2016.09</v>
      </c>
      <c r="G136" s="458" t="n">
        <v>347</v>
      </c>
      <c r="H136" s="458">
        <f>2026-INT(F136)+1</f>
        <v/>
      </c>
      <c r="J136" s="458" t="n">
        <v>119</v>
      </c>
      <c r="K136" s="458" t="n">
        <v>84</v>
      </c>
      <c r="L136" s="458" t="n">
        <v>36</v>
      </c>
      <c r="M136" s="458" t="inlineStr">
        <is>
          <t>계단식</t>
        </is>
      </c>
      <c r="N136" s="458" t="n">
        <v>3</v>
      </c>
      <c r="O136" s="458" t="n">
        <v>2</v>
      </c>
      <c r="P136" s="458" t="n">
        <v>52</v>
      </c>
      <c r="U136" s="458" t="n">
        <v>14.75</v>
      </c>
      <c r="V136" s="458" t="n"/>
    </row>
    <row r="137">
      <c r="A137" s="276" t="inlineStr">
        <is>
          <t>마곡동</t>
        </is>
      </c>
      <c r="B137" s="274" t="n"/>
      <c r="C137" s="274" t="n"/>
      <c r="D137" s="276" t="n">
        <v>112281</v>
      </c>
      <c r="E137" s="275" t="inlineStr">
        <is>
          <t>마곡엠밸리12단지</t>
        </is>
      </c>
      <c r="F137" s="276" t="n">
        <v>2016.09</v>
      </c>
      <c r="G137" s="276" t="n">
        <v>363</v>
      </c>
      <c r="H137" s="276">
        <f>2026-INT(F137)+1</f>
        <v/>
      </c>
      <c r="I137" s="274" t="n"/>
      <c r="J137" s="276" t="n">
        <v>85</v>
      </c>
      <c r="K137" s="276" t="n">
        <v>59</v>
      </c>
      <c r="L137" s="276" t="n">
        <v>26</v>
      </c>
      <c r="M137" s="276" t="inlineStr">
        <is>
          <t>계단식</t>
        </is>
      </c>
      <c r="N137" s="276" t="n">
        <v>3</v>
      </c>
      <c r="O137" s="276" t="n">
        <v>2</v>
      </c>
      <c r="P137" s="276" t="n">
        <v>50</v>
      </c>
      <c r="Q137" s="274" t="n"/>
      <c r="R137" s="274" t="n"/>
      <c r="S137" s="274" t="n"/>
      <c r="T137" s="274" t="n"/>
      <c r="U137" s="276" t="n">
        <v>11</v>
      </c>
      <c r="V137" s="276" t="n"/>
      <c r="W137" s="274" t="n"/>
      <c r="X137" s="274" t="n"/>
      <c r="Y137" s="274" t="n"/>
      <c r="Z137" s="274" t="n"/>
      <c r="AA137" s="274" t="n"/>
      <c r="AB137" s="274" t="n"/>
      <c r="AC137" s="274" t="n"/>
      <c r="AD137" s="274" t="n"/>
      <c r="AE137" s="274" t="n"/>
      <c r="AF137" s="274" t="n"/>
      <c r="AG137" s="274" t="n"/>
      <c r="AH137" s="274" t="n"/>
      <c r="AI137" s="274" t="n"/>
      <c r="AJ137" s="274" t="n"/>
      <c r="AK137" s="274" t="n"/>
    </row>
    <row r="138">
      <c r="A138" s="276" t="inlineStr">
        <is>
          <t>마곡동</t>
        </is>
      </c>
      <c r="B138" s="274" t="n"/>
      <c r="C138" s="274" t="n"/>
      <c r="D138" s="276" t="n">
        <v>112281</v>
      </c>
      <c r="E138" s="275" t="inlineStr">
        <is>
          <t>마곡엠밸리12단지</t>
        </is>
      </c>
      <c r="F138" s="276" t="n">
        <v>2016.09</v>
      </c>
      <c r="G138" s="276" t="n">
        <v>363</v>
      </c>
      <c r="H138" s="276">
        <f>2026-INT(F138)+1</f>
        <v/>
      </c>
      <c r="I138" s="274" t="n"/>
      <c r="J138" s="276" t="n">
        <v>119</v>
      </c>
      <c r="K138" s="276" t="n">
        <v>84</v>
      </c>
      <c r="L138" s="276" t="n">
        <v>36</v>
      </c>
      <c r="M138" s="276" t="inlineStr">
        <is>
          <t>계단식</t>
        </is>
      </c>
      <c r="N138" s="276" t="n">
        <v>3</v>
      </c>
      <c r="O138" s="276" t="n">
        <v>2</v>
      </c>
      <c r="P138" s="276" t="n">
        <v>44</v>
      </c>
      <c r="Q138" s="274" t="n"/>
      <c r="R138" s="274" t="n"/>
      <c r="S138" s="274" t="n"/>
      <c r="T138" s="274" t="n"/>
      <c r="U138" s="276" t="n">
        <v>16.7</v>
      </c>
      <c r="V138" s="276" t="n">
        <v>11.97</v>
      </c>
      <c r="W138" s="274" t="n"/>
      <c r="X138" s="274" t="n"/>
      <c r="Y138" s="274" t="n"/>
      <c r="Z138" s="274" t="n"/>
      <c r="AA138" s="274" t="n"/>
      <c r="AB138" s="274" t="n"/>
      <c r="AC138" s="274" t="n"/>
      <c r="AD138" s="274" t="n"/>
      <c r="AE138" s="274" t="n"/>
      <c r="AF138" s="274" t="n"/>
      <c r="AG138" s="274" t="n"/>
      <c r="AH138" s="274" t="n"/>
      <c r="AI138" s="274" t="n"/>
      <c r="AJ138" s="274" t="n"/>
      <c r="AK138" s="274" t="n"/>
    </row>
    <row r="139">
      <c r="A139" s="458" t="inlineStr">
        <is>
          <t>마곡동</t>
        </is>
      </c>
      <c r="D139" s="458" t="n">
        <v>107504</v>
      </c>
      <c r="E139" s="277" t="inlineStr">
        <is>
          <t>마곡엠밸리14단지</t>
        </is>
      </c>
      <c r="F139" s="458" t="n">
        <v>2014.05</v>
      </c>
      <c r="G139" s="458" t="n">
        <v>1270</v>
      </c>
      <c r="H139" s="458">
        <f>2026-INT(F139)+1</f>
        <v/>
      </c>
      <c r="J139" s="458" t="n">
        <v>114</v>
      </c>
      <c r="K139" s="458" t="n">
        <v>84</v>
      </c>
      <c r="L139" s="458" t="n">
        <v>34</v>
      </c>
      <c r="M139" s="458" t="inlineStr">
        <is>
          <t>계단식</t>
        </is>
      </c>
      <c r="N139" s="458" t="n">
        <v>3</v>
      </c>
      <c r="O139" s="458" t="n">
        <v>2</v>
      </c>
      <c r="P139" s="458" t="n">
        <v>315</v>
      </c>
      <c r="U139" s="458" t="n">
        <v>16.5</v>
      </c>
      <c r="V139" s="458" t="n">
        <v>10.8</v>
      </c>
    </row>
    <row r="140">
      <c r="A140" s="458" t="inlineStr">
        <is>
          <t>마곡동</t>
        </is>
      </c>
      <c r="D140" s="458" t="n">
        <v>107504</v>
      </c>
      <c r="E140" s="277" t="inlineStr">
        <is>
          <t>마곡엠밸리14단지</t>
        </is>
      </c>
      <c r="F140" s="458" t="n">
        <v>2014.05</v>
      </c>
      <c r="G140" s="458" t="n">
        <v>1270</v>
      </c>
      <c r="H140" s="458">
        <f>2026-INT(F140)+1</f>
        <v/>
      </c>
      <c r="J140" s="458" t="n">
        <v>154</v>
      </c>
      <c r="K140" s="458" t="n">
        <v>114</v>
      </c>
      <c r="L140" s="458" t="n">
        <v>47</v>
      </c>
      <c r="M140" s="458" t="inlineStr">
        <is>
          <t>계단식</t>
        </is>
      </c>
      <c r="N140" s="458" t="n">
        <v>4</v>
      </c>
      <c r="O140" s="458" t="n">
        <v>2</v>
      </c>
      <c r="P140" s="458" t="n">
        <v>64</v>
      </c>
      <c r="U140" s="458" t="n">
        <v>20</v>
      </c>
      <c r="V140" s="458" t="n">
        <v>16.3</v>
      </c>
    </row>
    <row r="141">
      <c r="A141" s="274" t="inlineStr">
        <is>
          <t>마곡동</t>
        </is>
      </c>
      <c r="B141" s="274" t="n"/>
      <c r="C141" s="274" t="n"/>
      <c r="D141" s="274" t="n">
        <v>107505</v>
      </c>
      <c r="E141" s="275" t="inlineStr">
        <is>
          <t>마곡엠밸리15단지</t>
        </is>
      </c>
      <c r="F141" s="274" t="n">
        <v>2014.05</v>
      </c>
      <c r="G141" s="274" t="n">
        <v>1171</v>
      </c>
      <c r="H141" s="274">
        <f>2026-INT(F141)+1</f>
        <v/>
      </c>
      <c r="I141" s="274" t="n"/>
      <c r="J141" s="274" t="n">
        <v>82</v>
      </c>
      <c r="K141" s="274" t="n">
        <v>59</v>
      </c>
      <c r="L141" s="274" t="n">
        <v>25</v>
      </c>
      <c r="M141" s="274" t="inlineStr">
        <is>
          <t>계단식</t>
        </is>
      </c>
      <c r="N141" s="274" t="n">
        <v>3</v>
      </c>
      <c r="O141" s="274" t="n">
        <v>2</v>
      </c>
      <c r="P141" s="274" t="n">
        <v>80</v>
      </c>
      <c r="Q141" s="274" t="n"/>
      <c r="R141" s="274" t="n"/>
      <c r="S141" s="274" t="n"/>
      <c r="T141" s="274" t="n"/>
      <c r="U141" s="274" t="n">
        <v>13.1</v>
      </c>
      <c r="V141" s="274" t="n">
        <v>9.9</v>
      </c>
      <c r="W141" s="274" t="n"/>
      <c r="X141" s="274" t="n"/>
      <c r="Y141" s="274" t="n"/>
      <c r="Z141" s="274" t="n"/>
      <c r="AA141" s="274" t="n"/>
      <c r="AB141" s="274" t="n"/>
      <c r="AC141" s="274" t="n"/>
      <c r="AD141" s="274" t="n"/>
      <c r="AE141" s="274" t="n"/>
      <c r="AF141" s="274" t="n"/>
      <c r="AG141" s="274" t="n"/>
      <c r="AH141" s="274" t="n"/>
      <c r="AI141" s="274" t="n"/>
      <c r="AJ141" s="274" t="n"/>
      <c r="AK141" s="274" t="n"/>
    </row>
    <row r="142">
      <c r="A142" s="274" t="inlineStr">
        <is>
          <t>마곡동</t>
        </is>
      </c>
      <c r="B142" s="274" t="n"/>
      <c r="C142" s="274" t="n"/>
      <c r="D142" s="274" t="n">
        <v>107505</v>
      </c>
      <c r="E142" s="275" t="inlineStr">
        <is>
          <t>마곡엠밸리15단지</t>
        </is>
      </c>
      <c r="F142" s="274" t="n">
        <v>2014.05</v>
      </c>
      <c r="G142" s="274" t="n">
        <v>1171</v>
      </c>
      <c r="H142" s="274">
        <f>2026-INT(F142)+1</f>
        <v/>
      </c>
      <c r="I142" s="274" t="n"/>
      <c r="J142" s="274" t="n">
        <v>115</v>
      </c>
      <c r="K142" s="274" t="n">
        <v>84</v>
      </c>
      <c r="L142" s="274" t="n">
        <v>35</v>
      </c>
      <c r="M142" s="274" t="inlineStr">
        <is>
          <t>계단식</t>
        </is>
      </c>
      <c r="N142" s="274" t="n">
        <v>3</v>
      </c>
      <c r="O142" s="274" t="n">
        <v>2</v>
      </c>
      <c r="P142" s="274" t="n">
        <v>272</v>
      </c>
      <c r="Q142" s="274" t="n"/>
      <c r="R142" s="274" t="n"/>
      <c r="S142" s="274" t="n"/>
      <c r="T142" s="274" t="n"/>
      <c r="U142" s="274" t="n">
        <v>16.5</v>
      </c>
      <c r="V142" s="274" t="n">
        <v>10.8</v>
      </c>
      <c r="W142" s="274" t="n"/>
      <c r="X142" s="274" t="n"/>
      <c r="Y142" s="274" t="n"/>
      <c r="Z142" s="274" t="n"/>
      <c r="AA142" s="274" t="n"/>
      <c r="AB142" s="274" t="n"/>
      <c r="AC142" s="274" t="n"/>
      <c r="AD142" s="274" t="n"/>
      <c r="AE142" s="274" t="n"/>
      <c r="AF142" s="274" t="n"/>
      <c r="AG142" s="274" t="n"/>
      <c r="AH142" s="274" t="n"/>
      <c r="AI142" s="274" t="n"/>
      <c r="AJ142" s="274" t="n"/>
      <c r="AK142" s="274" t="n"/>
    </row>
    <row r="143">
      <c r="A143" s="274" t="inlineStr">
        <is>
          <t>마곡동</t>
        </is>
      </c>
      <c r="B143" s="274" t="n"/>
      <c r="C143" s="274" t="n"/>
      <c r="D143" s="274" t="n">
        <v>107505</v>
      </c>
      <c r="E143" s="275" t="inlineStr">
        <is>
          <t>마곡엠밸리15단지</t>
        </is>
      </c>
      <c r="F143" s="274" t="n">
        <v>2014.05</v>
      </c>
      <c r="G143" s="274" t="n">
        <v>1171</v>
      </c>
      <c r="H143" s="274">
        <f>2026-INT(F143)+1</f>
        <v/>
      </c>
      <c r="I143" s="274" t="n"/>
      <c r="J143" s="274" t="n">
        <v>155</v>
      </c>
      <c r="K143" s="274" t="n">
        <v>114</v>
      </c>
      <c r="L143" s="274" t="n">
        <v>47</v>
      </c>
      <c r="M143" s="274" t="inlineStr">
        <is>
          <t>계단식</t>
        </is>
      </c>
      <c r="N143" s="274" t="n">
        <v>4</v>
      </c>
      <c r="O143" s="274" t="n">
        <v>2</v>
      </c>
      <c r="P143" s="274" t="n">
        <v>64</v>
      </c>
      <c r="Q143" s="274" t="n"/>
      <c r="R143" s="274" t="n"/>
      <c r="S143" s="274" t="n"/>
      <c r="T143" s="274" t="n"/>
      <c r="U143" s="274" t="n">
        <v>20</v>
      </c>
      <c r="V143" s="274" t="n">
        <v>16.3</v>
      </c>
      <c r="W143" s="274" t="n"/>
      <c r="X143" s="274" t="n"/>
      <c r="Y143" s="274" t="n"/>
      <c r="Z143" s="274" t="n"/>
      <c r="AA143" s="274" t="n"/>
      <c r="AB143" s="274" t="n"/>
      <c r="AC143" s="274" t="n"/>
      <c r="AD143" s="274" t="n"/>
      <c r="AE143" s="274" t="n"/>
      <c r="AF143" s="274" t="n"/>
      <c r="AG143" s="274" t="n"/>
      <c r="AH143" s="274" t="n"/>
      <c r="AI143" s="274" t="n"/>
      <c r="AJ143" s="274" t="n"/>
      <c r="AK143" s="274" t="n"/>
    </row>
    <row r="144">
      <c r="A144" s="458" t="inlineStr">
        <is>
          <t>마곡동</t>
        </is>
      </c>
      <c r="D144" s="458" t="n">
        <v>107482</v>
      </c>
      <c r="E144" s="277" t="inlineStr">
        <is>
          <t>마곡엠밸리1단지</t>
        </is>
      </c>
      <c r="F144" s="458" t="n">
        <v>2014.06</v>
      </c>
      <c r="G144" s="458" t="n">
        <v>237</v>
      </c>
      <c r="H144" s="458">
        <f>2026-INT(F144)+1</f>
        <v/>
      </c>
      <c r="J144" s="458" t="n">
        <v>118</v>
      </c>
      <c r="K144" s="458" t="n">
        <v>84</v>
      </c>
      <c r="L144" s="458" t="n">
        <v>36</v>
      </c>
      <c r="M144" s="458" t="inlineStr">
        <is>
          <t>계단식</t>
        </is>
      </c>
      <c r="N144" s="458" t="n">
        <v>3</v>
      </c>
      <c r="O144" s="458" t="n">
        <v>2</v>
      </c>
      <c r="P144" s="458" t="n">
        <v>96</v>
      </c>
      <c r="U144" s="458" t="n">
        <v>15.55</v>
      </c>
      <c r="V144" s="458" t="n">
        <v>11.65</v>
      </c>
    </row>
    <row r="145">
      <c r="A145" s="274" t="inlineStr">
        <is>
          <t>마곡동</t>
        </is>
      </c>
      <c r="B145" s="274" t="n"/>
      <c r="C145" s="274" t="n"/>
      <c r="D145" s="274" t="n">
        <v>107960</v>
      </c>
      <c r="E145" s="275" t="inlineStr">
        <is>
          <t>마곡엠밸리2단지</t>
        </is>
      </c>
      <c r="F145" s="274" t="n">
        <v>2014.06</v>
      </c>
      <c r="G145" s="274" t="n">
        <v>408</v>
      </c>
      <c r="H145" s="274">
        <f>2026-INT(F145)+1</f>
        <v/>
      </c>
      <c r="I145" s="274" t="n"/>
      <c r="J145" s="274" t="n">
        <v>114</v>
      </c>
      <c r="K145" s="274" t="n">
        <v>84</v>
      </c>
      <c r="L145" s="274" t="n">
        <v>34</v>
      </c>
      <c r="M145" s="274" t="inlineStr">
        <is>
          <t>계단식</t>
        </is>
      </c>
      <c r="N145" s="274" t="n">
        <v>3</v>
      </c>
      <c r="O145" s="274" t="n">
        <v>2</v>
      </c>
      <c r="P145" s="274" t="n">
        <v>94</v>
      </c>
      <c r="Q145" s="274" t="n"/>
      <c r="R145" s="274" t="n"/>
      <c r="S145" s="274" t="n"/>
      <c r="T145" s="274" t="n"/>
      <c r="U145" s="274" t="n">
        <v>12.95</v>
      </c>
      <c r="V145" s="274" t="n">
        <v>7.95</v>
      </c>
      <c r="W145" s="274" t="n"/>
      <c r="X145" s="274" t="n"/>
      <c r="Y145" s="274" t="n"/>
      <c r="Z145" s="274" t="n"/>
      <c r="AA145" s="274" t="n"/>
      <c r="AB145" s="274" t="n"/>
      <c r="AC145" s="274" t="n"/>
      <c r="AD145" s="274" t="n"/>
      <c r="AE145" s="274" t="n"/>
      <c r="AF145" s="274" t="n"/>
      <c r="AG145" s="274" t="n"/>
      <c r="AH145" s="274" t="n"/>
      <c r="AI145" s="274" t="n"/>
      <c r="AJ145" s="274" t="n"/>
      <c r="AK145" s="274" t="n"/>
    </row>
    <row r="146">
      <c r="A146" s="274" t="inlineStr">
        <is>
          <t>마곡동</t>
        </is>
      </c>
      <c r="B146" s="274" t="n"/>
      <c r="C146" s="274" t="n"/>
      <c r="D146" s="274" t="n">
        <v>107960</v>
      </c>
      <c r="E146" s="275" t="inlineStr">
        <is>
          <t>마곡엠밸리2단지</t>
        </is>
      </c>
      <c r="F146" s="274" t="n">
        <v>2014.06</v>
      </c>
      <c r="G146" s="274" t="n">
        <v>408</v>
      </c>
      <c r="H146" s="274">
        <f>2026-INT(F146)+1</f>
        <v/>
      </c>
      <c r="I146" s="274" t="n"/>
      <c r="J146" s="274" t="n">
        <v>153</v>
      </c>
      <c r="K146" s="274" t="n">
        <v>114</v>
      </c>
      <c r="L146" s="274" t="n">
        <v>46</v>
      </c>
      <c r="M146" s="274" t="inlineStr">
        <is>
          <t>계단식</t>
        </is>
      </c>
      <c r="N146" s="274" t="n">
        <v>4</v>
      </c>
      <c r="O146" s="274" t="n">
        <v>2</v>
      </c>
      <c r="P146" s="274" t="n">
        <v>58</v>
      </c>
      <c r="Q146" s="274" t="n"/>
      <c r="R146" s="274" t="n"/>
      <c r="S146" s="274" t="n"/>
      <c r="T146" s="274" t="n"/>
      <c r="U146" s="274" t="n">
        <v>16.95</v>
      </c>
      <c r="V146" s="274" t="n">
        <v>14.5</v>
      </c>
      <c r="W146" s="274" t="n"/>
      <c r="X146" s="274" t="n"/>
      <c r="Y146" s="274" t="n"/>
      <c r="Z146" s="274" t="n"/>
      <c r="AA146" s="274" t="n"/>
      <c r="AB146" s="274" t="n"/>
      <c r="AC146" s="274" t="n"/>
      <c r="AD146" s="274" t="n"/>
      <c r="AE146" s="274" t="n"/>
      <c r="AF146" s="274" t="n"/>
      <c r="AG146" s="274" t="n"/>
      <c r="AH146" s="274" t="n"/>
      <c r="AI146" s="274" t="n"/>
      <c r="AJ146" s="274" t="n"/>
      <c r="AK146" s="274" t="n"/>
    </row>
    <row r="147">
      <c r="A147" s="274" t="inlineStr">
        <is>
          <t>마곡동</t>
        </is>
      </c>
      <c r="B147" s="274" t="n"/>
      <c r="C147" s="274" t="n"/>
      <c r="D147" s="274" t="n">
        <v>107960</v>
      </c>
      <c r="E147" s="275" t="inlineStr">
        <is>
          <t>마곡엠밸리2단지</t>
        </is>
      </c>
      <c r="F147" s="274" t="n">
        <v>2014.06</v>
      </c>
      <c r="G147" s="274" t="n">
        <v>408</v>
      </c>
      <c r="H147" s="274">
        <f>2026-INT(F147)+1</f>
        <v/>
      </c>
      <c r="I147" s="274" t="n"/>
      <c r="J147" s="274" t="n">
        <v>153</v>
      </c>
      <c r="K147" s="274" t="n">
        <v>114</v>
      </c>
      <c r="L147" s="274" t="n">
        <v>46</v>
      </c>
      <c r="M147" s="274" t="inlineStr">
        <is>
          <t>계단식</t>
        </is>
      </c>
      <c r="N147" s="274" t="n">
        <v>3</v>
      </c>
      <c r="O147" s="274" t="n">
        <v>2</v>
      </c>
      <c r="P147" s="274" t="n">
        <v>14</v>
      </c>
      <c r="Q147" s="274" t="n"/>
      <c r="R147" s="274" t="n"/>
      <c r="S147" s="274" t="n"/>
      <c r="T147" s="274" t="n"/>
      <c r="U147" s="274" t="n">
        <v>16.95</v>
      </c>
      <c r="V147" s="274" t="n">
        <v>14.5</v>
      </c>
      <c r="W147" s="274" t="n"/>
      <c r="X147" s="274" t="n"/>
      <c r="Y147" s="274" t="n"/>
      <c r="Z147" s="274" t="n"/>
      <c r="AA147" s="274" t="n"/>
      <c r="AB147" s="274" t="n"/>
      <c r="AC147" s="274" t="n"/>
      <c r="AD147" s="274" t="n"/>
      <c r="AE147" s="274" t="n"/>
      <c r="AF147" s="274" t="n"/>
      <c r="AG147" s="274" t="n"/>
      <c r="AH147" s="274" t="n"/>
      <c r="AI147" s="274" t="n"/>
      <c r="AJ147" s="274" t="n"/>
      <c r="AK147" s="274" t="n"/>
    </row>
    <row r="148">
      <c r="A148" s="458" t="inlineStr">
        <is>
          <t>마곡동</t>
        </is>
      </c>
      <c r="D148" s="458" t="n">
        <v>107961</v>
      </c>
      <c r="E148" s="277" t="inlineStr">
        <is>
          <t>마곡엠밸리3단지</t>
        </is>
      </c>
      <c r="F148" s="458" t="n">
        <v>2014.06</v>
      </c>
      <c r="G148" s="458" t="n">
        <v>315</v>
      </c>
      <c r="H148" s="458">
        <f>2026-INT(F148)+1</f>
        <v/>
      </c>
      <c r="J148" s="458" t="n">
        <v>115</v>
      </c>
      <c r="K148" s="458" t="n">
        <v>84</v>
      </c>
      <c r="L148" s="458" t="n">
        <v>35</v>
      </c>
      <c r="M148" s="458" t="inlineStr">
        <is>
          <t>계단식</t>
        </is>
      </c>
      <c r="N148" s="458" t="n">
        <v>3</v>
      </c>
      <c r="O148" s="458" t="n">
        <v>2</v>
      </c>
      <c r="P148" s="458" t="n">
        <v>32</v>
      </c>
      <c r="U148" s="458" t="n">
        <v>13.3</v>
      </c>
      <c r="V148" s="458" t="n">
        <v>13.2</v>
      </c>
    </row>
    <row r="149">
      <c r="A149" s="458" t="inlineStr">
        <is>
          <t>마곡동</t>
        </is>
      </c>
      <c r="D149" s="458" t="n">
        <v>107961</v>
      </c>
      <c r="E149" s="277" t="inlineStr">
        <is>
          <t>마곡엠밸리3단지</t>
        </is>
      </c>
      <c r="F149" s="458" t="n">
        <v>2014.06</v>
      </c>
      <c r="G149" s="458" t="n">
        <v>315</v>
      </c>
      <c r="H149" s="458">
        <f>2026-INT(F149)+1</f>
        <v/>
      </c>
      <c r="J149" s="458" t="n">
        <v>155</v>
      </c>
      <c r="K149" s="458" t="n">
        <v>114</v>
      </c>
      <c r="L149" s="458" t="n">
        <v>47</v>
      </c>
      <c r="M149" s="458" t="inlineStr">
        <is>
          <t>계단식</t>
        </is>
      </c>
      <c r="N149" s="458" t="n">
        <v>4</v>
      </c>
      <c r="O149" s="458" t="n">
        <v>2</v>
      </c>
      <c r="P149" s="458" t="n">
        <v>90</v>
      </c>
      <c r="U149" s="458" t="n">
        <v>15.3</v>
      </c>
      <c r="V149" s="458" t="n"/>
    </row>
    <row r="150">
      <c r="A150" s="276" t="inlineStr">
        <is>
          <t>마곡동</t>
        </is>
      </c>
      <c r="B150" s="274" t="n"/>
      <c r="C150" s="274" t="n"/>
      <c r="D150" s="276" t="n">
        <v>107483</v>
      </c>
      <c r="E150" s="275" t="inlineStr">
        <is>
          <t>마곡엠밸리4단지</t>
        </is>
      </c>
      <c r="F150" s="276" t="n">
        <v>2014.06</v>
      </c>
      <c r="G150" s="276" t="n">
        <v>420</v>
      </c>
      <c r="H150" s="276">
        <f>2026-INT(F150)+1</f>
        <v/>
      </c>
      <c r="I150" s="274" t="n"/>
      <c r="J150" s="276" t="n">
        <v>113</v>
      </c>
      <c r="K150" s="276" t="n">
        <v>84</v>
      </c>
      <c r="L150" s="276" t="n">
        <v>34</v>
      </c>
      <c r="M150" s="276" t="inlineStr">
        <is>
          <t>계단식</t>
        </is>
      </c>
      <c r="N150" s="276" t="n">
        <v>3</v>
      </c>
      <c r="O150" s="276" t="n">
        <v>2</v>
      </c>
      <c r="P150" s="276" t="n">
        <v>78</v>
      </c>
      <c r="Q150" s="274" t="n"/>
      <c r="R150" s="274" t="n"/>
      <c r="S150" s="274" t="n"/>
      <c r="T150" s="274" t="n"/>
      <c r="U150" s="276" t="n"/>
      <c r="V150" s="276" t="n"/>
      <c r="W150" s="274" t="n"/>
      <c r="X150" s="274" t="n"/>
      <c r="Y150" s="274" t="n"/>
      <c r="Z150" s="274" t="n"/>
      <c r="AA150" s="274" t="n"/>
      <c r="AB150" s="274" t="n"/>
      <c r="AC150" s="274" t="n"/>
      <c r="AD150" s="274" t="n"/>
      <c r="AE150" s="274" t="n"/>
      <c r="AF150" s="274" t="n"/>
      <c r="AG150" s="274" t="n"/>
      <c r="AH150" s="274" t="n"/>
      <c r="AI150" s="274" t="n"/>
      <c r="AJ150" s="274" t="n"/>
      <c r="AK150" s="274" t="n"/>
    </row>
    <row r="151">
      <c r="A151" s="276" t="inlineStr">
        <is>
          <t>마곡동</t>
        </is>
      </c>
      <c r="B151" s="274" t="n"/>
      <c r="C151" s="274" t="n"/>
      <c r="D151" s="276" t="n">
        <v>107483</v>
      </c>
      <c r="E151" s="275" t="inlineStr">
        <is>
          <t>마곡엠밸리4단지</t>
        </is>
      </c>
      <c r="F151" s="276" t="n">
        <v>2014.06</v>
      </c>
      <c r="G151" s="276" t="n">
        <v>420</v>
      </c>
      <c r="H151" s="276">
        <f>2026-INT(F151)+1</f>
        <v/>
      </c>
      <c r="I151" s="274" t="n"/>
      <c r="J151" s="276" t="n">
        <v>154</v>
      </c>
      <c r="K151" s="276" t="n">
        <v>114</v>
      </c>
      <c r="L151" s="276" t="n">
        <v>47</v>
      </c>
      <c r="M151" s="276" t="inlineStr">
        <is>
          <t>계단식</t>
        </is>
      </c>
      <c r="N151" s="276" t="n">
        <v>4</v>
      </c>
      <c r="O151" s="276" t="n">
        <v>2</v>
      </c>
      <c r="P151" s="276" t="n">
        <v>84</v>
      </c>
      <c r="Q151" s="274" t="n"/>
      <c r="R151" s="274" t="n"/>
      <c r="S151" s="274" t="n"/>
      <c r="T151" s="274" t="n"/>
      <c r="U151" s="276" t="n">
        <v>17.4</v>
      </c>
      <c r="V151" s="276" t="n"/>
      <c r="W151" s="274" t="n"/>
      <c r="X151" s="274" t="n"/>
      <c r="Y151" s="274" t="n"/>
      <c r="Z151" s="274" t="n"/>
      <c r="AA151" s="274" t="n"/>
      <c r="AB151" s="274" t="n"/>
      <c r="AC151" s="274" t="n"/>
      <c r="AD151" s="274" t="n"/>
      <c r="AE151" s="274" t="n"/>
      <c r="AF151" s="274" t="n"/>
      <c r="AG151" s="274" t="n"/>
      <c r="AH151" s="274" t="n"/>
      <c r="AI151" s="274" t="n"/>
      <c r="AJ151" s="274" t="n"/>
      <c r="AK151" s="274" t="n"/>
    </row>
    <row r="152">
      <c r="A152" s="458" t="inlineStr">
        <is>
          <t>마곡동</t>
        </is>
      </c>
      <c r="D152" s="458" t="n">
        <v>107475</v>
      </c>
      <c r="E152" s="277" t="inlineStr">
        <is>
          <t>마곡엠밸리5단지</t>
        </is>
      </c>
      <c r="F152" s="458" t="n">
        <v>2014.06</v>
      </c>
      <c r="G152" s="458" t="n">
        <v>439</v>
      </c>
      <c r="H152" s="458">
        <f>2026-INT(F152)+1</f>
        <v/>
      </c>
      <c r="J152" s="458" t="n">
        <v>112</v>
      </c>
      <c r="K152" s="458" t="n">
        <v>84</v>
      </c>
      <c r="L152" s="458" t="n">
        <v>34</v>
      </c>
      <c r="M152" s="458" t="inlineStr">
        <is>
          <t>계단식</t>
        </is>
      </c>
      <c r="N152" s="458" t="n">
        <v>3</v>
      </c>
      <c r="O152" s="458" t="n">
        <v>2</v>
      </c>
      <c r="P152" s="458" t="n">
        <v>103</v>
      </c>
      <c r="U152" s="458" t="n">
        <v>13.75</v>
      </c>
      <c r="V152" s="458" t="n"/>
    </row>
    <row r="153">
      <c r="A153" s="458" t="inlineStr">
        <is>
          <t>마곡동</t>
        </is>
      </c>
      <c r="D153" s="458" t="n">
        <v>107475</v>
      </c>
      <c r="E153" s="277" t="inlineStr">
        <is>
          <t>마곡엠밸리5단지</t>
        </is>
      </c>
      <c r="F153" s="458" t="n">
        <v>2014.06</v>
      </c>
      <c r="G153" s="458" t="n">
        <v>439</v>
      </c>
      <c r="H153" s="458">
        <f>2026-INT(F153)+1</f>
        <v/>
      </c>
      <c r="J153" s="458" t="n">
        <v>150</v>
      </c>
      <c r="K153" s="458" t="n">
        <v>114</v>
      </c>
      <c r="L153" s="458" t="n">
        <v>45</v>
      </c>
      <c r="M153" s="458" t="inlineStr">
        <is>
          <t>계단식</t>
        </is>
      </c>
      <c r="N153" s="458" t="n">
        <v>4</v>
      </c>
      <c r="O153" s="458" t="n">
        <v>2</v>
      </c>
      <c r="P153" s="458" t="n">
        <v>199</v>
      </c>
      <c r="U153" s="458" t="n">
        <v>20.5</v>
      </c>
      <c r="V153" s="458" t="n">
        <v>16</v>
      </c>
    </row>
    <row r="154">
      <c r="A154" s="276" t="inlineStr">
        <is>
          <t>마곡동</t>
        </is>
      </c>
      <c r="B154" s="274" t="n"/>
      <c r="C154" s="274" t="n"/>
      <c r="D154" s="276" t="n">
        <v>107506</v>
      </c>
      <c r="E154" s="275" t="inlineStr">
        <is>
          <t>마곡엠밸리6단지</t>
        </is>
      </c>
      <c r="F154" s="276" t="n">
        <v>2014.06</v>
      </c>
      <c r="G154" s="276" t="n">
        <v>1466</v>
      </c>
      <c r="H154" s="276">
        <f>2026-INT(F154)+1</f>
        <v/>
      </c>
      <c r="I154" s="274" t="n"/>
      <c r="J154" s="276" t="n">
        <v>112</v>
      </c>
      <c r="K154" s="276" t="n">
        <v>84</v>
      </c>
      <c r="L154" s="276" t="n">
        <v>34</v>
      </c>
      <c r="M154" s="276" t="inlineStr">
        <is>
          <t>계단식</t>
        </is>
      </c>
      <c r="N154" s="276" t="n">
        <v>3</v>
      </c>
      <c r="O154" s="276" t="n">
        <v>2</v>
      </c>
      <c r="P154" s="276" t="n">
        <v>342</v>
      </c>
      <c r="Q154" s="274" t="n"/>
      <c r="R154" s="274" t="n"/>
      <c r="S154" s="274" t="n"/>
      <c r="T154" s="274" t="n"/>
      <c r="U154" s="276" t="n">
        <v>16.5</v>
      </c>
      <c r="V154" s="276" t="n">
        <v>10.8</v>
      </c>
      <c r="W154" s="274" t="n"/>
      <c r="X154" s="274" t="n"/>
      <c r="Y154" s="274" t="n"/>
      <c r="Z154" s="274" t="n"/>
      <c r="AA154" s="274" t="n"/>
      <c r="AB154" s="274" t="n"/>
      <c r="AC154" s="274" t="n"/>
      <c r="AD154" s="274" t="n"/>
      <c r="AE154" s="274" t="n"/>
      <c r="AF154" s="274" t="n"/>
      <c r="AG154" s="274" t="n"/>
      <c r="AH154" s="274" t="n"/>
      <c r="AI154" s="274" t="n"/>
      <c r="AJ154" s="274" t="n"/>
      <c r="AK154" s="274" t="n"/>
    </row>
    <row r="155">
      <c r="A155" s="274" t="inlineStr">
        <is>
          <t>마곡동</t>
        </is>
      </c>
      <c r="B155" s="274" t="n"/>
      <c r="C155" s="274" t="n"/>
      <c r="D155" s="274" t="n">
        <v>107506</v>
      </c>
      <c r="E155" s="275" t="inlineStr">
        <is>
          <t>마곡엠밸리6단지</t>
        </is>
      </c>
      <c r="F155" s="274" t="n">
        <v>2014.06</v>
      </c>
      <c r="G155" s="274" t="n">
        <v>1466</v>
      </c>
      <c r="H155" s="274">
        <f>2026-INT(F155)+1</f>
        <v/>
      </c>
      <c r="I155" s="274" t="n"/>
      <c r="J155" s="274" t="n">
        <v>152</v>
      </c>
      <c r="K155" s="274" t="n">
        <v>114</v>
      </c>
      <c r="L155" s="274" t="n">
        <v>46</v>
      </c>
      <c r="M155" s="274" t="inlineStr">
        <is>
          <t>계단식</t>
        </is>
      </c>
      <c r="N155" s="274" t="n">
        <v>4</v>
      </c>
      <c r="O155" s="274" t="n">
        <v>2</v>
      </c>
      <c r="P155" s="274" t="n">
        <v>203</v>
      </c>
      <c r="Q155" s="274" t="n"/>
      <c r="R155" s="274" t="n"/>
      <c r="S155" s="274" t="n"/>
      <c r="T155" s="274" t="n"/>
      <c r="U155" s="274" t="n">
        <v>18.75</v>
      </c>
      <c r="V155" s="274" t="n">
        <v>16.25</v>
      </c>
      <c r="W155" s="274" t="n"/>
      <c r="X155" s="274" t="n"/>
      <c r="Y155" s="274" t="n"/>
      <c r="Z155" s="274" t="n"/>
      <c r="AA155" s="274" t="n"/>
      <c r="AB155" s="274" t="n"/>
      <c r="AC155" s="274" t="n"/>
      <c r="AD155" s="274" t="n"/>
      <c r="AE155" s="274" t="n"/>
      <c r="AF155" s="274" t="n"/>
      <c r="AG155" s="274" t="n"/>
      <c r="AH155" s="274" t="n"/>
      <c r="AI155" s="274" t="n"/>
      <c r="AJ155" s="274" t="n"/>
      <c r="AK155" s="274" t="n"/>
    </row>
    <row r="156">
      <c r="A156" s="458" t="inlineStr">
        <is>
          <t>마곡동</t>
        </is>
      </c>
      <c r="D156" s="458" t="n">
        <v>107477</v>
      </c>
      <c r="E156" s="277" t="inlineStr">
        <is>
          <t>마곡엠밸리7단지</t>
        </is>
      </c>
      <c r="F156" s="458" t="n">
        <v>2014.06</v>
      </c>
      <c r="G156" s="458" t="n">
        <v>1004</v>
      </c>
      <c r="H156" s="458">
        <f>2026-INT(F156)+1</f>
        <v/>
      </c>
      <c r="J156" s="458" t="n">
        <v>108</v>
      </c>
      <c r="K156" s="458" t="n">
        <v>84</v>
      </c>
      <c r="L156" s="458" t="n">
        <v>33</v>
      </c>
      <c r="M156" s="458" t="inlineStr">
        <is>
          <t>계단식</t>
        </is>
      </c>
      <c r="N156" s="458" t="n">
        <v>3</v>
      </c>
      <c r="O156" s="458" t="n">
        <v>2</v>
      </c>
      <c r="P156" s="458" t="n">
        <v>178</v>
      </c>
      <c r="U156" s="458" t="n">
        <v>17.55</v>
      </c>
      <c r="V156" s="458" t="n">
        <v>9.800000000000001</v>
      </c>
    </row>
    <row r="157">
      <c r="A157" s="458" t="inlineStr">
        <is>
          <t>마곡동</t>
        </is>
      </c>
      <c r="D157" s="458" t="n">
        <v>107477</v>
      </c>
      <c r="E157" s="277" t="inlineStr">
        <is>
          <t>마곡엠밸리7단지</t>
        </is>
      </c>
      <c r="F157" s="458" t="n">
        <v>2014.06</v>
      </c>
      <c r="G157" s="458" t="n">
        <v>1004</v>
      </c>
      <c r="H157" s="458">
        <f>2026-INT(F157)+1</f>
        <v/>
      </c>
      <c r="J157" s="458" t="n">
        <v>147</v>
      </c>
      <c r="K157" s="458" t="n">
        <v>114</v>
      </c>
      <c r="L157" s="458" t="n">
        <v>44</v>
      </c>
      <c r="M157" s="458" t="inlineStr">
        <is>
          <t>계단식</t>
        </is>
      </c>
      <c r="N157" s="458" t="n">
        <v>4</v>
      </c>
      <c r="O157" s="458" t="n">
        <v>2</v>
      </c>
      <c r="P157" s="458" t="n">
        <v>488</v>
      </c>
      <c r="U157" s="458" t="n">
        <v>20</v>
      </c>
      <c r="V157" s="458" t="n">
        <v>16.3</v>
      </c>
    </row>
    <row r="158">
      <c r="A158" s="274" t="inlineStr">
        <is>
          <t>마곡동</t>
        </is>
      </c>
      <c r="B158" s="274" t="n"/>
      <c r="C158" s="274" t="n"/>
      <c r="D158" s="274" t="n">
        <v>112211</v>
      </c>
      <c r="E158" s="275" t="inlineStr">
        <is>
          <t>마곡엠밸리8단지</t>
        </is>
      </c>
      <c r="F158" s="274" t="n">
        <v>2016.07</v>
      </c>
      <c r="G158" s="274" t="n">
        <v>531</v>
      </c>
      <c r="H158" s="274">
        <f>2026-INT(F158)+1</f>
        <v/>
      </c>
      <c r="I158" s="274" t="n"/>
      <c r="J158" s="274" t="n">
        <v>84</v>
      </c>
      <c r="K158" s="274" t="n">
        <v>59</v>
      </c>
      <c r="L158" s="274" t="n">
        <v>25</v>
      </c>
      <c r="M158" s="274" t="inlineStr">
        <is>
          <t>계단식</t>
        </is>
      </c>
      <c r="N158" s="274" t="n">
        <v>3</v>
      </c>
      <c r="O158" s="274" t="n">
        <v>2</v>
      </c>
      <c r="P158" s="274" t="n">
        <v>80</v>
      </c>
      <c r="Q158" s="274" t="n"/>
      <c r="R158" s="274" t="n"/>
      <c r="S158" s="274" t="n"/>
      <c r="T158" s="274" t="n"/>
      <c r="U158" s="274" t="n">
        <v>12.5</v>
      </c>
      <c r="V158" s="274" t="n">
        <v>9.67</v>
      </c>
      <c r="W158" s="274" t="n"/>
      <c r="X158" s="274" t="n"/>
      <c r="Y158" s="274" t="n"/>
      <c r="Z158" s="274" t="n"/>
      <c r="AA158" s="274" t="n"/>
      <c r="AB158" s="274" t="n"/>
      <c r="AC158" s="274" t="n"/>
      <c r="AD158" s="274" t="n"/>
      <c r="AE158" s="274" t="n"/>
      <c r="AF158" s="274" t="n"/>
      <c r="AG158" s="274" t="n"/>
      <c r="AH158" s="274" t="n"/>
      <c r="AI158" s="274" t="n"/>
      <c r="AJ158" s="274" t="n"/>
      <c r="AK158" s="274" t="n"/>
    </row>
    <row r="159">
      <c r="A159" s="276" t="inlineStr">
        <is>
          <t>마곡동</t>
        </is>
      </c>
      <c r="B159" s="274" t="n"/>
      <c r="C159" s="274" t="n"/>
      <c r="D159" s="276" t="n">
        <v>112211</v>
      </c>
      <c r="E159" s="275" t="inlineStr">
        <is>
          <t>마곡엠밸리8단지</t>
        </is>
      </c>
      <c r="F159" s="276" t="n">
        <v>2016.07</v>
      </c>
      <c r="G159" s="276" t="n">
        <v>531</v>
      </c>
      <c r="H159" s="276">
        <f>2026-INT(F159)+1</f>
        <v/>
      </c>
      <c r="I159" s="274" t="n"/>
      <c r="J159" s="276" t="n">
        <v>117</v>
      </c>
      <c r="K159" s="276" t="n">
        <v>84</v>
      </c>
      <c r="L159" s="276" t="n">
        <v>35</v>
      </c>
      <c r="M159" s="276" t="inlineStr">
        <is>
          <t>계단식</t>
        </is>
      </c>
      <c r="N159" s="276" t="n">
        <v>3</v>
      </c>
      <c r="O159" s="276" t="n">
        <v>2</v>
      </c>
      <c r="P159" s="276" t="n">
        <v>186</v>
      </c>
      <c r="Q159" s="274" t="n"/>
      <c r="R159" s="274" t="n"/>
      <c r="S159" s="274" t="n"/>
      <c r="T159" s="274" t="n"/>
      <c r="U159" s="276" t="n">
        <v>14.1</v>
      </c>
      <c r="V159" s="276" t="n">
        <v>10.5</v>
      </c>
      <c r="W159" s="274" t="n"/>
      <c r="X159" s="274" t="n"/>
      <c r="Y159" s="274" t="n"/>
      <c r="Z159" s="274" t="n"/>
      <c r="AA159" s="274" t="n"/>
      <c r="AB159" s="274" t="n"/>
      <c r="AC159" s="274" t="n"/>
      <c r="AD159" s="274" t="n"/>
      <c r="AE159" s="274" t="n"/>
      <c r="AF159" s="274" t="n"/>
      <c r="AG159" s="274" t="n"/>
      <c r="AH159" s="274" t="n"/>
      <c r="AI159" s="274" t="n"/>
      <c r="AJ159" s="274" t="n"/>
      <c r="AK159" s="274" t="n"/>
    </row>
    <row r="160">
      <c r="A160" s="458" t="inlineStr">
        <is>
          <t>마곡동</t>
        </is>
      </c>
      <c r="D160" s="458" t="n">
        <v>131224</v>
      </c>
      <c r="E160" s="277" t="inlineStr">
        <is>
          <t>마곡엠밸리9단지</t>
        </is>
      </c>
      <c r="F160" s="458" t="n">
        <v>2021.02</v>
      </c>
      <c r="G160" s="458" t="n">
        <v>1529</v>
      </c>
      <c r="H160" s="458">
        <f>2026-INT(F160)+1</f>
        <v/>
      </c>
      <c r="J160" s="458" t="n">
        <v>83</v>
      </c>
      <c r="K160" s="458" t="n">
        <v>59</v>
      </c>
      <c r="L160" s="458" t="n">
        <v>25</v>
      </c>
      <c r="M160" s="458" t="inlineStr">
        <is>
          <t>계단식</t>
        </is>
      </c>
      <c r="N160" s="458" t="n">
        <v>3</v>
      </c>
      <c r="O160" s="458" t="n">
        <v>2</v>
      </c>
      <c r="P160" s="458" t="n">
        <v>433</v>
      </c>
      <c r="U160" s="458" t="n"/>
      <c r="V160" s="458" t="n">
        <v>10.1</v>
      </c>
    </row>
    <row r="161">
      <c r="A161" s="458" t="inlineStr">
        <is>
          <t>마곡동</t>
        </is>
      </c>
      <c r="D161" s="458" t="n">
        <v>131224</v>
      </c>
      <c r="E161" s="277" t="inlineStr">
        <is>
          <t>마곡엠밸리9단지</t>
        </is>
      </c>
      <c r="F161" s="458" t="n">
        <v>2021.02</v>
      </c>
      <c r="G161" s="458" t="n">
        <v>1529</v>
      </c>
      <c r="H161" s="458">
        <f>2026-INT(F161)+1</f>
        <v/>
      </c>
      <c r="J161" s="458" t="n">
        <v>117</v>
      </c>
      <c r="K161" s="458" t="n">
        <v>84</v>
      </c>
      <c r="L161" s="458" t="n">
        <v>35</v>
      </c>
      <c r="M161" s="458" t="inlineStr">
        <is>
          <t>계단식</t>
        </is>
      </c>
      <c r="N161" s="458" t="n">
        <v>3</v>
      </c>
      <c r="O161" s="458" t="n">
        <v>2</v>
      </c>
      <c r="P161" s="458" t="n">
        <v>529</v>
      </c>
      <c r="U161" s="458" t="n">
        <v>11</v>
      </c>
      <c r="V161" s="458" t="n">
        <v>10.6</v>
      </c>
    </row>
    <row r="162">
      <c r="A162" s="276" t="inlineStr">
        <is>
          <t>마곡동</t>
        </is>
      </c>
      <c r="B162" s="274" t="n"/>
      <c r="C162" s="274" t="n"/>
      <c r="D162" s="276" t="n">
        <v>9410</v>
      </c>
      <c r="E162" s="275" t="inlineStr">
        <is>
          <t>마곡우림필유</t>
        </is>
      </c>
      <c r="F162" s="276" t="n">
        <v>2003.12</v>
      </c>
      <c r="G162" s="276" t="n">
        <v>320</v>
      </c>
      <c r="H162" s="276">
        <f>2026-INT(F162)+1</f>
        <v/>
      </c>
      <c r="I162" s="274" t="n"/>
      <c r="J162" s="276" t="n">
        <v>85</v>
      </c>
      <c r="K162" s="276" t="n">
        <v>69</v>
      </c>
      <c r="L162" s="276" t="n">
        <v>26</v>
      </c>
      <c r="M162" s="276" t="inlineStr">
        <is>
          <t>계단식</t>
        </is>
      </c>
      <c r="N162" s="276" t="n">
        <v>3</v>
      </c>
      <c r="O162" s="276" t="n">
        <v>1</v>
      </c>
      <c r="P162" s="276" t="n">
        <v>2</v>
      </c>
      <c r="Q162" s="274" t="n"/>
      <c r="R162" s="274" t="n"/>
      <c r="S162" s="274" t="n"/>
      <c r="T162" s="274" t="n"/>
      <c r="U162" s="276" t="n"/>
      <c r="V162" s="276" t="n"/>
      <c r="W162" s="274" t="n"/>
      <c r="X162" s="274" t="n"/>
      <c r="Y162" s="274" t="n"/>
      <c r="Z162" s="274" t="n"/>
      <c r="AA162" s="274" t="n"/>
      <c r="AB162" s="274" t="n"/>
      <c r="AC162" s="274" t="n"/>
      <c r="AD162" s="274" t="n"/>
      <c r="AE162" s="274" t="n"/>
      <c r="AF162" s="274" t="n"/>
      <c r="AG162" s="274" t="n"/>
      <c r="AH162" s="274" t="n"/>
      <c r="AI162" s="274" t="n"/>
      <c r="AJ162" s="274" t="n"/>
      <c r="AK162" s="274" t="n"/>
    </row>
    <row r="163">
      <c r="A163" s="276" t="inlineStr">
        <is>
          <t>마곡동</t>
        </is>
      </c>
      <c r="B163" s="274" t="n"/>
      <c r="C163" s="274" t="n"/>
      <c r="D163" s="276" t="n">
        <v>9410</v>
      </c>
      <c r="E163" s="275" t="inlineStr">
        <is>
          <t>마곡우림필유</t>
        </is>
      </c>
      <c r="F163" s="276" t="n">
        <v>2003.12</v>
      </c>
      <c r="G163" s="276" t="n">
        <v>320</v>
      </c>
      <c r="H163" s="276">
        <f>2026-INT(F163)+1</f>
        <v/>
      </c>
      <c r="I163" s="274" t="n"/>
      <c r="J163" s="276" t="n">
        <v>91</v>
      </c>
      <c r="K163" s="276" t="n">
        <v>74</v>
      </c>
      <c r="L163" s="276" t="n">
        <v>28</v>
      </c>
      <c r="M163" s="276" t="inlineStr">
        <is>
          <t>계단식</t>
        </is>
      </c>
      <c r="N163" s="276" t="n">
        <v>3</v>
      </c>
      <c r="O163" s="276" t="n">
        <v>2</v>
      </c>
      <c r="P163" s="276" t="n">
        <v>23</v>
      </c>
      <c r="Q163" s="274" t="n"/>
      <c r="R163" s="274" t="n"/>
      <c r="S163" s="274" t="n"/>
      <c r="T163" s="274" t="n"/>
      <c r="U163" s="276" t="n"/>
      <c r="V163" s="276" t="n">
        <v>6.7</v>
      </c>
      <c r="W163" s="274" t="n"/>
      <c r="X163" s="274" t="n"/>
      <c r="Y163" s="274" t="n"/>
      <c r="Z163" s="274" t="n"/>
      <c r="AA163" s="274" t="n"/>
      <c r="AB163" s="274" t="n"/>
      <c r="AC163" s="274" t="n"/>
      <c r="AD163" s="274" t="n"/>
      <c r="AE163" s="274" t="n"/>
      <c r="AF163" s="274" t="n"/>
      <c r="AG163" s="274" t="n"/>
      <c r="AH163" s="274" t="n"/>
      <c r="AI163" s="274" t="n"/>
      <c r="AJ163" s="274" t="n"/>
      <c r="AK163" s="274" t="n"/>
    </row>
    <row r="164">
      <c r="A164" s="276" t="inlineStr">
        <is>
          <t>마곡동</t>
        </is>
      </c>
      <c r="B164" s="274" t="n"/>
      <c r="C164" s="274" t="n"/>
      <c r="D164" s="276" t="n">
        <v>9410</v>
      </c>
      <c r="E164" s="275" t="inlineStr">
        <is>
          <t>마곡우림필유</t>
        </is>
      </c>
      <c r="F164" s="276" t="n">
        <v>2003.12</v>
      </c>
      <c r="G164" s="276" t="n">
        <v>320</v>
      </c>
      <c r="H164" s="276">
        <f>2026-INT(F164)+1</f>
        <v/>
      </c>
      <c r="I164" s="274" t="n"/>
      <c r="J164" s="276" t="n">
        <v>92</v>
      </c>
      <c r="K164" s="276" t="n">
        <v>76</v>
      </c>
      <c r="L164" s="276" t="n">
        <v>28</v>
      </c>
      <c r="M164" s="276" t="inlineStr">
        <is>
          <t>계단식</t>
        </is>
      </c>
      <c r="N164" s="276" t="n">
        <v>3</v>
      </c>
      <c r="O164" s="276" t="n">
        <v>2</v>
      </c>
      <c r="P164" s="276" t="n">
        <v>5</v>
      </c>
      <c r="Q164" s="274" t="n"/>
      <c r="R164" s="274" t="n"/>
      <c r="S164" s="274" t="n"/>
      <c r="T164" s="274" t="n"/>
      <c r="U164" s="276" t="n">
        <v>6.5</v>
      </c>
      <c r="V164" s="276" t="n">
        <v>6.7</v>
      </c>
      <c r="W164" s="274" t="n"/>
      <c r="X164" s="274" t="n"/>
      <c r="Y164" s="274" t="n"/>
      <c r="Z164" s="274" t="n"/>
      <c r="AA164" s="274" t="n"/>
      <c r="AB164" s="274" t="n"/>
      <c r="AC164" s="274" t="n"/>
      <c r="AD164" s="274" t="n"/>
      <c r="AE164" s="274" t="n"/>
      <c r="AF164" s="274" t="n"/>
      <c r="AG164" s="274" t="n"/>
      <c r="AH164" s="274" t="n"/>
      <c r="AI164" s="274" t="n"/>
      <c r="AJ164" s="274" t="n"/>
      <c r="AK164" s="274" t="n"/>
    </row>
    <row r="165">
      <c r="A165" s="276" t="inlineStr">
        <is>
          <t>마곡동</t>
        </is>
      </c>
      <c r="B165" s="274" t="n"/>
      <c r="C165" s="274" t="n"/>
      <c r="D165" s="276" t="n">
        <v>9410</v>
      </c>
      <c r="E165" s="275" t="inlineStr">
        <is>
          <t>마곡우림필유</t>
        </is>
      </c>
      <c r="F165" s="276" t="n">
        <v>2003.12</v>
      </c>
      <c r="G165" s="276" t="n">
        <v>320</v>
      </c>
      <c r="H165" s="276">
        <f>2026-INT(F165)+1</f>
        <v/>
      </c>
      <c r="I165" s="274" t="n"/>
      <c r="J165" s="276" t="n">
        <v>94</v>
      </c>
      <c r="K165" s="276" t="n">
        <v>77</v>
      </c>
      <c r="L165" s="276" t="n">
        <v>28</v>
      </c>
      <c r="M165" s="276" t="inlineStr">
        <is>
          <t>계단식</t>
        </is>
      </c>
      <c r="N165" s="276" t="n">
        <v>3</v>
      </c>
      <c r="O165" s="276" t="n">
        <v>2</v>
      </c>
      <c r="P165" s="276" t="n">
        <v>4</v>
      </c>
      <c r="Q165" s="274" t="n"/>
      <c r="R165" s="274" t="n"/>
      <c r="S165" s="274" t="n"/>
      <c r="T165" s="274" t="n"/>
      <c r="U165" s="276" t="n">
        <v>6.5</v>
      </c>
      <c r="V165" s="276" t="n"/>
      <c r="W165" s="274" t="n"/>
      <c r="X165" s="274" t="n"/>
      <c r="Y165" s="274" t="n"/>
      <c r="Z165" s="274" t="n"/>
      <c r="AA165" s="274" t="n"/>
      <c r="AB165" s="274" t="n"/>
      <c r="AC165" s="274" t="n"/>
      <c r="AD165" s="274" t="n"/>
      <c r="AE165" s="274" t="n"/>
      <c r="AF165" s="274" t="n"/>
      <c r="AG165" s="274" t="n"/>
      <c r="AH165" s="274" t="n"/>
      <c r="AI165" s="274" t="n"/>
      <c r="AJ165" s="274" t="n"/>
      <c r="AK165" s="274" t="n"/>
    </row>
    <row r="166">
      <c r="A166" s="274" t="inlineStr">
        <is>
          <t>마곡동</t>
        </is>
      </c>
      <c r="B166" s="274" t="n"/>
      <c r="C166" s="274" t="n"/>
      <c r="D166" s="274" t="n">
        <v>9410</v>
      </c>
      <c r="E166" s="275" t="inlineStr">
        <is>
          <t>마곡우림필유</t>
        </is>
      </c>
      <c r="F166" s="274" t="n">
        <v>2003.12</v>
      </c>
      <c r="G166" s="274" t="n">
        <v>320</v>
      </c>
      <c r="H166" s="274">
        <f>2026-INT(F166)+1</f>
        <v/>
      </c>
      <c r="I166" s="274" t="n"/>
      <c r="J166" s="274" t="n">
        <v>102</v>
      </c>
      <c r="K166" s="274" t="n">
        <v>84</v>
      </c>
      <c r="L166" s="274" t="n">
        <v>31</v>
      </c>
      <c r="M166" s="274" t="inlineStr">
        <is>
          <t>계단식</t>
        </is>
      </c>
      <c r="N166" s="274" t="n">
        <v>3</v>
      </c>
      <c r="O166" s="274" t="n">
        <v>2</v>
      </c>
      <c r="P166" s="274" t="n">
        <v>286</v>
      </c>
      <c r="Q166" s="274" t="n"/>
      <c r="R166" s="274" t="n"/>
      <c r="S166" s="274" t="n"/>
      <c r="T166" s="274" t="n"/>
      <c r="U166" s="274" t="n">
        <v>10.4</v>
      </c>
      <c r="V166" s="274" t="n">
        <v>7.3</v>
      </c>
      <c r="W166" s="274" t="n"/>
      <c r="X166" s="274" t="n"/>
      <c r="Y166" s="274" t="n"/>
      <c r="Z166" s="274" t="n"/>
      <c r="AA166" s="274" t="n"/>
      <c r="AB166" s="274" t="n"/>
      <c r="AC166" s="274" t="n"/>
      <c r="AD166" s="274" t="n"/>
      <c r="AE166" s="274" t="n"/>
      <c r="AF166" s="274" t="n"/>
      <c r="AG166" s="274" t="n"/>
      <c r="AH166" s="274" t="n"/>
      <c r="AI166" s="274" t="n"/>
      <c r="AJ166" s="274" t="n"/>
      <c r="AK166" s="274" t="n"/>
    </row>
    <row r="167">
      <c r="A167" s="458" t="inlineStr">
        <is>
          <t>마곡동</t>
        </is>
      </c>
      <c r="D167" s="458" t="n">
        <v>1026</v>
      </c>
      <c r="E167" s="277" t="inlineStr">
        <is>
          <t>마곡청구</t>
        </is>
      </c>
      <c r="F167" s="458" t="n">
        <v>1998.02</v>
      </c>
      <c r="G167" s="458" t="n">
        <v>209</v>
      </c>
      <c r="H167" s="458">
        <f>2026-INT(F167)+1</f>
        <v/>
      </c>
      <c r="J167" s="458" t="n">
        <v>77</v>
      </c>
      <c r="K167" s="458" t="n">
        <v>59</v>
      </c>
      <c r="L167" s="458" t="n">
        <v>23</v>
      </c>
      <c r="M167" s="458" t="inlineStr">
        <is>
          <t>계단식</t>
        </is>
      </c>
      <c r="N167" s="458" t="n">
        <v>3</v>
      </c>
      <c r="O167" s="458" t="n">
        <v>1</v>
      </c>
      <c r="P167" s="458" t="n">
        <v>119</v>
      </c>
      <c r="U167" s="458" t="n">
        <v>6.9</v>
      </c>
      <c r="V167" s="458" t="n">
        <v>6.3</v>
      </c>
    </row>
    <row r="168">
      <c r="A168" s="458" t="inlineStr">
        <is>
          <t>마곡동</t>
        </is>
      </c>
      <c r="D168" s="458" t="n">
        <v>1026</v>
      </c>
      <c r="E168" s="277" t="inlineStr">
        <is>
          <t>마곡청구</t>
        </is>
      </c>
      <c r="F168" s="458" t="n">
        <v>1998.02</v>
      </c>
      <c r="G168" s="458" t="n">
        <v>209</v>
      </c>
      <c r="H168" s="458">
        <f>2026-INT(F168)+1</f>
        <v/>
      </c>
      <c r="J168" s="458" t="n">
        <v>105</v>
      </c>
      <c r="K168" s="458" t="n">
        <v>84</v>
      </c>
      <c r="L168" s="458" t="n">
        <v>32</v>
      </c>
      <c r="M168" s="458" t="inlineStr">
        <is>
          <t>계단식</t>
        </is>
      </c>
      <c r="N168" s="458" t="n">
        <v>3</v>
      </c>
      <c r="O168" s="458" t="n">
        <v>2</v>
      </c>
      <c r="P168" s="458" t="n">
        <v>90</v>
      </c>
      <c r="U168" s="458" t="n">
        <v>9.199999999999999</v>
      </c>
      <c r="V168" s="458" t="n">
        <v>7</v>
      </c>
    </row>
    <row r="169">
      <c r="A169" s="276" t="inlineStr">
        <is>
          <t>마곡동</t>
        </is>
      </c>
      <c r="B169" s="274" t="n"/>
      <c r="C169" s="274" t="n"/>
      <c r="D169" s="276" t="n">
        <v>24833</v>
      </c>
      <c r="E169" s="275" t="inlineStr">
        <is>
          <t>마곡푸르지오</t>
        </is>
      </c>
      <c r="F169" s="276" t="n">
        <v>2008.06</v>
      </c>
      <c r="G169" s="276" t="n">
        <v>341</v>
      </c>
      <c r="H169" s="276">
        <f>2026-INT(F169)+1</f>
        <v/>
      </c>
      <c r="I169" s="274" t="n"/>
      <c r="J169" s="276" t="n">
        <v>82</v>
      </c>
      <c r="K169" s="276" t="n">
        <v>59</v>
      </c>
      <c r="L169" s="276" t="n">
        <v>25</v>
      </c>
      <c r="M169" s="276" t="inlineStr">
        <is>
          <t>계단식</t>
        </is>
      </c>
      <c r="N169" s="276" t="n">
        <v>3</v>
      </c>
      <c r="O169" s="276" t="n">
        <v>2</v>
      </c>
      <c r="P169" s="276" t="n">
        <v>62</v>
      </c>
      <c r="Q169" s="274" t="n"/>
      <c r="R169" s="274" t="n"/>
      <c r="S169" s="274" t="n"/>
      <c r="T169" s="274" t="n"/>
      <c r="U169" s="274" t="n">
        <v>11</v>
      </c>
      <c r="V169" s="274" t="n">
        <v>7.45</v>
      </c>
      <c r="W169" s="274" t="n"/>
      <c r="X169" s="274" t="n"/>
      <c r="Y169" s="274" t="n"/>
      <c r="Z169" s="274" t="n"/>
      <c r="AA169" s="274" t="n"/>
      <c r="AB169" s="274" t="n"/>
      <c r="AC169" s="274" t="n"/>
      <c r="AD169" s="274" t="n"/>
      <c r="AE169" s="274" t="n"/>
      <c r="AF169" s="274" t="n"/>
      <c r="AG169" s="274" t="n"/>
      <c r="AH169" s="274" t="n"/>
      <c r="AI169" s="274" t="n"/>
      <c r="AJ169" s="274" t="n"/>
      <c r="AK169" s="274" t="n"/>
    </row>
    <row r="170">
      <c r="A170" s="276" t="inlineStr">
        <is>
          <t>마곡동</t>
        </is>
      </c>
      <c r="B170" s="274" t="n"/>
      <c r="C170" s="274" t="n"/>
      <c r="D170" s="276" t="n">
        <v>24833</v>
      </c>
      <c r="E170" s="275" t="inlineStr">
        <is>
          <t>마곡푸르지오</t>
        </is>
      </c>
      <c r="F170" s="276" t="n">
        <v>2008.06</v>
      </c>
      <c r="G170" s="276" t="n">
        <v>341</v>
      </c>
      <c r="H170" s="276">
        <f>2026-INT(F170)+1</f>
        <v/>
      </c>
      <c r="I170" s="274" t="n"/>
      <c r="J170" s="276" t="n">
        <v>103</v>
      </c>
      <c r="K170" s="276" t="n">
        <v>84</v>
      </c>
      <c r="L170" s="276" t="n">
        <v>31</v>
      </c>
      <c r="M170" s="276" t="inlineStr">
        <is>
          <t>계단식</t>
        </is>
      </c>
      <c r="N170" s="276" t="n">
        <v>3</v>
      </c>
      <c r="O170" s="276" t="n">
        <v>2</v>
      </c>
      <c r="P170" s="276" t="n">
        <v>190</v>
      </c>
      <c r="Q170" s="274" t="n"/>
      <c r="R170" s="274" t="n"/>
      <c r="S170" s="274" t="n"/>
      <c r="T170" s="274" t="n"/>
      <c r="U170" s="274" t="n">
        <v>13</v>
      </c>
      <c r="V170" s="274" t="n">
        <v>6.7</v>
      </c>
      <c r="W170" s="274" t="n"/>
      <c r="X170" s="274" t="n"/>
      <c r="Y170" s="274" t="n"/>
      <c r="Z170" s="274" t="n"/>
      <c r="AA170" s="274" t="n"/>
      <c r="AB170" s="274" t="n"/>
      <c r="AC170" s="274" t="n"/>
      <c r="AD170" s="274" t="n"/>
      <c r="AE170" s="274" t="n"/>
      <c r="AF170" s="274" t="n"/>
      <c r="AG170" s="274" t="n"/>
      <c r="AH170" s="274" t="n"/>
      <c r="AI170" s="274" t="n"/>
      <c r="AJ170" s="274" t="n"/>
      <c r="AK170" s="274" t="n"/>
    </row>
    <row r="171">
      <c r="A171" s="276" t="inlineStr">
        <is>
          <t>마곡동</t>
        </is>
      </c>
      <c r="B171" s="274" t="n"/>
      <c r="C171" s="274" t="n"/>
      <c r="D171" s="276" t="n">
        <v>24833</v>
      </c>
      <c r="E171" s="275" t="inlineStr">
        <is>
          <t>마곡푸르지오</t>
        </is>
      </c>
      <c r="F171" s="276" t="n">
        <v>2008.06</v>
      </c>
      <c r="G171" s="276" t="n">
        <v>341</v>
      </c>
      <c r="H171" s="276">
        <f>2026-INT(F171)+1</f>
        <v/>
      </c>
      <c r="I171" s="274" t="n"/>
      <c r="J171" s="276" t="n">
        <v>138</v>
      </c>
      <c r="K171" s="276" t="n">
        <v>114</v>
      </c>
      <c r="L171" s="276" t="n">
        <v>42</v>
      </c>
      <c r="M171" s="276" t="inlineStr">
        <is>
          <t>계단식</t>
        </is>
      </c>
      <c r="N171" s="276" t="n">
        <v>4</v>
      </c>
      <c r="O171" s="276" t="n">
        <v>2</v>
      </c>
      <c r="P171" s="276" t="n">
        <v>66</v>
      </c>
      <c r="Q171" s="274" t="n"/>
      <c r="R171" s="274" t="n"/>
      <c r="S171" s="274" t="n"/>
      <c r="T171" s="274" t="n"/>
      <c r="U171" s="274" t="n">
        <v>12.8</v>
      </c>
      <c r="V171" s="274" t="n">
        <v>12</v>
      </c>
      <c r="W171" s="274" t="n"/>
      <c r="X171" s="274" t="n"/>
      <c r="Y171" s="274" t="n"/>
      <c r="Z171" s="274" t="n"/>
      <c r="AA171" s="274" t="n"/>
      <c r="AB171" s="274" t="n"/>
      <c r="AC171" s="274" t="n"/>
      <c r="AD171" s="274" t="n"/>
      <c r="AE171" s="274" t="n"/>
      <c r="AF171" s="274" t="n"/>
      <c r="AG171" s="274" t="n"/>
      <c r="AH171" s="274" t="n"/>
      <c r="AI171" s="274" t="n"/>
      <c r="AJ171" s="274" t="n"/>
      <c r="AK171" s="274" t="n"/>
    </row>
    <row r="172">
      <c r="A172" s="458" t="inlineStr">
        <is>
          <t>마곡동</t>
        </is>
      </c>
      <c r="D172" s="458" t="n">
        <v>14025</v>
      </c>
      <c r="E172" s="277" t="inlineStr">
        <is>
          <t>마곡한솔솔파크</t>
        </is>
      </c>
      <c r="F172" s="458" t="n">
        <v>2005.02</v>
      </c>
      <c r="G172" s="458" t="n">
        <v>258</v>
      </c>
      <c r="H172" s="458">
        <f>2026-INT(F172)+1</f>
        <v/>
      </c>
      <c r="J172" s="458" t="n">
        <v>78</v>
      </c>
      <c r="K172" s="458" t="n">
        <v>59</v>
      </c>
      <c r="L172" s="458" t="n">
        <v>24</v>
      </c>
      <c r="M172" s="458" t="inlineStr">
        <is>
          <t>계단식</t>
        </is>
      </c>
      <c r="N172" s="458" t="n">
        <v>3</v>
      </c>
      <c r="O172" s="458" t="n">
        <v>2</v>
      </c>
      <c r="P172" s="458" t="n">
        <v>70</v>
      </c>
      <c r="U172" s="458" t="n">
        <v>9.1</v>
      </c>
      <c r="V172" s="458" t="n">
        <v>8.4</v>
      </c>
    </row>
    <row r="173">
      <c r="A173" s="458" t="inlineStr">
        <is>
          <t>마곡동</t>
        </is>
      </c>
      <c r="D173" s="458" t="n">
        <v>14025</v>
      </c>
      <c r="E173" s="277" t="inlineStr">
        <is>
          <t>마곡한솔솔파크</t>
        </is>
      </c>
      <c r="F173" s="458" t="n">
        <v>2005.02</v>
      </c>
      <c r="G173" s="458" t="n">
        <v>258</v>
      </c>
      <c r="H173" s="458">
        <f>2026-INT(F173)+1</f>
        <v/>
      </c>
      <c r="J173" s="458" t="n">
        <v>103</v>
      </c>
      <c r="K173" s="458" t="n">
        <v>79</v>
      </c>
      <c r="L173" s="458" t="n">
        <v>31</v>
      </c>
      <c r="M173" s="458" t="inlineStr">
        <is>
          <t>계단식</t>
        </is>
      </c>
      <c r="N173" s="458" t="n">
        <v>3</v>
      </c>
      <c r="O173" s="458" t="n">
        <v>2</v>
      </c>
      <c r="P173" s="458" t="n">
        <v>16</v>
      </c>
    </row>
    <row r="174">
      <c r="A174" s="458" t="inlineStr">
        <is>
          <t>마곡동</t>
        </is>
      </c>
      <c r="D174" s="458" t="n">
        <v>14025</v>
      </c>
      <c r="E174" s="277" t="inlineStr">
        <is>
          <t>마곡한솔솔파크</t>
        </is>
      </c>
      <c r="F174" s="458" t="n">
        <v>2005.02</v>
      </c>
      <c r="G174" s="458" t="n">
        <v>258</v>
      </c>
      <c r="H174" s="458">
        <f>2026-INT(F174)+1</f>
        <v/>
      </c>
      <c r="J174" s="458" t="n">
        <v>110</v>
      </c>
      <c r="K174" s="458" t="n">
        <v>84</v>
      </c>
      <c r="L174" s="458" t="n">
        <v>33</v>
      </c>
      <c r="M174" s="458" t="inlineStr">
        <is>
          <t>계단식</t>
        </is>
      </c>
      <c r="N174" s="458" t="n">
        <v>3</v>
      </c>
      <c r="O174" s="458" t="n">
        <v>2</v>
      </c>
      <c r="P174" s="458" t="n">
        <v>172</v>
      </c>
      <c r="U174" s="458" t="n">
        <v>11.4</v>
      </c>
      <c r="V174" s="458" t="n">
        <v>9.050000000000001</v>
      </c>
    </row>
    <row r="175">
      <c r="A175" s="274" t="inlineStr">
        <is>
          <t>마곡동</t>
        </is>
      </c>
      <c r="B175" s="274" t="n"/>
      <c r="C175" s="274" t="n"/>
      <c r="D175" s="274" t="n">
        <v>1027</v>
      </c>
      <c r="E175" s="275" t="inlineStr">
        <is>
          <t>마곡현대</t>
        </is>
      </c>
      <c r="F175" s="274" t="n">
        <v>1999.12</v>
      </c>
      <c r="G175" s="274" t="n">
        <v>202</v>
      </c>
      <c r="H175" s="274">
        <f>2026-INT(F175)+1</f>
        <v/>
      </c>
      <c r="I175" s="274" t="n"/>
      <c r="J175" s="274" t="n">
        <v>82</v>
      </c>
      <c r="K175" s="274" t="n">
        <v>59</v>
      </c>
      <c r="L175" s="274" t="n">
        <v>25</v>
      </c>
      <c r="M175" s="274" t="inlineStr">
        <is>
          <t>복도식</t>
        </is>
      </c>
      <c r="N175" s="274" t="n">
        <v>2</v>
      </c>
      <c r="O175" s="274" t="n">
        <v>1</v>
      </c>
      <c r="P175" s="274" t="n">
        <v>67</v>
      </c>
      <c r="Q175" s="274" t="n"/>
      <c r="R175" s="274" t="n"/>
      <c r="S175" s="274" t="n"/>
      <c r="T175" s="274" t="n"/>
      <c r="U175" s="274" t="n">
        <v>6.6</v>
      </c>
      <c r="V175" s="274" t="n"/>
      <c r="W175" s="274" t="n"/>
      <c r="X175" s="274" t="n"/>
      <c r="Y175" s="274" t="n"/>
      <c r="Z175" s="274" t="n"/>
      <c r="AA175" s="274" t="n"/>
      <c r="AB175" s="274" t="n"/>
      <c r="AC175" s="274" t="n"/>
      <c r="AD175" s="274" t="n"/>
      <c r="AE175" s="274" t="n"/>
      <c r="AF175" s="274" t="n"/>
      <c r="AG175" s="274" t="n"/>
      <c r="AH175" s="274" t="n"/>
      <c r="AI175" s="274" t="n"/>
      <c r="AJ175" s="274" t="n"/>
      <c r="AK175" s="274" t="n"/>
    </row>
    <row r="176">
      <c r="A176" s="274" t="inlineStr">
        <is>
          <t>마곡동</t>
        </is>
      </c>
      <c r="B176" s="274" t="n"/>
      <c r="C176" s="274" t="n"/>
      <c r="D176" s="274" t="n">
        <v>1027</v>
      </c>
      <c r="E176" s="275" t="inlineStr">
        <is>
          <t>마곡현대</t>
        </is>
      </c>
      <c r="F176" s="274" t="n">
        <v>1999.12</v>
      </c>
      <c r="G176" s="274" t="n">
        <v>202</v>
      </c>
      <c r="H176" s="274">
        <f>2026-INT(F176)+1</f>
        <v/>
      </c>
      <c r="I176" s="274" t="n"/>
      <c r="J176" s="274" t="n">
        <v>97</v>
      </c>
      <c r="K176" s="274" t="n">
        <v>70</v>
      </c>
      <c r="L176" s="274" t="n">
        <v>29</v>
      </c>
      <c r="M176" s="274" t="inlineStr">
        <is>
          <t>복도식</t>
        </is>
      </c>
      <c r="N176" s="274" t="n">
        <v>3</v>
      </c>
      <c r="O176" s="274" t="n">
        <v>1</v>
      </c>
      <c r="P176" s="274" t="n">
        <v>15</v>
      </c>
      <c r="Q176" s="274" t="n"/>
      <c r="R176" s="274" t="n"/>
      <c r="S176" s="274" t="n"/>
      <c r="T176" s="274" t="n"/>
      <c r="U176" s="274" t="n">
        <v>8.300000000000001</v>
      </c>
      <c r="V176" s="274" t="n"/>
      <c r="W176" s="274" t="n"/>
      <c r="X176" s="274" t="n"/>
      <c r="Y176" s="274" t="n"/>
      <c r="Z176" s="274" t="n"/>
      <c r="AA176" s="274" t="n"/>
      <c r="AB176" s="274" t="n"/>
      <c r="AC176" s="274" t="n"/>
      <c r="AD176" s="274" t="n"/>
      <c r="AE176" s="274" t="n"/>
      <c r="AF176" s="274" t="n"/>
      <c r="AG176" s="274" t="n"/>
      <c r="AH176" s="274" t="n"/>
      <c r="AI176" s="274" t="n"/>
      <c r="AJ176" s="274" t="n"/>
      <c r="AK176" s="274" t="n"/>
    </row>
    <row r="177">
      <c r="A177" s="276" t="inlineStr">
        <is>
          <t>마곡동</t>
        </is>
      </c>
      <c r="B177" s="274" t="n"/>
      <c r="C177" s="274" t="n"/>
      <c r="D177" s="276" t="n">
        <v>1027</v>
      </c>
      <c r="E177" s="275" t="inlineStr">
        <is>
          <t>마곡현대</t>
        </is>
      </c>
      <c r="F177" s="276" t="n">
        <v>1999.12</v>
      </c>
      <c r="G177" s="276" t="n">
        <v>202</v>
      </c>
      <c r="H177" s="276">
        <f>2026-INT(F177)+1</f>
        <v/>
      </c>
      <c r="I177" s="274" t="n"/>
      <c r="J177" s="276" t="n">
        <v>106</v>
      </c>
      <c r="K177" s="276" t="n">
        <v>84</v>
      </c>
      <c r="L177" s="276" t="n">
        <v>32</v>
      </c>
      <c r="M177" s="276" t="inlineStr">
        <is>
          <t>계단식</t>
        </is>
      </c>
      <c r="N177" s="276" t="n">
        <v>3</v>
      </c>
      <c r="O177" s="276" t="n">
        <v>2</v>
      </c>
      <c r="P177" s="276" t="n">
        <v>105</v>
      </c>
      <c r="Q177" s="274" t="n"/>
      <c r="R177" s="274" t="n"/>
      <c r="S177" s="274" t="n"/>
      <c r="T177" s="274" t="n"/>
      <c r="U177" s="276" t="n">
        <v>8.779999999999999</v>
      </c>
      <c r="V177" s="276" t="n">
        <v>6.8</v>
      </c>
      <c r="W177" s="274" t="n"/>
      <c r="X177" s="274" t="n"/>
      <c r="Y177" s="274" t="n"/>
      <c r="Z177" s="274" t="n"/>
      <c r="AA177" s="274" t="n"/>
      <c r="AB177" s="274" t="n"/>
      <c r="AC177" s="274" t="n"/>
      <c r="AD177" s="274" t="n"/>
      <c r="AE177" s="274" t="n"/>
      <c r="AF177" s="274" t="n"/>
      <c r="AG177" s="274" t="n"/>
      <c r="AH177" s="274" t="n"/>
      <c r="AI177" s="274" t="n"/>
      <c r="AJ177" s="274" t="n"/>
      <c r="AK177" s="274" t="n"/>
    </row>
    <row r="178">
      <c r="A178" s="276" t="inlineStr">
        <is>
          <t>마곡동</t>
        </is>
      </c>
      <c r="B178" s="274" t="n"/>
      <c r="C178" s="274" t="n"/>
      <c r="D178" s="276" t="n">
        <v>1027</v>
      </c>
      <c r="E178" s="275" t="inlineStr">
        <is>
          <t>마곡현대</t>
        </is>
      </c>
      <c r="F178" s="276" t="n">
        <v>1999.12</v>
      </c>
      <c r="G178" s="276" t="n">
        <v>202</v>
      </c>
      <c r="H178" s="276">
        <f>2026-INT(F178)+1</f>
        <v/>
      </c>
      <c r="I178" s="274" t="n"/>
      <c r="J178" s="276" t="n">
        <v>138</v>
      </c>
      <c r="K178" s="276" t="n">
        <v>114</v>
      </c>
      <c r="L178" s="276" t="n">
        <v>42</v>
      </c>
      <c r="M178" s="276" t="inlineStr">
        <is>
          <t>계단식</t>
        </is>
      </c>
      <c r="N178" s="276" t="n">
        <v>4</v>
      </c>
      <c r="O178" s="276" t="n">
        <v>2</v>
      </c>
      <c r="P178" s="276" t="n">
        <v>15</v>
      </c>
      <c r="Q178" s="274" t="n"/>
      <c r="R178" s="274" t="n"/>
      <c r="S178" s="274" t="n"/>
      <c r="T178" s="274" t="n"/>
      <c r="U178" s="276" t="n">
        <v>7</v>
      </c>
      <c r="V178" s="276" t="n"/>
      <c r="W178" s="274" t="n"/>
      <c r="X178" s="274" t="n"/>
      <c r="Y178" s="274" t="n"/>
      <c r="Z178" s="274" t="n"/>
      <c r="AA178" s="274" t="n"/>
      <c r="AB178" s="274" t="n"/>
      <c r="AC178" s="274" t="n"/>
      <c r="AD178" s="274" t="n"/>
      <c r="AE178" s="274" t="n"/>
      <c r="AF178" s="274" t="n"/>
      <c r="AG178" s="274" t="n"/>
      <c r="AH178" s="274" t="n"/>
      <c r="AI178" s="274" t="n"/>
      <c r="AJ178" s="274" t="n"/>
      <c r="AK178" s="274" t="n"/>
    </row>
    <row r="179">
      <c r="A179" s="458" t="inlineStr">
        <is>
          <t>마곡동</t>
        </is>
      </c>
      <c r="D179" s="458" t="n">
        <v>108359</v>
      </c>
      <c r="E179" s="277" t="inlineStr">
        <is>
          <t>마곡힐스테이트</t>
        </is>
      </c>
      <c r="F179" s="458" t="n">
        <v>2017.08</v>
      </c>
      <c r="G179" s="458" t="n">
        <v>603</v>
      </c>
      <c r="H179" s="458">
        <f>2026-INT(F179)+1</f>
        <v/>
      </c>
      <c r="J179" s="458" t="n">
        <v>81</v>
      </c>
      <c r="K179" s="458" t="n">
        <v>59</v>
      </c>
      <c r="L179" s="458" t="n">
        <v>25</v>
      </c>
      <c r="M179" s="458" t="inlineStr">
        <is>
          <t>계단식</t>
        </is>
      </c>
      <c r="N179" s="458" t="n">
        <v>3</v>
      </c>
      <c r="O179" s="458" t="n">
        <v>2</v>
      </c>
      <c r="P179" s="458" t="n">
        <v>99</v>
      </c>
      <c r="U179" s="458" t="n">
        <v>12.6</v>
      </c>
      <c r="V179" s="458" t="n">
        <v>9.6</v>
      </c>
    </row>
    <row r="180">
      <c r="A180" s="458" t="inlineStr">
        <is>
          <t>마곡동</t>
        </is>
      </c>
      <c r="D180" s="458" t="n">
        <v>108359</v>
      </c>
      <c r="E180" s="277" t="inlineStr">
        <is>
          <t>마곡힐스테이트</t>
        </is>
      </c>
      <c r="F180" s="458" t="n">
        <v>2017.08</v>
      </c>
      <c r="G180" s="458" t="n">
        <v>603</v>
      </c>
      <c r="H180" s="458">
        <f>2026-INT(F180)+1</f>
        <v/>
      </c>
      <c r="J180" s="458" t="n">
        <v>113</v>
      </c>
      <c r="K180" s="458" t="n">
        <v>84</v>
      </c>
      <c r="L180" s="458" t="n">
        <v>34</v>
      </c>
      <c r="M180" s="458" t="inlineStr">
        <is>
          <t>계단식</t>
        </is>
      </c>
      <c r="N180" s="458" t="n">
        <v>3</v>
      </c>
      <c r="O180" s="458" t="n">
        <v>2</v>
      </c>
      <c r="P180" s="458" t="n">
        <v>393</v>
      </c>
      <c r="U180" s="458" t="n">
        <v>15.05</v>
      </c>
      <c r="V180" s="458" t="n">
        <v>11.6</v>
      </c>
    </row>
    <row r="181">
      <c r="A181" s="458" t="inlineStr">
        <is>
          <t>마곡동</t>
        </is>
      </c>
      <c r="D181" s="458" t="n">
        <v>108359</v>
      </c>
      <c r="E181" s="277" t="inlineStr">
        <is>
          <t>마곡힐스테이트</t>
        </is>
      </c>
      <c r="F181" s="458" t="n">
        <v>2017.08</v>
      </c>
      <c r="G181" s="458" t="n">
        <v>603</v>
      </c>
      <c r="H181" s="458">
        <f>2026-INT(F181)+1</f>
        <v/>
      </c>
      <c r="J181" s="458" t="n">
        <v>152</v>
      </c>
      <c r="K181" s="458" t="n">
        <v>114</v>
      </c>
      <c r="L181" s="458" t="n">
        <v>46</v>
      </c>
      <c r="M181" s="458" t="inlineStr">
        <is>
          <t>계단식</t>
        </is>
      </c>
      <c r="N181" s="458" t="n">
        <v>4</v>
      </c>
      <c r="O181" s="458" t="n">
        <v>2</v>
      </c>
      <c r="P181" s="458" t="n">
        <v>52</v>
      </c>
    </row>
    <row r="182">
      <c r="A182" s="274" t="inlineStr">
        <is>
          <t>마곡동</t>
        </is>
      </c>
      <c r="B182" s="274" t="n"/>
      <c r="C182" s="274" t="n"/>
      <c r="D182" s="274" t="n">
        <v>15589</v>
      </c>
      <c r="E182" s="275" t="inlineStr">
        <is>
          <t>신안(327-53)</t>
        </is>
      </c>
      <c r="F182" s="274" t="n">
        <v>1984.12</v>
      </c>
      <c r="G182" s="274" t="n">
        <v>234</v>
      </c>
      <c r="H182" s="274">
        <f>2026-INT(F182)+1</f>
        <v/>
      </c>
      <c r="I182" s="274" t="n"/>
      <c r="J182" s="274" t="n">
        <v>73</v>
      </c>
      <c r="K182" s="274" t="n">
        <v>49</v>
      </c>
      <c r="L182" s="274" t="n">
        <v>22</v>
      </c>
      <c r="M182" s="274" t="inlineStr">
        <is>
          <t>계단식</t>
        </is>
      </c>
      <c r="N182" s="274" t="n">
        <v>2</v>
      </c>
      <c r="O182" s="274" t="n">
        <v>1</v>
      </c>
      <c r="P182" s="274" t="n">
        <v>78</v>
      </c>
      <c r="Q182" s="274" t="n"/>
      <c r="R182" s="274" t="n"/>
      <c r="S182" s="274" t="n"/>
      <c r="T182" s="274" t="n"/>
      <c r="U182" s="274" t="n"/>
      <c r="V182" s="274" t="n"/>
      <c r="W182" s="274" t="n"/>
      <c r="X182" s="274" t="n"/>
      <c r="Y182" s="274" t="n"/>
      <c r="Z182" s="274" t="n"/>
      <c r="AA182" s="274" t="n"/>
      <c r="AB182" s="274" t="n"/>
      <c r="AC182" s="274" t="n"/>
      <c r="AD182" s="274" t="n"/>
      <c r="AE182" s="274" t="n"/>
      <c r="AF182" s="274" t="n"/>
      <c r="AG182" s="274" t="n"/>
      <c r="AH182" s="274" t="n"/>
      <c r="AI182" s="274" t="n"/>
      <c r="AJ182" s="274" t="n"/>
      <c r="AK182" s="274" t="n"/>
    </row>
    <row r="183">
      <c r="A183" s="274" t="inlineStr">
        <is>
          <t>마곡동</t>
        </is>
      </c>
      <c r="B183" s="274" t="n"/>
      <c r="C183" s="274" t="n"/>
      <c r="D183" s="274" t="n">
        <v>15589</v>
      </c>
      <c r="E183" s="275" t="inlineStr">
        <is>
          <t>신안(327-53)</t>
        </is>
      </c>
      <c r="F183" s="274" t="n">
        <v>1984.12</v>
      </c>
      <c r="G183" s="274" t="n">
        <v>234</v>
      </c>
      <c r="H183" s="274">
        <f>2026-INT(F183)+1</f>
        <v/>
      </c>
      <c r="I183" s="274" t="n"/>
      <c r="J183" s="274" t="n">
        <v>83</v>
      </c>
      <c r="K183" s="274" t="n">
        <v>57</v>
      </c>
      <c r="L183" s="274" t="n">
        <v>25</v>
      </c>
      <c r="M183" s="274" t="inlineStr">
        <is>
          <t>계단식</t>
        </is>
      </c>
      <c r="N183" s="274" t="n">
        <v>3</v>
      </c>
      <c r="O183" s="274" t="n">
        <v>1</v>
      </c>
      <c r="P183" s="274" t="n">
        <v>126</v>
      </c>
      <c r="Q183" s="274" t="n"/>
      <c r="R183" s="274" t="n"/>
      <c r="S183" s="274" t="n"/>
      <c r="T183" s="274" t="n"/>
      <c r="U183" s="274" t="n"/>
      <c r="V183" s="274" t="n"/>
      <c r="W183" s="274" t="n"/>
      <c r="X183" s="274" t="n"/>
      <c r="Y183" s="274" t="n"/>
      <c r="Z183" s="274" t="n"/>
      <c r="AA183" s="274" t="n"/>
      <c r="AB183" s="274" t="n"/>
      <c r="AC183" s="274" t="n"/>
      <c r="AD183" s="274" t="n"/>
      <c r="AE183" s="274" t="n"/>
      <c r="AF183" s="274" t="n"/>
      <c r="AG183" s="274" t="n"/>
      <c r="AH183" s="274" t="n"/>
      <c r="AI183" s="274" t="n"/>
      <c r="AJ183" s="274" t="n"/>
      <c r="AK183" s="274" t="n"/>
    </row>
    <row r="184">
      <c r="A184" s="276" t="inlineStr">
        <is>
          <t>마곡동</t>
        </is>
      </c>
      <c r="B184" s="274" t="n"/>
      <c r="C184" s="274" t="n"/>
      <c r="D184" s="276" t="n">
        <v>15589</v>
      </c>
      <c r="E184" s="275" t="inlineStr">
        <is>
          <t>신안(327-53)</t>
        </is>
      </c>
      <c r="F184" s="276" t="n">
        <v>1984.12</v>
      </c>
      <c r="G184" s="276" t="n">
        <v>234</v>
      </c>
      <c r="H184" s="276">
        <f>2026-INT(F184)+1</f>
        <v/>
      </c>
      <c r="I184" s="274" t="n"/>
      <c r="J184" s="276" t="n">
        <v>100</v>
      </c>
      <c r="K184" s="276" t="n">
        <v>69</v>
      </c>
      <c r="L184" s="276" t="n">
        <v>30</v>
      </c>
      <c r="M184" s="276" t="inlineStr">
        <is>
          <t>계단식</t>
        </is>
      </c>
      <c r="N184" s="276" t="n">
        <v>3</v>
      </c>
      <c r="O184" s="276" t="n">
        <v>1</v>
      </c>
      <c r="P184" s="276" t="n">
        <v>30</v>
      </c>
      <c r="Q184" s="274" t="n"/>
      <c r="R184" s="274" t="n"/>
      <c r="S184" s="274" t="n"/>
      <c r="T184" s="274" t="n"/>
      <c r="U184" s="276" t="n"/>
      <c r="V184" s="276" t="n"/>
      <c r="W184" s="274" t="n"/>
      <c r="X184" s="274" t="n"/>
      <c r="Y184" s="274" t="n"/>
      <c r="Z184" s="274" t="n"/>
      <c r="AA184" s="274" t="n"/>
      <c r="AB184" s="274" t="n"/>
      <c r="AC184" s="274" t="n"/>
      <c r="AD184" s="274" t="n"/>
      <c r="AE184" s="274" t="n"/>
      <c r="AF184" s="274" t="n"/>
      <c r="AG184" s="274" t="n"/>
      <c r="AH184" s="274" t="n"/>
      <c r="AI184" s="274" t="n"/>
      <c r="AJ184" s="274" t="n"/>
      <c r="AK184" s="274" t="n"/>
    </row>
    <row r="185">
      <c r="A185" s="458" t="inlineStr">
        <is>
          <t>마곡동</t>
        </is>
      </c>
      <c r="D185" s="458" t="n">
        <v>1021</v>
      </c>
      <c r="E185" s="277" t="inlineStr">
        <is>
          <t>신안(422)</t>
        </is>
      </c>
      <c r="F185" s="458" t="n">
        <v>1993.12</v>
      </c>
      <c r="G185" s="458" t="n">
        <v>253</v>
      </c>
      <c r="H185" s="458">
        <f>2026-INT(F185)+1</f>
        <v/>
      </c>
      <c r="J185" s="458" t="n">
        <v>81</v>
      </c>
      <c r="K185" s="458" t="n">
        <v>59</v>
      </c>
      <c r="L185" s="458" t="n">
        <v>25</v>
      </c>
      <c r="M185" s="458" t="inlineStr">
        <is>
          <t>계단식</t>
        </is>
      </c>
      <c r="N185" s="458" t="n">
        <v>3</v>
      </c>
      <c r="O185" s="458" t="n">
        <v>1</v>
      </c>
      <c r="P185" s="458" t="n">
        <v>76</v>
      </c>
      <c r="U185" s="458" t="n">
        <v>9.5</v>
      </c>
      <c r="V185" s="458" t="n">
        <v>6.7</v>
      </c>
    </row>
    <row r="186">
      <c r="A186" s="458" t="inlineStr">
        <is>
          <t>마곡동</t>
        </is>
      </c>
      <c r="D186" s="458" t="n">
        <v>1021</v>
      </c>
      <c r="E186" s="277" t="inlineStr">
        <is>
          <t>신안(422)</t>
        </is>
      </c>
      <c r="F186" s="458" t="n">
        <v>1993.12</v>
      </c>
      <c r="G186" s="458" t="n">
        <v>253</v>
      </c>
      <c r="H186" s="458">
        <f>2026-INT(F186)+1</f>
        <v/>
      </c>
      <c r="J186" s="458" t="n">
        <v>82</v>
      </c>
      <c r="K186" s="458" t="n">
        <v>59</v>
      </c>
      <c r="L186" s="458" t="n">
        <v>25</v>
      </c>
      <c r="M186" s="458" t="inlineStr">
        <is>
          <t>복도식</t>
        </is>
      </c>
      <c r="N186" s="458" t="n">
        <v>3</v>
      </c>
      <c r="O186" s="458" t="n">
        <v>1</v>
      </c>
      <c r="P186" s="458" t="n">
        <v>59</v>
      </c>
      <c r="U186" s="458" t="n">
        <v>9.5</v>
      </c>
      <c r="V186" s="458" t="n">
        <v>6.7</v>
      </c>
    </row>
    <row r="187">
      <c r="A187" s="458" t="inlineStr">
        <is>
          <t>마곡동</t>
        </is>
      </c>
      <c r="D187" s="458" t="n">
        <v>1021</v>
      </c>
      <c r="E187" s="277" t="inlineStr">
        <is>
          <t>신안(422)</t>
        </is>
      </c>
      <c r="F187" s="458" t="n">
        <v>1993.12</v>
      </c>
      <c r="G187" s="458" t="n">
        <v>253</v>
      </c>
      <c r="H187" s="458">
        <f>2026-INT(F187)+1</f>
        <v/>
      </c>
      <c r="J187" s="458" t="n">
        <v>93</v>
      </c>
      <c r="K187" s="458" t="n">
        <v>78</v>
      </c>
      <c r="L187" s="458" t="n">
        <v>28</v>
      </c>
      <c r="M187" s="458" t="inlineStr">
        <is>
          <t>계단식</t>
        </is>
      </c>
      <c r="N187" s="458" t="n">
        <v>3</v>
      </c>
      <c r="O187" s="458" t="n">
        <v>1</v>
      </c>
      <c r="P187" s="458" t="n">
        <v>6</v>
      </c>
    </row>
    <row r="188">
      <c r="A188" s="458" t="inlineStr">
        <is>
          <t>마곡동</t>
        </is>
      </c>
      <c r="D188" s="458" t="n">
        <v>1021</v>
      </c>
      <c r="E188" s="277" t="inlineStr">
        <is>
          <t>신안(422)</t>
        </is>
      </c>
      <c r="F188" s="458" t="n">
        <v>1993.12</v>
      </c>
      <c r="G188" s="458" t="n">
        <v>253</v>
      </c>
      <c r="H188" s="458">
        <f>2026-INT(F188)+1</f>
        <v/>
      </c>
      <c r="J188" s="458" t="n">
        <v>105</v>
      </c>
      <c r="K188" s="458" t="n">
        <v>84</v>
      </c>
      <c r="L188" s="458" t="n">
        <v>32</v>
      </c>
      <c r="M188" s="458" t="inlineStr">
        <is>
          <t>계단식</t>
        </is>
      </c>
      <c r="N188" s="458" t="n">
        <v>3</v>
      </c>
      <c r="O188" s="458" t="n">
        <v>2</v>
      </c>
      <c r="P188" s="458" t="n">
        <v>82</v>
      </c>
      <c r="U188" s="458" t="n">
        <v>11.97</v>
      </c>
      <c r="V188" s="458" t="n">
        <v>6.45</v>
      </c>
    </row>
    <row r="189">
      <c r="A189" s="458" t="inlineStr">
        <is>
          <t>마곡동</t>
        </is>
      </c>
      <c r="D189" s="458" t="n">
        <v>1021</v>
      </c>
      <c r="E189" s="277" t="inlineStr">
        <is>
          <t>신안(422)</t>
        </is>
      </c>
      <c r="F189" s="458" t="n">
        <v>1993.12</v>
      </c>
      <c r="G189" s="458" t="n">
        <v>253</v>
      </c>
      <c r="H189" s="458">
        <f>2026-INT(F189)+1</f>
        <v/>
      </c>
      <c r="J189" s="458" t="n">
        <v>107</v>
      </c>
      <c r="K189" s="458" t="n">
        <v>89</v>
      </c>
      <c r="L189" s="458" t="n">
        <v>32</v>
      </c>
      <c r="M189" s="458" t="inlineStr">
        <is>
          <t>계단식</t>
        </is>
      </c>
      <c r="N189" s="458" t="n">
        <v>3</v>
      </c>
      <c r="O189" s="458" t="n">
        <v>2</v>
      </c>
      <c r="P189" s="458" t="n">
        <v>1</v>
      </c>
    </row>
    <row r="190">
      <c r="A190" s="458" t="inlineStr">
        <is>
          <t>마곡동</t>
        </is>
      </c>
      <c r="D190" s="458" t="n">
        <v>1021</v>
      </c>
      <c r="E190" s="277" t="inlineStr">
        <is>
          <t>신안(422)</t>
        </is>
      </c>
      <c r="F190" s="458" t="n">
        <v>1993.12</v>
      </c>
      <c r="G190" s="458" t="n">
        <v>253</v>
      </c>
      <c r="H190" s="458">
        <f>2026-INT(F190)+1</f>
        <v/>
      </c>
      <c r="J190" s="458" t="n">
        <v>129</v>
      </c>
      <c r="K190" s="458" t="n">
        <v>108</v>
      </c>
      <c r="L190" s="458" t="n">
        <v>39</v>
      </c>
      <c r="M190" s="458" t="inlineStr">
        <is>
          <t>계단식</t>
        </is>
      </c>
      <c r="N190" s="458" t="n">
        <v>4</v>
      </c>
      <c r="O190" s="458" t="n">
        <v>2</v>
      </c>
      <c r="P190" s="458" t="n">
        <v>29</v>
      </c>
      <c r="U190" s="458" t="n">
        <v>11.78</v>
      </c>
      <c r="V190" s="458" t="n">
        <v>11.78</v>
      </c>
    </row>
    <row r="191">
      <c r="A191" s="274" t="inlineStr">
        <is>
          <t>방화동</t>
        </is>
      </c>
      <c r="B191" s="274" t="n"/>
      <c r="C191" s="274" t="n"/>
      <c r="D191" s="274" t="n">
        <v>9315</v>
      </c>
      <c r="E191" s="275" t="inlineStr">
        <is>
          <t>개화산동부센트레빌</t>
        </is>
      </c>
      <c r="F191" s="274" t="n">
        <v>2003.02</v>
      </c>
      <c r="G191" s="274" t="n">
        <v>205</v>
      </c>
      <c r="H191" s="274">
        <f>2026-INT(F191)+1</f>
        <v/>
      </c>
      <c r="I191" s="274" t="n"/>
      <c r="J191" s="274" t="n">
        <v>79</v>
      </c>
      <c r="K191" s="274" t="n">
        <v>59</v>
      </c>
      <c r="L191" s="274" t="n">
        <v>24</v>
      </c>
      <c r="M191" s="274" t="inlineStr">
        <is>
          <t>계단식</t>
        </is>
      </c>
      <c r="N191" s="274" t="n">
        <v>3</v>
      </c>
      <c r="O191" s="274" t="n">
        <v>2</v>
      </c>
      <c r="P191" s="274" t="n">
        <v>45</v>
      </c>
      <c r="Q191" s="274" t="n"/>
      <c r="R191" s="274" t="n"/>
      <c r="S191" s="274" t="n"/>
      <c r="T191" s="274" t="n"/>
      <c r="U191" s="274" t="n">
        <v>6.8</v>
      </c>
      <c r="V191" s="274" t="n"/>
      <c r="W191" s="274" t="n"/>
      <c r="X191" s="274" t="n"/>
      <c r="Y191" s="274" t="n"/>
      <c r="Z191" s="274" t="n"/>
      <c r="AA191" s="274" t="n"/>
      <c r="AB191" s="274" t="n"/>
      <c r="AC191" s="274" t="n"/>
      <c r="AD191" s="274" t="n"/>
      <c r="AE191" s="274" t="n"/>
      <c r="AF191" s="274" t="n"/>
      <c r="AG191" s="274" t="n"/>
      <c r="AH191" s="274" t="n"/>
      <c r="AI191" s="274" t="n"/>
      <c r="AJ191" s="274" t="n"/>
      <c r="AK191" s="274" t="n"/>
    </row>
    <row r="192">
      <c r="A192" s="274" t="inlineStr">
        <is>
          <t>방화동</t>
        </is>
      </c>
      <c r="B192" s="274" t="n"/>
      <c r="C192" s="274" t="n"/>
      <c r="D192" s="274" t="n">
        <v>9315</v>
      </c>
      <c r="E192" s="275" t="inlineStr">
        <is>
          <t>개화산동부센트레빌</t>
        </is>
      </c>
      <c r="F192" s="274" t="n">
        <v>2003.02</v>
      </c>
      <c r="G192" s="274" t="n">
        <v>205</v>
      </c>
      <c r="H192" s="274">
        <f>2026-INT(F192)+1</f>
        <v/>
      </c>
      <c r="I192" s="274" t="n"/>
      <c r="J192" s="274" t="n">
        <v>96</v>
      </c>
      <c r="K192" s="274" t="n">
        <v>77</v>
      </c>
      <c r="L192" s="274" t="n">
        <v>29</v>
      </c>
      <c r="M192" s="274" t="inlineStr">
        <is>
          <t>계단식</t>
        </is>
      </c>
      <c r="N192" s="274" t="n">
        <v>3</v>
      </c>
      <c r="O192" s="274" t="n">
        <v>2</v>
      </c>
      <c r="P192" s="274" t="n">
        <v>27</v>
      </c>
      <c r="Q192" s="274" t="n"/>
      <c r="R192" s="274" t="n"/>
      <c r="S192" s="274" t="n"/>
      <c r="T192" s="274" t="n"/>
      <c r="U192" s="274" t="n"/>
      <c r="V192" s="274" t="n"/>
      <c r="W192" s="274" t="n"/>
      <c r="X192" s="274" t="n"/>
      <c r="Y192" s="274" t="n"/>
      <c r="Z192" s="274" t="n"/>
      <c r="AA192" s="274" t="n"/>
      <c r="AB192" s="274" t="n"/>
      <c r="AC192" s="274" t="n"/>
      <c r="AD192" s="274" t="n"/>
      <c r="AE192" s="274" t="n"/>
      <c r="AF192" s="274" t="n"/>
      <c r="AG192" s="274" t="n"/>
      <c r="AH192" s="274" t="n"/>
      <c r="AI192" s="274" t="n"/>
      <c r="AJ192" s="274" t="n"/>
      <c r="AK192" s="274" t="n"/>
    </row>
    <row r="193">
      <c r="A193" s="276" t="inlineStr">
        <is>
          <t>방화동</t>
        </is>
      </c>
      <c r="B193" s="274" t="n"/>
      <c r="C193" s="274" t="n"/>
      <c r="D193" s="276" t="n">
        <v>9315</v>
      </c>
      <c r="E193" s="275" t="inlineStr">
        <is>
          <t>개화산동부센트레빌</t>
        </is>
      </c>
      <c r="F193" s="276" t="n">
        <v>2003.02</v>
      </c>
      <c r="G193" s="276" t="n">
        <v>205</v>
      </c>
      <c r="H193" s="276">
        <f>2026-INT(F193)+1</f>
        <v/>
      </c>
      <c r="I193" s="274" t="n"/>
      <c r="J193" s="276" t="n">
        <v>106</v>
      </c>
      <c r="K193" s="276" t="n">
        <v>84</v>
      </c>
      <c r="L193" s="276" t="n">
        <v>32</v>
      </c>
      <c r="M193" s="276" t="inlineStr">
        <is>
          <t>계단식</t>
        </is>
      </c>
      <c r="N193" s="276" t="n">
        <v>3</v>
      </c>
      <c r="O193" s="276" t="n">
        <v>2</v>
      </c>
      <c r="P193" s="276" t="n">
        <v>133</v>
      </c>
      <c r="Q193" s="274" t="n"/>
      <c r="R193" s="274" t="n"/>
      <c r="S193" s="274" t="n"/>
      <c r="T193" s="274" t="n"/>
      <c r="U193" s="276" t="n">
        <v>7.94</v>
      </c>
      <c r="V193" s="276" t="n"/>
      <c r="W193" s="274" t="n"/>
      <c r="X193" s="274" t="n"/>
      <c r="Y193" s="274" t="n"/>
      <c r="Z193" s="274" t="n"/>
      <c r="AA193" s="274" t="n"/>
      <c r="AB193" s="274" t="n"/>
      <c r="AC193" s="274" t="n"/>
      <c r="AD193" s="274" t="n"/>
      <c r="AE193" s="274" t="n"/>
      <c r="AF193" s="274" t="n"/>
      <c r="AG193" s="274" t="n"/>
      <c r="AH193" s="274" t="n"/>
      <c r="AI193" s="274" t="n"/>
      <c r="AJ193" s="274" t="n"/>
      <c r="AK193" s="274" t="n"/>
    </row>
    <row r="194">
      <c r="A194" s="458" t="inlineStr">
        <is>
          <t>방화동</t>
        </is>
      </c>
      <c r="D194" s="458" t="n">
        <v>23</v>
      </c>
      <c r="E194" s="277" t="inlineStr">
        <is>
          <t>도시개발2단지</t>
        </is>
      </c>
      <c r="F194" s="458" t="n">
        <v>1993.1</v>
      </c>
      <c r="G194" s="458" t="n">
        <v>2547</v>
      </c>
      <c r="H194" s="458">
        <f>2026-INT(F194)+1</f>
        <v/>
      </c>
      <c r="J194" s="458" t="n">
        <v>43</v>
      </c>
      <c r="K194" s="458" t="n">
        <v>33</v>
      </c>
      <c r="L194" s="458" t="n">
        <v>13</v>
      </c>
      <c r="M194" s="458" t="inlineStr">
        <is>
          <t>계단식</t>
        </is>
      </c>
      <c r="N194" s="458" t="n">
        <v>2</v>
      </c>
      <c r="O194" s="458" t="n">
        <v>1</v>
      </c>
      <c r="P194" s="458" t="n">
        <v>30</v>
      </c>
      <c r="U194" s="458" t="n">
        <v>5.7</v>
      </c>
      <c r="V194" s="458" t="n">
        <v>3.5</v>
      </c>
    </row>
    <row r="195">
      <c r="A195" s="458" t="inlineStr">
        <is>
          <t>방화동</t>
        </is>
      </c>
      <c r="D195" s="458" t="n">
        <v>23</v>
      </c>
      <c r="E195" s="277" t="inlineStr">
        <is>
          <t>도시개발2단지</t>
        </is>
      </c>
      <c r="F195" s="458" t="n">
        <v>1993.1</v>
      </c>
      <c r="G195" s="458" t="n">
        <v>2547</v>
      </c>
      <c r="H195" s="458">
        <f>2026-INT(F195)+1</f>
        <v/>
      </c>
      <c r="J195" s="458" t="n">
        <v>44</v>
      </c>
      <c r="K195" s="458" t="n">
        <v>33</v>
      </c>
      <c r="L195" s="458" t="n">
        <v>13</v>
      </c>
      <c r="M195" s="458" t="inlineStr">
        <is>
          <t>복도식</t>
        </is>
      </c>
      <c r="N195" s="458" t="n">
        <v>2</v>
      </c>
      <c r="O195" s="458" t="n">
        <v>1</v>
      </c>
      <c r="P195" s="458" t="n">
        <v>269</v>
      </c>
      <c r="U195" s="458" t="n">
        <v>5.7</v>
      </c>
      <c r="V195" s="458" t="n">
        <v>3.5</v>
      </c>
    </row>
    <row r="196">
      <c r="A196" s="458" t="inlineStr">
        <is>
          <t>방화동</t>
        </is>
      </c>
      <c r="D196" s="458" t="n">
        <v>23</v>
      </c>
      <c r="E196" s="277" t="inlineStr">
        <is>
          <t>도시개발2단지</t>
        </is>
      </c>
      <c r="F196" s="458" t="n">
        <v>1993.1</v>
      </c>
      <c r="G196" s="458" t="n">
        <v>2547</v>
      </c>
      <c r="H196" s="458">
        <f>2026-INT(F196)+1</f>
        <v/>
      </c>
      <c r="J196" s="458" t="n">
        <v>52</v>
      </c>
      <c r="K196" s="458" t="n">
        <v>39</v>
      </c>
      <c r="L196" s="458" t="n">
        <v>16</v>
      </c>
      <c r="M196" s="458" t="inlineStr">
        <is>
          <t>복도식</t>
        </is>
      </c>
      <c r="N196" s="458" t="n">
        <v>2</v>
      </c>
      <c r="O196" s="458" t="n">
        <v>1</v>
      </c>
      <c r="P196" s="458" t="n">
        <v>387</v>
      </c>
      <c r="U196" s="458" t="n">
        <v>6.28</v>
      </c>
      <c r="V196" s="458" t="n">
        <v>3.9</v>
      </c>
    </row>
    <row r="197">
      <c r="A197" s="458" t="inlineStr">
        <is>
          <t>방화동</t>
        </is>
      </c>
      <c r="D197" s="458" t="n">
        <v>23</v>
      </c>
      <c r="E197" s="277" t="inlineStr">
        <is>
          <t>도시개발2단지</t>
        </is>
      </c>
      <c r="F197" s="458" t="n">
        <v>1993.1</v>
      </c>
      <c r="G197" s="458" t="n">
        <v>2547</v>
      </c>
      <c r="H197" s="458">
        <f>2026-INT(F197)+1</f>
        <v/>
      </c>
      <c r="J197" s="458" t="n">
        <v>65</v>
      </c>
      <c r="K197" s="458" t="n">
        <v>49</v>
      </c>
      <c r="L197" s="458" t="n">
        <v>20</v>
      </c>
      <c r="M197" s="458" t="inlineStr">
        <is>
          <t>복도식</t>
        </is>
      </c>
      <c r="N197" s="458" t="n">
        <v>2</v>
      </c>
      <c r="O197" s="458" t="n">
        <v>1</v>
      </c>
      <c r="P197" s="458" t="n">
        <v>298</v>
      </c>
      <c r="U197" s="458" t="n">
        <v>6.99</v>
      </c>
      <c r="V197" s="458" t="n">
        <v>4.45</v>
      </c>
    </row>
    <row r="198">
      <c r="A198" s="276" t="inlineStr">
        <is>
          <t>방화동</t>
        </is>
      </c>
      <c r="B198" s="274" t="n"/>
      <c r="C198" s="274" t="n"/>
      <c r="D198" s="276" t="n">
        <v>25</v>
      </c>
      <c r="E198" s="275" t="inlineStr">
        <is>
          <t>동성</t>
        </is>
      </c>
      <c r="F198" s="276" t="n">
        <v>1993.12</v>
      </c>
      <c r="G198" s="276" t="n">
        <v>686</v>
      </c>
      <c r="H198" s="276">
        <f>2026-INT(F198)+1</f>
        <v/>
      </c>
      <c r="I198" s="274" t="n"/>
      <c r="J198" s="276" t="n">
        <v>79</v>
      </c>
      <c r="K198" s="276" t="n">
        <v>64</v>
      </c>
      <c r="L198" s="276" t="n">
        <v>24</v>
      </c>
      <c r="M198" s="276" t="inlineStr">
        <is>
          <t>계단식</t>
        </is>
      </c>
      <c r="N198" s="276" t="n">
        <v>3</v>
      </c>
      <c r="O198" s="276" t="n">
        <v>1</v>
      </c>
      <c r="P198" s="276" t="n">
        <v>228</v>
      </c>
      <c r="Q198" s="274" t="n"/>
      <c r="R198" s="274" t="n"/>
      <c r="S198" s="274" t="n"/>
      <c r="T198" s="274" t="n"/>
      <c r="U198" s="276" t="n">
        <v>7.65</v>
      </c>
      <c r="V198" s="276" t="n">
        <v>5.9</v>
      </c>
      <c r="W198" s="274" t="n"/>
      <c r="X198" s="274" t="n"/>
      <c r="Y198" s="274" t="n"/>
      <c r="Z198" s="274" t="n"/>
      <c r="AA198" s="274" t="n"/>
      <c r="AB198" s="274" t="n"/>
      <c r="AC198" s="274" t="n"/>
      <c r="AD198" s="274" t="n"/>
      <c r="AE198" s="274" t="n"/>
      <c r="AF198" s="274" t="n"/>
      <c r="AG198" s="274" t="n"/>
      <c r="AH198" s="274" t="n"/>
      <c r="AI198" s="274" t="n"/>
      <c r="AJ198" s="274" t="n"/>
      <c r="AK198" s="274" t="n"/>
    </row>
    <row r="199">
      <c r="A199" s="276" t="inlineStr">
        <is>
          <t>방화동</t>
        </is>
      </c>
      <c r="B199" s="274" t="n"/>
      <c r="C199" s="274" t="n"/>
      <c r="D199" s="276" t="n">
        <v>25</v>
      </c>
      <c r="E199" s="275" t="inlineStr">
        <is>
          <t>동성</t>
        </is>
      </c>
      <c r="F199" s="276" t="n">
        <v>1993.12</v>
      </c>
      <c r="G199" s="276" t="n">
        <v>686</v>
      </c>
      <c r="H199" s="276">
        <f>2026-INT(F199)+1</f>
        <v/>
      </c>
      <c r="I199" s="274" t="n"/>
      <c r="J199" s="276" t="n">
        <v>94</v>
      </c>
      <c r="K199" s="276" t="n">
        <v>76</v>
      </c>
      <c r="L199" s="276" t="n">
        <v>28</v>
      </c>
      <c r="M199" s="276" t="inlineStr">
        <is>
          <t>계단식</t>
        </is>
      </c>
      <c r="N199" s="276" t="n">
        <v>3</v>
      </c>
      <c r="O199" s="276" t="n">
        <v>1</v>
      </c>
      <c r="P199" s="276" t="n">
        <v>164</v>
      </c>
      <c r="Q199" s="274" t="n"/>
      <c r="R199" s="274" t="n"/>
      <c r="S199" s="274" t="n"/>
      <c r="T199" s="274" t="n"/>
      <c r="U199" s="276" t="n">
        <v>8.949999999999999</v>
      </c>
      <c r="V199" s="276" t="n">
        <v>7.2</v>
      </c>
      <c r="W199" s="274" t="n"/>
      <c r="X199" s="274" t="n"/>
      <c r="Y199" s="274" t="n"/>
      <c r="Z199" s="274" t="n"/>
      <c r="AA199" s="274" t="n"/>
      <c r="AB199" s="274" t="n"/>
      <c r="AC199" s="274" t="n"/>
      <c r="AD199" s="274" t="n"/>
      <c r="AE199" s="274" t="n"/>
      <c r="AF199" s="274" t="n"/>
      <c r="AG199" s="274" t="n"/>
      <c r="AH199" s="274" t="n"/>
      <c r="AI199" s="274" t="n"/>
      <c r="AJ199" s="274" t="n"/>
      <c r="AK199" s="274" t="n"/>
    </row>
    <row r="200">
      <c r="A200" s="274" t="inlineStr">
        <is>
          <t>방화동</t>
        </is>
      </c>
      <c r="B200" s="274" t="n"/>
      <c r="C200" s="274" t="n"/>
      <c r="D200" s="274" t="n">
        <v>25</v>
      </c>
      <c r="E200" s="275" t="inlineStr">
        <is>
          <t>동성</t>
        </is>
      </c>
      <c r="F200" s="274" t="n">
        <v>1993.12</v>
      </c>
      <c r="G200" s="274" t="n">
        <v>686</v>
      </c>
      <c r="H200" s="274">
        <f>2026-INT(F200)+1</f>
        <v/>
      </c>
      <c r="I200" s="274" t="n"/>
      <c r="J200" s="274" t="n">
        <v>104</v>
      </c>
      <c r="K200" s="274" t="n">
        <v>84</v>
      </c>
      <c r="L200" s="274" t="n">
        <v>31</v>
      </c>
      <c r="M200" s="274" t="inlineStr">
        <is>
          <t>계단식</t>
        </is>
      </c>
      <c r="N200" s="274" t="n">
        <v>3</v>
      </c>
      <c r="O200" s="274" t="n">
        <v>2</v>
      </c>
      <c r="P200" s="274" t="n">
        <v>294</v>
      </c>
      <c r="Q200" s="274" t="n"/>
      <c r="R200" s="274" t="n"/>
      <c r="S200" s="274" t="n"/>
      <c r="T200" s="274" t="n"/>
      <c r="U200" s="274" t="n">
        <v>9.699999999999999</v>
      </c>
      <c r="V200" s="274" t="n">
        <v>6.25</v>
      </c>
      <c r="W200" s="274" t="n"/>
      <c r="X200" s="274" t="n"/>
      <c r="Y200" s="274" t="n"/>
      <c r="Z200" s="274" t="n"/>
      <c r="AA200" s="274" t="n"/>
      <c r="AB200" s="274" t="n"/>
      <c r="AC200" s="274" t="n"/>
      <c r="AD200" s="274" t="n"/>
      <c r="AE200" s="274" t="n"/>
      <c r="AF200" s="274" t="n"/>
      <c r="AG200" s="274" t="n"/>
      <c r="AH200" s="274" t="n"/>
      <c r="AI200" s="274" t="n"/>
      <c r="AJ200" s="274" t="n"/>
      <c r="AK200" s="274" t="n"/>
    </row>
    <row r="201">
      <c r="A201" s="458" t="inlineStr">
        <is>
          <t>방화동</t>
        </is>
      </c>
      <c r="D201" s="458" t="n">
        <v>1025</v>
      </c>
      <c r="E201" s="277" t="inlineStr">
        <is>
          <t>마곡서광</t>
        </is>
      </c>
      <c r="F201" s="458" t="n">
        <v>1998.08</v>
      </c>
      <c r="G201" s="458" t="n">
        <v>284</v>
      </c>
      <c r="H201" s="458">
        <f>2026-INT(F201)+1</f>
        <v/>
      </c>
      <c r="J201" s="458" t="n">
        <v>79</v>
      </c>
      <c r="K201" s="458" t="n">
        <v>59</v>
      </c>
      <c r="L201" s="458" t="n">
        <v>24</v>
      </c>
      <c r="M201" s="458" t="inlineStr">
        <is>
          <t>계단식</t>
        </is>
      </c>
      <c r="N201" s="458" t="n">
        <v>3</v>
      </c>
      <c r="O201" s="458" t="n">
        <v>1</v>
      </c>
      <c r="P201" s="458" t="n">
        <v>175</v>
      </c>
      <c r="U201" s="458" t="n">
        <v>5.89</v>
      </c>
      <c r="V201" s="458" t="n">
        <v>5.99</v>
      </c>
    </row>
    <row r="202">
      <c r="A202" s="458" t="inlineStr">
        <is>
          <t>방화동</t>
        </is>
      </c>
      <c r="D202" s="458" t="n">
        <v>1025</v>
      </c>
      <c r="E202" s="277" t="inlineStr">
        <is>
          <t>마곡서광</t>
        </is>
      </c>
      <c r="F202" s="458" t="n">
        <v>1998.08</v>
      </c>
      <c r="G202" s="458" t="n">
        <v>284</v>
      </c>
      <c r="H202" s="458">
        <f>2026-INT(F202)+1</f>
        <v/>
      </c>
      <c r="J202" s="458" t="n">
        <v>108</v>
      </c>
      <c r="K202" s="458" t="n">
        <v>84</v>
      </c>
      <c r="L202" s="458" t="n">
        <v>33</v>
      </c>
      <c r="M202" s="458" t="inlineStr">
        <is>
          <t>계단식</t>
        </is>
      </c>
      <c r="N202" s="458" t="n">
        <v>3</v>
      </c>
      <c r="O202" s="458" t="n">
        <v>2</v>
      </c>
      <c r="P202" s="458" t="n">
        <v>109</v>
      </c>
      <c r="U202" s="458" t="n">
        <v>6.1</v>
      </c>
      <c r="V202" s="458" t="n">
        <v>5.45</v>
      </c>
    </row>
    <row r="203">
      <c r="A203" s="274" t="inlineStr">
        <is>
          <t>방화동</t>
        </is>
      </c>
      <c r="B203" s="274" t="n"/>
      <c r="C203" s="274" t="n"/>
      <c r="D203" s="274" t="n">
        <v>905</v>
      </c>
      <c r="E203" s="275" t="inlineStr">
        <is>
          <t>마곡중앙하이츠</t>
        </is>
      </c>
      <c r="F203" s="274" t="n">
        <v>1994.05</v>
      </c>
      <c r="G203" s="274" t="n">
        <v>930</v>
      </c>
      <c r="H203" s="274">
        <f>2026-INT(F203)+1</f>
        <v/>
      </c>
      <c r="I203" s="274" t="n"/>
      <c r="J203" s="274" t="n">
        <v>51</v>
      </c>
      <c r="K203" s="274" t="n">
        <v>39</v>
      </c>
      <c r="L203" s="274" t="n">
        <v>15</v>
      </c>
      <c r="M203" s="274" t="inlineStr">
        <is>
          <t>복도식</t>
        </is>
      </c>
      <c r="N203" s="274" t="n">
        <v>2</v>
      </c>
      <c r="O203" s="274" t="n">
        <v>1</v>
      </c>
      <c r="P203" s="274" t="n">
        <v>270</v>
      </c>
      <c r="Q203" s="274" t="n"/>
      <c r="R203" s="274" t="n"/>
      <c r="S203" s="274" t="n"/>
      <c r="T203" s="274" t="n"/>
      <c r="U203" s="274" t="n">
        <v>6</v>
      </c>
      <c r="V203" s="274" t="n">
        <v>4</v>
      </c>
      <c r="W203" s="274" t="n"/>
      <c r="X203" s="274" t="n"/>
      <c r="Y203" s="274" t="n"/>
      <c r="Z203" s="274" t="n"/>
      <c r="AA203" s="274" t="n"/>
      <c r="AB203" s="274" t="n"/>
      <c r="AC203" s="274" t="n"/>
      <c r="AD203" s="274" t="n"/>
      <c r="AE203" s="274" t="n"/>
      <c r="AF203" s="274" t="n"/>
      <c r="AG203" s="274" t="n"/>
      <c r="AH203" s="274" t="n"/>
      <c r="AI203" s="274" t="n"/>
      <c r="AJ203" s="274" t="n"/>
      <c r="AK203" s="274" t="n"/>
    </row>
    <row r="204">
      <c r="A204" s="274" t="inlineStr">
        <is>
          <t>방화동</t>
        </is>
      </c>
      <c r="B204" s="274" t="n"/>
      <c r="C204" s="274" t="n"/>
      <c r="D204" s="274" t="n">
        <v>905</v>
      </c>
      <c r="E204" s="275" t="inlineStr">
        <is>
          <t>마곡중앙하이츠</t>
        </is>
      </c>
      <c r="F204" s="274" t="n">
        <v>1994.05</v>
      </c>
      <c r="G204" s="274" t="n">
        <v>930</v>
      </c>
      <c r="H204" s="274">
        <f>2026-INT(F204)+1</f>
        <v/>
      </c>
      <c r="I204" s="274" t="n"/>
      <c r="J204" s="274" t="n">
        <v>66</v>
      </c>
      <c r="K204" s="274" t="n">
        <v>51</v>
      </c>
      <c r="L204" s="274" t="n">
        <v>20</v>
      </c>
      <c r="M204" s="274" t="inlineStr">
        <is>
          <t>복도식</t>
        </is>
      </c>
      <c r="N204" s="274" t="n">
        <v>3</v>
      </c>
      <c r="O204" s="274" t="n">
        <v>1</v>
      </c>
      <c r="P204" s="274" t="n">
        <v>390</v>
      </c>
      <c r="Q204" s="274" t="n"/>
      <c r="R204" s="274" t="n"/>
      <c r="S204" s="274" t="n"/>
      <c r="T204" s="274" t="n"/>
      <c r="U204" s="274" t="n">
        <v>6.95</v>
      </c>
      <c r="V204" s="274" t="n">
        <v>4.2</v>
      </c>
      <c r="W204" s="274" t="n"/>
      <c r="X204" s="274" t="n"/>
      <c r="Y204" s="274" t="n"/>
      <c r="Z204" s="274" t="n"/>
      <c r="AA204" s="274" t="n"/>
      <c r="AB204" s="274" t="n"/>
      <c r="AC204" s="274" t="n"/>
      <c r="AD204" s="274" t="n"/>
      <c r="AE204" s="274" t="n"/>
      <c r="AF204" s="274" t="n"/>
      <c r="AG204" s="274" t="n"/>
      <c r="AH204" s="274" t="n"/>
      <c r="AI204" s="274" t="n"/>
      <c r="AJ204" s="274" t="n"/>
      <c r="AK204" s="274" t="n"/>
    </row>
    <row r="205">
      <c r="A205" s="274" t="inlineStr">
        <is>
          <t>방화동</t>
        </is>
      </c>
      <c r="B205" s="274" t="n"/>
      <c r="C205" s="274" t="n"/>
      <c r="D205" s="274" t="n">
        <v>905</v>
      </c>
      <c r="E205" s="275" t="inlineStr">
        <is>
          <t>마곡중앙하이츠</t>
        </is>
      </c>
      <c r="F205" s="274" t="n">
        <v>1994.05</v>
      </c>
      <c r="G205" s="274" t="n">
        <v>930</v>
      </c>
      <c r="H205" s="274">
        <f>2026-INT(F205)+1</f>
        <v/>
      </c>
      <c r="I205" s="274" t="n"/>
      <c r="J205" s="274" t="n">
        <v>75</v>
      </c>
      <c r="K205" s="274" t="n">
        <v>59</v>
      </c>
      <c r="L205" s="274" t="n">
        <v>23</v>
      </c>
      <c r="M205" s="274" t="inlineStr">
        <is>
          <t>복도식</t>
        </is>
      </c>
      <c r="N205" s="274" t="n">
        <v>3</v>
      </c>
      <c r="O205" s="274" t="n">
        <v>1</v>
      </c>
      <c r="P205" s="274" t="n">
        <v>270</v>
      </c>
      <c r="Q205" s="274" t="n"/>
      <c r="R205" s="274" t="n"/>
      <c r="S205" s="274" t="n"/>
      <c r="T205" s="274" t="n"/>
      <c r="U205" s="274" t="n">
        <v>5.95</v>
      </c>
      <c r="V205" s="274" t="n">
        <v>4</v>
      </c>
      <c r="W205" s="274" t="n"/>
      <c r="X205" s="274" t="n"/>
      <c r="Y205" s="274" t="n"/>
      <c r="Z205" s="274" t="n"/>
      <c r="AA205" s="274" t="n"/>
      <c r="AB205" s="274" t="n"/>
      <c r="AC205" s="274" t="n"/>
      <c r="AD205" s="274" t="n"/>
      <c r="AE205" s="274" t="n"/>
      <c r="AF205" s="274" t="n"/>
      <c r="AG205" s="274" t="n"/>
      <c r="AH205" s="274" t="n"/>
      <c r="AI205" s="274" t="n"/>
      <c r="AJ205" s="274" t="n"/>
      <c r="AK205" s="274" t="n"/>
    </row>
    <row r="206">
      <c r="A206" s="458" t="inlineStr">
        <is>
          <t>방화동</t>
        </is>
      </c>
      <c r="D206" s="458" t="n">
        <v>1022</v>
      </c>
      <c r="E206" s="277" t="inlineStr">
        <is>
          <t>마곡한숲대림</t>
        </is>
      </c>
      <c r="F206" s="458" t="n">
        <v>1999.08</v>
      </c>
      <c r="G206" s="458" t="n">
        <v>206</v>
      </c>
      <c r="H206" s="458">
        <f>2026-INT(F206)+1</f>
        <v/>
      </c>
      <c r="J206" s="458" t="n">
        <v>73</v>
      </c>
      <c r="K206" s="458" t="n">
        <v>56</v>
      </c>
      <c r="L206" s="458" t="n">
        <v>22</v>
      </c>
      <c r="M206" s="458" t="inlineStr">
        <is>
          <t>계단식</t>
        </is>
      </c>
      <c r="N206" s="458" t="n">
        <v>3</v>
      </c>
      <c r="O206" s="458" t="n">
        <v>1</v>
      </c>
      <c r="P206" s="458" t="n">
        <v>1</v>
      </c>
      <c r="U206" s="458" t="n"/>
      <c r="V206" s="458" t="n"/>
    </row>
    <row r="207">
      <c r="A207" s="458" t="inlineStr">
        <is>
          <t>방화동</t>
        </is>
      </c>
      <c r="D207" s="458" t="n">
        <v>1022</v>
      </c>
      <c r="E207" s="277" t="inlineStr">
        <is>
          <t>마곡한숲대림</t>
        </is>
      </c>
      <c r="F207" s="458" t="n">
        <v>1999.08</v>
      </c>
      <c r="G207" s="458" t="n">
        <v>206</v>
      </c>
      <c r="H207" s="458">
        <f>2026-INT(F207)+1</f>
        <v/>
      </c>
      <c r="J207" s="458" t="n">
        <v>76</v>
      </c>
      <c r="K207" s="458" t="n">
        <v>59</v>
      </c>
      <c r="L207" s="458" t="n">
        <v>23</v>
      </c>
      <c r="M207" s="458" t="inlineStr">
        <is>
          <t>계단식</t>
        </is>
      </c>
      <c r="N207" s="458" t="n">
        <v>3</v>
      </c>
      <c r="O207" s="458" t="n">
        <v>1</v>
      </c>
      <c r="P207" s="458" t="n">
        <v>85</v>
      </c>
      <c r="U207" s="458" t="n">
        <v>7</v>
      </c>
      <c r="V207" s="458" t="n">
        <v>5.15</v>
      </c>
    </row>
    <row r="208">
      <c r="A208" s="458" t="inlineStr">
        <is>
          <t>방화동</t>
        </is>
      </c>
      <c r="D208" s="458" t="n">
        <v>1022</v>
      </c>
      <c r="E208" s="277" t="inlineStr">
        <is>
          <t>마곡한숲대림</t>
        </is>
      </c>
      <c r="F208" s="458" t="n">
        <v>1999.08</v>
      </c>
      <c r="G208" s="458" t="n">
        <v>206</v>
      </c>
      <c r="H208" s="458">
        <f>2026-INT(F208)+1</f>
        <v/>
      </c>
      <c r="J208" s="458" t="n">
        <v>108</v>
      </c>
      <c r="K208" s="458" t="n">
        <v>84</v>
      </c>
      <c r="L208" s="458" t="n">
        <v>33</v>
      </c>
      <c r="M208" s="458" t="inlineStr">
        <is>
          <t>계단식</t>
        </is>
      </c>
      <c r="N208" s="458" t="n">
        <v>3</v>
      </c>
      <c r="O208" s="458" t="n">
        <v>2</v>
      </c>
      <c r="P208" s="458" t="n">
        <v>120</v>
      </c>
      <c r="U208" s="458" t="n">
        <v>8.199999999999999</v>
      </c>
      <c r="V208" s="458" t="n">
        <v>5</v>
      </c>
    </row>
    <row r="209">
      <c r="A209" s="276" t="inlineStr">
        <is>
          <t>방화동</t>
        </is>
      </c>
      <c r="B209" s="274" t="n"/>
      <c r="C209" s="274" t="n"/>
      <c r="D209" s="276" t="n">
        <v>9716</v>
      </c>
      <c r="E209" s="275" t="inlineStr">
        <is>
          <t>마곡한진해모로</t>
        </is>
      </c>
      <c r="F209" s="276" t="n">
        <v>2004.05</v>
      </c>
      <c r="G209" s="276" t="n">
        <v>354</v>
      </c>
      <c r="H209" s="276">
        <f>2026-INT(F209)+1</f>
        <v/>
      </c>
      <c r="I209" s="274" t="n"/>
      <c r="J209" s="276" t="n">
        <v>81</v>
      </c>
      <c r="K209" s="276" t="n">
        <v>59</v>
      </c>
      <c r="L209" s="276" t="n">
        <v>25</v>
      </c>
      <c r="M209" s="276" t="inlineStr">
        <is>
          <t>복도식</t>
        </is>
      </c>
      <c r="N209" s="276" t="n">
        <v>3</v>
      </c>
      <c r="O209" s="276" t="n">
        <v>1</v>
      </c>
      <c r="P209" s="276" t="n">
        <v>121</v>
      </c>
      <c r="Q209" s="274" t="n"/>
      <c r="R209" s="274" t="n"/>
      <c r="S209" s="274" t="n"/>
      <c r="T209" s="274" t="n"/>
      <c r="U209" s="276" t="n">
        <v>7.83</v>
      </c>
      <c r="V209" s="276" t="n">
        <v>7.83</v>
      </c>
      <c r="W209" s="274" t="n"/>
      <c r="X209" s="274" t="n"/>
      <c r="Y209" s="274" t="n"/>
      <c r="Z209" s="274" t="n"/>
      <c r="AA209" s="274" t="n"/>
      <c r="AB209" s="274" t="n"/>
      <c r="AC209" s="274" t="n"/>
      <c r="AD209" s="274" t="n"/>
      <c r="AE209" s="274" t="n"/>
      <c r="AF209" s="274" t="n"/>
      <c r="AG209" s="274" t="n"/>
      <c r="AH209" s="274" t="n"/>
      <c r="AI209" s="274" t="n"/>
      <c r="AJ209" s="274" t="n"/>
      <c r="AK209" s="274" t="n"/>
    </row>
    <row r="210">
      <c r="A210" s="274" t="inlineStr">
        <is>
          <t>방화동</t>
        </is>
      </c>
      <c r="B210" s="274" t="n"/>
      <c r="C210" s="274" t="n"/>
      <c r="D210" s="274" t="n">
        <v>9716</v>
      </c>
      <c r="E210" s="275" t="inlineStr">
        <is>
          <t>마곡한진해모로</t>
        </is>
      </c>
      <c r="F210" s="274" t="n">
        <v>2004.05</v>
      </c>
      <c r="G210" s="274" t="n">
        <v>354</v>
      </c>
      <c r="H210" s="274">
        <f>2026-INT(F210)+1</f>
        <v/>
      </c>
      <c r="I210" s="274" t="n"/>
      <c r="J210" s="274" t="n">
        <v>101</v>
      </c>
      <c r="K210" s="274" t="n">
        <v>81</v>
      </c>
      <c r="L210" s="274" t="n">
        <v>31</v>
      </c>
      <c r="M210" s="274" t="inlineStr">
        <is>
          <t>계단식</t>
        </is>
      </c>
      <c r="N210" s="274" t="n">
        <v>3</v>
      </c>
      <c r="O210" s="274" t="n">
        <v>2</v>
      </c>
      <c r="P210" s="274" t="n">
        <v>6</v>
      </c>
      <c r="Q210" s="274" t="n"/>
      <c r="R210" s="274" t="n"/>
      <c r="S210" s="274" t="n"/>
      <c r="T210" s="274" t="n"/>
      <c r="U210" s="274" t="n">
        <v>8.18</v>
      </c>
      <c r="V210" s="274" t="n"/>
      <c r="W210" s="274" t="n"/>
      <c r="X210" s="274" t="n"/>
      <c r="Y210" s="274" t="n"/>
      <c r="Z210" s="274" t="n"/>
      <c r="AA210" s="274" t="n"/>
      <c r="AB210" s="274" t="n"/>
      <c r="AC210" s="274" t="n"/>
      <c r="AD210" s="274" t="n"/>
      <c r="AE210" s="274" t="n"/>
      <c r="AF210" s="274" t="n"/>
      <c r="AG210" s="274" t="n"/>
      <c r="AH210" s="274" t="n"/>
      <c r="AI210" s="274" t="n"/>
      <c r="AJ210" s="274" t="n"/>
      <c r="AK210" s="274" t="n"/>
    </row>
    <row r="211">
      <c r="A211" s="274" t="inlineStr">
        <is>
          <t>방화동</t>
        </is>
      </c>
      <c r="B211" s="274" t="n"/>
      <c r="C211" s="274" t="n"/>
      <c r="D211" s="274" t="n">
        <v>9716</v>
      </c>
      <c r="E211" s="275" t="inlineStr">
        <is>
          <t>마곡한진해모로</t>
        </is>
      </c>
      <c r="F211" s="274" t="n">
        <v>2004.05</v>
      </c>
      <c r="G211" s="274" t="n">
        <v>354</v>
      </c>
      <c r="H211" s="274">
        <f>2026-INT(F211)+1</f>
        <v/>
      </c>
      <c r="I211" s="274" t="n"/>
      <c r="J211" s="274" t="n">
        <v>105</v>
      </c>
      <c r="K211" s="274" t="n">
        <v>84</v>
      </c>
      <c r="L211" s="274" t="n">
        <v>32</v>
      </c>
      <c r="M211" s="274" t="inlineStr">
        <is>
          <t>계단식</t>
        </is>
      </c>
      <c r="N211" s="274" t="n">
        <v>3</v>
      </c>
      <c r="O211" s="274" t="n">
        <v>2</v>
      </c>
      <c r="P211" s="274" t="n">
        <v>227</v>
      </c>
      <c r="Q211" s="274" t="n"/>
      <c r="R211" s="274" t="n"/>
      <c r="S211" s="274" t="n"/>
      <c r="T211" s="274" t="n"/>
      <c r="U211" s="274" t="n">
        <v>8.9</v>
      </c>
      <c r="V211" s="274" t="n">
        <v>7.5</v>
      </c>
      <c r="W211" s="274" t="n"/>
      <c r="X211" s="274" t="n"/>
      <c r="Y211" s="274" t="n"/>
      <c r="Z211" s="274" t="n"/>
      <c r="AA211" s="274" t="n"/>
      <c r="AB211" s="274" t="n"/>
      <c r="AC211" s="274" t="n"/>
      <c r="AD211" s="274" t="n"/>
      <c r="AE211" s="274" t="n"/>
      <c r="AF211" s="274" t="n"/>
      <c r="AG211" s="274" t="n"/>
      <c r="AH211" s="274" t="n"/>
      <c r="AI211" s="274" t="n"/>
      <c r="AJ211" s="274" t="n"/>
      <c r="AK211" s="274" t="n"/>
    </row>
    <row r="212">
      <c r="A212" s="458" t="inlineStr">
        <is>
          <t>방화동</t>
        </is>
      </c>
      <c r="D212" s="458" t="n">
        <v>33</v>
      </c>
      <c r="E212" s="277" t="inlineStr">
        <is>
          <t>마곡현대1차</t>
        </is>
      </c>
      <c r="F212" s="458" t="n">
        <v>1993.11</v>
      </c>
      <c r="G212" s="458" t="n">
        <v>337</v>
      </c>
      <c r="H212" s="458">
        <f>2026-INT(F212)+1</f>
        <v/>
      </c>
      <c r="J212" s="458" t="n">
        <v>72</v>
      </c>
      <c r="K212" s="458" t="n">
        <v>59</v>
      </c>
      <c r="L212" s="458" t="n">
        <v>22</v>
      </c>
      <c r="M212" s="458" t="inlineStr">
        <is>
          <t>계단식</t>
        </is>
      </c>
      <c r="N212" s="458" t="n">
        <v>3</v>
      </c>
      <c r="O212" s="458" t="n">
        <v>1</v>
      </c>
      <c r="P212" s="458" t="n">
        <v>39</v>
      </c>
      <c r="U212" s="458" t="n">
        <v>5.5</v>
      </c>
      <c r="V212" s="458" t="n">
        <v>5.5</v>
      </c>
    </row>
    <row r="213">
      <c r="A213" s="458" t="inlineStr">
        <is>
          <t>방화동</t>
        </is>
      </c>
      <c r="D213" s="458" t="n">
        <v>33</v>
      </c>
      <c r="E213" s="277" t="inlineStr">
        <is>
          <t>마곡현대1차</t>
        </is>
      </c>
      <c r="F213" s="458" t="n">
        <v>1993.11</v>
      </c>
      <c r="G213" s="458" t="n">
        <v>337</v>
      </c>
      <c r="H213" s="458">
        <f>2026-INT(F213)+1</f>
        <v/>
      </c>
      <c r="J213" s="458" t="n">
        <v>102</v>
      </c>
      <c r="K213" s="458" t="n">
        <v>84</v>
      </c>
      <c r="L213" s="458" t="n">
        <v>31</v>
      </c>
      <c r="M213" s="458" t="inlineStr">
        <is>
          <t>계단식</t>
        </is>
      </c>
      <c r="N213" s="458" t="n">
        <v>3</v>
      </c>
      <c r="O213" s="458" t="n">
        <v>2</v>
      </c>
      <c r="P213" s="458" t="n">
        <v>298</v>
      </c>
      <c r="U213" s="458" t="n">
        <v>9.800000000000001</v>
      </c>
      <c r="V213" s="458" t="n">
        <v>4.9</v>
      </c>
    </row>
    <row r="214">
      <c r="A214" s="274" t="inlineStr">
        <is>
          <t>방화동</t>
        </is>
      </c>
      <c r="B214" s="274" t="n"/>
      <c r="C214" s="274" t="n"/>
      <c r="D214" s="274" t="n">
        <v>31</v>
      </c>
      <c r="E214" s="275" t="inlineStr">
        <is>
          <t>방화3단지청솔</t>
        </is>
      </c>
      <c r="F214" s="274" t="n">
        <v>1994.07</v>
      </c>
      <c r="G214" s="274" t="n">
        <v>488</v>
      </c>
      <c r="H214" s="274">
        <f>2026-INT(F214)+1</f>
        <v/>
      </c>
      <c r="I214" s="274" t="n"/>
      <c r="J214" s="274" t="n">
        <v>50</v>
      </c>
      <c r="K214" s="274" t="n">
        <v>39</v>
      </c>
      <c r="L214" s="274" t="n">
        <v>15</v>
      </c>
      <c r="M214" s="274" t="inlineStr">
        <is>
          <t>복도식</t>
        </is>
      </c>
      <c r="N214" s="274" t="n">
        <v>2</v>
      </c>
      <c r="O214" s="274" t="n">
        <v>1</v>
      </c>
      <c r="P214" s="274" t="n">
        <v>139</v>
      </c>
      <c r="Q214" s="274" t="n"/>
      <c r="R214" s="274" t="n"/>
      <c r="S214" s="274" t="n"/>
      <c r="T214" s="274" t="n"/>
      <c r="U214" s="274" t="n">
        <v>5.67</v>
      </c>
      <c r="V214" s="274" t="n"/>
      <c r="W214" s="274" t="n"/>
      <c r="X214" s="274" t="n"/>
      <c r="Y214" s="274" t="n"/>
      <c r="Z214" s="274" t="n"/>
      <c r="AA214" s="274" t="n"/>
      <c r="AB214" s="274" t="n"/>
      <c r="AC214" s="274" t="n"/>
      <c r="AD214" s="274" t="n"/>
      <c r="AE214" s="274" t="n"/>
      <c r="AF214" s="274" t="n"/>
      <c r="AG214" s="274" t="n"/>
      <c r="AH214" s="274" t="n"/>
      <c r="AI214" s="274" t="n"/>
      <c r="AJ214" s="274" t="n"/>
      <c r="AK214" s="274" t="n"/>
    </row>
    <row r="215">
      <c r="A215" s="274" t="inlineStr">
        <is>
          <t>방화동</t>
        </is>
      </c>
      <c r="B215" s="274" t="n"/>
      <c r="C215" s="274" t="n"/>
      <c r="D215" s="274" t="n">
        <v>31</v>
      </c>
      <c r="E215" s="275" t="inlineStr">
        <is>
          <t>방화3단지청솔</t>
        </is>
      </c>
      <c r="F215" s="274" t="n">
        <v>1994.07</v>
      </c>
      <c r="G215" s="274" t="n">
        <v>488</v>
      </c>
      <c r="H215" s="274">
        <f>2026-INT(F215)+1</f>
        <v/>
      </c>
      <c r="I215" s="274" t="n"/>
      <c r="J215" s="274" t="n">
        <v>63</v>
      </c>
      <c r="K215" s="274" t="n">
        <v>49</v>
      </c>
      <c r="L215" s="274" t="n">
        <v>19</v>
      </c>
      <c r="M215" s="274" t="inlineStr">
        <is>
          <t>복도식</t>
        </is>
      </c>
      <c r="N215" s="274" t="n">
        <v>2</v>
      </c>
      <c r="O215" s="274" t="n">
        <v>1</v>
      </c>
      <c r="P215" s="274" t="n">
        <v>202</v>
      </c>
      <c r="Q215" s="274" t="n"/>
      <c r="R215" s="274" t="n"/>
      <c r="S215" s="274" t="n"/>
      <c r="T215" s="274" t="n"/>
      <c r="U215" s="274" t="n">
        <v>7</v>
      </c>
      <c r="V215" s="274" t="n">
        <v>4.1</v>
      </c>
      <c r="W215" s="274" t="n"/>
      <c r="X215" s="274" t="n"/>
      <c r="Y215" s="274" t="n"/>
      <c r="Z215" s="274" t="n"/>
      <c r="AA215" s="274" t="n"/>
      <c r="AB215" s="274" t="n"/>
      <c r="AC215" s="274" t="n"/>
      <c r="AD215" s="274" t="n"/>
      <c r="AE215" s="274" t="n"/>
      <c r="AF215" s="274" t="n"/>
      <c r="AG215" s="274" t="n"/>
      <c r="AH215" s="274" t="n"/>
      <c r="AI215" s="274" t="n"/>
      <c r="AJ215" s="274" t="n"/>
      <c r="AK215" s="274" t="n"/>
    </row>
    <row r="216">
      <c r="A216" s="276" t="inlineStr">
        <is>
          <t>방화동</t>
        </is>
      </c>
      <c r="B216" s="274" t="n"/>
      <c r="C216" s="274" t="n"/>
      <c r="D216" s="276" t="n">
        <v>31</v>
      </c>
      <c r="E216" s="275" t="inlineStr">
        <is>
          <t>방화3단지청솔</t>
        </is>
      </c>
      <c r="F216" s="276" t="n">
        <v>1994.07</v>
      </c>
      <c r="G216" s="276" t="n">
        <v>488</v>
      </c>
      <c r="H216" s="276">
        <f>2026-INT(F216)+1</f>
        <v/>
      </c>
      <c r="I216" s="274" t="n"/>
      <c r="J216" s="276" t="n">
        <v>76</v>
      </c>
      <c r="K216" s="276" t="n">
        <v>59</v>
      </c>
      <c r="L216" s="276" t="n">
        <v>23</v>
      </c>
      <c r="M216" s="276" t="inlineStr">
        <is>
          <t>복도식</t>
        </is>
      </c>
      <c r="N216" s="276" t="n">
        <v>2</v>
      </c>
      <c r="O216" s="276" t="n">
        <v>1</v>
      </c>
      <c r="P216" s="276" t="n">
        <v>147</v>
      </c>
      <c r="Q216" s="274" t="n"/>
      <c r="R216" s="274" t="n"/>
      <c r="S216" s="274" t="n"/>
      <c r="T216" s="274" t="n"/>
      <c r="U216" s="274" t="n">
        <v>7.6</v>
      </c>
      <c r="V216" s="274" t="n">
        <v>5.5</v>
      </c>
      <c r="W216" s="274" t="n"/>
      <c r="X216" s="274" t="n"/>
      <c r="Y216" s="274" t="n"/>
      <c r="Z216" s="274" t="n"/>
      <c r="AA216" s="274" t="n"/>
      <c r="AB216" s="274" t="n"/>
      <c r="AC216" s="274" t="n"/>
      <c r="AD216" s="274" t="n"/>
      <c r="AE216" s="274" t="n"/>
      <c r="AF216" s="274" t="n"/>
      <c r="AG216" s="274" t="n"/>
      <c r="AH216" s="274" t="n"/>
      <c r="AI216" s="274" t="n"/>
      <c r="AJ216" s="274" t="n"/>
      <c r="AK216" s="274" t="n"/>
    </row>
    <row r="217">
      <c r="A217" s="458" t="inlineStr">
        <is>
          <t>방화동</t>
        </is>
      </c>
      <c r="D217" s="458" t="n">
        <v>26</v>
      </c>
      <c r="E217" s="277" t="inlineStr">
        <is>
          <t>방화4단지</t>
        </is>
      </c>
      <c r="F217" s="458" t="n">
        <v>1994.08</v>
      </c>
      <c r="G217" s="458" t="n">
        <v>680</v>
      </c>
      <c r="H217" s="458">
        <f>2026-INT(F217)+1</f>
        <v/>
      </c>
      <c r="J217" s="458" t="n">
        <v>122</v>
      </c>
      <c r="K217" s="458" t="n">
        <v>100</v>
      </c>
      <c r="L217" s="458" t="n">
        <v>37</v>
      </c>
      <c r="M217" s="458" t="inlineStr">
        <is>
          <t>계단식</t>
        </is>
      </c>
      <c r="N217" s="458" t="n">
        <v>3</v>
      </c>
      <c r="O217" s="458" t="n">
        <v>2</v>
      </c>
      <c r="P217" s="458" t="n">
        <v>358</v>
      </c>
      <c r="U217" s="458" t="n">
        <v>11.1</v>
      </c>
      <c r="V217" s="458" t="n">
        <v>8.6</v>
      </c>
    </row>
    <row r="218">
      <c r="A218" s="458" t="inlineStr">
        <is>
          <t>방화동</t>
        </is>
      </c>
      <c r="D218" s="458" t="n">
        <v>26</v>
      </c>
      <c r="E218" s="277" t="inlineStr">
        <is>
          <t>방화4단지</t>
        </is>
      </c>
      <c r="F218" s="458" t="n">
        <v>1994.08</v>
      </c>
      <c r="G218" s="458" t="n">
        <v>680</v>
      </c>
      <c r="H218" s="458">
        <f>2026-INT(F218)+1</f>
        <v/>
      </c>
      <c r="J218" s="458" t="n">
        <v>157</v>
      </c>
      <c r="K218" s="458" t="n">
        <v>134</v>
      </c>
      <c r="L218" s="458" t="n">
        <v>47</v>
      </c>
      <c r="M218" s="458" t="inlineStr">
        <is>
          <t>계단식</t>
        </is>
      </c>
      <c r="N218" s="458" t="n">
        <v>4</v>
      </c>
      <c r="O218" s="458" t="n">
        <v>2</v>
      </c>
      <c r="P218" s="458" t="n">
        <v>322</v>
      </c>
      <c r="U218" s="458" t="n">
        <v>13.3</v>
      </c>
      <c r="V218" s="458" t="n">
        <v>8.800000000000001</v>
      </c>
    </row>
    <row r="219">
      <c r="A219" s="274" t="inlineStr">
        <is>
          <t>방화동</t>
        </is>
      </c>
      <c r="B219" s="274" t="n"/>
      <c r="C219" s="274" t="n"/>
      <c r="D219" s="274" t="n">
        <v>24</v>
      </c>
      <c r="E219" s="275" t="inlineStr">
        <is>
          <t>방화5단지</t>
        </is>
      </c>
      <c r="F219" s="274" t="n">
        <v>1994.08</v>
      </c>
      <c r="G219" s="274" t="n">
        <v>1372</v>
      </c>
      <c r="H219" s="274">
        <f>2026-INT(F219)+1</f>
        <v/>
      </c>
      <c r="I219" s="274" t="n"/>
      <c r="J219" s="274" t="n">
        <v>44</v>
      </c>
      <c r="K219" s="274" t="n">
        <v>33</v>
      </c>
      <c r="L219" s="274" t="n">
        <v>13</v>
      </c>
      <c r="M219" s="274" t="inlineStr">
        <is>
          <t>복도식</t>
        </is>
      </c>
      <c r="N219" s="274" t="n">
        <v>2</v>
      </c>
      <c r="O219" s="274" t="n">
        <v>1</v>
      </c>
      <c r="P219" s="274" t="n">
        <v>410</v>
      </c>
      <c r="Q219" s="274" t="n"/>
      <c r="R219" s="274" t="n"/>
      <c r="S219" s="274" t="n"/>
      <c r="T219" s="274" t="n"/>
      <c r="U219" s="274" t="n">
        <v>5.99</v>
      </c>
      <c r="V219" s="274" t="n">
        <v>3.8</v>
      </c>
      <c r="W219" s="274" t="n"/>
      <c r="X219" s="274" t="n"/>
      <c r="Y219" s="274" t="n"/>
      <c r="Z219" s="274" t="n"/>
      <c r="AA219" s="274" t="n"/>
      <c r="AB219" s="274" t="n"/>
      <c r="AC219" s="274" t="n"/>
      <c r="AD219" s="274" t="n"/>
      <c r="AE219" s="274" t="n"/>
      <c r="AF219" s="274" t="n"/>
      <c r="AG219" s="274" t="n"/>
      <c r="AH219" s="274" t="n"/>
      <c r="AI219" s="274" t="n"/>
      <c r="AJ219" s="274" t="n"/>
      <c r="AK219" s="274" t="n"/>
    </row>
    <row r="220">
      <c r="A220" s="274" t="inlineStr">
        <is>
          <t>방화동</t>
        </is>
      </c>
      <c r="B220" s="274" t="n"/>
      <c r="C220" s="274" t="n"/>
      <c r="D220" s="274" t="n">
        <v>24</v>
      </c>
      <c r="E220" s="275" t="inlineStr">
        <is>
          <t>방화5단지</t>
        </is>
      </c>
      <c r="F220" s="274" t="n">
        <v>1994.08</v>
      </c>
      <c r="G220" s="274" t="n">
        <v>1372</v>
      </c>
      <c r="H220" s="274">
        <f>2026-INT(F220)+1</f>
        <v/>
      </c>
      <c r="I220" s="274" t="n"/>
      <c r="J220" s="274" t="n">
        <v>52</v>
      </c>
      <c r="K220" s="274" t="n">
        <v>39</v>
      </c>
      <c r="L220" s="274" t="n">
        <v>16</v>
      </c>
      <c r="M220" s="274" t="inlineStr">
        <is>
          <t>복도식</t>
        </is>
      </c>
      <c r="N220" s="274" t="n">
        <v>2</v>
      </c>
      <c r="O220" s="274" t="n">
        <v>1</v>
      </c>
      <c r="P220" s="274" t="n">
        <v>520</v>
      </c>
      <c r="Q220" s="274" t="n"/>
      <c r="R220" s="274" t="n"/>
      <c r="S220" s="274" t="n"/>
      <c r="T220" s="274" t="n"/>
      <c r="U220" s="274" t="n">
        <v>6.5</v>
      </c>
      <c r="V220" s="274" t="n">
        <v>4.15</v>
      </c>
      <c r="W220" s="274" t="n"/>
      <c r="X220" s="274" t="n"/>
      <c r="Y220" s="274" t="n"/>
      <c r="Z220" s="274" t="n"/>
      <c r="AA220" s="274" t="n"/>
      <c r="AB220" s="274" t="n"/>
      <c r="AC220" s="274" t="n"/>
      <c r="AD220" s="274" t="n"/>
      <c r="AE220" s="274" t="n"/>
      <c r="AF220" s="274" t="n"/>
      <c r="AG220" s="274" t="n"/>
      <c r="AH220" s="274" t="n"/>
      <c r="AI220" s="274" t="n"/>
      <c r="AJ220" s="274" t="n"/>
      <c r="AK220" s="274" t="n"/>
    </row>
    <row r="221">
      <c r="A221" s="274" t="inlineStr">
        <is>
          <t>방화동</t>
        </is>
      </c>
      <c r="B221" s="274" t="n"/>
      <c r="C221" s="274" t="n"/>
      <c r="D221" s="274" t="n">
        <v>24</v>
      </c>
      <c r="E221" s="275" t="inlineStr">
        <is>
          <t>방화5단지</t>
        </is>
      </c>
      <c r="F221" s="274" t="n">
        <v>1994.08</v>
      </c>
      <c r="G221" s="274" t="n">
        <v>1372</v>
      </c>
      <c r="H221" s="274">
        <f>2026-INT(F221)+1</f>
        <v/>
      </c>
      <c r="I221" s="274" t="n"/>
      <c r="J221" s="274" t="n">
        <v>66</v>
      </c>
      <c r="K221" s="274" t="n">
        <v>49</v>
      </c>
      <c r="L221" s="274" t="n">
        <v>20</v>
      </c>
      <c r="M221" s="274" t="inlineStr">
        <is>
          <t>복도식</t>
        </is>
      </c>
      <c r="N221" s="274" t="n">
        <v>3</v>
      </c>
      <c r="O221" s="274" t="n">
        <v>1</v>
      </c>
      <c r="P221" s="274" t="n">
        <v>442</v>
      </c>
      <c r="Q221" s="274" t="n"/>
      <c r="R221" s="274" t="n"/>
      <c r="S221" s="274" t="n"/>
      <c r="T221" s="274" t="n"/>
      <c r="U221" s="274" t="n">
        <v>8</v>
      </c>
      <c r="V221" s="274" t="n">
        <v>5.94</v>
      </c>
      <c r="W221" s="274" t="n"/>
      <c r="X221" s="274" t="n"/>
      <c r="Y221" s="274" t="n"/>
      <c r="Z221" s="274" t="n"/>
      <c r="AA221" s="274" t="n"/>
      <c r="AB221" s="274" t="n"/>
      <c r="AC221" s="274" t="n"/>
      <c r="AD221" s="274" t="n"/>
      <c r="AE221" s="274" t="n"/>
      <c r="AF221" s="274" t="n"/>
      <c r="AG221" s="274" t="n"/>
      <c r="AH221" s="274" t="n"/>
      <c r="AI221" s="274" t="n"/>
      <c r="AJ221" s="274" t="n"/>
      <c r="AK221" s="274" t="n"/>
    </row>
    <row r="222">
      <c r="A222" s="458" t="inlineStr">
        <is>
          <t>방화동</t>
        </is>
      </c>
      <c r="D222" s="458" t="n">
        <v>9004</v>
      </c>
      <c r="E222" s="277" t="inlineStr">
        <is>
          <t>방화e-편한세상</t>
        </is>
      </c>
      <c r="F222" s="458" t="n">
        <v>2003.1</v>
      </c>
      <c r="G222" s="458" t="n">
        <v>279</v>
      </c>
      <c r="H222" s="458">
        <f>2026-INT(F222)+1</f>
        <v/>
      </c>
      <c r="J222" s="458" t="n">
        <v>78</v>
      </c>
      <c r="K222" s="458" t="n">
        <v>59</v>
      </c>
      <c r="L222" s="458" t="n">
        <v>24</v>
      </c>
      <c r="M222" s="458" t="inlineStr">
        <is>
          <t>계단식</t>
        </is>
      </c>
      <c r="N222" s="458" t="n">
        <v>3</v>
      </c>
      <c r="O222" s="458" t="n">
        <v>1</v>
      </c>
      <c r="P222" s="458" t="n">
        <v>13</v>
      </c>
      <c r="U222" s="458" t="n">
        <v>6.8</v>
      </c>
    </row>
    <row r="223">
      <c r="A223" s="458" t="inlineStr">
        <is>
          <t>방화동</t>
        </is>
      </c>
      <c r="D223" s="458" t="n">
        <v>9004</v>
      </c>
      <c r="E223" s="277" t="inlineStr">
        <is>
          <t>방화e-편한세상</t>
        </is>
      </c>
      <c r="F223" s="458" t="n">
        <v>2003.1</v>
      </c>
      <c r="G223" s="458" t="n">
        <v>279</v>
      </c>
      <c r="H223" s="458">
        <f>2026-INT(F223)+1</f>
        <v/>
      </c>
      <c r="J223" s="458" t="n">
        <v>87</v>
      </c>
      <c r="K223" s="458" t="n">
        <v>68</v>
      </c>
      <c r="L223" s="458" t="n">
        <v>26</v>
      </c>
      <c r="M223" s="458" t="inlineStr">
        <is>
          <t>계단식</t>
        </is>
      </c>
      <c r="N223" s="458" t="n">
        <v>3</v>
      </c>
      <c r="O223" s="458" t="n">
        <v>2</v>
      </c>
      <c r="P223" s="458" t="n">
        <v>9</v>
      </c>
      <c r="U223" s="458" t="n">
        <v>8.75</v>
      </c>
      <c r="V223" s="458" t="n">
        <v>6.5</v>
      </c>
    </row>
    <row r="224">
      <c r="A224" s="458" t="inlineStr">
        <is>
          <t>방화동</t>
        </is>
      </c>
      <c r="D224" s="458" t="n">
        <v>9004</v>
      </c>
      <c r="E224" s="277" t="inlineStr">
        <is>
          <t>방화e-편한세상</t>
        </is>
      </c>
      <c r="F224" s="458" t="n">
        <v>2003.1</v>
      </c>
      <c r="G224" s="458" t="n">
        <v>279</v>
      </c>
      <c r="H224" s="458">
        <f>2026-INT(F224)+1</f>
        <v/>
      </c>
      <c r="J224" s="458" t="n">
        <v>88</v>
      </c>
      <c r="K224" s="458" t="n">
        <v>67</v>
      </c>
      <c r="L224" s="458" t="n">
        <v>27</v>
      </c>
      <c r="M224" s="458" t="inlineStr">
        <is>
          <t>계단식</t>
        </is>
      </c>
      <c r="N224" s="458" t="n">
        <v>3</v>
      </c>
      <c r="O224" s="458" t="n">
        <v>2</v>
      </c>
      <c r="P224" s="458" t="n">
        <v>66</v>
      </c>
      <c r="U224" s="458" t="n">
        <v>8.75</v>
      </c>
      <c r="V224" s="458" t="n">
        <v>6.5</v>
      </c>
    </row>
    <row r="225">
      <c r="A225" s="458" t="inlineStr">
        <is>
          <t>방화동</t>
        </is>
      </c>
      <c r="D225" s="458" t="n">
        <v>9004</v>
      </c>
      <c r="E225" s="277" t="inlineStr">
        <is>
          <t>방화e-편한세상</t>
        </is>
      </c>
      <c r="F225" s="458" t="n">
        <v>2003.1</v>
      </c>
      <c r="G225" s="458" t="n">
        <v>279</v>
      </c>
      <c r="H225" s="458">
        <f>2026-INT(F225)+1</f>
        <v/>
      </c>
      <c r="J225" s="458" t="n">
        <v>106</v>
      </c>
      <c r="K225" s="458" t="n">
        <v>84</v>
      </c>
      <c r="L225" s="458" t="n">
        <v>32</v>
      </c>
      <c r="M225" s="458" t="inlineStr">
        <is>
          <t>계단식</t>
        </is>
      </c>
      <c r="N225" s="458" t="n">
        <v>3</v>
      </c>
      <c r="O225" s="458" t="n">
        <v>2</v>
      </c>
      <c r="P225" s="458" t="n">
        <v>133</v>
      </c>
      <c r="U225" s="458" t="n">
        <v>8.800000000000001</v>
      </c>
      <c r="V225" s="458" t="n">
        <v>7.25</v>
      </c>
    </row>
    <row r="226">
      <c r="A226" s="458" t="inlineStr">
        <is>
          <t>방화동</t>
        </is>
      </c>
      <c r="D226" s="458" t="n">
        <v>9004</v>
      </c>
      <c r="E226" s="277" t="inlineStr">
        <is>
          <t>방화e-편한세상</t>
        </is>
      </c>
      <c r="F226" s="458" t="n">
        <v>2003.1</v>
      </c>
      <c r="G226" s="458" t="n">
        <v>279</v>
      </c>
      <c r="H226" s="458">
        <f>2026-INT(F226)+1</f>
        <v/>
      </c>
      <c r="J226" s="458" t="n">
        <v>121</v>
      </c>
      <c r="K226" s="458" t="n">
        <v>96</v>
      </c>
      <c r="L226" s="458" t="n">
        <v>37</v>
      </c>
      <c r="M226" s="458" t="inlineStr">
        <is>
          <t>계단식</t>
        </is>
      </c>
      <c r="N226" s="458" t="n">
        <v>3</v>
      </c>
      <c r="O226" s="458" t="n">
        <v>2</v>
      </c>
      <c r="P226" s="458" t="n">
        <v>28</v>
      </c>
      <c r="U226" s="458" t="n"/>
    </row>
    <row r="227">
      <c r="A227" s="458" t="inlineStr">
        <is>
          <t>방화동</t>
        </is>
      </c>
      <c r="D227" s="458" t="n">
        <v>9004</v>
      </c>
      <c r="E227" s="277" t="inlineStr">
        <is>
          <t>방화e-편한세상</t>
        </is>
      </c>
      <c r="F227" s="458" t="n">
        <v>2003.1</v>
      </c>
      <c r="G227" s="458" t="n">
        <v>279</v>
      </c>
      <c r="H227" s="458">
        <f>2026-INT(F227)+1</f>
        <v/>
      </c>
      <c r="J227" s="458" t="n">
        <v>131</v>
      </c>
      <c r="K227" s="458" t="n">
        <v>111</v>
      </c>
      <c r="L227" s="458" t="n">
        <v>40</v>
      </c>
      <c r="M227" s="458" t="inlineStr">
        <is>
          <t>계단식</t>
        </is>
      </c>
      <c r="N227" s="458" t="n">
        <v>4</v>
      </c>
      <c r="O227" s="458" t="n">
        <v>2</v>
      </c>
      <c r="P227" s="458" t="n">
        <v>30</v>
      </c>
      <c r="U227" s="458" t="n"/>
      <c r="V227" s="458" t="n">
        <v>8.98</v>
      </c>
    </row>
    <row r="228">
      <c r="A228" s="276" t="inlineStr">
        <is>
          <t>방화동</t>
        </is>
      </c>
      <c r="B228" s="274" t="n"/>
      <c r="C228" s="274" t="n"/>
      <c r="D228" s="276" t="n">
        <v>17</v>
      </c>
      <c r="E228" s="275" t="inlineStr">
        <is>
          <t>방화개화</t>
        </is>
      </c>
      <c r="F228" s="276" t="n">
        <v>1994.03</v>
      </c>
      <c r="G228" s="276" t="n">
        <v>462</v>
      </c>
      <c r="H228" s="276">
        <f>2026-INT(F228)+1</f>
        <v/>
      </c>
      <c r="I228" s="274" t="n"/>
      <c r="J228" s="276" t="n">
        <v>125</v>
      </c>
      <c r="K228" s="276" t="n">
        <v>101</v>
      </c>
      <c r="L228" s="276" t="n">
        <v>38</v>
      </c>
      <c r="M228" s="276" t="inlineStr">
        <is>
          <t>계단식</t>
        </is>
      </c>
      <c r="N228" s="276" t="n">
        <v>4</v>
      </c>
      <c r="O228" s="276" t="n">
        <v>2</v>
      </c>
      <c r="P228" s="276" t="n">
        <v>288</v>
      </c>
      <c r="Q228" s="274" t="n"/>
      <c r="R228" s="274" t="n"/>
      <c r="S228" s="274" t="n"/>
      <c r="T228" s="274" t="n"/>
      <c r="U228" s="276" t="n">
        <v>9.449999999999999</v>
      </c>
      <c r="V228" s="276" t="n">
        <v>7.95</v>
      </c>
      <c r="W228" s="274" t="n"/>
      <c r="X228" s="274" t="n"/>
      <c r="Y228" s="274" t="n"/>
      <c r="Z228" s="274" t="n"/>
      <c r="AA228" s="274" t="n"/>
      <c r="AB228" s="274" t="n"/>
      <c r="AC228" s="274" t="n"/>
      <c r="AD228" s="274" t="n"/>
      <c r="AE228" s="274" t="n"/>
      <c r="AF228" s="274" t="n"/>
      <c r="AG228" s="274" t="n"/>
      <c r="AH228" s="274" t="n"/>
      <c r="AI228" s="274" t="n"/>
      <c r="AJ228" s="274" t="n"/>
      <c r="AK228" s="274" t="n"/>
    </row>
    <row r="229">
      <c r="A229" s="274" t="inlineStr">
        <is>
          <t>방화동</t>
        </is>
      </c>
      <c r="B229" s="274" t="n"/>
      <c r="C229" s="274" t="n"/>
      <c r="D229" s="274" t="n">
        <v>17</v>
      </c>
      <c r="E229" s="275" t="inlineStr">
        <is>
          <t>방화개화</t>
        </is>
      </c>
      <c r="F229" s="274" t="n">
        <v>1994.03</v>
      </c>
      <c r="G229" s="274" t="n">
        <v>462</v>
      </c>
      <c r="H229" s="274">
        <f>2026-INT(F229)+1</f>
        <v/>
      </c>
      <c r="I229" s="274" t="n"/>
      <c r="J229" s="274" t="n">
        <v>160</v>
      </c>
      <c r="K229" s="274" t="n">
        <v>133</v>
      </c>
      <c r="L229" s="274" t="n">
        <v>48</v>
      </c>
      <c r="M229" s="274" t="inlineStr">
        <is>
          <t>계단식</t>
        </is>
      </c>
      <c r="N229" s="274" t="n">
        <v>4</v>
      </c>
      <c r="O229" s="274" t="n">
        <v>2</v>
      </c>
      <c r="P229" s="274" t="n">
        <v>174</v>
      </c>
      <c r="Q229" s="274" t="n"/>
      <c r="R229" s="274" t="n"/>
      <c r="S229" s="274" t="n"/>
      <c r="T229" s="274" t="n"/>
      <c r="U229" s="274" t="n">
        <v>12</v>
      </c>
      <c r="V229" s="274" t="n">
        <v>8.6</v>
      </c>
      <c r="W229" s="274" t="n"/>
      <c r="X229" s="274" t="n"/>
      <c r="Y229" s="274" t="n"/>
      <c r="Z229" s="274" t="n"/>
      <c r="AA229" s="274" t="n"/>
      <c r="AB229" s="274" t="n"/>
      <c r="AC229" s="274" t="n"/>
      <c r="AD229" s="274" t="n"/>
      <c r="AE229" s="274" t="n"/>
      <c r="AF229" s="274" t="n"/>
      <c r="AG229" s="274" t="n"/>
      <c r="AH229" s="274" t="n"/>
      <c r="AI229" s="274" t="n"/>
      <c r="AJ229" s="274" t="n"/>
      <c r="AK229" s="274" t="n"/>
    </row>
    <row r="230">
      <c r="A230" s="458" t="inlineStr">
        <is>
          <t>방화동</t>
        </is>
      </c>
      <c r="D230" s="458" t="n">
        <v>8959</v>
      </c>
      <c r="E230" s="277" t="inlineStr">
        <is>
          <t>방화동부센트레빌2차</t>
        </is>
      </c>
      <c r="F230" s="458" t="n">
        <v>2003.11</v>
      </c>
      <c r="G230" s="458" t="n">
        <v>407</v>
      </c>
      <c r="H230" s="458">
        <f>2026-INT(F230)+1</f>
        <v/>
      </c>
      <c r="J230" s="458" t="n">
        <v>66</v>
      </c>
      <c r="K230" s="458" t="n">
        <v>56</v>
      </c>
      <c r="L230" s="458" t="n">
        <v>20</v>
      </c>
      <c r="M230" s="458" t="inlineStr">
        <is>
          <t>계단식</t>
        </is>
      </c>
      <c r="N230" s="458" t="n">
        <v>2</v>
      </c>
      <c r="O230" s="458" t="n">
        <v>2</v>
      </c>
      <c r="P230" s="458" t="n">
        <v>5</v>
      </c>
    </row>
    <row r="231">
      <c r="A231" s="458" t="inlineStr">
        <is>
          <t>방화동</t>
        </is>
      </c>
      <c r="D231" s="458" t="n">
        <v>8959</v>
      </c>
      <c r="E231" s="277" t="inlineStr">
        <is>
          <t>방화동부센트레빌2차</t>
        </is>
      </c>
      <c r="F231" s="458" t="n">
        <v>2003.11</v>
      </c>
      <c r="G231" s="458" t="n">
        <v>407</v>
      </c>
      <c r="H231" s="458">
        <f>2026-INT(F231)+1</f>
        <v/>
      </c>
      <c r="J231" s="458" t="n">
        <v>80</v>
      </c>
      <c r="K231" s="458" t="n">
        <v>68</v>
      </c>
      <c r="L231" s="458" t="n">
        <v>24</v>
      </c>
      <c r="M231" s="458" t="inlineStr">
        <is>
          <t>계단식</t>
        </is>
      </c>
      <c r="N231" s="458" t="n">
        <v>3</v>
      </c>
      <c r="O231" s="458" t="n">
        <v>2</v>
      </c>
      <c r="P231" s="458" t="n">
        <v>45</v>
      </c>
      <c r="U231" s="458" t="n">
        <v>8.75</v>
      </c>
      <c r="V231" s="458" t="n">
        <v>6.5</v>
      </c>
    </row>
    <row r="232">
      <c r="A232" s="458" t="inlineStr">
        <is>
          <t>방화동</t>
        </is>
      </c>
      <c r="D232" s="458" t="n">
        <v>8959</v>
      </c>
      <c r="E232" s="277" t="inlineStr">
        <is>
          <t>방화동부센트레빌2차</t>
        </is>
      </c>
      <c r="F232" s="458" t="n">
        <v>2003.11</v>
      </c>
      <c r="G232" s="458" t="n">
        <v>407</v>
      </c>
      <c r="H232" s="458">
        <f>2026-INT(F232)+1</f>
        <v/>
      </c>
      <c r="J232" s="458" t="n">
        <v>103</v>
      </c>
      <c r="K232" s="458" t="n">
        <v>84</v>
      </c>
      <c r="L232" s="458" t="n">
        <v>31</v>
      </c>
      <c r="M232" s="458" t="inlineStr">
        <is>
          <t>계단식</t>
        </is>
      </c>
      <c r="N232" s="458" t="n">
        <v>3</v>
      </c>
      <c r="O232" s="458" t="n">
        <v>2</v>
      </c>
      <c r="P232" s="458" t="n">
        <v>233</v>
      </c>
      <c r="U232" s="458" t="n">
        <v>7.94</v>
      </c>
    </row>
    <row r="233">
      <c r="A233" s="458" t="inlineStr">
        <is>
          <t>방화동</t>
        </is>
      </c>
      <c r="D233" s="458" t="n">
        <v>8959</v>
      </c>
      <c r="E233" s="277" t="inlineStr">
        <is>
          <t>방화동부센트레빌2차</t>
        </is>
      </c>
      <c r="F233" s="458" t="n">
        <v>2003.11</v>
      </c>
      <c r="G233" s="458" t="n">
        <v>407</v>
      </c>
      <c r="H233" s="458">
        <f>2026-INT(F233)+1</f>
        <v/>
      </c>
      <c r="J233" s="458" t="n">
        <v>138</v>
      </c>
      <c r="K233" s="458" t="n">
        <v>114</v>
      </c>
      <c r="L233" s="458" t="n">
        <v>42</v>
      </c>
      <c r="M233" s="458" t="inlineStr">
        <is>
          <t>계단식</t>
        </is>
      </c>
      <c r="N233" s="458" t="n">
        <v>4</v>
      </c>
      <c r="O233" s="458" t="n">
        <v>2</v>
      </c>
      <c r="P233" s="458" t="n">
        <v>124</v>
      </c>
      <c r="U233" s="458" t="n">
        <v>12.1</v>
      </c>
      <c r="V233" s="458" t="n">
        <v>9.5</v>
      </c>
    </row>
    <row r="234">
      <c r="A234" s="276" t="inlineStr">
        <is>
          <t>방화동</t>
        </is>
      </c>
      <c r="B234" s="274" t="n"/>
      <c r="C234" s="274" t="n"/>
      <c r="D234" s="276" t="n">
        <v>10545</v>
      </c>
      <c r="E234" s="275" t="inlineStr">
        <is>
          <t>삼성꽃마을</t>
        </is>
      </c>
      <c r="F234" s="276" t="n">
        <v>1997.1</v>
      </c>
      <c r="G234" s="276" t="n">
        <v>206</v>
      </c>
      <c r="H234" s="276">
        <f>2026-INT(F234)+1</f>
        <v/>
      </c>
      <c r="I234" s="274" t="n"/>
      <c r="J234" s="276" t="n">
        <v>76</v>
      </c>
      <c r="K234" s="276" t="n">
        <v>59</v>
      </c>
      <c r="L234" s="276" t="n">
        <v>23</v>
      </c>
      <c r="M234" s="276" t="inlineStr">
        <is>
          <t>복도식</t>
        </is>
      </c>
      <c r="N234" s="276" t="n">
        <v>3</v>
      </c>
      <c r="O234" s="276" t="n">
        <v>1</v>
      </c>
      <c r="P234" s="276" t="n">
        <v>87</v>
      </c>
      <c r="Q234" s="274" t="n"/>
      <c r="R234" s="274" t="n"/>
      <c r="S234" s="274" t="n"/>
      <c r="T234" s="274" t="n"/>
      <c r="U234" s="276" t="n">
        <v>7</v>
      </c>
      <c r="V234" s="276" t="n">
        <v>4.9</v>
      </c>
      <c r="W234" s="274" t="n"/>
      <c r="X234" s="274" t="n"/>
      <c r="Y234" s="274" t="n"/>
      <c r="Z234" s="274" t="n"/>
      <c r="AA234" s="274" t="n"/>
      <c r="AB234" s="274" t="n"/>
      <c r="AC234" s="274" t="n"/>
      <c r="AD234" s="274" t="n"/>
      <c r="AE234" s="274" t="n"/>
      <c r="AF234" s="274" t="n"/>
      <c r="AG234" s="274" t="n"/>
      <c r="AH234" s="274" t="n"/>
      <c r="AI234" s="274" t="n"/>
      <c r="AJ234" s="274" t="n"/>
      <c r="AK234" s="274" t="n"/>
    </row>
    <row r="235">
      <c r="A235" s="276" t="inlineStr">
        <is>
          <t>방화동</t>
        </is>
      </c>
      <c r="B235" s="274" t="n"/>
      <c r="C235" s="274" t="n"/>
      <c r="D235" s="276" t="n">
        <v>10545</v>
      </c>
      <c r="E235" s="275" t="inlineStr">
        <is>
          <t>삼성꽃마을</t>
        </is>
      </c>
      <c r="F235" s="276" t="n">
        <v>1997.1</v>
      </c>
      <c r="G235" s="276" t="n">
        <v>206</v>
      </c>
      <c r="H235" s="276">
        <f>2026-INT(F235)+1</f>
        <v/>
      </c>
      <c r="I235" s="274" t="n"/>
      <c r="J235" s="276" t="n">
        <v>85</v>
      </c>
      <c r="K235" s="276" t="n">
        <v>67</v>
      </c>
      <c r="L235" s="276" t="n">
        <v>26</v>
      </c>
      <c r="M235" s="276" t="inlineStr">
        <is>
          <t>계단식</t>
        </is>
      </c>
      <c r="N235" s="276" t="n">
        <v>3</v>
      </c>
      <c r="O235" s="276" t="n">
        <v>1</v>
      </c>
      <c r="P235" s="276" t="n">
        <v>10</v>
      </c>
      <c r="Q235" s="274" t="n"/>
      <c r="R235" s="274" t="n"/>
      <c r="S235" s="274" t="n"/>
      <c r="T235" s="274" t="n"/>
      <c r="U235" s="276" t="n">
        <v>6.98</v>
      </c>
      <c r="V235" s="276" t="n"/>
      <c r="W235" s="274" t="n"/>
      <c r="X235" s="274" t="n"/>
      <c r="Y235" s="274" t="n"/>
      <c r="Z235" s="274" t="n"/>
      <c r="AA235" s="274" t="n"/>
      <c r="AB235" s="274" t="n"/>
      <c r="AC235" s="274" t="n"/>
      <c r="AD235" s="274" t="n"/>
      <c r="AE235" s="274" t="n"/>
      <c r="AF235" s="274" t="n"/>
      <c r="AG235" s="274" t="n"/>
      <c r="AH235" s="274" t="n"/>
      <c r="AI235" s="274" t="n"/>
      <c r="AJ235" s="274" t="n"/>
      <c r="AK235" s="274" t="n"/>
    </row>
    <row r="236">
      <c r="A236" s="276" t="inlineStr">
        <is>
          <t>방화동</t>
        </is>
      </c>
      <c r="B236" s="274" t="n"/>
      <c r="C236" s="274" t="n"/>
      <c r="D236" s="276" t="n">
        <v>10545</v>
      </c>
      <c r="E236" s="275" t="inlineStr">
        <is>
          <t>삼성꽃마을</t>
        </is>
      </c>
      <c r="F236" s="276" t="n">
        <v>1997.1</v>
      </c>
      <c r="G236" s="276" t="n">
        <v>206</v>
      </c>
      <c r="H236" s="276">
        <f>2026-INT(F236)+1</f>
        <v/>
      </c>
      <c r="I236" s="274" t="n"/>
      <c r="J236" s="276" t="n">
        <v>90</v>
      </c>
      <c r="K236" s="276" t="n">
        <v>77</v>
      </c>
      <c r="L236" s="276" t="n">
        <v>27</v>
      </c>
      <c r="M236" s="276" t="inlineStr">
        <is>
          <t>계단식</t>
        </is>
      </c>
      <c r="N236" s="276" t="n">
        <v>3</v>
      </c>
      <c r="O236" s="276" t="n">
        <v>1</v>
      </c>
      <c r="P236" s="276" t="n">
        <v>3</v>
      </c>
      <c r="Q236" s="274" t="n"/>
      <c r="R236" s="274" t="n"/>
      <c r="S236" s="274" t="n"/>
      <c r="T236" s="274" t="n"/>
      <c r="U236" s="276" t="n"/>
      <c r="V236" s="276" t="n"/>
      <c r="W236" s="274" t="n"/>
      <c r="X236" s="274" t="n"/>
      <c r="Y236" s="274" t="n"/>
      <c r="Z236" s="274" t="n"/>
      <c r="AA236" s="274" t="n"/>
      <c r="AB236" s="274" t="n"/>
      <c r="AC236" s="274" t="n"/>
      <c r="AD236" s="274" t="n"/>
      <c r="AE236" s="274" t="n"/>
      <c r="AF236" s="274" t="n"/>
      <c r="AG236" s="274" t="n"/>
      <c r="AH236" s="274" t="n"/>
      <c r="AI236" s="274" t="n"/>
      <c r="AJ236" s="274" t="n"/>
      <c r="AK236" s="274" t="n"/>
    </row>
    <row r="237">
      <c r="A237" s="274" t="inlineStr">
        <is>
          <t>방화동</t>
        </is>
      </c>
      <c r="B237" s="274" t="n"/>
      <c r="C237" s="274" t="n"/>
      <c r="D237" s="274" t="n">
        <v>10545</v>
      </c>
      <c r="E237" s="275" t="inlineStr">
        <is>
          <t>삼성꽃마을</t>
        </is>
      </c>
      <c r="F237" s="274" t="n">
        <v>1997.1</v>
      </c>
      <c r="G237" s="274" t="n">
        <v>206</v>
      </c>
      <c r="H237" s="274">
        <f>2026-INT(F237)+1</f>
        <v/>
      </c>
      <c r="I237" s="274" t="n"/>
      <c r="J237" s="274" t="n">
        <v>98</v>
      </c>
      <c r="K237" s="274" t="n">
        <v>84</v>
      </c>
      <c r="L237" s="274" t="n">
        <v>30</v>
      </c>
      <c r="M237" s="274" t="inlineStr">
        <is>
          <t>계단식</t>
        </is>
      </c>
      <c r="N237" s="274" t="n">
        <v>3</v>
      </c>
      <c r="O237" s="274" t="n">
        <v>2</v>
      </c>
      <c r="P237" s="274" t="n">
        <v>106</v>
      </c>
      <c r="Q237" s="274" t="n"/>
      <c r="R237" s="274" t="n"/>
      <c r="S237" s="274" t="n"/>
      <c r="T237" s="274" t="n"/>
      <c r="U237" s="274" t="n">
        <v>7.5</v>
      </c>
      <c r="V237" s="274" t="n">
        <v>3.95</v>
      </c>
      <c r="W237" s="274" t="n"/>
      <c r="X237" s="274" t="n"/>
      <c r="Y237" s="274" t="n"/>
      <c r="Z237" s="274" t="n"/>
      <c r="AA237" s="274" t="n"/>
      <c r="AB237" s="274" t="n"/>
      <c r="AC237" s="274" t="n"/>
      <c r="AD237" s="274" t="n"/>
      <c r="AE237" s="274" t="n"/>
      <c r="AF237" s="274" t="n"/>
      <c r="AG237" s="274" t="n"/>
      <c r="AH237" s="274" t="n"/>
      <c r="AI237" s="274" t="n"/>
      <c r="AJ237" s="274" t="n"/>
      <c r="AK237" s="274" t="n"/>
    </row>
    <row r="238">
      <c r="A238" s="458" t="inlineStr">
        <is>
          <t>방화동</t>
        </is>
      </c>
      <c r="D238" s="458" t="n">
        <v>27</v>
      </c>
      <c r="E238" s="277" t="inlineStr">
        <is>
          <t>신동아</t>
        </is>
      </c>
      <c r="F238" s="458" t="n">
        <v>1995.12</v>
      </c>
      <c r="G238" s="458" t="n">
        <v>224</v>
      </c>
      <c r="H238" s="458">
        <f>2026-INT(F238)+1</f>
        <v/>
      </c>
      <c r="J238" s="458" t="n">
        <v>83</v>
      </c>
      <c r="K238" s="458" t="n">
        <v>59</v>
      </c>
      <c r="L238" s="458" t="n">
        <v>25</v>
      </c>
      <c r="M238" s="458" t="inlineStr">
        <is>
          <t>복도식</t>
        </is>
      </c>
      <c r="N238" s="458" t="n">
        <v>3</v>
      </c>
      <c r="O238" s="458" t="n">
        <v>1</v>
      </c>
      <c r="P238" s="458" t="n">
        <v>72</v>
      </c>
      <c r="U238" s="458" t="n">
        <v>6.97</v>
      </c>
      <c r="V238" s="458" t="n">
        <v>5.75</v>
      </c>
    </row>
    <row r="239">
      <c r="A239" s="458" t="inlineStr">
        <is>
          <t>방화동</t>
        </is>
      </c>
      <c r="D239" s="458" t="n">
        <v>27</v>
      </c>
      <c r="E239" s="277" t="inlineStr">
        <is>
          <t>신동아</t>
        </is>
      </c>
      <c r="F239" s="458" t="n">
        <v>1995.12</v>
      </c>
      <c r="G239" s="458" t="n">
        <v>224</v>
      </c>
      <c r="H239" s="458">
        <f>2026-INT(F239)+1</f>
        <v/>
      </c>
      <c r="J239" s="458" t="n">
        <v>83</v>
      </c>
      <c r="K239" s="458" t="n">
        <v>59</v>
      </c>
      <c r="L239" s="458" t="n">
        <v>25</v>
      </c>
      <c r="M239" s="458" t="inlineStr">
        <is>
          <t>복도식</t>
        </is>
      </c>
      <c r="N239" s="458" t="n">
        <v>2</v>
      </c>
      <c r="O239" s="458" t="n">
        <v>1</v>
      </c>
      <c r="P239" s="458" t="n">
        <v>59</v>
      </c>
      <c r="U239" s="458" t="n">
        <v>6.97</v>
      </c>
      <c r="V239" s="458" t="n">
        <v>5.75</v>
      </c>
    </row>
    <row r="240">
      <c r="A240" s="458" t="inlineStr">
        <is>
          <t>방화동</t>
        </is>
      </c>
      <c r="D240" s="458" t="n">
        <v>27</v>
      </c>
      <c r="E240" s="277" t="inlineStr">
        <is>
          <t>신동아</t>
        </is>
      </c>
      <c r="F240" s="458" t="n">
        <v>1995.12</v>
      </c>
      <c r="G240" s="458" t="n">
        <v>224</v>
      </c>
      <c r="H240" s="458">
        <f>2026-INT(F240)+1</f>
        <v/>
      </c>
      <c r="J240" s="458" t="n">
        <v>107</v>
      </c>
      <c r="K240" s="458" t="n">
        <v>84</v>
      </c>
      <c r="L240" s="458" t="n">
        <v>32</v>
      </c>
      <c r="M240" s="458" t="inlineStr">
        <is>
          <t>계단식</t>
        </is>
      </c>
      <c r="N240" s="458" t="n">
        <v>3</v>
      </c>
      <c r="O240" s="458" t="n">
        <v>2</v>
      </c>
      <c r="P240" s="458" t="n">
        <v>85</v>
      </c>
      <c r="U240" s="458" t="n">
        <v>8.800000000000001</v>
      </c>
    </row>
    <row r="241">
      <c r="A241" s="458" t="inlineStr">
        <is>
          <t>방화동</t>
        </is>
      </c>
      <c r="D241" s="458" t="n">
        <v>27</v>
      </c>
      <c r="E241" s="277" t="inlineStr">
        <is>
          <t>신동아</t>
        </is>
      </c>
      <c r="F241" s="458" t="n">
        <v>1995.12</v>
      </c>
      <c r="G241" s="458" t="n">
        <v>224</v>
      </c>
      <c r="H241" s="458">
        <f>2026-INT(F241)+1</f>
        <v/>
      </c>
      <c r="J241" s="458" t="n">
        <v>166</v>
      </c>
      <c r="K241" s="458" t="n">
        <v>130</v>
      </c>
      <c r="L241" s="458" t="n">
        <v>50</v>
      </c>
      <c r="M241" s="458" t="inlineStr">
        <is>
          <t>계단식</t>
        </is>
      </c>
      <c r="N241" s="458" t="n">
        <v>5</v>
      </c>
      <c r="O241" s="458" t="n">
        <v>3</v>
      </c>
      <c r="P241" s="458" t="n">
        <v>8</v>
      </c>
    </row>
    <row r="242">
      <c r="A242" s="274" t="inlineStr">
        <is>
          <t>방화동</t>
        </is>
      </c>
      <c r="B242" s="274" t="n"/>
      <c r="C242" s="274" t="n"/>
      <c r="D242" s="274" t="n">
        <v>124391</v>
      </c>
      <c r="E242" s="275" t="inlineStr">
        <is>
          <t>신마곡벽산블루밍</t>
        </is>
      </c>
      <c r="F242" s="274" t="n">
        <v>2020.11</v>
      </c>
      <c r="G242" s="274" t="n">
        <v>298</v>
      </c>
      <c r="H242" s="274">
        <f>2026-INT(F242)+1</f>
        <v/>
      </c>
      <c r="I242" s="274" t="n"/>
      <c r="J242" s="274" t="n">
        <v>68</v>
      </c>
      <c r="K242" s="274" t="n">
        <v>49</v>
      </c>
      <c r="L242" s="274" t="n">
        <v>21</v>
      </c>
      <c r="M242" s="274" t="inlineStr">
        <is>
          <t>계단식</t>
        </is>
      </c>
      <c r="N242" s="274" t="n">
        <v>2</v>
      </c>
      <c r="O242" s="274" t="n">
        <v>1</v>
      </c>
      <c r="P242" s="274" t="n">
        <v>21</v>
      </c>
      <c r="Q242" s="274" t="n"/>
      <c r="R242" s="274" t="n"/>
      <c r="S242" s="274" t="n"/>
      <c r="T242" s="274" t="n"/>
      <c r="U242" s="274" t="n"/>
      <c r="V242" s="274" t="n"/>
      <c r="W242" s="274" t="n"/>
      <c r="X242" s="274" t="n"/>
      <c r="Y242" s="274" t="n"/>
      <c r="Z242" s="274" t="n"/>
      <c r="AA242" s="274" t="n"/>
      <c r="AB242" s="274" t="n"/>
      <c r="AC242" s="274" t="n"/>
      <c r="AD242" s="274" t="n"/>
      <c r="AE242" s="274" t="n"/>
      <c r="AF242" s="274" t="n"/>
      <c r="AG242" s="274" t="n"/>
      <c r="AH242" s="274" t="n"/>
      <c r="AI242" s="274" t="n"/>
      <c r="AJ242" s="274" t="n"/>
      <c r="AK242" s="274" t="n"/>
    </row>
    <row r="243">
      <c r="A243" s="274" t="inlineStr">
        <is>
          <t>방화동</t>
        </is>
      </c>
      <c r="B243" s="274" t="n"/>
      <c r="C243" s="274" t="n"/>
      <c r="D243" s="274" t="n">
        <v>124391</v>
      </c>
      <c r="E243" s="275" t="inlineStr">
        <is>
          <t>신마곡벽산블루밍</t>
        </is>
      </c>
      <c r="F243" s="274" t="n">
        <v>2020.11</v>
      </c>
      <c r="G243" s="274" t="n">
        <v>298</v>
      </c>
      <c r="H243" s="274">
        <f>2026-INT(F243)+1</f>
        <v/>
      </c>
      <c r="I243" s="274" t="n"/>
      <c r="J243" s="274" t="n">
        <v>82</v>
      </c>
      <c r="K243" s="274" t="n">
        <v>59</v>
      </c>
      <c r="L243" s="274" t="n">
        <v>25</v>
      </c>
      <c r="M243" s="274" t="inlineStr">
        <is>
          <t>계단식</t>
        </is>
      </c>
      <c r="N243" s="274" t="n">
        <v>3</v>
      </c>
      <c r="O243" s="274" t="n">
        <v>2</v>
      </c>
      <c r="P243" s="274" t="n">
        <v>61</v>
      </c>
      <c r="Q243" s="274" t="n"/>
      <c r="R243" s="274" t="n"/>
      <c r="S243" s="274" t="n"/>
      <c r="T243" s="274" t="n"/>
      <c r="U243" s="274" t="n">
        <v>8</v>
      </c>
      <c r="V243" s="274" t="n">
        <v>7.3</v>
      </c>
      <c r="W243" s="274" t="n"/>
      <c r="X243" s="274" t="n"/>
      <c r="Y243" s="274" t="n"/>
      <c r="Z243" s="274" t="n"/>
      <c r="AA243" s="274" t="n"/>
      <c r="AB243" s="274" t="n"/>
      <c r="AC243" s="274" t="n"/>
      <c r="AD243" s="274" t="n"/>
      <c r="AE243" s="274" t="n"/>
      <c r="AF243" s="274" t="n"/>
      <c r="AG243" s="274" t="n"/>
      <c r="AH243" s="274" t="n"/>
      <c r="AI243" s="274" t="n"/>
      <c r="AJ243" s="274" t="n"/>
      <c r="AK243" s="274" t="n"/>
    </row>
    <row r="244">
      <c r="A244" s="274" t="inlineStr">
        <is>
          <t>방화동</t>
        </is>
      </c>
      <c r="B244" s="274" t="n"/>
      <c r="C244" s="274" t="n"/>
      <c r="D244" s="274" t="n">
        <v>124391</v>
      </c>
      <c r="E244" s="275" t="inlineStr">
        <is>
          <t>신마곡벽산블루밍</t>
        </is>
      </c>
      <c r="F244" s="274" t="n">
        <v>2020.11</v>
      </c>
      <c r="G244" s="274" t="n">
        <v>298</v>
      </c>
      <c r="H244" s="274">
        <f>2026-INT(F244)+1</f>
        <v/>
      </c>
      <c r="I244" s="274" t="n"/>
      <c r="J244" s="274" t="n">
        <v>98</v>
      </c>
      <c r="K244" s="274" t="n">
        <v>72</v>
      </c>
      <c r="L244" s="274" t="n">
        <v>30</v>
      </c>
      <c r="M244" s="274" t="inlineStr">
        <is>
          <t>계단식</t>
        </is>
      </c>
      <c r="N244" s="274" t="n">
        <v>3</v>
      </c>
      <c r="O244" s="274" t="n">
        <v>2</v>
      </c>
      <c r="P244" s="274" t="n">
        <v>52</v>
      </c>
      <c r="Q244" s="274" t="n"/>
      <c r="R244" s="274" t="n"/>
      <c r="S244" s="274" t="n"/>
      <c r="T244" s="274" t="n"/>
      <c r="U244" s="274" t="n">
        <v>9.5</v>
      </c>
      <c r="V244" s="274" t="n">
        <v>7.88</v>
      </c>
      <c r="W244" s="274" t="n"/>
      <c r="X244" s="274" t="n"/>
      <c r="Y244" s="274" t="n"/>
      <c r="Z244" s="274" t="n"/>
      <c r="AA244" s="274" t="n"/>
      <c r="AB244" s="274" t="n"/>
      <c r="AC244" s="274" t="n"/>
      <c r="AD244" s="274" t="n"/>
      <c r="AE244" s="274" t="n"/>
      <c r="AF244" s="274" t="n"/>
      <c r="AG244" s="274" t="n"/>
      <c r="AH244" s="274" t="n"/>
      <c r="AI244" s="274" t="n"/>
      <c r="AJ244" s="274" t="n"/>
      <c r="AK244" s="274" t="n"/>
    </row>
    <row r="245">
      <c r="A245" s="276" t="inlineStr">
        <is>
          <t>방화동</t>
        </is>
      </c>
      <c r="B245" s="274" t="n"/>
      <c r="C245" s="274" t="n"/>
      <c r="D245" s="276" t="n">
        <v>124391</v>
      </c>
      <c r="E245" s="275" t="inlineStr">
        <is>
          <t>신마곡벽산블루밍</t>
        </is>
      </c>
      <c r="F245" s="276" t="n">
        <v>2020.11</v>
      </c>
      <c r="G245" s="276" t="n">
        <v>298</v>
      </c>
      <c r="H245" s="276">
        <f>2026-INT(F245)+1</f>
        <v/>
      </c>
      <c r="I245" s="274" t="n"/>
      <c r="J245" s="276" t="n">
        <v>116</v>
      </c>
      <c r="K245" s="276" t="n">
        <v>84</v>
      </c>
      <c r="L245" s="276" t="n">
        <v>35</v>
      </c>
      <c r="M245" s="276" t="inlineStr">
        <is>
          <t>계단식</t>
        </is>
      </c>
      <c r="N245" s="276" t="n">
        <v>3</v>
      </c>
      <c r="O245" s="276" t="n">
        <v>2</v>
      </c>
      <c r="P245" s="276" t="n">
        <v>39</v>
      </c>
      <c r="Q245" s="274" t="n"/>
      <c r="R245" s="274" t="n"/>
      <c r="S245" s="274" t="n"/>
      <c r="T245" s="274" t="n"/>
      <c r="U245" s="276" t="n"/>
      <c r="V245" s="276" t="n">
        <v>8.5</v>
      </c>
      <c r="W245" s="274" t="n"/>
      <c r="X245" s="274" t="n"/>
      <c r="Y245" s="274" t="n"/>
      <c r="Z245" s="274" t="n"/>
      <c r="AA245" s="274" t="n"/>
      <c r="AB245" s="274" t="n"/>
      <c r="AC245" s="274" t="n"/>
      <c r="AD245" s="274" t="n"/>
      <c r="AE245" s="274" t="n"/>
      <c r="AF245" s="274" t="n"/>
      <c r="AG245" s="274" t="n"/>
      <c r="AH245" s="274" t="n"/>
      <c r="AI245" s="274" t="n"/>
      <c r="AJ245" s="274" t="n"/>
      <c r="AK245" s="274" t="n"/>
    </row>
    <row r="246">
      <c r="A246" s="458" t="inlineStr">
        <is>
          <t>방화동</t>
        </is>
      </c>
      <c r="D246" s="458" t="n">
        <v>8986</v>
      </c>
      <c r="E246" s="277" t="inlineStr">
        <is>
          <t>신안네트빌1단지</t>
        </is>
      </c>
      <c r="F246" s="458" t="n">
        <v>2002.09</v>
      </c>
      <c r="G246" s="458" t="n">
        <v>228</v>
      </c>
      <c r="H246" s="458">
        <f>2026-INT(F246)+1</f>
        <v/>
      </c>
      <c r="J246" s="458" t="n">
        <v>83</v>
      </c>
      <c r="K246" s="458" t="n">
        <v>57</v>
      </c>
      <c r="L246" s="458" t="n">
        <v>25</v>
      </c>
      <c r="M246" s="458" t="inlineStr">
        <is>
          <t>복도식</t>
        </is>
      </c>
      <c r="N246" s="458" t="n">
        <v>3</v>
      </c>
      <c r="O246" s="458" t="n">
        <v>1</v>
      </c>
      <c r="P246" s="458" t="n">
        <v>30</v>
      </c>
      <c r="V246" s="458" t="n">
        <v>5.48</v>
      </c>
    </row>
    <row r="247">
      <c r="A247" s="458" t="inlineStr">
        <is>
          <t>방화동</t>
        </is>
      </c>
      <c r="D247" s="458" t="n">
        <v>8986</v>
      </c>
      <c r="E247" s="277" t="inlineStr">
        <is>
          <t>신안네트빌1단지</t>
        </is>
      </c>
      <c r="F247" s="458" t="n">
        <v>2002.09</v>
      </c>
      <c r="G247" s="458" t="n">
        <v>228</v>
      </c>
      <c r="H247" s="458">
        <f>2026-INT(F247)+1</f>
        <v/>
      </c>
      <c r="J247" s="458" t="n">
        <v>115</v>
      </c>
      <c r="K247" s="458" t="n">
        <v>84</v>
      </c>
      <c r="L247" s="458" t="n">
        <v>35</v>
      </c>
      <c r="M247" s="458" t="inlineStr">
        <is>
          <t>계단식</t>
        </is>
      </c>
      <c r="N247" s="458" t="n">
        <v>3</v>
      </c>
      <c r="O247" s="458" t="n">
        <v>2</v>
      </c>
      <c r="P247" s="458" t="n">
        <v>155</v>
      </c>
      <c r="U247" s="458" t="n">
        <v>7.75</v>
      </c>
      <c r="V247" s="458" t="n">
        <v>5</v>
      </c>
    </row>
    <row r="248">
      <c r="A248" s="458" t="inlineStr">
        <is>
          <t>방화동</t>
        </is>
      </c>
      <c r="D248" s="458" t="n">
        <v>8986</v>
      </c>
      <c r="E248" s="277" t="inlineStr">
        <is>
          <t>신안네트빌1단지</t>
        </is>
      </c>
      <c r="F248" s="458" t="n">
        <v>2002.09</v>
      </c>
      <c r="G248" s="458" t="n">
        <v>228</v>
      </c>
      <c r="H248" s="458">
        <f>2026-INT(F248)+1</f>
        <v/>
      </c>
      <c r="J248" s="458" t="n">
        <v>122</v>
      </c>
      <c r="K248" s="458" t="n">
        <v>91</v>
      </c>
      <c r="L248" s="458" t="n">
        <v>37</v>
      </c>
      <c r="M248" s="458" t="inlineStr">
        <is>
          <t>계단식</t>
        </is>
      </c>
      <c r="N248" s="458" t="n">
        <v>3</v>
      </c>
      <c r="O248" s="458" t="n">
        <v>2</v>
      </c>
      <c r="P248" s="458" t="n">
        <v>15</v>
      </c>
      <c r="U248" s="458" t="n">
        <v>8.300000000000001</v>
      </c>
      <c r="V248" s="458" t="n"/>
    </row>
    <row r="249">
      <c r="A249" s="458" t="inlineStr">
        <is>
          <t>방화동</t>
        </is>
      </c>
      <c r="D249" s="458" t="n">
        <v>8986</v>
      </c>
      <c r="E249" s="277" t="inlineStr">
        <is>
          <t>신안네트빌1단지</t>
        </is>
      </c>
      <c r="F249" s="458" t="n">
        <v>2002.09</v>
      </c>
      <c r="G249" s="458" t="n">
        <v>228</v>
      </c>
      <c r="H249" s="458">
        <f>2026-INT(F249)+1</f>
        <v/>
      </c>
      <c r="J249" s="458" t="n">
        <v>146</v>
      </c>
      <c r="K249" s="458" t="n">
        <v>114</v>
      </c>
      <c r="L249" s="458" t="n">
        <v>44</v>
      </c>
      <c r="M249" s="458" t="inlineStr">
        <is>
          <t>계단식</t>
        </is>
      </c>
      <c r="N249" s="458" t="n">
        <v>4</v>
      </c>
      <c r="O249" s="458" t="n">
        <v>2</v>
      </c>
      <c r="P249" s="458" t="n">
        <v>14</v>
      </c>
      <c r="U249" s="458" t="n">
        <v>8.699999999999999</v>
      </c>
      <c r="V249" s="458" t="n"/>
    </row>
    <row r="250">
      <c r="A250" s="458" t="inlineStr">
        <is>
          <t>방화동</t>
        </is>
      </c>
      <c r="D250" s="458" t="n">
        <v>8986</v>
      </c>
      <c r="E250" s="277" t="inlineStr">
        <is>
          <t>신안네트빌1단지</t>
        </is>
      </c>
      <c r="F250" s="458" t="n">
        <v>2002.09</v>
      </c>
      <c r="G250" s="458" t="n">
        <v>228</v>
      </c>
      <c r="H250" s="458">
        <f>2026-INT(F250)+1</f>
        <v/>
      </c>
      <c r="J250" s="458" t="n">
        <v>148</v>
      </c>
      <c r="K250" s="458" t="n">
        <v>118</v>
      </c>
      <c r="L250" s="458" t="n">
        <v>45</v>
      </c>
      <c r="M250" s="458" t="inlineStr">
        <is>
          <t>계단식</t>
        </is>
      </c>
      <c r="N250" s="458" t="n">
        <v>4</v>
      </c>
      <c r="O250" s="458" t="n">
        <v>2</v>
      </c>
      <c r="P250" s="458" t="n">
        <v>14</v>
      </c>
      <c r="U250" s="458" t="n">
        <v>8.199999999999999</v>
      </c>
      <c r="V250" s="458" t="n"/>
    </row>
    <row r="251">
      <c r="A251" s="276" t="inlineStr">
        <is>
          <t>방화동</t>
        </is>
      </c>
      <c r="B251" s="274" t="n"/>
      <c r="C251" s="274" t="n"/>
      <c r="D251" s="276" t="n">
        <v>22</v>
      </c>
      <c r="E251" s="275" t="inlineStr">
        <is>
          <t>장미(도시개발1단지)</t>
        </is>
      </c>
      <c r="F251" s="276" t="n">
        <v>1994.07</v>
      </c>
      <c r="G251" s="276" t="n">
        <v>387</v>
      </c>
      <c r="H251" s="276">
        <f>2026-INT(F251)+1</f>
        <v/>
      </c>
      <c r="I251" s="274" t="n"/>
      <c r="J251" s="276" t="n">
        <v>52</v>
      </c>
      <c r="K251" s="276" t="n">
        <v>39</v>
      </c>
      <c r="L251" s="276" t="n">
        <v>16</v>
      </c>
      <c r="M251" s="276" t="inlineStr">
        <is>
          <t>복도식</t>
        </is>
      </c>
      <c r="N251" s="276" t="n">
        <v>2</v>
      </c>
      <c r="O251" s="276" t="n">
        <v>1</v>
      </c>
      <c r="P251" s="276" t="n">
        <v>119</v>
      </c>
      <c r="Q251" s="274" t="n"/>
      <c r="R251" s="274" t="n"/>
      <c r="S251" s="274" t="n"/>
      <c r="T251" s="274" t="n"/>
      <c r="U251" s="276" t="n">
        <v>6.4</v>
      </c>
      <c r="V251" s="276" t="n">
        <v>4.08</v>
      </c>
      <c r="W251" s="274" t="n"/>
      <c r="X251" s="274" t="n"/>
      <c r="Y251" s="274" t="n"/>
      <c r="Z251" s="274" t="n"/>
      <c r="AA251" s="274" t="n"/>
      <c r="AB251" s="274" t="n"/>
      <c r="AC251" s="274" t="n"/>
      <c r="AD251" s="274" t="n"/>
      <c r="AE251" s="274" t="n"/>
      <c r="AF251" s="274" t="n"/>
      <c r="AG251" s="274" t="n"/>
      <c r="AH251" s="274" t="n"/>
      <c r="AI251" s="274" t="n"/>
      <c r="AJ251" s="274" t="n"/>
      <c r="AK251" s="274" t="n"/>
    </row>
    <row r="252">
      <c r="A252" s="274" t="inlineStr">
        <is>
          <t>방화동</t>
        </is>
      </c>
      <c r="B252" s="274" t="n"/>
      <c r="C252" s="274" t="n"/>
      <c r="D252" s="274" t="n">
        <v>22</v>
      </c>
      <c r="E252" s="275" t="inlineStr">
        <is>
          <t>장미(도시개발1단지)</t>
        </is>
      </c>
      <c r="F252" s="274" t="n">
        <v>1994.07</v>
      </c>
      <c r="G252" s="274" t="n">
        <v>387</v>
      </c>
      <c r="H252" s="274">
        <f>2026-INT(F252)+1</f>
        <v/>
      </c>
      <c r="I252" s="274" t="n"/>
      <c r="J252" s="274" t="n">
        <v>65</v>
      </c>
      <c r="K252" s="274" t="n">
        <v>49</v>
      </c>
      <c r="L252" s="274" t="n">
        <v>20</v>
      </c>
      <c r="M252" s="274" t="inlineStr">
        <is>
          <t>복도식</t>
        </is>
      </c>
      <c r="N252" s="274" t="n">
        <v>2</v>
      </c>
      <c r="O252" s="274" t="n">
        <v>1</v>
      </c>
      <c r="P252" s="274" t="n">
        <v>149</v>
      </c>
      <c r="Q252" s="274" t="n"/>
      <c r="R252" s="274" t="n"/>
      <c r="S252" s="274" t="n"/>
      <c r="T252" s="274" t="n"/>
      <c r="U252" s="274" t="n">
        <v>6.45</v>
      </c>
      <c r="V252" s="274" t="n">
        <v>4</v>
      </c>
      <c r="W252" s="274" t="n"/>
      <c r="X252" s="274" t="n"/>
      <c r="Y252" s="274" t="n"/>
      <c r="Z252" s="274" t="n"/>
      <c r="AA252" s="274" t="n"/>
      <c r="AB252" s="274" t="n"/>
      <c r="AC252" s="274" t="n"/>
      <c r="AD252" s="274" t="n"/>
      <c r="AE252" s="274" t="n"/>
      <c r="AF252" s="274" t="n"/>
      <c r="AG252" s="274" t="n"/>
      <c r="AH252" s="274" t="n"/>
      <c r="AI252" s="274" t="n"/>
      <c r="AJ252" s="274" t="n"/>
      <c r="AK252" s="274" t="n"/>
    </row>
    <row r="253">
      <c r="A253" s="274" t="inlineStr">
        <is>
          <t>방화동</t>
        </is>
      </c>
      <c r="B253" s="274" t="n"/>
      <c r="C253" s="274" t="n"/>
      <c r="D253" s="274" t="n">
        <v>22</v>
      </c>
      <c r="E253" s="275" t="inlineStr">
        <is>
          <t>장미(도시개발1단지)</t>
        </is>
      </c>
      <c r="F253" s="274" t="n">
        <v>1994.07</v>
      </c>
      <c r="G253" s="274" t="n">
        <v>387</v>
      </c>
      <c r="H253" s="274">
        <f>2026-INT(F253)+1</f>
        <v/>
      </c>
      <c r="I253" s="274" t="n"/>
      <c r="J253" s="274" t="n">
        <v>77</v>
      </c>
      <c r="K253" s="274" t="n">
        <v>59</v>
      </c>
      <c r="L253" s="274" t="n">
        <v>23</v>
      </c>
      <c r="M253" s="274" t="inlineStr">
        <is>
          <t>복도식</t>
        </is>
      </c>
      <c r="N253" s="274" t="n">
        <v>3</v>
      </c>
      <c r="O253" s="274" t="n">
        <v>1</v>
      </c>
      <c r="P253" s="274" t="n">
        <v>119</v>
      </c>
      <c r="Q253" s="274" t="n"/>
      <c r="R253" s="274" t="n"/>
      <c r="S253" s="274" t="n"/>
      <c r="T253" s="274" t="n"/>
      <c r="U253" s="274" t="n">
        <v>5.99</v>
      </c>
      <c r="V253" s="274" t="n"/>
      <c r="W253" s="274" t="n"/>
      <c r="X253" s="274" t="n"/>
      <c r="Y253" s="274" t="n"/>
      <c r="Z253" s="274" t="n"/>
      <c r="AA253" s="274" t="n"/>
      <c r="AB253" s="274" t="n"/>
      <c r="AC253" s="274" t="n"/>
      <c r="AD253" s="274" t="n"/>
      <c r="AE253" s="274" t="n"/>
      <c r="AF253" s="274" t="n"/>
      <c r="AG253" s="274" t="n"/>
      <c r="AH253" s="274" t="n"/>
      <c r="AI253" s="274" t="n"/>
      <c r="AJ253" s="274" t="n"/>
      <c r="AK253" s="274" t="n"/>
    </row>
    <row r="254">
      <c r="A254" s="458" t="inlineStr">
        <is>
          <t>방화동</t>
        </is>
      </c>
      <c r="D254" s="458" t="n">
        <v>9244</v>
      </c>
      <c r="E254" s="277" t="inlineStr">
        <is>
          <t>치현마을동일스위트리버1차</t>
        </is>
      </c>
      <c r="F254" s="458" t="n">
        <v>2004.12</v>
      </c>
      <c r="G254" s="458" t="n">
        <v>213</v>
      </c>
      <c r="H254" s="458">
        <f>2026-INT(F254)+1</f>
        <v/>
      </c>
      <c r="J254" s="458" t="n">
        <v>79</v>
      </c>
      <c r="K254" s="458" t="n">
        <v>59</v>
      </c>
      <c r="L254" s="458" t="n">
        <v>24</v>
      </c>
      <c r="M254" s="458" t="inlineStr">
        <is>
          <t>계단식</t>
        </is>
      </c>
      <c r="N254" s="458" t="n">
        <v>3</v>
      </c>
      <c r="O254" s="458" t="n">
        <v>1</v>
      </c>
      <c r="P254" s="458" t="n">
        <v>56</v>
      </c>
      <c r="U254" s="458" t="n">
        <v>6.7</v>
      </c>
      <c r="V254" s="458" t="n">
        <v>5.15</v>
      </c>
    </row>
    <row r="255">
      <c r="A255" s="458" t="inlineStr">
        <is>
          <t>방화동</t>
        </is>
      </c>
      <c r="D255" s="458" t="n">
        <v>9244</v>
      </c>
      <c r="E255" s="277" t="inlineStr">
        <is>
          <t>치현마을동일스위트리버1차</t>
        </is>
      </c>
      <c r="F255" s="458" t="n">
        <v>2004.12</v>
      </c>
      <c r="G255" s="458" t="n">
        <v>213</v>
      </c>
      <c r="H255" s="458">
        <f>2026-INT(F255)+1</f>
        <v/>
      </c>
      <c r="J255" s="458" t="n">
        <v>106</v>
      </c>
      <c r="K255" s="458" t="n">
        <v>84</v>
      </c>
      <c r="L255" s="458" t="n">
        <v>32</v>
      </c>
      <c r="M255" s="458" t="inlineStr">
        <is>
          <t>계단식</t>
        </is>
      </c>
      <c r="N255" s="458" t="n">
        <v>3</v>
      </c>
      <c r="O255" s="458" t="n">
        <v>2</v>
      </c>
      <c r="P255" s="458" t="n">
        <v>157</v>
      </c>
      <c r="U255" s="458" t="n">
        <v>8.199999999999999</v>
      </c>
      <c r="V255" s="458" t="n">
        <v>6.4</v>
      </c>
    </row>
    <row r="256">
      <c r="A256" s="274" t="inlineStr">
        <is>
          <t>방화동</t>
        </is>
      </c>
      <c r="B256" s="274" t="n"/>
      <c r="C256" s="274" t="n"/>
      <c r="D256" s="274" t="n">
        <v>32</v>
      </c>
      <c r="E256" s="275" t="inlineStr">
        <is>
          <t>한미</t>
        </is>
      </c>
      <c r="F256" s="274" t="n">
        <v>1988.09</v>
      </c>
      <c r="G256" s="274" t="n">
        <v>220</v>
      </c>
      <c r="H256" s="274">
        <f>2026-INT(F256)+1</f>
        <v/>
      </c>
      <c r="I256" s="274" t="n"/>
      <c r="J256" s="274" t="n">
        <v>54</v>
      </c>
      <c r="K256" s="274" t="n">
        <v>40</v>
      </c>
      <c r="L256" s="274" t="n">
        <v>16</v>
      </c>
      <c r="M256" s="274" t="inlineStr">
        <is>
          <t>계단식</t>
        </is>
      </c>
      <c r="N256" s="274" t="n">
        <v>2</v>
      </c>
      <c r="O256" s="274" t="n">
        <v>1</v>
      </c>
      <c r="P256" s="274" t="n">
        <v>80</v>
      </c>
      <c r="Q256" s="274" t="n"/>
      <c r="R256" s="274" t="n"/>
      <c r="S256" s="274" t="n"/>
      <c r="T256" s="274" t="n"/>
      <c r="U256" s="274" t="n">
        <v>5.37</v>
      </c>
      <c r="V256" s="274" t="n">
        <v>3.7</v>
      </c>
      <c r="W256" s="274" t="n"/>
      <c r="X256" s="274" t="n"/>
      <c r="Y256" s="274" t="n"/>
      <c r="Z256" s="274" t="n"/>
      <c r="AA256" s="274" t="n"/>
      <c r="AB256" s="274" t="n"/>
      <c r="AC256" s="274" t="n"/>
      <c r="AD256" s="274" t="n"/>
      <c r="AE256" s="274" t="n"/>
      <c r="AF256" s="274" t="n"/>
      <c r="AG256" s="274" t="n"/>
      <c r="AH256" s="274" t="n"/>
      <c r="AI256" s="274" t="n"/>
      <c r="AJ256" s="274" t="n"/>
      <c r="AK256" s="274" t="n"/>
    </row>
    <row r="257">
      <c r="A257" s="274" t="inlineStr">
        <is>
          <t>방화동</t>
        </is>
      </c>
      <c r="B257" s="274" t="n"/>
      <c r="C257" s="274" t="n"/>
      <c r="D257" s="274" t="n">
        <v>32</v>
      </c>
      <c r="E257" s="275" t="inlineStr">
        <is>
          <t>한미</t>
        </is>
      </c>
      <c r="F257" s="274" t="n">
        <v>1988.09</v>
      </c>
      <c r="G257" s="274" t="n">
        <v>220</v>
      </c>
      <c r="H257" s="274">
        <f>2026-INT(F257)+1</f>
        <v/>
      </c>
      <c r="I257" s="274" t="n"/>
      <c r="J257" s="274" t="n">
        <v>62</v>
      </c>
      <c r="K257" s="274" t="n">
        <v>47</v>
      </c>
      <c r="L257" s="274" t="n">
        <v>19</v>
      </c>
      <c r="M257" s="274" t="inlineStr">
        <is>
          <t>계단식</t>
        </is>
      </c>
      <c r="N257" s="274" t="n">
        <v>3</v>
      </c>
      <c r="O257" s="274" t="n">
        <v>1</v>
      </c>
      <c r="P257" s="274" t="n">
        <v>140</v>
      </c>
      <c r="Q257" s="274" t="n"/>
      <c r="R257" s="274" t="n"/>
      <c r="S257" s="274" t="n"/>
      <c r="T257" s="274" t="n"/>
      <c r="U257" s="274" t="n">
        <v>6</v>
      </c>
      <c r="V257" s="274" t="n">
        <v>4.2</v>
      </c>
      <c r="W257" s="274" t="n"/>
      <c r="X257" s="274" t="n"/>
      <c r="Y257" s="274" t="n"/>
      <c r="Z257" s="274" t="n"/>
      <c r="AA257" s="274" t="n"/>
      <c r="AB257" s="274" t="n"/>
      <c r="AC257" s="274" t="n"/>
      <c r="AD257" s="274" t="n"/>
      <c r="AE257" s="274" t="n"/>
      <c r="AF257" s="274" t="n"/>
      <c r="AG257" s="274" t="n"/>
      <c r="AH257" s="274" t="n"/>
      <c r="AI257" s="274" t="n"/>
      <c r="AJ257" s="274" t="n"/>
      <c r="AK257" s="274" t="n"/>
    </row>
    <row r="258">
      <c r="A258" s="458" t="inlineStr">
        <is>
          <t>염창동</t>
        </is>
      </c>
      <c r="D258" s="458" t="n">
        <v>115965</v>
      </c>
      <c r="E258" s="277" t="inlineStr">
        <is>
          <t>e편한세상염창</t>
        </is>
      </c>
      <c r="F258" s="458" t="n">
        <v>2019.03</v>
      </c>
      <c r="G258" s="458" t="n">
        <v>499</v>
      </c>
      <c r="H258" s="458">
        <f>2026-INT(F258)+1</f>
        <v/>
      </c>
      <c r="J258" s="458" t="n">
        <v>71</v>
      </c>
      <c r="K258" s="458" t="n">
        <v>51</v>
      </c>
      <c r="L258" s="458" t="n">
        <v>21</v>
      </c>
      <c r="M258" s="458" t="inlineStr">
        <is>
          <t>계단식</t>
        </is>
      </c>
      <c r="N258" s="458" t="n">
        <v>2</v>
      </c>
      <c r="O258" s="458" t="n">
        <v>1</v>
      </c>
      <c r="P258" s="458" t="n">
        <v>6</v>
      </c>
    </row>
    <row r="259">
      <c r="A259" s="458" t="inlineStr">
        <is>
          <t>염창동</t>
        </is>
      </c>
      <c r="D259" s="458" t="n">
        <v>115965</v>
      </c>
      <c r="E259" s="277" t="inlineStr">
        <is>
          <t>e편한세상염창</t>
        </is>
      </c>
      <c r="F259" s="458" t="n">
        <v>2019.03</v>
      </c>
      <c r="G259" s="458" t="n">
        <v>499</v>
      </c>
      <c r="H259" s="458">
        <f>2026-INT(F259)+1</f>
        <v/>
      </c>
      <c r="J259" s="458" t="n">
        <v>75</v>
      </c>
      <c r="K259" s="458" t="n">
        <v>55</v>
      </c>
      <c r="L259" s="458" t="n">
        <v>23</v>
      </c>
      <c r="M259" s="458" t="inlineStr">
        <is>
          <t>계단식</t>
        </is>
      </c>
      <c r="N259" s="458" t="n">
        <v>2</v>
      </c>
      <c r="O259" s="458" t="n">
        <v>1</v>
      </c>
      <c r="P259" s="458" t="n">
        <v>26</v>
      </c>
    </row>
    <row r="260">
      <c r="A260" s="458" t="inlineStr">
        <is>
          <t>염창동</t>
        </is>
      </c>
      <c r="D260" s="458" t="n">
        <v>115965</v>
      </c>
      <c r="E260" s="277" t="inlineStr">
        <is>
          <t>e편한세상염창</t>
        </is>
      </c>
      <c r="F260" s="458" t="n">
        <v>2019.03</v>
      </c>
      <c r="G260" s="458" t="n">
        <v>499</v>
      </c>
      <c r="H260" s="458">
        <f>2026-INT(F260)+1</f>
        <v/>
      </c>
      <c r="J260" s="458" t="n">
        <v>78</v>
      </c>
      <c r="K260" s="458" t="n">
        <v>59</v>
      </c>
      <c r="L260" s="458" t="n">
        <v>24</v>
      </c>
      <c r="M260" s="458" t="inlineStr">
        <is>
          <t>계단식</t>
        </is>
      </c>
      <c r="N260" s="458" t="n">
        <v>3</v>
      </c>
      <c r="O260" s="458" t="n">
        <v>2</v>
      </c>
      <c r="P260" s="458" t="n">
        <v>118</v>
      </c>
      <c r="U260" s="458" t="n">
        <v>13.35</v>
      </c>
    </row>
    <row r="261">
      <c r="A261" s="458" t="inlineStr">
        <is>
          <t>염창동</t>
        </is>
      </c>
      <c r="D261" s="458" t="n">
        <v>115965</v>
      </c>
      <c r="E261" s="277" t="inlineStr">
        <is>
          <t>e편한세상염창</t>
        </is>
      </c>
      <c r="F261" s="458" t="n">
        <v>2019.03</v>
      </c>
      <c r="G261" s="458" t="n">
        <v>499</v>
      </c>
      <c r="H261" s="458">
        <f>2026-INT(F261)+1</f>
        <v/>
      </c>
      <c r="J261" s="458" t="n">
        <v>95</v>
      </c>
      <c r="K261" s="458" t="n">
        <v>74</v>
      </c>
      <c r="L261" s="458" t="n">
        <v>29</v>
      </c>
      <c r="M261" s="458" t="inlineStr">
        <is>
          <t>계단식</t>
        </is>
      </c>
      <c r="N261" s="458" t="n">
        <v>3</v>
      </c>
      <c r="O261" s="458" t="n">
        <v>2</v>
      </c>
      <c r="P261" s="458" t="n">
        <v>40</v>
      </c>
      <c r="U261" s="458" t="n">
        <v>14</v>
      </c>
    </row>
    <row r="262">
      <c r="A262" s="458" t="inlineStr">
        <is>
          <t>염창동</t>
        </is>
      </c>
      <c r="D262" s="458" t="n">
        <v>115965</v>
      </c>
      <c r="E262" s="277" t="inlineStr">
        <is>
          <t>e편한세상염창</t>
        </is>
      </c>
      <c r="F262" s="458" t="n">
        <v>2019.03</v>
      </c>
      <c r="G262" s="458" t="n">
        <v>499</v>
      </c>
      <c r="H262" s="458">
        <f>2026-INT(F262)+1</f>
        <v/>
      </c>
      <c r="J262" s="458" t="n">
        <v>107</v>
      </c>
      <c r="K262" s="458" t="n">
        <v>84</v>
      </c>
      <c r="L262" s="458" t="n">
        <v>32</v>
      </c>
      <c r="M262" s="458" t="inlineStr">
        <is>
          <t>계단식</t>
        </is>
      </c>
      <c r="N262" s="458" t="n">
        <v>3</v>
      </c>
      <c r="O262" s="458" t="n">
        <v>2</v>
      </c>
      <c r="P262" s="458" t="n">
        <v>253</v>
      </c>
      <c r="U262" s="458" t="n">
        <v>15.2</v>
      </c>
      <c r="V262" s="458" t="n">
        <v>11</v>
      </c>
    </row>
    <row r="263">
      <c r="A263" s="274" t="inlineStr">
        <is>
          <t>염창동</t>
        </is>
      </c>
      <c r="B263" s="274" t="n"/>
      <c r="C263" s="274" t="n"/>
      <c r="D263" s="274" t="n">
        <v>3100</v>
      </c>
      <c r="E263" s="275" t="inlineStr">
        <is>
          <t>강변성원</t>
        </is>
      </c>
      <c r="F263" s="274" t="n">
        <v>2001.06</v>
      </c>
      <c r="G263" s="274" t="n">
        <v>297</v>
      </c>
      <c r="H263" s="274">
        <f>2026-INT(F263)+1</f>
        <v/>
      </c>
      <c r="I263" s="274" t="n"/>
      <c r="J263" s="274" t="n">
        <v>77</v>
      </c>
      <c r="K263" s="274" t="n">
        <v>59</v>
      </c>
      <c r="L263" s="274" t="n">
        <v>23</v>
      </c>
      <c r="M263" s="274" t="inlineStr">
        <is>
          <t>복도식</t>
        </is>
      </c>
      <c r="N263" s="274" t="n">
        <v>3</v>
      </c>
      <c r="O263" s="274" t="n">
        <v>1</v>
      </c>
      <c r="P263" s="274" t="n">
        <v>140</v>
      </c>
      <c r="Q263" s="274" t="n"/>
      <c r="R263" s="274" t="n"/>
      <c r="S263" s="274" t="n"/>
      <c r="T263" s="274" t="n"/>
      <c r="U263" s="274" t="n">
        <v>9</v>
      </c>
      <c r="V263" s="274" t="n">
        <v>6.05</v>
      </c>
      <c r="W263" s="274" t="n"/>
      <c r="X263" s="274" t="n"/>
      <c r="Y263" s="274" t="n"/>
      <c r="Z263" s="274" t="n"/>
      <c r="AA263" s="274" t="n"/>
      <c r="AB263" s="274" t="n"/>
      <c r="AC263" s="274" t="n"/>
      <c r="AD263" s="274" t="n"/>
      <c r="AE263" s="274" t="n"/>
      <c r="AF263" s="274" t="n"/>
      <c r="AG263" s="274" t="n"/>
      <c r="AH263" s="274" t="n"/>
      <c r="AI263" s="274" t="n"/>
      <c r="AJ263" s="274" t="n"/>
      <c r="AK263" s="274" t="n"/>
    </row>
    <row r="264">
      <c r="A264" s="274" t="inlineStr">
        <is>
          <t>염창동</t>
        </is>
      </c>
      <c r="B264" s="274" t="n"/>
      <c r="C264" s="274" t="n"/>
      <c r="D264" s="274" t="n">
        <v>3100</v>
      </c>
      <c r="E264" s="275" t="inlineStr">
        <is>
          <t>강변성원</t>
        </is>
      </c>
      <c r="F264" s="274" t="n">
        <v>2001.06</v>
      </c>
      <c r="G264" s="274" t="n">
        <v>297</v>
      </c>
      <c r="H264" s="274">
        <f>2026-INT(F264)+1</f>
        <v/>
      </c>
      <c r="I264" s="274" t="n"/>
      <c r="J264" s="274" t="n">
        <v>110</v>
      </c>
      <c r="K264" s="274" t="n">
        <v>84</v>
      </c>
      <c r="L264" s="274" t="n">
        <v>33</v>
      </c>
      <c r="M264" s="274" t="inlineStr">
        <is>
          <t>계단식</t>
        </is>
      </c>
      <c r="N264" s="274" t="n">
        <v>3</v>
      </c>
      <c r="O264" s="274" t="n">
        <v>2</v>
      </c>
      <c r="P264" s="274" t="n">
        <v>85</v>
      </c>
      <c r="Q264" s="274" t="n"/>
      <c r="R264" s="274" t="n"/>
      <c r="S264" s="274" t="n"/>
      <c r="T264" s="274" t="n"/>
      <c r="U264" s="274" t="n">
        <v>9.199999999999999</v>
      </c>
      <c r="V264" s="274" t="n">
        <v>9.5</v>
      </c>
      <c r="W264" s="274" t="n"/>
      <c r="X264" s="274" t="n"/>
      <c r="Y264" s="274" t="n"/>
      <c r="Z264" s="274" t="n"/>
      <c r="AA264" s="274" t="n"/>
      <c r="AB264" s="274" t="n"/>
      <c r="AC264" s="274" t="n"/>
      <c r="AD264" s="274" t="n"/>
      <c r="AE264" s="274" t="n"/>
      <c r="AF264" s="274" t="n"/>
      <c r="AG264" s="274" t="n"/>
      <c r="AH264" s="274" t="n"/>
      <c r="AI264" s="274" t="n"/>
      <c r="AJ264" s="274" t="n"/>
      <c r="AK264" s="274" t="n"/>
    </row>
    <row r="265">
      <c r="A265" s="276" t="inlineStr">
        <is>
          <t>염창동</t>
        </is>
      </c>
      <c r="B265" s="274" t="n"/>
      <c r="C265" s="274" t="n"/>
      <c r="D265" s="276" t="n">
        <v>3100</v>
      </c>
      <c r="E265" s="275" t="inlineStr">
        <is>
          <t>강변성원</t>
        </is>
      </c>
      <c r="F265" s="276" t="n">
        <v>2001.06</v>
      </c>
      <c r="G265" s="276" t="n">
        <v>297</v>
      </c>
      <c r="H265" s="276">
        <f>2026-INT(F265)+1</f>
        <v/>
      </c>
      <c r="I265" s="274" t="n"/>
      <c r="J265" s="276" t="n">
        <v>148</v>
      </c>
      <c r="K265" s="276" t="n">
        <v>114</v>
      </c>
      <c r="L265" s="276" t="n">
        <v>45</v>
      </c>
      <c r="M265" s="276" t="inlineStr">
        <is>
          <t>계단식</t>
        </is>
      </c>
      <c r="N265" s="276" t="n">
        <v>4</v>
      </c>
      <c r="O265" s="276" t="n">
        <v>2</v>
      </c>
      <c r="P265" s="276" t="n">
        <v>72</v>
      </c>
      <c r="Q265" s="274" t="n"/>
      <c r="R265" s="274" t="n"/>
      <c r="S265" s="274" t="n"/>
      <c r="T265" s="274" t="n"/>
      <c r="U265" s="276" t="n">
        <v>12.8</v>
      </c>
      <c r="V265" s="276" t="n"/>
      <c r="W265" s="274" t="n"/>
      <c r="X265" s="274" t="n"/>
      <c r="Y265" s="274" t="n"/>
      <c r="Z265" s="274" t="n"/>
      <c r="AA265" s="274" t="n"/>
      <c r="AB265" s="274" t="n"/>
      <c r="AC265" s="274" t="n"/>
      <c r="AD265" s="274" t="n"/>
      <c r="AE265" s="274" t="n"/>
      <c r="AF265" s="274" t="n"/>
      <c r="AG265" s="274" t="n"/>
      <c r="AH265" s="274" t="n"/>
      <c r="AI265" s="274" t="n"/>
      <c r="AJ265" s="274" t="n"/>
      <c r="AK265" s="274" t="n"/>
    </row>
    <row r="266">
      <c r="A266" s="458" t="inlineStr">
        <is>
          <t>염창동</t>
        </is>
      </c>
      <c r="D266" s="458" t="n">
        <v>9364</v>
      </c>
      <c r="E266" s="277" t="inlineStr">
        <is>
          <t>강변한솔솔파크</t>
        </is>
      </c>
      <c r="F266" s="458" t="n">
        <v>2005.09</v>
      </c>
      <c r="G266" s="458" t="n">
        <v>455</v>
      </c>
      <c r="H266" s="458">
        <f>2026-INT(F266)+1</f>
        <v/>
      </c>
      <c r="J266" s="458" t="n">
        <v>108</v>
      </c>
      <c r="K266" s="458" t="n">
        <v>84</v>
      </c>
      <c r="L266" s="458" t="n">
        <v>33</v>
      </c>
      <c r="M266" s="458" t="inlineStr">
        <is>
          <t>계단식</t>
        </is>
      </c>
      <c r="N266" s="458" t="n">
        <v>3</v>
      </c>
      <c r="O266" s="458" t="n">
        <v>2</v>
      </c>
      <c r="P266" s="458" t="n">
        <v>455</v>
      </c>
      <c r="U266" s="458" t="n">
        <v>12.4</v>
      </c>
      <c r="V266" s="458" t="n">
        <v>9</v>
      </c>
    </row>
    <row r="267">
      <c r="A267" s="274" t="inlineStr">
        <is>
          <t>염창동</t>
        </is>
      </c>
      <c r="B267" s="274" t="n"/>
      <c r="C267" s="274" t="n"/>
      <c r="D267" s="274" t="n">
        <v>9161</v>
      </c>
      <c r="E267" s="275" t="inlineStr">
        <is>
          <t>강변힐스테이트</t>
        </is>
      </c>
      <c r="F267" s="274" t="n">
        <v>2005.06</v>
      </c>
      <c r="G267" s="274" t="n">
        <v>417</v>
      </c>
      <c r="H267" s="274">
        <f>2026-INT(F267)+1</f>
        <v/>
      </c>
      <c r="I267" s="274" t="n"/>
      <c r="J267" s="274" t="n">
        <v>80</v>
      </c>
      <c r="K267" s="274" t="n">
        <v>59</v>
      </c>
      <c r="L267" s="274" t="n">
        <v>24</v>
      </c>
      <c r="M267" s="274" t="inlineStr">
        <is>
          <t>계단식</t>
        </is>
      </c>
      <c r="N267" s="274" t="n">
        <v>3</v>
      </c>
      <c r="O267" s="274" t="n">
        <v>2</v>
      </c>
      <c r="P267" s="274" t="n">
        <v>51</v>
      </c>
      <c r="Q267" s="274" t="n"/>
      <c r="R267" s="274" t="n"/>
      <c r="S267" s="274" t="n"/>
      <c r="T267" s="274" t="n"/>
      <c r="U267" s="274" t="n">
        <v>10.25</v>
      </c>
      <c r="V267" s="274" t="n">
        <v>8.5</v>
      </c>
      <c r="W267" s="274" t="n"/>
      <c r="X267" s="274" t="n"/>
      <c r="Y267" s="274" t="n"/>
      <c r="Z267" s="274" t="n"/>
      <c r="AA267" s="274" t="n"/>
      <c r="AB267" s="274" t="n"/>
      <c r="AC267" s="274" t="n"/>
      <c r="AD267" s="274" t="n"/>
      <c r="AE267" s="274" t="n"/>
      <c r="AF267" s="274" t="n"/>
      <c r="AG267" s="274" t="n"/>
      <c r="AH267" s="274" t="n"/>
      <c r="AI267" s="274" t="n"/>
      <c r="AJ267" s="274" t="n"/>
      <c r="AK267" s="274" t="n"/>
    </row>
    <row r="268">
      <c r="A268" s="274" t="inlineStr">
        <is>
          <t>염창동</t>
        </is>
      </c>
      <c r="B268" s="274" t="n"/>
      <c r="C268" s="274" t="n"/>
      <c r="D268" s="274" t="n">
        <v>9161</v>
      </c>
      <c r="E268" s="275" t="inlineStr">
        <is>
          <t>강변힐스테이트</t>
        </is>
      </c>
      <c r="F268" s="274" t="n">
        <v>2005.06</v>
      </c>
      <c r="G268" s="274" t="n">
        <v>417</v>
      </c>
      <c r="H268" s="274">
        <f>2026-INT(F268)+1</f>
        <v/>
      </c>
      <c r="I268" s="274" t="n"/>
      <c r="J268" s="274" t="n">
        <v>110</v>
      </c>
      <c r="K268" s="274" t="n">
        <v>84</v>
      </c>
      <c r="L268" s="274" t="n">
        <v>33</v>
      </c>
      <c r="M268" s="274" t="inlineStr">
        <is>
          <t>계단식</t>
        </is>
      </c>
      <c r="N268" s="274" t="n">
        <v>3</v>
      </c>
      <c r="O268" s="274" t="n">
        <v>2</v>
      </c>
      <c r="P268" s="274" t="n">
        <v>366</v>
      </c>
      <c r="Q268" s="274" t="n"/>
      <c r="R268" s="274" t="n"/>
      <c r="S268" s="274" t="n"/>
      <c r="T268" s="274" t="n"/>
      <c r="U268" s="274" t="n">
        <v>13.6</v>
      </c>
      <c r="V268" s="274" t="n">
        <v>9.4</v>
      </c>
      <c r="W268" s="274" t="n"/>
      <c r="X268" s="274" t="n"/>
      <c r="Y268" s="274" t="n"/>
      <c r="Z268" s="274" t="n"/>
      <c r="AA268" s="274" t="n"/>
      <c r="AB268" s="274" t="n"/>
      <c r="AC268" s="274" t="n"/>
      <c r="AD268" s="274" t="n"/>
      <c r="AE268" s="274" t="n"/>
      <c r="AF268" s="274" t="n"/>
      <c r="AG268" s="274" t="n"/>
      <c r="AH268" s="274" t="n"/>
      <c r="AI268" s="274" t="n"/>
      <c r="AJ268" s="274" t="n"/>
      <c r="AK268" s="274" t="n"/>
    </row>
    <row r="269">
      <c r="A269" s="458" t="inlineStr">
        <is>
          <t>염창동</t>
        </is>
      </c>
      <c r="D269" s="458" t="n">
        <v>3153</v>
      </c>
      <c r="E269" s="277" t="inlineStr">
        <is>
          <t>극동</t>
        </is>
      </c>
      <c r="F269" s="458" t="n">
        <v>2000.05</v>
      </c>
      <c r="G269" s="458" t="n">
        <v>249</v>
      </c>
      <c r="H269" s="458">
        <f>2026-INT(F269)+1</f>
        <v/>
      </c>
      <c r="J269" s="458" t="n">
        <v>84</v>
      </c>
      <c r="K269" s="458" t="n">
        <v>59</v>
      </c>
      <c r="L269" s="458" t="n">
        <v>25</v>
      </c>
      <c r="M269" s="458" t="inlineStr">
        <is>
          <t>복도식</t>
        </is>
      </c>
      <c r="N269" s="458" t="n">
        <v>3</v>
      </c>
      <c r="O269" s="458" t="n">
        <v>1</v>
      </c>
      <c r="P269" s="458" t="n">
        <v>100</v>
      </c>
      <c r="U269" s="458" t="n">
        <v>8.300000000000001</v>
      </c>
      <c r="V269" s="458" t="n">
        <v>6.5</v>
      </c>
    </row>
    <row r="270">
      <c r="A270" s="458" t="inlineStr">
        <is>
          <t>염창동</t>
        </is>
      </c>
      <c r="D270" s="458" t="n">
        <v>3153</v>
      </c>
      <c r="E270" s="277" t="inlineStr">
        <is>
          <t>극동</t>
        </is>
      </c>
      <c r="F270" s="458" t="n">
        <v>2000.05</v>
      </c>
      <c r="G270" s="458" t="n">
        <v>249</v>
      </c>
      <c r="H270" s="458">
        <f>2026-INT(F270)+1</f>
        <v/>
      </c>
      <c r="J270" s="458" t="n">
        <v>100</v>
      </c>
      <c r="K270" s="458" t="n">
        <v>79</v>
      </c>
      <c r="L270" s="458" t="n">
        <v>30</v>
      </c>
      <c r="M270" s="458" t="inlineStr">
        <is>
          <t>계단식</t>
        </is>
      </c>
      <c r="N270" s="458" t="n">
        <v>3</v>
      </c>
      <c r="O270" s="458" t="n">
        <v>2</v>
      </c>
      <c r="P270" s="458" t="n">
        <v>37</v>
      </c>
      <c r="U270" s="458" t="n">
        <v>8.85</v>
      </c>
      <c r="V270" s="458" t="n">
        <v>7.7</v>
      </c>
    </row>
    <row r="271">
      <c r="A271" s="458" t="inlineStr">
        <is>
          <t>염창동</t>
        </is>
      </c>
      <c r="D271" s="458" t="n">
        <v>3153</v>
      </c>
      <c r="E271" s="277" t="inlineStr">
        <is>
          <t>극동</t>
        </is>
      </c>
      <c r="F271" s="458" t="n">
        <v>2000.05</v>
      </c>
      <c r="G271" s="458" t="n">
        <v>249</v>
      </c>
      <c r="H271" s="458">
        <f>2026-INT(F271)+1</f>
        <v/>
      </c>
      <c r="J271" s="458" t="n">
        <v>107</v>
      </c>
      <c r="K271" s="458" t="n">
        <v>85</v>
      </c>
      <c r="L271" s="458" t="n">
        <v>32</v>
      </c>
      <c r="M271" s="458" t="inlineStr">
        <is>
          <t>계단식</t>
        </is>
      </c>
      <c r="N271" s="458" t="n">
        <v>3</v>
      </c>
      <c r="O271" s="458" t="n">
        <v>2</v>
      </c>
      <c r="P271" s="458" t="n">
        <v>56</v>
      </c>
      <c r="U271" s="458" t="n"/>
      <c r="V271" s="458" t="n">
        <v>8.199999999999999</v>
      </c>
    </row>
    <row r="272">
      <c r="A272" s="458" t="inlineStr">
        <is>
          <t>염창동</t>
        </is>
      </c>
      <c r="D272" s="458" t="n">
        <v>3153</v>
      </c>
      <c r="E272" s="277" t="inlineStr">
        <is>
          <t>극동</t>
        </is>
      </c>
      <c r="F272" s="458" t="n">
        <v>2000.05</v>
      </c>
      <c r="G272" s="458" t="n">
        <v>249</v>
      </c>
      <c r="H272" s="458">
        <f>2026-INT(F272)+1</f>
        <v/>
      </c>
      <c r="J272" s="458" t="n">
        <v>132</v>
      </c>
      <c r="K272" s="458" t="n">
        <v>104</v>
      </c>
      <c r="L272" s="458" t="n">
        <v>40</v>
      </c>
      <c r="M272" s="458" t="inlineStr">
        <is>
          <t>계단식</t>
        </is>
      </c>
      <c r="N272" s="458" t="n">
        <v>4</v>
      </c>
      <c r="O272" s="458" t="n">
        <v>2</v>
      </c>
      <c r="P272" s="458" t="n">
        <v>56</v>
      </c>
      <c r="U272" s="458" t="n">
        <v>10.8</v>
      </c>
      <c r="V272" s="458" t="n"/>
    </row>
    <row r="273">
      <c r="A273" s="276" t="inlineStr">
        <is>
          <t>염창동</t>
        </is>
      </c>
      <c r="B273" s="274" t="n"/>
      <c r="C273" s="274" t="n"/>
      <c r="D273" s="276" t="n">
        <v>1028</v>
      </c>
      <c r="E273" s="275" t="inlineStr">
        <is>
          <t>극동상록수</t>
        </is>
      </c>
      <c r="F273" s="276" t="n">
        <v>1999.1</v>
      </c>
      <c r="G273" s="276" t="n">
        <v>256</v>
      </c>
      <c r="H273" s="276">
        <f>2026-INT(F273)+1</f>
        <v/>
      </c>
      <c r="I273" s="274" t="n"/>
      <c r="J273" s="276" t="n">
        <v>86</v>
      </c>
      <c r="K273" s="276" t="n">
        <v>59</v>
      </c>
      <c r="L273" s="276" t="n">
        <v>26</v>
      </c>
      <c r="M273" s="276" t="inlineStr">
        <is>
          <t>복도식</t>
        </is>
      </c>
      <c r="N273" s="276" t="n">
        <v>3</v>
      </c>
      <c r="O273" s="276" t="n">
        <v>1</v>
      </c>
      <c r="P273" s="276" t="n">
        <v>115</v>
      </c>
      <c r="Q273" s="274" t="n"/>
      <c r="R273" s="274" t="n"/>
      <c r="S273" s="274" t="n"/>
      <c r="T273" s="274" t="n"/>
      <c r="U273" s="276" t="n">
        <v>8.5</v>
      </c>
      <c r="V273" s="274" t="n">
        <v>6.8</v>
      </c>
      <c r="W273" s="274" t="n"/>
      <c r="X273" s="274" t="n"/>
      <c r="Y273" s="274" t="n"/>
      <c r="Z273" s="274" t="n"/>
      <c r="AA273" s="274" t="n"/>
      <c r="AB273" s="274" t="n"/>
      <c r="AC273" s="274" t="n"/>
      <c r="AD273" s="274" t="n"/>
      <c r="AE273" s="274" t="n"/>
      <c r="AF273" s="274" t="n"/>
      <c r="AG273" s="274" t="n"/>
      <c r="AH273" s="274" t="n"/>
      <c r="AI273" s="274" t="n"/>
      <c r="AJ273" s="274" t="n"/>
      <c r="AK273" s="274" t="n"/>
    </row>
    <row r="274">
      <c r="A274" s="276" t="inlineStr">
        <is>
          <t>염창동</t>
        </is>
      </c>
      <c r="B274" s="274" t="n"/>
      <c r="C274" s="274" t="n"/>
      <c r="D274" s="276" t="n">
        <v>1028</v>
      </c>
      <c r="E274" s="275" t="inlineStr">
        <is>
          <t>극동상록수</t>
        </is>
      </c>
      <c r="F274" s="276" t="n">
        <v>1999.1</v>
      </c>
      <c r="G274" s="276" t="n">
        <v>256</v>
      </c>
      <c r="H274" s="276">
        <f>2026-INT(F274)+1</f>
        <v/>
      </c>
      <c r="I274" s="274" t="n"/>
      <c r="J274" s="276" t="n">
        <v>110</v>
      </c>
      <c r="K274" s="276" t="n">
        <v>84</v>
      </c>
      <c r="L274" s="276" t="n">
        <v>33</v>
      </c>
      <c r="M274" s="276" t="inlineStr">
        <is>
          <t>계단식</t>
        </is>
      </c>
      <c r="N274" s="276" t="n">
        <v>3</v>
      </c>
      <c r="O274" s="276" t="n">
        <v>2</v>
      </c>
      <c r="P274" s="276" t="n">
        <v>141</v>
      </c>
      <c r="Q274" s="274" t="n"/>
      <c r="R274" s="274" t="n"/>
      <c r="S274" s="274" t="n"/>
      <c r="T274" s="274" t="n"/>
      <c r="U274" s="276" t="n">
        <v>11</v>
      </c>
      <c r="V274" s="274" t="n">
        <v>6.4</v>
      </c>
      <c r="W274" s="274" t="n"/>
      <c r="X274" s="274" t="n"/>
      <c r="Y274" s="274" t="n"/>
      <c r="Z274" s="274" t="n"/>
      <c r="AA274" s="274" t="n"/>
      <c r="AB274" s="274" t="n"/>
      <c r="AC274" s="274" t="n"/>
      <c r="AD274" s="274" t="n"/>
      <c r="AE274" s="274" t="n"/>
      <c r="AF274" s="274" t="n"/>
      <c r="AG274" s="274" t="n"/>
      <c r="AH274" s="274" t="n"/>
      <c r="AI274" s="274" t="n"/>
      <c r="AJ274" s="274" t="n"/>
      <c r="AK274" s="274" t="n"/>
    </row>
    <row r="275">
      <c r="A275" s="458" t="inlineStr">
        <is>
          <t>염창동</t>
        </is>
      </c>
      <c r="D275" s="458" t="n">
        <v>853</v>
      </c>
      <c r="E275" s="277" t="inlineStr">
        <is>
          <t>금호타운</t>
        </is>
      </c>
      <c r="F275" s="458" t="n">
        <v>1999.04</v>
      </c>
      <c r="G275" s="458" t="n">
        <v>290</v>
      </c>
      <c r="H275" s="458">
        <f>2026-INT(F275)+1</f>
        <v/>
      </c>
      <c r="J275" s="458" t="n">
        <v>79</v>
      </c>
      <c r="K275" s="458" t="n">
        <v>59</v>
      </c>
      <c r="L275" s="458" t="n">
        <v>24</v>
      </c>
      <c r="M275" s="458" t="inlineStr">
        <is>
          <t>계단식</t>
        </is>
      </c>
      <c r="N275" s="458" t="n">
        <v>3</v>
      </c>
      <c r="O275" s="458" t="n">
        <v>1</v>
      </c>
      <c r="P275" s="458" t="n">
        <v>160</v>
      </c>
      <c r="U275" s="458" t="n">
        <v>8.949999999999999</v>
      </c>
      <c r="V275" s="458" t="n">
        <v>7.4</v>
      </c>
    </row>
    <row r="276">
      <c r="A276" s="458" t="inlineStr">
        <is>
          <t>염창동</t>
        </is>
      </c>
      <c r="D276" s="458" t="n">
        <v>853</v>
      </c>
      <c r="E276" s="277" t="inlineStr">
        <is>
          <t>금호타운</t>
        </is>
      </c>
      <c r="F276" s="458" t="n">
        <v>1999.04</v>
      </c>
      <c r="G276" s="458" t="n">
        <v>290</v>
      </c>
      <c r="H276" s="458">
        <f>2026-INT(F276)+1</f>
        <v/>
      </c>
      <c r="J276" s="458" t="n">
        <v>107</v>
      </c>
      <c r="K276" s="458" t="n">
        <v>84</v>
      </c>
      <c r="L276" s="458" t="n">
        <v>32</v>
      </c>
      <c r="M276" s="458" t="inlineStr">
        <is>
          <t>계단식</t>
        </is>
      </c>
      <c r="N276" s="458" t="n">
        <v>3</v>
      </c>
      <c r="O276" s="458" t="n">
        <v>2</v>
      </c>
      <c r="P276" s="458" t="n">
        <v>130</v>
      </c>
      <c r="U276" s="458" t="n">
        <v>9.9</v>
      </c>
      <c r="V276" s="458" t="n">
        <v>8.300000000000001</v>
      </c>
    </row>
    <row r="277">
      <c r="A277" s="276" t="inlineStr">
        <is>
          <t>염창동</t>
        </is>
      </c>
      <c r="B277" s="274" t="n"/>
      <c r="C277" s="274" t="n"/>
      <c r="D277" s="276" t="n">
        <v>1030</v>
      </c>
      <c r="E277" s="275" t="inlineStr">
        <is>
          <t>무학</t>
        </is>
      </c>
      <c r="F277" s="276" t="n">
        <v>1999.03</v>
      </c>
      <c r="G277" s="276" t="n">
        <v>273</v>
      </c>
      <c r="H277" s="276">
        <f>2026-INT(F277)+1</f>
        <v/>
      </c>
      <c r="I277" s="274" t="n"/>
      <c r="J277" s="276" t="n">
        <v>88</v>
      </c>
      <c r="K277" s="276" t="n">
        <v>59</v>
      </c>
      <c r="L277" s="276" t="n">
        <v>27</v>
      </c>
      <c r="M277" s="276" t="inlineStr">
        <is>
          <t>복도식</t>
        </is>
      </c>
      <c r="N277" s="276" t="n">
        <v>3</v>
      </c>
      <c r="O277" s="276" t="n">
        <v>1</v>
      </c>
      <c r="P277" s="276" t="n">
        <v>135</v>
      </c>
      <c r="Q277" s="274" t="n"/>
      <c r="R277" s="274" t="n"/>
      <c r="S277" s="274" t="n"/>
      <c r="T277" s="274" t="n"/>
      <c r="U277" s="274" t="n">
        <v>8.550000000000001</v>
      </c>
      <c r="V277" s="276" t="n">
        <v>6.8</v>
      </c>
      <c r="W277" s="274" t="n"/>
      <c r="X277" s="274" t="n"/>
      <c r="Y277" s="274" t="n"/>
      <c r="Z277" s="274" t="n"/>
      <c r="AA277" s="274" t="n"/>
      <c r="AB277" s="274" t="n"/>
      <c r="AC277" s="274" t="n"/>
      <c r="AD277" s="274" t="n"/>
      <c r="AE277" s="274" t="n"/>
      <c r="AF277" s="274" t="n"/>
      <c r="AG277" s="274" t="n"/>
      <c r="AH277" s="274" t="n"/>
      <c r="AI277" s="274" t="n"/>
      <c r="AJ277" s="274" t="n"/>
      <c r="AK277" s="274" t="n"/>
    </row>
    <row r="278">
      <c r="A278" s="274" t="inlineStr">
        <is>
          <t>염창동</t>
        </is>
      </c>
      <c r="B278" s="274" t="n"/>
      <c r="C278" s="274" t="n"/>
      <c r="D278" s="274" t="n">
        <v>1030</v>
      </c>
      <c r="E278" s="275" t="inlineStr">
        <is>
          <t>무학</t>
        </is>
      </c>
      <c r="F278" s="274" t="n">
        <v>1999.03</v>
      </c>
      <c r="G278" s="274" t="n">
        <v>273</v>
      </c>
      <c r="H278" s="274">
        <f>2026-INT(F278)+1</f>
        <v/>
      </c>
      <c r="I278" s="274" t="n"/>
      <c r="J278" s="274" t="n">
        <v>108</v>
      </c>
      <c r="K278" s="274" t="n">
        <v>84</v>
      </c>
      <c r="L278" s="274" t="n">
        <v>33</v>
      </c>
      <c r="M278" s="274" t="inlineStr">
        <is>
          <t>계단식</t>
        </is>
      </c>
      <c r="N278" s="274" t="n">
        <v>3</v>
      </c>
      <c r="O278" s="274" t="n">
        <v>2</v>
      </c>
      <c r="P278" s="274" t="n">
        <v>102</v>
      </c>
      <c r="Q278" s="274" t="n"/>
      <c r="R278" s="274" t="n"/>
      <c r="S278" s="274" t="n"/>
      <c r="T278" s="274" t="n"/>
      <c r="U278" s="274" t="n">
        <v>11</v>
      </c>
      <c r="V278" s="274" t="n">
        <v>8.98</v>
      </c>
      <c r="W278" s="274" t="n"/>
      <c r="X278" s="274" t="n"/>
      <c r="Y278" s="274" t="n"/>
      <c r="Z278" s="274" t="n"/>
      <c r="AA278" s="274" t="n"/>
      <c r="AB278" s="274" t="n"/>
      <c r="AC278" s="274" t="n"/>
      <c r="AD278" s="274" t="n"/>
      <c r="AE278" s="274" t="n"/>
      <c r="AF278" s="274" t="n"/>
      <c r="AG278" s="274" t="n"/>
      <c r="AH278" s="274" t="n"/>
      <c r="AI278" s="274" t="n"/>
      <c r="AJ278" s="274" t="n"/>
      <c r="AK278" s="274" t="n"/>
    </row>
    <row r="279">
      <c r="A279" s="274" t="inlineStr">
        <is>
          <t>염창동</t>
        </is>
      </c>
      <c r="B279" s="274" t="n"/>
      <c r="C279" s="274" t="n"/>
      <c r="D279" s="274" t="n">
        <v>1030</v>
      </c>
      <c r="E279" s="275" t="inlineStr">
        <is>
          <t>무학</t>
        </is>
      </c>
      <c r="F279" s="274" t="n">
        <v>1999.03</v>
      </c>
      <c r="G279" s="274" t="n">
        <v>273</v>
      </c>
      <c r="H279" s="274">
        <f>2026-INT(F279)+1</f>
        <v/>
      </c>
      <c r="I279" s="274" t="n"/>
      <c r="J279" s="274" t="n">
        <v>142</v>
      </c>
      <c r="K279" s="274" t="n">
        <v>114</v>
      </c>
      <c r="L279" s="274" t="n">
        <v>43</v>
      </c>
      <c r="M279" s="274" t="inlineStr">
        <is>
          <t>계단식</t>
        </is>
      </c>
      <c r="N279" s="274" t="n">
        <v>4</v>
      </c>
      <c r="O279" s="274" t="n">
        <v>2</v>
      </c>
      <c r="P279" s="274" t="n">
        <v>36</v>
      </c>
      <c r="Q279" s="274" t="n"/>
      <c r="R279" s="274" t="n"/>
      <c r="S279" s="274" t="n"/>
      <c r="T279" s="274" t="n"/>
      <c r="U279" s="274" t="n">
        <v>10.7</v>
      </c>
      <c r="V279" s="274" t="n"/>
      <c r="W279" s="274" t="n"/>
      <c r="X279" s="274" t="n"/>
      <c r="Y279" s="274" t="n"/>
      <c r="Z279" s="274" t="n"/>
      <c r="AA279" s="274" t="n"/>
      <c r="AB279" s="274" t="n"/>
      <c r="AC279" s="274" t="n"/>
      <c r="AD279" s="274" t="n"/>
      <c r="AE279" s="274" t="n"/>
      <c r="AF279" s="274" t="n"/>
      <c r="AG279" s="274" t="n"/>
      <c r="AH279" s="274" t="n"/>
      <c r="AI279" s="274" t="n"/>
      <c r="AJ279" s="274" t="n"/>
      <c r="AK279" s="274" t="n"/>
    </row>
    <row r="280">
      <c r="A280" s="458" t="inlineStr">
        <is>
          <t>염창동</t>
        </is>
      </c>
      <c r="D280" s="458" t="n">
        <v>1032</v>
      </c>
      <c r="E280" s="277" t="inlineStr">
        <is>
          <t>벽산늘푸른</t>
        </is>
      </c>
      <c r="F280" s="458" t="n">
        <v>1998.11</v>
      </c>
      <c r="G280" s="458" t="n">
        <v>206</v>
      </c>
      <c r="H280" s="458">
        <f>2026-INT(F280)+1</f>
        <v/>
      </c>
      <c r="J280" s="458" t="n">
        <v>79</v>
      </c>
      <c r="K280" s="458" t="n">
        <v>59</v>
      </c>
      <c r="L280" s="458" t="n">
        <v>24</v>
      </c>
      <c r="M280" s="458" t="inlineStr">
        <is>
          <t>복도식</t>
        </is>
      </c>
      <c r="N280" s="458" t="n">
        <v>3</v>
      </c>
      <c r="O280" s="458" t="n">
        <v>1</v>
      </c>
      <c r="P280" s="458" t="n">
        <v>105</v>
      </c>
      <c r="U280" s="458" t="n">
        <v>8.1</v>
      </c>
      <c r="V280" s="458" t="n">
        <v>6</v>
      </c>
    </row>
    <row r="281">
      <c r="A281" s="458" t="inlineStr">
        <is>
          <t>염창동</t>
        </is>
      </c>
      <c r="D281" s="458" t="n">
        <v>1032</v>
      </c>
      <c r="E281" s="277" t="inlineStr">
        <is>
          <t>벽산늘푸른</t>
        </is>
      </c>
      <c r="F281" s="458" t="n">
        <v>1998.11</v>
      </c>
      <c r="G281" s="458" t="n">
        <v>206</v>
      </c>
      <c r="H281" s="458">
        <f>2026-INT(F281)+1</f>
        <v/>
      </c>
      <c r="J281" s="458" t="n">
        <v>104</v>
      </c>
      <c r="K281" s="458" t="n">
        <v>84</v>
      </c>
      <c r="L281" s="458" t="n">
        <v>31</v>
      </c>
      <c r="M281" s="458" t="inlineStr">
        <is>
          <t>계단식</t>
        </is>
      </c>
      <c r="N281" s="458" t="n">
        <v>3</v>
      </c>
      <c r="O281" s="458" t="n">
        <v>2</v>
      </c>
      <c r="P281" s="458" t="n">
        <v>86</v>
      </c>
      <c r="U281" s="458" t="n">
        <v>9.199999999999999</v>
      </c>
    </row>
    <row r="282">
      <c r="A282" s="458" t="inlineStr">
        <is>
          <t>염창동</t>
        </is>
      </c>
      <c r="D282" s="458" t="n">
        <v>1032</v>
      </c>
      <c r="E282" s="277" t="inlineStr">
        <is>
          <t>벽산늘푸른</t>
        </is>
      </c>
      <c r="F282" s="458" t="n">
        <v>1998.11</v>
      </c>
      <c r="G282" s="458" t="n">
        <v>206</v>
      </c>
      <c r="H282" s="458">
        <f>2026-INT(F282)+1</f>
        <v/>
      </c>
      <c r="J282" s="458" t="n">
        <v>104</v>
      </c>
      <c r="K282" s="458" t="n">
        <v>78</v>
      </c>
      <c r="L282" s="458" t="n">
        <v>31</v>
      </c>
      <c r="M282" s="458" t="inlineStr">
        <is>
          <t>복도식</t>
        </is>
      </c>
      <c r="N282" s="458" t="n">
        <v>3</v>
      </c>
      <c r="O282" s="458" t="n">
        <v>1</v>
      </c>
      <c r="P282" s="458" t="n">
        <v>15</v>
      </c>
    </row>
    <row r="283">
      <c r="A283" s="274" t="inlineStr">
        <is>
          <t>염창동</t>
        </is>
      </c>
      <c r="B283" s="274" t="n"/>
      <c r="C283" s="274" t="n"/>
      <c r="D283" s="274" t="n">
        <v>25936</v>
      </c>
      <c r="E283" s="275" t="inlineStr">
        <is>
          <t>보람더하임1차(101~104동)</t>
        </is>
      </c>
      <c r="F283" s="274" t="n">
        <v>2008.01</v>
      </c>
      <c r="G283" s="274" t="n">
        <v>202</v>
      </c>
      <c r="H283" s="274">
        <f>2026-INT(F283)+1</f>
        <v/>
      </c>
      <c r="I283" s="274" t="n"/>
      <c r="J283" s="274" t="n">
        <v>103</v>
      </c>
      <c r="K283" s="274" t="n">
        <v>84</v>
      </c>
      <c r="L283" s="274" t="n">
        <v>31</v>
      </c>
      <c r="M283" s="274" t="inlineStr">
        <is>
          <t>계단식</t>
        </is>
      </c>
      <c r="N283" s="274" t="n">
        <v>3</v>
      </c>
      <c r="O283" s="274" t="n">
        <v>2</v>
      </c>
      <c r="P283" s="274" t="n">
        <v>128</v>
      </c>
      <c r="Q283" s="274" t="n"/>
      <c r="R283" s="274" t="n"/>
      <c r="S283" s="274" t="n"/>
      <c r="T283" s="274" t="n"/>
      <c r="U283" s="274" t="n">
        <v>11.7</v>
      </c>
      <c r="V283" s="274" t="n">
        <v>11.2</v>
      </c>
      <c r="W283" s="274" t="n"/>
      <c r="X283" s="274" t="n"/>
      <c r="Y283" s="274" t="n"/>
      <c r="Z283" s="274" t="n"/>
      <c r="AA283" s="274" t="n"/>
      <c r="AB283" s="274" t="n"/>
      <c r="AC283" s="274" t="n"/>
      <c r="AD283" s="274" t="n"/>
      <c r="AE283" s="274" t="n"/>
      <c r="AF283" s="274" t="n"/>
      <c r="AG283" s="274" t="n"/>
      <c r="AH283" s="274" t="n"/>
      <c r="AI283" s="274" t="n"/>
      <c r="AJ283" s="274" t="n"/>
      <c r="AK283" s="274" t="n"/>
    </row>
    <row r="284">
      <c r="A284" s="274" t="inlineStr">
        <is>
          <t>염창동</t>
        </is>
      </c>
      <c r="B284" s="274" t="n"/>
      <c r="C284" s="274" t="n"/>
      <c r="D284" s="274" t="n">
        <v>25936</v>
      </c>
      <c r="E284" s="275" t="inlineStr">
        <is>
          <t>보람더하임1차(101~104동)</t>
        </is>
      </c>
      <c r="F284" s="274" t="n">
        <v>2008.01</v>
      </c>
      <c r="G284" s="274" t="n">
        <v>202</v>
      </c>
      <c r="H284" s="274">
        <f>2026-INT(F284)+1</f>
        <v/>
      </c>
      <c r="I284" s="274" t="n"/>
      <c r="J284" s="274" t="n">
        <v>136</v>
      </c>
      <c r="K284" s="274" t="n">
        <v>116</v>
      </c>
      <c r="L284" s="274" t="n">
        <v>41</v>
      </c>
      <c r="M284" s="274" t="inlineStr">
        <is>
          <t>계단식</t>
        </is>
      </c>
      <c r="N284" s="274" t="n">
        <v>4</v>
      </c>
      <c r="O284" s="274" t="n">
        <v>2</v>
      </c>
      <c r="P284" s="274" t="n">
        <v>58</v>
      </c>
      <c r="Q284" s="274" t="n"/>
      <c r="R284" s="274" t="n"/>
      <c r="S284" s="274" t="n"/>
      <c r="T284" s="274" t="n"/>
      <c r="U284" s="274" t="n"/>
      <c r="V284" s="274" t="n"/>
      <c r="W284" s="274" t="n"/>
      <c r="X284" s="274" t="n"/>
      <c r="Y284" s="274" t="n"/>
      <c r="Z284" s="274" t="n"/>
      <c r="AA284" s="274" t="n"/>
      <c r="AB284" s="274" t="n"/>
      <c r="AC284" s="274" t="n"/>
      <c r="AD284" s="274" t="n"/>
      <c r="AE284" s="274" t="n"/>
      <c r="AF284" s="274" t="n"/>
      <c r="AG284" s="274" t="n"/>
      <c r="AH284" s="274" t="n"/>
      <c r="AI284" s="274" t="n"/>
      <c r="AJ284" s="274" t="n"/>
      <c r="AK284" s="274" t="n"/>
    </row>
    <row r="285">
      <c r="A285" s="458" t="inlineStr">
        <is>
          <t>염창동</t>
        </is>
      </c>
      <c r="D285" s="458" t="n">
        <v>34</v>
      </c>
      <c r="E285" s="277" t="inlineStr">
        <is>
          <t>삼성관음</t>
        </is>
      </c>
      <c r="F285" s="458" t="n">
        <v>1997.08</v>
      </c>
      <c r="G285" s="458" t="n">
        <v>350</v>
      </c>
      <c r="H285" s="458">
        <f>2026-INT(F285)+1</f>
        <v/>
      </c>
      <c r="J285" s="458" t="n">
        <v>81</v>
      </c>
      <c r="K285" s="458" t="n">
        <v>59</v>
      </c>
      <c r="L285" s="458" t="n">
        <v>25</v>
      </c>
      <c r="M285" s="458" t="inlineStr">
        <is>
          <t>계단식</t>
        </is>
      </c>
      <c r="N285" s="458" t="n">
        <v>3</v>
      </c>
      <c r="O285" s="458" t="n">
        <v>1</v>
      </c>
      <c r="P285" s="458" t="n">
        <v>156</v>
      </c>
      <c r="U285" s="458" t="n">
        <v>8.94</v>
      </c>
      <c r="V285" s="458" t="n">
        <v>6.9</v>
      </c>
    </row>
    <row r="286">
      <c r="A286" s="458" t="inlineStr">
        <is>
          <t>염창동</t>
        </is>
      </c>
      <c r="D286" s="458" t="n">
        <v>34</v>
      </c>
      <c r="E286" s="277" t="inlineStr">
        <is>
          <t>삼성관음</t>
        </is>
      </c>
      <c r="F286" s="458" t="n">
        <v>1997.08</v>
      </c>
      <c r="G286" s="458" t="n">
        <v>350</v>
      </c>
      <c r="H286" s="458">
        <f>2026-INT(F286)+1</f>
        <v/>
      </c>
      <c r="J286" s="458" t="n">
        <v>108</v>
      </c>
      <c r="K286" s="458" t="n">
        <v>84</v>
      </c>
      <c r="L286" s="458" t="n">
        <v>33</v>
      </c>
      <c r="M286" s="458" t="inlineStr">
        <is>
          <t>계단식</t>
        </is>
      </c>
      <c r="N286" s="458" t="n">
        <v>3</v>
      </c>
      <c r="O286" s="458" t="n">
        <v>2</v>
      </c>
      <c r="P286" s="458" t="n">
        <v>155</v>
      </c>
      <c r="U286" s="458" t="n">
        <v>10.05</v>
      </c>
      <c r="V286" s="458" t="n">
        <v>8</v>
      </c>
    </row>
    <row r="287">
      <c r="A287" s="458" t="inlineStr">
        <is>
          <t>염창동</t>
        </is>
      </c>
      <c r="D287" s="458" t="n">
        <v>34</v>
      </c>
      <c r="E287" s="277" t="inlineStr">
        <is>
          <t>삼성관음</t>
        </is>
      </c>
      <c r="F287" s="458" t="n">
        <v>1997.08</v>
      </c>
      <c r="G287" s="458" t="n">
        <v>350</v>
      </c>
      <c r="H287" s="458">
        <f>2026-INT(F287)+1</f>
        <v/>
      </c>
      <c r="J287" s="458" t="n">
        <v>141</v>
      </c>
      <c r="K287" s="458" t="n">
        <v>114</v>
      </c>
      <c r="L287" s="458" t="n">
        <v>43</v>
      </c>
      <c r="M287" s="458" t="inlineStr">
        <is>
          <t>계단식</t>
        </is>
      </c>
      <c r="N287" s="458" t="n">
        <v>4</v>
      </c>
      <c r="O287" s="458" t="n">
        <v>2</v>
      </c>
      <c r="P287" s="458" t="n">
        <v>39</v>
      </c>
      <c r="U287" s="458" t="n">
        <v>11.5</v>
      </c>
      <c r="V287" s="458" t="n"/>
    </row>
    <row r="288">
      <c r="A288" s="276" t="inlineStr">
        <is>
          <t>염창동</t>
        </is>
      </c>
      <c r="B288" s="274" t="n"/>
      <c r="C288" s="274" t="n"/>
      <c r="D288" s="276" t="n">
        <v>3101</v>
      </c>
      <c r="E288" s="275" t="inlineStr">
        <is>
          <t>삼정그린코아</t>
        </is>
      </c>
      <c r="F288" s="276" t="n">
        <v>2001.05</v>
      </c>
      <c r="G288" s="276" t="n">
        <v>206</v>
      </c>
      <c r="H288" s="276">
        <f>2026-INT(F288)+1</f>
        <v/>
      </c>
      <c r="I288" s="274" t="n"/>
      <c r="J288" s="276" t="n">
        <v>80</v>
      </c>
      <c r="K288" s="276" t="n">
        <v>59</v>
      </c>
      <c r="L288" s="276" t="n">
        <v>24</v>
      </c>
      <c r="M288" s="276" t="inlineStr">
        <is>
          <t>계단식</t>
        </is>
      </c>
      <c r="N288" s="276" t="n">
        <v>3</v>
      </c>
      <c r="O288" s="276" t="n">
        <v>1</v>
      </c>
      <c r="P288" s="276" t="n">
        <v>12</v>
      </c>
      <c r="Q288" s="274" t="n"/>
      <c r="R288" s="274" t="n"/>
      <c r="S288" s="274" t="n"/>
      <c r="T288" s="274" t="n"/>
      <c r="U288" s="276" t="n">
        <v>9.699999999999999</v>
      </c>
      <c r="V288" s="276" t="n">
        <v>7</v>
      </c>
      <c r="W288" s="274" t="n"/>
      <c r="X288" s="274" t="n"/>
      <c r="Y288" s="274" t="n"/>
      <c r="Z288" s="274" t="n"/>
      <c r="AA288" s="274" t="n"/>
      <c r="AB288" s="274" t="n"/>
      <c r="AC288" s="274" t="n"/>
      <c r="AD288" s="274" t="n"/>
      <c r="AE288" s="274" t="n"/>
      <c r="AF288" s="274" t="n"/>
      <c r="AG288" s="274" t="n"/>
      <c r="AH288" s="274" t="n"/>
      <c r="AI288" s="274" t="n"/>
      <c r="AJ288" s="274" t="n"/>
      <c r="AK288" s="274" t="n"/>
    </row>
    <row r="289">
      <c r="A289" s="274" t="inlineStr">
        <is>
          <t>염창동</t>
        </is>
      </c>
      <c r="B289" s="274" t="n"/>
      <c r="C289" s="274" t="n"/>
      <c r="D289" s="274" t="n">
        <v>3101</v>
      </c>
      <c r="E289" s="275" t="inlineStr">
        <is>
          <t>삼정그린코아</t>
        </is>
      </c>
      <c r="F289" s="274" t="n">
        <v>2001.05</v>
      </c>
      <c r="G289" s="274" t="n">
        <v>206</v>
      </c>
      <c r="H289" s="274">
        <f>2026-INT(F289)+1</f>
        <v/>
      </c>
      <c r="I289" s="274" t="n"/>
      <c r="J289" s="274" t="n">
        <v>113</v>
      </c>
      <c r="K289" s="274" t="n">
        <v>84</v>
      </c>
      <c r="L289" s="274" t="n">
        <v>34</v>
      </c>
      <c r="M289" s="274" t="inlineStr">
        <is>
          <t>계단식</t>
        </is>
      </c>
      <c r="N289" s="274" t="n">
        <v>3</v>
      </c>
      <c r="O289" s="274" t="n">
        <v>2</v>
      </c>
      <c r="P289" s="274" t="n">
        <v>105</v>
      </c>
      <c r="Q289" s="274" t="n"/>
      <c r="R289" s="274" t="n"/>
      <c r="S289" s="274" t="n"/>
      <c r="T289" s="274" t="n"/>
      <c r="U289" s="274" t="n">
        <v>11.9</v>
      </c>
      <c r="V289" s="274" t="n">
        <v>10.2</v>
      </c>
      <c r="W289" s="274" t="n"/>
      <c r="X289" s="274" t="n"/>
      <c r="Y289" s="274" t="n"/>
      <c r="Z289" s="274" t="n"/>
      <c r="AA289" s="274" t="n"/>
      <c r="AB289" s="274" t="n"/>
      <c r="AC289" s="274" t="n"/>
      <c r="AD289" s="274" t="n"/>
      <c r="AE289" s="274" t="n"/>
      <c r="AF289" s="274" t="n"/>
      <c r="AG289" s="274" t="n"/>
      <c r="AH289" s="274" t="n"/>
      <c r="AI289" s="274" t="n"/>
      <c r="AJ289" s="274" t="n"/>
      <c r="AK289" s="274" t="n"/>
    </row>
    <row r="290">
      <c r="A290" s="274" t="inlineStr">
        <is>
          <t>염창동</t>
        </is>
      </c>
      <c r="B290" s="274" t="n"/>
      <c r="C290" s="274" t="n"/>
      <c r="D290" s="274" t="n">
        <v>3101</v>
      </c>
      <c r="E290" s="275" t="inlineStr">
        <is>
          <t>삼정그린코아</t>
        </is>
      </c>
      <c r="F290" s="274" t="n">
        <v>2001.05</v>
      </c>
      <c r="G290" s="274" t="n">
        <v>206</v>
      </c>
      <c r="H290" s="274">
        <f>2026-INT(F290)+1</f>
        <v/>
      </c>
      <c r="I290" s="274" t="n"/>
      <c r="J290" s="274" t="n">
        <v>145</v>
      </c>
      <c r="K290" s="274" t="n">
        <v>108</v>
      </c>
      <c r="L290" s="274" t="n">
        <v>44</v>
      </c>
      <c r="M290" s="274" t="inlineStr">
        <is>
          <t>계단식</t>
        </is>
      </c>
      <c r="N290" s="274" t="n">
        <v>4</v>
      </c>
      <c r="O290" s="274" t="n">
        <v>2</v>
      </c>
      <c r="P290" s="274" t="n">
        <v>58</v>
      </c>
      <c r="Q290" s="274" t="n"/>
      <c r="R290" s="274" t="n"/>
      <c r="S290" s="274" t="n"/>
      <c r="T290" s="274" t="n"/>
      <c r="U290" s="274" t="n"/>
      <c r="V290" s="274" t="n"/>
      <c r="W290" s="274" t="n"/>
      <c r="X290" s="274" t="n"/>
      <c r="Y290" s="274" t="n"/>
      <c r="Z290" s="274" t="n"/>
      <c r="AA290" s="274" t="n"/>
      <c r="AB290" s="274" t="n"/>
      <c r="AC290" s="274" t="n"/>
      <c r="AD290" s="274" t="n"/>
      <c r="AE290" s="274" t="n"/>
      <c r="AF290" s="274" t="n"/>
      <c r="AG290" s="274" t="n"/>
      <c r="AH290" s="274" t="n"/>
      <c r="AI290" s="274" t="n"/>
      <c r="AJ290" s="274" t="n"/>
      <c r="AK290" s="274" t="n"/>
    </row>
    <row r="291">
      <c r="A291" s="276" t="inlineStr">
        <is>
          <t>염창동</t>
        </is>
      </c>
      <c r="B291" s="274" t="n"/>
      <c r="C291" s="274" t="n"/>
      <c r="D291" s="276" t="n">
        <v>3101</v>
      </c>
      <c r="E291" s="275" t="inlineStr">
        <is>
          <t>삼정그린코아</t>
        </is>
      </c>
      <c r="F291" s="276" t="n">
        <v>2001.05</v>
      </c>
      <c r="G291" s="276" t="n">
        <v>206</v>
      </c>
      <c r="H291" s="276">
        <f>2026-INT(F291)+1</f>
        <v/>
      </c>
      <c r="I291" s="274" t="n"/>
      <c r="J291" s="276" t="n">
        <v>153</v>
      </c>
      <c r="K291" s="276" t="n">
        <v>113</v>
      </c>
      <c r="L291" s="276" t="n">
        <v>46</v>
      </c>
      <c r="M291" s="276" t="inlineStr">
        <is>
          <t>계단식</t>
        </is>
      </c>
      <c r="N291" s="276" t="n">
        <v>4</v>
      </c>
      <c r="O291" s="276" t="n">
        <v>2</v>
      </c>
      <c r="P291" s="276" t="n">
        <v>1</v>
      </c>
      <c r="Q291" s="274" t="n"/>
      <c r="R291" s="274" t="n"/>
      <c r="S291" s="274" t="n"/>
      <c r="T291" s="274" t="n"/>
      <c r="U291" s="276" t="n"/>
      <c r="V291" s="276" t="n"/>
      <c r="W291" s="274" t="n"/>
      <c r="X291" s="274" t="n"/>
      <c r="Y291" s="274" t="n"/>
      <c r="Z291" s="274" t="n"/>
      <c r="AA291" s="274" t="n"/>
      <c r="AB291" s="274" t="n"/>
      <c r="AC291" s="274" t="n"/>
      <c r="AD291" s="274" t="n"/>
      <c r="AE291" s="274" t="n"/>
      <c r="AF291" s="274" t="n"/>
      <c r="AG291" s="274" t="n"/>
      <c r="AH291" s="274" t="n"/>
      <c r="AI291" s="274" t="n"/>
      <c r="AJ291" s="274" t="n"/>
      <c r="AK291" s="274" t="n"/>
    </row>
    <row r="292">
      <c r="A292" s="276" t="inlineStr">
        <is>
          <t>염창동</t>
        </is>
      </c>
      <c r="B292" s="274" t="n"/>
      <c r="C292" s="274" t="n"/>
      <c r="D292" s="276" t="n">
        <v>3101</v>
      </c>
      <c r="E292" s="275" t="inlineStr">
        <is>
          <t>삼정그린코아</t>
        </is>
      </c>
      <c r="F292" s="276" t="n">
        <v>2001.05</v>
      </c>
      <c r="G292" s="276" t="n">
        <v>206</v>
      </c>
      <c r="H292" s="276">
        <f>2026-INT(F292)+1</f>
        <v/>
      </c>
      <c r="I292" s="274" t="n"/>
      <c r="J292" s="276" t="n">
        <v>154</v>
      </c>
      <c r="K292" s="276" t="n">
        <v>114</v>
      </c>
      <c r="L292" s="276" t="n">
        <v>47</v>
      </c>
      <c r="M292" s="276" t="inlineStr">
        <is>
          <t>계단식</t>
        </is>
      </c>
      <c r="N292" s="276" t="n">
        <v>4</v>
      </c>
      <c r="O292" s="276" t="n">
        <v>2</v>
      </c>
      <c r="P292" s="276" t="n">
        <v>15</v>
      </c>
      <c r="Q292" s="274" t="n"/>
      <c r="R292" s="274" t="n"/>
      <c r="S292" s="274" t="n"/>
      <c r="T292" s="274" t="n"/>
      <c r="U292" s="276" t="n">
        <v>12.6</v>
      </c>
      <c r="V292" s="276" t="n"/>
      <c r="W292" s="274" t="n"/>
      <c r="X292" s="274" t="n"/>
      <c r="Y292" s="274" t="n"/>
      <c r="Z292" s="274" t="n"/>
      <c r="AA292" s="274" t="n"/>
      <c r="AB292" s="274" t="n"/>
      <c r="AC292" s="274" t="n"/>
      <c r="AD292" s="274" t="n"/>
      <c r="AE292" s="274" t="n"/>
      <c r="AF292" s="274" t="n"/>
      <c r="AG292" s="274" t="n"/>
      <c r="AH292" s="274" t="n"/>
      <c r="AI292" s="274" t="n"/>
      <c r="AJ292" s="274" t="n"/>
      <c r="AK292" s="274" t="n"/>
    </row>
    <row r="293">
      <c r="A293" s="276" t="inlineStr">
        <is>
          <t>염창동</t>
        </is>
      </c>
      <c r="B293" s="274" t="n"/>
      <c r="C293" s="274" t="n"/>
      <c r="D293" s="276" t="n">
        <v>3101</v>
      </c>
      <c r="E293" s="275" t="inlineStr">
        <is>
          <t>삼정그린코아</t>
        </is>
      </c>
      <c r="F293" s="276" t="n">
        <v>2001.05</v>
      </c>
      <c r="G293" s="276" t="n">
        <v>206</v>
      </c>
      <c r="H293" s="276">
        <f>2026-INT(F293)+1</f>
        <v/>
      </c>
      <c r="I293" s="274" t="n"/>
      <c r="J293" s="276" t="n">
        <v>168</v>
      </c>
      <c r="K293" s="276" t="n">
        <v>126</v>
      </c>
      <c r="L293" s="276" t="n">
        <v>51</v>
      </c>
      <c r="M293" s="276" t="inlineStr">
        <is>
          <t>계단식</t>
        </is>
      </c>
      <c r="N293" s="276" t="n">
        <v>4</v>
      </c>
      <c r="O293" s="276" t="n">
        <v>2</v>
      </c>
      <c r="P293" s="276" t="n">
        <v>15</v>
      </c>
      <c r="Q293" s="274" t="n"/>
      <c r="R293" s="274" t="n"/>
      <c r="S293" s="274" t="n"/>
      <c r="T293" s="274" t="n"/>
      <c r="U293" s="274" t="n"/>
      <c r="V293" s="276" t="n"/>
      <c r="W293" s="274" t="n"/>
      <c r="X293" s="274" t="n"/>
      <c r="Y293" s="274" t="n"/>
      <c r="Z293" s="274" t="n"/>
      <c r="AA293" s="274" t="n"/>
      <c r="AB293" s="274" t="n"/>
      <c r="AC293" s="274" t="n"/>
      <c r="AD293" s="274" t="n"/>
      <c r="AE293" s="274" t="n"/>
      <c r="AF293" s="274" t="n"/>
      <c r="AG293" s="274" t="n"/>
      <c r="AH293" s="274" t="n"/>
      <c r="AI293" s="274" t="n"/>
      <c r="AJ293" s="274" t="n"/>
      <c r="AK293" s="274" t="n"/>
    </row>
    <row r="294">
      <c r="A294" s="458" t="inlineStr">
        <is>
          <t>염창동</t>
        </is>
      </c>
      <c r="D294" s="458" t="n">
        <v>37</v>
      </c>
      <c r="E294" s="277" t="inlineStr">
        <is>
          <t>신동아</t>
        </is>
      </c>
      <c r="F294" s="458" t="n">
        <v>1995.12</v>
      </c>
      <c r="G294" s="458" t="n">
        <v>348</v>
      </c>
      <c r="H294" s="458">
        <f>2026-INT(F294)+1</f>
        <v/>
      </c>
      <c r="J294" s="458" t="n">
        <v>80</v>
      </c>
      <c r="K294" s="458" t="n">
        <v>59</v>
      </c>
      <c r="L294" s="458" t="n">
        <v>24</v>
      </c>
      <c r="M294" s="458" t="inlineStr">
        <is>
          <t>복도식</t>
        </is>
      </c>
      <c r="N294" s="458" t="n">
        <v>2</v>
      </c>
      <c r="O294" s="458" t="n">
        <v>1</v>
      </c>
      <c r="P294" s="458" t="n">
        <v>176</v>
      </c>
      <c r="U294" s="458" t="n">
        <v>8.23</v>
      </c>
      <c r="V294" s="458" t="n">
        <v>5.55</v>
      </c>
    </row>
    <row r="295">
      <c r="A295" s="458" t="inlineStr">
        <is>
          <t>염창동</t>
        </is>
      </c>
      <c r="D295" s="458" t="n">
        <v>37</v>
      </c>
      <c r="E295" s="277" t="inlineStr">
        <is>
          <t>신동아</t>
        </is>
      </c>
      <c r="F295" s="458" t="n">
        <v>1995.12</v>
      </c>
      <c r="G295" s="458" t="n">
        <v>348</v>
      </c>
      <c r="H295" s="458">
        <f>2026-INT(F295)+1</f>
        <v/>
      </c>
      <c r="J295" s="458" t="n">
        <v>103</v>
      </c>
      <c r="K295" s="458" t="n">
        <v>84</v>
      </c>
      <c r="L295" s="458" t="n">
        <v>31</v>
      </c>
      <c r="M295" s="458" t="inlineStr">
        <is>
          <t>계단식</t>
        </is>
      </c>
      <c r="N295" s="458" t="n">
        <v>3</v>
      </c>
      <c r="O295" s="458" t="n">
        <v>2</v>
      </c>
      <c r="P295" s="458" t="n">
        <v>172</v>
      </c>
      <c r="U295" s="458" t="n">
        <v>10.2</v>
      </c>
      <c r="V295" s="458" t="n">
        <v>7.7</v>
      </c>
    </row>
    <row r="296">
      <c r="A296" s="274" t="inlineStr">
        <is>
          <t>염창동</t>
        </is>
      </c>
      <c r="B296" s="274" t="n"/>
      <c r="C296" s="274" t="n"/>
      <c r="D296" s="274" t="n">
        <v>869</v>
      </c>
      <c r="E296" s="275" t="inlineStr">
        <is>
          <t>염창동아1차</t>
        </is>
      </c>
      <c r="F296" s="274" t="n">
        <v>1998.06</v>
      </c>
      <c r="G296" s="274" t="n">
        <v>778</v>
      </c>
      <c r="H296" s="274">
        <f>2026-INT(F296)+1</f>
        <v/>
      </c>
      <c r="I296" s="274" t="n"/>
      <c r="J296" s="274" t="n">
        <v>85</v>
      </c>
      <c r="K296" s="274" t="n">
        <v>59</v>
      </c>
      <c r="L296" s="274" t="n">
        <v>26</v>
      </c>
      <c r="M296" s="274" t="inlineStr">
        <is>
          <t>복도식</t>
        </is>
      </c>
      <c r="N296" s="274" t="n">
        <v>3</v>
      </c>
      <c r="O296" s="274" t="n">
        <v>1</v>
      </c>
      <c r="P296" s="274" t="n">
        <v>319</v>
      </c>
      <c r="Q296" s="274" t="n"/>
      <c r="R296" s="274" t="n"/>
      <c r="S296" s="274" t="n"/>
      <c r="T296" s="274" t="n"/>
      <c r="U296" s="274" t="n">
        <v>8.6</v>
      </c>
      <c r="V296" s="274" t="n">
        <v>6</v>
      </c>
      <c r="W296" s="274" t="n"/>
      <c r="X296" s="274" t="n"/>
      <c r="Y296" s="274" t="n"/>
      <c r="Z296" s="274" t="n"/>
      <c r="AA296" s="274" t="n"/>
      <c r="AB296" s="274" t="n"/>
      <c r="AC296" s="274" t="n"/>
      <c r="AD296" s="274" t="n"/>
      <c r="AE296" s="274" t="n"/>
      <c r="AF296" s="274" t="n"/>
      <c r="AG296" s="274" t="n"/>
      <c r="AH296" s="274" t="n"/>
      <c r="AI296" s="274" t="n"/>
      <c r="AJ296" s="274" t="n"/>
      <c r="AK296" s="274" t="n"/>
    </row>
    <row r="297">
      <c r="A297" s="274" t="inlineStr">
        <is>
          <t>염창동</t>
        </is>
      </c>
      <c r="B297" s="274" t="n"/>
      <c r="C297" s="274" t="n"/>
      <c r="D297" s="274" t="n">
        <v>869</v>
      </c>
      <c r="E297" s="275" t="inlineStr">
        <is>
          <t>염창동아1차</t>
        </is>
      </c>
      <c r="F297" s="274" t="n">
        <v>1998.06</v>
      </c>
      <c r="G297" s="274" t="n">
        <v>778</v>
      </c>
      <c r="H297" s="274">
        <f>2026-INT(F297)+1</f>
        <v/>
      </c>
      <c r="I297" s="274" t="n"/>
      <c r="J297" s="274" t="n">
        <v>106</v>
      </c>
      <c r="K297" s="274" t="n">
        <v>84</v>
      </c>
      <c r="L297" s="274" t="n">
        <v>32</v>
      </c>
      <c r="M297" s="274" t="inlineStr">
        <is>
          <t>계단식</t>
        </is>
      </c>
      <c r="N297" s="274" t="n">
        <v>3</v>
      </c>
      <c r="O297" s="274" t="n">
        <v>2</v>
      </c>
      <c r="P297" s="274" t="n">
        <v>268</v>
      </c>
      <c r="Q297" s="274" t="n"/>
      <c r="R297" s="274" t="n"/>
      <c r="S297" s="274" t="n"/>
      <c r="T297" s="274" t="n"/>
      <c r="U297" s="274" t="n">
        <v>11.5</v>
      </c>
      <c r="V297" s="274" t="n">
        <v>8.300000000000001</v>
      </c>
      <c r="W297" s="274" t="n"/>
      <c r="X297" s="274" t="n"/>
      <c r="Y297" s="274" t="n"/>
      <c r="Z297" s="274" t="n"/>
      <c r="AA297" s="274" t="n"/>
      <c r="AB297" s="274" t="n"/>
      <c r="AC297" s="274" t="n"/>
      <c r="AD297" s="274" t="n"/>
      <c r="AE297" s="274" t="n"/>
      <c r="AF297" s="274" t="n"/>
      <c r="AG297" s="274" t="n"/>
      <c r="AH297" s="274" t="n"/>
      <c r="AI297" s="274" t="n"/>
      <c r="AJ297" s="274" t="n"/>
      <c r="AK297" s="274" t="n"/>
    </row>
    <row r="298">
      <c r="A298" s="276" t="inlineStr">
        <is>
          <t>염창동</t>
        </is>
      </c>
      <c r="B298" s="274" t="n"/>
      <c r="C298" s="274" t="n"/>
      <c r="D298" s="276" t="n">
        <v>869</v>
      </c>
      <c r="E298" s="275" t="inlineStr">
        <is>
          <t>염창동아1차</t>
        </is>
      </c>
      <c r="F298" s="276" t="n">
        <v>1998.06</v>
      </c>
      <c r="G298" s="276" t="n">
        <v>778</v>
      </c>
      <c r="H298" s="276">
        <f>2026-INT(F298)+1</f>
        <v/>
      </c>
      <c r="I298" s="274" t="n"/>
      <c r="J298" s="276" t="n">
        <v>144</v>
      </c>
      <c r="K298" s="276" t="n">
        <v>114</v>
      </c>
      <c r="L298" s="276" t="n">
        <v>44</v>
      </c>
      <c r="M298" s="276" t="inlineStr">
        <is>
          <t>계단식</t>
        </is>
      </c>
      <c r="N298" s="276" t="n">
        <v>4</v>
      </c>
      <c r="O298" s="276" t="n">
        <v>2</v>
      </c>
      <c r="P298" s="276" t="n">
        <v>191</v>
      </c>
      <c r="Q298" s="274" t="n"/>
      <c r="R298" s="274" t="n"/>
      <c r="S298" s="274" t="n"/>
      <c r="T298" s="274" t="n"/>
      <c r="U298" s="274" t="n">
        <v>10.5</v>
      </c>
      <c r="V298" s="274" t="n">
        <v>9.1</v>
      </c>
      <c r="W298" s="274" t="n"/>
      <c r="X298" s="274" t="n"/>
      <c r="Y298" s="274" t="n"/>
      <c r="Z298" s="274" t="n"/>
      <c r="AA298" s="274" t="n"/>
      <c r="AB298" s="274" t="n"/>
      <c r="AC298" s="274" t="n"/>
      <c r="AD298" s="274" t="n"/>
      <c r="AE298" s="274" t="n"/>
      <c r="AF298" s="274" t="n"/>
      <c r="AG298" s="274" t="n"/>
      <c r="AH298" s="274" t="n"/>
      <c r="AI298" s="274" t="n"/>
      <c r="AJ298" s="274" t="n"/>
      <c r="AK298" s="274" t="n"/>
    </row>
    <row r="299">
      <c r="A299" s="458" t="inlineStr">
        <is>
          <t>염창동</t>
        </is>
      </c>
      <c r="D299" s="458" t="n">
        <v>870</v>
      </c>
      <c r="E299" s="277" t="inlineStr">
        <is>
          <t>염창동아3차</t>
        </is>
      </c>
      <c r="F299" s="458" t="n">
        <v>1999.01</v>
      </c>
      <c r="G299" s="458" t="n">
        <v>570</v>
      </c>
      <c r="H299" s="458">
        <f>2026-INT(F299)+1</f>
        <v/>
      </c>
      <c r="J299" s="458" t="n">
        <v>78</v>
      </c>
      <c r="K299" s="458" t="n">
        <v>59</v>
      </c>
      <c r="L299" s="458" t="n">
        <v>24</v>
      </c>
      <c r="M299" s="458" t="inlineStr">
        <is>
          <t>복도식</t>
        </is>
      </c>
      <c r="N299" s="458" t="n">
        <v>3</v>
      </c>
      <c r="O299" s="458" t="n">
        <v>1</v>
      </c>
      <c r="P299" s="458" t="n">
        <v>154</v>
      </c>
      <c r="U299" s="458" t="n">
        <v>10.5</v>
      </c>
      <c r="V299" s="458" t="n">
        <v>6</v>
      </c>
    </row>
    <row r="300">
      <c r="A300" s="458" t="inlineStr">
        <is>
          <t>염창동</t>
        </is>
      </c>
      <c r="D300" s="458" t="n">
        <v>870</v>
      </c>
      <c r="E300" s="277" t="inlineStr">
        <is>
          <t>염창동아3차</t>
        </is>
      </c>
      <c r="F300" s="458" t="n">
        <v>1999.01</v>
      </c>
      <c r="G300" s="458" t="n">
        <v>570</v>
      </c>
      <c r="H300" s="458">
        <f>2026-INT(F300)+1</f>
        <v/>
      </c>
      <c r="J300" s="458" t="n">
        <v>78</v>
      </c>
      <c r="K300" s="458" t="n">
        <v>59</v>
      </c>
      <c r="L300" s="458" t="n">
        <v>24</v>
      </c>
      <c r="M300" s="458" t="inlineStr">
        <is>
          <t>계단식</t>
        </is>
      </c>
      <c r="N300" s="458" t="n">
        <v>3</v>
      </c>
      <c r="O300" s="458" t="n">
        <v>1</v>
      </c>
      <c r="P300" s="458" t="n">
        <v>131</v>
      </c>
      <c r="U300" s="458" t="n">
        <v>10.5</v>
      </c>
      <c r="V300" s="458" t="n">
        <v>6</v>
      </c>
    </row>
    <row r="301">
      <c r="A301" s="458" t="inlineStr">
        <is>
          <t>염창동</t>
        </is>
      </c>
      <c r="D301" s="458" t="n">
        <v>870</v>
      </c>
      <c r="E301" s="277" t="inlineStr">
        <is>
          <t>염창동아3차</t>
        </is>
      </c>
      <c r="F301" s="458" t="n">
        <v>1999.01</v>
      </c>
      <c r="G301" s="458" t="n">
        <v>570</v>
      </c>
      <c r="H301" s="458">
        <f>2026-INT(F301)+1</f>
        <v/>
      </c>
      <c r="J301" s="458" t="n">
        <v>111</v>
      </c>
      <c r="K301" s="458" t="n">
        <v>84</v>
      </c>
      <c r="L301" s="458" t="n">
        <v>34</v>
      </c>
      <c r="M301" s="458" t="inlineStr">
        <is>
          <t>계단식</t>
        </is>
      </c>
      <c r="N301" s="458" t="n">
        <v>3</v>
      </c>
      <c r="O301" s="458" t="n">
        <v>2</v>
      </c>
      <c r="P301" s="458" t="n">
        <v>285</v>
      </c>
      <c r="U301" s="458" t="n">
        <v>12.7</v>
      </c>
      <c r="V301" s="458" t="n">
        <v>7.5</v>
      </c>
    </row>
    <row r="302">
      <c r="A302" s="274" t="inlineStr">
        <is>
          <t>염창동</t>
        </is>
      </c>
      <c r="B302" s="274" t="n"/>
      <c r="C302" s="274" t="n"/>
      <c r="D302" s="274" t="n">
        <v>12844</v>
      </c>
      <c r="E302" s="275" t="inlineStr">
        <is>
          <t>염창롯데캐슬</t>
        </is>
      </c>
      <c r="F302" s="274" t="n">
        <v>2005.03</v>
      </c>
      <c r="G302" s="274" t="n">
        <v>284</v>
      </c>
      <c r="H302" s="274">
        <f>2026-INT(F302)+1</f>
        <v/>
      </c>
      <c r="I302" s="274" t="n"/>
      <c r="J302" s="274" t="n">
        <v>112</v>
      </c>
      <c r="K302" s="274" t="n">
        <v>84</v>
      </c>
      <c r="L302" s="274" t="n">
        <v>34</v>
      </c>
      <c r="M302" s="274" t="inlineStr">
        <is>
          <t>계단식</t>
        </is>
      </c>
      <c r="N302" s="274" t="n">
        <v>3</v>
      </c>
      <c r="O302" s="274" t="n">
        <v>2</v>
      </c>
      <c r="P302" s="274" t="n">
        <v>173</v>
      </c>
      <c r="Q302" s="274" t="n"/>
      <c r="R302" s="274" t="n"/>
      <c r="S302" s="274" t="n"/>
      <c r="T302" s="274" t="n"/>
      <c r="U302" s="274" t="n">
        <v>13.9</v>
      </c>
      <c r="V302" s="274" t="n">
        <v>12.3</v>
      </c>
      <c r="W302" s="274" t="n"/>
      <c r="X302" s="274" t="n"/>
      <c r="Y302" s="274" t="n"/>
      <c r="Z302" s="274" t="n"/>
      <c r="AA302" s="274" t="n"/>
      <c r="AB302" s="274" t="n"/>
      <c r="AC302" s="274" t="n"/>
      <c r="AD302" s="274" t="n"/>
      <c r="AE302" s="274" t="n"/>
      <c r="AF302" s="274" t="n"/>
      <c r="AG302" s="274" t="n"/>
      <c r="AH302" s="274" t="n"/>
      <c r="AI302" s="274" t="n"/>
      <c r="AJ302" s="274" t="n"/>
      <c r="AK302" s="274" t="n"/>
    </row>
    <row r="303">
      <c r="A303" s="274" t="inlineStr">
        <is>
          <t>염창동</t>
        </is>
      </c>
      <c r="B303" s="274" t="n"/>
      <c r="C303" s="274" t="n"/>
      <c r="D303" s="274" t="n">
        <v>12844</v>
      </c>
      <c r="E303" s="275" t="inlineStr">
        <is>
          <t>염창롯데캐슬</t>
        </is>
      </c>
      <c r="F303" s="274" t="n">
        <v>2005.03</v>
      </c>
      <c r="G303" s="274" t="n">
        <v>284</v>
      </c>
      <c r="H303" s="274">
        <f>2026-INT(F303)+1</f>
        <v/>
      </c>
      <c r="I303" s="274" t="n"/>
      <c r="J303" s="274" t="n">
        <v>163</v>
      </c>
      <c r="K303" s="274" t="n">
        <v>134</v>
      </c>
      <c r="L303" s="274" t="n">
        <v>49</v>
      </c>
      <c r="M303" s="274" t="inlineStr">
        <is>
          <t>계단식</t>
        </is>
      </c>
      <c r="N303" s="274" t="n">
        <v>4</v>
      </c>
      <c r="O303" s="274" t="n">
        <v>2</v>
      </c>
      <c r="P303" s="274" t="n">
        <v>111</v>
      </c>
      <c r="Q303" s="274" t="n"/>
      <c r="R303" s="274" t="n"/>
      <c r="S303" s="274" t="n"/>
      <c r="T303" s="274" t="n"/>
      <c r="U303" s="274" t="n">
        <v>15.87</v>
      </c>
      <c r="V303" s="274" t="n">
        <v>14.15</v>
      </c>
      <c r="W303" s="274" t="n"/>
      <c r="X303" s="274" t="n"/>
      <c r="Y303" s="274" t="n"/>
      <c r="Z303" s="274" t="n"/>
      <c r="AA303" s="274" t="n"/>
      <c r="AB303" s="274" t="n"/>
      <c r="AC303" s="274" t="n"/>
      <c r="AD303" s="274" t="n"/>
      <c r="AE303" s="274" t="n"/>
      <c r="AF303" s="274" t="n"/>
      <c r="AG303" s="274" t="n"/>
      <c r="AH303" s="274" t="n"/>
      <c r="AI303" s="274" t="n"/>
      <c r="AJ303" s="274" t="n"/>
      <c r="AK303" s="274" t="n"/>
    </row>
    <row r="304">
      <c r="A304" s="458" t="inlineStr">
        <is>
          <t>염창동</t>
        </is>
      </c>
      <c r="D304" s="458" t="n">
        <v>38</v>
      </c>
      <c r="E304" s="277" t="inlineStr">
        <is>
          <t>염창우성1차</t>
        </is>
      </c>
      <c r="F304" s="458" t="n">
        <v>1990.11</v>
      </c>
      <c r="G304" s="458" t="n">
        <v>339</v>
      </c>
      <c r="H304" s="458">
        <f>2026-INT(F304)+1</f>
        <v/>
      </c>
      <c r="J304" s="458" t="n">
        <v>90</v>
      </c>
      <c r="K304" s="458" t="n">
        <v>65</v>
      </c>
      <c r="L304" s="458" t="n">
        <v>27</v>
      </c>
      <c r="M304" s="458" t="inlineStr">
        <is>
          <t>복도식</t>
        </is>
      </c>
      <c r="N304" s="458" t="n">
        <v>3</v>
      </c>
      <c r="O304" s="458" t="n">
        <v>1</v>
      </c>
      <c r="P304" s="458" t="n">
        <v>159</v>
      </c>
      <c r="U304" s="458" t="n">
        <v>8.5</v>
      </c>
      <c r="V304" s="458" t="n">
        <v>6.4</v>
      </c>
    </row>
    <row r="305">
      <c r="A305" s="458" t="inlineStr">
        <is>
          <t>염창동</t>
        </is>
      </c>
      <c r="D305" s="458" t="n">
        <v>38</v>
      </c>
      <c r="E305" s="277" t="inlineStr">
        <is>
          <t>염창우성1차</t>
        </is>
      </c>
      <c r="F305" s="458" t="n">
        <v>1990.11</v>
      </c>
      <c r="G305" s="458" t="n">
        <v>339</v>
      </c>
      <c r="H305" s="458">
        <f>2026-INT(F305)+1</f>
        <v/>
      </c>
      <c r="J305" s="458" t="n">
        <v>101</v>
      </c>
      <c r="K305" s="458" t="n">
        <v>84</v>
      </c>
      <c r="L305" s="458" t="n">
        <v>31</v>
      </c>
      <c r="M305" s="458" t="inlineStr">
        <is>
          <t>계단식</t>
        </is>
      </c>
      <c r="N305" s="458" t="n">
        <v>3</v>
      </c>
      <c r="O305" s="458" t="n">
        <v>2</v>
      </c>
      <c r="P305" s="458" t="n">
        <v>22</v>
      </c>
      <c r="U305" s="458" t="n">
        <v>10.5</v>
      </c>
      <c r="V305" s="458" t="n">
        <v>7.2</v>
      </c>
    </row>
    <row r="306">
      <c r="A306" s="458" t="inlineStr">
        <is>
          <t>염창동</t>
        </is>
      </c>
      <c r="D306" s="458" t="n">
        <v>38</v>
      </c>
      <c r="E306" s="277" t="inlineStr">
        <is>
          <t>염창우성1차</t>
        </is>
      </c>
      <c r="F306" s="458" t="n">
        <v>1990.11</v>
      </c>
      <c r="G306" s="458" t="n">
        <v>339</v>
      </c>
      <c r="H306" s="458">
        <f>2026-INT(F306)+1</f>
        <v/>
      </c>
      <c r="J306" s="458" t="n">
        <v>104</v>
      </c>
      <c r="K306" s="458" t="n">
        <v>84</v>
      </c>
      <c r="L306" s="458" t="n">
        <v>31</v>
      </c>
      <c r="M306" s="458" t="inlineStr">
        <is>
          <t>계단식</t>
        </is>
      </c>
      <c r="N306" s="458" t="n">
        <v>3</v>
      </c>
      <c r="O306" s="458" t="n">
        <v>1</v>
      </c>
      <c r="P306" s="458" t="n">
        <v>158</v>
      </c>
      <c r="U306" s="458" t="n">
        <v>10.5</v>
      </c>
      <c r="V306" s="458" t="n">
        <v>7.2</v>
      </c>
    </row>
    <row r="307">
      <c r="A307" s="274" t="inlineStr">
        <is>
          <t>염창동</t>
        </is>
      </c>
      <c r="B307" s="274" t="n"/>
      <c r="C307" s="274" t="n"/>
      <c r="D307" s="274" t="n">
        <v>11565</v>
      </c>
      <c r="E307" s="275" t="inlineStr">
        <is>
          <t>염창한화꿈에그린1차</t>
        </is>
      </c>
      <c r="F307" s="274" t="n">
        <v>2005.04</v>
      </c>
      <c r="G307" s="274" t="n">
        <v>422</v>
      </c>
      <c r="H307" s="274">
        <f>2026-INT(F307)+1</f>
        <v/>
      </c>
      <c r="I307" s="274" t="n"/>
      <c r="J307" s="274" t="n">
        <v>85</v>
      </c>
      <c r="K307" s="274" t="n">
        <v>59</v>
      </c>
      <c r="L307" s="274" t="n">
        <v>26</v>
      </c>
      <c r="M307" s="274" t="inlineStr">
        <is>
          <t>계단식</t>
        </is>
      </c>
      <c r="N307" s="274" t="n">
        <v>3</v>
      </c>
      <c r="O307" s="274" t="n">
        <v>2</v>
      </c>
      <c r="P307" s="274" t="n">
        <v>116</v>
      </c>
      <c r="Q307" s="274" t="n"/>
      <c r="R307" s="274" t="n"/>
      <c r="S307" s="274" t="n"/>
      <c r="T307" s="274" t="n"/>
      <c r="U307" s="274" t="n">
        <v>12.3</v>
      </c>
      <c r="V307" s="274" t="n">
        <v>9.9</v>
      </c>
      <c r="W307" s="274" t="n"/>
      <c r="X307" s="274" t="n"/>
      <c r="Y307" s="274" t="n"/>
      <c r="Z307" s="274" t="n"/>
      <c r="AA307" s="274" t="n"/>
      <c r="AB307" s="274" t="n"/>
      <c r="AC307" s="274" t="n"/>
      <c r="AD307" s="274" t="n"/>
      <c r="AE307" s="274" t="n"/>
      <c r="AF307" s="274" t="n"/>
      <c r="AG307" s="274" t="n"/>
      <c r="AH307" s="274" t="n"/>
      <c r="AI307" s="274" t="n"/>
      <c r="AJ307" s="274" t="n"/>
      <c r="AK307" s="274" t="n"/>
    </row>
    <row r="308">
      <c r="A308" s="274" t="inlineStr">
        <is>
          <t>염창동</t>
        </is>
      </c>
      <c r="B308" s="274" t="n"/>
      <c r="C308" s="274" t="n"/>
      <c r="D308" s="274" t="n">
        <v>11565</v>
      </c>
      <c r="E308" s="275" t="inlineStr">
        <is>
          <t>염창한화꿈에그린1차</t>
        </is>
      </c>
      <c r="F308" s="274" t="n">
        <v>2005.04</v>
      </c>
      <c r="G308" s="274" t="n">
        <v>422</v>
      </c>
      <c r="H308" s="274">
        <f>2026-INT(F308)+1</f>
        <v/>
      </c>
      <c r="I308" s="274" t="n"/>
      <c r="J308" s="274" t="n">
        <v>93</v>
      </c>
      <c r="K308" s="274" t="n">
        <v>67</v>
      </c>
      <c r="L308" s="274" t="n">
        <v>28</v>
      </c>
      <c r="M308" s="274" t="inlineStr">
        <is>
          <t>계단식</t>
        </is>
      </c>
      <c r="N308" s="274" t="n">
        <v>3</v>
      </c>
      <c r="O308" s="274" t="n">
        <v>2</v>
      </c>
      <c r="P308" s="274" t="n">
        <v>32</v>
      </c>
      <c r="Q308" s="274" t="n"/>
      <c r="R308" s="274" t="n"/>
      <c r="S308" s="274" t="n"/>
      <c r="T308" s="274" t="n"/>
      <c r="U308" s="274" t="n"/>
      <c r="V308" s="274" t="n">
        <v>10.8</v>
      </c>
      <c r="W308" s="274" t="n"/>
      <c r="X308" s="274" t="n"/>
      <c r="Y308" s="274" t="n"/>
      <c r="Z308" s="274" t="n"/>
      <c r="AA308" s="274" t="n"/>
      <c r="AB308" s="274" t="n"/>
      <c r="AC308" s="274" t="n"/>
      <c r="AD308" s="274" t="n"/>
      <c r="AE308" s="274" t="n"/>
      <c r="AF308" s="274" t="n"/>
      <c r="AG308" s="274" t="n"/>
      <c r="AH308" s="274" t="n"/>
      <c r="AI308" s="274" t="n"/>
      <c r="AJ308" s="274" t="n"/>
      <c r="AK308" s="274" t="n"/>
    </row>
    <row r="309">
      <c r="A309" s="274" t="inlineStr">
        <is>
          <t>염창동</t>
        </is>
      </c>
      <c r="B309" s="274" t="n"/>
      <c r="C309" s="274" t="n"/>
      <c r="D309" s="274" t="n">
        <v>11565</v>
      </c>
      <c r="E309" s="275" t="inlineStr">
        <is>
          <t>염창한화꿈에그린1차</t>
        </is>
      </c>
      <c r="F309" s="274" t="n">
        <v>2005.04</v>
      </c>
      <c r="G309" s="274" t="n">
        <v>422</v>
      </c>
      <c r="H309" s="274">
        <f>2026-INT(F309)+1</f>
        <v/>
      </c>
      <c r="I309" s="274" t="n"/>
      <c r="J309" s="274" t="n">
        <v>110</v>
      </c>
      <c r="K309" s="274" t="n">
        <v>84</v>
      </c>
      <c r="L309" s="274" t="n">
        <v>33</v>
      </c>
      <c r="M309" s="274" t="inlineStr">
        <is>
          <t>계단식</t>
        </is>
      </c>
      <c r="N309" s="274" t="n">
        <v>3</v>
      </c>
      <c r="O309" s="274" t="n">
        <v>2</v>
      </c>
      <c r="P309" s="274" t="n">
        <v>196</v>
      </c>
      <c r="Q309" s="274" t="n"/>
      <c r="R309" s="274" t="n"/>
      <c r="S309" s="274" t="n"/>
      <c r="T309" s="274" t="n"/>
      <c r="U309" s="274" t="n">
        <v>12.4</v>
      </c>
      <c r="V309" s="274" t="n">
        <v>9</v>
      </c>
      <c r="W309" s="274" t="n"/>
      <c r="X309" s="274" t="n"/>
      <c r="Y309" s="274" t="n"/>
      <c r="Z309" s="274" t="n"/>
      <c r="AA309" s="274" t="n"/>
      <c r="AB309" s="274" t="n"/>
      <c r="AC309" s="274" t="n"/>
      <c r="AD309" s="274" t="n"/>
      <c r="AE309" s="274" t="n"/>
      <c r="AF309" s="274" t="n"/>
      <c r="AG309" s="274" t="n"/>
      <c r="AH309" s="274" t="n"/>
      <c r="AI309" s="274" t="n"/>
      <c r="AJ309" s="274" t="n"/>
      <c r="AK309" s="274" t="n"/>
    </row>
    <row r="310">
      <c r="A310" s="274" t="inlineStr">
        <is>
          <t>염창동</t>
        </is>
      </c>
      <c r="B310" s="274" t="n"/>
      <c r="C310" s="274" t="n"/>
      <c r="D310" s="274" t="n">
        <v>11565</v>
      </c>
      <c r="E310" s="275" t="inlineStr">
        <is>
          <t>염창한화꿈에그린1차</t>
        </is>
      </c>
      <c r="F310" s="274" t="n">
        <v>2005.04</v>
      </c>
      <c r="G310" s="274" t="n">
        <v>422</v>
      </c>
      <c r="H310" s="274">
        <f>2026-INT(F310)+1</f>
        <v/>
      </c>
      <c r="I310" s="274" t="n"/>
      <c r="J310" s="274" t="n">
        <v>155</v>
      </c>
      <c r="K310" s="274" t="n">
        <v>124</v>
      </c>
      <c r="L310" s="274" t="n">
        <v>47</v>
      </c>
      <c r="M310" s="274" t="inlineStr">
        <is>
          <t>계단식</t>
        </is>
      </c>
      <c r="N310" s="274" t="n">
        <v>4</v>
      </c>
      <c r="O310" s="274" t="n">
        <v>2</v>
      </c>
      <c r="P310" s="274" t="n">
        <v>78</v>
      </c>
      <c r="Q310" s="274" t="n"/>
      <c r="R310" s="274" t="n"/>
      <c r="S310" s="274" t="n"/>
      <c r="T310" s="274" t="n"/>
      <c r="U310" s="274" t="n">
        <v>15</v>
      </c>
      <c r="V310" s="274" t="n"/>
      <c r="W310" s="274" t="n"/>
      <c r="X310" s="274" t="n"/>
      <c r="Y310" s="274" t="n"/>
      <c r="Z310" s="274" t="n"/>
      <c r="AA310" s="274" t="n"/>
      <c r="AB310" s="274" t="n"/>
      <c r="AC310" s="274" t="n"/>
      <c r="AD310" s="274" t="n"/>
      <c r="AE310" s="274" t="n"/>
      <c r="AF310" s="274" t="n"/>
      <c r="AG310" s="274" t="n"/>
      <c r="AH310" s="274" t="n"/>
      <c r="AI310" s="274" t="n"/>
      <c r="AJ310" s="274" t="n"/>
      <c r="AK310" s="274" t="n"/>
    </row>
    <row r="311">
      <c r="A311" s="458" t="inlineStr">
        <is>
          <t>염창동</t>
        </is>
      </c>
      <c r="D311" s="458" t="n">
        <v>1019</v>
      </c>
      <c r="E311" s="277" t="inlineStr">
        <is>
          <t>태영송화</t>
        </is>
      </c>
      <c r="F311" s="458" t="n">
        <v>1999.11</v>
      </c>
      <c r="G311" s="458" t="n">
        <v>277</v>
      </c>
      <c r="H311" s="458">
        <f>2026-INT(F311)+1</f>
        <v/>
      </c>
      <c r="J311" s="458" t="n">
        <v>86</v>
      </c>
      <c r="K311" s="458" t="n">
        <v>59</v>
      </c>
      <c r="L311" s="458" t="n">
        <v>26</v>
      </c>
      <c r="M311" s="458" t="inlineStr">
        <is>
          <t>복도식</t>
        </is>
      </c>
      <c r="N311" s="458" t="n">
        <v>2</v>
      </c>
      <c r="O311" s="458" t="n">
        <v>1</v>
      </c>
      <c r="P311" s="458" t="n">
        <v>142</v>
      </c>
      <c r="U311" s="458" t="n">
        <v>7.95</v>
      </c>
      <c r="V311" s="458" t="n">
        <v>6.5</v>
      </c>
    </row>
    <row r="312">
      <c r="A312" s="458" t="inlineStr">
        <is>
          <t>염창동</t>
        </is>
      </c>
      <c r="D312" s="458" t="n">
        <v>1019</v>
      </c>
      <c r="E312" s="277" t="inlineStr">
        <is>
          <t>태영송화</t>
        </is>
      </c>
      <c r="F312" s="458" t="n">
        <v>1999.11</v>
      </c>
      <c r="G312" s="458" t="n">
        <v>277</v>
      </c>
      <c r="H312" s="458">
        <f>2026-INT(F312)+1</f>
        <v/>
      </c>
      <c r="J312" s="458" t="n">
        <v>109</v>
      </c>
      <c r="K312" s="458" t="n">
        <v>84</v>
      </c>
      <c r="L312" s="458" t="n">
        <v>33</v>
      </c>
      <c r="M312" s="458" t="inlineStr">
        <is>
          <t>계단식</t>
        </is>
      </c>
      <c r="N312" s="458" t="n">
        <v>3</v>
      </c>
      <c r="O312" s="458" t="n">
        <v>2</v>
      </c>
      <c r="P312" s="458" t="n">
        <v>81</v>
      </c>
      <c r="U312" s="458" t="n">
        <v>10.4</v>
      </c>
      <c r="V312" s="458" t="n">
        <v>10.4</v>
      </c>
    </row>
    <row r="313">
      <c r="A313" s="458" t="inlineStr">
        <is>
          <t>염창동</t>
        </is>
      </c>
      <c r="D313" s="458" t="n">
        <v>1019</v>
      </c>
      <c r="E313" s="277" t="inlineStr">
        <is>
          <t>태영송화</t>
        </is>
      </c>
      <c r="F313" s="458" t="n">
        <v>1999.11</v>
      </c>
      <c r="G313" s="458" t="n">
        <v>277</v>
      </c>
      <c r="H313" s="458">
        <f>2026-INT(F313)+1</f>
        <v/>
      </c>
      <c r="J313" s="458" t="n">
        <v>143</v>
      </c>
      <c r="K313" s="458" t="n">
        <v>114</v>
      </c>
      <c r="L313" s="458" t="n">
        <v>43</v>
      </c>
      <c r="M313" s="458" t="inlineStr">
        <is>
          <t>계단식</t>
        </is>
      </c>
      <c r="N313" s="458" t="n">
        <v>4</v>
      </c>
      <c r="O313" s="458" t="n">
        <v>2</v>
      </c>
      <c r="P313" s="458" t="n">
        <v>54</v>
      </c>
    </row>
    <row r="314">
      <c r="A314" s="274" t="inlineStr">
        <is>
          <t>염창동</t>
        </is>
      </c>
      <c r="B314" s="274" t="n"/>
      <c r="C314" s="274" t="n"/>
      <c r="D314" s="274" t="n">
        <v>1034</v>
      </c>
      <c r="E314" s="275" t="inlineStr">
        <is>
          <t>태진한솔</t>
        </is>
      </c>
      <c r="F314" s="274" t="n">
        <v>1994.1</v>
      </c>
      <c r="G314" s="274" t="n">
        <v>356</v>
      </c>
      <c r="H314" s="274">
        <f>2026-INT(F314)+1</f>
        <v/>
      </c>
      <c r="I314" s="274" t="n"/>
      <c r="J314" s="274" t="n">
        <v>79</v>
      </c>
      <c r="K314" s="274" t="n">
        <v>58</v>
      </c>
      <c r="L314" s="274" t="n">
        <v>24</v>
      </c>
      <c r="M314" s="274" t="inlineStr">
        <is>
          <t>복도식</t>
        </is>
      </c>
      <c r="N314" s="274" t="n">
        <v>3</v>
      </c>
      <c r="O314" s="274" t="n">
        <v>1</v>
      </c>
      <c r="P314" s="274" t="n">
        <v>178</v>
      </c>
      <c r="Q314" s="274" t="n"/>
      <c r="R314" s="274" t="n"/>
      <c r="S314" s="274" t="n"/>
      <c r="T314" s="274" t="n"/>
      <c r="U314" s="274" t="n">
        <v>8.65</v>
      </c>
      <c r="V314" s="274" t="n">
        <v>6.8</v>
      </c>
      <c r="W314" s="274" t="n"/>
      <c r="X314" s="274" t="n"/>
      <c r="Y314" s="274" t="n"/>
      <c r="Z314" s="274" t="n"/>
      <c r="AA314" s="274" t="n"/>
      <c r="AB314" s="274" t="n"/>
      <c r="AC314" s="274" t="n"/>
      <c r="AD314" s="274" t="n"/>
      <c r="AE314" s="274" t="n"/>
      <c r="AF314" s="274" t="n"/>
      <c r="AG314" s="274" t="n"/>
      <c r="AH314" s="274" t="n"/>
      <c r="AI314" s="274" t="n"/>
      <c r="AJ314" s="274" t="n"/>
      <c r="AK314" s="274" t="n"/>
    </row>
    <row r="315">
      <c r="A315" s="274" t="inlineStr">
        <is>
          <t>염창동</t>
        </is>
      </c>
      <c r="B315" s="274" t="n"/>
      <c r="C315" s="274" t="n"/>
      <c r="D315" s="274" t="n">
        <v>1034</v>
      </c>
      <c r="E315" s="275" t="inlineStr">
        <is>
          <t>태진한솔</t>
        </is>
      </c>
      <c r="F315" s="274" t="n">
        <v>1994.1</v>
      </c>
      <c r="G315" s="274" t="n">
        <v>356</v>
      </c>
      <c r="H315" s="274">
        <f>2026-INT(F315)+1</f>
        <v/>
      </c>
      <c r="I315" s="274" t="n"/>
      <c r="J315" s="274" t="n">
        <v>104</v>
      </c>
      <c r="K315" s="274" t="n">
        <v>84</v>
      </c>
      <c r="L315" s="274" t="n">
        <v>31</v>
      </c>
      <c r="M315" s="274" t="inlineStr">
        <is>
          <t>계단식</t>
        </is>
      </c>
      <c r="N315" s="274" t="n">
        <v>3</v>
      </c>
      <c r="O315" s="274" t="n">
        <v>2</v>
      </c>
      <c r="P315" s="274" t="n">
        <v>120</v>
      </c>
      <c r="Q315" s="274" t="n"/>
      <c r="R315" s="274" t="n"/>
      <c r="S315" s="274" t="n"/>
      <c r="T315" s="274" t="n"/>
      <c r="U315" s="274" t="n">
        <v>10.2</v>
      </c>
      <c r="V315" s="274" t="n">
        <v>8.199999999999999</v>
      </c>
      <c r="W315" s="274" t="n"/>
      <c r="X315" s="274" t="n"/>
      <c r="Y315" s="274" t="n"/>
      <c r="Z315" s="274" t="n"/>
      <c r="AA315" s="274" t="n"/>
      <c r="AB315" s="274" t="n"/>
      <c r="AC315" s="274" t="n"/>
      <c r="AD315" s="274" t="n"/>
      <c r="AE315" s="274" t="n"/>
      <c r="AF315" s="274" t="n"/>
      <c r="AG315" s="274" t="n"/>
      <c r="AH315" s="274" t="n"/>
      <c r="AI315" s="274" t="n"/>
      <c r="AJ315" s="274" t="n"/>
      <c r="AK315" s="274" t="n"/>
    </row>
    <row r="316">
      <c r="A316" s="274" t="inlineStr">
        <is>
          <t>염창동</t>
        </is>
      </c>
      <c r="B316" s="274" t="n"/>
      <c r="C316" s="274" t="n"/>
      <c r="D316" s="274" t="n">
        <v>1034</v>
      </c>
      <c r="E316" s="275" t="inlineStr">
        <is>
          <t>태진한솔</t>
        </is>
      </c>
      <c r="F316" s="274" t="n">
        <v>1994.1</v>
      </c>
      <c r="G316" s="274" t="n">
        <v>356</v>
      </c>
      <c r="H316" s="274">
        <f>2026-INT(F316)+1</f>
        <v/>
      </c>
      <c r="I316" s="274" t="n"/>
      <c r="J316" s="274" t="n">
        <v>126</v>
      </c>
      <c r="K316" s="274" t="n">
        <v>104</v>
      </c>
      <c r="L316" s="274" t="n">
        <v>38</v>
      </c>
      <c r="M316" s="274" t="inlineStr">
        <is>
          <t>계단식</t>
        </is>
      </c>
      <c r="N316" s="274" t="n">
        <v>4</v>
      </c>
      <c r="O316" s="274" t="n">
        <v>2</v>
      </c>
      <c r="P316" s="274" t="n">
        <v>58</v>
      </c>
      <c r="Q316" s="274" t="n"/>
      <c r="R316" s="274" t="n"/>
      <c r="S316" s="274" t="n"/>
      <c r="T316" s="274" t="n"/>
      <c r="U316" s="274" t="n">
        <v>11</v>
      </c>
      <c r="V316" s="274" t="n">
        <v>9.25</v>
      </c>
      <c r="W316" s="274" t="n"/>
      <c r="X316" s="274" t="n"/>
      <c r="Y316" s="274" t="n"/>
      <c r="Z316" s="274" t="n"/>
      <c r="AA316" s="274" t="n"/>
      <c r="AB316" s="274" t="n"/>
      <c r="AC316" s="274" t="n"/>
      <c r="AD316" s="274" t="n"/>
      <c r="AE316" s="274" t="n"/>
      <c r="AF316" s="274" t="n"/>
      <c r="AG316" s="274" t="n"/>
      <c r="AH316" s="274" t="n"/>
      <c r="AI316" s="274" t="n"/>
      <c r="AJ316" s="274" t="n"/>
      <c r="AK316" s="274" t="n"/>
    </row>
    <row r="317">
      <c r="A317" s="458" t="inlineStr">
        <is>
          <t>염창동</t>
        </is>
      </c>
      <c r="D317" s="458" t="n">
        <v>3155</v>
      </c>
      <c r="E317" s="277" t="inlineStr">
        <is>
          <t>한강동아2차</t>
        </is>
      </c>
      <c r="F317" s="458" t="n">
        <v>1998.07</v>
      </c>
      <c r="G317" s="458" t="n">
        <v>212</v>
      </c>
      <c r="H317" s="458">
        <f>2026-INT(F317)+1</f>
        <v/>
      </c>
      <c r="J317" s="458" t="n">
        <v>87</v>
      </c>
      <c r="K317" s="458" t="n">
        <v>59</v>
      </c>
      <c r="L317" s="458" t="n">
        <v>26</v>
      </c>
      <c r="M317" s="458" t="inlineStr">
        <is>
          <t>복도식</t>
        </is>
      </c>
      <c r="N317" s="458" t="n">
        <v>3</v>
      </c>
      <c r="O317" s="458" t="n">
        <v>1</v>
      </c>
      <c r="P317" s="458" t="n">
        <v>85</v>
      </c>
      <c r="U317" s="458" t="n">
        <v>8.6</v>
      </c>
      <c r="V317" s="458" t="n">
        <v>6</v>
      </c>
    </row>
    <row r="318">
      <c r="A318" s="458" t="inlineStr">
        <is>
          <t>염창동</t>
        </is>
      </c>
      <c r="D318" s="458" t="n">
        <v>3155</v>
      </c>
      <c r="E318" s="277" t="inlineStr">
        <is>
          <t>한강동아2차</t>
        </is>
      </c>
      <c r="F318" s="458" t="n">
        <v>1998.07</v>
      </c>
      <c r="G318" s="458" t="n">
        <v>212</v>
      </c>
      <c r="H318" s="458">
        <f>2026-INT(F318)+1</f>
        <v/>
      </c>
      <c r="J318" s="458" t="n">
        <v>109</v>
      </c>
      <c r="K318" s="458" t="n">
        <v>84</v>
      </c>
      <c r="L318" s="458" t="n">
        <v>33</v>
      </c>
      <c r="M318" s="458" t="inlineStr">
        <is>
          <t>계단식</t>
        </is>
      </c>
      <c r="N318" s="458" t="n">
        <v>3</v>
      </c>
      <c r="O318" s="458" t="n">
        <v>2</v>
      </c>
      <c r="P318" s="458" t="n">
        <v>77</v>
      </c>
      <c r="U318" s="458" t="n">
        <v>11.5</v>
      </c>
      <c r="V318" s="458" t="n">
        <v>8.300000000000001</v>
      </c>
    </row>
    <row r="319">
      <c r="A319" s="458" t="inlineStr">
        <is>
          <t>염창동</t>
        </is>
      </c>
      <c r="D319" s="458" t="n">
        <v>3155</v>
      </c>
      <c r="E319" s="277" t="inlineStr">
        <is>
          <t>한강동아2차</t>
        </is>
      </c>
      <c r="F319" s="458" t="n">
        <v>1998.07</v>
      </c>
      <c r="G319" s="458" t="n">
        <v>212</v>
      </c>
      <c r="H319" s="458">
        <f>2026-INT(F319)+1</f>
        <v/>
      </c>
      <c r="J319" s="458" t="n">
        <v>141</v>
      </c>
      <c r="K319" s="458" t="n">
        <v>114</v>
      </c>
      <c r="L319" s="458" t="n">
        <v>43</v>
      </c>
      <c r="M319" s="458" t="inlineStr">
        <is>
          <t>계단식</t>
        </is>
      </c>
      <c r="N319" s="458" t="n">
        <v>4</v>
      </c>
      <c r="O319" s="458" t="n">
        <v>2</v>
      </c>
      <c r="P319" s="458" t="n">
        <v>50</v>
      </c>
      <c r="U319" s="458" t="n">
        <v>10.5</v>
      </c>
      <c r="V319" s="458" t="n">
        <v>9.1</v>
      </c>
    </row>
    <row r="320">
      <c r="A320" s="274" t="inlineStr">
        <is>
          <t>염창동</t>
        </is>
      </c>
      <c r="B320" s="274" t="n"/>
      <c r="C320" s="274" t="n"/>
      <c r="D320" s="274" t="n">
        <v>36</v>
      </c>
      <c r="E320" s="275" t="inlineStr">
        <is>
          <t>한마음삼성</t>
        </is>
      </c>
      <c r="F320" s="274" t="n">
        <v>1995.07</v>
      </c>
      <c r="G320" s="274" t="n">
        <v>330</v>
      </c>
      <c r="H320" s="274">
        <f>2026-INT(F320)+1</f>
        <v/>
      </c>
      <c r="I320" s="274" t="n"/>
      <c r="J320" s="274" t="n">
        <v>85</v>
      </c>
      <c r="K320" s="274" t="n">
        <v>59</v>
      </c>
      <c r="L320" s="274" t="n">
        <v>26</v>
      </c>
      <c r="M320" s="274" t="inlineStr">
        <is>
          <t>복도식</t>
        </is>
      </c>
      <c r="N320" s="274" t="n">
        <v>3</v>
      </c>
      <c r="O320" s="274" t="n">
        <v>1</v>
      </c>
      <c r="P320" s="274" t="n">
        <v>150</v>
      </c>
      <c r="Q320" s="274" t="n"/>
      <c r="R320" s="274" t="n"/>
      <c r="S320" s="274" t="n"/>
      <c r="T320" s="274" t="n"/>
      <c r="U320" s="274" t="n">
        <v>8.23</v>
      </c>
      <c r="V320" s="274" t="n">
        <v>5.55</v>
      </c>
      <c r="W320" s="274" t="n"/>
      <c r="X320" s="274" t="n"/>
      <c r="Y320" s="274" t="n"/>
      <c r="Z320" s="274" t="n"/>
      <c r="AA320" s="274" t="n"/>
      <c r="AB320" s="274" t="n"/>
      <c r="AC320" s="274" t="n"/>
      <c r="AD320" s="274" t="n"/>
      <c r="AE320" s="274" t="n"/>
      <c r="AF320" s="274" t="n"/>
      <c r="AG320" s="274" t="n"/>
      <c r="AH320" s="274" t="n"/>
      <c r="AI320" s="274" t="n"/>
      <c r="AJ320" s="274" t="n"/>
      <c r="AK320" s="274" t="n"/>
    </row>
    <row r="321">
      <c r="A321" s="274" t="inlineStr">
        <is>
          <t>염창동</t>
        </is>
      </c>
      <c r="B321" s="274" t="n"/>
      <c r="C321" s="274" t="n"/>
      <c r="D321" s="274" t="n">
        <v>36</v>
      </c>
      <c r="E321" s="275" t="inlineStr">
        <is>
          <t>한마음삼성</t>
        </is>
      </c>
      <c r="F321" s="274" t="n">
        <v>1995.07</v>
      </c>
      <c r="G321" s="274" t="n">
        <v>330</v>
      </c>
      <c r="H321" s="274">
        <f>2026-INT(F321)+1</f>
        <v/>
      </c>
      <c r="I321" s="274" t="n"/>
      <c r="J321" s="274" t="n">
        <v>105</v>
      </c>
      <c r="K321" s="274" t="n">
        <v>84</v>
      </c>
      <c r="L321" s="274" t="n">
        <v>32</v>
      </c>
      <c r="M321" s="274" t="inlineStr">
        <is>
          <t>계단식</t>
        </is>
      </c>
      <c r="N321" s="274" t="n">
        <v>3</v>
      </c>
      <c r="O321" s="274" t="n">
        <v>2</v>
      </c>
      <c r="P321" s="274" t="n">
        <v>180</v>
      </c>
      <c r="Q321" s="274" t="n"/>
      <c r="R321" s="274" t="n"/>
      <c r="S321" s="274" t="n"/>
      <c r="T321" s="274" t="n"/>
      <c r="U321" s="274" t="n">
        <v>10.2</v>
      </c>
      <c r="V321" s="274" t="n">
        <v>7.7</v>
      </c>
      <c r="W321" s="274" t="n"/>
      <c r="X321" s="274" t="n"/>
      <c r="Y321" s="274" t="n"/>
      <c r="Z321" s="274" t="n"/>
      <c r="AA321" s="274" t="n"/>
      <c r="AB321" s="274" t="n"/>
      <c r="AC321" s="274" t="n"/>
      <c r="AD321" s="274" t="n"/>
      <c r="AE321" s="274" t="n"/>
      <c r="AF321" s="274" t="n"/>
      <c r="AG321" s="274" t="n"/>
      <c r="AH321" s="274" t="n"/>
      <c r="AI321" s="274" t="n"/>
      <c r="AJ321" s="274" t="n"/>
      <c r="AK321" s="274" t="n"/>
    </row>
    <row r="322">
      <c r="A322" s="458" t="inlineStr">
        <is>
          <t>염창동</t>
        </is>
      </c>
      <c r="D322" s="458" t="n">
        <v>1035</v>
      </c>
      <c r="E322" s="277" t="inlineStr">
        <is>
          <t>현대1차</t>
        </is>
      </c>
      <c r="F322" s="458" t="n">
        <v>1994.04</v>
      </c>
      <c r="G322" s="458" t="n">
        <v>498</v>
      </c>
      <c r="H322" s="458">
        <f>2026-INT(F322)+1</f>
        <v/>
      </c>
      <c r="J322" s="458" t="n">
        <v>101</v>
      </c>
      <c r="K322" s="458" t="n">
        <v>84</v>
      </c>
      <c r="L322" s="458" t="n">
        <v>31</v>
      </c>
      <c r="M322" s="458" t="inlineStr">
        <is>
          <t>계단식</t>
        </is>
      </c>
      <c r="N322" s="458" t="n">
        <v>3</v>
      </c>
      <c r="O322" s="458" t="n">
        <v>2</v>
      </c>
      <c r="P322" s="458" t="n">
        <v>485</v>
      </c>
      <c r="U322" s="458" t="n">
        <v>10.85</v>
      </c>
      <c r="V322" s="458" t="n">
        <v>7.1</v>
      </c>
    </row>
    <row r="323">
      <c r="A323" s="458" t="inlineStr">
        <is>
          <t>염창동</t>
        </is>
      </c>
      <c r="D323" s="458" t="n">
        <v>1035</v>
      </c>
      <c r="E323" s="277" t="inlineStr">
        <is>
          <t>현대1차</t>
        </is>
      </c>
      <c r="F323" s="458" t="n">
        <v>1994.04</v>
      </c>
      <c r="G323" s="458" t="n">
        <v>498</v>
      </c>
      <c r="H323" s="458">
        <f>2026-INT(F323)+1</f>
        <v/>
      </c>
      <c r="J323" s="458" t="n">
        <v>102</v>
      </c>
      <c r="K323" s="458" t="n">
        <v>84</v>
      </c>
      <c r="L323" s="458" t="n">
        <v>31</v>
      </c>
      <c r="M323" s="458" t="inlineStr">
        <is>
          <t>계단식</t>
        </is>
      </c>
      <c r="N323" s="458" t="n">
        <v>3</v>
      </c>
      <c r="O323" s="458" t="n">
        <v>1</v>
      </c>
      <c r="P323" s="458" t="n">
        <v>13</v>
      </c>
      <c r="U323" s="458" t="n">
        <v>10.85</v>
      </c>
      <c r="V323" s="458" t="n">
        <v>7.1</v>
      </c>
    </row>
    <row r="324">
      <c r="A324" s="274" t="inlineStr">
        <is>
          <t>화곡동</t>
        </is>
      </c>
      <c r="B324" s="274" t="n"/>
      <c r="C324" s="274" t="n"/>
      <c r="D324" s="274" t="n">
        <v>145432</v>
      </c>
      <c r="E324" s="275" t="inlineStr">
        <is>
          <t>강서금호어울림퍼스티어</t>
        </is>
      </c>
      <c r="F324" s="274" t="n">
        <v>2023.12</v>
      </c>
      <c r="G324" s="274" t="n">
        <v>523</v>
      </c>
      <c r="H324" s="274">
        <f>2026-INT(F324)+1</f>
        <v/>
      </c>
      <c r="I324" s="274" t="n"/>
      <c r="J324" s="274" t="n">
        <v>69</v>
      </c>
      <c r="K324" s="274" t="n">
        <v>49</v>
      </c>
      <c r="L324" s="274" t="n">
        <v>21</v>
      </c>
      <c r="M324" s="274" t="inlineStr">
        <is>
          <t>계단식</t>
        </is>
      </c>
      <c r="N324" s="274" t="n">
        <v>2</v>
      </c>
      <c r="O324" s="274" t="n">
        <v>1</v>
      </c>
      <c r="P324" s="274" t="n">
        <v>179</v>
      </c>
      <c r="Q324" s="274" t="n"/>
      <c r="R324" s="274" t="n"/>
      <c r="S324" s="274" t="n"/>
      <c r="T324" s="274" t="n"/>
      <c r="U324" s="274" t="n"/>
      <c r="V324" s="274" t="n"/>
      <c r="W324" s="274" t="n"/>
      <c r="X324" s="274" t="n"/>
      <c r="Y324" s="274" t="n"/>
      <c r="Z324" s="274" t="n"/>
      <c r="AA324" s="274" t="n"/>
      <c r="AB324" s="274" t="n"/>
      <c r="AC324" s="274" t="n"/>
      <c r="AD324" s="274" t="n"/>
      <c r="AE324" s="274" t="n"/>
      <c r="AF324" s="274" t="n"/>
      <c r="AG324" s="274" t="n"/>
      <c r="AH324" s="274" t="n"/>
      <c r="AI324" s="274" t="n"/>
      <c r="AJ324" s="274" t="n"/>
      <c r="AK324" s="274" t="n"/>
    </row>
    <row r="325">
      <c r="A325" s="274" t="inlineStr">
        <is>
          <t>화곡동</t>
        </is>
      </c>
      <c r="B325" s="274" t="n"/>
      <c r="C325" s="274" t="n"/>
      <c r="D325" s="274" t="n">
        <v>145432</v>
      </c>
      <c r="E325" s="275" t="inlineStr">
        <is>
          <t>강서금호어울림퍼스티어</t>
        </is>
      </c>
      <c r="F325" s="274" t="n">
        <v>2023.12</v>
      </c>
      <c r="G325" s="274" t="n">
        <v>523</v>
      </c>
      <c r="H325" s="274">
        <f>2026-INT(F325)+1</f>
        <v/>
      </c>
      <c r="I325" s="274" t="n"/>
      <c r="J325" s="274" t="n">
        <v>78</v>
      </c>
      <c r="K325" s="274" t="n">
        <v>55</v>
      </c>
      <c r="L325" s="274" t="n">
        <v>24</v>
      </c>
      <c r="M325" s="274" t="inlineStr">
        <is>
          <t>계단식</t>
        </is>
      </c>
      <c r="N325" s="274" t="n">
        <v>2</v>
      </c>
      <c r="O325" s="274" t="n">
        <v>2</v>
      </c>
      <c r="P325" s="274" t="n">
        <v>38</v>
      </c>
      <c r="Q325" s="274" t="n"/>
      <c r="R325" s="274" t="n"/>
      <c r="S325" s="274" t="n"/>
      <c r="T325" s="274" t="n"/>
      <c r="U325" s="274" t="n"/>
      <c r="V325" s="274" t="n"/>
      <c r="W325" s="274" t="n"/>
      <c r="X325" s="274" t="n"/>
      <c r="Y325" s="274" t="n"/>
      <c r="Z325" s="274" t="n"/>
      <c r="AA325" s="274" t="n"/>
      <c r="AB325" s="274" t="n"/>
      <c r="AC325" s="274" t="n"/>
      <c r="AD325" s="274" t="n"/>
      <c r="AE325" s="274" t="n"/>
      <c r="AF325" s="274" t="n"/>
      <c r="AG325" s="274" t="n"/>
      <c r="AH325" s="274" t="n"/>
      <c r="AI325" s="274" t="n"/>
      <c r="AJ325" s="274" t="n"/>
      <c r="AK325" s="274" t="n"/>
    </row>
    <row r="326">
      <c r="A326" s="274" t="inlineStr">
        <is>
          <t>화곡동</t>
        </is>
      </c>
      <c r="B326" s="274" t="n"/>
      <c r="C326" s="274" t="n"/>
      <c r="D326" s="274" t="n">
        <v>145432</v>
      </c>
      <c r="E326" s="275" t="inlineStr">
        <is>
          <t>강서금호어울림퍼스티어</t>
        </is>
      </c>
      <c r="F326" s="274" t="n">
        <v>2023.12</v>
      </c>
      <c r="G326" s="274" t="n">
        <v>523</v>
      </c>
      <c r="H326" s="274">
        <f>2026-INT(F326)+1</f>
        <v/>
      </c>
      <c r="I326" s="274" t="n"/>
      <c r="J326" s="274" t="n">
        <v>83</v>
      </c>
      <c r="K326" s="274" t="n">
        <v>59</v>
      </c>
      <c r="L326" s="274" t="n">
        <v>25</v>
      </c>
      <c r="M326" s="274" t="inlineStr">
        <is>
          <t>계단식</t>
        </is>
      </c>
      <c r="N326" s="274" t="n">
        <v>3</v>
      </c>
      <c r="O326" s="274" t="n">
        <v>2</v>
      </c>
      <c r="P326" s="274" t="n">
        <v>131</v>
      </c>
      <c r="Q326" s="274" t="n"/>
      <c r="R326" s="274" t="n"/>
      <c r="S326" s="274" t="n"/>
      <c r="T326" s="274" t="n"/>
      <c r="U326" s="274" t="n"/>
      <c r="V326" s="274" t="n"/>
      <c r="W326" s="274" t="n"/>
      <c r="X326" s="274" t="n"/>
      <c r="Y326" s="274" t="n"/>
      <c r="Z326" s="274" t="n"/>
      <c r="AA326" s="274" t="n"/>
      <c r="AB326" s="274" t="n"/>
      <c r="AC326" s="274" t="n"/>
      <c r="AD326" s="274" t="n"/>
      <c r="AE326" s="274" t="n"/>
      <c r="AF326" s="274" t="n"/>
      <c r="AG326" s="274" t="n"/>
      <c r="AH326" s="274" t="n"/>
      <c r="AI326" s="274" t="n"/>
      <c r="AJ326" s="274" t="n"/>
      <c r="AK326" s="274" t="n"/>
    </row>
    <row r="327">
      <c r="A327" s="458" t="inlineStr">
        <is>
          <t>화곡동</t>
        </is>
      </c>
      <c r="D327" s="458" t="n">
        <v>103305</v>
      </c>
      <c r="E327" s="277" t="inlineStr">
        <is>
          <t>강서힐스테이트</t>
        </is>
      </c>
      <c r="F327" s="458" t="n">
        <v>2015.08</v>
      </c>
      <c r="G327" s="458" t="n">
        <v>2603</v>
      </c>
      <c r="H327" s="458">
        <f>2026-INT(F327)+1</f>
        <v/>
      </c>
      <c r="J327" s="458" t="n">
        <v>82</v>
      </c>
      <c r="K327" s="458" t="n">
        <v>59</v>
      </c>
      <c r="L327" s="458" t="n">
        <v>25</v>
      </c>
      <c r="M327" s="458" t="inlineStr">
        <is>
          <t>계단식</t>
        </is>
      </c>
      <c r="N327" s="458" t="n">
        <v>3</v>
      </c>
      <c r="O327" s="458" t="n">
        <v>2</v>
      </c>
      <c r="P327" s="458" t="n">
        <v>530</v>
      </c>
      <c r="U327" s="458" t="n">
        <v>12.45</v>
      </c>
      <c r="V327" s="458" t="n">
        <v>8.199999999999999</v>
      </c>
    </row>
    <row r="328">
      <c r="A328" s="458" t="inlineStr">
        <is>
          <t>화곡동</t>
        </is>
      </c>
      <c r="D328" s="458" t="n">
        <v>103305</v>
      </c>
      <c r="E328" s="277" t="inlineStr">
        <is>
          <t>강서힐스테이트</t>
        </is>
      </c>
      <c r="F328" s="458" t="n">
        <v>2015.08</v>
      </c>
      <c r="G328" s="458" t="n">
        <v>2603</v>
      </c>
      <c r="H328" s="458">
        <f>2026-INT(F328)+1</f>
        <v/>
      </c>
      <c r="J328" s="458" t="n">
        <v>111</v>
      </c>
      <c r="K328" s="458" t="n">
        <v>84</v>
      </c>
      <c r="L328" s="458" t="n">
        <v>34</v>
      </c>
      <c r="M328" s="458" t="inlineStr">
        <is>
          <t>계단식</t>
        </is>
      </c>
      <c r="N328" s="458" t="n">
        <v>3</v>
      </c>
      <c r="O328" s="458" t="n">
        <v>2</v>
      </c>
      <c r="P328" s="458" t="n">
        <v>1086</v>
      </c>
      <c r="U328" s="458" t="n">
        <v>14.5</v>
      </c>
      <c r="V328" s="458" t="n">
        <v>11</v>
      </c>
    </row>
    <row r="329">
      <c r="A329" s="458" t="inlineStr">
        <is>
          <t>화곡동</t>
        </is>
      </c>
      <c r="D329" s="458" t="n">
        <v>103305</v>
      </c>
      <c r="E329" s="277" t="inlineStr">
        <is>
          <t>강서힐스테이트</t>
        </is>
      </c>
      <c r="F329" s="458" t="n">
        <v>2015.08</v>
      </c>
      <c r="G329" s="458" t="n">
        <v>2603</v>
      </c>
      <c r="H329" s="458">
        <f>2026-INT(F329)+1</f>
        <v/>
      </c>
      <c r="J329" s="458" t="n">
        <v>151</v>
      </c>
      <c r="K329" s="458" t="n">
        <v>119</v>
      </c>
      <c r="L329" s="458" t="n">
        <v>46</v>
      </c>
      <c r="M329" s="458" t="inlineStr">
        <is>
          <t>계단식</t>
        </is>
      </c>
      <c r="N329" s="458" t="n">
        <v>4</v>
      </c>
      <c r="O329" s="458" t="n">
        <v>2</v>
      </c>
      <c r="P329" s="458" t="n">
        <v>68</v>
      </c>
      <c r="U329" s="458" t="n">
        <v>16.9</v>
      </c>
      <c r="V329" s="458" t="n">
        <v>14.05</v>
      </c>
    </row>
    <row r="330">
      <c r="A330" s="458" t="inlineStr">
        <is>
          <t>화곡동</t>
        </is>
      </c>
      <c r="D330" s="458" t="n">
        <v>103305</v>
      </c>
      <c r="E330" s="277" t="inlineStr">
        <is>
          <t>강서힐스테이트</t>
        </is>
      </c>
      <c r="F330" s="458" t="n">
        <v>2015.08</v>
      </c>
      <c r="G330" s="458" t="n">
        <v>2603</v>
      </c>
      <c r="H330" s="458">
        <f>2026-INT(F330)+1</f>
        <v/>
      </c>
      <c r="J330" s="458" t="n">
        <v>160</v>
      </c>
      <c r="K330" s="458" t="n">
        <v>128</v>
      </c>
      <c r="L330" s="458" t="n">
        <v>48</v>
      </c>
      <c r="M330" s="458" t="inlineStr">
        <is>
          <t>계단식</t>
        </is>
      </c>
      <c r="N330" s="458" t="n">
        <v>4</v>
      </c>
      <c r="O330" s="458" t="n">
        <v>2</v>
      </c>
      <c r="P330" s="458" t="n">
        <v>775</v>
      </c>
      <c r="U330" s="458" t="n">
        <v>16.95</v>
      </c>
      <c r="V330" s="458" t="n">
        <v>12.9</v>
      </c>
    </row>
    <row r="331">
      <c r="A331" s="458" t="inlineStr">
        <is>
          <t>화곡동</t>
        </is>
      </c>
      <c r="D331" s="458" t="n">
        <v>103305</v>
      </c>
      <c r="E331" s="277" t="inlineStr">
        <is>
          <t>강서힐스테이트</t>
        </is>
      </c>
      <c r="F331" s="458" t="n">
        <v>2015.08</v>
      </c>
      <c r="G331" s="458" t="n">
        <v>2603</v>
      </c>
      <c r="H331" s="458">
        <f>2026-INT(F331)+1</f>
        <v/>
      </c>
      <c r="J331" s="458" t="n">
        <v>184</v>
      </c>
      <c r="K331" s="458" t="n">
        <v>152</v>
      </c>
      <c r="L331" s="458" t="n">
        <v>56</v>
      </c>
      <c r="M331" s="458" t="inlineStr">
        <is>
          <t>계단식</t>
        </is>
      </c>
      <c r="N331" s="458" t="n">
        <v>4</v>
      </c>
      <c r="O331" s="458" t="n">
        <v>3</v>
      </c>
      <c r="P331" s="458" t="n">
        <v>144</v>
      </c>
      <c r="U331" s="458" t="n">
        <v>17.5</v>
      </c>
      <c r="V331" s="458" t="n">
        <v>14</v>
      </c>
    </row>
    <row r="332">
      <c r="A332" s="274" t="inlineStr">
        <is>
          <t>화곡동</t>
        </is>
      </c>
      <c r="B332" s="274" t="n"/>
      <c r="C332" s="274" t="n"/>
      <c r="D332" s="274" t="n">
        <v>15636</v>
      </c>
      <c r="E332" s="275" t="inlineStr">
        <is>
          <t>거성마을</t>
        </is>
      </c>
      <c r="F332" s="274" t="n">
        <v>1986.12</v>
      </c>
      <c r="G332" s="274" t="n">
        <v>231</v>
      </c>
      <c r="H332" s="274">
        <f>2026-INT(F332)+1</f>
        <v/>
      </c>
      <c r="I332" s="274" t="n"/>
      <c r="J332" s="274" t="n">
        <v>52</v>
      </c>
      <c r="K332" s="274" t="n">
        <v>34</v>
      </c>
      <c r="L332" s="274" t="n">
        <v>16</v>
      </c>
      <c r="M332" s="274" t="inlineStr">
        <is>
          <t>계단식</t>
        </is>
      </c>
      <c r="N332" s="274" t="n">
        <v>2</v>
      </c>
      <c r="O332" s="274" t="n">
        <v>1</v>
      </c>
      <c r="P332" s="274" t="n">
        <v>48</v>
      </c>
      <c r="Q332" s="274" t="n"/>
      <c r="R332" s="274" t="n"/>
      <c r="S332" s="274" t="n"/>
      <c r="T332" s="274" t="n"/>
      <c r="U332" s="274" t="n"/>
      <c r="V332" s="274" t="n"/>
      <c r="W332" s="274" t="n"/>
      <c r="X332" s="274" t="n"/>
      <c r="Y332" s="274" t="n"/>
      <c r="Z332" s="274" t="n"/>
      <c r="AA332" s="274" t="n"/>
      <c r="AB332" s="274" t="n"/>
      <c r="AC332" s="274" t="n"/>
      <c r="AD332" s="274" t="n"/>
      <c r="AE332" s="274" t="n"/>
      <c r="AF332" s="274" t="n"/>
      <c r="AG332" s="274" t="n"/>
      <c r="AH332" s="274" t="n"/>
      <c r="AI332" s="274" t="n"/>
      <c r="AJ332" s="274" t="n"/>
      <c r="AK332" s="274" t="n"/>
    </row>
    <row r="333">
      <c r="A333" s="274" t="inlineStr">
        <is>
          <t>화곡동</t>
        </is>
      </c>
      <c r="B333" s="274" t="n"/>
      <c r="C333" s="274" t="n"/>
      <c r="D333" s="274" t="n">
        <v>15636</v>
      </c>
      <c r="E333" s="275" t="inlineStr">
        <is>
          <t>거성마을</t>
        </is>
      </c>
      <c r="F333" s="274" t="n">
        <v>1986.12</v>
      </c>
      <c r="G333" s="274" t="n">
        <v>231</v>
      </c>
      <c r="H333" s="274">
        <f>2026-INT(F333)+1</f>
        <v/>
      </c>
      <c r="I333" s="274" t="n"/>
      <c r="J333" s="274" t="n">
        <v>65</v>
      </c>
      <c r="K333" s="274" t="n">
        <v>43</v>
      </c>
      <c r="L333" s="274" t="n">
        <v>20</v>
      </c>
      <c r="M333" s="274" t="inlineStr">
        <is>
          <t>계단식</t>
        </is>
      </c>
      <c r="N333" s="274" t="n">
        <v>2</v>
      </c>
      <c r="O333" s="274" t="n">
        <v>1</v>
      </c>
      <c r="P333" s="274" t="n">
        <v>72</v>
      </c>
      <c r="Q333" s="274" t="n"/>
      <c r="R333" s="274" t="n"/>
      <c r="S333" s="274" t="n"/>
      <c r="T333" s="274" t="n"/>
      <c r="U333" s="274" t="n"/>
      <c r="V333" s="274" t="n"/>
      <c r="W333" s="274" t="n"/>
      <c r="X333" s="274" t="n"/>
      <c r="Y333" s="274" t="n"/>
      <c r="Z333" s="274" t="n"/>
      <c r="AA333" s="274" t="n"/>
      <c r="AB333" s="274" t="n"/>
      <c r="AC333" s="274" t="n"/>
      <c r="AD333" s="274" t="n"/>
      <c r="AE333" s="274" t="n"/>
      <c r="AF333" s="274" t="n"/>
      <c r="AG333" s="274" t="n"/>
      <c r="AH333" s="274" t="n"/>
      <c r="AI333" s="274" t="n"/>
      <c r="AJ333" s="274" t="n"/>
      <c r="AK333" s="274" t="n"/>
    </row>
    <row r="334">
      <c r="A334" s="274" t="inlineStr">
        <is>
          <t>화곡동</t>
        </is>
      </c>
      <c r="B334" s="274" t="n"/>
      <c r="C334" s="274" t="n"/>
      <c r="D334" s="274" t="n">
        <v>15636</v>
      </c>
      <c r="E334" s="275" t="inlineStr">
        <is>
          <t>거성마을</t>
        </is>
      </c>
      <c r="F334" s="274" t="n">
        <v>1986.12</v>
      </c>
      <c r="G334" s="274" t="n">
        <v>231</v>
      </c>
      <c r="H334" s="274">
        <f>2026-INT(F334)+1</f>
        <v/>
      </c>
      <c r="I334" s="274" t="n"/>
      <c r="J334" s="274" t="n">
        <v>65</v>
      </c>
      <c r="K334" s="274" t="n">
        <v>43</v>
      </c>
      <c r="L334" s="274" t="n">
        <v>20</v>
      </c>
      <c r="M334" s="274" t="inlineStr">
        <is>
          <t>계단식</t>
        </is>
      </c>
      <c r="N334" s="274" t="n">
        <v>3</v>
      </c>
      <c r="O334" s="274" t="n">
        <v>1</v>
      </c>
      <c r="P334" s="274" t="n">
        <v>72</v>
      </c>
      <c r="Q334" s="274" t="n"/>
      <c r="R334" s="274" t="n"/>
      <c r="S334" s="274" t="n"/>
      <c r="T334" s="274" t="n"/>
      <c r="U334" s="274" t="n"/>
      <c r="V334" s="274" t="n"/>
      <c r="W334" s="274" t="n"/>
      <c r="X334" s="274" t="n"/>
      <c r="Y334" s="274" t="n"/>
      <c r="Z334" s="274" t="n"/>
      <c r="AA334" s="274" t="n"/>
      <c r="AB334" s="274" t="n"/>
      <c r="AC334" s="274" t="n"/>
      <c r="AD334" s="274" t="n"/>
      <c r="AE334" s="274" t="n"/>
      <c r="AF334" s="274" t="n"/>
      <c r="AG334" s="274" t="n"/>
      <c r="AH334" s="274" t="n"/>
      <c r="AI334" s="274" t="n"/>
      <c r="AJ334" s="274" t="n"/>
      <c r="AK334" s="274" t="n"/>
    </row>
    <row r="335">
      <c r="A335" s="274" t="inlineStr">
        <is>
          <t>화곡동</t>
        </is>
      </c>
      <c r="B335" s="274" t="n"/>
      <c r="C335" s="274" t="n"/>
      <c r="D335" s="274" t="n">
        <v>15636</v>
      </c>
      <c r="E335" s="275" t="inlineStr">
        <is>
          <t>거성마을</t>
        </is>
      </c>
      <c r="F335" s="274" t="n">
        <v>1986.12</v>
      </c>
      <c r="G335" s="274" t="n">
        <v>231</v>
      </c>
      <c r="H335" s="274">
        <f>2026-INT(F335)+1</f>
        <v/>
      </c>
      <c r="I335" s="274" t="n"/>
      <c r="J335" s="274" t="n">
        <v>73</v>
      </c>
      <c r="K335" s="274" t="n">
        <v>49</v>
      </c>
      <c r="L335" s="274" t="n">
        <v>22</v>
      </c>
      <c r="M335" s="274" t="inlineStr">
        <is>
          <t>계단식</t>
        </is>
      </c>
      <c r="N335" s="274" t="n">
        <v>3</v>
      </c>
      <c r="O335" s="274" t="n">
        <v>1</v>
      </c>
      <c r="P335" s="274" t="n">
        <v>36</v>
      </c>
      <c r="Q335" s="274" t="n"/>
      <c r="R335" s="274" t="n"/>
      <c r="S335" s="274" t="n"/>
      <c r="T335" s="274" t="n"/>
      <c r="U335" s="274" t="n"/>
      <c r="V335" s="274" t="n"/>
      <c r="W335" s="274" t="n"/>
      <c r="X335" s="274" t="n"/>
      <c r="Y335" s="274" t="n"/>
      <c r="Z335" s="274" t="n"/>
      <c r="AA335" s="274" t="n"/>
      <c r="AB335" s="274" t="n"/>
      <c r="AC335" s="274" t="n"/>
      <c r="AD335" s="274" t="n"/>
      <c r="AE335" s="274" t="n"/>
      <c r="AF335" s="274" t="n"/>
      <c r="AG335" s="274" t="n"/>
      <c r="AH335" s="274" t="n"/>
      <c r="AI335" s="274" t="n"/>
      <c r="AJ335" s="274" t="n"/>
      <c r="AK335" s="274" t="n"/>
    </row>
    <row r="336">
      <c r="A336" s="274" t="inlineStr">
        <is>
          <t>화곡동</t>
        </is>
      </c>
      <c r="B336" s="274" t="n"/>
      <c r="C336" s="274" t="n"/>
      <c r="D336" s="274" t="n">
        <v>15636</v>
      </c>
      <c r="E336" s="275" t="inlineStr">
        <is>
          <t>거성마을</t>
        </is>
      </c>
      <c r="F336" s="274" t="n">
        <v>1986.12</v>
      </c>
      <c r="G336" s="274" t="n">
        <v>231</v>
      </c>
      <c r="H336" s="274">
        <f>2026-INT(F336)+1</f>
        <v/>
      </c>
      <c r="I336" s="274" t="n"/>
      <c r="J336" s="274" t="n">
        <v>81</v>
      </c>
      <c r="K336" s="274" t="n">
        <v>50</v>
      </c>
      <c r="L336" s="274" t="n">
        <v>25</v>
      </c>
      <c r="M336" s="274" t="inlineStr">
        <is>
          <t>계단식</t>
        </is>
      </c>
      <c r="N336" s="274" t="n">
        <v>3</v>
      </c>
      <c r="O336" s="274" t="n">
        <v>1</v>
      </c>
      <c r="P336" s="274" t="n">
        <v>3</v>
      </c>
      <c r="Q336" s="274" t="n"/>
      <c r="R336" s="274" t="n"/>
      <c r="S336" s="274" t="n"/>
      <c r="T336" s="274" t="n"/>
      <c r="U336" s="274" t="n"/>
      <c r="V336" s="274" t="n"/>
      <c r="W336" s="274" t="n"/>
      <c r="X336" s="274" t="n"/>
      <c r="Y336" s="274" t="n"/>
      <c r="Z336" s="274" t="n"/>
      <c r="AA336" s="274" t="n"/>
      <c r="AB336" s="274" t="n"/>
      <c r="AC336" s="274" t="n"/>
      <c r="AD336" s="274" t="n"/>
      <c r="AE336" s="274" t="n"/>
      <c r="AF336" s="274" t="n"/>
      <c r="AG336" s="274" t="n"/>
      <c r="AH336" s="274" t="n"/>
      <c r="AI336" s="274" t="n"/>
      <c r="AJ336" s="274" t="n"/>
      <c r="AK336" s="274" t="n"/>
    </row>
    <row r="337">
      <c r="A337" s="458" t="inlineStr">
        <is>
          <t>화곡동</t>
        </is>
      </c>
      <c r="D337" s="458" t="n">
        <v>3158</v>
      </c>
      <c r="E337" s="277" t="inlineStr">
        <is>
          <t>미성</t>
        </is>
      </c>
      <c r="F337" s="458" t="n">
        <v>1987.05</v>
      </c>
      <c r="G337" s="458" t="n">
        <v>228</v>
      </c>
      <c r="H337" s="458">
        <f>2026-INT(F337)+1</f>
        <v/>
      </c>
      <c r="J337" s="458" t="n">
        <v>96</v>
      </c>
      <c r="K337" s="458" t="n">
        <v>66</v>
      </c>
      <c r="L337" s="458" t="n">
        <v>29</v>
      </c>
      <c r="M337" s="458" t="inlineStr">
        <is>
          <t>계단식</t>
        </is>
      </c>
      <c r="N337" s="458" t="n">
        <v>3</v>
      </c>
      <c r="O337" s="458" t="n">
        <v>1</v>
      </c>
      <c r="P337" s="458" t="n">
        <v>12</v>
      </c>
    </row>
    <row r="338">
      <c r="A338" s="458" t="inlineStr">
        <is>
          <t>화곡동</t>
        </is>
      </c>
      <c r="D338" s="458" t="n">
        <v>3158</v>
      </c>
      <c r="E338" s="277" t="inlineStr">
        <is>
          <t>미성</t>
        </is>
      </c>
      <c r="F338" s="458" t="n">
        <v>1987.05</v>
      </c>
      <c r="G338" s="458" t="n">
        <v>228</v>
      </c>
      <c r="H338" s="458">
        <f>2026-INT(F338)+1</f>
        <v/>
      </c>
      <c r="J338" s="458" t="n">
        <v>108</v>
      </c>
      <c r="K338" s="458" t="n">
        <v>81</v>
      </c>
      <c r="L338" s="458" t="n">
        <v>33</v>
      </c>
      <c r="M338" s="458" t="inlineStr">
        <is>
          <t>복도식</t>
        </is>
      </c>
      <c r="N338" s="458" t="n">
        <v>3</v>
      </c>
      <c r="O338" s="458" t="n">
        <v>1</v>
      </c>
      <c r="P338" s="458" t="n">
        <v>130</v>
      </c>
      <c r="U338" s="458" t="n">
        <v>5.95</v>
      </c>
      <c r="V338" s="458" t="n">
        <v>3.8</v>
      </c>
    </row>
    <row r="339">
      <c r="A339" s="458" t="inlineStr">
        <is>
          <t>화곡동</t>
        </is>
      </c>
      <c r="D339" s="458" t="n">
        <v>3158</v>
      </c>
      <c r="E339" s="277" t="inlineStr">
        <is>
          <t>미성</t>
        </is>
      </c>
      <c r="F339" s="458" t="n">
        <v>1987.05</v>
      </c>
      <c r="G339" s="458" t="n">
        <v>228</v>
      </c>
      <c r="H339" s="458">
        <f>2026-INT(F339)+1</f>
        <v/>
      </c>
      <c r="J339" s="458" t="n">
        <v>137</v>
      </c>
      <c r="K339" s="458" t="n">
        <v>118</v>
      </c>
      <c r="L339" s="458" t="n">
        <v>41</v>
      </c>
      <c r="M339" s="458" t="inlineStr">
        <is>
          <t>복도식</t>
        </is>
      </c>
      <c r="N339" s="458" t="n">
        <v>4</v>
      </c>
      <c r="O339" s="458" t="n">
        <v>2</v>
      </c>
      <c r="P339" s="458" t="n">
        <v>13</v>
      </c>
    </row>
    <row r="340">
      <c r="A340" s="458" t="inlineStr">
        <is>
          <t>화곡동</t>
        </is>
      </c>
      <c r="D340" s="458" t="n">
        <v>3158</v>
      </c>
      <c r="E340" s="277" t="inlineStr">
        <is>
          <t>미성</t>
        </is>
      </c>
      <c r="F340" s="458" t="n">
        <v>1987.05</v>
      </c>
      <c r="G340" s="458" t="n">
        <v>228</v>
      </c>
      <c r="H340" s="458">
        <f>2026-INT(F340)+1</f>
        <v/>
      </c>
      <c r="J340" s="458" t="n">
        <v>140</v>
      </c>
      <c r="K340" s="458" t="n">
        <v>119</v>
      </c>
      <c r="L340" s="458" t="n">
        <v>42</v>
      </c>
      <c r="M340" s="458" t="inlineStr">
        <is>
          <t>계단식</t>
        </is>
      </c>
      <c r="N340" s="458" t="n">
        <v>4</v>
      </c>
      <c r="O340" s="458" t="n">
        <v>2</v>
      </c>
      <c r="P340" s="458" t="n">
        <v>38</v>
      </c>
      <c r="V340" s="458" t="n">
        <v>6.5</v>
      </c>
    </row>
    <row r="341">
      <c r="A341" s="458" t="inlineStr">
        <is>
          <t>화곡동</t>
        </is>
      </c>
      <c r="D341" s="458" t="n">
        <v>3158</v>
      </c>
      <c r="E341" s="277" t="inlineStr">
        <is>
          <t>미성</t>
        </is>
      </c>
      <c r="F341" s="458" t="n">
        <v>1987.05</v>
      </c>
      <c r="G341" s="458" t="n">
        <v>228</v>
      </c>
      <c r="H341" s="458">
        <f>2026-INT(F341)+1</f>
        <v/>
      </c>
      <c r="J341" s="458" t="n">
        <v>141</v>
      </c>
      <c r="K341" s="458" t="n">
        <v>120</v>
      </c>
      <c r="L341" s="458" t="n">
        <v>43</v>
      </c>
      <c r="M341" s="458" t="inlineStr">
        <is>
          <t>계단식</t>
        </is>
      </c>
      <c r="N341" s="458" t="n">
        <v>4</v>
      </c>
      <c r="O341" s="458" t="n">
        <v>2</v>
      </c>
      <c r="P341" s="458" t="n">
        <v>13</v>
      </c>
      <c r="V341" s="458" t="n">
        <v>6.5</v>
      </c>
    </row>
    <row r="342">
      <c r="A342" s="458" t="inlineStr">
        <is>
          <t>화곡동</t>
        </is>
      </c>
      <c r="D342" s="458" t="n">
        <v>3158</v>
      </c>
      <c r="E342" s="277" t="inlineStr">
        <is>
          <t>미성</t>
        </is>
      </c>
      <c r="F342" s="458" t="n">
        <v>1987.05</v>
      </c>
      <c r="G342" s="458" t="n">
        <v>228</v>
      </c>
      <c r="H342" s="458">
        <f>2026-INT(F342)+1</f>
        <v/>
      </c>
      <c r="J342" s="458" t="n">
        <v>146</v>
      </c>
      <c r="K342" s="458" t="n">
        <v>126</v>
      </c>
      <c r="L342" s="458" t="n">
        <v>44</v>
      </c>
      <c r="M342" s="458" t="inlineStr">
        <is>
          <t>계단식</t>
        </is>
      </c>
      <c r="N342" s="458" t="n">
        <v>4</v>
      </c>
      <c r="O342" s="458" t="n">
        <v>2</v>
      </c>
      <c r="P342" s="458" t="n">
        <v>22</v>
      </c>
    </row>
    <row r="343">
      <c r="A343" s="274" t="inlineStr">
        <is>
          <t>화곡동</t>
        </is>
      </c>
      <c r="B343" s="274" t="n"/>
      <c r="C343" s="274" t="n"/>
      <c r="D343" s="274" t="n">
        <v>22159</v>
      </c>
      <c r="E343" s="275" t="inlineStr">
        <is>
          <t>우장산SK뷰</t>
        </is>
      </c>
      <c r="F343" s="274" t="n">
        <v>2006.1</v>
      </c>
      <c r="G343" s="274" t="n">
        <v>203</v>
      </c>
      <c r="H343" s="274">
        <f>2026-INT(F343)+1</f>
        <v/>
      </c>
      <c r="I343" s="274" t="n"/>
      <c r="J343" s="274" t="n">
        <v>104</v>
      </c>
      <c r="K343" s="274" t="n">
        <v>84</v>
      </c>
      <c r="L343" s="274" t="n">
        <v>31</v>
      </c>
      <c r="M343" s="274" t="inlineStr">
        <is>
          <t>계단식</t>
        </is>
      </c>
      <c r="N343" s="274" t="n">
        <v>3</v>
      </c>
      <c r="O343" s="274" t="n">
        <v>2</v>
      </c>
      <c r="P343" s="274" t="n">
        <v>162</v>
      </c>
      <c r="Q343" s="274" t="n"/>
      <c r="R343" s="274" t="n"/>
      <c r="S343" s="274" t="n"/>
      <c r="T343" s="274" t="n"/>
      <c r="U343" s="274" t="n">
        <v>9.800000000000001</v>
      </c>
      <c r="V343" s="274" t="n">
        <v>7.8</v>
      </c>
      <c r="W343" s="274" t="n"/>
      <c r="X343" s="274" t="n"/>
      <c r="Y343" s="274" t="n"/>
      <c r="Z343" s="274" t="n"/>
      <c r="AA343" s="274" t="n"/>
      <c r="AB343" s="274" t="n"/>
      <c r="AC343" s="274" t="n"/>
      <c r="AD343" s="274" t="n"/>
      <c r="AE343" s="274" t="n"/>
      <c r="AF343" s="274" t="n"/>
      <c r="AG343" s="274" t="n"/>
      <c r="AH343" s="274" t="n"/>
      <c r="AI343" s="274" t="n"/>
      <c r="AJ343" s="274" t="n"/>
      <c r="AK343" s="274" t="n"/>
    </row>
    <row r="344">
      <c r="A344" s="274" t="inlineStr">
        <is>
          <t>화곡동</t>
        </is>
      </c>
      <c r="B344" s="274" t="n"/>
      <c r="C344" s="274" t="n"/>
      <c r="D344" s="274" t="n">
        <v>22159</v>
      </c>
      <c r="E344" s="275" t="inlineStr">
        <is>
          <t>우장산SK뷰</t>
        </is>
      </c>
      <c r="F344" s="274" t="n">
        <v>2006.1</v>
      </c>
      <c r="G344" s="274" t="n">
        <v>203</v>
      </c>
      <c r="H344" s="274">
        <f>2026-INT(F344)+1</f>
        <v/>
      </c>
      <c r="I344" s="274" t="n"/>
      <c r="J344" s="274" t="n">
        <v>138</v>
      </c>
      <c r="K344" s="274" t="n">
        <v>116</v>
      </c>
      <c r="L344" s="274" t="n">
        <v>42</v>
      </c>
      <c r="M344" s="274" t="inlineStr">
        <is>
          <t>계단식</t>
        </is>
      </c>
      <c r="N344" s="274" t="n">
        <v>4</v>
      </c>
      <c r="O344" s="274" t="n">
        <v>2</v>
      </c>
      <c r="P344" s="274" t="n">
        <v>41</v>
      </c>
      <c r="Q344" s="274" t="n"/>
      <c r="R344" s="274" t="n"/>
      <c r="S344" s="274" t="n"/>
      <c r="T344" s="274" t="n"/>
      <c r="U344" s="274" t="n"/>
      <c r="V344" s="274" t="n">
        <v>8</v>
      </c>
      <c r="W344" s="274" t="n"/>
      <c r="X344" s="274" t="n"/>
      <c r="Y344" s="274" t="n"/>
      <c r="Z344" s="274" t="n"/>
      <c r="AA344" s="274" t="n"/>
      <c r="AB344" s="274" t="n"/>
      <c r="AC344" s="274" t="n"/>
      <c r="AD344" s="274" t="n"/>
      <c r="AE344" s="274" t="n"/>
      <c r="AF344" s="274" t="n"/>
      <c r="AG344" s="274" t="n"/>
      <c r="AH344" s="274" t="n"/>
      <c r="AI344" s="274" t="n"/>
      <c r="AJ344" s="274" t="n"/>
      <c r="AK344" s="274" t="n"/>
    </row>
    <row r="345">
      <c r="A345" s="458" t="inlineStr">
        <is>
          <t>화곡동</t>
        </is>
      </c>
      <c r="D345" s="458" t="n">
        <v>10857</v>
      </c>
      <c r="E345" s="277" t="inlineStr">
        <is>
          <t>우장산롯데</t>
        </is>
      </c>
      <c r="F345" s="458" t="n">
        <v>2004.08</v>
      </c>
      <c r="G345" s="458" t="n">
        <v>206</v>
      </c>
      <c r="H345" s="458">
        <f>2026-INT(F345)+1</f>
        <v/>
      </c>
      <c r="J345" s="458" t="n">
        <v>74</v>
      </c>
      <c r="K345" s="458" t="n">
        <v>59</v>
      </c>
      <c r="L345" s="458" t="n">
        <v>22</v>
      </c>
      <c r="M345" s="458" t="inlineStr">
        <is>
          <t>계단식</t>
        </is>
      </c>
      <c r="N345" s="458" t="n">
        <v>3</v>
      </c>
      <c r="O345" s="458" t="n">
        <v>2</v>
      </c>
      <c r="P345" s="458" t="n">
        <v>19</v>
      </c>
      <c r="U345" s="458" t="n">
        <v>6.5</v>
      </c>
      <c r="V345" s="458" t="n">
        <v>5.58</v>
      </c>
    </row>
    <row r="346">
      <c r="A346" s="458" t="inlineStr">
        <is>
          <t>화곡동</t>
        </is>
      </c>
      <c r="D346" s="458" t="n">
        <v>10857</v>
      </c>
      <c r="E346" s="277" t="inlineStr">
        <is>
          <t>우장산롯데</t>
        </is>
      </c>
      <c r="F346" s="458" t="n">
        <v>2004.08</v>
      </c>
      <c r="G346" s="458" t="n">
        <v>206</v>
      </c>
      <c r="H346" s="458">
        <f>2026-INT(F346)+1</f>
        <v/>
      </c>
      <c r="J346" s="458" t="n">
        <v>104</v>
      </c>
      <c r="K346" s="458" t="n">
        <v>84</v>
      </c>
      <c r="L346" s="458" t="n">
        <v>31</v>
      </c>
      <c r="M346" s="458" t="inlineStr">
        <is>
          <t>계단식</t>
        </is>
      </c>
      <c r="N346" s="458" t="n">
        <v>3</v>
      </c>
      <c r="O346" s="458" t="n">
        <v>2</v>
      </c>
      <c r="P346" s="458" t="n">
        <v>141</v>
      </c>
      <c r="U346" s="458" t="n">
        <v>8.300000000000001</v>
      </c>
      <c r="V346" s="458" t="n">
        <v>6.5</v>
      </c>
    </row>
    <row r="347">
      <c r="A347" s="458" t="inlineStr">
        <is>
          <t>화곡동</t>
        </is>
      </c>
      <c r="D347" s="458" t="n">
        <v>10857</v>
      </c>
      <c r="E347" s="277" t="inlineStr">
        <is>
          <t>우장산롯데</t>
        </is>
      </c>
      <c r="F347" s="458" t="n">
        <v>2004.08</v>
      </c>
      <c r="G347" s="458" t="n">
        <v>206</v>
      </c>
      <c r="H347" s="458">
        <f>2026-INT(F347)+1</f>
        <v/>
      </c>
      <c r="J347" s="458" t="n">
        <v>136</v>
      </c>
      <c r="K347" s="458" t="n">
        <v>117</v>
      </c>
      <c r="L347" s="458" t="n">
        <v>41</v>
      </c>
      <c r="M347" s="458" t="inlineStr">
        <is>
          <t>계단식</t>
        </is>
      </c>
      <c r="N347" s="458" t="n">
        <v>4</v>
      </c>
      <c r="O347" s="458" t="n">
        <v>2</v>
      </c>
      <c r="P347" s="458" t="n">
        <v>46</v>
      </c>
    </row>
    <row r="348">
      <c r="A348" s="274" t="inlineStr">
        <is>
          <t>화곡동</t>
        </is>
      </c>
      <c r="B348" s="274" t="n"/>
      <c r="C348" s="274" t="n"/>
      <c r="D348" s="274" t="n">
        <v>3331</v>
      </c>
      <c r="E348" s="275" t="inlineStr">
        <is>
          <t>우장산롯데캐슬</t>
        </is>
      </c>
      <c r="F348" s="274" t="n">
        <v>2003.09</v>
      </c>
      <c r="G348" s="274" t="n">
        <v>1164</v>
      </c>
      <c r="H348" s="274">
        <f>2026-INT(F348)+1</f>
        <v/>
      </c>
      <c r="I348" s="274" t="n"/>
      <c r="J348" s="274" t="n">
        <v>109</v>
      </c>
      <c r="K348" s="274" t="n">
        <v>85</v>
      </c>
      <c r="L348" s="274" t="n">
        <v>33</v>
      </c>
      <c r="M348" s="274" t="inlineStr">
        <is>
          <t>계단식</t>
        </is>
      </c>
      <c r="N348" s="274" t="n">
        <v>3</v>
      </c>
      <c r="O348" s="274" t="n">
        <v>2</v>
      </c>
      <c r="P348" s="274" t="n">
        <v>611</v>
      </c>
      <c r="Q348" s="274" t="n"/>
      <c r="R348" s="274" t="n"/>
      <c r="S348" s="274" t="n"/>
      <c r="T348" s="274" t="n"/>
      <c r="U348" s="274" t="n">
        <v>13</v>
      </c>
      <c r="V348" s="274" t="n">
        <v>9.5</v>
      </c>
      <c r="W348" s="274" t="n"/>
      <c r="X348" s="274" t="n"/>
      <c r="Y348" s="274" t="n"/>
      <c r="Z348" s="274" t="n"/>
      <c r="AA348" s="274" t="n"/>
      <c r="AB348" s="274" t="n"/>
      <c r="AC348" s="274" t="n"/>
      <c r="AD348" s="274" t="n"/>
      <c r="AE348" s="274" t="n"/>
      <c r="AF348" s="274" t="n"/>
      <c r="AG348" s="274" t="n"/>
      <c r="AH348" s="274" t="n"/>
      <c r="AI348" s="274" t="n"/>
      <c r="AJ348" s="274" t="n"/>
      <c r="AK348" s="274" t="n"/>
    </row>
    <row r="349">
      <c r="A349" s="274" t="inlineStr">
        <is>
          <t>화곡동</t>
        </is>
      </c>
      <c r="B349" s="274" t="n"/>
      <c r="C349" s="274" t="n"/>
      <c r="D349" s="274" t="n">
        <v>3331</v>
      </c>
      <c r="E349" s="275" t="inlineStr">
        <is>
          <t>우장산롯데캐슬</t>
        </is>
      </c>
      <c r="F349" s="274" t="n">
        <v>2003.09</v>
      </c>
      <c r="G349" s="274" t="n">
        <v>1164</v>
      </c>
      <c r="H349" s="274">
        <f>2026-INT(F349)+1</f>
        <v/>
      </c>
      <c r="I349" s="274" t="n"/>
      <c r="J349" s="274" t="n">
        <v>147</v>
      </c>
      <c r="K349" s="274" t="n">
        <v>117</v>
      </c>
      <c r="L349" s="274" t="n">
        <v>44</v>
      </c>
      <c r="M349" s="274" t="inlineStr">
        <is>
          <t>계단식</t>
        </is>
      </c>
      <c r="N349" s="274" t="n">
        <v>4</v>
      </c>
      <c r="O349" s="274" t="n">
        <v>2</v>
      </c>
      <c r="P349" s="274" t="n">
        <v>120</v>
      </c>
      <c r="Q349" s="274" t="n"/>
      <c r="R349" s="274" t="n"/>
      <c r="S349" s="274" t="n"/>
      <c r="T349" s="274" t="n"/>
      <c r="U349" s="274" t="n">
        <v>13.5</v>
      </c>
      <c r="V349" s="274" t="n">
        <v>10</v>
      </c>
      <c r="W349" s="274" t="n"/>
      <c r="X349" s="274" t="n"/>
      <c r="Y349" s="274" t="n"/>
      <c r="Z349" s="274" t="n"/>
      <c r="AA349" s="274" t="n"/>
      <c r="AB349" s="274" t="n"/>
      <c r="AC349" s="274" t="n"/>
      <c r="AD349" s="274" t="n"/>
      <c r="AE349" s="274" t="n"/>
      <c r="AF349" s="274" t="n"/>
      <c r="AG349" s="274" t="n"/>
      <c r="AH349" s="274" t="n"/>
      <c r="AI349" s="274" t="n"/>
      <c r="AJ349" s="274" t="n"/>
      <c r="AK349" s="274" t="n"/>
    </row>
    <row r="350">
      <c r="A350" s="274" t="inlineStr">
        <is>
          <t>화곡동</t>
        </is>
      </c>
      <c r="B350" s="274" t="n"/>
      <c r="C350" s="274" t="n"/>
      <c r="D350" s="274" t="n">
        <v>3331</v>
      </c>
      <c r="E350" s="275" t="inlineStr">
        <is>
          <t>우장산롯데캐슬</t>
        </is>
      </c>
      <c r="F350" s="274" t="n">
        <v>2003.09</v>
      </c>
      <c r="G350" s="274" t="n">
        <v>1164</v>
      </c>
      <c r="H350" s="274">
        <f>2026-INT(F350)+1</f>
        <v/>
      </c>
      <c r="I350" s="274" t="n"/>
      <c r="J350" s="274" t="n">
        <v>170</v>
      </c>
      <c r="K350" s="274" t="n">
        <v>134</v>
      </c>
      <c r="L350" s="274" t="n">
        <v>51</v>
      </c>
      <c r="M350" s="274" t="inlineStr">
        <is>
          <t>계단식</t>
        </is>
      </c>
      <c r="N350" s="274" t="n">
        <v>4</v>
      </c>
      <c r="O350" s="274" t="n">
        <v>2</v>
      </c>
      <c r="P350" s="274" t="n">
        <v>225</v>
      </c>
      <c r="Q350" s="274" t="n"/>
      <c r="R350" s="274" t="n"/>
      <c r="S350" s="274" t="n"/>
      <c r="T350" s="274" t="n"/>
      <c r="U350" s="274" t="n">
        <v>15.47</v>
      </c>
      <c r="V350" s="274" t="n">
        <v>11.7</v>
      </c>
      <c r="W350" s="274" t="n"/>
      <c r="X350" s="274" t="n"/>
      <c r="Y350" s="274" t="n"/>
      <c r="Z350" s="274" t="n"/>
      <c r="AA350" s="274" t="n"/>
      <c r="AB350" s="274" t="n"/>
      <c r="AC350" s="274" t="n"/>
      <c r="AD350" s="274" t="n"/>
      <c r="AE350" s="274" t="n"/>
      <c r="AF350" s="274" t="n"/>
      <c r="AG350" s="274" t="n"/>
      <c r="AH350" s="274" t="n"/>
      <c r="AI350" s="274" t="n"/>
      <c r="AJ350" s="274" t="n"/>
      <c r="AK350" s="274" t="n"/>
    </row>
    <row r="351">
      <c r="A351" s="274" t="inlineStr">
        <is>
          <t>화곡동</t>
        </is>
      </c>
      <c r="B351" s="274" t="n"/>
      <c r="C351" s="274" t="n"/>
      <c r="D351" s="274" t="n">
        <v>3331</v>
      </c>
      <c r="E351" s="275" t="inlineStr">
        <is>
          <t>우장산롯데캐슬</t>
        </is>
      </c>
      <c r="F351" s="274" t="n">
        <v>2003.09</v>
      </c>
      <c r="G351" s="274" t="n">
        <v>1164</v>
      </c>
      <c r="H351" s="274">
        <f>2026-INT(F351)+1</f>
        <v/>
      </c>
      <c r="I351" s="274" t="n"/>
      <c r="J351" s="274" t="n">
        <v>215</v>
      </c>
      <c r="K351" s="274" t="n">
        <v>177</v>
      </c>
      <c r="L351" s="274" t="n">
        <v>65</v>
      </c>
      <c r="M351" s="274" t="inlineStr">
        <is>
          <t>계단식</t>
        </is>
      </c>
      <c r="N351" s="274" t="n">
        <v>5</v>
      </c>
      <c r="O351" s="274" t="n">
        <v>3</v>
      </c>
      <c r="P351" s="274" t="n">
        <v>208</v>
      </c>
      <c r="Q351" s="274" t="n"/>
      <c r="R351" s="274" t="n"/>
      <c r="S351" s="274" t="n"/>
      <c r="T351" s="274" t="n"/>
      <c r="U351" s="274" t="n">
        <v>16.6</v>
      </c>
      <c r="V351" s="274" t="n">
        <v>12.5</v>
      </c>
      <c r="W351" s="274" t="n"/>
      <c r="X351" s="274" t="n"/>
      <c r="Y351" s="274" t="n"/>
      <c r="Z351" s="274" t="n"/>
      <c r="AA351" s="274" t="n"/>
      <c r="AB351" s="274" t="n"/>
      <c r="AC351" s="274" t="n"/>
      <c r="AD351" s="274" t="n"/>
      <c r="AE351" s="274" t="n"/>
      <c r="AF351" s="274" t="n"/>
      <c r="AG351" s="274" t="n"/>
      <c r="AH351" s="274" t="n"/>
      <c r="AI351" s="274" t="n"/>
      <c r="AJ351" s="274" t="n"/>
      <c r="AK351" s="274" t="n"/>
    </row>
    <row r="352">
      <c r="A352" s="458" t="inlineStr">
        <is>
          <t>화곡동</t>
        </is>
      </c>
      <c r="D352" s="458" t="n">
        <v>131485</v>
      </c>
      <c r="E352" s="277" t="inlineStr">
        <is>
          <t>우장산숲아이파크</t>
        </is>
      </c>
      <c r="F352" s="458" t="n">
        <v>2022.12</v>
      </c>
      <c r="G352" s="458" t="n">
        <v>576</v>
      </c>
      <c r="H352" s="458">
        <f>2026-INT(F352)+1</f>
        <v/>
      </c>
      <c r="J352" s="458" t="n">
        <v>81</v>
      </c>
      <c r="K352" s="458" t="n">
        <v>59</v>
      </c>
      <c r="L352" s="458" t="n">
        <v>25</v>
      </c>
      <c r="M352" s="458" t="inlineStr">
        <is>
          <t>계단식</t>
        </is>
      </c>
      <c r="N352" s="458" t="n">
        <v>3</v>
      </c>
      <c r="O352" s="458" t="n">
        <v>2</v>
      </c>
      <c r="P352" s="458" t="n">
        <v>284</v>
      </c>
      <c r="V352" s="458" t="n">
        <v>6.95</v>
      </c>
    </row>
    <row r="353">
      <c r="A353" s="458" t="inlineStr">
        <is>
          <t>화곡동</t>
        </is>
      </c>
      <c r="D353" s="458" t="n">
        <v>131485</v>
      </c>
      <c r="E353" s="277" t="inlineStr">
        <is>
          <t>우장산숲아이파크</t>
        </is>
      </c>
      <c r="F353" s="458" t="n">
        <v>2022.12</v>
      </c>
      <c r="G353" s="458" t="n">
        <v>576</v>
      </c>
      <c r="H353" s="458">
        <f>2026-INT(F353)+1</f>
        <v/>
      </c>
      <c r="J353" s="458" t="n">
        <v>100</v>
      </c>
      <c r="K353" s="458" t="n">
        <v>74</v>
      </c>
      <c r="L353" s="458" t="n">
        <v>30</v>
      </c>
      <c r="M353" s="458" t="inlineStr">
        <is>
          <t>계단식</t>
        </is>
      </c>
      <c r="N353" s="458" t="n">
        <v>3</v>
      </c>
      <c r="O353" s="458" t="n">
        <v>2</v>
      </c>
      <c r="P353" s="458" t="n">
        <v>84</v>
      </c>
      <c r="V353" s="458" t="n">
        <v>8.880000000000001</v>
      </c>
    </row>
    <row r="354">
      <c r="A354" s="458" t="inlineStr">
        <is>
          <t>화곡동</t>
        </is>
      </c>
      <c r="D354" s="458" t="n">
        <v>131485</v>
      </c>
      <c r="E354" s="277" t="inlineStr">
        <is>
          <t>우장산숲아이파크</t>
        </is>
      </c>
      <c r="F354" s="458" t="n">
        <v>2022.12</v>
      </c>
      <c r="G354" s="458" t="n">
        <v>576</v>
      </c>
      <c r="H354" s="458">
        <f>2026-INT(F354)+1</f>
        <v/>
      </c>
      <c r="J354" s="458" t="n">
        <v>114</v>
      </c>
      <c r="K354" s="458" t="n">
        <v>84</v>
      </c>
      <c r="L354" s="458" t="n">
        <v>34</v>
      </c>
      <c r="M354" s="458" t="inlineStr">
        <is>
          <t>계단식</t>
        </is>
      </c>
      <c r="N354" s="458" t="n">
        <v>3</v>
      </c>
      <c r="O354" s="458" t="n">
        <v>2</v>
      </c>
      <c r="P354" s="458" t="n">
        <v>86</v>
      </c>
      <c r="V354" s="458" t="n">
        <v>11.5</v>
      </c>
    </row>
    <row r="355">
      <c r="A355" s="458" t="inlineStr">
        <is>
          <t>화곡동</t>
        </is>
      </c>
      <c r="D355" s="458" t="n">
        <v>131485</v>
      </c>
      <c r="E355" s="277" t="inlineStr">
        <is>
          <t>우장산숲아이파크</t>
        </is>
      </c>
      <c r="F355" s="458" t="n">
        <v>2022.12</v>
      </c>
      <c r="G355" s="458" t="n">
        <v>576</v>
      </c>
      <c r="H355" s="458">
        <f>2026-INT(F355)+1</f>
        <v/>
      </c>
      <c r="J355" s="458" t="n">
        <v>114</v>
      </c>
      <c r="K355" s="458" t="n">
        <v>84</v>
      </c>
      <c r="L355" s="458" t="n">
        <v>34</v>
      </c>
      <c r="M355" s="458" t="inlineStr">
        <is>
          <t>계단식</t>
        </is>
      </c>
      <c r="N355" s="458" t="n">
        <v>4</v>
      </c>
      <c r="O355" s="458" t="n">
        <v>2</v>
      </c>
      <c r="P355" s="458" t="n">
        <v>122</v>
      </c>
      <c r="V355" s="458" t="n">
        <v>11.5</v>
      </c>
    </row>
    <row r="356">
      <c r="A356" s="274" t="inlineStr">
        <is>
          <t>화곡동</t>
        </is>
      </c>
      <c r="B356" s="274" t="n"/>
      <c r="C356" s="274" t="n"/>
      <c r="D356" s="274" t="n">
        <v>22555</v>
      </c>
      <c r="E356" s="275" t="inlineStr">
        <is>
          <t>우장산아이파크e편한세상</t>
        </is>
      </c>
      <c r="F356" s="274" t="n">
        <v>2008.01</v>
      </c>
      <c r="G356" s="274" t="n">
        <v>2517</v>
      </c>
      <c r="H356" s="274">
        <f>2026-INT(F356)+1</f>
        <v/>
      </c>
      <c r="I356" s="274" t="n"/>
      <c r="J356" s="274" t="n">
        <v>79</v>
      </c>
      <c r="K356" s="274" t="n">
        <v>59</v>
      </c>
      <c r="L356" s="274" t="n">
        <v>24</v>
      </c>
      <c r="M356" s="274" t="inlineStr">
        <is>
          <t>계단식</t>
        </is>
      </c>
      <c r="N356" s="274" t="n">
        <v>3</v>
      </c>
      <c r="O356" s="274" t="n">
        <v>2</v>
      </c>
      <c r="P356" s="274" t="n">
        <v>530</v>
      </c>
      <c r="Q356" s="274" t="n"/>
      <c r="R356" s="274" t="n"/>
      <c r="S356" s="274" t="n"/>
      <c r="T356" s="274" t="n"/>
      <c r="U356" s="274" t="n">
        <v>11.9</v>
      </c>
      <c r="V356" s="274" t="n">
        <v>7.2</v>
      </c>
      <c r="W356" s="274" t="n"/>
      <c r="X356" s="274" t="n"/>
      <c r="Y356" s="274" t="n"/>
      <c r="Z356" s="274" t="n"/>
      <c r="AA356" s="274" t="n"/>
      <c r="AB356" s="274" t="n"/>
      <c r="AC356" s="274" t="n"/>
      <c r="AD356" s="274" t="n"/>
      <c r="AE356" s="274" t="n"/>
      <c r="AF356" s="274" t="n"/>
      <c r="AG356" s="274" t="n"/>
      <c r="AH356" s="274" t="n"/>
      <c r="AI356" s="274" t="n"/>
      <c r="AJ356" s="274" t="n"/>
      <c r="AK356" s="274" t="n"/>
    </row>
    <row r="357">
      <c r="A357" s="274" t="inlineStr">
        <is>
          <t>화곡동</t>
        </is>
      </c>
      <c r="B357" s="274" t="n"/>
      <c r="C357" s="274" t="n"/>
      <c r="D357" s="274" t="n">
        <v>22555</v>
      </c>
      <c r="E357" s="275" t="inlineStr">
        <is>
          <t>우장산아이파크e편한세상</t>
        </is>
      </c>
      <c r="F357" s="274" t="n">
        <v>2008.01</v>
      </c>
      <c r="G357" s="274" t="n">
        <v>2517</v>
      </c>
      <c r="H357" s="274">
        <f>2026-INT(F357)+1</f>
        <v/>
      </c>
      <c r="I357" s="274" t="n"/>
      <c r="J357" s="274" t="n">
        <v>107</v>
      </c>
      <c r="K357" s="274" t="n">
        <v>84</v>
      </c>
      <c r="L357" s="274" t="n">
        <v>32</v>
      </c>
      <c r="M357" s="274" t="inlineStr">
        <is>
          <t>계단식</t>
        </is>
      </c>
      <c r="N357" s="274" t="n">
        <v>3</v>
      </c>
      <c r="O357" s="274" t="n">
        <v>2</v>
      </c>
      <c r="P357" s="274" t="n">
        <v>1409</v>
      </c>
      <c r="Q357" s="274" t="n"/>
      <c r="R357" s="274" t="n"/>
      <c r="S357" s="274" t="n"/>
      <c r="T357" s="274" t="n"/>
      <c r="U357" s="274" t="n">
        <v>14</v>
      </c>
      <c r="V357" s="274" t="n">
        <v>8.5</v>
      </c>
      <c r="W357" s="274" t="n"/>
      <c r="X357" s="274" t="n"/>
      <c r="Y357" s="274" t="n"/>
      <c r="Z357" s="274" t="n"/>
      <c r="AA357" s="274" t="n"/>
      <c r="AB357" s="274" t="n"/>
      <c r="AC357" s="274" t="n"/>
      <c r="AD357" s="274" t="n"/>
      <c r="AE357" s="274" t="n"/>
      <c r="AF357" s="274" t="n"/>
      <c r="AG357" s="274" t="n"/>
      <c r="AH357" s="274" t="n"/>
      <c r="AI357" s="274" t="n"/>
      <c r="AJ357" s="274" t="n"/>
      <c r="AK357" s="274" t="n"/>
    </row>
    <row r="358">
      <c r="A358" s="274" t="inlineStr">
        <is>
          <t>화곡동</t>
        </is>
      </c>
      <c r="B358" s="274" t="n"/>
      <c r="C358" s="274" t="n"/>
      <c r="D358" s="274" t="n">
        <v>22555</v>
      </c>
      <c r="E358" s="275" t="inlineStr">
        <is>
          <t>우장산아이파크e편한세상</t>
        </is>
      </c>
      <c r="F358" s="274" t="n">
        <v>2008.01</v>
      </c>
      <c r="G358" s="274" t="n">
        <v>2517</v>
      </c>
      <c r="H358" s="274">
        <f>2026-INT(F358)+1</f>
        <v/>
      </c>
      <c r="I358" s="274" t="n"/>
      <c r="J358" s="274" t="n">
        <v>125</v>
      </c>
      <c r="K358" s="274" t="n">
        <v>101</v>
      </c>
      <c r="L358" s="274" t="n">
        <v>38</v>
      </c>
      <c r="M358" s="274" t="inlineStr">
        <is>
          <t>계단식</t>
        </is>
      </c>
      <c r="N358" s="274" t="n">
        <v>3</v>
      </c>
      <c r="O358" s="274" t="n">
        <v>2</v>
      </c>
      <c r="P358" s="274" t="n">
        <v>156</v>
      </c>
      <c r="Q358" s="274" t="n"/>
      <c r="R358" s="274" t="n"/>
      <c r="S358" s="274" t="n"/>
      <c r="T358" s="274" t="n"/>
      <c r="U358" s="274" t="n">
        <v>15</v>
      </c>
      <c r="V358" s="274" t="n">
        <v>11.77</v>
      </c>
      <c r="W358" s="274" t="n"/>
      <c r="X358" s="274" t="n"/>
      <c r="Y358" s="274" t="n"/>
      <c r="Z358" s="274" t="n"/>
      <c r="AA358" s="274" t="n"/>
      <c r="AB358" s="274" t="n"/>
      <c r="AC358" s="274" t="n"/>
      <c r="AD358" s="274" t="n"/>
      <c r="AE358" s="274" t="n"/>
      <c r="AF358" s="274" t="n"/>
      <c r="AG358" s="274" t="n"/>
      <c r="AH358" s="274" t="n"/>
      <c r="AI358" s="274" t="n"/>
      <c r="AJ358" s="274" t="n"/>
      <c r="AK358" s="274" t="n"/>
    </row>
    <row r="359">
      <c r="A359" s="274" t="inlineStr">
        <is>
          <t>화곡동</t>
        </is>
      </c>
      <c r="B359" s="274" t="n"/>
      <c r="C359" s="274" t="n"/>
      <c r="D359" s="274" t="n">
        <v>22555</v>
      </c>
      <c r="E359" s="275" t="inlineStr">
        <is>
          <t>우장산아이파크e편한세상</t>
        </is>
      </c>
      <c r="F359" s="274" t="n">
        <v>2008.01</v>
      </c>
      <c r="G359" s="274" t="n">
        <v>2517</v>
      </c>
      <c r="H359" s="274">
        <f>2026-INT(F359)+1</f>
        <v/>
      </c>
      <c r="I359" s="274" t="n"/>
      <c r="J359" s="274" t="n">
        <v>136</v>
      </c>
      <c r="K359" s="274" t="n">
        <v>114</v>
      </c>
      <c r="L359" s="274" t="n">
        <v>41</v>
      </c>
      <c r="M359" s="274" t="inlineStr">
        <is>
          <t>계단식</t>
        </is>
      </c>
      <c r="N359" s="274" t="n">
        <v>4</v>
      </c>
      <c r="O359" s="274" t="n">
        <v>2</v>
      </c>
      <c r="P359" s="274" t="n">
        <v>422</v>
      </c>
      <c r="Q359" s="274" t="n"/>
      <c r="R359" s="274" t="n"/>
      <c r="S359" s="274" t="n"/>
      <c r="T359" s="274" t="n"/>
      <c r="U359" s="274" t="n">
        <v>15.7</v>
      </c>
      <c r="V359" s="274" t="n">
        <v>13.3</v>
      </c>
      <c r="W359" s="274" t="n"/>
      <c r="X359" s="274" t="n"/>
      <c r="Y359" s="274" t="n"/>
      <c r="Z359" s="274" t="n"/>
      <c r="AA359" s="274" t="n"/>
      <c r="AB359" s="274" t="n"/>
      <c r="AC359" s="274" t="n"/>
      <c r="AD359" s="274" t="n"/>
      <c r="AE359" s="274" t="n"/>
      <c r="AF359" s="274" t="n"/>
      <c r="AG359" s="274" t="n"/>
      <c r="AH359" s="274" t="n"/>
      <c r="AI359" s="274" t="n"/>
      <c r="AJ359" s="274" t="n"/>
      <c r="AK359" s="274" t="n"/>
    </row>
    <row r="360">
      <c r="A360" s="458" t="inlineStr">
        <is>
          <t>화곡동</t>
        </is>
      </c>
      <c r="D360" s="458" t="n">
        <v>10780</v>
      </c>
      <c r="E360" s="277" t="inlineStr">
        <is>
          <t>유림노르웨이숲</t>
        </is>
      </c>
      <c r="F360" s="458" t="n">
        <v>2004.09</v>
      </c>
      <c r="G360" s="458" t="n">
        <v>225</v>
      </c>
      <c r="H360" s="458">
        <f>2026-INT(F360)+1</f>
        <v/>
      </c>
      <c r="J360" s="458" t="n">
        <v>82</v>
      </c>
      <c r="K360" s="458" t="n">
        <v>64</v>
      </c>
      <c r="L360" s="458" t="n">
        <v>25</v>
      </c>
      <c r="M360" s="458" t="inlineStr">
        <is>
          <t>복도식</t>
        </is>
      </c>
      <c r="N360" s="458" t="n">
        <v>3</v>
      </c>
      <c r="O360" s="458" t="n">
        <v>2</v>
      </c>
      <c r="P360" s="458" t="n">
        <v>108</v>
      </c>
      <c r="U360" s="458" t="n">
        <v>5.9</v>
      </c>
      <c r="V360" s="458" t="n">
        <v>5.9</v>
      </c>
    </row>
    <row r="361">
      <c r="A361" s="458" t="inlineStr">
        <is>
          <t>화곡동</t>
        </is>
      </c>
      <c r="D361" s="458" t="n">
        <v>10780</v>
      </c>
      <c r="E361" s="277" t="inlineStr">
        <is>
          <t>유림노르웨이숲</t>
        </is>
      </c>
      <c r="F361" s="458" t="n">
        <v>2004.09</v>
      </c>
      <c r="G361" s="458" t="n">
        <v>225</v>
      </c>
      <c r="H361" s="458">
        <f>2026-INT(F361)+1</f>
        <v/>
      </c>
      <c r="J361" s="458" t="n">
        <v>98</v>
      </c>
      <c r="K361" s="458" t="n">
        <v>76</v>
      </c>
      <c r="L361" s="458" t="n">
        <v>30</v>
      </c>
      <c r="M361" s="458" t="inlineStr">
        <is>
          <t>복도식</t>
        </is>
      </c>
      <c r="N361" s="458" t="n">
        <v>3</v>
      </c>
      <c r="O361" s="458" t="n">
        <v>2</v>
      </c>
      <c r="P361" s="458" t="n">
        <v>117</v>
      </c>
      <c r="U361" s="458" t="n">
        <v>6.7</v>
      </c>
      <c r="V361" s="458" t="n">
        <v>6.6</v>
      </c>
    </row>
    <row r="362">
      <c r="A362" s="274" t="inlineStr">
        <is>
          <t>화곡동</t>
        </is>
      </c>
      <c r="B362" s="274" t="n"/>
      <c r="C362" s="274" t="n"/>
      <c r="D362" s="274" t="n">
        <v>44</v>
      </c>
      <c r="E362" s="275" t="inlineStr">
        <is>
          <t>중앙하이츠</t>
        </is>
      </c>
      <c r="F362" s="274" t="n">
        <v>1988.12</v>
      </c>
      <c r="G362" s="274" t="n">
        <v>473</v>
      </c>
      <c r="H362" s="274">
        <f>2026-INT(F362)+1</f>
        <v/>
      </c>
      <c r="I362" s="274" t="n"/>
      <c r="J362" s="274" t="n">
        <v>63</v>
      </c>
      <c r="K362" s="274" t="n">
        <v>48</v>
      </c>
      <c r="L362" s="274" t="n">
        <v>19</v>
      </c>
      <c r="M362" s="274" t="inlineStr">
        <is>
          <t>복도식</t>
        </is>
      </c>
      <c r="N362" s="274" t="n">
        <v>2</v>
      </c>
      <c r="O362" s="274" t="n">
        <v>1</v>
      </c>
      <c r="P362" s="274" t="n">
        <v>20</v>
      </c>
      <c r="Q362" s="274" t="n"/>
      <c r="R362" s="274" t="n"/>
      <c r="S362" s="274" t="n"/>
      <c r="T362" s="274" t="n"/>
      <c r="U362" s="274" t="n">
        <v>1.85</v>
      </c>
      <c r="V362" s="274" t="n">
        <v>1.85</v>
      </c>
      <c r="W362" s="274" t="n"/>
      <c r="X362" s="274" t="n"/>
      <c r="Y362" s="274" t="n"/>
      <c r="Z362" s="274" t="n"/>
      <c r="AA362" s="274" t="n"/>
      <c r="AB362" s="274" t="n"/>
      <c r="AC362" s="274" t="n"/>
      <c r="AD362" s="274" t="n"/>
      <c r="AE362" s="274" t="n"/>
      <c r="AF362" s="274" t="n"/>
      <c r="AG362" s="274" t="n"/>
      <c r="AH362" s="274" t="n"/>
      <c r="AI362" s="274" t="n"/>
      <c r="AJ362" s="274" t="n"/>
      <c r="AK362" s="274" t="n"/>
    </row>
    <row r="363">
      <c r="A363" s="274" t="inlineStr">
        <is>
          <t>화곡동</t>
        </is>
      </c>
      <c r="B363" s="274" t="n"/>
      <c r="C363" s="274" t="n"/>
      <c r="D363" s="274" t="n">
        <v>44</v>
      </c>
      <c r="E363" s="275" t="inlineStr">
        <is>
          <t>중앙하이츠</t>
        </is>
      </c>
      <c r="F363" s="274" t="n">
        <v>1988.12</v>
      </c>
      <c r="G363" s="274" t="n">
        <v>473</v>
      </c>
      <c r="H363" s="274">
        <f>2026-INT(F363)+1</f>
        <v/>
      </c>
      <c r="I363" s="274" t="n"/>
      <c r="J363" s="274" t="n">
        <v>64</v>
      </c>
      <c r="K363" s="274" t="n">
        <v>49</v>
      </c>
      <c r="L363" s="274" t="n">
        <v>19</v>
      </c>
      <c r="M363" s="274" t="inlineStr">
        <is>
          <t>복도식</t>
        </is>
      </c>
      <c r="N363" s="274" t="n">
        <v>2</v>
      </c>
      <c r="O363" s="274" t="n">
        <v>1</v>
      </c>
      <c r="P363" s="274" t="n">
        <v>10</v>
      </c>
      <c r="Q363" s="274" t="n"/>
      <c r="R363" s="274" t="n"/>
      <c r="S363" s="274" t="n"/>
      <c r="T363" s="274" t="n"/>
      <c r="U363" s="274" t="n">
        <v>1.85</v>
      </c>
      <c r="V363" s="274" t="n">
        <v>1.85</v>
      </c>
      <c r="W363" s="274" t="n"/>
      <c r="X363" s="274" t="n"/>
      <c r="Y363" s="274" t="n"/>
      <c r="Z363" s="274" t="n"/>
      <c r="AA363" s="274" t="n"/>
      <c r="AB363" s="274" t="n"/>
      <c r="AC363" s="274" t="n"/>
      <c r="AD363" s="274" t="n"/>
      <c r="AE363" s="274" t="n"/>
      <c r="AF363" s="274" t="n"/>
      <c r="AG363" s="274" t="n"/>
      <c r="AH363" s="274" t="n"/>
      <c r="AI363" s="274" t="n"/>
      <c r="AJ363" s="274" t="n"/>
      <c r="AK363" s="274" t="n"/>
    </row>
    <row r="364">
      <c r="A364" s="274" t="inlineStr">
        <is>
          <t>화곡동</t>
        </is>
      </c>
      <c r="B364" s="274" t="n"/>
      <c r="C364" s="274" t="n"/>
      <c r="D364" s="274" t="n">
        <v>44</v>
      </c>
      <c r="E364" s="275" t="inlineStr">
        <is>
          <t>중앙하이츠</t>
        </is>
      </c>
      <c r="F364" s="274" t="n">
        <v>1988.12</v>
      </c>
      <c r="G364" s="274" t="n">
        <v>473</v>
      </c>
      <c r="H364" s="274">
        <f>2026-INT(F364)+1</f>
        <v/>
      </c>
      <c r="I364" s="274" t="n"/>
      <c r="J364" s="274" t="n">
        <v>74</v>
      </c>
      <c r="K364" s="274" t="n">
        <v>56</v>
      </c>
      <c r="L364" s="274" t="n">
        <v>22</v>
      </c>
      <c r="M364" s="274" t="inlineStr">
        <is>
          <t>복도식</t>
        </is>
      </c>
      <c r="N364" s="274" t="n">
        <v>3</v>
      </c>
      <c r="O364" s="274" t="n">
        <v>1</v>
      </c>
      <c r="P364" s="274" t="n">
        <v>252</v>
      </c>
      <c r="Q364" s="274" t="n"/>
      <c r="R364" s="274" t="n"/>
      <c r="S364" s="274" t="n"/>
      <c r="T364" s="274" t="n"/>
      <c r="U364" s="274" t="n">
        <v>5.7</v>
      </c>
      <c r="V364" s="274" t="n">
        <v>4.35</v>
      </c>
      <c r="W364" s="274" t="n"/>
      <c r="X364" s="274" t="n"/>
      <c r="Y364" s="274" t="n"/>
      <c r="Z364" s="274" t="n"/>
      <c r="AA364" s="274" t="n"/>
      <c r="AB364" s="274" t="n"/>
      <c r="AC364" s="274" t="n"/>
      <c r="AD364" s="274" t="n"/>
      <c r="AE364" s="274" t="n"/>
      <c r="AF364" s="274" t="n"/>
      <c r="AG364" s="274" t="n"/>
      <c r="AH364" s="274" t="n"/>
      <c r="AI364" s="274" t="n"/>
      <c r="AJ364" s="274" t="n"/>
      <c r="AK364" s="274" t="n"/>
    </row>
    <row r="365">
      <c r="A365" s="274" t="inlineStr">
        <is>
          <t>화곡동</t>
        </is>
      </c>
      <c r="B365" s="274" t="n"/>
      <c r="C365" s="274" t="n"/>
      <c r="D365" s="274" t="n">
        <v>44</v>
      </c>
      <c r="E365" s="275" t="inlineStr">
        <is>
          <t>중앙하이츠</t>
        </is>
      </c>
      <c r="F365" s="274" t="n">
        <v>1988.12</v>
      </c>
      <c r="G365" s="274" t="n">
        <v>473</v>
      </c>
      <c r="H365" s="274">
        <f>2026-INT(F365)+1</f>
        <v/>
      </c>
      <c r="I365" s="274" t="n"/>
      <c r="J365" s="274" t="n">
        <v>86</v>
      </c>
      <c r="K365" s="274" t="n">
        <v>66</v>
      </c>
      <c r="L365" s="274" t="n">
        <v>26</v>
      </c>
      <c r="M365" s="274" t="inlineStr">
        <is>
          <t>복도식</t>
        </is>
      </c>
      <c r="N365" s="274" t="n">
        <v>2</v>
      </c>
      <c r="O365" s="274" t="n">
        <v>1</v>
      </c>
      <c r="P365" s="274" t="n">
        <v>23</v>
      </c>
      <c r="Q365" s="274" t="n"/>
      <c r="R365" s="274" t="n"/>
      <c r="S365" s="274" t="n"/>
      <c r="T365" s="274" t="n"/>
      <c r="U365" s="274" t="n"/>
      <c r="V365" s="274" t="n">
        <v>4.65</v>
      </c>
      <c r="W365" s="274" t="n"/>
      <c r="X365" s="274" t="n"/>
      <c r="Y365" s="274" t="n"/>
      <c r="Z365" s="274" t="n"/>
      <c r="AA365" s="274" t="n"/>
      <c r="AB365" s="274" t="n"/>
      <c r="AC365" s="274" t="n"/>
      <c r="AD365" s="274" t="n"/>
      <c r="AE365" s="274" t="n"/>
      <c r="AF365" s="274" t="n"/>
      <c r="AG365" s="274" t="n"/>
      <c r="AH365" s="274" t="n"/>
      <c r="AI365" s="274" t="n"/>
      <c r="AJ365" s="274" t="n"/>
      <c r="AK365" s="274" t="n"/>
    </row>
    <row r="366">
      <c r="A366" s="274" t="inlineStr">
        <is>
          <t>화곡동</t>
        </is>
      </c>
      <c r="B366" s="274" t="n"/>
      <c r="C366" s="274" t="n"/>
      <c r="D366" s="274" t="n">
        <v>44</v>
      </c>
      <c r="E366" s="275" t="inlineStr">
        <is>
          <t>중앙하이츠</t>
        </is>
      </c>
      <c r="F366" s="274" t="n">
        <v>1988.12</v>
      </c>
      <c r="G366" s="274" t="n">
        <v>473</v>
      </c>
      <c r="H366" s="274">
        <f>2026-INT(F366)+1</f>
        <v/>
      </c>
      <c r="I366" s="274" t="n"/>
      <c r="J366" s="274" t="n">
        <v>96</v>
      </c>
      <c r="K366" s="274" t="n">
        <v>74</v>
      </c>
      <c r="L366" s="274" t="n">
        <v>29</v>
      </c>
      <c r="M366" s="274" t="inlineStr">
        <is>
          <t>복도식</t>
        </is>
      </c>
      <c r="N366" s="274" t="n">
        <v>3</v>
      </c>
      <c r="O366" s="274" t="n">
        <v>1</v>
      </c>
      <c r="P366" s="274" t="n">
        <v>168</v>
      </c>
      <c r="Q366" s="274" t="n"/>
      <c r="R366" s="274" t="n"/>
      <c r="S366" s="274" t="n"/>
      <c r="T366" s="274" t="n"/>
      <c r="U366" s="274" t="n">
        <v>6.3</v>
      </c>
      <c r="V366" s="274" t="n">
        <v>4.3</v>
      </c>
      <c r="W366" s="274" t="n"/>
      <c r="X366" s="274" t="n"/>
      <c r="Y366" s="274" t="n"/>
      <c r="Z366" s="274" t="n"/>
      <c r="AA366" s="274" t="n"/>
      <c r="AB366" s="274" t="n"/>
      <c r="AC366" s="274" t="n"/>
      <c r="AD366" s="274" t="n"/>
      <c r="AE366" s="274" t="n"/>
      <c r="AF366" s="274" t="n"/>
      <c r="AG366" s="274" t="n"/>
      <c r="AH366" s="274" t="n"/>
      <c r="AI366" s="274" t="n"/>
      <c r="AJ366" s="274" t="n"/>
      <c r="AK366" s="274" t="n"/>
    </row>
    <row r="367">
      <c r="A367" s="458" t="inlineStr">
        <is>
          <t>화곡동</t>
        </is>
      </c>
      <c r="D367" s="458" t="n">
        <v>1038</v>
      </c>
      <c r="E367" s="277" t="inlineStr">
        <is>
          <t>초록</t>
        </is>
      </c>
      <c r="F367" s="458" t="n">
        <v>1998.11</v>
      </c>
      <c r="G367" s="458" t="n">
        <v>625</v>
      </c>
      <c r="H367" s="458">
        <f>2026-INT(F367)+1</f>
        <v/>
      </c>
      <c r="J367" s="458" t="n">
        <v>68</v>
      </c>
      <c r="K367" s="458" t="n">
        <v>49</v>
      </c>
      <c r="L367" s="458" t="n">
        <v>21</v>
      </c>
      <c r="M367" s="458" t="inlineStr">
        <is>
          <t>복도식</t>
        </is>
      </c>
      <c r="N367" s="458" t="n">
        <v>2</v>
      </c>
      <c r="O367" s="458" t="n">
        <v>1</v>
      </c>
      <c r="P367" s="458" t="n">
        <v>158</v>
      </c>
      <c r="U367" s="458" t="n">
        <v>7</v>
      </c>
      <c r="V367" s="458" t="n">
        <v>4.75</v>
      </c>
    </row>
    <row r="368">
      <c r="A368" s="458" t="inlineStr">
        <is>
          <t>화곡동</t>
        </is>
      </c>
      <c r="D368" s="458" t="n">
        <v>1038</v>
      </c>
      <c r="E368" s="277" t="inlineStr">
        <is>
          <t>초록</t>
        </is>
      </c>
      <c r="F368" s="458" t="n">
        <v>1998.11</v>
      </c>
      <c r="G368" s="458" t="n">
        <v>625</v>
      </c>
      <c r="H368" s="458">
        <f>2026-INT(F368)+1</f>
        <v/>
      </c>
      <c r="J368" s="458" t="n">
        <v>82</v>
      </c>
      <c r="K368" s="458" t="n">
        <v>58</v>
      </c>
      <c r="L368" s="458" t="n">
        <v>25</v>
      </c>
      <c r="M368" s="458" t="inlineStr">
        <is>
          <t>복도식</t>
        </is>
      </c>
      <c r="N368" s="458" t="n">
        <v>3</v>
      </c>
      <c r="O368" s="458" t="n">
        <v>1</v>
      </c>
      <c r="P368" s="458" t="n">
        <v>6</v>
      </c>
      <c r="U368" s="458" t="n">
        <v>8.4</v>
      </c>
      <c r="V368" s="458" t="n">
        <v>6</v>
      </c>
    </row>
    <row r="369">
      <c r="A369" s="458" t="inlineStr">
        <is>
          <t>화곡동</t>
        </is>
      </c>
      <c r="D369" s="458" t="n">
        <v>1038</v>
      </c>
      <c r="E369" s="277" t="inlineStr">
        <is>
          <t>초록</t>
        </is>
      </c>
      <c r="F369" s="458" t="n">
        <v>1998.11</v>
      </c>
      <c r="G369" s="458" t="n">
        <v>625</v>
      </c>
      <c r="H369" s="458">
        <f>2026-INT(F369)+1</f>
        <v/>
      </c>
      <c r="J369" s="458" t="n">
        <v>83</v>
      </c>
      <c r="K369" s="458" t="n">
        <v>59</v>
      </c>
      <c r="L369" s="458" t="n">
        <v>25</v>
      </c>
      <c r="M369" s="458" t="inlineStr">
        <is>
          <t>복도식</t>
        </is>
      </c>
      <c r="N369" s="458" t="n">
        <v>3</v>
      </c>
      <c r="O369" s="458" t="n">
        <v>1</v>
      </c>
      <c r="P369" s="458" t="n">
        <v>341</v>
      </c>
      <c r="U369" s="458" t="n">
        <v>8.4</v>
      </c>
      <c r="V369" s="458" t="n">
        <v>6</v>
      </c>
    </row>
    <row r="370">
      <c r="A370" s="458" t="inlineStr">
        <is>
          <t>화곡동</t>
        </is>
      </c>
      <c r="D370" s="458" t="n">
        <v>1038</v>
      </c>
      <c r="E370" s="277" t="inlineStr">
        <is>
          <t>초록</t>
        </is>
      </c>
      <c r="F370" s="458" t="n">
        <v>1998.11</v>
      </c>
      <c r="G370" s="458" t="n">
        <v>625</v>
      </c>
      <c r="H370" s="458">
        <f>2026-INT(F370)+1</f>
        <v/>
      </c>
      <c r="J370" s="458" t="n">
        <v>106</v>
      </c>
      <c r="K370" s="458" t="n">
        <v>84</v>
      </c>
      <c r="L370" s="458" t="n">
        <v>32</v>
      </c>
      <c r="M370" s="458" t="inlineStr">
        <is>
          <t>계단식</t>
        </is>
      </c>
      <c r="N370" s="458" t="n">
        <v>3</v>
      </c>
      <c r="O370" s="458" t="n">
        <v>2</v>
      </c>
      <c r="P370" s="458" t="n">
        <v>117</v>
      </c>
      <c r="U370" s="458" t="n">
        <v>8.300000000000001</v>
      </c>
      <c r="V370" s="458" t="n">
        <v>7.5</v>
      </c>
    </row>
    <row r="371">
      <c r="A371" s="458" t="inlineStr">
        <is>
          <t>화곡동</t>
        </is>
      </c>
      <c r="D371" s="458" t="n">
        <v>1038</v>
      </c>
      <c r="E371" s="277" t="inlineStr">
        <is>
          <t>초록</t>
        </is>
      </c>
      <c r="F371" s="458" t="n">
        <v>1998.11</v>
      </c>
      <c r="G371" s="458" t="n">
        <v>625</v>
      </c>
      <c r="H371" s="458">
        <f>2026-INT(F371)+1</f>
        <v/>
      </c>
      <c r="J371" s="458" t="n">
        <v>106</v>
      </c>
      <c r="K371" s="458" t="n">
        <v>83</v>
      </c>
      <c r="L371" s="458" t="n">
        <v>32</v>
      </c>
      <c r="M371" s="458" t="inlineStr">
        <is>
          <t>계단식</t>
        </is>
      </c>
      <c r="N371" s="458" t="n">
        <v>3</v>
      </c>
      <c r="O371" s="458" t="n">
        <v>2</v>
      </c>
      <c r="P371" s="458" t="n">
        <v>3</v>
      </c>
      <c r="U371" s="458" t="n">
        <v>8.300000000000001</v>
      </c>
      <c r="V371" s="458" t="n">
        <v>7.5</v>
      </c>
    </row>
    <row r="372">
      <c r="A372" s="274" t="inlineStr">
        <is>
          <t>화곡동</t>
        </is>
      </c>
      <c r="B372" s="274" t="n"/>
      <c r="C372" s="274" t="n"/>
      <c r="D372" s="274" t="n">
        <v>42</v>
      </c>
      <c r="E372" s="275" t="inlineStr">
        <is>
          <t>화곡대림</t>
        </is>
      </c>
      <c r="F372" s="274" t="n">
        <v>1992.08</v>
      </c>
      <c r="G372" s="274" t="n">
        <v>416</v>
      </c>
      <c r="H372" s="274">
        <f>2026-INT(F372)+1</f>
        <v/>
      </c>
      <c r="I372" s="274" t="n"/>
      <c r="J372" s="274" t="n">
        <v>101</v>
      </c>
      <c r="K372" s="274" t="n">
        <v>84</v>
      </c>
      <c r="L372" s="274" t="n">
        <v>31</v>
      </c>
      <c r="M372" s="274" t="inlineStr">
        <is>
          <t>계단식</t>
        </is>
      </c>
      <c r="N372" s="274" t="n">
        <v>3</v>
      </c>
      <c r="O372" s="274" t="n">
        <v>2</v>
      </c>
      <c r="P372" s="274" t="n">
        <v>268</v>
      </c>
      <c r="Q372" s="274" t="n"/>
      <c r="R372" s="274" t="n"/>
      <c r="S372" s="274" t="n"/>
      <c r="T372" s="274" t="n"/>
      <c r="U372" s="274" t="n">
        <v>7.45</v>
      </c>
      <c r="V372" s="274" t="n">
        <v>6.5</v>
      </c>
      <c r="W372" s="274" t="n"/>
      <c r="X372" s="274" t="n"/>
      <c r="Y372" s="274" t="n"/>
      <c r="Z372" s="274" t="n"/>
      <c r="AA372" s="274" t="n"/>
      <c r="AB372" s="274" t="n"/>
      <c r="AC372" s="274" t="n"/>
      <c r="AD372" s="274" t="n"/>
      <c r="AE372" s="274" t="n"/>
      <c r="AF372" s="274" t="n"/>
      <c r="AG372" s="274" t="n"/>
      <c r="AH372" s="274" t="n"/>
      <c r="AI372" s="274" t="n"/>
      <c r="AJ372" s="274" t="n"/>
      <c r="AK372" s="274" t="n"/>
    </row>
    <row r="373">
      <c r="A373" s="274" t="inlineStr">
        <is>
          <t>화곡동</t>
        </is>
      </c>
      <c r="B373" s="274" t="n"/>
      <c r="C373" s="274" t="n"/>
      <c r="D373" s="274" t="n">
        <v>42</v>
      </c>
      <c r="E373" s="275" t="inlineStr">
        <is>
          <t>화곡대림</t>
        </is>
      </c>
      <c r="F373" s="274" t="n">
        <v>1992.08</v>
      </c>
      <c r="G373" s="274" t="n">
        <v>416</v>
      </c>
      <c r="H373" s="274">
        <f>2026-INT(F373)+1</f>
        <v/>
      </c>
      <c r="I373" s="274" t="n"/>
      <c r="J373" s="274" t="n">
        <v>129</v>
      </c>
      <c r="K373" s="274" t="n">
        <v>110</v>
      </c>
      <c r="L373" s="274" t="n">
        <v>39</v>
      </c>
      <c r="M373" s="274" t="inlineStr">
        <is>
          <t>계단식</t>
        </is>
      </c>
      <c r="N373" s="274" t="n">
        <v>4</v>
      </c>
      <c r="O373" s="274" t="n">
        <v>2</v>
      </c>
      <c r="P373" s="274" t="n">
        <v>148</v>
      </c>
      <c r="Q373" s="274" t="n"/>
      <c r="R373" s="274" t="n"/>
      <c r="S373" s="274" t="n"/>
      <c r="T373" s="274" t="n"/>
      <c r="U373" s="274" t="n">
        <v>8.699999999999999</v>
      </c>
      <c r="V373" s="274" t="n">
        <v>8.199999999999999</v>
      </c>
      <c r="W373" s="274" t="n"/>
      <c r="X373" s="274" t="n"/>
      <c r="Y373" s="274" t="n"/>
      <c r="Z373" s="274" t="n"/>
      <c r="AA373" s="274" t="n"/>
      <c r="AB373" s="274" t="n"/>
      <c r="AC373" s="274" t="n"/>
      <c r="AD373" s="274" t="n"/>
      <c r="AE373" s="274" t="n"/>
      <c r="AF373" s="274" t="n"/>
      <c r="AG373" s="274" t="n"/>
      <c r="AH373" s="274" t="n"/>
      <c r="AI373" s="274" t="n"/>
      <c r="AJ373" s="274" t="n"/>
      <c r="AK373" s="274" t="n"/>
    </row>
    <row r="374">
      <c r="A374" s="458" t="inlineStr">
        <is>
          <t>화곡동</t>
        </is>
      </c>
      <c r="D374" s="458" t="n">
        <v>3330</v>
      </c>
      <c r="E374" s="277" t="inlineStr">
        <is>
          <t>화곡푸르지오</t>
        </is>
      </c>
      <c r="F374" s="458" t="n">
        <v>2002.1</v>
      </c>
      <c r="G374" s="458" t="n">
        <v>2176</v>
      </c>
      <c r="H374" s="458">
        <f>2026-INT(F374)+1</f>
        <v/>
      </c>
      <c r="J374" s="458" t="n">
        <v>114</v>
      </c>
      <c r="K374" s="458" t="n">
        <v>84</v>
      </c>
      <c r="L374" s="458" t="n">
        <v>34</v>
      </c>
      <c r="M374" s="458" t="inlineStr">
        <is>
          <t>계단식</t>
        </is>
      </c>
      <c r="N374" s="458" t="n">
        <v>3</v>
      </c>
      <c r="O374" s="458" t="n">
        <v>2</v>
      </c>
      <c r="P374" s="458" t="n">
        <v>506</v>
      </c>
      <c r="U374" s="458" t="n">
        <v>12.05</v>
      </c>
      <c r="V374" s="458" t="n">
        <v>7.55</v>
      </c>
    </row>
    <row r="375">
      <c r="A375" s="458" t="inlineStr">
        <is>
          <t>화곡동</t>
        </is>
      </c>
      <c r="D375" s="458" t="n">
        <v>3330</v>
      </c>
      <c r="E375" s="277" t="inlineStr">
        <is>
          <t>화곡푸르지오</t>
        </is>
      </c>
      <c r="F375" s="458" t="n">
        <v>2002.1</v>
      </c>
      <c r="G375" s="458" t="n">
        <v>2176</v>
      </c>
      <c r="H375" s="458">
        <f>2026-INT(F375)+1</f>
        <v/>
      </c>
      <c r="J375" s="458" t="n">
        <v>125</v>
      </c>
      <c r="K375" s="458" t="n">
        <v>94</v>
      </c>
      <c r="L375" s="458" t="n">
        <v>38</v>
      </c>
      <c r="M375" s="458" t="inlineStr">
        <is>
          <t>계단식</t>
        </is>
      </c>
      <c r="N375" s="458" t="n">
        <v>3</v>
      </c>
      <c r="O375" s="458" t="n">
        <v>2</v>
      </c>
      <c r="P375" s="458" t="n">
        <v>14</v>
      </c>
    </row>
    <row r="376">
      <c r="A376" s="458" t="inlineStr">
        <is>
          <t>화곡동</t>
        </is>
      </c>
      <c r="D376" s="458" t="n">
        <v>3330</v>
      </c>
      <c r="E376" s="277" t="inlineStr">
        <is>
          <t>화곡푸르지오</t>
        </is>
      </c>
      <c r="F376" s="458" t="n">
        <v>2002.1</v>
      </c>
      <c r="G376" s="458" t="n">
        <v>2176</v>
      </c>
      <c r="H376" s="458">
        <f>2026-INT(F376)+1</f>
        <v/>
      </c>
      <c r="J376" s="458" t="n">
        <v>136</v>
      </c>
      <c r="K376" s="458" t="n">
        <v>103</v>
      </c>
      <c r="L376" s="458" t="n">
        <v>41</v>
      </c>
      <c r="M376" s="458" t="inlineStr">
        <is>
          <t>계단식</t>
        </is>
      </c>
      <c r="N376" s="458" t="n">
        <v>4</v>
      </c>
      <c r="O376" s="458" t="n">
        <v>2</v>
      </c>
      <c r="P376" s="458" t="n">
        <v>195</v>
      </c>
      <c r="U376" s="458" t="n">
        <v>12.4</v>
      </c>
      <c r="V376" s="458" t="n">
        <v>8</v>
      </c>
    </row>
    <row r="377">
      <c r="A377" s="458" t="inlineStr">
        <is>
          <t>화곡동</t>
        </is>
      </c>
      <c r="D377" s="458" t="n">
        <v>3330</v>
      </c>
      <c r="E377" s="277" t="inlineStr">
        <is>
          <t>화곡푸르지오</t>
        </is>
      </c>
      <c r="F377" s="458" t="n">
        <v>2002.1</v>
      </c>
      <c r="G377" s="458" t="n">
        <v>2176</v>
      </c>
      <c r="H377" s="458">
        <f>2026-INT(F377)+1</f>
        <v/>
      </c>
      <c r="J377" s="458" t="n">
        <v>137</v>
      </c>
      <c r="K377" s="458" t="n">
        <v>104</v>
      </c>
      <c r="L377" s="458" t="n">
        <v>41</v>
      </c>
      <c r="M377" s="458" t="inlineStr">
        <is>
          <t>계단식</t>
        </is>
      </c>
      <c r="N377" s="458" t="n">
        <v>4</v>
      </c>
      <c r="O377" s="458" t="n">
        <v>2</v>
      </c>
      <c r="P377" s="458" t="n">
        <v>210</v>
      </c>
      <c r="U377" s="458" t="n">
        <v>12.4</v>
      </c>
      <c r="V377" s="458" t="n">
        <v>8</v>
      </c>
    </row>
    <row r="378">
      <c r="A378" s="458" t="inlineStr">
        <is>
          <t>화곡동</t>
        </is>
      </c>
      <c r="D378" s="458" t="n">
        <v>3330</v>
      </c>
      <c r="E378" s="277" t="inlineStr">
        <is>
          <t>화곡푸르지오</t>
        </is>
      </c>
      <c r="F378" s="458" t="n">
        <v>2002.1</v>
      </c>
      <c r="G378" s="458" t="n">
        <v>2176</v>
      </c>
      <c r="H378" s="458">
        <f>2026-INT(F378)+1</f>
        <v/>
      </c>
      <c r="J378" s="458" t="n">
        <v>164</v>
      </c>
      <c r="K378" s="458" t="n">
        <v>125</v>
      </c>
      <c r="L378" s="458" t="n">
        <v>50</v>
      </c>
      <c r="M378" s="458" t="inlineStr">
        <is>
          <t>계단식</t>
        </is>
      </c>
      <c r="N378" s="458" t="n">
        <v>4</v>
      </c>
      <c r="O378" s="458" t="n">
        <v>2</v>
      </c>
      <c r="P378" s="458" t="n">
        <v>341</v>
      </c>
      <c r="U378" s="458" t="n">
        <v>12.6</v>
      </c>
      <c r="V378" s="458" t="n">
        <v>10.5</v>
      </c>
    </row>
    <row r="379">
      <c r="A379" s="458" t="inlineStr">
        <is>
          <t>화곡동</t>
        </is>
      </c>
      <c r="D379" s="458" t="n">
        <v>3330</v>
      </c>
      <c r="E379" s="277" t="inlineStr">
        <is>
          <t>화곡푸르지오</t>
        </is>
      </c>
      <c r="F379" s="458" t="n">
        <v>2002.1</v>
      </c>
      <c r="G379" s="458" t="n">
        <v>2176</v>
      </c>
      <c r="H379" s="458">
        <f>2026-INT(F379)+1</f>
        <v/>
      </c>
      <c r="J379" s="458" t="n">
        <v>165</v>
      </c>
      <c r="K379" s="458" t="n">
        <v>130</v>
      </c>
      <c r="L379" s="458" t="n">
        <v>50</v>
      </c>
      <c r="M379" s="458" t="inlineStr">
        <is>
          <t>계단식</t>
        </is>
      </c>
      <c r="N379" s="458" t="n">
        <v>4</v>
      </c>
      <c r="O379" s="458" t="n">
        <v>2</v>
      </c>
      <c r="P379" s="458" t="n">
        <v>98</v>
      </c>
    </row>
    <row r="380">
      <c r="A380" s="458" t="inlineStr">
        <is>
          <t>화곡동</t>
        </is>
      </c>
      <c r="D380" s="458" t="n">
        <v>3330</v>
      </c>
      <c r="E380" s="277" t="inlineStr">
        <is>
          <t>화곡푸르지오</t>
        </is>
      </c>
      <c r="F380" s="458" t="n">
        <v>2002.1</v>
      </c>
      <c r="G380" s="458" t="n">
        <v>2176</v>
      </c>
      <c r="H380" s="458">
        <f>2026-INT(F380)+1</f>
        <v/>
      </c>
      <c r="J380" s="458" t="n">
        <v>165</v>
      </c>
      <c r="K380" s="458" t="n">
        <v>129</v>
      </c>
      <c r="L380" s="458" t="n">
        <v>50</v>
      </c>
      <c r="M380" s="458" t="inlineStr">
        <is>
          <t>계단식</t>
        </is>
      </c>
      <c r="N380" s="458" t="n">
        <v>4</v>
      </c>
      <c r="O380" s="458" t="n">
        <v>2</v>
      </c>
      <c r="P380" s="458" t="n">
        <v>56</v>
      </c>
    </row>
    <row r="381">
      <c r="A381" s="458" t="inlineStr">
        <is>
          <t>화곡동</t>
        </is>
      </c>
      <c r="D381" s="458" t="n">
        <v>3330</v>
      </c>
      <c r="E381" s="277" t="inlineStr">
        <is>
          <t>화곡푸르지오</t>
        </is>
      </c>
      <c r="F381" s="458" t="n">
        <v>2002.1</v>
      </c>
      <c r="G381" s="458" t="n">
        <v>2176</v>
      </c>
      <c r="H381" s="458">
        <f>2026-INT(F381)+1</f>
        <v/>
      </c>
      <c r="J381" s="458" t="n">
        <v>186</v>
      </c>
      <c r="K381" s="458" t="n">
        <v>144</v>
      </c>
      <c r="L381" s="458" t="n">
        <v>56</v>
      </c>
      <c r="M381" s="458" t="inlineStr">
        <is>
          <t>계단식</t>
        </is>
      </c>
      <c r="N381" s="458" t="n">
        <v>4</v>
      </c>
      <c r="O381" s="458" t="n">
        <v>2</v>
      </c>
      <c r="P381" s="458" t="n">
        <v>391</v>
      </c>
      <c r="U381" s="458" t="n">
        <v>14.5</v>
      </c>
      <c r="V381" s="458" t="n">
        <v>11.15</v>
      </c>
    </row>
    <row r="382">
      <c r="A382" s="458" t="inlineStr">
        <is>
          <t>화곡동</t>
        </is>
      </c>
      <c r="D382" s="458" t="n">
        <v>3330</v>
      </c>
      <c r="E382" s="277" t="inlineStr">
        <is>
          <t>화곡푸르지오</t>
        </is>
      </c>
      <c r="F382" s="458" t="n">
        <v>2002.1</v>
      </c>
      <c r="G382" s="458" t="n">
        <v>2176</v>
      </c>
      <c r="H382" s="458">
        <f>2026-INT(F382)+1</f>
        <v/>
      </c>
      <c r="J382" s="458" t="n">
        <v>204</v>
      </c>
      <c r="K382" s="458" t="n">
        <v>156</v>
      </c>
      <c r="L382" s="458" t="n">
        <v>62</v>
      </c>
      <c r="M382" s="458" t="inlineStr">
        <is>
          <t>계단식</t>
        </is>
      </c>
      <c r="N382" s="458" t="n">
        <v>5</v>
      </c>
      <c r="O382" s="458" t="n">
        <v>2</v>
      </c>
      <c r="P382" s="458" t="n">
        <v>345</v>
      </c>
      <c r="U382" s="458" t="n">
        <v>14.9</v>
      </c>
      <c r="V382" s="458" t="n">
        <v>13</v>
      </c>
    </row>
    <row r="383">
      <c r="A383" s="458" t="inlineStr">
        <is>
          <t>화곡동</t>
        </is>
      </c>
      <c r="D383" s="458" t="n">
        <v>3330</v>
      </c>
      <c r="E383" s="277" t="inlineStr">
        <is>
          <t>화곡푸르지오</t>
        </is>
      </c>
      <c r="F383" s="458" t="n">
        <v>2002.1</v>
      </c>
      <c r="G383" s="458" t="n">
        <v>2176</v>
      </c>
      <c r="H383" s="458">
        <f>2026-INT(F383)+1</f>
        <v/>
      </c>
      <c r="J383" s="458" t="n">
        <v>235</v>
      </c>
      <c r="K383" s="458" t="n">
        <v>192</v>
      </c>
      <c r="L383" s="458" t="n">
        <v>71</v>
      </c>
      <c r="M383" s="458" t="inlineStr">
        <is>
          <t>계단식</t>
        </is>
      </c>
      <c r="N383" s="458" t="n">
        <v>5</v>
      </c>
      <c r="O383" s="458" t="n">
        <v>2</v>
      </c>
      <c r="P383" s="458" t="n">
        <v>20</v>
      </c>
      <c r="U383" s="458" t="n">
        <v>20</v>
      </c>
      <c r="V383" s="458" t="n">
        <v>20</v>
      </c>
    </row>
  </sheetData>
  <mergeCells count="2">
    <mergeCell ref="B3:C3"/>
    <mergeCell ref="AH3:AL3"/>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 xmlns:r="http://schemas.openxmlformats.org/officeDocument/2006/relationships" ref="E236" r:id="rId232"/>
    <hyperlink xmlns:r="http://schemas.openxmlformats.org/officeDocument/2006/relationships" ref="E237" r:id="rId233"/>
    <hyperlink xmlns:r="http://schemas.openxmlformats.org/officeDocument/2006/relationships" ref="E238" r:id="rId234"/>
    <hyperlink xmlns:r="http://schemas.openxmlformats.org/officeDocument/2006/relationships" ref="E239" r:id="rId235"/>
    <hyperlink xmlns:r="http://schemas.openxmlformats.org/officeDocument/2006/relationships" ref="E240" r:id="rId236"/>
    <hyperlink xmlns:r="http://schemas.openxmlformats.org/officeDocument/2006/relationships" ref="E241" r:id="rId237"/>
    <hyperlink xmlns:r="http://schemas.openxmlformats.org/officeDocument/2006/relationships" ref="E242" r:id="rId238"/>
    <hyperlink xmlns:r="http://schemas.openxmlformats.org/officeDocument/2006/relationships" ref="E243" r:id="rId239"/>
    <hyperlink xmlns:r="http://schemas.openxmlformats.org/officeDocument/2006/relationships" ref="E244" r:id="rId240"/>
    <hyperlink xmlns:r="http://schemas.openxmlformats.org/officeDocument/2006/relationships" ref="E245" r:id="rId241"/>
    <hyperlink xmlns:r="http://schemas.openxmlformats.org/officeDocument/2006/relationships" ref="E246" r:id="rId242"/>
    <hyperlink xmlns:r="http://schemas.openxmlformats.org/officeDocument/2006/relationships" ref="E247" r:id="rId243"/>
    <hyperlink xmlns:r="http://schemas.openxmlformats.org/officeDocument/2006/relationships" ref="E248" r:id="rId244"/>
    <hyperlink xmlns:r="http://schemas.openxmlformats.org/officeDocument/2006/relationships" ref="E249" r:id="rId245"/>
    <hyperlink xmlns:r="http://schemas.openxmlformats.org/officeDocument/2006/relationships" ref="E250" r:id="rId246"/>
    <hyperlink xmlns:r="http://schemas.openxmlformats.org/officeDocument/2006/relationships" ref="E251" r:id="rId247"/>
    <hyperlink xmlns:r="http://schemas.openxmlformats.org/officeDocument/2006/relationships" ref="E252" r:id="rId248"/>
    <hyperlink xmlns:r="http://schemas.openxmlformats.org/officeDocument/2006/relationships" ref="E253" r:id="rId249"/>
    <hyperlink xmlns:r="http://schemas.openxmlformats.org/officeDocument/2006/relationships" ref="E254" r:id="rId250"/>
    <hyperlink xmlns:r="http://schemas.openxmlformats.org/officeDocument/2006/relationships" ref="E255" r:id="rId251"/>
    <hyperlink xmlns:r="http://schemas.openxmlformats.org/officeDocument/2006/relationships" ref="E256" r:id="rId252"/>
    <hyperlink xmlns:r="http://schemas.openxmlformats.org/officeDocument/2006/relationships" ref="E257" r:id="rId253"/>
    <hyperlink xmlns:r="http://schemas.openxmlformats.org/officeDocument/2006/relationships" ref="E258" r:id="rId254"/>
    <hyperlink xmlns:r="http://schemas.openxmlformats.org/officeDocument/2006/relationships" ref="E259" r:id="rId255"/>
    <hyperlink xmlns:r="http://schemas.openxmlformats.org/officeDocument/2006/relationships" ref="E260" r:id="rId256"/>
    <hyperlink xmlns:r="http://schemas.openxmlformats.org/officeDocument/2006/relationships" ref="E261" r:id="rId257"/>
    <hyperlink xmlns:r="http://schemas.openxmlformats.org/officeDocument/2006/relationships" ref="E262" r:id="rId258"/>
    <hyperlink xmlns:r="http://schemas.openxmlformats.org/officeDocument/2006/relationships" ref="E263" r:id="rId259"/>
    <hyperlink xmlns:r="http://schemas.openxmlformats.org/officeDocument/2006/relationships" ref="E264" r:id="rId260"/>
    <hyperlink xmlns:r="http://schemas.openxmlformats.org/officeDocument/2006/relationships" ref="E265" r:id="rId261"/>
    <hyperlink xmlns:r="http://schemas.openxmlformats.org/officeDocument/2006/relationships" ref="E266" r:id="rId262"/>
    <hyperlink xmlns:r="http://schemas.openxmlformats.org/officeDocument/2006/relationships" ref="E267" r:id="rId263"/>
    <hyperlink xmlns:r="http://schemas.openxmlformats.org/officeDocument/2006/relationships" ref="E268" r:id="rId264"/>
    <hyperlink xmlns:r="http://schemas.openxmlformats.org/officeDocument/2006/relationships" ref="E269" r:id="rId265"/>
    <hyperlink xmlns:r="http://schemas.openxmlformats.org/officeDocument/2006/relationships" ref="E270" r:id="rId266"/>
    <hyperlink xmlns:r="http://schemas.openxmlformats.org/officeDocument/2006/relationships" ref="E271" r:id="rId267"/>
    <hyperlink xmlns:r="http://schemas.openxmlformats.org/officeDocument/2006/relationships" ref="E272" r:id="rId268"/>
    <hyperlink xmlns:r="http://schemas.openxmlformats.org/officeDocument/2006/relationships" ref="E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E276" r:id="rId272"/>
    <hyperlink xmlns:r="http://schemas.openxmlformats.org/officeDocument/2006/relationships" ref="E277" r:id="rId273"/>
    <hyperlink xmlns:r="http://schemas.openxmlformats.org/officeDocument/2006/relationships" ref="E278" r:id="rId274"/>
    <hyperlink xmlns:r="http://schemas.openxmlformats.org/officeDocument/2006/relationships" ref="E279" r:id="rId275"/>
    <hyperlink xmlns:r="http://schemas.openxmlformats.org/officeDocument/2006/relationships" ref="E280" r:id="rId276"/>
    <hyperlink xmlns:r="http://schemas.openxmlformats.org/officeDocument/2006/relationships" ref="E281" r:id="rId277"/>
    <hyperlink xmlns:r="http://schemas.openxmlformats.org/officeDocument/2006/relationships" ref="E282" r:id="rId278"/>
    <hyperlink xmlns:r="http://schemas.openxmlformats.org/officeDocument/2006/relationships" ref="E283" r:id="rId279"/>
    <hyperlink xmlns:r="http://schemas.openxmlformats.org/officeDocument/2006/relationships" ref="E284" r:id="rId280"/>
    <hyperlink xmlns:r="http://schemas.openxmlformats.org/officeDocument/2006/relationships" ref="E285" r:id="rId281"/>
    <hyperlink xmlns:r="http://schemas.openxmlformats.org/officeDocument/2006/relationships" ref="E286" r:id="rId282"/>
    <hyperlink xmlns:r="http://schemas.openxmlformats.org/officeDocument/2006/relationships" ref="E287" r:id="rId283"/>
    <hyperlink xmlns:r="http://schemas.openxmlformats.org/officeDocument/2006/relationships" ref="E288" r:id="rId284"/>
    <hyperlink xmlns:r="http://schemas.openxmlformats.org/officeDocument/2006/relationships" ref="E289" r:id="rId285"/>
    <hyperlink xmlns:r="http://schemas.openxmlformats.org/officeDocument/2006/relationships" ref="E290" r:id="rId286"/>
    <hyperlink xmlns:r="http://schemas.openxmlformats.org/officeDocument/2006/relationships" ref="E291" r:id="rId287"/>
    <hyperlink xmlns:r="http://schemas.openxmlformats.org/officeDocument/2006/relationships" ref="E292" r:id="rId288"/>
    <hyperlink xmlns:r="http://schemas.openxmlformats.org/officeDocument/2006/relationships" ref="E293" r:id="rId289"/>
    <hyperlink xmlns:r="http://schemas.openxmlformats.org/officeDocument/2006/relationships" ref="E294" r:id="rId290"/>
    <hyperlink xmlns:r="http://schemas.openxmlformats.org/officeDocument/2006/relationships" ref="E295" r:id="rId291"/>
    <hyperlink xmlns:r="http://schemas.openxmlformats.org/officeDocument/2006/relationships" ref="E296" r:id="rId292"/>
    <hyperlink xmlns:r="http://schemas.openxmlformats.org/officeDocument/2006/relationships" ref="E297" r:id="rId293"/>
    <hyperlink xmlns:r="http://schemas.openxmlformats.org/officeDocument/2006/relationships" ref="E298" r:id="rId294"/>
    <hyperlink xmlns:r="http://schemas.openxmlformats.org/officeDocument/2006/relationships" ref="E299" r:id="rId295"/>
    <hyperlink xmlns:r="http://schemas.openxmlformats.org/officeDocument/2006/relationships" ref="E300" r:id="rId296"/>
    <hyperlink xmlns:r="http://schemas.openxmlformats.org/officeDocument/2006/relationships" ref="E301" r:id="rId297"/>
    <hyperlink xmlns:r="http://schemas.openxmlformats.org/officeDocument/2006/relationships" ref="E302" r:id="rId298"/>
    <hyperlink xmlns:r="http://schemas.openxmlformats.org/officeDocument/2006/relationships" ref="E303" r:id="rId299"/>
    <hyperlink xmlns:r="http://schemas.openxmlformats.org/officeDocument/2006/relationships" ref="E304" r:id="rId300"/>
    <hyperlink xmlns:r="http://schemas.openxmlformats.org/officeDocument/2006/relationships" ref="E305" r:id="rId301"/>
    <hyperlink xmlns:r="http://schemas.openxmlformats.org/officeDocument/2006/relationships" ref="E306" r:id="rId302"/>
    <hyperlink xmlns:r="http://schemas.openxmlformats.org/officeDocument/2006/relationships" ref="E307" r:id="rId303"/>
    <hyperlink xmlns:r="http://schemas.openxmlformats.org/officeDocument/2006/relationships" ref="E308" r:id="rId304"/>
    <hyperlink xmlns:r="http://schemas.openxmlformats.org/officeDocument/2006/relationships" ref="E309" r:id="rId305"/>
    <hyperlink xmlns:r="http://schemas.openxmlformats.org/officeDocument/2006/relationships" ref="E310" r:id="rId306"/>
    <hyperlink xmlns:r="http://schemas.openxmlformats.org/officeDocument/2006/relationships" ref="E311" r:id="rId307"/>
    <hyperlink xmlns:r="http://schemas.openxmlformats.org/officeDocument/2006/relationships" ref="E312" r:id="rId308"/>
    <hyperlink xmlns:r="http://schemas.openxmlformats.org/officeDocument/2006/relationships" ref="E313" r:id="rId309"/>
    <hyperlink xmlns:r="http://schemas.openxmlformats.org/officeDocument/2006/relationships" ref="E314" r:id="rId310"/>
    <hyperlink xmlns:r="http://schemas.openxmlformats.org/officeDocument/2006/relationships" ref="E315" r:id="rId311"/>
    <hyperlink xmlns:r="http://schemas.openxmlformats.org/officeDocument/2006/relationships" ref="E316" r:id="rId312"/>
    <hyperlink xmlns:r="http://schemas.openxmlformats.org/officeDocument/2006/relationships" ref="E317" r:id="rId313"/>
    <hyperlink xmlns:r="http://schemas.openxmlformats.org/officeDocument/2006/relationships" ref="E318" r:id="rId314"/>
    <hyperlink xmlns:r="http://schemas.openxmlformats.org/officeDocument/2006/relationships" ref="E319" r:id="rId315"/>
    <hyperlink xmlns:r="http://schemas.openxmlformats.org/officeDocument/2006/relationships" ref="E320" r:id="rId316"/>
    <hyperlink xmlns:r="http://schemas.openxmlformats.org/officeDocument/2006/relationships" ref="E321" r:id="rId317"/>
    <hyperlink xmlns:r="http://schemas.openxmlformats.org/officeDocument/2006/relationships" ref="E322" r:id="rId318"/>
    <hyperlink xmlns:r="http://schemas.openxmlformats.org/officeDocument/2006/relationships" ref="E323" r:id="rId319"/>
    <hyperlink xmlns:r="http://schemas.openxmlformats.org/officeDocument/2006/relationships" ref="E324" r:id="rId320"/>
    <hyperlink xmlns:r="http://schemas.openxmlformats.org/officeDocument/2006/relationships" ref="E325" r:id="rId321"/>
    <hyperlink xmlns:r="http://schemas.openxmlformats.org/officeDocument/2006/relationships" ref="E326" r:id="rId322"/>
    <hyperlink xmlns:r="http://schemas.openxmlformats.org/officeDocument/2006/relationships" ref="E327" r:id="rId323"/>
    <hyperlink xmlns:r="http://schemas.openxmlformats.org/officeDocument/2006/relationships" ref="E328" r:id="rId324"/>
    <hyperlink xmlns:r="http://schemas.openxmlformats.org/officeDocument/2006/relationships" ref="E329" r:id="rId325"/>
    <hyperlink xmlns:r="http://schemas.openxmlformats.org/officeDocument/2006/relationships" ref="E330" r:id="rId326"/>
    <hyperlink xmlns:r="http://schemas.openxmlformats.org/officeDocument/2006/relationships" ref="E331" r:id="rId327"/>
    <hyperlink xmlns:r="http://schemas.openxmlformats.org/officeDocument/2006/relationships" ref="E332" r:id="rId328"/>
    <hyperlink xmlns:r="http://schemas.openxmlformats.org/officeDocument/2006/relationships" ref="E333"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7" r:id="rId343"/>
    <hyperlink xmlns:r="http://schemas.openxmlformats.org/officeDocument/2006/relationships" ref="E348" r:id="rId344"/>
    <hyperlink xmlns:r="http://schemas.openxmlformats.org/officeDocument/2006/relationships" ref="E349" r:id="rId345"/>
    <hyperlink xmlns:r="http://schemas.openxmlformats.org/officeDocument/2006/relationships" ref="E350" r:id="rId346"/>
    <hyperlink xmlns:r="http://schemas.openxmlformats.org/officeDocument/2006/relationships" ref="E351" r:id="rId347"/>
    <hyperlink xmlns:r="http://schemas.openxmlformats.org/officeDocument/2006/relationships" ref="E352" r:id="rId348"/>
    <hyperlink xmlns:r="http://schemas.openxmlformats.org/officeDocument/2006/relationships" ref="E353" r:id="rId349"/>
    <hyperlink xmlns:r="http://schemas.openxmlformats.org/officeDocument/2006/relationships" ref="E354" r:id="rId350"/>
    <hyperlink xmlns:r="http://schemas.openxmlformats.org/officeDocument/2006/relationships" ref="E355" r:id="rId351"/>
    <hyperlink xmlns:r="http://schemas.openxmlformats.org/officeDocument/2006/relationships" ref="E356" r:id="rId352"/>
    <hyperlink xmlns:r="http://schemas.openxmlformats.org/officeDocument/2006/relationships" ref="E357" r:id="rId353"/>
    <hyperlink xmlns:r="http://schemas.openxmlformats.org/officeDocument/2006/relationships" ref="E358" r:id="rId354"/>
    <hyperlink xmlns:r="http://schemas.openxmlformats.org/officeDocument/2006/relationships" ref="E359" r:id="rId355"/>
    <hyperlink xmlns:r="http://schemas.openxmlformats.org/officeDocument/2006/relationships" ref="E360" r:id="rId356"/>
    <hyperlink xmlns:r="http://schemas.openxmlformats.org/officeDocument/2006/relationships" ref="E361" r:id="rId357"/>
    <hyperlink xmlns:r="http://schemas.openxmlformats.org/officeDocument/2006/relationships" ref="E362" r:id="rId358"/>
    <hyperlink xmlns:r="http://schemas.openxmlformats.org/officeDocument/2006/relationships" ref="E363" r:id="rId359"/>
    <hyperlink xmlns:r="http://schemas.openxmlformats.org/officeDocument/2006/relationships" ref="E364" r:id="rId360"/>
    <hyperlink xmlns:r="http://schemas.openxmlformats.org/officeDocument/2006/relationships" ref="E365" r:id="rId361"/>
    <hyperlink xmlns:r="http://schemas.openxmlformats.org/officeDocument/2006/relationships" ref="E366" r:id="rId362"/>
    <hyperlink xmlns:r="http://schemas.openxmlformats.org/officeDocument/2006/relationships" ref="E367" r:id="rId363"/>
    <hyperlink xmlns:r="http://schemas.openxmlformats.org/officeDocument/2006/relationships" ref="E368" r:id="rId364"/>
    <hyperlink xmlns:r="http://schemas.openxmlformats.org/officeDocument/2006/relationships" ref="E369" r:id="rId365"/>
    <hyperlink xmlns:r="http://schemas.openxmlformats.org/officeDocument/2006/relationships" ref="E370" r:id="rId366"/>
    <hyperlink xmlns:r="http://schemas.openxmlformats.org/officeDocument/2006/relationships" ref="E371" r:id="rId367"/>
    <hyperlink xmlns:r="http://schemas.openxmlformats.org/officeDocument/2006/relationships" ref="E372" r:id="rId368"/>
    <hyperlink xmlns:r="http://schemas.openxmlformats.org/officeDocument/2006/relationships" ref="E373" r:id="rId369"/>
    <hyperlink xmlns:r="http://schemas.openxmlformats.org/officeDocument/2006/relationships" ref="E374" r:id="rId370"/>
    <hyperlink xmlns:r="http://schemas.openxmlformats.org/officeDocument/2006/relationships" ref="E375" r:id="rId371"/>
    <hyperlink xmlns:r="http://schemas.openxmlformats.org/officeDocument/2006/relationships" ref="E376" r:id="rId372"/>
    <hyperlink xmlns:r="http://schemas.openxmlformats.org/officeDocument/2006/relationships" ref="E377" r:id="rId373"/>
    <hyperlink xmlns:r="http://schemas.openxmlformats.org/officeDocument/2006/relationships" ref="E378" r:id="rId374"/>
    <hyperlink xmlns:r="http://schemas.openxmlformats.org/officeDocument/2006/relationships" ref="E379" r:id="rId375"/>
    <hyperlink xmlns:r="http://schemas.openxmlformats.org/officeDocument/2006/relationships" ref="E380" r:id="rId376"/>
    <hyperlink xmlns:r="http://schemas.openxmlformats.org/officeDocument/2006/relationships" ref="E381" r:id="rId377"/>
    <hyperlink xmlns:r="http://schemas.openxmlformats.org/officeDocument/2006/relationships" ref="E382" r:id="rId378"/>
    <hyperlink xmlns:r="http://schemas.openxmlformats.org/officeDocument/2006/relationships" ref="E383" r:id="rId379"/>
  </hyperlinks>
  <pageMargins left="0.75" right="0.75" top="1" bottom="1" header="0.5" footer="0.5"/>
  <pageSetup orientation="portrait" paperSize="9" horizontalDpi="360" verticalDpi="360"/>
</worksheet>
</file>

<file path=xl/worksheets/sheet9.xml><?xml version="1.0" encoding="utf-8"?>
<worksheet xmlns="http://schemas.openxmlformats.org/spreadsheetml/2006/main">
  <sheetPr>
    <outlinePr summaryBelow="1" summaryRight="1"/>
    <pageSetUpPr/>
  </sheetPr>
  <dimension ref="A1:AO347"/>
  <sheetViews>
    <sheetView tabSelected="1" topLeftCell="A262" zoomScale="70" zoomScaleNormal="70" workbookViewId="0">
      <selection activeCell="S51" sqref="S51"/>
    </sheetView>
  </sheetViews>
  <sheetFormatPr baseColWidth="8" defaultRowHeight="14"/>
  <cols>
    <col width="8.7265625" customWidth="1" style="476" min="1" max="1"/>
    <col width="15.54296875" customWidth="1" style="308" min="2" max="2"/>
    <col width="7.81640625" customWidth="1" style="308" min="3" max="3"/>
    <col width="9.453125" customWidth="1" style="476" min="4" max="4"/>
    <col width="33.453125" customWidth="1" style="476" min="5" max="5"/>
    <col width="9.54296875" customWidth="1" style="476" min="6" max="6"/>
    <col width="7.81640625" customWidth="1" style="476" min="7" max="7"/>
    <col width="5.90625" customWidth="1" style="476" min="8" max="8"/>
    <col width="6.7265625" customWidth="1" style="476" min="9" max="9"/>
    <col width="13" customWidth="1" style="476" min="10" max="10"/>
    <col width="5.453125" customWidth="1" style="476" min="11" max="11"/>
    <col width="6.6328125" customWidth="1" style="476" min="12" max="12"/>
    <col width="5.08984375" customWidth="1" style="476" min="13" max="13"/>
    <col width="7.08984375" customWidth="1" style="476" min="14" max="14"/>
    <col width="6.6328125" customWidth="1" style="476" min="15" max="15"/>
    <col width="5" customWidth="1" style="476" min="16" max="16"/>
    <col width="8.6328125" customWidth="1" style="314" min="17" max="17"/>
    <col width="11" customWidth="1" style="476" min="18" max="18"/>
    <col width="13" customWidth="1" style="476" min="19" max="19"/>
    <col width="9.81640625" customWidth="1" style="476" min="20" max="21"/>
    <col width="9.6328125" customWidth="1" style="476" min="22" max="22"/>
    <col width="13" customWidth="1" style="476" min="23" max="23"/>
    <col width="6.90625" customWidth="1" style="476" min="24" max="24"/>
    <col width="3.90625" customWidth="1" style="476" min="25" max="25"/>
    <col width="13" customWidth="1" style="476" min="26" max="26"/>
    <col width="5.7265625" customWidth="1" style="476" min="27" max="27"/>
    <col width="9.81640625" customWidth="1" style="476" min="28" max="28"/>
    <col width="10.26953125" customWidth="1" style="476" min="29" max="29"/>
    <col width="5.90625" customWidth="1" style="476" min="30" max="30"/>
    <col width="9.81640625" customWidth="1" style="476" min="31" max="31"/>
    <col width="13" customWidth="1" style="476" min="32" max="33"/>
    <col width="7.81640625" customWidth="1" style="476" min="34" max="34"/>
    <col width="9.81640625" customWidth="1" style="476" min="35" max="36"/>
    <col width="13" customWidth="1" style="476" min="37" max="37"/>
    <col width="7.81640625" customWidth="1" style="476" min="38" max="38"/>
    <col width="13" customWidth="1" style="476" min="39" max="39"/>
    <col width="8.7265625" customWidth="1" style="476" min="40" max="40"/>
    <col width="11.1796875" customWidth="1" style="476" min="41" max="41"/>
    <col width="8.7265625" customWidth="1" style="476" min="42" max="42"/>
    <col width="13" customWidth="1" style="476" min="43" max="48"/>
    <col width="8.453125" customWidth="1" style="476" min="49" max="49"/>
  </cols>
  <sheetData>
    <row r="1">
      <c r="B1" s="163" t="inlineStr">
        <is>
          <t>상</t>
        </is>
      </c>
      <c r="C1" s="13" t="inlineStr">
        <is>
          <t>중</t>
        </is>
      </c>
      <c r="D1" s="160" t="n"/>
      <c r="AI1" s="231" t="n"/>
      <c r="AN1" s="238" t="n"/>
    </row>
    <row r="2">
      <c r="B2" s="163" t="inlineStr">
        <is>
          <t>하</t>
        </is>
      </c>
      <c r="C2" s="163" t="n"/>
      <c r="AI2" s="231" t="n"/>
      <c r="AN2" s="238" t="n"/>
    </row>
    <row r="3" ht="17" customHeight="1" s="476">
      <c r="A3" s="221" t="n">
        <v>84</v>
      </c>
      <c r="B3" s="448" t="inlineStr">
        <is>
          <t>선호도</t>
        </is>
      </c>
      <c r="C3" s="445" t="n"/>
      <c r="D3" s="256" t="n"/>
      <c r="E3" s="257" t="inlineStr">
        <is>
          <t>단지정보 (30평)</t>
        </is>
      </c>
      <c r="F3" s="258" t="n"/>
      <c r="G3" s="258" t="n"/>
      <c r="H3" s="258" t="n"/>
      <c r="I3" s="258" t="n"/>
      <c r="J3" s="258" t="n"/>
      <c r="K3" s="258" t="n"/>
      <c r="L3" s="258" t="n"/>
      <c r="M3" s="258" t="n"/>
      <c r="N3" s="258" t="n"/>
      <c r="O3" s="258" t="n"/>
      <c r="P3" s="258" t="n"/>
      <c r="Q3" s="450" t="inlineStr">
        <is>
          <t>2026.5.2주</t>
        </is>
      </c>
      <c r="V3" s="258" t="n"/>
      <c r="W3" s="258" t="n"/>
      <c r="X3" s="258" t="n"/>
      <c r="Y3" s="258" t="n"/>
      <c r="Z3" s="258" t="n"/>
      <c r="AA3" s="258" t="n"/>
      <c r="AB3" s="258" t="n"/>
      <c r="AC3" s="258" t="n"/>
      <c r="AD3" s="258" t="n"/>
      <c r="AE3" s="258" t="n"/>
      <c r="AF3" s="258" t="n"/>
      <c r="AG3" s="258" t="n"/>
      <c r="AH3" s="258" t="n"/>
      <c r="AI3" s="447" t="inlineStr">
        <is>
          <t>투자결과</t>
        </is>
      </c>
      <c r="AJ3" s="443" t="n"/>
      <c r="AK3" s="443" t="n"/>
      <c r="AL3" s="443" t="n"/>
      <c r="AM3" s="445" t="n"/>
    </row>
    <row r="4" ht="17" customHeight="1" s="476">
      <c r="B4" s="165" t="inlineStr">
        <is>
          <t>생활권</t>
        </is>
      </c>
      <c r="C4" s="166" t="inlineStr">
        <is>
          <t>생활권 내</t>
        </is>
      </c>
      <c r="D4" s="231" t="inlineStr">
        <is>
          <t>단지코드</t>
        </is>
      </c>
      <c r="E4" s="231" t="inlineStr">
        <is>
          <t>단지명</t>
        </is>
      </c>
      <c r="F4" s="231" t="inlineStr">
        <is>
          <t>사용승인일</t>
        </is>
      </c>
      <c r="G4" s="231" t="inlineStr">
        <is>
          <t>총세대수</t>
        </is>
      </c>
      <c r="H4" s="22" t="inlineStr">
        <is>
          <t>나이</t>
        </is>
      </c>
      <c r="I4" s="68" t="inlineStr">
        <is>
          <t>타입</t>
        </is>
      </c>
      <c r="J4" s="68" t="inlineStr">
        <is>
          <t>공급면적</t>
        </is>
      </c>
      <c r="K4" s="167" t="inlineStr">
        <is>
          <t>전용면적</t>
        </is>
      </c>
      <c r="L4" s="167" t="inlineStr">
        <is>
          <t>평형</t>
        </is>
      </c>
      <c r="M4" s="231" t="inlineStr">
        <is>
          <t>구조</t>
        </is>
      </c>
      <c r="N4" s="231" t="inlineStr">
        <is>
          <t>방수</t>
        </is>
      </c>
      <c r="O4" s="231" t="inlineStr">
        <is>
          <t>욕실수</t>
        </is>
      </c>
      <c r="P4" s="231" t="inlineStr">
        <is>
          <t>평형별 세대수</t>
        </is>
      </c>
      <c r="Q4" s="315" t="inlineStr">
        <is>
          <t>매/전(개수)</t>
        </is>
      </c>
      <c r="R4" s="312" t="inlineStr">
        <is>
          <t>매매가</t>
        </is>
      </c>
      <c r="S4" s="312" t="inlineStr">
        <is>
          <t>전세가</t>
        </is>
      </c>
      <c r="T4" s="167" t="inlineStr">
        <is>
          <t>차</t>
        </is>
      </c>
      <c r="U4" s="167" t="inlineStr">
        <is>
          <t>전세가율</t>
        </is>
      </c>
      <c r="V4" s="167" t="inlineStr">
        <is>
          <t>전고</t>
        </is>
      </c>
      <c r="W4" s="167" t="inlineStr">
        <is>
          <t>전저</t>
        </is>
      </c>
      <c r="X4" s="57" t="inlineStr">
        <is>
          <t>계/복</t>
        </is>
      </c>
      <c r="Y4" s="167" t="inlineStr">
        <is>
          <t>방</t>
        </is>
      </c>
      <c r="Z4" s="167" t="inlineStr">
        <is>
          <t>화</t>
        </is>
      </c>
      <c r="AA4" s="167" t="inlineStr">
        <is>
          <t>면적세대수</t>
        </is>
      </c>
      <c r="AB4" s="221" t="inlineStr">
        <is>
          <t>시기(년)</t>
        </is>
      </c>
      <c r="AC4" s="238" t="inlineStr">
        <is>
          <t>(전세가율80%이상인)기간</t>
        </is>
      </c>
      <c r="AD4" s="221" t="inlineStr">
        <is>
          <t>평형</t>
        </is>
      </c>
      <c r="AE4" s="221" t="inlineStr">
        <is>
          <t>매매가</t>
        </is>
      </c>
      <c r="AF4" s="221" t="inlineStr">
        <is>
          <t>전세가</t>
        </is>
      </c>
      <c r="AG4" s="221" t="inlineStr">
        <is>
          <t>전세가율</t>
        </is>
      </c>
      <c r="AH4" s="24" t="inlineStr">
        <is>
          <t>투자금</t>
        </is>
      </c>
      <c r="AI4" s="165" t="inlineStr">
        <is>
          <t>시기(년)</t>
        </is>
      </c>
      <c r="AJ4" s="165" t="inlineStr">
        <is>
          <t>매매가</t>
        </is>
      </c>
      <c r="AK4" s="165" t="inlineStr">
        <is>
          <t>수익금</t>
        </is>
      </c>
      <c r="AL4" s="261" t="inlineStr">
        <is>
          <t>상승율</t>
        </is>
      </c>
      <c r="AM4" s="262" t="inlineStr">
        <is>
          <t>수익율</t>
        </is>
      </c>
      <c r="AO4" s="14" t="n"/>
    </row>
    <row r="5">
      <c r="A5" s="285" t="inlineStr">
        <is>
          <t>금호동2가</t>
        </is>
      </c>
      <c r="B5" s="307" t="inlineStr">
        <is>
          <t>2금호옥수</t>
        </is>
      </c>
      <c r="C5" s="307" t="inlineStr">
        <is>
          <t>상</t>
        </is>
      </c>
      <c r="D5" s="285" t="n">
        <v>27575</v>
      </c>
      <c r="E5" s="286" t="inlineStr">
        <is>
          <t>래미안하이리버</t>
        </is>
      </c>
      <c r="F5" s="285" t="n">
        <v>2012.05</v>
      </c>
      <c r="G5" s="285" t="n">
        <v>847</v>
      </c>
      <c r="H5" s="285">
        <f>2026-INT(F5)+1</f>
        <v/>
      </c>
      <c r="I5" s="285" t="n"/>
      <c r="J5" s="285" t="n">
        <v>84</v>
      </c>
      <c r="K5" s="285" t="n">
        <v>59</v>
      </c>
      <c r="L5" s="285" t="n">
        <v>25</v>
      </c>
      <c r="M5" s="285" t="inlineStr">
        <is>
          <t>계단식</t>
        </is>
      </c>
      <c r="N5" s="285" t="n">
        <v>3</v>
      </c>
      <c r="O5" s="285" t="n">
        <v>2</v>
      </c>
      <c r="P5" s="285" t="n">
        <v>358</v>
      </c>
      <c r="Q5" s="316" t="n"/>
      <c r="R5" s="285" t="n"/>
      <c r="S5" s="285" t="n"/>
      <c r="T5" s="285" t="n"/>
      <c r="U5" s="285" t="n"/>
      <c r="V5" s="285" t="n">
        <v>15.2</v>
      </c>
      <c r="W5" s="285" t="n">
        <v>9.5</v>
      </c>
      <c r="X5" s="285" t="n"/>
      <c r="Y5" s="285" t="n"/>
      <c r="Z5" s="285" t="n"/>
      <c r="AA5" s="285" t="n"/>
      <c r="AB5" s="285" t="n"/>
      <c r="AC5" s="285" t="n"/>
      <c r="AD5" s="285" t="n"/>
      <c r="AE5" s="285" t="n"/>
      <c r="AF5" s="285" t="n"/>
      <c r="AG5" s="285" t="n"/>
      <c r="AH5" s="285" t="n"/>
      <c r="AI5" s="285" t="n"/>
      <c r="AJ5" s="285" t="n"/>
      <c r="AK5" s="285" t="n"/>
      <c r="AL5" s="285" t="n"/>
    </row>
    <row r="6">
      <c r="A6" s="287" t="inlineStr">
        <is>
          <t>금호동2가</t>
        </is>
      </c>
      <c r="B6" s="307" t="inlineStr">
        <is>
          <t>2금호옥수</t>
        </is>
      </c>
      <c r="C6" s="307" t="inlineStr">
        <is>
          <t>상</t>
        </is>
      </c>
      <c r="D6" s="287" t="n">
        <v>27575</v>
      </c>
      <c r="E6" s="286" t="inlineStr">
        <is>
          <t>래미안하이리버</t>
        </is>
      </c>
      <c r="F6" s="287" t="n">
        <v>2012.05</v>
      </c>
      <c r="G6" s="287" t="n">
        <v>847</v>
      </c>
      <c r="H6" s="287">
        <f>2026-INT(F6)+1</f>
        <v/>
      </c>
      <c r="I6" s="285" t="n"/>
      <c r="J6" s="287" t="n">
        <v>108</v>
      </c>
      <c r="K6" s="287" t="n">
        <v>84</v>
      </c>
      <c r="L6" s="287" t="n">
        <v>33</v>
      </c>
      <c r="M6" s="287" t="inlineStr">
        <is>
          <t>계단식</t>
        </is>
      </c>
      <c r="N6" s="287" t="n">
        <v>3</v>
      </c>
      <c r="O6" s="287" t="n">
        <v>2</v>
      </c>
      <c r="P6" s="287" t="n">
        <v>377</v>
      </c>
      <c r="Q6" s="317" t="n"/>
      <c r="R6" s="285" t="n"/>
      <c r="S6" s="285" t="n"/>
      <c r="T6" s="285" t="n"/>
      <c r="U6" s="285" t="n"/>
      <c r="V6" s="287" t="n">
        <v>16.5</v>
      </c>
      <c r="W6" s="287" t="n">
        <v>9.9</v>
      </c>
      <c r="X6" s="285" t="n"/>
      <c r="Y6" s="285" t="n"/>
      <c r="Z6" s="285" t="n"/>
      <c r="AA6" s="285" t="n"/>
      <c r="AB6" s="285" t="n"/>
      <c r="AC6" s="285" t="n"/>
      <c r="AD6" s="285" t="n"/>
      <c r="AE6" s="285" t="n"/>
      <c r="AF6" s="285" t="n"/>
      <c r="AG6" s="285" t="n"/>
      <c r="AH6" s="285" t="n"/>
      <c r="AI6" s="285" t="n"/>
      <c r="AJ6" s="285" t="n"/>
      <c r="AK6" s="285" t="n"/>
      <c r="AL6" s="285" t="n"/>
    </row>
    <row r="7">
      <c r="A7" s="287" t="inlineStr">
        <is>
          <t>금호동2가</t>
        </is>
      </c>
      <c r="B7" s="307" t="inlineStr">
        <is>
          <t>2금호옥수</t>
        </is>
      </c>
      <c r="C7" s="307" t="inlineStr">
        <is>
          <t>상</t>
        </is>
      </c>
      <c r="D7" s="287" t="n">
        <v>27575</v>
      </c>
      <c r="E7" s="286" t="inlineStr">
        <is>
          <t>래미안하이리버</t>
        </is>
      </c>
      <c r="F7" s="287" t="n">
        <v>2012.05</v>
      </c>
      <c r="G7" s="287" t="n">
        <v>847</v>
      </c>
      <c r="H7" s="287">
        <f>2026-INT(F7)+1</f>
        <v/>
      </c>
      <c r="I7" s="285" t="n"/>
      <c r="J7" s="287" t="n">
        <v>149</v>
      </c>
      <c r="K7" s="287" t="n">
        <v>114</v>
      </c>
      <c r="L7" s="287" t="n">
        <v>45</v>
      </c>
      <c r="M7" s="287" t="inlineStr">
        <is>
          <t>계단식</t>
        </is>
      </c>
      <c r="N7" s="287" t="n">
        <v>4</v>
      </c>
      <c r="O7" s="287" t="n">
        <v>2</v>
      </c>
      <c r="P7" s="287" t="n">
        <v>112</v>
      </c>
      <c r="Q7" s="317" t="n"/>
      <c r="R7" s="285" t="n"/>
      <c r="S7" s="285" t="n"/>
      <c r="T7" s="285" t="n"/>
      <c r="U7" s="285" t="n"/>
      <c r="V7" s="287" t="n">
        <v>18.75</v>
      </c>
      <c r="W7" s="287" t="n">
        <v>16.85</v>
      </c>
      <c r="X7" s="285" t="n"/>
      <c r="Y7" s="285" t="n"/>
      <c r="Z7" s="285" t="n"/>
      <c r="AA7" s="285" t="n"/>
      <c r="AB7" s="285" t="n"/>
      <c r="AC7" s="285" t="n"/>
      <c r="AD7" s="285" t="n"/>
      <c r="AE7" s="285" t="n"/>
      <c r="AF7" s="285" t="n"/>
      <c r="AG7" s="285" t="n"/>
      <c r="AH7" s="285" t="n"/>
      <c r="AI7" s="285" t="n"/>
      <c r="AJ7" s="285" t="n"/>
      <c r="AK7" s="285" t="n"/>
      <c r="AL7" s="285" t="n"/>
    </row>
    <row r="8">
      <c r="A8" s="285" t="inlineStr">
        <is>
          <t>옥수동</t>
        </is>
      </c>
      <c r="B8" s="307" t="inlineStr">
        <is>
          <t>2금호옥수</t>
        </is>
      </c>
      <c r="C8" s="307" t="inlineStr">
        <is>
          <t>상</t>
        </is>
      </c>
      <c r="D8" s="285" t="n">
        <v>100692</v>
      </c>
      <c r="E8" s="286" t="inlineStr">
        <is>
          <t>래미안옥수리버젠</t>
        </is>
      </c>
      <c r="F8" s="285" t="n">
        <v>2012.12</v>
      </c>
      <c r="G8" s="285" t="n">
        <v>1511</v>
      </c>
      <c r="H8" s="285">
        <f>2026-INT(F8)+1</f>
        <v/>
      </c>
      <c r="I8" s="285" t="n"/>
      <c r="J8" s="285" t="n">
        <v>79</v>
      </c>
      <c r="K8" s="285" t="n">
        <v>59</v>
      </c>
      <c r="L8" s="285" t="n">
        <v>24</v>
      </c>
      <c r="M8" s="285" t="inlineStr">
        <is>
          <t>계단식</t>
        </is>
      </c>
      <c r="N8" s="285" t="n">
        <v>3</v>
      </c>
      <c r="O8" s="285" t="n">
        <v>2</v>
      </c>
      <c r="P8" s="285" t="n">
        <v>700</v>
      </c>
      <c r="Q8" s="316" t="n"/>
      <c r="R8" s="285" t="n"/>
      <c r="S8" s="285" t="n"/>
      <c r="T8" s="285" t="n"/>
      <c r="U8" s="285" t="n"/>
      <c r="V8" s="285" t="n">
        <v>17.5</v>
      </c>
      <c r="W8" s="285" t="n">
        <v>11.25</v>
      </c>
      <c r="X8" s="285" t="n"/>
      <c r="Y8" s="285" t="n"/>
      <c r="Z8" s="285" t="n"/>
      <c r="AA8" s="285" t="n"/>
      <c r="AB8" s="285" t="n"/>
      <c r="AC8" s="285" t="n"/>
      <c r="AD8" s="285" t="n"/>
      <c r="AE8" s="285" t="n"/>
      <c r="AF8" s="285" t="n"/>
      <c r="AG8" s="285" t="n"/>
      <c r="AH8" s="285" t="n"/>
      <c r="AI8" s="285" t="n"/>
      <c r="AJ8" s="285" t="n"/>
      <c r="AK8" s="285" t="n"/>
      <c r="AL8" s="285" t="n"/>
    </row>
    <row r="9">
      <c r="A9" s="285" t="inlineStr">
        <is>
          <t>옥수동</t>
        </is>
      </c>
      <c r="B9" s="307" t="inlineStr">
        <is>
          <t>2금호옥수</t>
        </is>
      </c>
      <c r="C9" s="307" t="inlineStr">
        <is>
          <t>상</t>
        </is>
      </c>
      <c r="D9" s="285" t="n">
        <v>100692</v>
      </c>
      <c r="E9" s="286" t="inlineStr">
        <is>
          <t>래미안옥수리버젠</t>
        </is>
      </c>
      <c r="F9" s="285" t="n">
        <v>2012.12</v>
      </c>
      <c r="G9" s="285" t="n">
        <v>1511</v>
      </c>
      <c r="H9" s="285">
        <f>2026-INT(F9)+1</f>
        <v/>
      </c>
      <c r="I9" s="285" t="n"/>
      <c r="J9" s="285" t="n">
        <v>110</v>
      </c>
      <c r="K9" s="285" t="n">
        <v>84</v>
      </c>
      <c r="L9" s="285" t="n">
        <v>33</v>
      </c>
      <c r="M9" s="285" t="inlineStr">
        <is>
          <t>계단식</t>
        </is>
      </c>
      <c r="N9" s="285" t="n">
        <v>3</v>
      </c>
      <c r="O9" s="285" t="n">
        <v>2</v>
      </c>
      <c r="P9" s="285" t="n">
        <v>600</v>
      </c>
      <c r="Q9" s="316" t="n"/>
      <c r="R9" s="285" t="n"/>
      <c r="S9" s="285" t="n"/>
      <c r="T9" s="285" t="n"/>
      <c r="U9" s="285" t="n"/>
      <c r="V9" s="285" t="n">
        <v>21</v>
      </c>
      <c r="W9" s="285" t="n">
        <v>13</v>
      </c>
      <c r="X9" s="285" t="n"/>
      <c r="Y9" s="285" t="n"/>
      <c r="Z9" s="285" t="n"/>
      <c r="AA9" s="285" t="n"/>
      <c r="AB9" s="285" t="n"/>
      <c r="AC9" s="285" t="n"/>
      <c r="AD9" s="285" t="n"/>
      <c r="AE9" s="285" t="n"/>
      <c r="AF9" s="285" t="n"/>
      <c r="AG9" s="285" t="n"/>
      <c r="AH9" s="285" t="n"/>
      <c r="AI9" s="285" t="n"/>
      <c r="AJ9" s="285" t="n"/>
      <c r="AK9" s="285" t="n"/>
      <c r="AL9" s="285" t="n"/>
    </row>
    <row r="10">
      <c r="A10" s="285" t="inlineStr">
        <is>
          <t>옥수동</t>
        </is>
      </c>
      <c r="B10" s="307" t="inlineStr">
        <is>
          <t>2금호옥수</t>
        </is>
      </c>
      <c r="C10" s="307" t="inlineStr">
        <is>
          <t>상</t>
        </is>
      </c>
      <c r="D10" s="285" t="n">
        <v>100692</v>
      </c>
      <c r="E10" s="286" t="inlineStr">
        <is>
          <t>래미안옥수리버젠</t>
        </is>
      </c>
      <c r="F10" s="285" t="n">
        <v>2012.12</v>
      </c>
      <c r="G10" s="285" t="n">
        <v>1511</v>
      </c>
      <c r="H10" s="285">
        <f>2026-INT(F10)+1</f>
        <v/>
      </c>
      <c r="I10" s="285" t="n"/>
      <c r="J10" s="285" t="n">
        <v>148</v>
      </c>
      <c r="K10" s="285" t="n">
        <v>113</v>
      </c>
      <c r="L10" s="285" t="n">
        <v>45</v>
      </c>
      <c r="M10" s="285" t="inlineStr">
        <is>
          <t>계단식</t>
        </is>
      </c>
      <c r="N10" s="285" t="n">
        <v>4</v>
      </c>
      <c r="O10" s="285" t="n">
        <v>2</v>
      </c>
      <c r="P10" s="285" t="n">
        <v>139</v>
      </c>
      <c r="Q10" s="316" t="n"/>
      <c r="R10" s="285" t="n"/>
      <c r="S10" s="285" t="n"/>
      <c r="T10" s="285" t="n"/>
      <c r="U10" s="285" t="n"/>
      <c r="V10" s="285" t="n">
        <v>25</v>
      </c>
      <c r="W10" s="285" t="n">
        <v>17.2</v>
      </c>
      <c r="X10" s="285" t="n"/>
      <c r="Y10" s="285" t="n"/>
      <c r="Z10" s="285" t="n"/>
      <c r="AA10" s="285" t="n"/>
      <c r="AB10" s="285" t="n"/>
      <c r="AC10" s="285" t="n"/>
      <c r="AD10" s="285" t="n"/>
      <c r="AE10" s="285" t="n"/>
      <c r="AF10" s="285" t="n"/>
      <c r="AG10" s="285" t="n"/>
      <c r="AH10" s="285" t="n"/>
      <c r="AI10" s="285" t="n"/>
      <c r="AJ10" s="285" t="n"/>
      <c r="AK10" s="285" t="n"/>
      <c r="AL10" s="285" t="n"/>
    </row>
    <row r="11">
      <c r="A11" s="285" t="inlineStr">
        <is>
          <t>옥수동</t>
        </is>
      </c>
      <c r="B11" s="307" t="inlineStr">
        <is>
          <t>2금호옥수</t>
        </is>
      </c>
      <c r="C11" s="307" t="inlineStr">
        <is>
          <t>상</t>
        </is>
      </c>
      <c r="D11" s="285" t="n">
        <v>100692</v>
      </c>
      <c r="E11" s="286" t="inlineStr">
        <is>
          <t>래미안옥수리버젠</t>
        </is>
      </c>
      <c r="F11" s="285" t="n">
        <v>2012.12</v>
      </c>
      <c r="G11" s="285" t="n">
        <v>1511</v>
      </c>
      <c r="H11" s="285">
        <f>2026-INT(F11)+1</f>
        <v/>
      </c>
      <c r="I11" s="285" t="n"/>
      <c r="J11" s="285" t="n">
        <v>174</v>
      </c>
      <c r="K11" s="285" t="n">
        <v>134</v>
      </c>
      <c r="L11" s="285" t="n">
        <v>53</v>
      </c>
      <c r="M11" s="285" t="inlineStr">
        <is>
          <t>계단식</t>
        </is>
      </c>
      <c r="N11" s="285" t="n">
        <v>4</v>
      </c>
      <c r="O11" s="285" t="n">
        <v>2</v>
      </c>
      <c r="P11" s="285" t="n">
        <v>72</v>
      </c>
      <c r="Q11" s="316" t="n"/>
      <c r="R11" s="285" t="n"/>
      <c r="S11" s="285" t="n"/>
      <c r="T11" s="285" t="n"/>
      <c r="U11" s="285" t="n"/>
      <c r="V11" s="285" t="n">
        <v>25</v>
      </c>
      <c r="W11" s="285" t="n">
        <v>25.8</v>
      </c>
      <c r="X11" s="285" t="n"/>
      <c r="Y11" s="285" t="n"/>
      <c r="Z11" s="285" t="n"/>
      <c r="AA11" s="285" t="n"/>
      <c r="AB11" s="285" t="n"/>
      <c r="AC11" s="285" t="n"/>
      <c r="AD11" s="285" t="n"/>
      <c r="AE11" s="285" t="n"/>
      <c r="AF11" s="285" t="n"/>
      <c r="AG11" s="285" t="n"/>
      <c r="AH11" s="285" t="n"/>
      <c r="AI11" s="285" t="n"/>
      <c r="AJ11" s="285" t="n"/>
      <c r="AK11" s="285" t="n"/>
      <c r="AL11" s="285" t="n"/>
    </row>
    <row r="12">
      <c r="A12" s="285" t="inlineStr">
        <is>
          <t>금호동1가</t>
        </is>
      </c>
      <c r="B12" s="307" t="inlineStr">
        <is>
          <t>2금호옥수</t>
        </is>
      </c>
      <c r="C12" s="307" t="inlineStr">
        <is>
          <t>중</t>
        </is>
      </c>
      <c r="D12" s="285" t="n">
        <v>110936</v>
      </c>
      <c r="E12" s="286" t="inlineStr">
        <is>
          <t>e편한세상금호파크힐스</t>
        </is>
      </c>
      <c r="F12" s="285" t="n">
        <v>2019.05</v>
      </c>
      <c r="G12" s="285" t="n">
        <v>1193</v>
      </c>
      <c r="H12" s="285">
        <f>2026-INT(F12)+1</f>
        <v/>
      </c>
      <c r="I12" s="285" t="n"/>
      <c r="J12" s="285" t="n">
        <v>85</v>
      </c>
      <c r="K12" s="285" t="n">
        <v>59</v>
      </c>
      <c r="L12" s="285" t="n">
        <v>26</v>
      </c>
      <c r="M12" s="285" t="inlineStr">
        <is>
          <t>계단식</t>
        </is>
      </c>
      <c r="N12" s="285" t="n">
        <v>3</v>
      </c>
      <c r="O12" s="285" t="n">
        <v>2</v>
      </c>
      <c r="P12" s="285" t="n">
        <v>517</v>
      </c>
      <c r="Q12" s="316" t="n"/>
      <c r="R12" s="285" t="n"/>
      <c r="S12" s="285" t="n"/>
      <c r="T12" s="285" t="n"/>
      <c r="U12" s="285" t="n"/>
      <c r="V12" s="285" t="n">
        <v>15.8</v>
      </c>
      <c r="W12" s="285" t="n">
        <v>11</v>
      </c>
      <c r="X12" s="285" t="n"/>
      <c r="Y12" s="285" t="n"/>
      <c r="Z12" s="285" t="n"/>
      <c r="AA12" s="285" t="n"/>
      <c r="AB12" s="285" t="n"/>
      <c r="AC12" s="285" t="n"/>
      <c r="AD12" s="285" t="n"/>
      <c r="AE12" s="285" t="n"/>
      <c r="AF12" s="285" t="n"/>
      <c r="AG12" s="285" t="n"/>
      <c r="AH12" s="285" t="n"/>
      <c r="AI12" s="285" t="n"/>
      <c r="AJ12" s="285" t="n"/>
      <c r="AK12" s="285" t="n"/>
      <c r="AL12" s="285" t="n"/>
    </row>
    <row r="13">
      <c r="A13" s="287" t="inlineStr">
        <is>
          <t>금호동1가</t>
        </is>
      </c>
      <c r="B13" s="307" t="inlineStr">
        <is>
          <t>2금호옥수</t>
        </is>
      </c>
      <c r="C13" s="307" t="inlineStr">
        <is>
          <t>중</t>
        </is>
      </c>
      <c r="D13" s="287" t="n">
        <v>110936</v>
      </c>
      <c r="E13" s="286" t="inlineStr">
        <is>
          <t>e편한세상금호파크힐스</t>
        </is>
      </c>
      <c r="F13" s="287" t="n">
        <v>2019.05</v>
      </c>
      <c r="G13" s="287" t="n">
        <v>1193</v>
      </c>
      <c r="H13" s="287">
        <f>2026-INT(F13)+1</f>
        <v/>
      </c>
      <c r="I13" s="285" t="n"/>
      <c r="J13" s="287" t="n">
        <v>110</v>
      </c>
      <c r="K13" s="287" t="n">
        <v>84</v>
      </c>
      <c r="L13" s="287" t="n">
        <v>33</v>
      </c>
      <c r="M13" s="287" t="inlineStr">
        <is>
          <t>계단식</t>
        </is>
      </c>
      <c r="N13" s="287" t="n">
        <v>3</v>
      </c>
      <c r="O13" s="287" t="n">
        <v>2</v>
      </c>
      <c r="P13" s="287" t="n">
        <v>616</v>
      </c>
      <c r="Q13" s="317" t="n"/>
      <c r="R13" s="285" t="n"/>
      <c r="S13" s="285" t="n"/>
      <c r="T13" s="285" t="n"/>
      <c r="U13" s="285" t="n"/>
      <c r="V13" s="287" t="n">
        <v>18</v>
      </c>
      <c r="W13" s="287" t="n">
        <v>14</v>
      </c>
      <c r="X13" s="285" t="n"/>
      <c r="Y13" s="285" t="n"/>
      <c r="Z13" s="285" t="n"/>
      <c r="AA13" s="285" t="n"/>
      <c r="AB13" s="285" t="n"/>
      <c r="AC13" s="285" t="n"/>
      <c r="AD13" s="285" t="n"/>
      <c r="AE13" s="285" t="n"/>
      <c r="AF13" s="285" t="n"/>
      <c r="AG13" s="285" t="n"/>
      <c r="AH13" s="285" t="n"/>
      <c r="AI13" s="285" t="n"/>
      <c r="AJ13" s="285" t="n"/>
      <c r="AK13" s="285" t="n"/>
      <c r="AL13" s="285" t="n"/>
    </row>
    <row r="14">
      <c r="A14" s="287" t="inlineStr">
        <is>
          <t>금호동1가</t>
        </is>
      </c>
      <c r="B14" s="307" t="inlineStr">
        <is>
          <t>2금호옥수</t>
        </is>
      </c>
      <c r="C14" s="307" t="inlineStr">
        <is>
          <t>중</t>
        </is>
      </c>
      <c r="D14" s="287" t="n">
        <v>110936</v>
      </c>
      <c r="E14" s="286" t="inlineStr">
        <is>
          <t>e편한세상금호파크힐스</t>
        </is>
      </c>
      <c r="F14" s="287" t="n">
        <v>2019.05</v>
      </c>
      <c r="G14" s="287" t="n">
        <v>1193</v>
      </c>
      <c r="H14" s="287">
        <f>2026-INT(F14)+1</f>
        <v/>
      </c>
      <c r="I14" s="285" t="n"/>
      <c r="J14" s="287" t="n">
        <v>151</v>
      </c>
      <c r="K14" s="287" t="n">
        <v>116</v>
      </c>
      <c r="L14" s="287" t="n">
        <v>46</v>
      </c>
      <c r="M14" s="287" t="inlineStr">
        <is>
          <t>계단식</t>
        </is>
      </c>
      <c r="N14" s="287" t="n">
        <v>4</v>
      </c>
      <c r="O14" s="287" t="n">
        <v>2</v>
      </c>
      <c r="P14" s="287" t="n">
        <v>40</v>
      </c>
      <c r="Q14" s="317" t="n"/>
      <c r="R14" s="285" t="n"/>
      <c r="S14" s="285" t="n"/>
      <c r="T14" s="285" t="n"/>
      <c r="U14" s="285" t="n"/>
      <c r="V14" s="287" t="n">
        <v>20.9</v>
      </c>
      <c r="W14" s="287" t="n">
        <v>18</v>
      </c>
      <c r="X14" s="285" t="n"/>
      <c r="Y14" s="285" t="n"/>
      <c r="Z14" s="285" t="n"/>
      <c r="AA14" s="285" t="n"/>
      <c r="AB14" s="285" t="n"/>
      <c r="AC14" s="285" t="n"/>
      <c r="AD14" s="285" t="n"/>
      <c r="AE14" s="285" t="n"/>
      <c r="AF14" s="285" t="n"/>
      <c r="AG14" s="285" t="n"/>
      <c r="AH14" s="285" t="n"/>
      <c r="AI14" s="285" t="n"/>
      <c r="AJ14" s="285" t="n"/>
      <c r="AK14" s="285" t="n"/>
      <c r="AL14" s="285" t="n"/>
    </row>
    <row r="15">
      <c r="A15" s="285" t="inlineStr">
        <is>
          <t>금호동1가</t>
        </is>
      </c>
      <c r="B15" s="307" t="inlineStr">
        <is>
          <t>2금호옥수</t>
        </is>
      </c>
      <c r="C15" s="307" t="inlineStr">
        <is>
          <t>중</t>
        </is>
      </c>
      <c r="D15" s="285" t="n">
        <v>110936</v>
      </c>
      <c r="E15" s="286" t="inlineStr">
        <is>
          <t>e편한세상금호파크힐스</t>
        </is>
      </c>
      <c r="F15" s="285" t="n">
        <v>2019.05</v>
      </c>
      <c r="G15" s="285" t="n">
        <v>1193</v>
      </c>
      <c r="H15" s="285">
        <f>2026-INT(F15)+1</f>
        <v/>
      </c>
      <c r="I15" s="285" t="n"/>
      <c r="J15" s="285" t="n">
        <v>164</v>
      </c>
      <c r="K15" s="285" t="n">
        <v>124</v>
      </c>
      <c r="L15" s="285" t="n">
        <v>50</v>
      </c>
      <c r="M15" s="285" t="inlineStr">
        <is>
          <t>계단식</t>
        </is>
      </c>
      <c r="N15" s="285" t="n">
        <v>4</v>
      </c>
      <c r="O15" s="285" t="n">
        <v>3</v>
      </c>
      <c r="P15" s="285" t="n">
        <v>20</v>
      </c>
      <c r="Q15" s="316" t="n"/>
      <c r="R15" s="285" t="n"/>
      <c r="S15" s="285" t="n"/>
      <c r="T15" s="285" t="n"/>
      <c r="U15" s="285" t="n"/>
      <c r="V15" s="285" t="n">
        <v>20.3</v>
      </c>
      <c r="W15" s="285" t="n">
        <v>20.3</v>
      </c>
      <c r="X15" s="285" t="n"/>
      <c r="Y15" s="285" t="n"/>
      <c r="Z15" s="285" t="n"/>
      <c r="AA15" s="285" t="n"/>
      <c r="AB15" s="285" t="n"/>
      <c r="AC15" s="285" t="n"/>
      <c r="AD15" s="285" t="n"/>
      <c r="AE15" s="285" t="n"/>
      <c r="AF15" s="285" t="n"/>
      <c r="AG15" s="285" t="n"/>
      <c r="AH15" s="285" t="n"/>
      <c r="AI15" s="285" t="n"/>
      <c r="AJ15" s="285" t="n"/>
      <c r="AK15" s="285" t="n"/>
      <c r="AL15" s="285" t="n"/>
    </row>
    <row r="16">
      <c r="A16" s="285" t="inlineStr">
        <is>
          <t>금호동1가</t>
        </is>
      </c>
      <c r="B16" s="307" t="inlineStr">
        <is>
          <t>2금호옥수</t>
        </is>
      </c>
      <c r="C16" s="307" t="inlineStr">
        <is>
          <t>중</t>
        </is>
      </c>
      <c r="D16" s="285" t="n">
        <v>1286</v>
      </c>
      <c r="E16" s="286" t="inlineStr">
        <is>
          <t>벽산</t>
        </is>
      </c>
      <c r="F16" s="285" t="n">
        <v>2001.12</v>
      </c>
      <c r="G16" s="285" t="n">
        <v>1707</v>
      </c>
      <c r="H16" s="285">
        <f>2026-INT(F16)+1</f>
        <v/>
      </c>
      <c r="I16" s="285" t="n"/>
      <c r="J16" s="285" t="n">
        <v>78</v>
      </c>
      <c r="K16" s="285" t="n">
        <v>59</v>
      </c>
      <c r="L16" s="285" t="n">
        <v>24</v>
      </c>
      <c r="M16" s="285" t="inlineStr">
        <is>
          <t>복도식</t>
        </is>
      </c>
      <c r="N16" s="285" t="n">
        <v>3</v>
      </c>
      <c r="O16" s="285" t="n">
        <v>1</v>
      </c>
      <c r="P16" s="285" t="n">
        <v>507</v>
      </c>
      <c r="Q16" s="316" t="n"/>
      <c r="R16" s="285" t="n"/>
      <c r="S16" s="285" t="n"/>
      <c r="T16" s="285" t="n"/>
      <c r="U16" s="285" t="n"/>
      <c r="V16" s="285" t="n">
        <v>11.85</v>
      </c>
      <c r="W16" s="285" t="n">
        <v>7.2</v>
      </c>
      <c r="X16" s="285" t="n"/>
      <c r="Y16" s="285" t="n"/>
      <c r="Z16" s="285" t="n"/>
      <c r="AA16" s="285" t="n"/>
      <c r="AB16" s="285" t="n"/>
      <c r="AC16" s="285" t="n"/>
      <c r="AD16" s="285" t="n"/>
      <c r="AE16" s="285" t="n"/>
      <c r="AF16" s="285" t="n"/>
      <c r="AG16" s="285" t="n"/>
      <c r="AH16" s="285" t="n"/>
      <c r="AI16" s="285" t="n"/>
      <c r="AJ16" s="285" t="n"/>
      <c r="AK16" s="285" t="n"/>
      <c r="AL16" s="285" t="n"/>
    </row>
    <row r="17">
      <c r="A17" s="287" t="inlineStr">
        <is>
          <t>금호동1가</t>
        </is>
      </c>
      <c r="B17" s="307" t="inlineStr">
        <is>
          <t>2금호옥수</t>
        </is>
      </c>
      <c r="C17" s="307" t="inlineStr">
        <is>
          <t>중</t>
        </is>
      </c>
      <c r="D17" s="287" t="n">
        <v>1286</v>
      </c>
      <c r="E17" s="286" t="inlineStr">
        <is>
          <t>벽산</t>
        </is>
      </c>
      <c r="F17" s="287" t="n">
        <v>2001.12</v>
      </c>
      <c r="G17" s="287" t="n">
        <v>1707</v>
      </c>
      <c r="H17" s="287">
        <f>2026-INT(F17)+1</f>
        <v/>
      </c>
      <c r="I17" s="285" t="n"/>
      <c r="J17" s="287" t="n">
        <v>108</v>
      </c>
      <c r="K17" s="287" t="n">
        <v>84</v>
      </c>
      <c r="L17" s="287" t="n">
        <v>33</v>
      </c>
      <c r="M17" s="287" t="inlineStr">
        <is>
          <t>계단식</t>
        </is>
      </c>
      <c r="N17" s="287" t="n">
        <v>3</v>
      </c>
      <c r="O17" s="287" t="n">
        <v>2</v>
      </c>
      <c r="P17" s="287" t="n">
        <v>702</v>
      </c>
      <c r="Q17" s="317" t="n"/>
      <c r="R17" s="285" t="n"/>
      <c r="S17" s="285" t="n"/>
      <c r="T17" s="285" t="n"/>
      <c r="U17" s="285" t="n"/>
      <c r="V17" s="287" t="n">
        <v>16</v>
      </c>
      <c r="W17" s="287" t="n">
        <v>7.6</v>
      </c>
      <c r="X17" s="285" t="n"/>
      <c r="Y17" s="285" t="n"/>
      <c r="Z17" s="285" t="n"/>
      <c r="AA17" s="285" t="n"/>
      <c r="AB17" s="285" t="n"/>
      <c r="AC17" s="285" t="n"/>
      <c r="AD17" s="285" t="n"/>
      <c r="AE17" s="285" t="n"/>
      <c r="AF17" s="285" t="n"/>
      <c r="AG17" s="285" t="n"/>
      <c r="AH17" s="285" t="n"/>
      <c r="AI17" s="285" t="n"/>
      <c r="AJ17" s="285" t="n"/>
      <c r="AK17" s="285" t="n"/>
      <c r="AL17" s="285" t="n"/>
    </row>
    <row r="18">
      <c r="A18" s="287" t="inlineStr">
        <is>
          <t>금호동1가</t>
        </is>
      </c>
      <c r="B18" s="307" t="inlineStr">
        <is>
          <t>2금호옥수</t>
        </is>
      </c>
      <c r="C18" s="307" t="inlineStr">
        <is>
          <t>중</t>
        </is>
      </c>
      <c r="D18" s="287" t="n">
        <v>1286</v>
      </c>
      <c r="E18" s="286" t="inlineStr">
        <is>
          <t>벽산</t>
        </is>
      </c>
      <c r="F18" s="287" t="n">
        <v>2001.12</v>
      </c>
      <c r="G18" s="287" t="n">
        <v>1707</v>
      </c>
      <c r="H18" s="287">
        <f>2026-INT(F18)+1</f>
        <v/>
      </c>
      <c r="I18" s="285" t="n"/>
      <c r="J18" s="287" t="n">
        <v>141</v>
      </c>
      <c r="K18" s="287" t="n">
        <v>114</v>
      </c>
      <c r="L18" s="287" t="n">
        <v>43</v>
      </c>
      <c r="M18" s="287" t="inlineStr">
        <is>
          <t>계단식</t>
        </is>
      </c>
      <c r="N18" s="287" t="n">
        <v>4</v>
      </c>
      <c r="O18" s="287" t="n">
        <v>2</v>
      </c>
      <c r="P18" s="287" t="n">
        <v>498</v>
      </c>
      <c r="Q18" s="317" t="n"/>
      <c r="R18" s="285" t="n"/>
      <c r="S18" s="285" t="n"/>
      <c r="T18" s="285" t="n"/>
      <c r="U18" s="285" t="n"/>
      <c r="V18" s="287" t="n">
        <v>16.5</v>
      </c>
      <c r="W18" s="287" t="n">
        <v>12.4</v>
      </c>
      <c r="X18" s="285" t="n"/>
      <c r="Y18" s="285" t="n"/>
      <c r="Z18" s="285" t="n"/>
      <c r="AA18" s="285" t="n"/>
      <c r="AB18" s="285" t="n"/>
      <c r="AC18" s="285" t="n"/>
      <c r="AD18" s="285" t="n"/>
      <c r="AE18" s="285" t="n"/>
      <c r="AF18" s="285" t="n"/>
      <c r="AG18" s="285" t="n"/>
      <c r="AH18" s="285" t="n"/>
      <c r="AI18" s="285" t="n"/>
      <c r="AJ18" s="285" t="n"/>
      <c r="AK18" s="285" t="n"/>
      <c r="AL18" s="285" t="n"/>
    </row>
    <row r="19">
      <c r="A19" s="458" t="inlineStr">
        <is>
          <t>금호동2가</t>
        </is>
      </c>
      <c r="B19" s="159" t="inlineStr">
        <is>
          <t>2금호옥수</t>
        </is>
      </c>
      <c r="C19" s="159" t="inlineStr">
        <is>
          <t>중</t>
        </is>
      </c>
      <c r="D19" s="458" t="n">
        <v>100340</v>
      </c>
      <c r="E19" s="288" t="inlineStr">
        <is>
          <t>금호센트럴자이</t>
        </is>
      </c>
      <c r="F19" s="458" t="n">
        <v>2012.05</v>
      </c>
      <c r="G19" s="458" t="n">
        <v>401</v>
      </c>
      <c r="H19" s="458">
        <f>2026-INT(F19)+1</f>
        <v/>
      </c>
      <c r="J19" s="458" t="n">
        <v>83</v>
      </c>
      <c r="K19" s="458" t="n">
        <v>59</v>
      </c>
      <c r="L19" s="458" t="n">
        <v>25</v>
      </c>
      <c r="M19" s="458" t="inlineStr">
        <is>
          <t>계단식</t>
        </is>
      </c>
      <c r="N19" s="458" t="n">
        <v>3</v>
      </c>
      <c r="O19" s="458" t="n">
        <v>2</v>
      </c>
      <c r="P19" s="458" t="n">
        <v>140</v>
      </c>
      <c r="Q19" s="318" t="n"/>
      <c r="V19" s="458" t="n">
        <v>15.2</v>
      </c>
      <c r="W19" s="458" t="n">
        <v>9.5</v>
      </c>
    </row>
    <row r="20">
      <c r="A20" s="458" t="inlineStr">
        <is>
          <t>금호동2가</t>
        </is>
      </c>
      <c r="B20" s="159" t="inlineStr">
        <is>
          <t>2금호옥수</t>
        </is>
      </c>
      <c r="C20" s="159" t="inlineStr">
        <is>
          <t>중</t>
        </is>
      </c>
      <c r="D20" s="458" t="n">
        <v>100340</v>
      </c>
      <c r="E20" s="288" t="inlineStr">
        <is>
          <t>금호센트럴자이</t>
        </is>
      </c>
      <c r="F20" s="458" t="n">
        <v>2012.05</v>
      </c>
      <c r="G20" s="458" t="n">
        <v>401</v>
      </c>
      <c r="H20" s="458">
        <f>2026-INT(F20)+1</f>
        <v/>
      </c>
      <c r="J20" s="458" t="n">
        <v>111</v>
      </c>
      <c r="K20" s="458" t="n">
        <v>84</v>
      </c>
      <c r="L20" s="458" t="n">
        <v>34</v>
      </c>
      <c r="M20" s="458" t="inlineStr">
        <is>
          <t>계단식</t>
        </is>
      </c>
      <c r="N20" s="458" t="n">
        <v>3</v>
      </c>
      <c r="O20" s="458" t="n">
        <v>2</v>
      </c>
      <c r="P20" s="458" t="n">
        <v>231</v>
      </c>
      <c r="Q20" s="318" t="n"/>
      <c r="V20" s="458" t="n">
        <v>16.5</v>
      </c>
      <c r="W20" s="458" t="n">
        <v>9.9</v>
      </c>
    </row>
    <row r="21">
      <c r="A21" s="458" t="inlineStr">
        <is>
          <t>금호동2가</t>
        </is>
      </c>
      <c r="B21" s="159" t="inlineStr">
        <is>
          <t>2금호옥수</t>
        </is>
      </c>
      <c r="C21" s="159" t="inlineStr">
        <is>
          <t>중</t>
        </is>
      </c>
      <c r="D21" s="458" t="n">
        <v>100340</v>
      </c>
      <c r="E21" s="288" t="inlineStr">
        <is>
          <t>금호센트럴자이</t>
        </is>
      </c>
      <c r="F21" s="458" t="n">
        <v>2012.05</v>
      </c>
      <c r="G21" s="458" t="n">
        <v>401</v>
      </c>
      <c r="H21" s="458">
        <f>2026-INT(F21)+1</f>
        <v/>
      </c>
      <c r="J21" s="458" t="n">
        <v>140</v>
      </c>
      <c r="K21" s="458" t="n">
        <v>117</v>
      </c>
      <c r="L21" s="458" t="n">
        <v>42</v>
      </c>
      <c r="M21" s="458" t="inlineStr">
        <is>
          <t>계단식</t>
        </is>
      </c>
      <c r="N21" s="458" t="n">
        <v>4</v>
      </c>
      <c r="O21" s="458" t="n">
        <v>2</v>
      </c>
      <c r="P21" s="458" t="n">
        <v>30</v>
      </c>
      <c r="Q21" s="318" t="n"/>
      <c r="V21" s="458" t="n">
        <v>17.9</v>
      </c>
      <c r="W21" s="458" t="n">
        <v>17.5</v>
      </c>
    </row>
    <row r="22">
      <c r="A22" s="285" t="inlineStr">
        <is>
          <t>금호동3가</t>
        </is>
      </c>
      <c r="B22" s="307" t="inlineStr">
        <is>
          <t>2금호옥수</t>
        </is>
      </c>
      <c r="C22" s="307" t="inlineStr">
        <is>
          <t>중</t>
        </is>
      </c>
      <c r="D22" s="285" t="n">
        <v>10316</v>
      </c>
      <c r="E22" s="286" t="inlineStr">
        <is>
          <t>금호1차푸르지오</t>
        </is>
      </c>
      <c r="F22" s="285" t="n">
        <v>2005.05</v>
      </c>
      <c r="G22" s="285" t="n">
        <v>336</v>
      </c>
      <c r="H22" s="285">
        <f>2026-INT(F22)+1</f>
        <v/>
      </c>
      <c r="I22" s="285" t="n"/>
      <c r="J22" s="285" t="n">
        <v>78</v>
      </c>
      <c r="K22" s="285" t="n">
        <v>59</v>
      </c>
      <c r="L22" s="285" t="n">
        <v>24</v>
      </c>
      <c r="M22" s="285" t="inlineStr">
        <is>
          <t>계단식</t>
        </is>
      </c>
      <c r="N22" s="285" t="n">
        <v>3</v>
      </c>
      <c r="O22" s="285" t="n">
        <v>1</v>
      </c>
      <c r="P22" s="285" t="n">
        <v>142</v>
      </c>
      <c r="Q22" s="316" t="n"/>
      <c r="R22" s="285" t="n"/>
      <c r="S22" s="285" t="n"/>
      <c r="T22" s="285" t="n"/>
      <c r="U22" s="285" t="n"/>
      <c r="V22" s="285" t="n">
        <v>12.25</v>
      </c>
      <c r="W22" s="285" t="n">
        <v>9.050000000000001</v>
      </c>
      <c r="X22" s="285" t="n"/>
      <c r="Y22" s="285" t="n"/>
      <c r="Z22" s="285" t="n"/>
      <c r="AA22" s="285" t="n"/>
      <c r="AB22" s="285" t="n"/>
      <c r="AC22" s="285" t="n"/>
      <c r="AD22" s="285" t="n"/>
      <c r="AE22" s="285" t="n"/>
      <c r="AF22" s="285" t="n"/>
      <c r="AG22" s="285" t="n"/>
      <c r="AH22" s="285" t="n"/>
      <c r="AI22" s="285" t="n"/>
      <c r="AJ22" s="285" t="n"/>
      <c r="AK22" s="285" t="n"/>
      <c r="AL22" s="285" t="n"/>
    </row>
    <row r="23">
      <c r="A23" s="285" t="inlineStr">
        <is>
          <t>금호동3가</t>
        </is>
      </c>
      <c r="B23" s="307" t="inlineStr">
        <is>
          <t>2금호옥수</t>
        </is>
      </c>
      <c r="C23" s="307" t="inlineStr">
        <is>
          <t>중</t>
        </is>
      </c>
      <c r="D23" s="285" t="n">
        <v>10316</v>
      </c>
      <c r="E23" s="286" t="inlineStr">
        <is>
          <t>금호1차푸르지오</t>
        </is>
      </c>
      <c r="F23" s="285" t="n">
        <v>2005.05</v>
      </c>
      <c r="G23" s="285" t="n">
        <v>336</v>
      </c>
      <c r="H23" s="285">
        <f>2026-INT(F23)+1</f>
        <v/>
      </c>
      <c r="I23" s="285" t="n"/>
      <c r="J23" s="285" t="n">
        <v>102</v>
      </c>
      <c r="K23" s="285" t="n">
        <v>84</v>
      </c>
      <c r="L23" s="285" t="n">
        <v>31</v>
      </c>
      <c r="M23" s="285" t="inlineStr">
        <is>
          <t>계단식</t>
        </is>
      </c>
      <c r="N23" s="285" t="n">
        <v>3</v>
      </c>
      <c r="O23" s="285" t="n">
        <v>2</v>
      </c>
      <c r="P23" s="285" t="n">
        <v>137</v>
      </c>
      <c r="Q23" s="316" t="n"/>
      <c r="R23" s="285" t="n"/>
      <c r="S23" s="285" t="n"/>
      <c r="T23" s="285" t="n"/>
      <c r="U23" s="285" t="n"/>
      <c r="V23" s="285" t="n">
        <v>13.3</v>
      </c>
      <c r="W23" s="285" t="n">
        <v>11</v>
      </c>
      <c r="X23" s="285" t="n"/>
      <c r="Y23" s="285" t="n"/>
      <c r="Z23" s="285" t="n"/>
      <c r="AA23" s="285" t="n"/>
      <c r="AB23" s="285" t="n"/>
      <c r="AC23" s="285" t="n"/>
      <c r="AD23" s="285" t="n"/>
      <c r="AE23" s="285" t="n"/>
      <c r="AF23" s="285" t="n"/>
      <c r="AG23" s="285" t="n"/>
      <c r="AH23" s="285" t="n"/>
      <c r="AI23" s="285" t="n"/>
      <c r="AJ23" s="285" t="n"/>
      <c r="AK23" s="285" t="n"/>
      <c r="AL23" s="285" t="n"/>
    </row>
    <row r="24">
      <c r="A24" s="287" t="inlineStr">
        <is>
          <t>금호동3가</t>
        </is>
      </c>
      <c r="B24" s="307" t="inlineStr">
        <is>
          <t>2금호옥수</t>
        </is>
      </c>
      <c r="C24" s="307" t="inlineStr">
        <is>
          <t>중</t>
        </is>
      </c>
      <c r="D24" s="287" t="n">
        <v>10316</v>
      </c>
      <c r="E24" s="286" t="inlineStr">
        <is>
          <t>금호1차푸르지오</t>
        </is>
      </c>
      <c r="F24" s="287" t="n">
        <v>2005.05</v>
      </c>
      <c r="G24" s="287" t="n">
        <v>336</v>
      </c>
      <c r="H24" s="287">
        <f>2026-INT(F24)+1</f>
        <v/>
      </c>
      <c r="I24" s="285" t="n"/>
      <c r="J24" s="287" t="n">
        <v>133</v>
      </c>
      <c r="K24" s="287" t="n">
        <v>114</v>
      </c>
      <c r="L24" s="287" t="n">
        <v>40</v>
      </c>
      <c r="M24" s="287" t="inlineStr">
        <is>
          <t>계단식</t>
        </is>
      </c>
      <c r="N24" s="287" t="n">
        <v>4</v>
      </c>
      <c r="O24" s="287" t="n">
        <v>2</v>
      </c>
      <c r="P24" s="287" t="n">
        <v>57</v>
      </c>
      <c r="Q24" s="317" t="n"/>
      <c r="R24" s="285" t="n"/>
      <c r="S24" s="285" t="n"/>
      <c r="T24" s="285" t="n"/>
      <c r="U24" s="285" t="n"/>
      <c r="V24" s="285" t="n">
        <v>14.85</v>
      </c>
      <c r="W24" s="285" t="n">
        <v>12.25</v>
      </c>
      <c r="X24" s="285" t="n"/>
      <c r="Y24" s="285" t="n"/>
      <c r="Z24" s="285" t="n"/>
      <c r="AA24" s="285" t="n"/>
      <c r="AB24" s="285" t="n"/>
      <c r="AC24" s="285" t="n"/>
      <c r="AD24" s="285" t="n"/>
      <c r="AE24" s="285" t="n"/>
      <c r="AF24" s="285" t="n"/>
      <c r="AG24" s="285" t="n"/>
      <c r="AH24" s="285" t="n"/>
      <c r="AI24" s="285" t="n"/>
      <c r="AJ24" s="285" t="n"/>
      <c r="AK24" s="285" t="n"/>
      <c r="AL24" s="285" t="n"/>
    </row>
    <row r="25">
      <c r="A25" s="458" t="inlineStr">
        <is>
          <t>금호동3가</t>
        </is>
      </c>
      <c r="B25" s="159" t="inlineStr">
        <is>
          <t>2금호옥수</t>
        </is>
      </c>
      <c r="C25" s="159" t="inlineStr">
        <is>
          <t>중</t>
        </is>
      </c>
      <c r="D25" s="458" t="n">
        <v>100595</v>
      </c>
      <c r="E25" s="288" t="inlineStr">
        <is>
          <t>금호자이2차</t>
        </is>
      </c>
      <c r="F25" s="458" t="n">
        <v>2012.07</v>
      </c>
      <c r="G25" s="458" t="n">
        <v>403</v>
      </c>
      <c r="H25" s="458">
        <f>2026-INT(F25)+1</f>
        <v/>
      </c>
      <c r="J25" s="458" t="n">
        <v>82</v>
      </c>
      <c r="K25" s="458" t="n">
        <v>59</v>
      </c>
      <c r="L25" s="458" t="n">
        <v>25</v>
      </c>
      <c r="M25" s="458" t="inlineStr">
        <is>
          <t>계단식</t>
        </is>
      </c>
      <c r="N25" s="458" t="n">
        <v>3</v>
      </c>
      <c r="O25" s="458" t="n">
        <v>2</v>
      </c>
      <c r="P25" s="458" t="n">
        <v>116</v>
      </c>
      <c r="Q25" s="318" t="n"/>
      <c r="V25" s="458" t="n">
        <v>12.9</v>
      </c>
      <c r="W25" s="458" t="n">
        <v>9.5</v>
      </c>
    </row>
    <row r="26">
      <c r="A26" s="458" t="inlineStr">
        <is>
          <t>금호동3가</t>
        </is>
      </c>
      <c r="B26" s="159" t="inlineStr">
        <is>
          <t>2금호옥수</t>
        </is>
      </c>
      <c r="C26" s="159" t="inlineStr">
        <is>
          <t>중</t>
        </is>
      </c>
      <c r="D26" s="458" t="n">
        <v>100595</v>
      </c>
      <c r="E26" s="288" t="inlineStr">
        <is>
          <t>금호자이2차</t>
        </is>
      </c>
      <c r="F26" s="458" t="n">
        <v>2012.07</v>
      </c>
      <c r="G26" s="458" t="n">
        <v>403</v>
      </c>
      <c r="H26" s="458">
        <f>2026-INT(F26)+1</f>
        <v/>
      </c>
      <c r="J26" s="458" t="n">
        <v>107</v>
      </c>
      <c r="K26" s="458" t="n">
        <v>84</v>
      </c>
      <c r="L26" s="458" t="n">
        <v>32</v>
      </c>
      <c r="M26" s="458" t="inlineStr">
        <is>
          <t>계단식</t>
        </is>
      </c>
      <c r="N26" s="458" t="n">
        <v>3</v>
      </c>
      <c r="O26" s="458" t="n">
        <v>2</v>
      </c>
      <c r="P26" s="458" t="n">
        <v>164</v>
      </c>
      <c r="Q26" s="318" t="n"/>
      <c r="V26" s="458" t="n">
        <v>16.2</v>
      </c>
      <c r="W26" s="458" t="n">
        <v>11.5</v>
      </c>
    </row>
    <row r="27">
      <c r="A27" s="458" t="inlineStr">
        <is>
          <t>금호동3가</t>
        </is>
      </c>
      <c r="B27" s="159" t="inlineStr">
        <is>
          <t>2금호옥수</t>
        </is>
      </c>
      <c r="C27" s="159" t="inlineStr">
        <is>
          <t>중</t>
        </is>
      </c>
      <c r="D27" s="458" t="n">
        <v>100595</v>
      </c>
      <c r="E27" s="288" t="inlineStr">
        <is>
          <t>금호자이2차</t>
        </is>
      </c>
      <c r="F27" s="458" t="n">
        <v>2012.07</v>
      </c>
      <c r="G27" s="458" t="n">
        <v>403</v>
      </c>
      <c r="H27" s="458">
        <f>2026-INT(F27)+1</f>
        <v/>
      </c>
      <c r="J27" s="458" t="n">
        <v>147</v>
      </c>
      <c r="K27" s="458" t="n">
        <v>114</v>
      </c>
      <c r="L27" s="458" t="n">
        <v>44</v>
      </c>
      <c r="M27" s="458" t="inlineStr">
        <is>
          <t>계단식</t>
        </is>
      </c>
      <c r="N27" s="458" t="n">
        <v>4</v>
      </c>
      <c r="O27" s="458" t="n">
        <v>2</v>
      </c>
      <c r="P27" s="458" t="n">
        <v>11</v>
      </c>
      <c r="Q27" s="318" t="n"/>
      <c r="V27" s="458" t="n">
        <v>15.9</v>
      </c>
    </row>
    <row r="28">
      <c r="A28" s="458" t="inlineStr">
        <is>
          <t>금호동3가</t>
        </is>
      </c>
      <c r="B28" s="159" t="inlineStr">
        <is>
          <t>2금호옥수</t>
        </is>
      </c>
      <c r="C28" s="159" t="inlineStr">
        <is>
          <t>중</t>
        </is>
      </c>
      <c r="D28" s="458" t="n">
        <v>100595</v>
      </c>
      <c r="E28" s="288" t="inlineStr">
        <is>
          <t>금호자이2차</t>
        </is>
      </c>
      <c r="F28" s="458" t="n">
        <v>2012.07</v>
      </c>
      <c r="G28" s="458" t="n">
        <v>403</v>
      </c>
      <c r="H28" s="458">
        <f>2026-INT(F28)+1</f>
        <v/>
      </c>
      <c r="J28" s="458" t="n">
        <v>148</v>
      </c>
      <c r="K28" s="458" t="n">
        <v>115</v>
      </c>
      <c r="L28" s="458" t="n">
        <v>45</v>
      </c>
      <c r="M28" s="458" t="inlineStr">
        <is>
          <t>계단식</t>
        </is>
      </c>
      <c r="N28" s="458" t="n">
        <v>4</v>
      </c>
      <c r="O28" s="458" t="n">
        <v>2</v>
      </c>
      <c r="P28" s="458" t="n">
        <v>29</v>
      </c>
      <c r="Q28" s="318" t="n"/>
      <c r="V28" s="458" t="n">
        <v>15.9</v>
      </c>
    </row>
    <row r="29">
      <c r="A29" s="287" t="inlineStr">
        <is>
          <t>금호동3가</t>
        </is>
      </c>
      <c r="B29" s="307" t="inlineStr">
        <is>
          <t>2금호옥수</t>
        </is>
      </c>
      <c r="C29" s="307" t="inlineStr">
        <is>
          <t>중</t>
        </is>
      </c>
      <c r="D29" s="287" t="n">
        <v>10647</v>
      </c>
      <c r="E29" s="286" t="inlineStr">
        <is>
          <t>금호한신휴플러스</t>
        </is>
      </c>
      <c r="F29" s="287" t="n">
        <v>2005.07</v>
      </c>
      <c r="G29" s="287" t="n">
        <v>323</v>
      </c>
      <c r="H29" s="287">
        <f>2026-INT(F29)+1</f>
        <v/>
      </c>
      <c r="I29" s="285" t="n"/>
      <c r="J29" s="287" t="n">
        <v>80</v>
      </c>
      <c r="K29" s="287" t="n">
        <v>59</v>
      </c>
      <c r="L29" s="287" t="n">
        <v>24</v>
      </c>
      <c r="M29" s="287" t="inlineStr">
        <is>
          <t>계단식</t>
        </is>
      </c>
      <c r="N29" s="287" t="n">
        <v>3</v>
      </c>
      <c r="O29" s="287" t="n">
        <v>2</v>
      </c>
      <c r="P29" s="287" t="n">
        <v>153</v>
      </c>
      <c r="Q29" s="317" t="n"/>
      <c r="R29" s="285" t="n"/>
      <c r="S29" s="285" t="n"/>
      <c r="T29" s="285" t="n"/>
      <c r="U29" s="285" t="n"/>
      <c r="V29" s="287" t="n">
        <v>10.89</v>
      </c>
      <c r="W29" s="287" t="n">
        <v>8.699999999999999</v>
      </c>
      <c r="X29" s="285" t="n"/>
      <c r="Y29" s="285" t="n"/>
      <c r="Z29" s="285" t="n"/>
      <c r="AA29" s="285" t="n"/>
      <c r="AB29" s="285" t="n"/>
      <c r="AC29" s="285" t="n"/>
      <c r="AD29" s="285" t="n"/>
      <c r="AE29" s="285" t="n"/>
      <c r="AF29" s="285" t="n"/>
      <c r="AG29" s="285" t="n"/>
      <c r="AH29" s="285" t="n"/>
      <c r="AI29" s="285" t="n"/>
      <c r="AJ29" s="285" t="n"/>
      <c r="AK29" s="285" t="n"/>
      <c r="AL29" s="285" t="n"/>
    </row>
    <row r="30">
      <c r="A30" s="287" t="inlineStr">
        <is>
          <t>금호동3가</t>
        </is>
      </c>
      <c r="B30" s="307" t="inlineStr">
        <is>
          <t>2금호옥수</t>
        </is>
      </c>
      <c r="C30" s="307" t="inlineStr">
        <is>
          <t>중</t>
        </is>
      </c>
      <c r="D30" s="287" t="n">
        <v>10647</v>
      </c>
      <c r="E30" s="286" t="inlineStr">
        <is>
          <t>금호한신휴플러스</t>
        </is>
      </c>
      <c r="F30" s="287" t="n">
        <v>2005.07</v>
      </c>
      <c r="G30" s="287" t="n">
        <v>323</v>
      </c>
      <c r="H30" s="287">
        <f>2026-INT(F30)+1</f>
        <v/>
      </c>
      <c r="I30" s="285" t="n"/>
      <c r="J30" s="287" t="n">
        <v>107</v>
      </c>
      <c r="K30" s="287" t="n">
        <v>84</v>
      </c>
      <c r="L30" s="287" t="n">
        <v>32</v>
      </c>
      <c r="M30" s="287" t="inlineStr">
        <is>
          <t>계단식</t>
        </is>
      </c>
      <c r="N30" s="287" t="n">
        <v>3</v>
      </c>
      <c r="O30" s="287" t="n">
        <v>2</v>
      </c>
      <c r="P30" s="287" t="n">
        <v>112</v>
      </c>
      <c r="Q30" s="317" t="n"/>
      <c r="R30" s="285" t="n"/>
      <c r="S30" s="285" t="n"/>
      <c r="T30" s="285" t="n"/>
      <c r="U30" s="285" t="n"/>
      <c r="V30" s="287" t="n">
        <v>14</v>
      </c>
      <c r="W30" s="287" t="n"/>
      <c r="X30" s="285" t="n"/>
      <c r="Y30" s="285" t="n"/>
      <c r="Z30" s="285" t="n"/>
      <c r="AA30" s="285" t="n"/>
      <c r="AB30" s="285" t="n"/>
      <c r="AC30" s="285" t="n"/>
      <c r="AD30" s="285" t="n"/>
      <c r="AE30" s="285" t="n"/>
      <c r="AF30" s="285" t="n"/>
      <c r="AG30" s="285" t="n"/>
      <c r="AH30" s="285" t="n"/>
      <c r="AI30" s="285" t="n"/>
      <c r="AJ30" s="285" t="n"/>
      <c r="AK30" s="285" t="n"/>
      <c r="AL30" s="285" t="n"/>
    </row>
    <row r="31">
      <c r="A31" s="287" t="inlineStr">
        <is>
          <t>금호동3가</t>
        </is>
      </c>
      <c r="B31" s="307" t="inlineStr">
        <is>
          <t>2금호옥수</t>
        </is>
      </c>
      <c r="C31" s="307" t="inlineStr">
        <is>
          <t>중</t>
        </is>
      </c>
      <c r="D31" s="287" t="n">
        <v>10647</v>
      </c>
      <c r="E31" s="286" t="inlineStr">
        <is>
          <t>금호한신휴플러스</t>
        </is>
      </c>
      <c r="F31" s="287" t="n">
        <v>2005.07</v>
      </c>
      <c r="G31" s="287" t="n">
        <v>323</v>
      </c>
      <c r="H31" s="287">
        <f>2026-INT(F31)+1</f>
        <v/>
      </c>
      <c r="I31" s="285" t="n"/>
      <c r="J31" s="287" t="n">
        <v>134</v>
      </c>
      <c r="K31" s="287" t="n">
        <v>114</v>
      </c>
      <c r="L31" s="287" t="n">
        <v>41</v>
      </c>
      <c r="M31" s="287" t="inlineStr">
        <is>
          <t>계단식</t>
        </is>
      </c>
      <c r="N31" s="287" t="n">
        <v>4</v>
      </c>
      <c r="O31" s="287" t="n">
        <v>2</v>
      </c>
      <c r="P31" s="287" t="n">
        <v>29</v>
      </c>
      <c r="Q31" s="317" t="n"/>
      <c r="R31" s="285" t="n"/>
      <c r="S31" s="285" t="n"/>
      <c r="T31" s="285" t="n"/>
      <c r="U31" s="285" t="n"/>
      <c r="V31" s="287" t="n"/>
      <c r="W31" s="287" t="n"/>
      <c r="X31" s="285" t="n"/>
      <c r="Y31" s="285" t="n"/>
      <c r="Z31" s="285" t="n"/>
      <c r="AA31" s="285" t="n"/>
      <c r="AB31" s="285" t="n"/>
      <c r="AC31" s="285" t="n"/>
      <c r="AD31" s="285" t="n"/>
      <c r="AE31" s="285" t="n"/>
      <c r="AF31" s="285" t="n"/>
      <c r="AG31" s="285" t="n"/>
      <c r="AH31" s="285" t="n"/>
      <c r="AI31" s="285" t="n"/>
      <c r="AJ31" s="285" t="n"/>
      <c r="AK31" s="285" t="n"/>
      <c r="AL31" s="285" t="n"/>
    </row>
    <row r="32">
      <c r="A32" s="285" t="inlineStr">
        <is>
          <t>금호동3가</t>
        </is>
      </c>
      <c r="B32" s="307" t="inlineStr">
        <is>
          <t>2금호옥수</t>
        </is>
      </c>
      <c r="C32" s="307" t="inlineStr">
        <is>
          <t>중</t>
        </is>
      </c>
      <c r="D32" s="285" t="n">
        <v>10647</v>
      </c>
      <c r="E32" s="286" t="inlineStr">
        <is>
          <t>금호한신휴플러스</t>
        </is>
      </c>
      <c r="F32" s="285" t="n">
        <v>2005.07</v>
      </c>
      <c r="G32" s="285" t="n">
        <v>323</v>
      </c>
      <c r="H32" s="285">
        <f>2026-INT(F32)+1</f>
        <v/>
      </c>
      <c r="I32" s="285" t="n"/>
      <c r="J32" s="285" t="n">
        <v>154</v>
      </c>
      <c r="K32" s="285" t="n">
        <v>130</v>
      </c>
      <c r="L32" s="285" t="n">
        <v>47</v>
      </c>
      <c r="M32" s="285" t="inlineStr">
        <is>
          <t>계단식</t>
        </is>
      </c>
      <c r="N32" s="285" t="n">
        <v>4</v>
      </c>
      <c r="O32" s="285" t="n">
        <v>2</v>
      </c>
      <c r="P32" s="285" t="n">
        <v>29</v>
      </c>
      <c r="Q32" s="316" t="n"/>
      <c r="R32" s="285" t="n"/>
      <c r="S32" s="285" t="n"/>
      <c r="T32" s="285" t="n"/>
      <c r="U32" s="285" t="n"/>
      <c r="V32" s="285" t="n">
        <v>15</v>
      </c>
      <c r="W32" s="285" t="n">
        <v>14</v>
      </c>
      <c r="X32" s="285" t="n"/>
      <c r="Y32" s="285" t="n"/>
      <c r="Z32" s="285" t="n"/>
      <c r="AA32" s="285" t="n"/>
      <c r="AB32" s="285" t="n"/>
      <c r="AC32" s="285" t="n"/>
      <c r="AD32" s="285" t="n"/>
      <c r="AE32" s="285" t="n"/>
      <c r="AF32" s="285" t="n"/>
      <c r="AG32" s="285" t="n"/>
      <c r="AH32" s="285" t="n"/>
      <c r="AI32" s="285" t="n"/>
      <c r="AJ32" s="285" t="n"/>
      <c r="AK32" s="285" t="n"/>
      <c r="AL32" s="285" t="n"/>
    </row>
    <row r="33">
      <c r="A33" s="458" t="inlineStr">
        <is>
          <t>금호동3가</t>
        </is>
      </c>
      <c r="B33" s="159" t="inlineStr">
        <is>
          <t>2금호옥수</t>
        </is>
      </c>
      <c r="C33" s="159" t="inlineStr">
        <is>
          <t>중</t>
        </is>
      </c>
      <c r="D33" s="458" t="n">
        <v>547</v>
      </c>
      <c r="E33" s="288" t="inlineStr">
        <is>
          <t>두산</t>
        </is>
      </c>
      <c r="F33" s="458" t="n">
        <v>1994.09</v>
      </c>
      <c r="G33" s="458" t="n">
        <v>1267</v>
      </c>
      <c r="H33" s="458">
        <f>2026-INT(F33)+1</f>
        <v/>
      </c>
      <c r="J33" s="458" t="n">
        <v>82</v>
      </c>
      <c r="K33" s="458" t="n">
        <v>59</v>
      </c>
      <c r="L33" s="458" t="n">
        <v>25</v>
      </c>
      <c r="M33" s="458" t="inlineStr">
        <is>
          <t>복도식</t>
        </is>
      </c>
      <c r="N33" s="458" t="n">
        <v>2</v>
      </c>
      <c r="O33" s="458" t="n">
        <v>1</v>
      </c>
      <c r="P33" s="458" t="n">
        <v>335</v>
      </c>
      <c r="Q33" s="318" t="n"/>
      <c r="V33" s="458" t="n">
        <v>12</v>
      </c>
      <c r="W33" s="458" t="n">
        <v>8.550000000000001</v>
      </c>
    </row>
    <row r="34">
      <c r="A34" s="458" t="inlineStr">
        <is>
          <t>금호동3가</t>
        </is>
      </c>
      <c r="B34" s="159" t="inlineStr">
        <is>
          <t>2금호옥수</t>
        </is>
      </c>
      <c r="C34" s="159" t="inlineStr">
        <is>
          <t>중</t>
        </is>
      </c>
      <c r="D34" s="458" t="n">
        <v>547</v>
      </c>
      <c r="E34" s="288" t="inlineStr">
        <is>
          <t>두산</t>
        </is>
      </c>
      <c r="F34" s="458" t="n">
        <v>1994.09</v>
      </c>
      <c r="G34" s="458" t="n">
        <v>1267</v>
      </c>
      <c r="H34" s="458">
        <f>2026-INT(F34)+1</f>
        <v/>
      </c>
      <c r="J34" s="458" t="n">
        <v>96</v>
      </c>
      <c r="K34" s="458" t="n">
        <v>79</v>
      </c>
      <c r="L34" s="458" t="n">
        <v>29</v>
      </c>
      <c r="M34" s="458" t="inlineStr">
        <is>
          <t>복도식</t>
        </is>
      </c>
      <c r="N34" s="458" t="n">
        <v>3</v>
      </c>
      <c r="O34" s="458" t="n">
        <v>1</v>
      </c>
      <c r="P34" s="458" t="n">
        <v>270</v>
      </c>
      <c r="Q34" s="318" t="n"/>
      <c r="V34" s="458" t="n">
        <v>13.3</v>
      </c>
      <c r="W34" s="458" t="n">
        <v>9</v>
      </c>
    </row>
    <row r="35" ht="17" customHeight="1" s="476">
      <c r="A35" s="297" t="inlineStr">
        <is>
          <t>금호동3가</t>
        </is>
      </c>
      <c r="B35" s="311" t="inlineStr">
        <is>
          <t>2금호옥수</t>
        </is>
      </c>
      <c r="C35" s="311" t="inlineStr">
        <is>
          <t>중</t>
        </is>
      </c>
      <c r="D35" s="297" t="n">
        <v>547</v>
      </c>
      <c r="E35" s="313" t="inlineStr">
        <is>
          <t>두산</t>
        </is>
      </c>
      <c r="F35" s="297" t="n">
        <v>1994.09</v>
      </c>
      <c r="G35" s="297" t="n">
        <v>1267</v>
      </c>
      <c r="H35" s="297">
        <f>2026-INT(F35)+1</f>
        <v/>
      </c>
      <c r="I35" s="298" t="n"/>
      <c r="J35" s="297" t="n">
        <v>104</v>
      </c>
      <c r="K35" s="297" t="n">
        <v>84</v>
      </c>
      <c r="L35" s="297" t="n">
        <v>31</v>
      </c>
      <c r="M35" s="297" t="inlineStr">
        <is>
          <t>복도식</t>
        </is>
      </c>
      <c r="N35" s="297" t="n">
        <v>3</v>
      </c>
      <c r="O35" s="297" t="n">
        <v>2</v>
      </c>
      <c r="P35" s="297" t="n">
        <v>265</v>
      </c>
      <c r="Q35" s="319" t="inlineStr">
        <is>
          <t>15/5</t>
        </is>
      </c>
      <c r="R35" s="298" t="n">
        <v>180000</v>
      </c>
      <c r="S35" s="298" t="n">
        <v>70000</v>
      </c>
      <c r="T35" s="298" t="n"/>
      <c r="U35" s="298" t="n"/>
      <c r="V35" s="297" t="n">
        <v>14</v>
      </c>
      <c r="W35" s="297" t="n">
        <v>8.6</v>
      </c>
      <c r="X35" s="298" t="n"/>
      <c r="Y35" s="298" t="n"/>
      <c r="Z35" s="298" t="n"/>
      <c r="AA35" s="298" t="n"/>
      <c r="AB35" s="298" t="n"/>
      <c r="AC35" s="298" t="n"/>
      <c r="AD35" s="298" t="n"/>
      <c r="AE35" s="298" t="n"/>
      <c r="AF35" s="298" t="n"/>
      <c r="AG35" s="298" t="n"/>
      <c r="AH35" s="298" t="n"/>
      <c r="AI35" s="298" t="n"/>
      <c r="AJ35" s="298" t="n"/>
      <c r="AK35" s="298" t="n"/>
      <c r="AL35" s="298" t="n"/>
      <c r="AM35" s="298" t="n"/>
      <c r="AN35" s="298" t="n"/>
      <c r="AO35" s="298" t="n"/>
    </row>
    <row r="36">
      <c r="A36" s="458" t="inlineStr">
        <is>
          <t>금호동3가</t>
        </is>
      </c>
      <c r="B36" s="159" t="inlineStr">
        <is>
          <t>2금호옥수</t>
        </is>
      </c>
      <c r="C36" s="159" t="inlineStr">
        <is>
          <t>중</t>
        </is>
      </c>
      <c r="D36" s="458" t="n">
        <v>547</v>
      </c>
      <c r="E36" s="288" t="inlineStr">
        <is>
          <t>두산</t>
        </is>
      </c>
      <c r="F36" s="458" t="n">
        <v>1994.09</v>
      </c>
      <c r="G36" s="458" t="n">
        <v>1267</v>
      </c>
      <c r="H36" s="458">
        <f>2026-INT(F36)+1</f>
        <v/>
      </c>
      <c r="J36" s="458" t="n">
        <v>136</v>
      </c>
      <c r="K36" s="458" t="n">
        <v>116</v>
      </c>
      <c r="L36" s="458" t="n">
        <v>41</v>
      </c>
      <c r="M36" s="458" t="inlineStr">
        <is>
          <t>계단식</t>
        </is>
      </c>
      <c r="N36" s="458" t="n">
        <v>4</v>
      </c>
      <c r="O36" s="458" t="n">
        <v>2</v>
      </c>
      <c r="P36" s="458" t="n">
        <v>267</v>
      </c>
      <c r="Q36" s="318" t="n"/>
      <c r="V36" s="458" t="n">
        <v>15.4</v>
      </c>
      <c r="W36" s="458" t="n">
        <v>11</v>
      </c>
    </row>
    <row r="37">
      <c r="A37" s="458" t="inlineStr">
        <is>
          <t>금호동3가</t>
        </is>
      </c>
      <c r="B37" s="159" t="inlineStr">
        <is>
          <t>2금호옥수</t>
        </is>
      </c>
      <c r="C37" s="159" t="inlineStr">
        <is>
          <t>중</t>
        </is>
      </c>
      <c r="D37" s="458" t="n">
        <v>547</v>
      </c>
      <c r="E37" s="288" t="inlineStr">
        <is>
          <t>두산</t>
        </is>
      </c>
      <c r="F37" s="458" t="n">
        <v>1994.09</v>
      </c>
      <c r="G37" s="458" t="n">
        <v>1267</v>
      </c>
      <c r="H37" s="458">
        <f>2026-INT(F37)+1</f>
        <v/>
      </c>
      <c r="J37" s="458" t="n">
        <v>144</v>
      </c>
      <c r="K37" s="458" t="n">
        <v>124</v>
      </c>
      <c r="L37" s="458" t="n">
        <v>44</v>
      </c>
      <c r="M37" s="458" t="inlineStr">
        <is>
          <t>계단식</t>
        </is>
      </c>
      <c r="N37" s="458" t="n">
        <v>4</v>
      </c>
      <c r="O37" s="458" t="n">
        <v>2</v>
      </c>
      <c r="P37" s="458" t="n">
        <v>130</v>
      </c>
      <c r="Q37" s="318" t="n"/>
      <c r="V37" s="458" t="n">
        <v>13.5</v>
      </c>
      <c r="W37" s="458" t="n">
        <v>11.9</v>
      </c>
    </row>
    <row r="38">
      <c r="A38" s="287" t="inlineStr">
        <is>
          <t>금호동4가</t>
        </is>
      </c>
      <c r="B38" s="307" t="inlineStr">
        <is>
          <t>2금호옥수</t>
        </is>
      </c>
      <c r="C38" s="307" t="inlineStr">
        <is>
          <t>중</t>
        </is>
      </c>
      <c r="D38" s="287" t="n">
        <v>2975</v>
      </c>
      <c r="E38" s="286" t="inlineStr">
        <is>
          <t>금호대우</t>
        </is>
      </c>
      <c r="F38" s="287" t="n">
        <v>2001.05</v>
      </c>
      <c r="G38" s="287" t="n">
        <v>1181</v>
      </c>
      <c r="H38" s="287">
        <f>2026-INT(F38)+1</f>
        <v/>
      </c>
      <c r="I38" s="285" t="n"/>
      <c r="J38" s="287" t="n">
        <v>79</v>
      </c>
      <c r="K38" s="287" t="n">
        <v>59</v>
      </c>
      <c r="L38" s="287" t="n">
        <v>24</v>
      </c>
      <c r="M38" s="287" t="inlineStr">
        <is>
          <t>계단식</t>
        </is>
      </c>
      <c r="N38" s="287" t="n">
        <v>3</v>
      </c>
      <c r="O38" s="287" t="n">
        <v>1</v>
      </c>
      <c r="P38" s="287" t="n">
        <v>384</v>
      </c>
      <c r="Q38" s="317" t="n"/>
      <c r="R38" s="285" t="n"/>
      <c r="S38" s="285" t="n"/>
      <c r="T38" s="285" t="n"/>
      <c r="U38" s="285" t="n"/>
      <c r="V38" s="287" t="n">
        <v>13.35</v>
      </c>
      <c r="W38" s="287" t="n">
        <v>8.6</v>
      </c>
      <c r="X38" s="285" t="n"/>
      <c r="Y38" s="285" t="n"/>
      <c r="Z38" s="285" t="n"/>
      <c r="AA38" s="285" t="n"/>
      <c r="AB38" s="285" t="n"/>
      <c r="AC38" s="285" t="n"/>
      <c r="AD38" s="285" t="n"/>
      <c r="AE38" s="285" t="n"/>
      <c r="AF38" s="285" t="n"/>
      <c r="AG38" s="285" t="n"/>
      <c r="AH38" s="285" t="n"/>
      <c r="AI38" s="285" t="n"/>
      <c r="AJ38" s="285" t="n"/>
      <c r="AK38" s="285" t="n"/>
      <c r="AL38" s="285" t="n"/>
    </row>
    <row r="39">
      <c r="A39" s="285" t="inlineStr">
        <is>
          <t>금호동4가</t>
        </is>
      </c>
      <c r="B39" s="307" t="inlineStr">
        <is>
          <t>2금호옥수</t>
        </is>
      </c>
      <c r="C39" s="307" t="inlineStr">
        <is>
          <t>중</t>
        </is>
      </c>
      <c r="D39" s="285" t="n">
        <v>2975</v>
      </c>
      <c r="E39" s="286" t="inlineStr">
        <is>
          <t>금호대우</t>
        </is>
      </c>
      <c r="F39" s="285" t="n">
        <v>2001.05</v>
      </c>
      <c r="G39" s="285" t="n">
        <v>1181</v>
      </c>
      <c r="H39" s="285">
        <f>2026-INT(F39)+1</f>
        <v/>
      </c>
      <c r="I39" s="285" t="n"/>
      <c r="J39" s="285" t="n">
        <v>109</v>
      </c>
      <c r="K39" s="285" t="n">
        <v>84</v>
      </c>
      <c r="L39" s="285" t="n">
        <v>33</v>
      </c>
      <c r="M39" s="285" t="inlineStr">
        <is>
          <t>계단식</t>
        </is>
      </c>
      <c r="N39" s="285" t="n">
        <v>3</v>
      </c>
      <c r="O39" s="285" t="n">
        <v>2</v>
      </c>
      <c r="P39" s="285" t="n">
        <v>500</v>
      </c>
      <c r="Q39" s="316" t="n"/>
      <c r="R39" s="285" t="n"/>
      <c r="S39" s="285" t="n"/>
      <c r="T39" s="285" t="n"/>
      <c r="U39" s="285" t="n"/>
      <c r="V39" s="285" t="n">
        <v>16.2</v>
      </c>
      <c r="W39" s="285" t="n">
        <v>9</v>
      </c>
      <c r="X39" s="285" t="n"/>
      <c r="Y39" s="285" t="n"/>
      <c r="Z39" s="285" t="n"/>
      <c r="AA39" s="285" t="n"/>
      <c r="AB39" s="285" t="n"/>
      <c r="AC39" s="285" t="n"/>
      <c r="AD39" s="285" t="n"/>
      <c r="AE39" s="285" t="n"/>
      <c r="AF39" s="285" t="n"/>
      <c r="AG39" s="285" t="n"/>
      <c r="AH39" s="285" t="n"/>
      <c r="AI39" s="285" t="n"/>
      <c r="AJ39" s="285" t="n"/>
      <c r="AK39" s="285" t="n"/>
      <c r="AL39" s="285" t="n"/>
    </row>
    <row r="40">
      <c r="A40" s="285" t="inlineStr">
        <is>
          <t>금호동4가</t>
        </is>
      </c>
      <c r="B40" s="307" t="inlineStr">
        <is>
          <t>2금호옥수</t>
        </is>
      </c>
      <c r="C40" s="307" t="inlineStr">
        <is>
          <t>중</t>
        </is>
      </c>
      <c r="D40" s="285" t="n">
        <v>2975</v>
      </c>
      <c r="E40" s="286" t="inlineStr">
        <is>
          <t>금호대우</t>
        </is>
      </c>
      <c r="F40" s="285" t="n">
        <v>2001.05</v>
      </c>
      <c r="G40" s="285" t="n">
        <v>1181</v>
      </c>
      <c r="H40" s="285">
        <f>2026-INT(F40)+1</f>
        <v/>
      </c>
      <c r="I40" s="285" t="n"/>
      <c r="J40" s="285" t="n">
        <v>145</v>
      </c>
      <c r="K40" s="285" t="n">
        <v>114</v>
      </c>
      <c r="L40" s="285" t="n">
        <v>44</v>
      </c>
      <c r="M40" s="285" t="inlineStr">
        <is>
          <t>계단식</t>
        </is>
      </c>
      <c r="N40" s="285" t="n">
        <v>4</v>
      </c>
      <c r="O40" s="285" t="n">
        <v>2</v>
      </c>
      <c r="P40" s="285" t="n">
        <v>297</v>
      </c>
      <c r="Q40" s="316" t="n"/>
      <c r="R40" s="285" t="n"/>
      <c r="S40" s="285" t="n"/>
      <c r="T40" s="285" t="n"/>
      <c r="U40" s="285" t="n"/>
      <c r="V40" s="285" t="n">
        <v>18.5</v>
      </c>
      <c r="W40" s="285" t="n">
        <v>12</v>
      </c>
      <c r="X40" s="285" t="n"/>
      <c r="Y40" s="285" t="n"/>
      <c r="Z40" s="285" t="n"/>
      <c r="AA40" s="285" t="n"/>
      <c r="AB40" s="285" t="n"/>
      <c r="AC40" s="285" t="n"/>
      <c r="AD40" s="285" t="n"/>
      <c r="AE40" s="285" t="n"/>
      <c r="AF40" s="285" t="n"/>
      <c r="AG40" s="285" t="n"/>
      <c r="AH40" s="285" t="n"/>
      <c r="AI40" s="285" t="n"/>
      <c r="AJ40" s="285" t="n"/>
      <c r="AK40" s="285" t="n"/>
      <c r="AL40" s="285" t="n"/>
    </row>
    <row r="41">
      <c r="A41" s="458" t="inlineStr">
        <is>
          <t>금호동4가</t>
        </is>
      </c>
      <c r="B41" s="159" t="inlineStr">
        <is>
          <t>2금호옥수</t>
        </is>
      </c>
      <c r="C41" s="159" t="inlineStr">
        <is>
          <t>중</t>
        </is>
      </c>
      <c r="D41" s="458" t="n">
        <v>14019</v>
      </c>
      <c r="E41" s="288" t="inlineStr">
        <is>
          <t>금호브라운스톤1차</t>
        </is>
      </c>
      <c r="F41" s="458" t="n">
        <v>2007.03</v>
      </c>
      <c r="G41" s="458" t="n">
        <v>217</v>
      </c>
      <c r="H41" s="458">
        <f>2026-INT(F41)+1</f>
        <v/>
      </c>
      <c r="J41" s="458" t="n">
        <v>106</v>
      </c>
      <c r="K41" s="458" t="n">
        <v>84</v>
      </c>
      <c r="L41" s="458" t="n">
        <v>32</v>
      </c>
      <c r="M41" s="458" t="inlineStr">
        <is>
          <t>계단식</t>
        </is>
      </c>
      <c r="N41" s="458" t="n">
        <v>3</v>
      </c>
      <c r="O41" s="458" t="n">
        <v>2</v>
      </c>
      <c r="P41" s="458" t="n">
        <v>217</v>
      </c>
      <c r="Q41" s="318" t="n"/>
      <c r="V41" s="458" t="n">
        <v>19</v>
      </c>
      <c r="W41" s="458" t="n">
        <v>13.83</v>
      </c>
    </row>
    <row r="42">
      <c r="A42" s="287" t="inlineStr">
        <is>
          <t>금호동4가</t>
        </is>
      </c>
      <c r="B42" s="307" t="inlineStr">
        <is>
          <t>2금호옥수</t>
        </is>
      </c>
      <c r="C42" s="307" t="inlineStr">
        <is>
          <t>중</t>
        </is>
      </c>
      <c r="D42" s="287" t="n">
        <v>9213</v>
      </c>
      <c r="E42" s="286" t="inlineStr">
        <is>
          <t>롯데</t>
        </is>
      </c>
      <c r="F42" s="287" t="n">
        <v>2003.01</v>
      </c>
      <c r="G42" s="287" t="n">
        <v>249</v>
      </c>
      <c r="H42" s="287">
        <f>2026-INT(F42)+1</f>
        <v/>
      </c>
      <c r="I42" s="285" t="n"/>
      <c r="J42" s="287" t="n">
        <v>114</v>
      </c>
      <c r="K42" s="287" t="n">
        <v>84</v>
      </c>
      <c r="L42" s="287" t="n">
        <v>34</v>
      </c>
      <c r="M42" s="287" t="inlineStr">
        <is>
          <t>계단식</t>
        </is>
      </c>
      <c r="N42" s="287" t="n">
        <v>3</v>
      </c>
      <c r="O42" s="287" t="n">
        <v>2</v>
      </c>
      <c r="P42" s="287" t="n">
        <v>249</v>
      </c>
      <c r="Q42" s="317" t="n"/>
      <c r="R42" s="285" t="n"/>
      <c r="S42" s="285" t="n"/>
      <c r="T42" s="285" t="n"/>
      <c r="U42" s="285" t="n"/>
      <c r="V42" s="287" t="n">
        <v>13.95</v>
      </c>
      <c r="W42" s="287" t="n">
        <v>10.6</v>
      </c>
      <c r="X42" s="285" t="n"/>
      <c r="Y42" s="285" t="n"/>
      <c r="Z42" s="285" t="n"/>
      <c r="AA42" s="285" t="n"/>
      <c r="AB42" s="285" t="n"/>
      <c r="AC42" s="285" t="n"/>
      <c r="AD42" s="285" t="n"/>
      <c r="AE42" s="285" t="n"/>
      <c r="AF42" s="285" t="n"/>
      <c r="AG42" s="285" t="n"/>
      <c r="AH42" s="285" t="n"/>
      <c r="AI42" s="285" t="n"/>
      <c r="AJ42" s="285" t="n"/>
      <c r="AK42" s="285" t="n"/>
      <c r="AL42" s="285" t="n"/>
    </row>
    <row r="43">
      <c r="A43" s="458" t="inlineStr">
        <is>
          <t>금호동4가</t>
        </is>
      </c>
      <c r="B43" s="159" t="inlineStr">
        <is>
          <t>2금호옥수</t>
        </is>
      </c>
      <c r="C43" s="159" t="inlineStr">
        <is>
          <t>중</t>
        </is>
      </c>
      <c r="D43" s="458" t="n">
        <v>18541</v>
      </c>
      <c r="E43" s="288" t="inlineStr">
        <is>
          <t>서울숲푸르지오1차</t>
        </is>
      </c>
      <c r="F43" s="458" t="n">
        <v>2007.07</v>
      </c>
      <c r="G43" s="458" t="n">
        <v>888</v>
      </c>
      <c r="H43" s="458">
        <f>2026-INT(F43)+1</f>
        <v/>
      </c>
      <c r="J43" s="458" t="n">
        <v>73</v>
      </c>
      <c r="K43" s="458" t="n">
        <v>59</v>
      </c>
      <c r="L43" s="458" t="n">
        <v>22</v>
      </c>
      <c r="M43" s="458" t="inlineStr">
        <is>
          <t>계단식</t>
        </is>
      </c>
      <c r="N43" s="458" t="n">
        <v>3</v>
      </c>
      <c r="O43" s="458" t="n">
        <v>1</v>
      </c>
      <c r="P43" s="458" t="n">
        <v>267</v>
      </c>
      <c r="Q43" s="318" t="n"/>
      <c r="V43" s="458" t="n">
        <v>15.9</v>
      </c>
      <c r="W43" s="458" t="n">
        <v>10.5</v>
      </c>
    </row>
    <row r="44">
      <c r="A44" s="458" t="inlineStr">
        <is>
          <t>금호동4가</t>
        </is>
      </c>
      <c r="B44" s="159" t="inlineStr">
        <is>
          <t>2금호옥수</t>
        </is>
      </c>
      <c r="C44" s="159" t="inlineStr">
        <is>
          <t>중</t>
        </is>
      </c>
      <c r="D44" s="458" t="n">
        <v>18541</v>
      </c>
      <c r="E44" s="288" t="inlineStr">
        <is>
          <t>서울숲푸르지오1차</t>
        </is>
      </c>
      <c r="F44" s="458" t="n">
        <v>2007.07</v>
      </c>
      <c r="G44" s="458" t="n">
        <v>888</v>
      </c>
      <c r="H44" s="458">
        <f>2026-INT(F44)+1</f>
        <v/>
      </c>
      <c r="J44" s="458" t="n">
        <v>76</v>
      </c>
      <c r="K44" s="458" t="n">
        <v>59</v>
      </c>
      <c r="L44" s="458" t="n">
        <v>23</v>
      </c>
      <c r="M44" s="458" t="inlineStr">
        <is>
          <t>계단식</t>
        </is>
      </c>
      <c r="N44" s="458" t="n">
        <v>3</v>
      </c>
      <c r="O44" s="458" t="n">
        <v>2</v>
      </c>
      <c r="P44" s="458" t="n">
        <v>102</v>
      </c>
      <c r="Q44" s="318" t="n"/>
      <c r="V44" s="458" t="n">
        <v>15.9</v>
      </c>
      <c r="W44" s="458" t="n">
        <v>10.5</v>
      </c>
    </row>
    <row r="45" ht="17" customHeight="1" s="476">
      <c r="A45" s="297" t="inlineStr">
        <is>
          <t>금호동4가</t>
        </is>
      </c>
      <c r="B45" s="311" t="inlineStr">
        <is>
          <t>2금호옥수</t>
        </is>
      </c>
      <c r="C45" s="311" t="inlineStr">
        <is>
          <t>중</t>
        </is>
      </c>
      <c r="D45" s="297" t="n">
        <v>18541</v>
      </c>
      <c r="E45" s="299" t="inlineStr">
        <is>
          <t>서울숲푸르지오1차</t>
        </is>
      </c>
      <c r="F45" s="297" t="n">
        <v>2007.07</v>
      </c>
      <c r="G45" s="297" t="n">
        <v>888</v>
      </c>
      <c r="H45" s="297">
        <f>2026-INT(F45)+1</f>
        <v/>
      </c>
      <c r="I45" s="298" t="n"/>
      <c r="J45" s="297" t="n">
        <v>102</v>
      </c>
      <c r="K45" s="297" t="n">
        <v>84</v>
      </c>
      <c r="L45" s="297" t="n">
        <v>31</v>
      </c>
      <c r="M45" s="297" t="inlineStr">
        <is>
          <t>계단식</t>
        </is>
      </c>
      <c r="N45" s="297" t="n">
        <v>3</v>
      </c>
      <c r="O45" s="297" t="n">
        <v>2</v>
      </c>
      <c r="P45" s="297" t="n">
        <v>342</v>
      </c>
      <c r="Q45" s="319" t="inlineStr">
        <is>
          <t>12/1</t>
        </is>
      </c>
      <c r="R45" s="298" t="n">
        <v>240000</v>
      </c>
      <c r="S45" s="298" t="n">
        <v>95000</v>
      </c>
      <c r="T45" s="298" t="n"/>
      <c r="U45" s="298" t="n"/>
      <c r="V45" s="297" t="n">
        <v>19</v>
      </c>
      <c r="W45" s="297" t="n">
        <v>13.83</v>
      </c>
      <c r="X45" s="298" t="n"/>
      <c r="Y45" s="298" t="n"/>
      <c r="Z45" s="298" t="n"/>
      <c r="AA45" s="298" t="n"/>
      <c r="AB45" s="298" t="n"/>
      <c r="AC45" s="298" t="n"/>
      <c r="AD45" s="298" t="n"/>
      <c r="AE45" s="298" t="n"/>
      <c r="AF45" s="298" t="n"/>
      <c r="AG45" s="298" t="n"/>
      <c r="AH45" s="298" t="n"/>
      <c r="AI45" s="298" t="n"/>
      <c r="AJ45" s="298" t="n"/>
      <c r="AK45" s="298" t="n"/>
      <c r="AL45" s="298" t="n"/>
      <c r="AM45" s="298" t="n"/>
      <c r="AN45" s="298" t="n"/>
      <c r="AO45" s="298" t="n"/>
    </row>
    <row r="46">
      <c r="A46" s="458" t="inlineStr">
        <is>
          <t>금호동4가</t>
        </is>
      </c>
      <c r="B46" s="159" t="inlineStr">
        <is>
          <t>2금호옥수</t>
        </is>
      </c>
      <c r="C46" s="159" t="inlineStr">
        <is>
          <t>중</t>
        </is>
      </c>
      <c r="D46" s="458" t="n">
        <v>18541</v>
      </c>
      <c r="E46" s="288" t="inlineStr">
        <is>
          <t>서울숲푸르지오1차</t>
        </is>
      </c>
      <c r="F46" s="458" t="n">
        <v>2007.07</v>
      </c>
      <c r="G46" s="458" t="n">
        <v>888</v>
      </c>
      <c r="H46" s="458">
        <f>2026-INT(F46)+1</f>
        <v/>
      </c>
      <c r="J46" s="458" t="n">
        <v>125</v>
      </c>
      <c r="K46" s="458" t="n">
        <v>106</v>
      </c>
      <c r="L46" s="458" t="n">
        <v>38</v>
      </c>
      <c r="M46" s="458" t="inlineStr">
        <is>
          <t>계단식</t>
        </is>
      </c>
      <c r="N46" s="458" t="n">
        <v>3</v>
      </c>
      <c r="O46" s="458" t="n">
        <v>2</v>
      </c>
      <c r="P46" s="458" t="n">
        <v>2</v>
      </c>
      <c r="Q46" s="318" t="n"/>
    </row>
    <row r="47">
      <c r="A47" s="458" t="inlineStr">
        <is>
          <t>금호동4가</t>
        </is>
      </c>
      <c r="B47" s="159" t="inlineStr">
        <is>
          <t>2금호옥수</t>
        </is>
      </c>
      <c r="C47" s="159" t="inlineStr">
        <is>
          <t>중</t>
        </is>
      </c>
      <c r="D47" s="458" t="n">
        <v>18541</v>
      </c>
      <c r="E47" s="288" t="inlineStr">
        <is>
          <t>서울숲푸르지오1차</t>
        </is>
      </c>
      <c r="F47" s="458" t="n">
        <v>2007.07</v>
      </c>
      <c r="G47" s="458" t="n">
        <v>888</v>
      </c>
      <c r="H47" s="458">
        <f>2026-INT(F47)+1</f>
        <v/>
      </c>
      <c r="J47" s="458" t="n">
        <v>135</v>
      </c>
      <c r="K47" s="458" t="n">
        <v>114</v>
      </c>
      <c r="L47" s="458" t="n">
        <v>41</v>
      </c>
      <c r="M47" s="458" t="inlineStr">
        <is>
          <t>계단식</t>
        </is>
      </c>
      <c r="N47" s="458" t="n">
        <v>4</v>
      </c>
      <c r="O47" s="458" t="n">
        <v>2</v>
      </c>
      <c r="P47" s="458" t="n">
        <v>175</v>
      </c>
      <c r="Q47" s="318" t="n"/>
      <c r="V47" s="458" t="n">
        <v>21</v>
      </c>
      <c r="W47" s="458" t="n">
        <v>20.5</v>
      </c>
    </row>
    <row r="48">
      <c r="A48" s="287" t="inlineStr">
        <is>
          <t>금호동4가</t>
        </is>
      </c>
      <c r="B48" s="307" t="inlineStr">
        <is>
          <t>2금호옥수</t>
        </is>
      </c>
      <c r="C48" s="307" t="inlineStr">
        <is>
          <t>중</t>
        </is>
      </c>
      <c r="D48" s="287" t="n">
        <v>101322</v>
      </c>
      <c r="E48" s="286" t="inlineStr">
        <is>
          <t>서울숲푸르지오2차</t>
        </is>
      </c>
      <c r="F48" s="287" t="n">
        <v>2012.08</v>
      </c>
      <c r="G48" s="287" t="n">
        <v>586</v>
      </c>
      <c r="H48" s="287">
        <f>2026-INT(F48)+1</f>
        <v/>
      </c>
      <c r="I48" s="285" t="n"/>
      <c r="J48" s="287" t="n">
        <v>77</v>
      </c>
      <c r="K48" s="287" t="n">
        <v>59</v>
      </c>
      <c r="L48" s="287" t="n">
        <v>23</v>
      </c>
      <c r="M48" s="287" t="inlineStr">
        <is>
          <t>계단식</t>
        </is>
      </c>
      <c r="N48" s="287" t="n">
        <v>3</v>
      </c>
      <c r="O48" s="287" t="n">
        <v>2</v>
      </c>
      <c r="P48" s="287" t="n">
        <v>271</v>
      </c>
      <c r="Q48" s="317" t="n"/>
      <c r="R48" s="285" t="n"/>
      <c r="S48" s="285" t="n"/>
      <c r="T48" s="285" t="n"/>
      <c r="U48" s="285" t="n"/>
      <c r="V48" s="287" t="n">
        <v>16</v>
      </c>
      <c r="W48" s="287" t="n">
        <v>12.2</v>
      </c>
      <c r="X48" s="285" t="n"/>
      <c r="Y48" s="285" t="n"/>
      <c r="Z48" s="285" t="n"/>
      <c r="AA48" s="285" t="n"/>
      <c r="AB48" s="285" t="n"/>
      <c r="AC48" s="285" t="n"/>
      <c r="AD48" s="285" t="n"/>
      <c r="AE48" s="285" t="n"/>
      <c r="AF48" s="285" t="n"/>
      <c r="AG48" s="285" t="n"/>
      <c r="AH48" s="285" t="n"/>
      <c r="AI48" s="285" t="n"/>
      <c r="AJ48" s="285" t="n"/>
      <c r="AK48" s="285" t="n"/>
      <c r="AL48" s="285" t="n"/>
    </row>
    <row r="49">
      <c r="A49" s="287" t="inlineStr">
        <is>
          <t>금호동4가</t>
        </is>
      </c>
      <c r="B49" s="307" t="inlineStr">
        <is>
          <t>2금호옥수</t>
        </is>
      </c>
      <c r="C49" s="307" t="inlineStr">
        <is>
          <t>중</t>
        </is>
      </c>
      <c r="D49" s="287" t="n">
        <v>101322</v>
      </c>
      <c r="E49" s="286" t="inlineStr">
        <is>
          <t>서울숲푸르지오2차</t>
        </is>
      </c>
      <c r="F49" s="287" t="n">
        <v>2012.08</v>
      </c>
      <c r="G49" s="287" t="n">
        <v>586</v>
      </c>
      <c r="H49" s="287">
        <f>2026-INT(F49)+1</f>
        <v/>
      </c>
      <c r="I49" s="285" t="n"/>
      <c r="J49" s="287" t="n">
        <v>108</v>
      </c>
      <c r="K49" s="287" t="n">
        <v>84</v>
      </c>
      <c r="L49" s="287" t="n">
        <v>33</v>
      </c>
      <c r="M49" s="287" t="inlineStr">
        <is>
          <t>계단식</t>
        </is>
      </c>
      <c r="N49" s="287" t="n">
        <v>3</v>
      </c>
      <c r="O49" s="287" t="n">
        <v>2</v>
      </c>
      <c r="P49" s="287" t="n">
        <v>257</v>
      </c>
      <c r="Q49" s="317" t="n"/>
      <c r="R49" s="285" t="n"/>
      <c r="S49" s="285" t="n"/>
      <c r="T49" s="285" t="n"/>
      <c r="U49" s="285" t="n"/>
      <c r="V49" s="287" t="n">
        <v>18.5</v>
      </c>
      <c r="W49" s="287" t="n">
        <v>14.8</v>
      </c>
      <c r="X49" s="285" t="n"/>
      <c r="Y49" s="285" t="n"/>
      <c r="Z49" s="285" t="n"/>
      <c r="AA49" s="285" t="n"/>
      <c r="AB49" s="285" t="n"/>
      <c r="AC49" s="285" t="n"/>
      <c r="AD49" s="285" t="n"/>
      <c r="AE49" s="285" t="n"/>
      <c r="AF49" s="285" t="n"/>
      <c r="AG49" s="285" t="n"/>
      <c r="AH49" s="285" t="n"/>
      <c r="AI49" s="285" t="n"/>
      <c r="AJ49" s="285" t="n"/>
      <c r="AK49" s="285" t="n"/>
      <c r="AL49" s="285" t="n"/>
    </row>
    <row r="50">
      <c r="A50" s="287" t="inlineStr">
        <is>
          <t>금호동4가</t>
        </is>
      </c>
      <c r="B50" s="307" t="inlineStr">
        <is>
          <t>2금호옥수</t>
        </is>
      </c>
      <c r="C50" s="307" t="inlineStr">
        <is>
          <t>중</t>
        </is>
      </c>
      <c r="D50" s="287" t="n">
        <v>101322</v>
      </c>
      <c r="E50" s="286" t="inlineStr">
        <is>
          <t>서울숲푸르지오2차</t>
        </is>
      </c>
      <c r="F50" s="287" t="n">
        <v>2012.08</v>
      </c>
      <c r="G50" s="287" t="n">
        <v>586</v>
      </c>
      <c r="H50" s="287">
        <f>2026-INT(F50)+1</f>
        <v/>
      </c>
      <c r="I50" s="285" t="n"/>
      <c r="J50" s="287" t="n">
        <v>146</v>
      </c>
      <c r="K50" s="287" t="n">
        <v>114</v>
      </c>
      <c r="L50" s="287" t="n">
        <v>44</v>
      </c>
      <c r="M50" s="287" t="inlineStr">
        <is>
          <t>계단식</t>
        </is>
      </c>
      <c r="N50" s="287" t="n">
        <v>4</v>
      </c>
      <c r="O50" s="287" t="n">
        <v>2</v>
      </c>
      <c r="P50" s="287" t="n">
        <v>58</v>
      </c>
      <c r="Q50" s="317" t="n"/>
      <c r="R50" s="285" t="n"/>
      <c r="S50" s="285" t="n"/>
      <c r="T50" s="285" t="n"/>
      <c r="U50" s="285" t="n"/>
      <c r="V50" s="285" t="n">
        <v>19.5</v>
      </c>
      <c r="W50" s="285" t="n">
        <v>18.8</v>
      </c>
      <c r="X50" s="285" t="n"/>
      <c r="Y50" s="285" t="n"/>
      <c r="Z50" s="285" t="n"/>
      <c r="AA50" s="285" t="n"/>
      <c r="AB50" s="285" t="n"/>
      <c r="AC50" s="285" t="n"/>
      <c r="AD50" s="285" t="n"/>
      <c r="AE50" s="285" t="n"/>
      <c r="AF50" s="285" t="n"/>
      <c r="AG50" s="285" t="n"/>
      <c r="AH50" s="285" t="n"/>
      <c r="AI50" s="285" t="n"/>
      <c r="AJ50" s="285" t="n"/>
      <c r="AK50" s="285" t="n"/>
      <c r="AL50" s="285" t="n"/>
    </row>
    <row r="51">
      <c r="A51" s="458" t="inlineStr">
        <is>
          <t>금호동4가</t>
        </is>
      </c>
      <c r="B51" s="159" t="inlineStr">
        <is>
          <t>2금호옥수</t>
        </is>
      </c>
      <c r="C51" s="159" t="inlineStr">
        <is>
          <t>중</t>
        </is>
      </c>
      <c r="D51" s="458" t="n">
        <v>110939</v>
      </c>
      <c r="E51" s="288" t="inlineStr">
        <is>
          <t>힐스테이트서울숲리버</t>
        </is>
      </c>
      <c r="F51" s="458" t="n">
        <v>2018.02</v>
      </c>
      <c r="G51" s="458" t="n">
        <v>606</v>
      </c>
      <c r="H51" s="458">
        <f>2026-INT(F51)+1</f>
        <v/>
      </c>
      <c r="J51" s="458" t="n">
        <v>80</v>
      </c>
      <c r="K51" s="458" t="n">
        <v>59</v>
      </c>
      <c r="L51" s="458" t="n">
        <v>24</v>
      </c>
      <c r="M51" s="458" t="inlineStr">
        <is>
          <t>계단식</t>
        </is>
      </c>
      <c r="N51" s="458" t="n">
        <v>3</v>
      </c>
      <c r="O51" s="458" t="n">
        <v>2</v>
      </c>
      <c r="P51" s="458" t="n">
        <v>133</v>
      </c>
      <c r="Q51" s="318" t="n"/>
      <c r="V51" s="458" t="n">
        <v>14.9</v>
      </c>
      <c r="W51" s="458" t="n">
        <v>13</v>
      </c>
    </row>
    <row r="52">
      <c r="A52" s="458" t="inlineStr">
        <is>
          <t>금호동4가</t>
        </is>
      </c>
      <c r="B52" s="159" t="inlineStr">
        <is>
          <t>2금호옥수</t>
        </is>
      </c>
      <c r="C52" s="159" t="inlineStr">
        <is>
          <t>중</t>
        </is>
      </c>
      <c r="D52" s="458" t="n">
        <v>110939</v>
      </c>
      <c r="E52" s="288" t="inlineStr">
        <is>
          <t>힐스테이트서울숲리버</t>
        </is>
      </c>
      <c r="F52" s="458" t="n">
        <v>2018.02</v>
      </c>
      <c r="G52" s="458" t="n">
        <v>606</v>
      </c>
      <c r="H52" s="458">
        <f>2026-INT(F52)+1</f>
        <v/>
      </c>
      <c r="J52" s="458" t="n">
        <v>88</v>
      </c>
      <c r="K52" s="458" t="n">
        <v>64</v>
      </c>
      <c r="L52" s="458" t="n">
        <v>27</v>
      </c>
      <c r="M52" s="458" t="inlineStr">
        <is>
          <t>계단식</t>
        </is>
      </c>
      <c r="N52" s="458" t="n">
        <v>3</v>
      </c>
      <c r="O52" s="458" t="n">
        <v>2</v>
      </c>
      <c r="P52" s="458" t="n">
        <v>21</v>
      </c>
      <c r="Q52" s="318" t="n"/>
      <c r="V52" s="458" t="n">
        <v>15.5</v>
      </c>
      <c r="W52" s="458" t="n">
        <v>13.3</v>
      </c>
    </row>
    <row r="53">
      <c r="A53" s="458" t="inlineStr">
        <is>
          <t>금호동4가</t>
        </is>
      </c>
      <c r="B53" s="159" t="inlineStr">
        <is>
          <t>2금호옥수</t>
        </is>
      </c>
      <c r="C53" s="159" t="inlineStr">
        <is>
          <t>중</t>
        </is>
      </c>
      <c r="D53" s="458" t="n">
        <v>110939</v>
      </c>
      <c r="E53" s="288" t="inlineStr">
        <is>
          <t>힐스테이트서울숲리버</t>
        </is>
      </c>
      <c r="F53" s="458" t="n">
        <v>2018.02</v>
      </c>
      <c r="G53" s="458" t="n">
        <v>606</v>
      </c>
      <c r="H53" s="458">
        <f>2026-INT(F53)+1</f>
        <v/>
      </c>
      <c r="J53" s="458" t="n">
        <v>110</v>
      </c>
      <c r="K53" s="458" t="n">
        <v>84</v>
      </c>
      <c r="L53" s="458" t="n">
        <v>33</v>
      </c>
      <c r="M53" s="458" t="inlineStr">
        <is>
          <t>계단식</t>
        </is>
      </c>
      <c r="N53" s="458" t="n">
        <v>3</v>
      </c>
      <c r="O53" s="458" t="n">
        <v>2</v>
      </c>
      <c r="P53" s="458" t="n">
        <v>234</v>
      </c>
      <c r="Q53" s="318" t="n"/>
      <c r="V53" s="458" t="n">
        <v>20.2</v>
      </c>
      <c r="W53" s="458" t="n">
        <v>16</v>
      </c>
    </row>
    <row r="54">
      <c r="A54" s="458" t="inlineStr">
        <is>
          <t>금호동4가</t>
        </is>
      </c>
      <c r="B54" s="159" t="inlineStr">
        <is>
          <t>2금호옥수</t>
        </is>
      </c>
      <c r="C54" s="159" t="inlineStr">
        <is>
          <t>중</t>
        </is>
      </c>
      <c r="D54" s="458" t="n">
        <v>110939</v>
      </c>
      <c r="E54" s="288" t="inlineStr">
        <is>
          <t>힐스테이트서울숲리버</t>
        </is>
      </c>
      <c r="F54" s="458" t="n">
        <v>2018.02</v>
      </c>
      <c r="G54" s="458" t="n">
        <v>606</v>
      </c>
      <c r="H54" s="458">
        <f>2026-INT(F54)+1</f>
        <v/>
      </c>
      <c r="J54" s="458" t="n">
        <v>142</v>
      </c>
      <c r="K54" s="458" t="n">
        <v>114</v>
      </c>
      <c r="L54" s="458" t="n">
        <v>43</v>
      </c>
      <c r="M54" s="458" t="inlineStr">
        <is>
          <t>계단식</t>
        </is>
      </c>
      <c r="N54" s="458" t="n">
        <v>4</v>
      </c>
      <c r="O54" s="458" t="n">
        <v>2</v>
      </c>
      <c r="P54" s="458" t="n">
        <v>86</v>
      </c>
      <c r="Q54" s="318" t="n"/>
      <c r="V54" s="458" t="n">
        <v>28</v>
      </c>
      <c r="W54" s="458" t="n">
        <v>25.5</v>
      </c>
    </row>
    <row r="55">
      <c r="A55" s="458" t="inlineStr">
        <is>
          <t>금호동4가</t>
        </is>
      </c>
      <c r="B55" s="159" t="inlineStr">
        <is>
          <t>2금호옥수</t>
        </is>
      </c>
      <c r="C55" s="159" t="inlineStr">
        <is>
          <t>중</t>
        </is>
      </c>
      <c r="D55" s="458" t="n">
        <v>110939</v>
      </c>
      <c r="E55" s="288" t="inlineStr">
        <is>
          <t>힐스테이트서울숲리버</t>
        </is>
      </c>
      <c r="F55" s="458" t="n">
        <v>2018.02</v>
      </c>
      <c r="G55" s="458" t="n">
        <v>606</v>
      </c>
      <c r="H55" s="458">
        <f>2026-INT(F55)+1</f>
        <v/>
      </c>
      <c r="J55" s="458" t="n">
        <v>168</v>
      </c>
      <c r="K55" s="458" t="n">
        <v>141</v>
      </c>
      <c r="L55" s="458" t="n">
        <v>51</v>
      </c>
      <c r="M55" s="458" t="inlineStr">
        <is>
          <t>계단식</t>
        </is>
      </c>
      <c r="N55" s="458" t="n">
        <v>4</v>
      </c>
      <c r="O55" s="458" t="n">
        <v>2</v>
      </c>
      <c r="P55" s="458" t="n">
        <v>28</v>
      </c>
      <c r="Q55" s="318" t="n"/>
    </row>
    <row r="56">
      <c r="A56" s="458" t="inlineStr">
        <is>
          <t>옥수동</t>
        </is>
      </c>
      <c r="B56" s="159" t="inlineStr">
        <is>
          <t>2금호옥수</t>
        </is>
      </c>
      <c r="C56" s="159" t="inlineStr">
        <is>
          <t>중</t>
        </is>
      </c>
      <c r="D56" s="458" t="n">
        <v>8593</v>
      </c>
      <c r="E56" s="288" t="inlineStr">
        <is>
          <t>옥수강변풍림아이원</t>
        </is>
      </c>
      <c r="F56" s="458" t="n">
        <v>2004.1</v>
      </c>
      <c r="G56" s="458" t="n">
        <v>269</v>
      </c>
      <c r="H56" s="458">
        <f>2026-INT(F56)+1</f>
        <v/>
      </c>
      <c r="J56" s="458" t="n">
        <v>105</v>
      </c>
      <c r="K56" s="458" t="n">
        <v>84</v>
      </c>
      <c r="L56" s="458" t="n">
        <v>32</v>
      </c>
      <c r="M56" s="458" t="inlineStr">
        <is>
          <t>계단식</t>
        </is>
      </c>
      <c r="N56" s="458" t="n">
        <v>3</v>
      </c>
      <c r="O56" s="458" t="n">
        <v>2</v>
      </c>
      <c r="P56" s="458" t="n">
        <v>269</v>
      </c>
      <c r="Q56" s="318" t="n"/>
      <c r="V56" s="458" t="n">
        <v>18.6</v>
      </c>
      <c r="W56" s="458" t="n">
        <v>12.7</v>
      </c>
    </row>
    <row r="57">
      <c r="A57" s="458" t="inlineStr">
        <is>
          <t>옥수동</t>
        </is>
      </c>
      <c r="B57" s="159" t="inlineStr">
        <is>
          <t>2금호옥수</t>
        </is>
      </c>
      <c r="C57" s="159" t="inlineStr">
        <is>
          <t>중</t>
        </is>
      </c>
      <c r="D57" s="458" t="n">
        <v>1179</v>
      </c>
      <c r="E57" s="288" t="inlineStr">
        <is>
          <t>옥수삼성</t>
        </is>
      </c>
      <c r="F57" s="458" t="n">
        <v>1999.04</v>
      </c>
      <c r="G57" s="458" t="n">
        <v>1114</v>
      </c>
      <c r="H57" s="458">
        <f>2026-INT(F57)+1</f>
        <v/>
      </c>
      <c r="J57" s="458" t="n">
        <v>85</v>
      </c>
      <c r="K57" s="458" t="n">
        <v>59</v>
      </c>
      <c r="L57" s="458" t="n">
        <v>26</v>
      </c>
      <c r="M57" s="458" t="inlineStr">
        <is>
          <t>복도식</t>
        </is>
      </c>
      <c r="N57" s="458" t="n">
        <v>3</v>
      </c>
      <c r="O57" s="458" t="n">
        <v>1</v>
      </c>
      <c r="P57" s="458" t="n">
        <v>412</v>
      </c>
      <c r="Q57" s="318" t="n"/>
      <c r="V57" s="458" t="n">
        <v>14.2</v>
      </c>
      <c r="W57" s="458" t="n">
        <v>10.35</v>
      </c>
    </row>
    <row r="58">
      <c r="A58" s="285" t="inlineStr">
        <is>
          <t>도선동</t>
        </is>
      </c>
      <c r="B58" s="307" t="inlineStr">
        <is>
          <t>3왕십리</t>
        </is>
      </c>
      <c r="C58" s="307" t="inlineStr">
        <is>
          <t>중</t>
        </is>
      </c>
      <c r="D58" s="285" t="n">
        <v>22725</v>
      </c>
      <c r="E58" s="286" t="inlineStr">
        <is>
          <t>성동삼성쉐르빌(주상복합)</t>
        </is>
      </c>
      <c r="F58" s="285" t="n">
        <v>2006.09</v>
      </c>
      <c r="G58" s="285" t="n">
        <v>342</v>
      </c>
      <c r="H58" s="285">
        <f>2026-INT(F58)+1</f>
        <v/>
      </c>
      <c r="I58" s="285" t="n"/>
      <c r="J58" s="285" t="n">
        <v>89</v>
      </c>
      <c r="K58" s="285" t="n">
        <v>71</v>
      </c>
      <c r="L58" s="285" t="n">
        <v>27</v>
      </c>
      <c r="M58" s="285" t="inlineStr">
        <is>
          <t>계단식</t>
        </is>
      </c>
      <c r="N58" s="285" t="n">
        <v>2</v>
      </c>
      <c r="O58" s="285" t="n">
        <v>2</v>
      </c>
      <c r="P58" s="285" t="n">
        <v>40</v>
      </c>
      <c r="Q58" s="316" t="n"/>
      <c r="R58" s="285" t="n"/>
      <c r="S58" s="285" t="n"/>
      <c r="T58" s="285" t="n"/>
      <c r="U58" s="285" t="n"/>
      <c r="V58" s="285" t="n">
        <v>10</v>
      </c>
      <c r="W58" s="285" t="n">
        <v>7.8</v>
      </c>
      <c r="X58" s="285" t="n"/>
      <c r="Y58" s="285" t="n"/>
      <c r="Z58" s="285" t="n"/>
      <c r="AA58" s="285" t="n"/>
      <c r="AB58" s="285" t="n"/>
      <c r="AC58" s="285" t="n"/>
      <c r="AD58" s="285" t="n"/>
      <c r="AE58" s="285" t="n"/>
      <c r="AF58" s="285" t="n"/>
      <c r="AG58" s="285" t="n"/>
      <c r="AH58" s="285" t="n"/>
      <c r="AI58" s="285" t="n"/>
      <c r="AJ58" s="285" t="n"/>
      <c r="AK58" s="285" t="n"/>
      <c r="AL58" s="285" t="n"/>
    </row>
    <row r="59">
      <c r="A59" s="285" t="inlineStr">
        <is>
          <t>도선동</t>
        </is>
      </c>
      <c r="B59" s="307" t="inlineStr">
        <is>
          <t>3왕십리</t>
        </is>
      </c>
      <c r="C59" s="307" t="inlineStr">
        <is>
          <t>중</t>
        </is>
      </c>
      <c r="D59" s="285" t="n">
        <v>22725</v>
      </c>
      <c r="E59" s="286" t="inlineStr">
        <is>
          <t>성동삼성쉐르빌(주상복합)</t>
        </is>
      </c>
      <c r="F59" s="285" t="n">
        <v>2006.09</v>
      </c>
      <c r="G59" s="285" t="n">
        <v>342</v>
      </c>
      <c r="H59" s="285">
        <f>2026-INT(F59)+1</f>
        <v/>
      </c>
      <c r="I59" s="285" t="n"/>
      <c r="J59" s="285" t="n">
        <v>106</v>
      </c>
      <c r="K59" s="285" t="n">
        <v>84</v>
      </c>
      <c r="L59" s="285" t="n">
        <v>32</v>
      </c>
      <c r="M59" s="285" t="inlineStr">
        <is>
          <t>계단식</t>
        </is>
      </c>
      <c r="N59" s="285" t="n">
        <v>3</v>
      </c>
      <c r="O59" s="285" t="n">
        <v>2</v>
      </c>
      <c r="P59" s="285" t="n">
        <v>302</v>
      </c>
      <c r="Q59" s="316" t="n"/>
      <c r="R59" s="285" t="n"/>
      <c r="S59" s="285" t="n"/>
      <c r="T59" s="285" t="n"/>
      <c r="U59" s="285" t="n"/>
      <c r="V59" s="285" t="n">
        <v>11.4</v>
      </c>
      <c r="W59" s="285" t="n">
        <v>9</v>
      </c>
      <c r="X59" s="285" t="n"/>
      <c r="Y59" s="285" t="n"/>
      <c r="Z59" s="285" t="n"/>
      <c r="AA59" s="285" t="n"/>
      <c r="AB59" s="285" t="n"/>
      <c r="AC59" s="285" t="n"/>
      <c r="AD59" s="285" t="n"/>
      <c r="AE59" s="285" t="n"/>
      <c r="AF59" s="285" t="n"/>
      <c r="AG59" s="285" t="n"/>
      <c r="AH59" s="285" t="n"/>
      <c r="AI59" s="285" t="n"/>
      <c r="AJ59" s="285" t="n"/>
      <c r="AK59" s="285" t="n"/>
      <c r="AL59" s="285" t="n"/>
    </row>
    <row r="60">
      <c r="A60" s="458" t="inlineStr">
        <is>
          <t>마장동</t>
        </is>
      </c>
      <c r="B60" s="159" t="inlineStr">
        <is>
          <t>5마장</t>
        </is>
      </c>
      <c r="C60" s="159" t="inlineStr">
        <is>
          <t>하</t>
        </is>
      </c>
      <c r="D60" s="458" t="n">
        <v>549</v>
      </c>
      <c r="E60" s="288" t="inlineStr">
        <is>
          <t>세림</t>
        </is>
      </c>
      <c r="F60" s="458" t="n">
        <v>1986.12</v>
      </c>
      <c r="G60" s="458" t="n">
        <v>811</v>
      </c>
      <c r="H60" s="458">
        <f>2026-INT(F60)+1</f>
        <v/>
      </c>
      <c r="J60" s="458" t="n">
        <v>61</v>
      </c>
      <c r="K60" s="458" t="n">
        <v>40</v>
      </c>
      <c r="L60" s="458" t="n">
        <v>18</v>
      </c>
      <c r="M60" s="458" t="inlineStr">
        <is>
          <t>복도식</t>
        </is>
      </c>
      <c r="N60" s="458" t="n">
        <v>2</v>
      </c>
      <c r="O60" s="458" t="n">
        <v>1</v>
      </c>
      <c r="P60" s="458" t="n">
        <v>211</v>
      </c>
      <c r="Q60" s="318" t="n"/>
      <c r="V60" s="458" t="n">
        <v>8.85</v>
      </c>
      <c r="W60" s="458" t="n">
        <v>6.7</v>
      </c>
    </row>
    <row r="61">
      <c r="A61" s="458" t="inlineStr">
        <is>
          <t>마장동</t>
        </is>
      </c>
      <c r="B61" s="159" t="inlineStr">
        <is>
          <t>5마장</t>
        </is>
      </c>
      <c r="C61" s="159" t="inlineStr">
        <is>
          <t>하</t>
        </is>
      </c>
      <c r="D61" s="458" t="n">
        <v>549</v>
      </c>
      <c r="E61" s="288" t="inlineStr">
        <is>
          <t>세림</t>
        </is>
      </c>
      <c r="F61" s="458" t="n">
        <v>1986.12</v>
      </c>
      <c r="G61" s="458" t="n">
        <v>811</v>
      </c>
      <c r="H61" s="458">
        <f>2026-INT(F61)+1</f>
        <v/>
      </c>
      <c r="J61" s="458" t="n">
        <v>90</v>
      </c>
      <c r="K61" s="458" t="n">
        <v>72</v>
      </c>
      <c r="L61" s="458" t="n">
        <v>27</v>
      </c>
      <c r="M61" s="458" t="inlineStr">
        <is>
          <t>계단식</t>
        </is>
      </c>
      <c r="N61" s="458" t="n">
        <v>3</v>
      </c>
      <c r="O61" s="458" t="n">
        <v>1</v>
      </c>
      <c r="P61" s="458" t="n">
        <v>360</v>
      </c>
      <c r="Q61" s="318" t="n"/>
      <c r="V61" s="458" t="n">
        <v>10.9</v>
      </c>
      <c r="W61" s="458" t="n">
        <v>9</v>
      </c>
    </row>
    <row r="62">
      <c r="A62" s="458" t="inlineStr">
        <is>
          <t>마장동</t>
        </is>
      </c>
      <c r="B62" s="159" t="inlineStr">
        <is>
          <t>5마장</t>
        </is>
      </c>
      <c r="C62" s="159" t="inlineStr">
        <is>
          <t>하</t>
        </is>
      </c>
      <c r="D62" s="458" t="n">
        <v>549</v>
      </c>
      <c r="E62" s="288" t="inlineStr">
        <is>
          <t>세림</t>
        </is>
      </c>
      <c r="F62" s="458" t="n">
        <v>1986.12</v>
      </c>
      <c r="G62" s="458" t="n">
        <v>811</v>
      </c>
      <c r="H62" s="458">
        <f>2026-INT(F62)+1</f>
        <v/>
      </c>
      <c r="J62" s="458" t="n">
        <v>103</v>
      </c>
      <c r="K62" s="458" t="n">
        <v>84</v>
      </c>
      <c r="L62" s="458" t="n">
        <v>31</v>
      </c>
      <c r="M62" s="458" t="inlineStr">
        <is>
          <t>계단식</t>
        </is>
      </c>
      <c r="N62" s="458" t="n">
        <v>3</v>
      </c>
      <c r="O62" s="458" t="n">
        <v>1</v>
      </c>
      <c r="P62" s="458" t="n">
        <v>240</v>
      </c>
      <c r="Q62" s="318" t="n"/>
      <c r="V62" s="458" t="n">
        <v>13</v>
      </c>
      <c r="W62" s="458" t="n">
        <v>8.800000000000001</v>
      </c>
    </row>
    <row r="63">
      <c r="A63" s="287" t="inlineStr">
        <is>
          <t>마장동</t>
        </is>
      </c>
      <c r="B63" s="307" t="inlineStr">
        <is>
          <t>5마장</t>
        </is>
      </c>
      <c r="C63" s="307" t="inlineStr">
        <is>
          <t>중</t>
        </is>
      </c>
      <c r="D63" s="287" t="n">
        <v>9124</v>
      </c>
      <c r="E63" s="286" t="inlineStr">
        <is>
          <t>왕십리금호어울림</t>
        </is>
      </c>
      <c r="F63" s="287" t="n">
        <v>2006.09</v>
      </c>
      <c r="G63" s="287" t="n">
        <v>367</v>
      </c>
      <c r="H63" s="287">
        <f>2026-INT(F63)+1</f>
        <v/>
      </c>
      <c r="I63" s="285" t="n"/>
      <c r="J63" s="287" t="n">
        <v>80</v>
      </c>
      <c r="K63" s="287" t="n">
        <v>59</v>
      </c>
      <c r="L63" s="287" t="n">
        <v>24</v>
      </c>
      <c r="M63" s="287" t="inlineStr">
        <is>
          <t>계단식</t>
        </is>
      </c>
      <c r="N63" s="287" t="n">
        <v>3</v>
      </c>
      <c r="O63" s="287" t="n">
        <v>1</v>
      </c>
      <c r="P63" s="287" t="n">
        <v>37</v>
      </c>
      <c r="Q63" s="317" t="n"/>
      <c r="R63" s="285" t="n"/>
      <c r="S63" s="285" t="n"/>
      <c r="T63" s="285" t="n"/>
      <c r="U63" s="285" t="n"/>
      <c r="V63" s="287" t="n"/>
      <c r="W63" s="287" t="n">
        <v>8.5</v>
      </c>
      <c r="X63" s="285" t="n"/>
      <c r="Y63" s="285" t="n"/>
      <c r="Z63" s="285" t="n"/>
      <c r="AA63" s="285" t="n"/>
      <c r="AB63" s="285" t="n"/>
      <c r="AC63" s="285" t="n"/>
      <c r="AD63" s="285" t="n"/>
      <c r="AE63" s="285" t="n"/>
      <c r="AF63" s="285" t="n"/>
      <c r="AG63" s="285" t="n"/>
      <c r="AH63" s="285" t="n"/>
      <c r="AI63" s="285" t="n"/>
      <c r="AJ63" s="285" t="n"/>
      <c r="AK63" s="285" t="n"/>
      <c r="AL63" s="285" t="n"/>
    </row>
    <row r="64">
      <c r="A64" s="287" t="inlineStr">
        <is>
          <t>마장동</t>
        </is>
      </c>
      <c r="B64" s="307" t="inlineStr">
        <is>
          <t>5마장</t>
        </is>
      </c>
      <c r="C64" s="307" t="inlineStr">
        <is>
          <t>중</t>
        </is>
      </c>
      <c r="D64" s="287" t="n">
        <v>9124</v>
      </c>
      <c r="E64" s="286" t="inlineStr">
        <is>
          <t>왕십리금호어울림</t>
        </is>
      </c>
      <c r="F64" s="287" t="n">
        <v>2006.09</v>
      </c>
      <c r="G64" s="287" t="n">
        <v>367</v>
      </c>
      <c r="H64" s="287">
        <f>2026-INT(F64)+1</f>
        <v/>
      </c>
      <c r="I64" s="285" t="n"/>
      <c r="J64" s="287" t="n">
        <v>96</v>
      </c>
      <c r="K64" s="287" t="n">
        <v>74</v>
      </c>
      <c r="L64" s="287" t="n">
        <v>29</v>
      </c>
      <c r="M64" s="287" t="inlineStr">
        <is>
          <t>계단식</t>
        </is>
      </c>
      <c r="N64" s="287" t="n">
        <v>3</v>
      </c>
      <c r="O64" s="287" t="n">
        <v>2</v>
      </c>
      <c r="P64" s="287" t="n">
        <v>24</v>
      </c>
      <c r="Q64" s="317" t="n"/>
      <c r="R64" s="285" t="n"/>
      <c r="S64" s="285" t="n"/>
      <c r="T64" s="285" t="n"/>
      <c r="U64" s="285" t="n"/>
      <c r="V64" s="287" t="n">
        <v>12.45</v>
      </c>
      <c r="W64" s="287" t="n"/>
      <c r="X64" s="285" t="n"/>
      <c r="Y64" s="285" t="n"/>
      <c r="Z64" s="285" t="n"/>
      <c r="AA64" s="285" t="n"/>
      <c r="AB64" s="285" t="n"/>
      <c r="AC64" s="285" t="n"/>
      <c r="AD64" s="285" t="n"/>
      <c r="AE64" s="285" t="n"/>
      <c r="AF64" s="285" t="n"/>
      <c r="AG64" s="285" t="n"/>
      <c r="AH64" s="285" t="n"/>
      <c r="AI64" s="285" t="n"/>
      <c r="AJ64" s="285" t="n"/>
      <c r="AK64" s="285" t="n"/>
      <c r="AL64" s="285" t="n"/>
    </row>
    <row r="65">
      <c r="A65" s="285" t="inlineStr">
        <is>
          <t>마장동</t>
        </is>
      </c>
      <c r="B65" s="307" t="inlineStr">
        <is>
          <t>5마장</t>
        </is>
      </c>
      <c r="C65" s="307" t="inlineStr">
        <is>
          <t>중</t>
        </is>
      </c>
      <c r="D65" s="285" t="n">
        <v>9124</v>
      </c>
      <c r="E65" s="286" t="inlineStr">
        <is>
          <t>왕십리금호어울림</t>
        </is>
      </c>
      <c r="F65" s="285" t="n">
        <v>2006.09</v>
      </c>
      <c r="G65" s="285" t="n">
        <v>367</v>
      </c>
      <c r="H65" s="285">
        <f>2026-INT(F65)+1</f>
        <v/>
      </c>
      <c r="I65" s="285" t="n"/>
      <c r="J65" s="285" t="n">
        <v>106</v>
      </c>
      <c r="K65" s="285" t="n">
        <v>83</v>
      </c>
      <c r="L65" s="285" t="n">
        <v>32</v>
      </c>
      <c r="M65" s="285" t="inlineStr">
        <is>
          <t>계단식</t>
        </is>
      </c>
      <c r="N65" s="285" t="n">
        <v>3</v>
      </c>
      <c r="O65" s="285" t="n">
        <v>2</v>
      </c>
      <c r="P65" s="285" t="n">
        <v>1</v>
      </c>
      <c r="Q65" s="316" t="n"/>
      <c r="R65" s="285" t="n"/>
      <c r="S65" s="285" t="n"/>
      <c r="T65" s="285" t="n"/>
      <c r="U65" s="285" t="n"/>
      <c r="V65" s="285" t="n"/>
      <c r="W65" s="285" t="n"/>
      <c r="X65" s="285" t="n"/>
      <c r="Y65" s="285" t="n"/>
      <c r="Z65" s="285" t="n"/>
      <c r="AA65" s="285" t="n"/>
      <c r="AB65" s="285" t="n"/>
      <c r="AC65" s="285" t="n"/>
      <c r="AD65" s="285" t="n"/>
      <c r="AE65" s="285" t="n"/>
      <c r="AF65" s="285" t="n"/>
      <c r="AG65" s="285" t="n"/>
      <c r="AH65" s="285" t="n"/>
      <c r="AI65" s="285" t="n"/>
      <c r="AJ65" s="285" t="n"/>
      <c r="AK65" s="285" t="n"/>
      <c r="AL65" s="285" t="n"/>
    </row>
    <row r="66">
      <c r="A66" s="285" t="inlineStr">
        <is>
          <t>마장동</t>
        </is>
      </c>
      <c r="B66" s="307" t="inlineStr">
        <is>
          <t>5마장</t>
        </is>
      </c>
      <c r="C66" s="307" t="inlineStr">
        <is>
          <t>중</t>
        </is>
      </c>
      <c r="D66" s="285" t="n">
        <v>9124</v>
      </c>
      <c r="E66" s="286" t="inlineStr">
        <is>
          <t>왕십리금호어울림</t>
        </is>
      </c>
      <c r="F66" s="285" t="n">
        <v>2006.09</v>
      </c>
      <c r="G66" s="285" t="n">
        <v>367</v>
      </c>
      <c r="H66" s="285">
        <f>2026-INT(F66)+1</f>
        <v/>
      </c>
      <c r="I66" s="285" t="n"/>
      <c r="J66" s="285" t="n">
        <v>107</v>
      </c>
      <c r="K66" s="285" t="n">
        <v>84</v>
      </c>
      <c r="L66" s="285" t="n">
        <v>32</v>
      </c>
      <c r="M66" s="285" t="inlineStr">
        <is>
          <t>계단식</t>
        </is>
      </c>
      <c r="N66" s="285" t="n">
        <v>3</v>
      </c>
      <c r="O66" s="285" t="n">
        <v>2</v>
      </c>
      <c r="P66" s="285" t="n">
        <v>221</v>
      </c>
      <c r="Q66" s="316" t="n"/>
      <c r="R66" s="285" t="n"/>
      <c r="S66" s="285" t="n"/>
      <c r="T66" s="285" t="n"/>
      <c r="U66" s="285" t="n"/>
      <c r="V66" s="285" t="n">
        <v>13.7</v>
      </c>
      <c r="W66" s="285" t="n">
        <v>10</v>
      </c>
      <c r="X66" s="285" t="n"/>
      <c r="Y66" s="285" t="n"/>
      <c r="Z66" s="285" t="n"/>
      <c r="AA66" s="285" t="n"/>
      <c r="AB66" s="285" t="n"/>
      <c r="AC66" s="285" t="n"/>
      <c r="AD66" s="285" t="n"/>
      <c r="AE66" s="285" t="n"/>
      <c r="AF66" s="285" t="n"/>
      <c r="AG66" s="285" t="n"/>
      <c r="AH66" s="285" t="n"/>
      <c r="AI66" s="285" t="n"/>
      <c r="AJ66" s="285" t="n"/>
      <c r="AK66" s="285" t="n"/>
      <c r="AL66" s="285" t="n"/>
    </row>
    <row r="67">
      <c r="A67" s="285" t="inlineStr">
        <is>
          <t>마장동</t>
        </is>
      </c>
      <c r="B67" s="307" t="inlineStr">
        <is>
          <t>5마장</t>
        </is>
      </c>
      <c r="C67" s="307" t="inlineStr">
        <is>
          <t>중</t>
        </is>
      </c>
      <c r="D67" s="285" t="n">
        <v>9124</v>
      </c>
      <c r="E67" s="286" t="inlineStr">
        <is>
          <t>왕십리금호어울림</t>
        </is>
      </c>
      <c r="F67" s="285" t="n">
        <v>2006.09</v>
      </c>
      <c r="G67" s="285" t="n">
        <v>367</v>
      </c>
      <c r="H67" s="285">
        <f>2026-INT(F67)+1</f>
        <v/>
      </c>
      <c r="I67" s="285" t="n"/>
      <c r="J67" s="285" t="n">
        <v>123</v>
      </c>
      <c r="K67" s="285" t="n">
        <v>101</v>
      </c>
      <c r="L67" s="285" t="n">
        <v>37</v>
      </c>
      <c r="M67" s="285" t="inlineStr">
        <is>
          <t>계단식</t>
        </is>
      </c>
      <c r="N67" s="285" t="n">
        <v>3</v>
      </c>
      <c r="O67" s="285" t="n">
        <v>2</v>
      </c>
      <c r="P67" s="285" t="n">
        <v>1</v>
      </c>
      <c r="Q67" s="316" t="n"/>
      <c r="R67" s="285" t="n"/>
      <c r="S67" s="285" t="n"/>
      <c r="T67" s="285" t="n"/>
      <c r="U67" s="285" t="n"/>
      <c r="V67" s="285" t="n"/>
      <c r="W67" s="285" t="n"/>
      <c r="X67" s="285" t="n"/>
      <c r="Y67" s="285" t="n"/>
      <c r="Z67" s="285" t="n"/>
      <c r="AA67" s="285" t="n"/>
      <c r="AB67" s="285" t="n"/>
      <c r="AC67" s="285" t="n"/>
      <c r="AD67" s="285" t="n"/>
      <c r="AE67" s="285" t="n"/>
      <c r="AF67" s="285" t="n"/>
      <c r="AG67" s="285" t="n"/>
      <c r="AH67" s="285" t="n"/>
      <c r="AI67" s="285" t="n"/>
      <c r="AJ67" s="285" t="n"/>
      <c r="AK67" s="285" t="n"/>
      <c r="AL67" s="285" t="n"/>
    </row>
    <row r="68">
      <c r="A68" s="285" t="inlineStr">
        <is>
          <t>마장동</t>
        </is>
      </c>
      <c r="B68" s="307" t="inlineStr">
        <is>
          <t>5마장</t>
        </is>
      </c>
      <c r="C68" s="307" t="inlineStr">
        <is>
          <t>중</t>
        </is>
      </c>
      <c r="D68" s="285" t="n">
        <v>9124</v>
      </c>
      <c r="E68" s="286" t="inlineStr">
        <is>
          <t>왕십리금호어울림</t>
        </is>
      </c>
      <c r="F68" s="285" t="n">
        <v>2006.09</v>
      </c>
      <c r="G68" s="285" t="n">
        <v>367</v>
      </c>
      <c r="H68" s="285">
        <f>2026-INT(F68)+1</f>
        <v/>
      </c>
      <c r="I68" s="285" t="n"/>
      <c r="J68" s="285" t="n">
        <v>136</v>
      </c>
      <c r="K68" s="285" t="n">
        <v>114</v>
      </c>
      <c r="L68" s="285" t="n">
        <v>41</v>
      </c>
      <c r="M68" s="285" t="inlineStr">
        <is>
          <t>계단식</t>
        </is>
      </c>
      <c r="N68" s="285" t="n">
        <v>4</v>
      </c>
      <c r="O68" s="285" t="n">
        <v>2</v>
      </c>
      <c r="P68" s="285" t="n">
        <v>83</v>
      </c>
      <c r="Q68" s="316" t="n"/>
      <c r="R68" s="285" t="n"/>
      <c r="S68" s="285" t="n"/>
      <c r="T68" s="285" t="n"/>
      <c r="U68" s="285" t="n"/>
      <c r="V68" s="285" t="n"/>
      <c r="W68" s="285" t="n">
        <v>13.5</v>
      </c>
      <c r="X68" s="285" t="n"/>
      <c r="Y68" s="285" t="n"/>
      <c r="Z68" s="285" t="n"/>
      <c r="AA68" s="285" t="n"/>
      <c r="AB68" s="285" t="n"/>
      <c r="AC68" s="285" t="n"/>
      <c r="AD68" s="285" t="n"/>
      <c r="AE68" s="285" t="n"/>
      <c r="AF68" s="285" t="n"/>
      <c r="AG68" s="285" t="n"/>
      <c r="AH68" s="285" t="n"/>
      <c r="AI68" s="285" t="n"/>
      <c r="AJ68" s="285" t="n"/>
      <c r="AK68" s="285" t="n"/>
      <c r="AL68" s="285" t="n"/>
    </row>
    <row r="69">
      <c r="A69" s="458" t="inlineStr">
        <is>
          <t>마장동</t>
        </is>
      </c>
      <c r="B69" s="159" t="inlineStr">
        <is>
          <t>5마장</t>
        </is>
      </c>
      <c r="C69" s="159" t="inlineStr">
        <is>
          <t>중</t>
        </is>
      </c>
      <c r="D69" s="458" t="n">
        <v>10898</v>
      </c>
      <c r="E69" s="288" t="inlineStr">
        <is>
          <t>왕십리대성유니드</t>
        </is>
      </c>
      <c r="F69" s="458" t="n">
        <v>2004.11</v>
      </c>
      <c r="G69" s="458" t="n">
        <v>248</v>
      </c>
      <c r="H69" s="458">
        <f>2026-INT(F69)+1</f>
        <v/>
      </c>
      <c r="J69" s="458" t="n">
        <v>77</v>
      </c>
      <c r="K69" s="458" t="n">
        <v>59</v>
      </c>
      <c r="L69" s="458" t="n">
        <v>23</v>
      </c>
      <c r="M69" s="458" t="inlineStr">
        <is>
          <t>계단식</t>
        </is>
      </c>
      <c r="N69" s="458" t="n">
        <v>3</v>
      </c>
      <c r="O69" s="458" t="n">
        <v>2</v>
      </c>
      <c r="P69" s="458" t="n">
        <v>100</v>
      </c>
      <c r="Q69" s="318" t="n"/>
      <c r="V69" s="458" t="n">
        <v>10.6</v>
      </c>
      <c r="W69" s="458" t="n">
        <v>6</v>
      </c>
    </row>
    <row r="70">
      <c r="A70" s="458" t="inlineStr">
        <is>
          <t>마장동</t>
        </is>
      </c>
      <c r="B70" s="159" t="inlineStr">
        <is>
          <t>5마장</t>
        </is>
      </c>
      <c r="C70" s="159" t="inlineStr">
        <is>
          <t>중</t>
        </is>
      </c>
      <c r="D70" s="458" t="n">
        <v>10898</v>
      </c>
      <c r="E70" s="288" t="inlineStr">
        <is>
          <t>왕십리대성유니드</t>
        </is>
      </c>
      <c r="F70" s="458" t="n">
        <v>2004.11</v>
      </c>
      <c r="G70" s="458" t="n">
        <v>248</v>
      </c>
      <c r="H70" s="458">
        <f>2026-INT(F70)+1</f>
        <v/>
      </c>
      <c r="J70" s="458" t="n">
        <v>104</v>
      </c>
      <c r="K70" s="458" t="n">
        <v>84</v>
      </c>
      <c r="L70" s="458" t="n">
        <v>31</v>
      </c>
      <c r="M70" s="458" t="inlineStr">
        <is>
          <t>계단식</t>
        </is>
      </c>
      <c r="N70" s="458" t="n">
        <v>3</v>
      </c>
      <c r="O70" s="458" t="n">
        <v>2</v>
      </c>
      <c r="P70" s="458" t="n">
        <v>104</v>
      </c>
      <c r="Q70" s="318" t="n"/>
      <c r="V70" s="458" t="n">
        <v>12.65</v>
      </c>
      <c r="W70" s="458" t="n">
        <v>9.75</v>
      </c>
    </row>
    <row r="71">
      <c r="A71" s="458" t="inlineStr">
        <is>
          <t>마장동</t>
        </is>
      </c>
      <c r="B71" s="159" t="inlineStr">
        <is>
          <t>5마장</t>
        </is>
      </c>
      <c r="C71" s="159" t="inlineStr">
        <is>
          <t>중</t>
        </is>
      </c>
      <c r="D71" s="458" t="n">
        <v>10898</v>
      </c>
      <c r="E71" s="288" t="inlineStr">
        <is>
          <t>왕십리대성유니드</t>
        </is>
      </c>
      <c r="F71" s="458" t="n">
        <v>2004.11</v>
      </c>
      <c r="G71" s="458" t="n">
        <v>248</v>
      </c>
      <c r="H71" s="458">
        <f>2026-INT(F71)+1</f>
        <v/>
      </c>
      <c r="J71" s="458" t="n">
        <v>134</v>
      </c>
      <c r="K71" s="458" t="n">
        <v>114</v>
      </c>
      <c r="L71" s="458" t="n">
        <v>41</v>
      </c>
      <c r="M71" s="458" t="inlineStr">
        <is>
          <t>계단식</t>
        </is>
      </c>
      <c r="N71" s="458" t="n">
        <v>4</v>
      </c>
      <c r="O71" s="458" t="n">
        <v>2</v>
      </c>
      <c r="P71" s="458" t="n">
        <v>44</v>
      </c>
      <c r="Q71" s="318" t="n"/>
    </row>
    <row r="72">
      <c r="A72" s="287" t="inlineStr">
        <is>
          <t>마장동</t>
        </is>
      </c>
      <c r="B72" s="307" t="inlineStr">
        <is>
          <t>5마장</t>
        </is>
      </c>
      <c r="C72" s="307" t="inlineStr">
        <is>
          <t>중</t>
        </is>
      </c>
      <c r="D72" s="287" t="n">
        <v>548</v>
      </c>
      <c r="E72" s="286" t="inlineStr">
        <is>
          <t>왕십리삼성</t>
        </is>
      </c>
      <c r="F72" s="287" t="n">
        <v>1996.12</v>
      </c>
      <c r="G72" s="287" t="n">
        <v>430</v>
      </c>
      <c r="H72" s="287">
        <f>2026-INT(F72)+1</f>
        <v/>
      </c>
      <c r="I72" s="285" t="n"/>
      <c r="J72" s="287" t="n">
        <v>85</v>
      </c>
      <c r="K72" s="287" t="n">
        <v>59</v>
      </c>
      <c r="L72" s="287" t="n">
        <v>26</v>
      </c>
      <c r="M72" s="287" t="inlineStr">
        <is>
          <t>복도식</t>
        </is>
      </c>
      <c r="N72" s="287" t="n">
        <v>3</v>
      </c>
      <c r="O72" s="287" t="n">
        <v>1</v>
      </c>
      <c r="P72" s="287" t="n">
        <v>198</v>
      </c>
      <c r="Q72" s="317" t="n"/>
      <c r="R72" s="285" t="n"/>
      <c r="S72" s="285" t="n"/>
      <c r="T72" s="285" t="n"/>
      <c r="U72" s="285" t="n"/>
      <c r="V72" s="285" t="n">
        <v>10.5</v>
      </c>
      <c r="W72" s="285" t="n">
        <v>7.8</v>
      </c>
      <c r="X72" s="285" t="n"/>
      <c r="Y72" s="285" t="n"/>
      <c r="Z72" s="285" t="n"/>
      <c r="AA72" s="285" t="n"/>
      <c r="AB72" s="285" t="n"/>
      <c r="AC72" s="285" t="n"/>
      <c r="AD72" s="285" t="n"/>
      <c r="AE72" s="285" t="n"/>
      <c r="AF72" s="285" t="n"/>
      <c r="AG72" s="285" t="n"/>
      <c r="AH72" s="285" t="n"/>
      <c r="AI72" s="285" t="n"/>
      <c r="AJ72" s="285" t="n"/>
      <c r="AK72" s="285" t="n"/>
      <c r="AL72" s="285" t="n"/>
    </row>
    <row r="73">
      <c r="A73" s="285" t="inlineStr">
        <is>
          <t>마장동</t>
        </is>
      </c>
      <c r="B73" s="307" t="inlineStr">
        <is>
          <t>5마장</t>
        </is>
      </c>
      <c r="C73" s="307" t="inlineStr">
        <is>
          <t>중</t>
        </is>
      </c>
      <c r="D73" s="285" t="n">
        <v>548</v>
      </c>
      <c r="E73" s="286" t="inlineStr">
        <is>
          <t>왕십리삼성</t>
        </is>
      </c>
      <c r="F73" s="285" t="n">
        <v>1996.12</v>
      </c>
      <c r="G73" s="285" t="n">
        <v>430</v>
      </c>
      <c r="H73" s="285">
        <f>2026-INT(F73)+1</f>
        <v/>
      </c>
      <c r="I73" s="285" t="n"/>
      <c r="J73" s="285" t="n">
        <v>110</v>
      </c>
      <c r="K73" s="285" t="n">
        <v>84</v>
      </c>
      <c r="L73" s="285" t="n">
        <v>33</v>
      </c>
      <c r="M73" s="285" t="inlineStr">
        <is>
          <t>계단식</t>
        </is>
      </c>
      <c r="N73" s="285" t="n">
        <v>3</v>
      </c>
      <c r="O73" s="285" t="n">
        <v>2</v>
      </c>
      <c r="P73" s="285" t="n">
        <v>162</v>
      </c>
      <c r="Q73" s="316" t="n"/>
      <c r="R73" s="285" t="n"/>
      <c r="S73" s="285" t="n"/>
      <c r="T73" s="285" t="n"/>
      <c r="U73" s="285" t="n"/>
      <c r="V73" s="285" t="n">
        <v>13</v>
      </c>
      <c r="W73" s="285" t="n">
        <v>10</v>
      </c>
      <c r="X73" s="285" t="n"/>
      <c r="Y73" s="285" t="n"/>
      <c r="Z73" s="285" t="n"/>
      <c r="AA73" s="285" t="n"/>
      <c r="AB73" s="285" t="n"/>
      <c r="AC73" s="285" t="n"/>
      <c r="AD73" s="285" t="n"/>
      <c r="AE73" s="285" t="n"/>
      <c r="AF73" s="285" t="n"/>
      <c r="AG73" s="285" t="n"/>
      <c r="AH73" s="285" t="n"/>
      <c r="AI73" s="285" t="n"/>
      <c r="AJ73" s="285" t="n"/>
      <c r="AK73" s="285" t="n"/>
      <c r="AL73" s="285" t="n"/>
    </row>
    <row r="74">
      <c r="A74" s="285" t="inlineStr">
        <is>
          <t>마장동</t>
        </is>
      </c>
      <c r="B74" s="307" t="inlineStr">
        <is>
          <t>5마장</t>
        </is>
      </c>
      <c r="C74" s="307" t="inlineStr">
        <is>
          <t>중</t>
        </is>
      </c>
      <c r="D74" s="285" t="n">
        <v>548</v>
      </c>
      <c r="E74" s="286" t="inlineStr">
        <is>
          <t>왕십리삼성</t>
        </is>
      </c>
      <c r="F74" s="285" t="n">
        <v>1996.12</v>
      </c>
      <c r="G74" s="285" t="n">
        <v>430</v>
      </c>
      <c r="H74" s="285">
        <f>2026-INT(F74)+1</f>
        <v/>
      </c>
      <c r="I74" s="285" t="n"/>
      <c r="J74" s="285" t="n">
        <v>167</v>
      </c>
      <c r="K74" s="285" t="n">
        <v>134</v>
      </c>
      <c r="L74" s="285" t="n">
        <v>51</v>
      </c>
      <c r="M74" s="285" t="inlineStr">
        <is>
          <t>계단식</t>
        </is>
      </c>
      <c r="N74" s="285" t="n">
        <v>4</v>
      </c>
      <c r="O74" s="285" t="n">
        <v>2</v>
      </c>
      <c r="P74" s="285" t="n">
        <v>70</v>
      </c>
      <c r="Q74" s="316" t="n"/>
      <c r="R74" s="285" t="n"/>
      <c r="S74" s="285" t="n"/>
      <c r="T74" s="285" t="n"/>
      <c r="U74" s="285" t="n"/>
      <c r="V74" s="285" t="n">
        <v>13.3</v>
      </c>
      <c r="W74" s="285" t="n">
        <v>11.8</v>
      </c>
      <c r="X74" s="285" t="n"/>
      <c r="Y74" s="285" t="n"/>
      <c r="Z74" s="285" t="n"/>
      <c r="AA74" s="285" t="n"/>
      <c r="AB74" s="285" t="n"/>
      <c r="AC74" s="285" t="n"/>
      <c r="AD74" s="285" t="n"/>
      <c r="AE74" s="285" t="n"/>
      <c r="AF74" s="285" t="n"/>
      <c r="AG74" s="285" t="n"/>
      <c r="AH74" s="285" t="n"/>
      <c r="AI74" s="285" t="n"/>
      <c r="AJ74" s="285" t="n"/>
      <c r="AK74" s="285" t="n"/>
      <c r="AL74" s="285" t="n"/>
    </row>
    <row r="75">
      <c r="A75" s="458" t="inlineStr">
        <is>
          <t>마장동</t>
        </is>
      </c>
      <c r="B75" s="159" t="inlineStr">
        <is>
          <t>5마장</t>
        </is>
      </c>
      <c r="C75" s="159" t="inlineStr">
        <is>
          <t>중</t>
        </is>
      </c>
      <c r="D75" s="458" t="n">
        <v>8828</v>
      </c>
      <c r="E75" s="288" t="inlineStr">
        <is>
          <t>청계미소지움</t>
        </is>
      </c>
      <c r="F75" s="458" t="n">
        <v>2004.06</v>
      </c>
      <c r="G75" s="458" t="n">
        <v>286</v>
      </c>
      <c r="H75" s="458">
        <f>2026-INT(F75)+1</f>
        <v/>
      </c>
      <c r="J75" s="458" t="n">
        <v>76</v>
      </c>
      <c r="K75" s="458" t="n">
        <v>59</v>
      </c>
      <c r="L75" s="458" t="n">
        <v>23</v>
      </c>
      <c r="M75" s="458" t="inlineStr">
        <is>
          <t>계단식</t>
        </is>
      </c>
      <c r="N75" s="458" t="n">
        <v>3</v>
      </c>
      <c r="O75" s="458" t="n">
        <v>2</v>
      </c>
      <c r="P75" s="458" t="n">
        <v>74</v>
      </c>
      <c r="Q75" s="318" t="n"/>
      <c r="V75" s="458" t="n">
        <v>10.6</v>
      </c>
      <c r="W75" s="458" t="n">
        <v>6</v>
      </c>
    </row>
    <row r="76">
      <c r="A76" s="458" t="inlineStr">
        <is>
          <t>마장동</t>
        </is>
      </c>
      <c r="B76" s="159" t="inlineStr">
        <is>
          <t>5마장</t>
        </is>
      </c>
      <c r="C76" s="159" t="inlineStr">
        <is>
          <t>중</t>
        </is>
      </c>
      <c r="D76" s="458" t="n">
        <v>8828</v>
      </c>
      <c r="E76" s="288" t="inlineStr">
        <is>
          <t>청계미소지움</t>
        </is>
      </c>
      <c r="F76" s="458" t="n">
        <v>2004.06</v>
      </c>
      <c r="G76" s="458" t="n">
        <v>286</v>
      </c>
      <c r="H76" s="458">
        <f>2026-INT(F76)+1</f>
        <v/>
      </c>
      <c r="J76" s="458" t="n">
        <v>106</v>
      </c>
      <c r="K76" s="458" t="n">
        <v>84</v>
      </c>
      <c r="L76" s="458" t="n">
        <v>32</v>
      </c>
      <c r="M76" s="458" t="inlineStr">
        <is>
          <t>계단식</t>
        </is>
      </c>
      <c r="N76" s="458" t="n">
        <v>3</v>
      </c>
      <c r="O76" s="458" t="n">
        <v>2</v>
      </c>
      <c r="P76" s="458" t="n">
        <v>212</v>
      </c>
      <c r="Q76" s="318" t="n"/>
      <c r="V76" s="458" t="n">
        <v>12.55</v>
      </c>
      <c r="W76" s="458" t="n">
        <v>8.5</v>
      </c>
    </row>
    <row r="77">
      <c r="A77" s="285" t="inlineStr">
        <is>
          <t>마장동</t>
        </is>
      </c>
      <c r="B77" s="307" t="inlineStr">
        <is>
          <t>5마장</t>
        </is>
      </c>
      <c r="C77" s="307" t="inlineStr">
        <is>
          <t>중</t>
        </is>
      </c>
      <c r="D77" s="285" t="n">
        <v>877</v>
      </c>
      <c r="E77" s="286" t="inlineStr">
        <is>
          <t>청계현대</t>
        </is>
      </c>
      <c r="F77" s="285" t="n">
        <v>1998.04</v>
      </c>
      <c r="G77" s="285" t="n">
        <v>1017</v>
      </c>
      <c r="H77" s="285">
        <f>2026-INT(F77)+1</f>
        <v/>
      </c>
      <c r="I77" s="285" t="n"/>
      <c r="J77" s="285" t="n">
        <v>81</v>
      </c>
      <c r="K77" s="285" t="n">
        <v>59</v>
      </c>
      <c r="L77" s="285" t="n">
        <v>25</v>
      </c>
      <c r="M77" s="285" t="inlineStr">
        <is>
          <t>복도식</t>
        </is>
      </c>
      <c r="N77" s="285" t="n">
        <v>3</v>
      </c>
      <c r="O77" s="285" t="n">
        <v>1</v>
      </c>
      <c r="P77" s="285" t="n">
        <v>474</v>
      </c>
      <c r="Q77" s="316" t="n"/>
      <c r="R77" s="285" t="n"/>
      <c r="S77" s="285" t="n"/>
      <c r="T77" s="285" t="n"/>
      <c r="U77" s="285" t="n"/>
      <c r="V77" s="285" t="n">
        <v>9.800000000000001</v>
      </c>
      <c r="W77" s="285" t="n">
        <v>6.7</v>
      </c>
      <c r="X77" s="285" t="n"/>
      <c r="Y77" s="285" t="n"/>
      <c r="Z77" s="285" t="n"/>
      <c r="AA77" s="285" t="n"/>
      <c r="AB77" s="285" t="n"/>
      <c r="AC77" s="285" t="n"/>
      <c r="AD77" s="285" t="n"/>
      <c r="AE77" s="285" t="n"/>
      <c r="AF77" s="285" t="n"/>
      <c r="AG77" s="285" t="n"/>
      <c r="AH77" s="285" t="n"/>
      <c r="AI77" s="285" t="n"/>
      <c r="AJ77" s="285" t="n"/>
      <c r="AK77" s="285" t="n"/>
      <c r="AL77" s="285" t="n"/>
    </row>
    <row r="78">
      <c r="A78" s="287" t="inlineStr">
        <is>
          <t>마장동</t>
        </is>
      </c>
      <c r="B78" s="307" t="inlineStr">
        <is>
          <t>5마장</t>
        </is>
      </c>
      <c r="C78" s="307" t="inlineStr">
        <is>
          <t>중</t>
        </is>
      </c>
      <c r="D78" s="287" t="n">
        <v>877</v>
      </c>
      <c r="E78" s="286" t="inlineStr">
        <is>
          <t>청계현대</t>
        </is>
      </c>
      <c r="F78" s="287" t="n">
        <v>1998.04</v>
      </c>
      <c r="G78" s="287" t="n">
        <v>1017</v>
      </c>
      <c r="H78" s="287">
        <f>2026-INT(F78)+1</f>
        <v/>
      </c>
      <c r="I78" s="285" t="n"/>
      <c r="J78" s="287" t="n">
        <v>108</v>
      </c>
      <c r="K78" s="287" t="n">
        <v>84</v>
      </c>
      <c r="L78" s="287" t="n">
        <v>33</v>
      </c>
      <c r="M78" s="287" t="inlineStr">
        <is>
          <t>계단식</t>
        </is>
      </c>
      <c r="N78" s="287" t="n">
        <v>3</v>
      </c>
      <c r="O78" s="287" t="n">
        <v>2</v>
      </c>
      <c r="P78" s="287" t="n">
        <v>334</v>
      </c>
      <c r="Q78" s="317" t="n"/>
      <c r="R78" s="285" t="n"/>
      <c r="S78" s="285" t="n"/>
      <c r="T78" s="285" t="n"/>
      <c r="U78" s="285" t="n"/>
      <c r="V78" s="287" t="n">
        <v>12.95</v>
      </c>
      <c r="W78" s="287" t="n">
        <v>9.5</v>
      </c>
      <c r="X78" s="285" t="n"/>
      <c r="Y78" s="285" t="n"/>
      <c r="Z78" s="285" t="n"/>
      <c r="AA78" s="285" t="n"/>
      <c r="AB78" s="285" t="n"/>
      <c r="AC78" s="285" t="n"/>
      <c r="AD78" s="285" t="n"/>
      <c r="AE78" s="285" t="n"/>
      <c r="AF78" s="285" t="n"/>
      <c r="AG78" s="285" t="n"/>
      <c r="AH78" s="285" t="n"/>
      <c r="AI78" s="285" t="n"/>
      <c r="AJ78" s="285" t="n"/>
      <c r="AK78" s="285" t="n"/>
      <c r="AL78" s="285" t="n"/>
    </row>
    <row r="79">
      <c r="A79" s="287" t="inlineStr">
        <is>
          <t>마장동</t>
        </is>
      </c>
      <c r="B79" s="307" t="inlineStr">
        <is>
          <t>5마장</t>
        </is>
      </c>
      <c r="C79" s="307" t="inlineStr">
        <is>
          <t>중</t>
        </is>
      </c>
      <c r="D79" s="287" t="n">
        <v>877</v>
      </c>
      <c r="E79" s="286" t="inlineStr">
        <is>
          <t>청계현대</t>
        </is>
      </c>
      <c r="F79" s="287" t="n">
        <v>1998.04</v>
      </c>
      <c r="G79" s="287" t="n">
        <v>1017</v>
      </c>
      <c r="H79" s="287">
        <f>2026-INT(F79)+1</f>
        <v/>
      </c>
      <c r="I79" s="285" t="n"/>
      <c r="J79" s="287" t="n">
        <v>162</v>
      </c>
      <c r="K79" s="287" t="n">
        <v>134</v>
      </c>
      <c r="L79" s="287" t="n">
        <v>49</v>
      </c>
      <c r="M79" s="287" t="inlineStr">
        <is>
          <t>계단식</t>
        </is>
      </c>
      <c r="N79" s="287" t="n">
        <v>4</v>
      </c>
      <c r="O79" s="287" t="n">
        <v>2</v>
      </c>
      <c r="P79" s="287" t="n">
        <v>165</v>
      </c>
      <c r="Q79" s="317" t="n"/>
      <c r="R79" s="285" t="n"/>
      <c r="S79" s="285" t="n"/>
      <c r="T79" s="285" t="n"/>
      <c r="U79" s="285" t="n"/>
      <c r="V79" s="287" t="n">
        <v>15.99</v>
      </c>
      <c r="W79" s="287" t="n">
        <v>11.97</v>
      </c>
      <c r="X79" s="285" t="n"/>
      <c r="Y79" s="285" t="n"/>
      <c r="Z79" s="285" t="n"/>
      <c r="AA79" s="285" t="n"/>
      <c r="AB79" s="285" t="n"/>
      <c r="AC79" s="285" t="n"/>
      <c r="AD79" s="285" t="n"/>
      <c r="AE79" s="285" t="n"/>
      <c r="AF79" s="285" t="n"/>
      <c r="AG79" s="285" t="n"/>
      <c r="AH79" s="285" t="n"/>
      <c r="AI79" s="285" t="n"/>
      <c r="AJ79" s="285" t="n"/>
      <c r="AK79" s="285" t="n"/>
      <c r="AL79" s="285" t="n"/>
    </row>
    <row r="80">
      <c r="A80" s="285" t="inlineStr">
        <is>
          <t>마장동</t>
        </is>
      </c>
      <c r="B80" s="307" t="inlineStr">
        <is>
          <t>5마장</t>
        </is>
      </c>
      <c r="C80" s="307" t="inlineStr">
        <is>
          <t>중</t>
        </is>
      </c>
      <c r="D80" s="285" t="n">
        <v>877</v>
      </c>
      <c r="E80" s="286" t="inlineStr">
        <is>
          <t>청계현대</t>
        </is>
      </c>
      <c r="F80" s="285" t="n">
        <v>1998.04</v>
      </c>
      <c r="G80" s="285" t="n">
        <v>1017</v>
      </c>
      <c r="H80" s="285">
        <f>2026-INT(F80)+1</f>
        <v/>
      </c>
      <c r="I80" s="285" t="n"/>
      <c r="J80" s="285" t="n">
        <v>203</v>
      </c>
      <c r="K80" s="285" t="n">
        <v>164</v>
      </c>
      <c r="L80" s="285" t="n">
        <v>61</v>
      </c>
      <c r="M80" s="285" t="inlineStr">
        <is>
          <t>계단식</t>
        </is>
      </c>
      <c r="N80" s="285" t="n">
        <v>5</v>
      </c>
      <c r="O80" s="285" t="n">
        <v>2</v>
      </c>
      <c r="P80" s="285" t="n">
        <v>44</v>
      </c>
      <c r="Q80" s="316" t="n"/>
      <c r="R80" s="285" t="n"/>
      <c r="S80" s="285" t="n"/>
      <c r="T80" s="285" t="n"/>
      <c r="U80" s="285" t="n"/>
      <c r="V80" s="285" t="n">
        <v>14.99</v>
      </c>
      <c r="W80" s="285" t="n">
        <v>14.99</v>
      </c>
      <c r="X80" s="285" t="n"/>
      <c r="Y80" s="285" t="n"/>
      <c r="Z80" s="285" t="n"/>
      <c r="AA80" s="285" t="n"/>
      <c r="AB80" s="285" t="n"/>
      <c r="AC80" s="285" t="n"/>
      <c r="AD80" s="285" t="n"/>
      <c r="AE80" s="285" t="n"/>
      <c r="AF80" s="285" t="n"/>
      <c r="AG80" s="285" t="n"/>
      <c r="AH80" s="285" t="n"/>
      <c r="AI80" s="285" t="n"/>
      <c r="AJ80" s="285" t="n"/>
      <c r="AK80" s="285" t="n"/>
      <c r="AL80" s="285" t="n"/>
    </row>
    <row r="81">
      <c r="A81" s="458" t="inlineStr">
        <is>
          <t>사근동</t>
        </is>
      </c>
      <c r="B81" s="159" t="inlineStr">
        <is>
          <t>5마장</t>
        </is>
      </c>
      <c r="C81" s="159" t="inlineStr">
        <is>
          <t>하</t>
        </is>
      </c>
      <c r="D81" s="458" t="n">
        <v>1173</v>
      </c>
      <c r="E81" s="288" t="inlineStr">
        <is>
          <t>하이츠</t>
        </is>
      </c>
      <c r="F81" s="458" t="n">
        <v>1989.09</v>
      </c>
      <c r="G81" s="458" t="n">
        <v>270</v>
      </c>
      <c r="H81" s="458">
        <f>2026-INT(F81)+1</f>
        <v/>
      </c>
      <c r="J81" s="458" t="n">
        <v>90</v>
      </c>
      <c r="K81" s="458" t="n">
        <v>71</v>
      </c>
      <c r="L81" s="458" t="n">
        <v>27</v>
      </c>
      <c r="M81" s="458" t="inlineStr">
        <is>
          <t>복도식</t>
        </is>
      </c>
      <c r="N81" s="458" t="n">
        <v>3</v>
      </c>
      <c r="O81" s="458" t="n">
        <v>2</v>
      </c>
      <c r="P81" s="458" t="n">
        <v>270</v>
      </c>
      <c r="Q81" s="318" t="n"/>
      <c r="V81" s="458" t="n">
        <v>8.65</v>
      </c>
      <c r="W81" s="458" t="n">
        <v>6.65</v>
      </c>
    </row>
    <row r="82">
      <c r="A82" s="285" t="inlineStr">
        <is>
          <t>상왕십리동</t>
        </is>
      </c>
      <c r="B82" s="307" t="inlineStr">
        <is>
          <t>3왕십리</t>
        </is>
      </c>
      <c r="C82" s="307" t="inlineStr">
        <is>
          <t>상</t>
        </is>
      </c>
      <c r="D82" s="285" t="n">
        <v>104190</v>
      </c>
      <c r="E82" s="286" t="inlineStr">
        <is>
          <t>텐즈힐2</t>
        </is>
      </c>
      <c r="F82" s="285" t="n">
        <v>2014.06</v>
      </c>
      <c r="G82" s="285" t="n">
        <v>1148</v>
      </c>
      <c r="H82" s="285">
        <f>2026-INT(F82)+1</f>
        <v/>
      </c>
      <c r="I82" s="285" t="n"/>
      <c r="J82" s="285" t="n">
        <v>80</v>
      </c>
      <c r="K82" s="285" t="n">
        <v>55</v>
      </c>
      <c r="L82" s="285" t="n">
        <v>24</v>
      </c>
      <c r="M82" s="285" t="inlineStr">
        <is>
          <t>계단식</t>
        </is>
      </c>
      <c r="N82" s="285" t="n">
        <v>2</v>
      </c>
      <c r="O82" s="285" t="n">
        <v>1</v>
      </c>
      <c r="P82" s="285" t="n">
        <v>27</v>
      </c>
      <c r="Q82" s="316" t="n"/>
      <c r="R82" s="285" t="n"/>
      <c r="S82" s="285" t="n"/>
      <c r="T82" s="285" t="n"/>
      <c r="U82" s="285" t="n"/>
      <c r="V82" s="285" t="n">
        <v>12</v>
      </c>
      <c r="W82" s="285" t="n">
        <v>9</v>
      </c>
      <c r="X82" s="285" t="n"/>
      <c r="Y82" s="285" t="n"/>
      <c r="Z82" s="285" t="n"/>
      <c r="AA82" s="285" t="n"/>
      <c r="AB82" s="285" t="n"/>
      <c r="AC82" s="285" t="n"/>
      <c r="AD82" s="285" t="n"/>
      <c r="AE82" s="285" t="n"/>
      <c r="AF82" s="285" t="n"/>
      <c r="AG82" s="285" t="n"/>
      <c r="AH82" s="285" t="n"/>
      <c r="AI82" s="285" t="n"/>
      <c r="AJ82" s="285" t="n"/>
      <c r="AK82" s="285" t="n"/>
      <c r="AL82" s="285" t="n"/>
    </row>
    <row r="83">
      <c r="A83" s="287" t="inlineStr">
        <is>
          <t>상왕십리동</t>
        </is>
      </c>
      <c r="B83" s="307" t="inlineStr">
        <is>
          <t>3왕십리</t>
        </is>
      </c>
      <c r="C83" s="307" t="inlineStr">
        <is>
          <t>상</t>
        </is>
      </c>
      <c r="D83" s="287" t="n">
        <v>104190</v>
      </c>
      <c r="E83" s="286" t="inlineStr">
        <is>
          <t>텐즈힐2</t>
        </is>
      </c>
      <c r="F83" s="287" t="n">
        <v>2014.06</v>
      </c>
      <c r="G83" s="287" t="n">
        <v>1148</v>
      </c>
      <c r="H83" s="287">
        <f>2026-INT(F83)+1</f>
        <v/>
      </c>
      <c r="I83" s="285" t="n"/>
      <c r="J83" s="287" t="n">
        <v>86</v>
      </c>
      <c r="K83" s="287" t="n">
        <v>59</v>
      </c>
      <c r="L83" s="287" t="n">
        <v>26</v>
      </c>
      <c r="M83" s="287" t="inlineStr">
        <is>
          <t>계단식</t>
        </is>
      </c>
      <c r="N83" s="287" t="n">
        <v>3</v>
      </c>
      <c r="O83" s="287" t="n">
        <v>2</v>
      </c>
      <c r="P83" s="287" t="n">
        <v>121</v>
      </c>
      <c r="Q83" s="317" t="n"/>
      <c r="R83" s="285" t="n"/>
      <c r="S83" s="285" t="n"/>
      <c r="T83" s="285" t="n"/>
      <c r="U83" s="285" t="n"/>
      <c r="V83" s="287" t="n">
        <v>14</v>
      </c>
      <c r="W83" s="287" t="n">
        <v>10.5</v>
      </c>
      <c r="X83" s="285" t="n"/>
      <c r="Y83" s="285" t="n"/>
      <c r="Z83" s="285" t="n"/>
      <c r="AA83" s="285" t="n"/>
      <c r="AB83" s="285" t="n"/>
      <c r="AC83" s="285" t="n"/>
      <c r="AD83" s="285" t="n"/>
      <c r="AE83" s="285" t="n"/>
      <c r="AF83" s="285" t="n"/>
      <c r="AG83" s="285" t="n"/>
      <c r="AH83" s="285" t="n"/>
      <c r="AI83" s="285" t="n"/>
      <c r="AJ83" s="285" t="n"/>
      <c r="AK83" s="285" t="n"/>
      <c r="AL83" s="285" t="n"/>
    </row>
    <row r="84">
      <c r="A84" s="287" t="inlineStr">
        <is>
          <t>상왕십리동</t>
        </is>
      </c>
      <c r="B84" s="307" t="inlineStr">
        <is>
          <t>3왕십리</t>
        </is>
      </c>
      <c r="C84" s="307" t="inlineStr">
        <is>
          <t>상</t>
        </is>
      </c>
      <c r="D84" s="287" t="n">
        <v>104190</v>
      </c>
      <c r="E84" s="286" t="inlineStr">
        <is>
          <t>텐즈힐2</t>
        </is>
      </c>
      <c r="F84" s="287" t="n">
        <v>2014.06</v>
      </c>
      <c r="G84" s="287" t="n">
        <v>1148</v>
      </c>
      <c r="H84" s="287">
        <f>2026-INT(F84)+1</f>
        <v/>
      </c>
      <c r="I84" s="285" t="n"/>
      <c r="J84" s="287" t="n">
        <v>106</v>
      </c>
      <c r="K84" s="287" t="n">
        <v>84</v>
      </c>
      <c r="L84" s="287" t="n">
        <v>32</v>
      </c>
      <c r="M84" s="287" t="inlineStr">
        <is>
          <t>계단식</t>
        </is>
      </c>
      <c r="N84" s="287" t="n">
        <v>3</v>
      </c>
      <c r="O84" s="287" t="n">
        <v>2</v>
      </c>
      <c r="P84" s="287" t="n">
        <v>563</v>
      </c>
      <c r="Q84" s="317" t="n"/>
      <c r="R84" s="285" t="n"/>
      <c r="S84" s="285" t="n"/>
      <c r="T84" s="285" t="n"/>
      <c r="U84" s="285" t="n"/>
      <c r="V84" s="287" t="n">
        <v>17.5</v>
      </c>
      <c r="W84" s="287" t="n">
        <v>12.8</v>
      </c>
      <c r="X84" s="285" t="n"/>
      <c r="Y84" s="285" t="n"/>
      <c r="Z84" s="285" t="n"/>
      <c r="AA84" s="285" t="n"/>
      <c r="AB84" s="285" t="n"/>
      <c r="AC84" s="285" t="n"/>
      <c r="AD84" s="285" t="n"/>
      <c r="AE84" s="285" t="n"/>
      <c r="AF84" s="285" t="n"/>
      <c r="AG84" s="285" t="n"/>
      <c r="AH84" s="285" t="n"/>
      <c r="AI84" s="285" t="n"/>
      <c r="AJ84" s="285" t="n"/>
      <c r="AK84" s="285" t="n"/>
      <c r="AL84" s="285" t="n"/>
    </row>
    <row r="85">
      <c r="A85" s="287" t="inlineStr">
        <is>
          <t>상왕십리동</t>
        </is>
      </c>
      <c r="B85" s="307" t="inlineStr">
        <is>
          <t>3왕십리</t>
        </is>
      </c>
      <c r="C85" s="307" t="inlineStr">
        <is>
          <t>상</t>
        </is>
      </c>
      <c r="D85" s="287" t="n">
        <v>104190</v>
      </c>
      <c r="E85" s="286" t="inlineStr">
        <is>
          <t>텐즈힐2</t>
        </is>
      </c>
      <c r="F85" s="287" t="n">
        <v>2014.06</v>
      </c>
      <c r="G85" s="287" t="n">
        <v>1148</v>
      </c>
      <c r="H85" s="287">
        <f>2026-INT(F85)+1</f>
        <v/>
      </c>
      <c r="I85" s="285" t="n"/>
      <c r="J85" s="287" t="n">
        <v>155</v>
      </c>
      <c r="K85" s="287" t="n">
        <v>125</v>
      </c>
      <c r="L85" s="287" t="n">
        <v>47</v>
      </c>
      <c r="M85" s="287" t="inlineStr">
        <is>
          <t>계단식</t>
        </is>
      </c>
      <c r="N85" s="287" t="n">
        <v>4</v>
      </c>
      <c r="O85" s="287" t="n">
        <v>2</v>
      </c>
      <c r="P85" s="287" t="n">
        <v>14</v>
      </c>
      <c r="Q85" s="317" t="n"/>
      <c r="R85" s="285" t="n"/>
      <c r="S85" s="285" t="n"/>
      <c r="T85" s="285" t="n"/>
      <c r="U85" s="285" t="n"/>
      <c r="V85" s="287" t="n">
        <v>21.5</v>
      </c>
      <c r="W85" s="287" t="n">
        <v>21.5</v>
      </c>
      <c r="X85" s="285" t="n"/>
      <c r="Y85" s="285" t="n"/>
      <c r="Z85" s="285" t="n"/>
      <c r="AA85" s="285" t="n"/>
      <c r="AB85" s="285" t="n"/>
      <c r="AC85" s="285" t="n"/>
      <c r="AD85" s="285" t="n"/>
      <c r="AE85" s="285" t="n"/>
      <c r="AF85" s="285" t="n"/>
      <c r="AG85" s="285" t="n"/>
      <c r="AH85" s="285" t="n"/>
      <c r="AI85" s="285" t="n"/>
      <c r="AJ85" s="285" t="n"/>
      <c r="AK85" s="285" t="n"/>
      <c r="AL85" s="285" t="n"/>
    </row>
    <row r="86">
      <c r="A86" s="285" t="inlineStr">
        <is>
          <t>상왕십리동</t>
        </is>
      </c>
      <c r="B86" s="307" t="inlineStr">
        <is>
          <t>3왕십리</t>
        </is>
      </c>
      <c r="C86" s="307" t="inlineStr">
        <is>
          <t>상</t>
        </is>
      </c>
      <c r="D86" s="285" t="n">
        <v>104190</v>
      </c>
      <c r="E86" s="286" t="inlineStr">
        <is>
          <t>텐즈힐2</t>
        </is>
      </c>
      <c r="F86" s="285" t="n">
        <v>2014.06</v>
      </c>
      <c r="G86" s="285" t="n">
        <v>1148</v>
      </c>
      <c r="H86" s="285">
        <f>2026-INT(F86)+1</f>
        <v/>
      </c>
      <c r="I86" s="285" t="n"/>
      <c r="J86" s="285" t="n">
        <v>159</v>
      </c>
      <c r="K86" s="285" t="n">
        <v>127</v>
      </c>
      <c r="L86" s="285" t="n">
        <v>48</v>
      </c>
      <c r="M86" s="285" t="inlineStr">
        <is>
          <t>계단식</t>
        </is>
      </c>
      <c r="N86" s="285" t="n">
        <v>4</v>
      </c>
      <c r="O86" s="285" t="n">
        <v>2</v>
      </c>
      <c r="P86" s="285" t="n">
        <v>168</v>
      </c>
      <c r="Q86" s="316" t="n"/>
      <c r="R86" s="285" t="n"/>
      <c r="S86" s="285" t="n"/>
      <c r="T86" s="285" t="n"/>
      <c r="U86" s="285" t="n"/>
      <c r="V86" s="285" t="n">
        <v>21.5</v>
      </c>
      <c r="W86" s="285" t="n">
        <v>16</v>
      </c>
      <c r="X86" s="285" t="n"/>
      <c r="Y86" s="285" t="n"/>
      <c r="Z86" s="285" t="n"/>
      <c r="AA86" s="285" t="n"/>
      <c r="AB86" s="285" t="n"/>
      <c r="AC86" s="285" t="n"/>
      <c r="AD86" s="285" t="n"/>
      <c r="AE86" s="285" t="n"/>
      <c r="AF86" s="285" t="n"/>
      <c r="AG86" s="285" t="n"/>
      <c r="AH86" s="285" t="n"/>
      <c r="AI86" s="285" t="n"/>
      <c r="AJ86" s="285" t="n"/>
      <c r="AK86" s="285" t="n"/>
      <c r="AL86" s="285" t="n"/>
    </row>
    <row r="87">
      <c r="A87" s="285" t="inlineStr">
        <is>
          <t>상왕십리동</t>
        </is>
      </c>
      <c r="B87" s="307" t="inlineStr">
        <is>
          <t>3왕십리</t>
        </is>
      </c>
      <c r="C87" s="307" t="inlineStr">
        <is>
          <t>상</t>
        </is>
      </c>
      <c r="D87" s="285" t="n">
        <v>104190</v>
      </c>
      <c r="E87" s="286" t="inlineStr">
        <is>
          <t>텐즈힐2</t>
        </is>
      </c>
      <c r="F87" s="285" t="n">
        <v>2014.06</v>
      </c>
      <c r="G87" s="285" t="n">
        <v>1148</v>
      </c>
      <c r="H87" s="285">
        <f>2026-INT(F87)+1</f>
        <v/>
      </c>
      <c r="I87" s="285" t="n"/>
      <c r="J87" s="285" t="n">
        <v>195</v>
      </c>
      <c r="K87" s="285" t="n">
        <v>157</v>
      </c>
      <c r="L87" s="285" t="n">
        <v>59</v>
      </c>
      <c r="M87" s="285" t="inlineStr">
        <is>
          <t>계단식</t>
        </is>
      </c>
      <c r="N87" s="285" t="n">
        <v>4</v>
      </c>
      <c r="O87" s="285" t="n">
        <v>3</v>
      </c>
      <c r="P87" s="285" t="n">
        <v>44</v>
      </c>
      <c r="Q87" s="316" t="n"/>
      <c r="R87" s="285" t="n"/>
      <c r="S87" s="285" t="n"/>
      <c r="T87" s="285" t="n"/>
      <c r="U87" s="285" t="n"/>
      <c r="V87" s="285" t="n"/>
      <c r="W87" s="285" t="n">
        <v>19</v>
      </c>
      <c r="X87" s="285" t="n"/>
      <c r="Y87" s="285" t="n"/>
      <c r="Z87" s="285" t="n"/>
      <c r="AA87" s="285" t="n"/>
      <c r="AB87" s="285" t="n"/>
      <c r="AC87" s="285" t="n"/>
      <c r="AD87" s="285" t="n"/>
      <c r="AE87" s="285" t="n"/>
      <c r="AF87" s="285" t="n"/>
      <c r="AG87" s="285" t="n"/>
      <c r="AH87" s="285" t="n"/>
      <c r="AI87" s="285" t="n"/>
      <c r="AJ87" s="285" t="n"/>
      <c r="AK87" s="285" t="n"/>
      <c r="AL87" s="285" t="n"/>
    </row>
    <row r="88">
      <c r="A88" s="458" t="inlineStr">
        <is>
          <t>성수동1가</t>
        </is>
      </c>
      <c r="B88" s="159" t="inlineStr">
        <is>
          <t>1성수</t>
        </is>
      </c>
      <c r="C88" s="159" t="inlineStr">
        <is>
          <t>중</t>
        </is>
      </c>
      <c r="D88" s="458" t="n">
        <v>3418</v>
      </c>
      <c r="E88" s="288" t="inlineStr">
        <is>
          <t>강변건영</t>
        </is>
      </c>
      <c r="F88" s="458" t="n">
        <v>2002.02</v>
      </c>
      <c r="G88" s="458" t="n">
        <v>580</v>
      </c>
      <c r="H88" s="458">
        <f>2026-INT(F88)+1</f>
        <v/>
      </c>
      <c r="J88" s="458" t="n">
        <v>95</v>
      </c>
      <c r="K88" s="458" t="n">
        <v>73</v>
      </c>
      <c r="L88" s="458" t="n">
        <v>29</v>
      </c>
      <c r="M88" s="458" t="inlineStr">
        <is>
          <t>계단식</t>
        </is>
      </c>
      <c r="N88" s="458" t="n">
        <v>3</v>
      </c>
      <c r="O88" s="458" t="n">
        <v>2</v>
      </c>
      <c r="P88" s="458" t="n">
        <v>44</v>
      </c>
      <c r="Q88" s="318" t="n"/>
      <c r="V88" s="458" t="n">
        <v>19.95</v>
      </c>
      <c r="W88" s="458" t="n">
        <v>13.4</v>
      </c>
    </row>
    <row r="89">
      <c r="A89" s="458" t="inlineStr">
        <is>
          <t>성수동1가</t>
        </is>
      </c>
      <c r="B89" s="159" t="inlineStr">
        <is>
          <t>1성수</t>
        </is>
      </c>
      <c r="C89" s="159" t="inlineStr">
        <is>
          <t>중</t>
        </is>
      </c>
      <c r="D89" s="458" t="n">
        <v>3418</v>
      </c>
      <c r="E89" s="288" t="inlineStr">
        <is>
          <t>강변건영</t>
        </is>
      </c>
      <c r="F89" s="458" t="n">
        <v>2002.02</v>
      </c>
      <c r="G89" s="458" t="n">
        <v>580</v>
      </c>
      <c r="H89" s="458">
        <f>2026-INT(F89)+1</f>
        <v/>
      </c>
      <c r="J89" s="458" t="n">
        <v>109</v>
      </c>
      <c r="K89" s="458" t="n">
        <v>84</v>
      </c>
      <c r="L89" s="458" t="n">
        <v>33</v>
      </c>
      <c r="M89" s="458" t="inlineStr">
        <is>
          <t>계단식</t>
        </is>
      </c>
      <c r="N89" s="458" t="n">
        <v>3</v>
      </c>
      <c r="O89" s="458" t="n">
        <v>2</v>
      </c>
      <c r="P89" s="458" t="n">
        <v>536</v>
      </c>
      <c r="Q89" s="318" t="n"/>
      <c r="V89" s="458" t="n">
        <v>21.9</v>
      </c>
      <c r="W89" s="458" t="n">
        <v>16</v>
      </c>
    </row>
    <row r="90">
      <c r="A90" s="285" t="inlineStr">
        <is>
          <t>성수동1가</t>
        </is>
      </c>
      <c r="B90" s="159" t="inlineStr">
        <is>
          <t>1성수</t>
        </is>
      </c>
      <c r="C90" s="310" t="inlineStr">
        <is>
          <t>최상</t>
        </is>
      </c>
      <c r="D90" s="285" t="n">
        <v>27620</v>
      </c>
      <c r="E90" s="286" t="inlineStr">
        <is>
          <t>갤러리아포레(주상복합)</t>
        </is>
      </c>
      <c r="F90" s="285" t="n">
        <v>2011.07</v>
      </c>
      <c r="G90" s="285" t="n">
        <v>230</v>
      </c>
      <c r="H90" s="285">
        <f>2026-INT(F90)+1</f>
        <v/>
      </c>
      <c r="I90" s="285" t="n"/>
      <c r="J90" s="285" t="n">
        <v>231</v>
      </c>
      <c r="K90" s="285" t="n">
        <v>167</v>
      </c>
      <c r="L90" s="285" t="n">
        <v>70</v>
      </c>
      <c r="M90" s="285" t="inlineStr">
        <is>
          <t>계단식</t>
        </is>
      </c>
      <c r="N90" s="285" t="n">
        <v>3</v>
      </c>
      <c r="O90" s="285" t="n">
        <v>3</v>
      </c>
      <c r="P90" s="285" t="n">
        <v>4</v>
      </c>
      <c r="Q90" s="316" t="n"/>
      <c r="R90" s="285" t="n"/>
      <c r="S90" s="285" t="n"/>
      <c r="T90" s="285" t="n"/>
      <c r="U90" s="285" t="n"/>
      <c r="V90" s="285" t="n">
        <v>50</v>
      </c>
      <c r="W90" s="285" t="n"/>
      <c r="X90" s="285" t="n"/>
      <c r="Y90" s="285" t="n"/>
      <c r="Z90" s="285" t="n"/>
      <c r="AA90" s="285" t="n"/>
      <c r="AB90" s="285" t="n"/>
      <c r="AC90" s="285" t="n"/>
      <c r="AD90" s="285" t="n"/>
      <c r="AE90" s="285" t="n"/>
      <c r="AF90" s="285" t="n"/>
      <c r="AG90" s="285" t="n"/>
      <c r="AH90" s="285" t="n"/>
      <c r="AI90" s="285" t="n"/>
      <c r="AJ90" s="285" t="n"/>
      <c r="AK90" s="285" t="n"/>
      <c r="AL90" s="285" t="n"/>
    </row>
    <row r="91">
      <c r="A91" s="285" t="inlineStr">
        <is>
          <t>성수동1가</t>
        </is>
      </c>
      <c r="B91" s="159" t="inlineStr">
        <is>
          <t>1성수</t>
        </is>
      </c>
      <c r="C91" s="310" t="inlineStr">
        <is>
          <t>최상</t>
        </is>
      </c>
      <c r="D91" s="285" t="n">
        <v>27620</v>
      </c>
      <c r="E91" s="286" t="inlineStr">
        <is>
          <t>갤러리아포레(주상복합)</t>
        </is>
      </c>
      <c r="F91" s="285" t="n">
        <v>2011.07</v>
      </c>
      <c r="G91" s="285" t="n">
        <v>230</v>
      </c>
      <c r="H91" s="285">
        <f>2026-INT(F91)+1</f>
        <v/>
      </c>
      <c r="I91" s="285" t="n"/>
      <c r="J91" s="285" t="n">
        <v>232</v>
      </c>
      <c r="K91" s="285" t="n">
        <v>170</v>
      </c>
      <c r="L91" s="285" t="n">
        <v>70</v>
      </c>
      <c r="M91" s="285" t="inlineStr">
        <is>
          <t>계단식</t>
        </is>
      </c>
      <c r="N91" s="285" t="n">
        <v>4</v>
      </c>
      <c r="O91" s="285" t="n">
        <v>3</v>
      </c>
      <c r="P91" s="285" t="n">
        <v>33</v>
      </c>
      <c r="Q91" s="316" t="n"/>
      <c r="R91" s="285" t="n"/>
      <c r="S91" s="285" t="n"/>
      <c r="T91" s="285" t="n"/>
      <c r="U91" s="285" t="n"/>
      <c r="V91" s="285" t="n">
        <v>41</v>
      </c>
      <c r="W91" s="285" t="n"/>
      <c r="X91" s="285" t="n"/>
      <c r="Y91" s="285" t="n"/>
      <c r="Z91" s="285" t="n"/>
      <c r="AA91" s="285" t="n"/>
      <c r="AB91" s="285" t="n"/>
      <c r="AC91" s="285" t="n"/>
      <c r="AD91" s="285" t="n"/>
      <c r="AE91" s="285" t="n"/>
      <c r="AF91" s="285" t="n"/>
      <c r="AG91" s="285" t="n"/>
      <c r="AH91" s="285" t="n"/>
      <c r="AI91" s="285" t="n"/>
      <c r="AJ91" s="285" t="n"/>
      <c r="AK91" s="285" t="n"/>
      <c r="AL91" s="285" t="n"/>
    </row>
    <row r="92">
      <c r="A92" s="285" t="inlineStr">
        <is>
          <t>성수동1가</t>
        </is>
      </c>
      <c r="B92" s="159" t="inlineStr">
        <is>
          <t>1성수</t>
        </is>
      </c>
      <c r="C92" s="310" t="inlineStr">
        <is>
          <t>최상</t>
        </is>
      </c>
      <c r="D92" s="285" t="n">
        <v>27620</v>
      </c>
      <c r="E92" s="286" t="inlineStr">
        <is>
          <t>갤러리아포레(주상복합)</t>
        </is>
      </c>
      <c r="F92" s="285" t="n">
        <v>2011.07</v>
      </c>
      <c r="G92" s="285" t="n">
        <v>230</v>
      </c>
      <c r="H92" s="285">
        <f>2026-INT(F92)+1</f>
        <v/>
      </c>
      <c r="I92" s="285" t="n"/>
      <c r="J92" s="285" t="n">
        <v>232</v>
      </c>
      <c r="K92" s="285" t="n">
        <v>170</v>
      </c>
      <c r="L92" s="285" t="n">
        <v>70</v>
      </c>
      <c r="M92" s="285" t="inlineStr">
        <is>
          <t>계단식</t>
        </is>
      </c>
      <c r="N92" s="285" t="n">
        <v>3</v>
      </c>
      <c r="O92" s="285" t="n">
        <v>3</v>
      </c>
      <c r="P92" s="285" t="n">
        <v>4</v>
      </c>
      <c r="Q92" s="316" t="n"/>
      <c r="R92" s="285" t="n"/>
      <c r="S92" s="285" t="n"/>
      <c r="T92" s="285" t="n"/>
      <c r="U92" s="285" t="n"/>
      <c r="V92" s="285" t="n">
        <v>41</v>
      </c>
      <c r="W92" s="285" t="n"/>
      <c r="X92" s="285" t="n"/>
      <c r="Y92" s="285" t="n"/>
      <c r="Z92" s="285" t="n"/>
      <c r="AA92" s="285" t="n"/>
      <c r="AB92" s="285" t="n"/>
      <c r="AC92" s="285" t="n"/>
      <c r="AD92" s="285" t="n"/>
      <c r="AE92" s="285" t="n"/>
      <c r="AF92" s="285" t="n"/>
      <c r="AG92" s="285" t="n"/>
      <c r="AH92" s="285" t="n"/>
      <c r="AI92" s="285" t="n"/>
      <c r="AJ92" s="285" t="n"/>
      <c r="AK92" s="285" t="n"/>
      <c r="AL92" s="285" t="n"/>
    </row>
    <row r="93">
      <c r="A93" s="285" t="inlineStr">
        <is>
          <t>성수동1가</t>
        </is>
      </c>
      <c r="B93" s="159" t="inlineStr">
        <is>
          <t>1성수</t>
        </is>
      </c>
      <c r="C93" s="310" t="inlineStr">
        <is>
          <t>최상</t>
        </is>
      </c>
      <c r="D93" s="285" t="n">
        <v>27620</v>
      </c>
      <c r="E93" s="286" t="inlineStr">
        <is>
          <t>갤러리아포레(주상복합)</t>
        </is>
      </c>
      <c r="F93" s="285" t="n">
        <v>2011.07</v>
      </c>
      <c r="G93" s="285" t="n">
        <v>230</v>
      </c>
      <c r="H93" s="285">
        <f>2026-INT(F93)+1</f>
        <v/>
      </c>
      <c r="I93" s="285" t="n"/>
      <c r="J93" s="285" t="n">
        <v>232</v>
      </c>
      <c r="K93" s="285" t="n">
        <v>171</v>
      </c>
      <c r="L93" s="285" t="n">
        <v>70</v>
      </c>
      <c r="M93" s="285" t="inlineStr">
        <is>
          <t>계단식</t>
        </is>
      </c>
      <c r="N93" s="285" t="n">
        <v>3</v>
      </c>
      <c r="O93" s="285" t="n">
        <v>3</v>
      </c>
      <c r="P93" s="285" t="n">
        <v>2</v>
      </c>
      <c r="Q93" s="316" t="n"/>
      <c r="R93" s="285" t="n"/>
      <c r="S93" s="285" t="n"/>
      <c r="T93" s="285" t="n"/>
      <c r="U93" s="285" t="n"/>
      <c r="V93" s="285" t="n">
        <v>41</v>
      </c>
      <c r="W93" s="285" t="n"/>
      <c r="X93" s="285" t="n"/>
      <c r="Y93" s="285" t="n"/>
      <c r="Z93" s="285" t="n"/>
      <c r="AA93" s="285" t="n"/>
      <c r="AB93" s="285" t="n"/>
      <c r="AC93" s="285" t="n"/>
      <c r="AD93" s="285" t="n"/>
      <c r="AE93" s="285" t="n"/>
      <c r="AF93" s="285" t="n"/>
      <c r="AG93" s="285" t="n"/>
      <c r="AH93" s="285" t="n"/>
      <c r="AI93" s="285" t="n"/>
      <c r="AJ93" s="285" t="n"/>
      <c r="AK93" s="285" t="n"/>
      <c r="AL93" s="285" t="n"/>
    </row>
    <row r="94">
      <c r="A94" s="287" t="inlineStr">
        <is>
          <t>성수동1가</t>
        </is>
      </c>
      <c r="B94" s="159" t="inlineStr">
        <is>
          <t>1성수</t>
        </is>
      </c>
      <c r="C94" s="310" t="inlineStr">
        <is>
          <t>최상</t>
        </is>
      </c>
      <c r="D94" s="287" t="n">
        <v>27620</v>
      </c>
      <c r="E94" s="286" t="inlineStr">
        <is>
          <t>갤러리아포레(주상복합)</t>
        </is>
      </c>
      <c r="F94" s="287" t="n">
        <v>2011.07</v>
      </c>
      <c r="G94" s="287" t="n">
        <v>230</v>
      </c>
      <c r="H94" s="287">
        <f>2026-INT(F94)+1</f>
        <v/>
      </c>
      <c r="I94" s="285" t="n"/>
      <c r="J94" s="287" t="n">
        <v>233</v>
      </c>
      <c r="K94" s="287" t="n">
        <v>168</v>
      </c>
      <c r="L94" s="287" t="n">
        <v>70</v>
      </c>
      <c r="M94" s="287" t="inlineStr">
        <is>
          <t>계단식</t>
        </is>
      </c>
      <c r="N94" s="287" t="n">
        <v>3</v>
      </c>
      <c r="O94" s="287" t="n">
        <v>3</v>
      </c>
      <c r="P94" s="287" t="n">
        <v>32</v>
      </c>
      <c r="Q94" s="317" t="n"/>
      <c r="R94" s="285" t="n"/>
      <c r="S94" s="285" t="n"/>
      <c r="T94" s="285" t="n"/>
      <c r="U94" s="285" t="n"/>
      <c r="V94" s="287" t="n">
        <v>50</v>
      </c>
      <c r="W94" s="287" t="n"/>
      <c r="X94" s="285" t="n"/>
      <c r="Y94" s="285" t="n"/>
      <c r="Z94" s="285" t="n"/>
      <c r="AA94" s="285" t="n"/>
      <c r="AB94" s="285" t="n"/>
      <c r="AC94" s="285" t="n"/>
      <c r="AD94" s="285" t="n"/>
      <c r="AE94" s="285" t="n"/>
      <c r="AF94" s="285" t="n"/>
      <c r="AG94" s="285" t="n"/>
      <c r="AH94" s="285" t="n"/>
      <c r="AI94" s="285" t="n"/>
      <c r="AJ94" s="285" t="n"/>
      <c r="AK94" s="285" t="n"/>
      <c r="AL94" s="285" t="n"/>
    </row>
    <row r="95">
      <c r="A95" s="287" t="inlineStr">
        <is>
          <t>성수동1가</t>
        </is>
      </c>
      <c r="B95" s="159" t="inlineStr">
        <is>
          <t>1성수</t>
        </is>
      </c>
      <c r="C95" s="310" t="inlineStr">
        <is>
          <t>최상</t>
        </is>
      </c>
      <c r="D95" s="287" t="n">
        <v>27620</v>
      </c>
      <c r="E95" s="286" t="inlineStr">
        <is>
          <t>갤러리아포레(주상복합)</t>
        </is>
      </c>
      <c r="F95" s="287" t="n">
        <v>2011.07</v>
      </c>
      <c r="G95" s="287" t="n">
        <v>230</v>
      </c>
      <c r="H95" s="287">
        <f>2026-INT(F95)+1</f>
        <v/>
      </c>
      <c r="I95" s="285" t="n"/>
      <c r="J95" s="287" t="n">
        <v>233</v>
      </c>
      <c r="K95" s="287" t="n">
        <v>169</v>
      </c>
      <c r="L95" s="287" t="n">
        <v>70</v>
      </c>
      <c r="M95" s="287" t="inlineStr">
        <is>
          <t>계단식</t>
        </is>
      </c>
      <c r="N95" s="287" t="n">
        <v>3</v>
      </c>
      <c r="O95" s="287" t="n">
        <v>3</v>
      </c>
      <c r="P95" s="287" t="n">
        <v>2</v>
      </c>
      <c r="Q95" s="317" t="n"/>
      <c r="R95" s="285" t="n"/>
      <c r="S95" s="285" t="n"/>
      <c r="T95" s="285" t="n"/>
      <c r="U95" s="285" t="n"/>
      <c r="V95" s="287" t="n">
        <v>50</v>
      </c>
      <c r="W95" s="287" t="n"/>
      <c r="X95" s="285" t="n"/>
      <c r="Y95" s="285" t="n"/>
      <c r="Z95" s="285" t="n"/>
      <c r="AA95" s="285" t="n"/>
      <c r="AB95" s="285" t="n"/>
      <c r="AC95" s="285" t="n"/>
      <c r="AD95" s="285" t="n"/>
      <c r="AE95" s="285" t="n"/>
      <c r="AF95" s="285" t="n"/>
      <c r="AG95" s="285" t="n"/>
      <c r="AH95" s="285" t="n"/>
      <c r="AI95" s="285" t="n"/>
      <c r="AJ95" s="285" t="n"/>
      <c r="AK95" s="285" t="n"/>
      <c r="AL95" s="285" t="n"/>
    </row>
    <row r="96">
      <c r="A96" s="287" t="inlineStr">
        <is>
          <t>성수동1가</t>
        </is>
      </c>
      <c r="B96" s="159" t="inlineStr">
        <is>
          <t>1성수</t>
        </is>
      </c>
      <c r="C96" s="310" t="inlineStr">
        <is>
          <t>최상</t>
        </is>
      </c>
      <c r="D96" s="287" t="n">
        <v>27620</v>
      </c>
      <c r="E96" s="286" t="inlineStr">
        <is>
          <t>갤러리아포레(주상복합)</t>
        </is>
      </c>
      <c r="F96" s="287" t="n">
        <v>2011.07</v>
      </c>
      <c r="G96" s="287" t="n">
        <v>230</v>
      </c>
      <c r="H96" s="287">
        <f>2026-INT(F96)+1</f>
        <v/>
      </c>
      <c r="I96" s="285" t="n"/>
      <c r="J96" s="287" t="n">
        <v>266</v>
      </c>
      <c r="K96" s="287" t="n">
        <v>195</v>
      </c>
      <c r="L96" s="287" t="n">
        <v>80</v>
      </c>
      <c r="M96" s="287" t="inlineStr">
        <is>
          <t>계단식</t>
        </is>
      </c>
      <c r="N96" s="287" t="n">
        <v>3</v>
      </c>
      <c r="O96" s="287" t="n">
        <v>3</v>
      </c>
      <c r="P96" s="287" t="n">
        <v>32</v>
      </c>
      <c r="Q96" s="317" t="n"/>
      <c r="R96" s="285" t="n"/>
      <c r="S96" s="285" t="n"/>
      <c r="T96" s="285" t="n"/>
      <c r="U96" s="285" t="n"/>
      <c r="V96" s="287" t="n">
        <v>55</v>
      </c>
      <c r="W96" s="287" t="n"/>
      <c r="X96" s="285" t="n"/>
      <c r="Y96" s="285" t="n"/>
      <c r="Z96" s="285" t="n"/>
      <c r="AA96" s="285" t="n"/>
      <c r="AB96" s="285" t="n"/>
      <c r="AC96" s="285" t="n"/>
      <c r="AD96" s="285" t="n"/>
      <c r="AE96" s="285" t="n"/>
      <c r="AF96" s="285" t="n"/>
      <c r="AG96" s="285" t="n"/>
      <c r="AH96" s="285" t="n"/>
      <c r="AI96" s="285" t="n"/>
      <c r="AJ96" s="285" t="n"/>
      <c r="AK96" s="285" t="n"/>
      <c r="AL96" s="285" t="n"/>
    </row>
    <row r="97">
      <c r="A97" s="285" t="inlineStr">
        <is>
          <t>성수동1가</t>
        </is>
      </c>
      <c r="B97" s="159" t="inlineStr">
        <is>
          <t>1성수</t>
        </is>
      </c>
      <c r="C97" s="310" t="inlineStr">
        <is>
          <t>최상</t>
        </is>
      </c>
      <c r="D97" s="285" t="n">
        <v>27620</v>
      </c>
      <c r="E97" s="286" t="inlineStr">
        <is>
          <t>갤러리아포레(주상복합)</t>
        </is>
      </c>
      <c r="F97" s="285" t="n">
        <v>2011.07</v>
      </c>
      <c r="G97" s="285" t="n">
        <v>230</v>
      </c>
      <c r="H97" s="285">
        <f>2026-INT(F97)+1</f>
        <v/>
      </c>
      <c r="I97" s="285" t="n"/>
      <c r="J97" s="285" t="n">
        <v>266</v>
      </c>
      <c r="K97" s="285" t="n">
        <v>194</v>
      </c>
      <c r="L97" s="285" t="n">
        <v>80</v>
      </c>
      <c r="M97" s="285" t="inlineStr">
        <is>
          <t>계단식</t>
        </is>
      </c>
      <c r="N97" s="285" t="n">
        <v>5</v>
      </c>
      <c r="O97" s="285" t="n">
        <v>3</v>
      </c>
      <c r="P97" s="285" t="n">
        <v>6</v>
      </c>
      <c r="Q97" s="316" t="n"/>
      <c r="R97" s="285" t="n"/>
      <c r="S97" s="285" t="n"/>
      <c r="T97" s="285" t="n"/>
      <c r="U97" s="285" t="n"/>
      <c r="V97" s="285" t="n">
        <v>55</v>
      </c>
      <c r="W97" s="285" t="n"/>
      <c r="X97" s="285" t="n"/>
      <c r="Y97" s="285" t="n"/>
      <c r="Z97" s="285" t="n"/>
      <c r="AA97" s="285" t="n"/>
      <c r="AB97" s="285" t="n"/>
      <c r="AC97" s="285" t="n"/>
      <c r="AD97" s="285" t="n"/>
      <c r="AE97" s="285" t="n"/>
      <c r="AF97" s="285" t="n"/>
      <c r="AG97" s="285" t="n"/>
      <c r="AH97" s="285" t="n"/>
      <c r="AI97" s="285" t="n"/>
      <c r="AJ97" s="285" t="n"/>
      <c r="AK97" s="285" t="n"/>
      <c r="AL97" s="285" t="n"/>
    </row>
    <row r="98">
      <c r="A98" s="285" t="inlineStr">
        <is>
          <t>성수동1가</t>
        </is>
      </c>
      <c r="B98" s="159" t="inlineStr">
        <is>
          <t>1성수</t>
        </is>
      </c>
      <c r="C98" s="310" t="inlineStr">
        <is>
          <t>최상</t>
        </is>
      </c>
      <c r="D98" s="285" t="n">
        <v>27620</v>
      </c>
      <c r="E98" s="286" t="inlineStr">
        <is>
          <t>갤러리아포레(주상복합)</t>
        </is>
      </c>
      <c r="F98" s="285" t="n">
        <v>2011.07</v>
      </c>
      <c r="G98" s="285" t="n">
        <v>230</v>
      </c>
      <c r="H98" s="285">
        <f>2026-INT(F98)+1</f>
        <v/>
      </c>
      <c r="I98" s="285" t="n"/>
      <c r="J98" s="285" t="n">
        <v>297</v>
      </c>
      <c r="K98" s="285" t="n">
        <v>217</v>
      </c>
      <c r="L98" s="285" t="n">
        <v>90</v>
      </c>
      <c r="M98" s="285" t="inlineStr">
        <is>
          <t>계단식</t>
        </is>
      </c>
      <c r="N98" s="285" t="n">
        <v>4</v>
      </c>
      <c r="O98" s="285" t="n">
        <v>3</v>
      </c>
      <c r="P98" s="285" t="n">
        <v>35</v>
      </c>
      <c r="Q98" s="316" t="n"/>
      <c r="R98" s="285" t="n"/>
      <c r="S98" s="285" t="n"/>
      <c r="T98" s="285" t="n"/>
      <c r="U98" s="285" t="n"/>
      <c r="V98" s="285" t="n">
        <v>88</v>
      </c>
      <c r="W98" s="285" t="n">
        <v>88</v>
      </c>
      <c r="X98" s="285" t="n"/>
      <c r="Y98" s="285" t="n"/>
      <c r="Z98" s="285" t="n"/>
      <c r="AA98" s="285" t="n"/>
      <c r="AB98" s="285" t="n"/>
      <c r="AC98" s="285" t="n"/>
      <c r="AD98" s="285" t="n"/>
      <c r="AE98" s="285" t="n"/>
      <c r="AF98" s="285" t="n"/>
      <c r="AG98" s="285" t="n"/>
      <c r="AH98" s="285" t="n"/>
      <c r="AI98" s="285" t="n"/>
      <c r="AJ98" s="285" t="n"/>
      <c r="AK98" s="285" t="n"/>
      <c r="AL98" s="285" t="n"/>
    </row>
    <row r="99">
      <c r="A99" s="285" t="inlineStr">
        <is>
          <t>성수동1가</t>
        </is>
      </c>
      <c r="B99" s="159" t="inlineStr">
        <is>
          <t>1성수</t>
        </is>
      </c>
      <c r="C99" s="310" t="inlineStr">
        <is>
          <t>최상</t>
        </is>
      </c>
      <c r="D99" s="285" t="n">
        <v>27620</v>
      </c>
      <c r="E99" s="286" t="inlineStr">
        <is>
          <t>갤러리아포레(주상복합)</t>
        </is>
      </c>
      <c r="F99" s="285" t="n">
        <v>2011.07</v>
      </c>
      <c r="G99" s="285" t="n">
        <v>230</v>
      </c>
      <c r="H99" s="285">
        <f>2026-INT(F99)+1</f>
        <v/>
      </c>
      <c r="I99" s="285" t="n"/>
      <c r="J99" s="285" t="n">
        <v>297</v>
      </c>
      <c r="K99" s="285" t="n">
        <v>217</v>
      </c>
      <c r="L99" s="285" t="n">
        <v>90</v>
      </c>
      <c r="M99" s="285" t="inlineStr">
        <is>
          <t>계단식</t>
        </is>
      </c>
      <c r="N99" s="285" t="n">
        <v>5</v>
      </c>
      <c r="O99" s="285" t="n">
        <v>3</v>
      </c>
      <c r="P99" s="285" t="n">
        <v>6</v>
      </c>
      <c r="Q99" s="316" t="n"/>
      <c r="R99" s="285" t="n"/>
      <c r="S99" s="285" t="n"/>
      <c r="T99" s="285" t="n"/>
      <c r="U99" s="285" t="n"/>
      <c r="V99" s="285" t="n">
        <v>88</v>
      </c>
      <c r="W99" s="285" t="n">
        <v>88</v>
      </c>
      <c r="X99" s="285" t="n"/>
      <c r="Y99" s="285" t="n"/>
      <c r="Z99" s="285" t="n"/>
      <c r="AA99" s="285" t="n"/>
      <c r="AB99" s="285" t="n"/>
      <c r="AC99" s="285" t="n"/>
      <c r="AD99" s="285" t="n"/>
      <c r="AE99" s="285" t="n"/>
      <c r="AF99" s="285" t="n"/>
      <c r="AG99" s="285" t="n"/>
      <c r="AH99" s="285" t="n"/>
      <c r="AI99" s="285" t="n"/>
      <c r="AJ99" s="285" t="n"/>
      <c r="AK99" s="285" t="n"/>
      <c r="AL99" s="285" t="n"/>
    </row>
    <row r="100">
      <c r="A100" s="285" t="inlineStr">
        <is>
          <t>성수동1가</t>
        </is>
      </c>
      <c r="B100" s="159" t="inlineStr">
        <is>
          <t>1성수</t>
        </is>
      </c>
      <c r="C100" s="310" t="inlineStr">
        <is>
          <t>최상</t>
        </is>
      </c>
      <c r="D100" s="285" t="n">
        <v>27620</v>
      </c>
      <c r="E100" s="286" t="inlineStr">
        <is>
          <t>갤러리아포레(주상복합)</t>
        </is>
      </c>
      <c r="F100" s="285" t="n">
        <v>2011.07</v>
      </c>
      <c r="G100" s="285" t="n">
        <v>230</v>
      </c>
      <c r="H100" s="285">
        <f>2026-INT(F100)+1</f>
        <v/>
      </c>
      <c r="I100" s="285" t="n"/>
      <c r="J100" s="285" t="n">
        <v>297</v>
      </c>
      <c r="K100" s="285" t="n">
        <v>218</v>
      </c>
      <c r="L100" s="285" t="n">
        <v>90</v>
      </c>
      <c r="M100" s="285" t="inlineStr">
        <is>
          <t>계단식</t>
        </is>
      </c>
      <c r="N100" s="285" t="n">
        <v>5</v>
      </c>
      <c r="O100" s="285" t="n">
        <v>3</v>
      </c>
      <c r="P100" s="285" t="n">
        <v>4</v>
      </c>
      <c r="Q100" s="316" t="n"/>
      <c r="R100" s="285" t="n"/>
      <c r="S100" s="285" t="n"/>
      <c r="T100" s="285" t="n"/>
      <c r="U100" s="285" t="n"/>
      <c r="V100" s="285" t="n">
        <v>88</v>
      </c>
      <c r="W100" s="285" t="n">
        <v>88</v>
      </c>
      <c r="X100" s="285" t="n"/>
      <c r="Y100" s="285" t="n"/>
      <c r="Z100" s="285" t="n"/>
      <c r="AA100" s="285" t="n"/>
      <c r="AB100" s="285" t="n"/>
      <c r="AC100" s="285" t="n"/>
      <c r="AD100" s="285" t="n"/>
      <c r="AE100" s="285" t="n"/>
      <c r="AF100" s="285" t="n"/>
      <c r="AG100" s="285" t="n"/>
      <c r="AH100" s="285" t="n"/>
      <c r="AI100" s="285" t="n"/>
      <c r="AJ100" s="285" t="n"/>
      <c r="AK100" s="285" t="n"/>
      <c r="AL100" s="285" t="n"/>
    </row>
    <row r="101">
      <c r="A101" s="285" t="inlineStr">
        <is>
          <t>성수동1가</t>
        </is>
      </c>
      <c r="B101" s="159" t="inlineStr">
        <is>
          <t>1성수</t>
        </is>
      </c>
      <c r="C101" s="310" t="inlineStr">
        <is>
          <t>최상</t>
        </is>
      </c>
      <c r="D101" s="285" t="n">
        <v>27620</v>
      </c>
      <c r="E101" s="286" t="inlineStr">
        <is>
          <t>갤러리아포레(주상복합)</t>
        </is>
      </c>
      <c r="F101" s="285" t="n">
        <v>2011.07</v>
      </c>
      <c r="G101" s="285" t="n">
        <v>230</v>
      </c>
      <c r="H101" s="285">
        <f>2026-INT(F101)+1</f>
        <v/>
      </c>
      <c r="I101" s="285" t="n"/>
      <c r="J101" s="285" t="n">
        <v>298</v>
      </c>
      <c r="K101" s="285" t="n">
        <v>218</v>
      </c>
      <c r="L101" s="285" t="n">
        <v>90</v>
      </c>
      <c r="M101" s="285" t="inlineStr">
        <is>
          <t>계단식</t>
        </is>
      </c>
      <c r="N101" s="285" t="n">
        <v>3</v>
      </c>
      <c r="O101" s="285" t="n">
        <v>3</v>
      </c>
      <c r="P101" s="285" t="n">
        <v>30</v>
      </c>
      <c r="Q101" s="316" t="n"/>
      <c r="R101" s="285" t="n"/>
      <c r="S101" s="285" t="n"/>
      <c r="T101" s="285" t="n"/>
      <c r="U101" s="285" t="n"/>
      <c r="V101" s="285" t="n">
        <v>88</v>
      </c>
      <c r="W101" s="285" t="n">
        <v>88</v>
      </c>
      <c r="X101" s="285" t="n"/>
      <c r="Y101" s="285" t="n"/>
      <c r="Z101" s="285" t="n"/>
      <c r="AA101" s="285" t="n"/>
      <c r="AB101" s="285" t="n"/>
      <c r="AC101" s="285" t="n"/>
      <c r="AD101" s="285" t="n"/>
      <c r="AE101" s="285" t="n"/>
      <c r="AF101" s="285" t="n"/>
      <c r="AG101" s="285" t="n"/>
      <c r="AH101" s="285" t="n"/>
      <c r="AI101" s="285" t="n"/>
      <c r="AJ101" s="285" t="n"/>
      <c r="AK101" s="285" t="n"/>
      <c r="AL101" s="285" t="n"/>
    </row>
    <row r="102">
      <c r="A102" s="287" t="inlineStr">
        <is>
          <t>성수동1가</t>
        </is>
      </c>
      <c r="B102" s="159" t="inlineStr">
        <is>
          <t>1성수</t>
        </is>
      </c>
      <c r="C102" s="310" t="inlineStr">
        <is>
          <t>최상</t>
        </is>
      </c>
      <c r="D102" s="287" t="n">
        <v>27620</v>
      </c>
      <c r="E102" s="286" t="inlineStr">
        <is>
          <t>갤러리아포레(주상복합)</t>
        </is>
      </c>
      <c r="F102" s="287" t="n">
        <v>2011.07</v>
      </c>
      <c r="G102" s="287" t="n">
        <v>230</v>
      </c>
      <c r="H102" s="287">
        <f>2026-INT(F102)+1</f>
        <v/>
      </c>
      <c r="I102" s="285" t="n"/>
      <c r="J102" s="287" t="n">
        <v>329</v>
      </c>
      <c r="K102" s="287" t="n">
        <v>241</v>
      </c>
      <c r="L102" s="287" t="n">
        <v>100</v>
      </c>
      <c r="M102" s="287" t="inlineStr">
        <is>
          <t>계단식</t>
        </is>
      </c>
      <c r="N102" s="287" t="n">
        <v>4</v>
      </c>
      <c r="O102" s="287" t="n">
        <v>4</v>
      </c>
      <c r="P102" s="287" t="n">
        <v>34</v>
      </c>
      <c r="Q102" s="317" t="n"/>
      <c r="R102" s="285" t="n"/>
      <c r="S102" s="285" t="n"/>
      <c r="T102" s="285" t="n"/>
      <c r="U102" s="285" t="n"/>
      <c r="V102" s="287" t="n">
        <v>84.5</v>
      </c>
      <c r="W102" s="287" t="n">
        <v>78.5</v>
      </c>
      <c r="X102" s="285" t="n"/>
      <c r="Y102" s="285" t="n"/>
      <c r="Z102" s="285" t="n"/>
      <c r="AA102" s="285" t="n"/>
      <c r="AB102" s="285" t="n"/>
      <c r="AC102" s="285" t="n"/>
      <c r="AD102" s="285" t="n"/>
      <c r="AE102" s="285" t="n"/>
      <c r="AF102" s="285" t="n"/>
      <c r="AG102" s="285" t="n"/>
      <c r="AH102" s="285" t="n"/>
      <c r="AI102" s="285" t="n"/>
      <c r="AJ102" s="285" t="n"/>
      <c r="AK102" s="285" t="n"/>
      <c r="AL102" s="285" t="n"/>
    </row>
    <row r="103">
      <c r="A103" s="287" t="inlineStr">
        <is>
          <t>성수동1가</t>
        </is>
      </c>
      <c r="B103" s="159" t="inlineStr">
        <is>
          <t>1성수</t>
        </is>
      </c>
      <c r="C103" s="310" t="inlineStr">
        <is>
          <t>최상</t>
        </is>
      </c>
      <c r="D103" s="287" t="n">
        <v>27620</v>
      </c>
      <c r="E103" s="286" t="inlineStr">
        <is>
          <t>갤러리아포레(주상복합)</t>
        </is>
      </c>
      <c r="F103" s="287" t="n">
        <v>2011.07</v>
      </c>
      <c r="G103" s="287" t="n">
        <v>230</v>
      </c>
      <c r="H103" s="287">
        <f>2026-INT(F103)+1</f>
        <v/>
      </c>
      <c r="I103" s="285" t="n"/>
      <c r="J103" s="287" t="n">
        <v>332</v>
      </c>
      <c r="K103" s="287" t="n">
        <v>244</v>
      </c>
      <c r="L103" s="287" t="n">
        <v>100</v>
      </c>
      <c r="M103" s="287" t="inlineStr">
        <is>
          <t>계단식</t>
        </is>
      </c>
      <c r="N103" s="287" t="n">
        <v>4</v>
      </c>
      <c r="O103" s="287" t="n">
        <v>4</v>
      </c>
      <c r="P103" s="287" t="n">
        <v>2</v>
      </c>
      <c r="Q103" s="317" t="n"/>
      <c r="R103" s="285" t="n"/>
      <c r="S103" s="285" t="n"/>
      <c r="T103" s="285" t="n"/>
      <c r="U103" s="285" t="n"/>
      <c r="V103" s="287" t="n"/>
      <c r="W103" s="287" t="n"/>
      <c r="X103" s="285" t="n"/>
      <c r="Y103" s="285" t="n"/>
      <c r="Z103" s="285" t="n"/>
      <c r="AA103" s="285" t="n"/>
      <c r="AB103" s="285" t="n"/>
      <c r="AC103" s="285" t="n"/>
      <c r="AD103" s="285" t="n"/>
      <c r="AE103" s="285" t="n"/>
      <c r="AF103" s="285" t="n"/>
      <c r="AG103" s="285" t="n"/>
      <c r="AH103" s="285" t="n"/>
      <c r="AI103" s="285" t="n"/>
      <c r="AJ103" s="285" t="n"/>
      <c r="AK103" s="285" t="n"/>
      <c r="AL103" s="285" t="n"/>
    </row>
    <row r="104">
      <c r="A104" s="287" t="inlineStr">
        <is>
          <t>성수동1가</t>
        </is>
      </c>
      <c r="B104" s="159" t="inlineStr">
        <is>
          <t>1성수</t>
        </is>
      </c>
      <c r="C104" s="310" t="inlineStr">
        <is>
          <t>최상</t>
        </is>
      </c>
      <c r="D104" s="287" t="n">
        <v>27620</v>
      </c>
      <c r="E104" s="286" t="inlineStr">
        <is>
          <t>갤러리아포레(주상복합)</t>
        </is>
      </c>
      <c r="F104" s="287" t="n">
        <v>2011.07</v>
      </c>
      <c r="G104" s="287" t="n">
        <v>230</v>
      </c>
      <c r="H104" s="287">
        <f>2026-INT(F104)+1</f>
        <v/>
      </c>
      <c r="I104" s="285" t="n"/>
      <c r="J104" s="287" t="n">
        <v>369</v>
      </c>
      <c r="K104" s="287" t="n">
        <v>271</v>
      </c>
      <c r="L104" s="287" t="n">
        <v>112</v>
      </c>
      <c r="M104" s="287" t="inlineStr">
        <is>
          <t>계단식</t>
        </is>
      </c>
      <c r="N104" s="287" t="n">
        <v>4</v>
      </c>
      <c r="O104" s="287" t="n">
        <v>3</v>
      </c>
      <c r="P104" s="287" t="n">
        <v>3</v>
      </c>
      <c r="Q104" s="317" t="n"/>
      <c r="R104" s="285" t="n"/>
      <c r="S104" s="285" t="n"/>
      <c r="T104" s="285" t="n"/>
      <c r="U104" s="285" t="n"/>
      <c r="V104" s="287" t="n"/>
      <c r="W104" s="287" t="n"/>
      <c r="X104" s="285" t="n"/>
      <c r="Y104" s="285" t="n"/>
      <c r="Z104" s="285" t="n"/>
      <c r="AA104" s="285" t="n"/>
      <c r="AB104" s="285" t="n"/>
      <c r="AC104" s="285" t="n"/>
      <c r="AD104" s="285" t="n"/>
      <c r="AE104" s="285" t="n"/>
      <c r="AF104" s="285" t="n"/>
      <c r="AG104" s="285" t="n"/>
      <c r="AH104" s="285" t="n"/>
      <c r="AI104" s="285" t="n"/>
      <c r="AJ104" s="285" t="n"/>
      <c r="AK104" s="285" t="n"/>
      <c r="AL104" s="285" t="n"/>
    </row>
    <row r="105">
      <c r="A105" s="285" t="inlineStr">
        <is>
          <t>성수동1가</t>
        </is>
      </c>
      <c r="B105" s="159" t="inlineStr">
        <is>
          <t>1성수</t>
        </is>
      </c>
      <c r="C105" s="310" t="inlineStr">
        <is>
          <t>최상</t>
        </is>
      </c>
      <c r="D105" s="285" t="n">
        <v>27620</v>
      </c>
      <c r="E105" s="286" t="inlineStr">
        <is>
          <t>갤러리아포레(주상복합)</t>
        </is>
      </c>
      <c r="F105" s="285" t="n">
        <v>2011.07</v>
      </c>
      <c r="G105" s="285" t="n">
        <v>230</v>
      </c>
      <c r="H105" s="285">
        <f>2026-INT(F105)+1</f>
        <v/>
      </c>
      <c r="I105" s="285" t="n"/>
      <c r="J105" s="285" t="n">
        <v>371</v>
      </c>
      <c r="K105" s="285" t="n">
        <v>271</v>
      </c>
      <c r="L105" s="285" t="n">
        <v>112</v>
      </c>
      <c r="M105" s="285" t="inlineStr">
        <is>
          <t>계단식</t>
        </is>
      </c>
      <c r="N105" s="285" t="n">
        <v>5</v>
      </c>
      <c r="O105" s="285" t="n">
        <v>3</v>
      </c>
      <c r="P105" s="285" t="n">
        <v>1</v>
      </c>
      <c r="Q105" s="316" t="n"/>
      <c r="R105" s="285" t="n"/>
      <c r="S105" s="285" t="n"/>
      <c r="T105" s="285" t="n"/>
      <c r="U105" s="285" t="n"/>
      <c r="V105" s="285" t="n"/>
      <c r="W105" s="285" t="n"/>
      <c r="X105" s="285" t="n"/>
      <c r="Y105" s="285" t="n"/>
      <c r="Z105" s="285" t="n"/>
      <c r="AA105" s="285" t="n"/>
      <c r="AB105" s="285" t="n"/>
      <c r="AC105" s="285" t="n"/>
      <c r="AD105" s="285" t="n"/>
      <c r="AE105" s="285" t="n"/>
      <c r="AF105" s="285" t="n"/>
      <c r="AG105" s="285" t="n"/>
      <c r="AH105" s="285" t="n"/>
      <c r="AI105" s="285" t="n"/>
      <c r="AJ105" s="285" t="n"/>
      <c r="AK105" s="285" t="n"/>
      <c r="AL105" s="285" t="n"/>
    </row>
    <row r="106">
      <c r="A106" s="458" t="inlineStr">
        <is>
          <t>성수동1가</t>
        </is>
      </c>
      <c r="B106" s="159" t="inlineStr">
        <is>
          <t>1성수</t>
        </is>
      </c>
      <c r="C106" s="159" t="inlineStr">
        <is>
          <t>중</t>
        </is>
      </c>
      <c r="D106" s="458" t="n">
        <v>553</v>
      </c>
      <c r="E106" s="288" t="inlineStr">
        <is>
          <t>동아</t>
        </is>
      </c>
      <c r="F106" s="458" t="n">
        <v>1983.09</v>
      </c>
      <c r="G106" s="458" t="n">
        <v>390</v>
      </c>
      <c r="H106" s="458">
        <f>2026-INT(F106)+1</f>
        <v/>
      </c>
      <c r="J106" s="458" t="n">
        <v>57</v>
      </c>
      <c r="K106" s="458" t="n">
        <v>53</v>
      </c>
      <c r="L106" s="458" t="n">
        <v>17</v>
      </c>
      <c r="M106" s="458" t="inlineStr">
        <is>
          <t>복도식</t>
        </is>
      </c>
      <c r="N106" s="458" t="n">
        <v>1</v>
      </c>
      <c r="O106" s="458" t="n">
        <v>1</v>
      </c>
      <c r="P106" s="458" t="n">
        <v>80</v>
      </c>
      <c r="Q106" s="318" t="n"/>
      <c r="V106" s="458" t="n">
        <v>12.4</v>
      </c>
      <c r="W106" s="458" t="n">
        <v>11.6</v>
      </c>
    </row>
    <row r="107">
      <c r="A107" s="458" t="inlineStr">
        <is>
          <t>성수동1가</t>
        </is>
      </c>
      <c r="B107" s="159" t="inlineStr">
        <is>
          <t>1성수</t>
        </is>
      </c>
      <c r="C107" s="159" t="inlineStr">
        <is>
          <t>중</t>
        </is>
      </c>
      <c r="D107" s="458" t="n">
        <v>553</v>
      </c>
      <c r="E107" s="288" t="inlineStr">
        <is>
          <t>동아</t>
        </is>
      </c>
      <c r="F107" s="458" t="n">
        <v>1983.09</v>
      </c>
      <c r="G107" s="458" t="n">
        <v>390</v>
      </c>
      <c r="H107" s="458">
        <f>2026-INT(F107)+1</f>
        <v/>
      </c>
      <c r="J107" s="458" t="n">
        <v>57</v>
      </c>
      <c r="K107" s="458" t="n">
        <v>52</v>
      </c>
      <c r="L107" s="458" t="n">
        <v>17</v>
      </c>
      <c r="M107" s="458" t="inlineStr">
        <is>
          <t>복도식</t>
        </is>
      </c>
      <c r="N107" s="458" t="n">
        <v>1</v>
      </c>
      <c r="O107" s="458" t="n">
        <v>1</v>
      </c>
      <c r="P107" s="458" t="n">
        <v>50</v>
      </c>
      <c r="Q107" s="318" t="n"/>
      <c r="V107" s="458" t="n">
        <v>12.4</v>
      </c>
      <c r="W107" s="458" t="n">
        <v>11.6</v>
      </c>
    </row>
    <row r="108">
      <c r="A108" s="458" t="inlineStr">
        <is>
          <t>성수동1가</t>
        </is>
      </c>
      <c r="B108" s="159" t="inlineStr">
        <is>
          <t>1성수</t>
        </is>
      </c>
      <c r="C108" s="159" t="inlineStr">
        <is>
          <t>중</t>
        </is>
      </c>
      <c r="D108" s="458" t="n">
        <v>553</v>
      </c>
      <c r="E108" s="288" t="inlineStr">
        <is>
          <t>동아</t>
        </is>
      </c>
      <c r="F108" s="458" t="n">
        <v>1983.09</v>
      </c>
      <c r="G108" s="458" t="n">
        <v>390</v>
      </c>
      <c r="H108" s="458">
        <f>2026-INT(F108)+1</f>
        <v/>
      </c>
      <c r="J108" s="458" t="n">
        <v>57</v>
      </c>
      <c r="K108" s="458" t="n">
        <v>52</v>
      </c>
      <c r="L108" s="458" t="n">
        <v>17</v>
      </c>
      <c r="M108" s="458" t="inlineStr">
        <is>
          <t>복도식</t>
        </is>
      </c>
      <c r="N108" s="458" t="n">
        <v>2</v>
      </c>
      <c r="O108" s="458" t="n">
        <v>1</v>
      </c>
      <c r="P108" s="458" t="n">
        <v>50</v>
      </c>
      <c r="Q108" s="318" t="n"/>
      <c r="V108" s="458" t="n">
        <v>12.4</v>
      </c>
      <c r="W108" s="458" t="n">
        <v>11.6</v>
      </c>
    </row>
    <row r="109">
      <c r="A109" s="458" t="inlineStr">
        <is>
          <t>성수동1가</t>
        </is>
      </c>
      <c r="B109" s="159" t="inlineStr">
        <is>
          <t>1성수</t>
        </is>
      </c>
      <c r="C109" s="159" t="inlineStr">
        <is>
          <t>중</t>
        </is>
      </c>
      <c r="D109" s="458" t="n">
        <v>553</v>
      </c>
      <c r="E109" s="288" t="inlineStr">
        <is>
          <t>동아</t>
        </is>
      </c>
      <c r="F109" s="458" t="n">
        <v>1983.09</v>
      </c>
      <c r="G109" s="458" t="n">
        <v>390</v>
      </c>
      <c r="H109" s="458">
        <f>2026-INT(F109)+1</f>
        <v/>
      </c>
      <c r="J109" s="458" t="n">
        <v>57</v>
      </c>
      <c r="K109" s="458" t="n">
        <v>52</v>
      </c>
      <c r="L109" s="458" t="n">
        <v>17</v>
      </c>
      <c r="M109" s="458" t="inlineStr">
        <is>
          <t>계단식</t>
        </is>
      </c>
      <c r="N109" s="458" t="n">
        <v>2</v>
      </c>
      <c r="O109" s="458" t="n">
        <v>1</v>
      </c>
      <c r="P109" s="458" t="n">
        <v>10</v>
      </c>
      <c r="Q109" s="318" t="n"/>
      <c r="V109" s="458" t="n">
        <v>12.4</v>
      </c>
      <c r="W109" s="458" t="n">
        <v>11.6</v>
      </c>
    </row>
    <row r="110">
      <c r="A110" s="458" t="inlineStr">
        <is>
          <t>성수동1가</t>
        </is>
      </c>
      <c r="B110" s="159" t="inlineStr">
        <is>
          <t>1성수</t>
        </is>
      </c>
      <c r="C110" s="159" t="inlineStr">
        <is>
          <t>중</t>
        </is>
      </c>
      <c r="D110" s="458" t="n">
        <v>553</v>
      </c>
      <c r="E110" s="288" t="inlineStr">
        <is>
          <t>동아</t>
        </is>
      </c>
      <c r="F110" s="458" t="n">
        <v>1983.09</v>
      </c>
      <c r="G110" s="458" t="n">
        <v>390</v>
      </c>
      <c r="H110" s="458">
        <f>2026-INT(F110)+1</f>
        <v/>
      </c>
      <c r="J110" s="458" t="n">
        <v>104</v>
      </c>
      <c r="K110" s="458" t="n">
        <v>96</v>
      </c>
      <c r="L110" s="458" t="n">
        <v>31</v>
      </c>
      <c r="M110" s="458" t="inlineStr">
        <is>
          <t>복도식</t>
        </is>
      </c>
      <c r="N110" s="458" t="n">
        <v>3</v>
      </c>
      <c r="O110" s="458" t="n">
        <v>1</v>
      </c>
      <c r="P110" s="458" t="n">
        <v>80</v>
      </c>
      <c r="Q110" s="318" t="n"/>
      <c r="V110" s="458" t="n">
        <v>19.4</v>
      </c>
      <c r="W110" s="458" t="n">
        <v>14.15</v>
      </c>
    </row>
    <row r="111">
      <c r="A111" s="458" t="inlineStr">
        <is>
          <t>성수동1가</t>
        </is>
      </c>
      <c r="B111" s="159" t="inlineStr">
        <is>
          <t>1성수</t>
        </is>
      </c>
      <c r="C111" s="159" t="inlineStr">
        <is>
          <t>중</t>
        </is>
      </c>
      <c r="D111" s="458" t="n">
        <v>553</v>
      </c>
      <c r="E111" s="288" t="inlineStr">
        <is>
          <t>동아</t>
        </is>
      </c>
      <c r="F111" s="458" t="n">
        <v>1983.09</v>
      </c>
      <c r="G111" s="458" t="n">
        <v>390</v>
      </c>
      <c r="H111" s="458">
        <f>2026-INT(F111)+1</f>
        <v/>
      </c>
      <c r="J111" s="458" t="n">
        <v>104</v>
      </c>
      <c r="K111" s="458" t="n">
        <v>95</v>
      </c>
      <c r="L111" s="458" t="n">
        <v>31</v>
      </c>
      <c r="M111" s="458" t="inlineStr">
        <is>
          <t>복도식</t>
        </is>
      </c>
      <c r="N111" s="458" t="n">
        <v>3</v>
      </c>
      <c r="O111" s="458" t="n">
        <v>1</v>
      </c>
      <c r="P111" s="458" t="n">
        <v>40</v>
      </c>
      <c r="Q111" s="318" t="n"/>
      <c r="V111" s="458" t="n">
        <v>19.4</v>
      </c>
      <c r="W111" s="458" t="n">
        <v>14.15</v>
      </c>
    </row>
    <row r="112">
      <c r="A112" s="458" t="inlineStr">
        <is>
          <t>성수동1가</t>
        </is>
      </c>
      <c r="B112" s="159" t="inlineStr">
        <is>
          <t>1성수</t>
        </is>
      </c>
      <c r="C112" s="159" t="inlineStr">
        <is>
          <t>중</t>
        </is>
      </c>
      <c r="D112" s="458" t="n">
        <v>553</v>
      </c>
      <c r="E112" s="288" t="inlineStr">
        <is>
          <t>동아</t>
        </is>
      </c>
      <c r="F112" s="458" t="n">
        <v>1983.09</v>
      </c>
      <c r="G112" s="458" t="n">
        <v>390</v>
      </c>
      <c r="H112" s="458">
        <f>2026-INT(F112)+1</f>
        <v/>
      </c>
      <c r="J112" s="458" t="n">
        <v>104</v>
      </c>
      <c r="K112" s="458" t="n">
        <v>95</v>
      </c>
      <c r="L112" s="458" t="n">
        <v>31</v>
      </c>
      <c r="M112" s="458" t="inlineStr">
        <is>
          <t>계단식</t>
        </is>
      </c>
      <c r="N112" s="458" t="n">
        <v>3</v>
      </c>
      <c r="O112" s="458" t="n">
        <v>1</v>
      </c>
      <c r="P112" s="458" t="n">
        <v>10</v>
      </c>
      <c r="Q112" s="318" t="n"/>
      <c r="V112" s="458" t="n">
        <v>19.4</v>
      </c>
      <c r="W112" s="458" t="n">
        <v>14.15</v>
      </c>
    </row>
    <row r="113">
      <c r="A113" s="458" t="inlineStr">
        <is>
          <t>성수동1가</t>
        </is>
      </c>
      <c r="B113" s="159" t="inlineStr">
        <is>
          <t>1성수</t>
        </is>
      </c>
      <c r="C113" s="159" t="inlineStr">
        <is>
          <t>중</t>
        </is>
      </c>
      <c r="D113" s="458" t="n">
        <v>553</v>
      </c>
      <c r="E113" s="288" t="inlineStr">
        <is>
          <t>동아</t>
        </is>
      </c>
      <c r="F113" s="458" t="n">
        <v>1983.09</v>
      </c>
      <c r="G113" s="458" t="n">
        <v>390</v>
      </c>
      <c r="H113" s="458">
        <f>2026-INT(F113)+1</f>
        <v/>
      </c>
      <c r="J113" s="458" t="n">
        <v>105</v>
      </c>
      <c r="K113" s="458" t="n">
        <v>97</v>
      </c>
      <c r="L113" s="458" t="n">
        <v>32</v>
      </c>
      <c r="M113" s="458" t="inlineStr">
        <is>
          <t>복도식</t>
        </is>
      </c>
      <c r="N113" s="458" t="n">
        <v>3</v>
      </c>
      <c r="O113" s="458" t="n">
        <v>1</v>
      </c>
      <c r="P113" s="458" t="n">
        <v>70</v>
      </c>
      <c r="Q113" s="318" t="n"/>
      <c r="V113" s="458" t="n">
        <v>19.4</v>
      </c>
      <c r="W113" s="458" t="n">
        <v>14.15</v>
      </c>
    </row>
    <row r="114">
      <c r="A114" s="285" t="inlineStr">
        <is>
          <t>성수동1가</t>
        </is>
      </c>
      <c r="B114" s="307" t="inlineStr">
        <is>
          <t>1성수</t>
        </is>
      </c>
      <c r="C114" s="307" t="inlineStr">
        <is>
          <t>중</t>
        </is>
      </c>
      <c r="D114" s="285" t="n">
        <v>3530</v>
      </c>
      <c r="E114" s="286" t="inlineStr">
        <is>
          <t>서울숲대림</t>
        </is>
      </c>
      <c r="F114" s="285" t="n">
        <v>2000.1</v>
      </c>
      <c r="G114" s="285" t="n">
        <v>372</v>
      </c>
      <c r="H114" s="285">
        <f>2026-INT(F114)+1</f>
        <v/>
      </c>
      <c r="I114" s="285" t="n"/>
      <c r="J114" s="285" t="n">
        <v>83</v>
      </c>
      <c r="K114" s="285" t="n">
        <v>59</v>
      </c>
      <c r="L114" s="285" t="n">
        <v>25</v>
      </c>
      <c r="M114" s="285" t="inlineStr">
        <is>
          <t>복도식</t>
        </is>
      </c>
      <c r="N114" s="285" t="n">
        <v>3</v>
      </c>
      <c r="O114" s="285" t="n">
        <v>1</v>
      </c>
      <c r="P114" s="285" t="n">
        <v>178</v>
      </c>
      <c r="Q114" s="316" t="n"/>
      <c r="R114" s="285" t="n"/>
      <c r="S114" s="285" t="n"/>
      <c r="T114" s="285" t="n"/>
      <c r="U114" s="285" t="n"/>
      <c r="V114" s="285" t="n">
        <v>14.5</v>
      </c>
      <c r="W114" s="285" t="n">
        <v>11.8</v>
      </c>
      <c r="X114" s="285" t="n"/>
      <c r="Y114" s="285" t="n"/>
      <c r="Z114" s="285" t="n"/>
      <c r="AA114" s="285" t="n"/>
      <c r="AB114" s="285" t="n"/>
      <c r="AC114" s="285" t="n"/>
      <c r="AD114" s="285" t="n"/>
      <c r="AE114" s="285" t="n"/>
      <c r="AF114" s="285" t="n"/>
      <c r="AG114" s="285" t="n"/>
      <c r="AH114" s="285" t="n"/>
      <c r="AI114" s="285" t="n"/>
      <c r="AJ114" s="285" t="n"/>
      <c r="AK114" s="285" t="n"/>
      <c r="AL114" s="285" t="n"/>
    </row>
    <row r="115">
      <c r="A115" s="287" t="inlineStr">
        <is>
          <t>성수동1가</t>
        </is>
      </c>
      <c r="B115" s="307" t="inlineStr">
        <is>
          <t>1성수</t>
        </is>
      </c>
      <c r="C115" s="307" t="inlineStr">
        <is>
          <t>중</t>
        </is>
      </c>
      <c r="D115" s="287" t="n">
        <v>3530</v>
      </c>
      <c r="E115" s="286" t="inlineStr">
        <is>
          <t>서울숲대림</t>
        </is>
      </c>
      <c r="F115" s="287" t="n">
        <v>2000.1</v>
      </c>
      <c r="G115" s="287" t="n">
        <v>372</v>
      </c>
      <c r="H115" s="287">
        <f>2026-INT(F115)+1</f>
        <v/>
      </c>
      <c r="I115" s="285" t="n"/>
      <c r="J115" s="287" t="n">
        <v>94</v>
      </c>
      <c r="K115" s="287" t="n">
        <v>77</v>
      </c>
      <c r="L115" s="287" t="n">
        <v>28</v>
      </c>
      <c r="M115" s="287" t="inlineStr">
        <is>
          <t>계단식</t>
        </is>
      </c>
      <c r="N115" s="287" t="n">
        <v>3</v>
      </c>
      <c r="O115" s="287" t="n">
        <v>2</v>
      </c>
      <c r="P115" s="287" t="n">
        <v>6</v>
      </c>
      <c r="Q115" s="317" t="n"/>
      <c r="R115" s="285" t="n"/>
      <c r="S115" s="285" t="n"/>
      <c r="T115" s="285" t="n"/>
      <c r="U115" s="285" t="n"/>
      <c r="V115" s="285" t="n"/>
      <c r="W115" s="285" t="n"/>
      <c r="X115" s="285" t="n"/>
      <c r="Y115" s="285" t="n"/>
      <c r="Z115" s="285" t="n"/>
      <c r="AA115" s="285" t="n"/>
      <c r="AB115" s="285" t="n"/>
      <c r="AC115" s="285" t="n"/>
      <c r="AD115" s="285" t="n"/>
      <c r="AE115" s="285" t="n"/>
      <c r="AF115" s="285" t="n"/>
      <c r="AG115" s="285" t="n"/>
      <c r="AH115" s="285" t="n"/>
      <c r="AI115" s="285" t="n"/>
      <c r="AJ115" s="285" t="n"/>
      <c r="AK115" s="285" t="n"/>
      <c r="AL115" s="285" t="n"/>
    </row>
    <row r="116">
      <c r="A116" s="287" t="inlineStr">
        <is>
          <t>성수동1가</t>
        </is>
      </c>
      <c r="B116" s="307" t="inlineStr">
        <is>
          <t>1성수</t>
        </is>
      </c>
      <c r="C116" s="307" t="inlineStr">
        <is>
          <t>중</t>
        </is>
      </c>
      <c r="D116" s="287" t="n">
        <v>3530</v>
      </c>
      <c r="E116" s="286" t="inlineStr">
        <is>
          <t>서울숲대림</t>
        </is>
      </c>
      <c r="F116" s="287" t="n">
        <v>2000.1</v>
      </c>
      <c r="G116" s="287" t="n">
        <v>372</v>
      </c>
      <c r="H116" s="287">
        <f>2026-INT(F116)+1</f>
        <v/>
      </c>
      <c r="I116" s="285" t="n"/>
      <c r="J116" s="287" t="n">
        <v>98</v>
      </c>
      <c r="K116" s="287" t="n">
        <v>80</v>
      </c>
      <c r="L116" s="287" t="n">
        <v>30</v>
      </c>
      <c r="M116" s="287" t="inlineStr">
        <is>
          <t>계단식</t>
        </is>
      </c>
      <c r="N116" s="287" t="n">
        <v>3</v>
      </c>
      <c r="O116" s="287" t="n">
        <v>2</v>
      </c>
      <c r="P116" s="287" t="n">
        <v>4</v>
      </c>
      <c r="Q116" s="317" t="n"/>
      <c r="R116" s="285" t="n"/>
      <c r="S116" s="285" t="n"/>
      <c r="T116" s="285" t="n"/>
      <c r="U116" s="285" t="n"/>
      <c r="V116" s="285" t="n"/>
      <c r="W116" s="285" t="n"/>
      <c r="X116" s="285" t="n"/>
      <c r="Y116" s="285" t="n"/>
      <c r="Z116" s="285" t="n"/>
      <c r="AA116" s="285" t="n"/>
      <c r="AB116" s="285" t="n"/>
      <c r="AC116" s="285" t="n"/>
      <c r="AD116" s="285" t="n"/>
      <c r="AE116" s="285" t="n"/>
      <c r="AF116" s="285" t="n"/>
      <c r="AG116" s="285" t="n"/>
      <c r="AH116" s="285" t="n"/>
      <c r="AI116" s="285" t="n"/>
      <c r="AJ116" s="285" t="n"/>
      <c r="AK116" s="285" t="n"/>
      <c r="AL116" s="285" t="n"/>
    </row>
    <row r="117" ht="17" customHeight="1" s="476">
      <c r="A117" s="297" t="inlineStr">
        <is>
          <t>성수동1가</t>
        </is>
      </c>
      <c r="B117" s="309" t="inlineStr">
        <is>
          <t>1성수</t>
        </is>
      </c>
      <c r="C117" s="309" t="inlineStr">
        <is>
          <t>중</t>
        </is>
      </c>
      <c r="D117" s="297" t="n">
        <v>3530</v>
      </c>
      <c r="E117" s="313" t="inlineStr">
        <is>
          <t>서울숲대림</t>
        </is>
      </c>
      <c r="F117" s="297" t="n">
        <v>2000.1</v>
      </c>
      <c r="G117" s="297" t="n">
        <v>372</v>
      </c>
      <c r="H117" s="297">
        <f>2026-INT(F117)+1</f>
        <v/>
      </c>
      <c r="I117" s="298" t="n"/>
      <c r="J117" s="297" t="n">
        <v>102</v>
      </c>
      <c r="K117" s="297" t="n">
        <v>84</v>
      </c>
      <c r="L117" s="297" t="n">
        <v>31</v>
      </c>
      <c r="M117" s="297" t="inlineStr">
        <is>
          <t>계단식</t>
        </is>
      </c>
      <c r="N117" s="297" t="n">
        <v>3</v>
      </c>
      <c r="O117" s="297" t="n">
        <v>2</v>
      </c>
      <c r="P117" s="297" t="n">
        <v>184</v>
      </c>
      <c r="Q117" s="319" t="inlineStr">
        <is>
          <t>18/1</t>
        </is>
      </c>
      <c r="R117" s="298" t="n">
        <v>260000</v>
      </c>
      <c r="S117" s="298" t="n">
        <v>78750</v>
      </c>
      <c r="T117" s="298" t="n"/>
      <c r="U117" s="298" t="n"/>
      <c r="V117" s="298" t="n">
        <v>20</v>
      </c>
      <c r="W117" s="298" t="n">
        <v>15.6</v>
      </c>
      <c r="X117" s="298" t="n"/>
      <c r="Y117" s="298" t="n"/>
      <c r="Z117" s="298" t="n"/>
      <c r="AA117" s="298" t="n"/>
      <c r="AB117" s="298" t="n"/>
      <c r="AC117" s="298" t="n"/>
      <c r="AD117" s="298" t="n"/>
      <c r="AE117" s="298" t="n"/>
      <c r="AF117" s="298" t="n"/>
      <c r="AG117" s="298" t="n"/>
      <c r="AH117" s="298" t="n"/>
      <c r="AI117" s="298" t="n"/>
      <c r="AJ117" s="298" t="n"/>
      <c r="AK117" s="298" t="n"/>
      <c r="AL117" s="298" t="n"/>
    </row>
    <row r="118">
      <c r="A118" s="458" t="inlineStr">
        <is>
          <t>성수동1가</t>
        </is>
      </c>
      <c r="B118" s="159" t="inlineStr">
        <is>
          <t>1성수</t>
        </is>
      </c>
      <c r="C118" s="159" t="inlineStr">
        <is>
          <t>최상</t>
        </is>
      </c>
      <c r="D118" s="458" t="n">
        <v>171418</v>
      </c>
      <c r="E118" s="288" t="inlineStr">
        <is>
          <t>서울숲아이파크리버포레1차</t>
        </is>
      </c>
      <c r="F118" s="458" t="n">
        <v>2024.12</v>
      </c>
      <c r="G118" s="458" t="n">
        <v>825</v>
      </c>
      <c r="H118" s="458">
        <f>2026-INT(F118)+1</f>
        <v/>
      </c>
      <c r="J118" s="458" t="n">
        <v>81</v>
      </c>
      <c r="K118" s="458" t="n">
        <v>59</v>
      </c>
      <c r="L118" s="458" t="n">
        <v>25</v>
      </c>
      <c r="M118" s="458" t="inlineStr">
        <is>
          <t>계단식</t>
        </is>
      </c>
      <c r="N118" s="458" t="n">
        <v>3</v>
      </c>
      <c r="O118" s="458" t="n">
        <v>2</v>
      </c>
      <c r="P118" s="458" t="n">
        <v>547</v>
      </c>
      <c r="Q118" s="318" t="n"/>
    </row>
    <row r="119">
      <c r="A119" s="458" t="inlineStr">
        <is>
          <t>성수동1가</t>
        </is>
      </c>
      <c r="B119" s="159" t="inlineStr">
        <is>
          <t>1성수</t>
        </is>
      </c>
      <c r="C119" s="159" t="inlineStr">
        <is>
          <t>최상</t>
        </is>
      </c>
      <c r="D119" s="458" t="n">
        <v>171418</v>
      </c>
      <c r="E119" s="288" t="inlineStr">
        <is>
          <t>서울숲아이파크리버포레1차</t>
        </is>
      </c>
      <c r="F119" s="458" t="n">
        <v>2024.12</v>
      </c>
      <c r="G119" s="458" t="n">
        <v>825</v>
      </c>
      <c r="H119" s="458">
        <f>2026-INT(F119)+1</f>
        <v/>
      </c>
      <c r="J119" s="458" t="n">
        <v>115</v>
      </c>
      <c r="K119" s="458" t="n">
        <v>84</v>
      </c>
      <c r="L119" s="458" t="n">
        <v>35</v>
      </c>
      <c r="M119" s="458" t="inlineStr">
        <is>
          <t>계단식</t>
        </is>
      </c>
      <c r="N119" s="458" t="n">
        <v>3</v>
      </c>
      <c r="O119" s="458" t="n">
        <v>2</v>
      </c>
      <c r="P119" s="458" t="n">
        <v>278</v>
      </c>
      <c r="Q119" s="318" t="n"/>
    </row>
    <row r="120">
      <c r="A120" s="285" t="inlineStr">
        <is>
          <t>성수동1가</t>
        </is>
      </c>
      <c r="B120" s="307" t="inlineStr">
        <is>
          <t>1성수</t>
        </is>
      </c>
      <c r="C120" s="307" t="inlineStr">
        <is>
          <t>최상</t>
        </is>
      </c>
      <c r="D120" s="285" t="n">
        <v>185578</v>
      </c>
      <c r="E120" s="286" t="inlineStr">
        <is>
          <t>서울숲아이파크리버포레2차</t>
        </is>
      </c>
      <c r="F120" s="285" t="n">
        <v>2025.11</v>
      </c>
      <c r="G120" s="285" t="n">
        <v>528</v>
      </c>
      <c r="H120" s="285">
        <f>2026-INT(F120)+1</f>
        <v/>
      </c>
      <c r="I120" s="285" t="n"/>
      <c r="J120" s="285" t="n">
        <v>82</v>
      </c>
      <c r="K120" s="285" t="n">
        <v>59</v>
      </c>
      <c r="L120" s="285" t="n">
        <v>25</v>
      </c>
      <c r="M120" s="285" t="inlineStr">
        <is>
          <t>계단식</t>
        </is>
      </c>
      <c r="N120" s="285" t="n">
        <v>3</v>
      </c>
      <c r="O120" s="285" t="n">
        <v>2</v>
      </c>
      <c r="P120" s="285" t="n">
        <v>448</v>
      </c>
      <c r="Q120" s="316" t="n"/>
      <c r="R120" s="285" t="n"/>
      <c r="S120" s="285" t="n"/>
      <c r="T120" s="285" t="n"/>
      <c r="U120" s="285" t="n"/>
      <c r="V120" s="285" t="n"/>
      <c r="W120" s="285" t="n"/>
      <c r="X120" s="285" t="n"/>
      <c r="Y120" s="285" t="n"/>
      <c r="Z120" s="285" t="n"/>
      <c r="AA120" s="285" t="n"/>
      <c r="AB120" s="285" t="n"/>
      <c r="AC120" s="285" t="n"/>
      <c r="AD120" s="285" t="n"/>
      <c r="AE120" s="285" t="n"/>
      <c r="AF120" s="285" t="n"/>
      <c r="AG120" s="285" t="n"/>
      <c r="AH120" s="285" t="n"/>
      <c r="AI120" s="285" t="n"/>
      <c r="AJ120" s="285" t="n"/>
      <c r="AK120" s="285" t="n"/>
      <c r="AL120" s="285" t="n"/>
    </row>
    <row r="121">
      <c r="A121" s="285" t="inlineStr">
        <is>
          <t>성수동1가</t>
        </is>
      </c>
      <c r="B121" s="307" t="inlineStr">
        <is>
          <t>1성수</t>
        </is>
      </c>
      <c r="C121" s="307" t="inlineStr">
        <is>
          <t>최상</t>
        </is>
      </c>
      <c r="D121" s="285" t="n">
        <v>185578</v>
      </c>
      <c r="E121" s="286" t="inlineStr">
        <is>
          <t>서울숲아이파크리버포레2차</t>
        </is>
      </c>
      <c r="F121" s="285" t="n">
        <v>2025.11</v>
      </c>
      <c r="G121" s="285" t="n">
        <v>528</v>
      </c>
      <c r="H121" s="285">
        <f>2026-INT(F121)+1</f>
        <v/>
      </c>
      <c r="I121" s="285" t="n"/>
      <c r="J121" s="285" t="n">
        <v>116</v>
      </c>
      <c r="K121" s="285" t="n">
        <v>84</v>
      </c>
      <c r="L121" s="285" t="n">
        <v>35</v>
      </c>
      <c r="M121" s="285" t="inlineStr">
        <is>
          <t>계단식</t>
        </is>
      </c>
      <c r="N121" s="285" t="n">
        <v>3</v>
      </c>
      <c r="O121" s="285" t="n">
        <v>2</v>
      </c>
      <c r="P121" s="285" t="n">
        <v>80</v>
      </c>
      <c r="Q121" s="316" t="n"/>
      <c r="R121" s="285" t="n"/>
      <c r="S121" s="285" t="n"/>
      <c r="T121" s="285" t="n"/>
      <c r="U121" s="285" t="n"/>
      <c r="V121" s="285" t="n"/>
      <c r="W121" s="285" t="n"/>
      <c r="X121" s="285" t="n"/>
      <c r="Y121" s="285" t="n"/>
      <c r="Z121" s="285" t="n"/>
      <c r="AA121" s="285" t="n"/>
      <c r="AB121" s="285" t="n"/>
      <c r="AC121" s="285" t="n"/>
      <c r="AD121" s="285" t="n"/>
      <c r="AE121" s="285" t="n"/>
      <c r="AF121" s="285" t="n"/>
      <c r="AG121" s="285" t="n"/>
      <c r="AH121" s="285" t="n"/>
      <c r="AI121" s="285" t="n"/>
      <c r="AJ121" s="285" t="n"/>
      <c r="AK121" s="285" t="n"/>
      <c r="AL121" s="285" t="n"/>
    </row>
    <row r="122">
      <c r="A122" s="458" t="inlineStr">
        <is>
          <t>성수동1가</t>
        </is>
      </c>
      <c r="B122" s="159" t="inlineStr">
        <is>
          <t>1성수</t>
        </is>
      </c>
      <c r="C122" s="159" t="inlineStr">
        <is>
          <t>하</t>
        </is>
      </c>
      <c r="D122" s="458" t="n">
        <v>1175</v>
      </c>
      <c r="E122" s="288" t="inlineStr">
        <is>
          <t>성수대우2차</t>
        </is>
      </c>
      <c r="F122" s="458" t="n">
        <v>1999.07</v>
      </c>
      <c r="G122" s="458" t="n">
        <v>283</v>
      </c>
      <c r="H122" s="458">
        <f>2026-INT(F122)+1</f>
        <v/>
      </c>
      <c r="J122" s="458" t="n">
        <v>82</v>
      </c>
      <c r="K122" s="458" t="n">
        <v>59</v>
      </c>
      <c r="L122" s="458" t="n">
        <v>25</v>
      </c>
      <c r="M122" s="458" t="inlineStr">
        <is>
          <t>복도식</t>
        </is>
      </c>
      <c r="N122" s="458" t="n">
        <v>3</v>
      </c>
      <c r="O122" s="458" t="n">
        <v>1</v>
      </c>
      <c r="P122" s="458" t="n">
        <v>96</v>
      </c>
      <c r="Q122" s="318" t="n"/>
    </row>
    <row r="123">
      <c r="A123" s="458" t="inlineStr">
        <is>
          <t>성수동1가</t>
        </is>
      </c>
      <c r="B123" s="159" t="inlineStr">
        <is>
          <t>1성수</t>
        </is>
      </c>
      <c r="C123" s="159" t="inlineStr">
        <is>
          <t>하</t>
        </is>
      </c>
      <c r="D123" s="458" t="n">
        <v>1175</v>
      </c>
      <c r="E123" s="288" t="inlineStr">
        <is>
          <t>성수대우2차</t>
        </is>
      </c>
      <c r="F123" s="458" t="n">
        <v>1999.07</v>
      </c>
      <c r="G123" s="458" t="n">
        <v>283</v>
      </c>
      <c r="H123" s="458">
        <f>2026-INT(F123)+1</f>
        <v/>
      </c>
      <c r="J123" s="458" t="n">
        <v>108</v>
      </c>
      <c r="K123" s="458" t="n">
        <v>84</v>
      </c>
      <c r="L123" s="458" t="n">
        <v>33</v>
      </c>
      <c r="M123" s="458" t="inlineStr">
        <is>
          <t>계단식</t>
        </is>
      </c>
      <c r="N123" s="458" t="n">
        <v>3</v>
      </c>
      <c r="O123" s="458" t="n">
        <v>2</v>
      </c>
      <c r="P123" s="458" t="n">
        <v>187</v>
      </c>
      <c r="Q123" s="318" t="n"/>
      <c r="V123" s="458" t="n">
        <v>15</v>
      </c>
      <c r="W123" s="458" t="n">
        <v>13.5</v>
      </c>
    </row>
    <row r="124">
      <c r="A124" s="287" t="inlineStr">
        <is>
          <t>성수동1가</t>
        </is>
      </c>
      <c r="B124" s="307" t="inlineStr">
        <is>
          <t>1성수</t>
        </is>
      </c>
      <c r="C124" s="307" t="inlineStr">
        <is>
          <t>하</t>
        </is>
      </c>
      <c r="D124" s="287" t="n">
        <v>552</v>
      </c>
      <c r="E124" s="286" t="inlineStr">
        <is>
          <t>성수동아그린</t>
        </is>
      </c>
      <c r="F124" s="287" t="n">
        <v>1999.06</v>
      </c>
      <c r="G124" s="287" t="n">
        <v>331</v>
      </c>
      <c r="H124" s="287">
        <f>2026-INT(F124)+1</f>
        <v/>
      </c>
      <c r="I124" s="285" t="n"/>
      <c r="J124" s="287" t="n">
        <v>75</v>
      </c>
      <c r="K124" s="287" t="n">
        <v>58</v>
      </c>
      <c r="L124" s="287" t="n">
        <v>23</v>
      </c>
      <c r="M124" s="287" t="inlineStr">
        <is>
          <t>복도식</t>
        </is>
      </c>
      <c r="N124" s="287" t="n">
        <v>3</v>
      </c>
      <c r="O124" s="287" t="n">
        <v>1</v>
      </c>
      <c r="P124" s="287" t="n">
        <v>136</v>
      </c>
      <c r="Q124" s="317" t="n"/>
      <c r="R124" s="285" t="n"/>
      <c r="S124" s="285" t="n"/>
      <c r="T124" s="285" t="n"/>
      <c r="U124" s="285" t="n"/>
      <c r="V124" s="285" t="n">
        <v>10.85</v>
      </c>
      <c r="W124" s="285" t="n">
        <v>9.5</v>
      </c>
      <c r="X124" s="285" t="n"/>
      <c r="Y124" s="285" t="n"/>
      <c r="Z124" s="285" t="n"/>
      <c r="AA124" s="285" t="n"/>
      <c r="AB124" s="285" t="n"/>
      <c r="AC124" s="285" t="n"/>
      <c r="AD124" s="285" t="n"/>
      <c r="AE124" s="285" t="n"/>
      <c r="AF124" s="285" t="n"/>
      <c r="AG124" s="285" t="n"/>
      <c r="AH124" s="285" t="n"/>
      <c r="AI124" s="285" t="n"/>
      <c r="AJ124" s="285" t="n"/>
      <c r="AK124" s="285" t="n"/>
      <c r="AL124" s="285" t="n"/>
    </row>
    <row r="125" ht="17" customHeight="1" s="476">
      <c r="A125" s="297" t="inlineStr">
        <is>
          <t>성수동1가</t>
        </is>
      </c>
      <c r="B125" s="309" t="inlineStr">
        <is>
          <t>1성수</t>
        </is>
      </c>
      <c r="C125" s="309" t="inlineStr">
        <is>
          <t>하</t>
        </is>
      </c>
      <c r="D125" s="297" t="n">
        <v>552</v>
      </c>
      <c r="E125" s="299" t="inlineStr">
        <is>
          <t>성수동아그린</t>
        </is>
      </c>
      <c r="F125" s="297" t="n">
        <v>1999.06</v>
      </c>
      <c r="G125" s="297" t="n">
        <v>331</v>
      </c>
      <c r="H125" s="297">
        <f>2026-INT(F125)+1</f>
        <v/>
      </c>
      <c r="I125" s="298" t="n"/>
      <c r="J125" s="297" t="n">
        <v>109</v>
      </c>
      <c r="K125" s="297" t="n">
        <v>84</v>
      </c>
      <c r="L125" s="297" t="n">
        <v>33</v>
      </c>
      <c r="M125" s="297" t="inlineStr">
        <is>
          <t>복합식</t>
        </is>
      </c>
      <c r="N125" s="297" t="n">
        <v>3</v>
      </c>
      <c r="O125" s="297" t="n">
        <v>2</v>
      </c>
      <c r="P125" s="297" t="n">
        <v>147</v>
      </c>
      <c r="Q125" s="319" t="inlineStr">
        <is>
          <t>5/0</t>
        </is>
      </c>
      <c r="R125" s="298" t="n">
        <v>190000</v>
      </c>
      <c r="S125" s="298" t="n">
        <v>65000</v>
      </c>
      <c r="T125" s="298" t="n"/>
      <c r="U125" s="298" t="n"/>
      <c r="V125" s="298" t="n">
        <v>14.5</v>
      </c>
      <c r="W125" s="298" t="n">
        <v>11.5</v>
      </c>
      <c r="X125" s="298" t="n"/>
      <c r="Y125" s="298" t="n"/>
      <c r="Z125" s="298" t="n"/>
      <c r="AA125" s="298" t="n"/>
      <c r="AB125" s="298" t="n"/>
      <c r="AC125" s="298" t="n"/>
      <c r="AD125" s="298" t="n"/>
      <c r="AE125" s="298" t="n"/>
      <c r="AF125" s="298" t="n"/>
      <c r="AG125" s="298" t="n"/>
      <c r="AH125" s="298" t="n"/>
      <c r="AI125" s="298" t="n"/>
      <c r="AJ125" s="298" t="n"/>
      <c r="AK125" s="298" t="n"/>
      <c r="AL125" s="298" t="n"/>
    </row>
    <row r="126">
      <c r="A126" s="287" t="inlineStr">
        <is>
          <t>성수동1가</t>
        </is>
      </c>
      <c r="B126" s="307" t="inlineStr">
        <is>
          <t>1성수</t>
        </is>
      </c>
      <c r="C126" s="307" t="inlineStr">
        <is>
          <t>하</t>
        </is>
      </c>
      <c r="D126" s="287" t="n">
        <v>552</v>
      </c>
      <c r="E126" s="286" t="inlineStr">
        <is>
          <t>성수동아그린</t>
        </is>
      </c>
      <c r="F126" s="287" t="n">
        <v>1999.06</v>
      </c>
      <c r="G126" s="287" t="n">
        <v>331</v>
      </c>
      <c r="H126" s="287">
        <f>2026-INT(F126)+1</f>
        <v/>
      </c>
      <c r="I126" s="285" t="n"/>
      <c r="J126" s="287" t="n">
        <v>145</v>
      </c>
      <c r="K126" s="287" t="n">
        <v>112</v>
      </c>
      <c r="L126" s="287" t="n">
        <v>44</v>
      </c>
      <c r="M126" s="287" t="inlineStr">
        <is>
          <t>복합식</t>
        </is>
      </c>
      <c r="N126" s="287" t="n">
        <v>4</v>
      </c>
      <c r="O126" s="287" t="n">
        <v>2</v>
      </c>
      <c r="P126" s="287" t="n">
        <v>48</v>
      </c>
      <c r="Q126" s="317" t="n"/>
      <c r="R126" s="285" t="n"/>
      <c r="S126" s="285" t="n"/>
      <c r="T126" s="285" t="n"/>
      <c r="U126" s="285" t="n"/>
      <c r="V126" s="285" t="n">
        <v>14.2</v>
      </c>
      <c r="W126" s="285" t="n">
        <v>13.9</v>
      </c>
      <c r="X126" s="285" t="n"/>
      <c r="Y126" s="285" t="n"/>
      <c r="Z126" s="285" t="n"/>
      <c r="AA126" s="285" t="n"/>
      <c r="AB126" s="285" t="n"/>
      <c r="AC126" s="285" t="n"/>
      <c r="AD126" s="285" t="n"/>
      <c r="AE126" s="285" t="n"/>
      <c r="AF126" s="285" t="n"/>
      <c r="AG126" s="285" t="n"/>
      <c r="AH126" s="285" t="n"/>
      <c r="AI126" s="285" t="n"/>
      <c r="AJ126" s="285" t="n"/>
      <c r="AK126" s="285" t="n"/>
      <c r="AL126" s="285" t="n"/>
    </row>
    <row r="127">
      <c r="A127" s="458" t="inlineStr">
        <is>
          <t>성수동1가</t>
        </is>
      </c>
      <c r="B127" s="159" t="inlineStr">
        <is>
          <t>1성수</t>
        </is>
      </c>
      <c r="C127" s="159" t="inlineStr">
        <is>
          <t>중</t>
        </is>
      </c>
      <c r="D127" s="458" t="n">
        <v>561</v>
      </c>
      <c r="E127" s="288" t="inlineStr">
        <is>
          <t>성수현대그린</t>
        </is>
      </c>
      <c r="F127" s="458" t="n">
        <v>1994.02</v>
      </c>
      <c r="G127" s="458" t="n">
        <v>219</v>
      </c>
      <c r="H127" s="458">
        <f>2026-INT(F127)+1</f>
        <v/>
      </c>
      <c r="J127" s="458" t="n">
        <v>77</v>
      </c>
      <c r="K127" s="458" t="n">
        <v>56</v>
      </c>
      <c r="L127" s="458" t="n">
        <v>23</v>
      </c>
      <c r="M127" s="458" t="inlineStr">
        <is>
          <t>복도식</t>
        </is>
      </c>
      <c r="N127" s="458" t="n">
        <v>2</v>
      </c>
      <c r="O127" s="458" t="n">
        <v>1</v>
      </c>
      <c r="P127" s="458" t="n">
        <v>51</v>
      </c>
      <c r="Q127" s="318" t="n"/>
      <c r="V127" s="458" t="n">
        <v>12.2</v>
      </c>
      <c r="W127" s="458" t="n">
        <v>8.5</v>
      </c>
    </row>
    <row r="128">
      <c r="A128" s="458" t="inlineStr">
        <is>
          <t>성수동1가</t>
        </is>
      </c>
      <c r="B128" s="159" t="inlineStr">
        <is>
          <t>1성수</t>
        </is>
      </c>
      <c r="C128" s="159" t="inlineStr">
        <is>
          <t>중</t>
        </is>
      </c>
      <c r="D128" s="458" t="n">
        <v>561</v>
      </c>
      <c r="E128" s="288" t="inlineStr">
        <is>
          <t>성수현대그린</t>
        </is>
      </c>
      <c r="F128" s="458" t="n">
        <v>1994.02</v>
      </c>
      <c r="G128" s="458" t="n">
        <v>219</v>
      </c>
      <c r="H128" s="458">
        <f>2026-INT(F128)+1</f>
        <v/>
      </c>
      <c r="J128" s="458" t="n">
        <v>110</v>
      </c>
      <c r="K128" s="458" t="n">
        <v>81</v>
      </c>
      <c r="L128" s="458" t="n">
        <v>33</v>
      </c>
      <c r="M128" s="458" t="inlineStr">
        <is>
          <t>계단식</t>
        </is>
      </c>
      <c r="N128" s="458" t="n">
        <v>3</v>
      </c>
      <c r="O128" s="458" t="n">
        <v>2</v>
      </c>
      <c r="P128" s="458" t="n">
        <v>168</v>
      </c>
      <c r="Q128" s="318" t="n"/>
      <c r="V128" s="458" t="n">
        <v>14.8</v>
      </c>
    </row>
    <row r="129">
      <c r="A129" s="285" t="inlineStr">
        <is>
          <t>성수동1가</t>
        </is>
      </c>
      <c r="B129" s="307" t="inlineStr">
        <is>
          <t>1성수</t>
        </is>
      </c>
      <c r="C129" s="307" t="inlineStr">
        <is>
          <t>중</t>
        </is>
      </c>
      <c r="D129" s="285" t="n">
        <v>556</v>
      </c>
      <c r="E129" s="286" t="inlineStr">
        <is>
          <t>쌍용</t>
        </is>
      </c>
      <c r="F129" s="285" t="n">
        <v>1997.1</v>
      </c>
      <c r="G129" s="285" t="n">
        <v>777</v>
      </c>
      <c r="H129" s="285">
        <f>2026-INT(F129)+1</f>
        <v/>
      </c>
      <c r="I129" s="285" t="n"/>
      <c r="J129" s="285" t="n">
        <v>75</v>
      </c>
      <c r="K129" s="285" t="n">
        <v>59</v>
      </c>
      <c r="L129" s="285" t="n">
        <v>23</v>
      </c>
      <c r="M129" s="285" t="inlineStr">
        <is>
          <t>계단식</t>
        </is>
      </c>
      <c r="N129" s="285" t="n">
        <v>3</v>
      </c>
      <c r="O129" s="285" t="n">
        <v>1</v>
      </c>
      <c r="P129" s="285" t="n">
        <v>452</v>
      </c>
      <c r="Q129" s="316" t="n"/>
      <c r="R129" s="285" t="n"/>
      <c r="S129" s="285" t="n"/>
      <c r="T129" s="285" t="n"/>
      <c r="U129" s="285" t="n"/>
      <c r="V129" s="285" t="n">
        <v>14</v>
      </c>
      <c r="W129" s="285" t="n">
        <v>10</v>
      </c>
      <c r="X129" s="285" t="n"/>
      <c r="Y129" s="285" t="n"/>
      <c r="Z129" s="285" t="n"/>
      <c r="AA129" s="285" t="n"/>
      <c r="AB129" s="285" t="n"/>
      <c r="AC129" s="285" t="n"/>
      <c r="AD129" s="285" t="n"/>
      <c r="AE129" s="285" t="n"/>
      <c r="AF129" s="285" t="n"/>
      <c r="AG129" s="285" t="n"/>
      <c r="AH129" s="285" t="n"/>
      <c r="AI129" s="285" t="n"/>
      <c r="AJ129" s="285" t="n"/>
      <c r="AK129" s="285" t="n"/>
      <c r="AL129" s="285" t="n"/>
    </row>
    <row r="130">
      <c r="A130" s="285" t="inlineStr">
        <is>
          <t>성수동1가</t>
        </is>
      </c>
      <c r="B130" s="307" t="inlineStr">
        <is>
          <t>1성수</t>
        </is>
      </c>
      <c r="C130" s="307" t="inlineStr">
        <is>
          <t>중</t>
        </is>
      </c>
      <c r="D130" s="285" t="n">
        <v>556</v>
      </c>
      <c r="E130" s="286" t="inlineStr">
        <is>
          <t>쌍용</t>
        </is>
      </c>
      <c r="F130" s="285" t="n">
        <v>1997.1</v>
      </c>
      <c r="G130" s="285" t="n">
        <v>777</v>
      </c>
      <c r="H130" s="285">
        <f>2026-INT(F130)+1</f>
        <v/>
      </c>
      <c r="I130" s="285" t="n"/>
      <c r="J130" s="285" t="n">
        <v>99</v>
      </c>
      <c r="K130" s="285" t="n">
        <v>84</v>
      </c>
      <c r="L130" s="285" t="n">
        <v>30</v>
      </c>
      <c r="M130" s="285" t="inlineStr">
        <is>
          <t>계단식</t>
        </is>
      </c>
      <c r="N130" s="285" t="n">
        <v>3</v>
      </c>
      <c r="O130" s="285" t="n">
        <v>2</v>
      </c>
      <c r="P130" s="285" t="n">
        <v>325</v>
      </c>
      <c r="Q130" s="316" t="n"/>
      <c r="R130" s="285" t="n"/>
      <c r="S130" s="285" t="n"/>
      <c r="T130" s="285" t="n"/>
      <c r="U130" s="285" t="n"/>
      <c r="V130" s="285" t="n">
        <v>15</v>
      </c>
      <c r="W130" s="285" t="n">
        <v>11.3</v>
      </c>
      <c r="X130" s="285" t="n"/>
      <c r="Y130" s="285" t="n"/>
      <c r="Z130" s="285" t="n"/>
      <c r="AA130" s="285" t="n"/>
      <c r="AB130" s="285" t="n"/>
      <c r="AC130" s="285" t="n"/>
      <c r="AD130" s="285" t="n"/>
      <c r="AE130" s="285" t="n"/>
      <c r="AF130" s="285" t="n"/>
      <c r="AG130" s="285" t="n"/>
      <c r="AH130" s="285" t="n"/>
      <c r="AI130" s="285" t="n"/>
      <c r="AJ130" s="285" t="n"/>
      <c r="AK130" s="285" t="n"/>
      <c r="AL130" s="285" t="n"/>
    </row>
    <row r="131">
      <c r="A131" s="458" t="inlineStr">
        <is>
          <t>성수동1가</t>
        </is>
      </c>
      <c r="B131" s="159" t="inlineStr">
        <is>
          <t>1성수</t>
        </is>
      </c>
      <c r="C131" s="159" t="inlineStr">
        <is>
          <t>최상</t>
        </is>
      </c>
      <c r="D131" s="458" t="n">
        <v>118738</v>
      </c>
      <c r="E131" s="288" t="inlineStr">
        <is>
          <t>아크로서울포레스트(주상복합)</t>
        </is>
      </c>
      <c r="F131" s="458" t="n">
        <v>2020.11</v>
      </c>
      <c r="G131" s="458" t="n">
        <v>280</v>
      </c>
      <c r="H131" s="458">
        <f>2026-INT(F131)+1</f>
        <v/>
      </c>
      <c r="J131" s="458" t="n">
        <v>116</v>
      </c>
      <c r="K131" s="458" t="n">
        <v>91</v>
      </c>
      <c r="L131" s="458" t="n">
        <v>35</v>
      </c>
      <c r="M131" s="458" t="inlineStr">
        <is>
          <t>계단식</t>
        </is>
      </c>
      <c r="N131" s="458" t="n">
        <v>2</v>
      </c>
      <c r="O131" s="458" t="n">
        <v>2</v>
      </c>
      <c r="P131" s="458" t="n">
        <v>2</v>
      </c>
      <c r="Q131" s="318" t="n"/>
    </row>
    <row r="132">
      <c r="A132" s="458" t="inlineStr">
        <is>
          <t>성수동1가</t>
        </is>
      </c>
      <c r="B132" s="159" t="inlineStr">
        <is>
          <t>1성수</t>
        </is>
      </c>
      <c r="C132" s="159" t="inlineStr">
        <is>
          <t>최상</t>
        </is>
      </c>
      <c r="D132" s="458" t="n">
        <v>118738</v>
      </c>
      <c r="E132" s="288" t="inlineStr">
        <is>
          <t>아크로서울포레스트(주상복합)</t>
        </is>
      </c>
      <c r="F132" s="458" t="n">
        <v>2020.11</v>
      </c>
      <c r="G132" s="458" t="n">
        <v>280</v>
      </c>
      <c r="H132" s="458">
        <f>2026-INT(F132)+1</f>
        <v/>
      </c>
      <c r="J132" s="458" t="n">
        <v>121</v>
      </c>
      <c r="K132" s="458" t="n">
        <v>95</v>
      </c>
      <c r="L132" s="458" t="n">
        <v>37</v>
      </c>
      <c r="M132" s="458" t="inlineStr">
        <is>
          <t>계단식</t>
        </is>
      </c>
      <c r="N132" s="458" t="n">
        <v>2</v>
      </c>
      <c r="O132" s="458" t="n">
        <v>2</v>
      </c>
      <c r="P132" s="458" t="n">
        <v>10</v>
      </c>
      <c r="Q132" s="318" t="n"/>
      <c r="W132" s="458" t="n">
        <v>37.5</v>
      </c>
    </row>
    <row r="133">
      <c r="A133" s="458" t="inlineStr">
        <is>
          <t>성수동1가</t>
        </is>
      </c>
      <c r="B133" s="159" t="inlineStr">
        <is>
          <t>1성수</t>
        </is>
      </c>
      <c r="C133" s="159" t="inlineStr">
        <is>
          <t>최상</t>
        </is>
      </c>
      <c r="D133" s="458" t="n">
        <v>118738</v>
      </c>
      <c r="E133" s="288" t="inlineStr">
        <is>
          <t>아크로서울포레스트(주상복합)</t>
        </is>
      </c>
      <c r="F133" s="458" t="n">
        <v>2020.11</v>
      </c>
      <c r="G133" s="458" t="n">
        <v>280</v>
      </c>
      <c r="H133" s="458">
        <f>2026-INT(F133)+1</f>
        <v/>
      </c>
      <c r="J133" s="458" t="n">
        <v>122</v>
      </c>
      <c r="K133" s="458" t="n">
        <v>96</v>
      </c>
      <c r="L133" s="458" t="n">
        <v>37</v>
      </c>
      <c r="M133" s="458" t="inlineStr">
        <is>
          <t>계단식</t>
        </is>
      </c>
      <c r="N133" s="458" t="n">
        <v>2</v>
      </c>
      <c r="O133" s="458" t="n">
        <v>2</v>
      </c>
      <c r="P133" s="458" t="n">
        <v>10</v>
      </c>
      <c r="Q133" s="318" t="n"/>
      <c r="V133" s="458" t="n">
        <v>28</v>
      </c>
      <c r="W133" s="458" t="n">
        <v>37.5</v>
      </c>
    </row>
    <row r="134">
      <c r="A134" s="458" t="inlineStr">
        <is>
          <t>성수동1가</t>
        </is>
      </c>
      <c r="B134" s="159" t="inlineStr">
        <is>
          <t>1성수</t>
        </is>
      </c>
      <c r="C134" s="159" t="inlineStr">
        <is>
          <t>최상</t>
        </is>
      </c>
      <c r="D134" s="458" t="n">
        <v>118738</v>
      </c>
      <c r="E134" s="288" t="inlineStr">
        <is>
          <t>아크로서울포레스트(주상복합)</t>
        </is>
      </c>
      <c r="F134" s="458" t="n">
        <v>2020.11</v>
      </c>
      <c r="G134" s="458" t="n">
        <v>280</v>
      </c>
      <c r="H134" s="458">
        <f>2026-INT(F134)+1</f>
        <v/>
      </c>
      <c r="J134" s="458" t="n">
        <v>123</v>
      </c>
      <c r="K134" s="458" t="n">
        <v>97</v>
      </c>
      <c r="L134" s="458" t="n">
        <v>37</v>
      </c>
      <c r="M134" s="458" t="inlineStr">
        <is>
          <t>계단식</t>
        </is>
      </c>
      <c r="N134" s="458" t="n">
        <v>2</v>
      </c>
      <c r="O134" s="458" t="n">
        <v>2</v>
      </c>
      <c r="P134" s="458" t="n">
        <v>10</v>
      </c>
      <c r="Q134" s="318" t="n"/>
      <c r="V134" s="458" t="n">
        <v>28</v>
      </c>
      <c r="W134" s="458" t="n">
        <v>37.5</v>
      </c>
    </row>
    <row r="135">
      <c r="A135" s="458" t="inlineStr">
        <is>
          <t>성수동1가</t>
        </is>
      </c>
      <c r="B135" s="159" t="inlineStr">
        <is>
          <t>1성수</t>
        </is>
      </c>
      <c r="C135" s="159" t="inlineStr">
        <is>
          <t>최상</t>
        </is>
      </c>
      <c r="D135" s="458" t="n">
        <v>118738</v>
      </c>
      <c r="E135" s="288" t="inlineStr">
        <is>
          <t>아크로서울포레스트(주상복합)</t>
        </is>
      </c>
      <c r="F135" s="458" t="n">
        <v>2020.11</v>
      </c>
      <c r="G135" s="458" t="n">
        <v>280</v>
      </c>
      <c r="H135" s="458">
        <f>2026-INT(F135)+1</f>
        <v/>
      </c>
      <c r="J135" s="458" t="n">
        <v>201</v>
      </c>
      <c r="K135" s="458" t="n">
        <v>159</v>
      </c>
      <c r="L135" s="458" t="n">
        <v>61</v>
      </c>
      <c r="M135" s="458" t="inlineStr">
        <is>
          <t>계단식</t>
        </is>
      </c>
      <c r="N135" s="458" t="n">
        <v>3</v>
      </c>
      <c r="O135" s="458" t="n">
        <v>3</v>
      </c>
      <c r="P135" s="458" t="n">
        <v>116</v>
      </c>
      <c r="Q135" s="318" t="n"/>
      <c r="V135" s="458" t="n">
        <v>56</v>
      </c>
      <c r="W135" s="458" t="n">
        <v>62</v>
      </c>
    </row>
    <row r="136">
      <c r="A136" s="458" t="inlineStr">
        <is>
          <t>성수동1가</t>
        </is>
      </c>
      <c r="B136" s="159" t="inlineStr">
        <is>
          <t>1성수</t>
        </is>
      </c>
      <c r="C136" s="159" t="inlineStr">
        <is>
          <t>최상</t>
        </is>
      </c>
      <c r="D136" s="458" t="n">
        <v>118738</v>
      </c>
      <c r="E136" s="288" t="inlineStr">
        <is>
          <t>아크로서울포레스트(주상복합)</t>
        </is>
      </c>
      <c r="F136" s="458" t="n">
        <v>2020.11</v>
      </c>
      <c r="G136" s="458" t="n">
        <v>280</v>
      </c>
      <c r="H136" s="458">
        <f>2026-INT(F136)+1</f>
        <v/>
      </c>
      <c r="J136" s="458" t="n">
        <v>204</v>
      </c>
      <c r="K136" s="458" t="n">
        <v>162</v>
      </c>
      <c r="L136" s="458" t="n">
        <v>62</v>
      </c>
      <c r="M136" s="458" t="inlineStr">
        <is>
          <t>계단식</t>
        </is>
      </c>
      <c r="N136" s="458" t="n">
        <v>3</v>
      </c>
      <c r="O136" s="458" t="n">
        <v>3</v>
      </c>
      <c r="P136" s="458" t="n">
        <v>8</v>
      </c>
      <c r="Q136" s="318" t="n"/>
      <c r="V136" s="458" t="n"/>
      <c r="W136" s="458" t="n"/>
    </row>
    <row r="137">
      <c r="A137" s="458" t="inlineStr">
        <is>
          <t>성수동1가</t>
        </is>
      </c>
      <c r="B137" s="159" t="inlineStr">
        <is>
          <t>1성수</t>
        </is>
      </c>
      <c r="C137" s="159" t="inlineStr">
        <is>
          <t>최상</t>
        </is>
      </c>
      <c r="D137" s="458" t="n">
        <v>118738</v>
      </c>
      <c r="E137" s="288" t="inlineStr">
        <is>
          <t>아크로서울포레스트(주상복합)</t>
        </is>
      </c>
      <c r="F137" s="458" t="n">
        <v>2020.11</v>
      </c>
      <c r="G137" s="458" t="n">
        <v>280</v>
      </c>
      <c r="H137" s="458">
        <f>2026-INT(F137)+1</f>
        <v/>
      </c>
      <c r="J137" s="458" t="n">
        <v>207</v>
      </c>
      <c r="K137" s="458" t="n">
        <v>164</v>
      </c>
      <c r="L137" s="458" t="n">
        <v>63</v>
      </c>
      <c r="M137" s="458" t="inlineStr">
        <is>
          <t>계단식</t>
        </is>
      </c>
      <c r="N137" s="458" t="n">
        <v>3</v>
      </c>
      <c r="O137" s="458" t="n">
        <v>3</v>
      </c>
      <c r="P137" s="458" t="n">
        <v>24</v>
      </c>
      <c r="Q137" s="318" t="n"/>
      <c r="V137" s="458" t="n">
        <v>62</v>
      </c>
      <c r="W137" s="458" t="n">
        <v>57.5</v>
      </c>
    </row>
    <row r="138">
      <c r="A138" s="458" t="inlineStr">
        <is>
          <t>성수동1가</t>
        </is>
      </c>
      <c r="B138" s="159" t="inlineStr">
        <is>
          <t>1성수</t>
        </is>
      </c>
      <c r="C138" s="159" t="inlineStr">
        <is>
          <t>최상</t>
        </is>
      </c>
      <c r="D138" s="458" t="n">
        <v>118738</v>
      </c>
      <c r="E138" s="288" t="inlineStr">
        <is>
          <t>아크로서울포레스트(주상복합)</t>
        </is>
      </c>
      <c r="F138" s="458" t="n">
        <v>2020.11</v>
      </c>
      <c r="G138" s="458" t="n">
        <v>280</v>
      </c>
      <c r="H138" s="458">
        <f>2026-INT(F138)+1</f>
        <v/>
      </c>
      <c r="J138" s="458" t="n">
        <v>207</v>
      </c>
      <c r="K138" s="458" t="n">
        <v>165</v>
      </c>
      <c r="L138" s="458" t="n">
        <v>63</v>
      </c>
      <c r="M138" s="458" t="inlineStr">
        <is>
          <t>계단식</t>
        </is>
      </c>
      <c r="N138" s="458" t="n">
        <v>3</v>
      </c>
      <c r="O138" s="458" t="n">
        <v>3</v>
      </c>
      <c r="P138" s="458" t="n">
        <v>24</v>
      </c>
      <c r="Q138" s="318" t="n"/>
      <c r="V138" s="458" t="n">
        <v>62</v>
      </c>
      <c r="W138" s="458" t="n">
        <v>57.5</v>
      </c>
    </row>
    <row r="139">
      <c r="A139" s="458" t="inlineStr">
        <is>
          <t>성수동1가</t>
        </is>
      </c>
      <c r="B139" s="159" t="inlineStr">
        <is>
          <t>1성수</t>
        </is>
      </c>
      <c r="C139" s="159" t="inlineStr">
        <is>
          <t>최상</t>
        </is>
      </c>
      <c r="D139" s="458" t="n">
        <v>118738</v>
      </c>
      <c r="E139" s="288" t="inlineStr">
        <is>
          <t>아크로서울포레스트(주상복합)</t>
        </is>
      </c>
      <c r="F139" s="458" t="n">
        <v>2020.11</v>
      </c>
      <c r="G139" s="458" t="n">
        <v>280</v>
      </c>
      <c r="H139" s="458">
        <f>2026-INT(F139)+1</f>
        <v/>
      </c>
      <c r="J139" s="458" t="n">
        <v>248</v>
      </c>
      <c r="K139" s="458" t="n">
        <v>198</v>
      </c>
      <c r="L139" s="458" t="n">
        <v>75</v>
      </c>
      <c r="M139" s="458" t="inlineStr">
        <is>
          <t>계단식</t>
        </is>
      </c>
      <c r="N139" s="458" t="n">
        <v>3</v>
      </c>
      <c r="O139" s="458" t="n">
        <v>3</v>
      </c>
      <c r="P139" s="458" t="n">
        <v>48</v>
      </c>
      <c r="Q139" s="318" t="n"/>
      <c r="V139" s="458" t="n">
        <v>55.2</v>
      </c>
      <c r="W139" s="458" t="n">
        <v>95</v>
      </c>
    </row>
    <row r="140">
      <c r="A140" s="458" t="inlineStr">
        <is>
          <t>성수동1가</t>
        </is>
      </c>
      <c r="B140" s="159" t="inlineStr">
        <is>
          <t>1성수</t>
        </is>
      </c>
      <c r="C140" s="159" t="inlineStr">
        <is>
          <t>최상</t>
        </is>
      </c>
      <c r="D140" s="458" t="n">
        <v>118738</v>
      </c>
      <c r="E140" s="288" t="inlineStr">
        <is>
          <t>아크로서울포레스트(주상복합)</t>
        </is>
      </c>
      <c r="F140" s="458" t="n">
        <v>2020.11</v>
      </c>
      <c r="G140" s="458" t="n">
        <v>280</v>
      </c>
      <c r="H140" s="458">
        <f>2026-INT(F140)+1</f>
        <v/>
      </c>
      <c r="J140" s="458" t="n">
        <v>251</v>
      </c>
      <c r="K140" s="458" t="n">
        <v>200</v>
      </c>
      <c r="L140" s="458" t="n">
        <v>76</v>
      </c>
      <c r="M140" s="458" t="inlineStr">
        <is>
          <t>계단식</t>
        </is>
      </c>
      <c r="N140" s="458" t="n">
        <v>3</v>
      </c>
      <c r="O140" s="458" t="n">
        <v>3</v>
      </c>
      <c r="P140" s="458" t="n">
        <v>12</v>
      </c>
      <c r="Q140" s="318" t="n"/>
      <c r="V140" s="458" t="n">
        <v>60</v>
      </c>
    </row>
    <row r="141">
      <c r="A141" s="458" t="inlineStr">
        <is>
          <t>성수동1가</t>
        </is>
      </c>
      <c r="B141" s="159" t="inlineStr">
        <is>
          <t>1성수</t>
        </is>
      </c>
      <c r="C141" s="159" t="inlineStr">
        <is>
          <t>최상</t>
        </is>
      </c>
      <c r="D141" s="458" t="n">
        <v>118738</v>
      </c>
      <c r="E141" s="288" t="inlineStr">
        <is>
          <t>아크로서울포레스트(주상복합)</t>
        </is>
      </c>
      <c r="F141" s="458" t="n">
        <v>2020.11</v>
      </c>
      <c r="G141" s="458" t="n">
        <v>280</v>
      </c>
      <c r="H141" s="458">
        <f>2026-INT(F141)+1</f>
        <v/>
      </c>
      <c r="J141" s="458" t="n">
        <v>253</v>
      </c>
      <c r="K141" s="458" t="n">
        <v>202</v>
      </c>
      <c r="L141" s="458" t="n">
        <v>77</v>
      </c>
      <c r="M141" s="458" t="inlineStr">
        <is>
          <t>계단식</t>
        </is>
      </c>
      <c r="N141" s="458" t="n">
        <v>3</v>
      </c>
      <c r="O141" s="458" t="n">
        <v>3</v>
      </c>
      <c r="P141" s="458" t="n">
        <v>4</v>
      </c>
      <c r="Q141" s="318" t="n"/>
      <c r="V141" s="458" t="n">
        <v>60</v>
      </c>
    </row>
    <row r="142">
      <c r="A142" s="458" t="inlineStr">
        <is>
          <t>성수동1가</t>
        </is>
      </c>
      <c r="B142" s="159" t="inlineStr">
        <is>
          <t>1성수</t>
        </is>
      </c>
      <c r="C142" s="159" t="inlineStr">
        <is>
          <t>최상</t>
        </is>
      </c>
      <c r="D142" s="458" t="n">
        <v>118738</v>
      </c>
      <c r="E142" s="288" t="inlineStr">
        <is>
          <t>아크로서울포레스트(주상복합)</t>
        </is>
      </c>
      <c r="F142" s="458" t="n">
        <v>2020.11</v>
      </c>
      <c r="G142" s="458" t="n">
        <v>280</v>
      </c>
      <c r="H142" s="458">
        <f>2026-INT(F142)+1</f>
        <v/>
      </c>
      <c r="J142" s="458" t="n">
        <v>256</v>
      </c>
      <c r="K142" s="458" t="n">
        <v>204</v>
      </c>
      <c r="L142" s="458" t="n">
        <v>77</v>
      </c>
      <c r="M142" s="458" t="inlineStr">
        <is>
          <t>계단식</t>
        </is>
      </c>
      <c r="N142" s="458" t="n">
        <v>3</v>
      </c>
      <c r="O142" s="458" t="n">
        <v>3</v>
      </c>
      <c r="P142" s="458" t="n">
        <v>2</v>
      </c>
      <c r="Q142" s="318" t="n"/>
      <c r="V142" s="458" t="n">
        <v>59</v>
      </c>
    </row>
    <row r="143">
      <c r="A143" s="458" t="inlineStr">
        <is>
          <t>성수동1가</t>
        </is>
      </c>
      <c r="B143" s="159" t="inlineStr">
        <is>
          <t>1성수</t>
        </is>
      </c>
      <c r="C143" s="159" t="inlineStr">
        <is>
          <t>최상</t>
        </is>
      </c>
      <c r="D143" s="458" t="n">
        <v>118738</v>
      </c>
      <c r="E143" s="288" t="inlineStr">
        <is>
          <t>아크로서울포레스트(주상복합)</t>
        </is>
      </c>
      <c r="F143" s="458" t="n">
        <v>2020.11</v>
      </c>
      <c r="G143" s="458" t="n">
        <v>280</v>
      </c>
      <c r="H143" s="458">
        <f>2026-INT(F143)+1</f>
        <v/>
      </c>
      <c r="J143" s="458" t="n">
        <v>259</v>
      </c>
      <c r="K143" s="458" t="n">
        <v>206</v>
      </c>
      <c r="L143" s="458" t="n">
        <v>78</v>
      </c>
      <c r="M143" s="458" t="inlineStr">
        <is>
          <t>계단식</t>
        </is>
      </c>
      <c r="N143" s="458" t="n">
        <v>3</v>
      </c>
      <c r="O143" s="458" t="n">
        <v>3</v>
      </c>
      <c r="P143" s="458" t="n">
        <v>4</v>
      </c>
      <c r="Q143" s="318" t="n"/>
    </row>
    <row r="144">
      <c r="A144" s="458" t="inlineStr">
        <is>
          <t>성수동1가</t>
        </is>
      </c>
      <c r="B144" s="159" t="inlineStr">
        <is>
          <t>1성수</t>
        </is>
      </c>
      <c r="C144" s="159" t="inlineStr">
        <is>
          <t>최상</t>
        </is>
      </c>
      <c r="D144" s="458" t="n">
        <v>118738</v>
      </c>
      <c r="E144" s="288" t="inlineStr">
        <is>
          <t>아크로서울포레스트(주상복합)</t>
        </is>
      </c>
      <c r="F144" s="458" t="n">
        <v>2020.11</v>
      </c>
      <c r="G144" s="458" t="n">
        <v>280</v>
      </c>
      <c r="H144" s="458">
        <f>2026-INT(F144)+1</f>
        <v/>
      </c>
      <c r="J144" s="458" t="n">
        <v>333</v>
      </c>
      <c r="K144" s="458" t="n">
        <v>264</v>
      </c>
      <c r="L144" s="458" t="n">
        <v>101</v>
      </c>
      <c r="M144" s="458" t="inlineStr">
        <is>
          <t>계단식</t>
        </is>
      </c>
      <c r="N144" s="458" t="n">
        <v>4</v>
      </c>
      <c r="O144" s="458" t="n">
        <v>4</v>
      </c>
      <c r="P144" s="458" t="n">
        <v>4</v>
      </c>
      <c r="Q144" s="318" t="n"/>
      <c r="V144" s="458" t="n">
        <v>130</v>
      </c>
      <c r="W144" s="458" t="n">
        <v>130</v>
      </c>
    </row>
    <row r="145">
      <c r="A145" s="458" t="inlineStr">
        <is>
          <t>성수동1가</t>
        </is>
      </c>
      <c r="B145" s="159" t="inlineStr">
        <is>
          <t>1성수</t>
        </is>
      </c>
      <c r="C145" s="159" t="inlineStr">
        <is>
          <t>최상</t>
        </is>
      </c>
      <c r="D145" s="458" t="n">
        <v>118738</v>
      </c>
      <c r="E145" s="288" t="inlineStr">
        <is>
          <t>아크로서울포레스트(주상복합)</t>
        </is>
      </c>
      <c r="F145" s="458" t="n">
        <v>2020.11</v>
      </c>
      <c r="G145" s="458" t="n">
        <v>280</v>
      </c>
      <c r="H145" s="458">
        <f>2026-INT(F145)+1</f>
        <v/>
      </c>
      <c r="J145" s="458" t="n">
        <v>344</v>
      </c>
      <c r="K145" s="458" t="n">
        <v>273</v>
      </c>
      <c r="L145" s="458" t="n">
        <v>104</v>
      </c>
      <c r="M145" s="458" t="inlineStr">
        <is>
          <t>계단식</t>
        </is>
      </c>
      <c r="N145" s="458" t="n">
        <v>4</v>
      </c>
      <c r="O145" s="458" t="n">
        <v>5</v>
      </c>
      <c r="P145" s="458" t="n">
        <v>2</v>
      </c>
      <c r="Q145" s="318" t="n"/>
    </row>
    <row r="146">
      <c r="A146" s="285" t="inlineStr">
        <is>
          <t>성수동1가</t>
        </is>
      </c>
      <c r="B146" s="307" t="inlineStr">
        <is>
          <t>1성수</t>
        </is>
      </c>
      <c r="C146" s="307" t="inlineStr">
        <is>
          <t>중</t>
        </is>
      </c>
      <c r="D146" s="285" t="n">
        <v>8578</v>
      </c>
      <c r="E146" s="286" t="inlineStr">
        <is>
          <t>중앙하이츠빌</t>
        </is>
      </c>
      <c r="F146" s="285" t="n">
        <v>2003.1</v>
      </c>
      <c r="G146" s="285" t="n">
        <v>256</v>
      </c>
      <c r="H146" s="285">
        <f>2026-INT(F146)+1</f>
        <v/>
      </c>
      <c r="I146" s="285" t="n"/>
      <c r="J146" s="285" t="n">
        <v>107</v>
      </c>
      <c r="K146" s="285" t="n">
        <v>84</v>
      </c>
      <c r="L146" s="285" t="n">
        <v>32</v>
      </c>
      <c r="M146" s="285" t="inlineStr">
        <is>
          <t>계단식</t>
        </is>
      </c>
      <c r="N146" s="285" t="n">
        <v>3</v>
      </c>
      <c r="O146" s="285" t="n">
        <v>2</v>
      </c>
      <c r="P146" s="285" t="n">
        <v>256</v>
      </c>
      <c r="Q146" s="316" t="n"/>
      <c r="R146" s="285" t="n"/>
      <c r="S146" s="285" t="n"/>
      <c r="T146" s="285" t="n"/>
      <c r="U146" s="285" t="n"/>
      <c r="V146" s="285" t="n"/>
      <c r="W146" s="285" t="n">
        <v>14.95</v>
      </c>
      <c r="X146" s="285" t="n"/>
      <c r="Y146" s="285" t="n"/>
      <c r="Z146" s="285" t="n"/>
      <c r="AA146" s="285" t="n"/>
      <c r="AB146" s="285" t="n"/>
      <c r="AC146" s="285" t="n"/>
      <c r="AD146" s="285" t="n"/>
      <c r="AE146" s="285" t="n"/>
      <c r="AF146" s="285" t="n"/>
      <c r="AG146" s="285" t="n"/>
      <c r="AH146" s="285" t="n"/>
      <c r="AI146" s="285" t="n"/>
      <c r="AJ146" s="285" t="n"/>
      <c r="AK146" s="285" t="n"/>
      <c r="AL146" s="285" t="n"/>
    </row>
    <row r="147">
      <c r="A147" s="458" t="inlineStr">
        <is>
          <t>성수동1가</t>
        </is>
      </c>
      <c r="B147" s="159" t="inlineStr">
        <is>
          <t>1성수</t>
        </is>
      </c>
      <c r="C147" s="159" t="inlineStr">
        <is>
          <t>최상</t>
        </is>
      </c>
      <c r="D147" s="458" t="n">
        <v>108405</v>
      </c>
      <c r="E147" s="288" t="inlineStr">
        <is>
          <t>트리마제</t>
        </is>
      </c>
      <c r="F147" s="458" t="n">
        <v>2017.05</v>
      </c>
      <c r="G147" s="458" t="n">
        <v>688</v>
      </c>
      <c r="H147" s="458">
        <f>2026-INT(F147)+1</f>
        <v/>
      </c>
      <c r="J147" s="458" t="n">
        <v>39</v>
      </c>
      <c r="K147" s="458" t="n">
        <v>25</v>
      </c>
      <c r="L147" s="458" t="n">
        <v>12</v>
      </c>
      <c r="M147" s="458" t="inlineStr">
        <is>
          <t>계단식</t>
        </is>
      </c>
      <c r="N147" s="458" t="n">
        <v>1</v>
      </c>
      <c r="O147" s="458" t="n">
        <v>1</v>
      </c>
      <c r="P147" s="458" t="n">
        <v>76</v>
      </c>
      <c r="Q147" s="318" t="n"/>
      <c r="V147" s="458" t="n">
        <v>11</v>
      </c>
      <c r="W147" s="458" t="n">
        <v>9.75</v>
      </c>
    </row>
    <row r="148">
      <c r="A148" s="458" t="inlineStr">
        <is>
          <t>성수동1가</t>
        </is>
      </c>
      <c r="B148" s="159" t="inlineStr">
        <is>
          <t>1성수</t>
        </is>
      </c>
      <c r="C148" s="159" t="inlineStr">
        <is>
          <t>최상</t>
        </is>
      </c>
      <c r="D148" s="458" t="n">
        <v>108405</v>
      </c>
      <c r="E148" s="288" t="inlineStr">
        <is>
          <t>트리마제</t>
        </is>
      </c>
      <c r="F148" s="458" t="n">
        <v>2017.05</v>
      </c>
      <c r="G148" s="458" t="n">
        <v>688</v>
      </c>
      <c r="H148" s="458">
        <f>2026-INT(F148)+1</f>
        <v/>
      </c>
      <c r="J148" s="458" t="n">
        <v>53</v>
      </c>
      <c r="K148" s="458" t="n">
        <v>35</v>
      </c>
      <c r="L148" s="458" t="n">
        <v>16</v>
      </c>
      <c r="M148" s="458" t="inlineStr">
        <is>
          <t>계단식</t>
        </is>
      </c>
      <c r="N148" s="458" t="n">
        <v>1</v>
      </c>
      <c r="O148" s="458" t="n">
        <v>1</v>
      </c>
      <c r="P148" s="458" t="n">
        <v>38</v>
      </c>
      <c r="Q148" s="318" t="n"/>
      <c r="V148" s="458" t="n">
        <v>16.9</v>
      </c>
      <c r="W148" s="458" t="n">
        <v>15.5</v>
      </c>
    </row>
    <row r="149">
      <c r="A149" s="458" t="inlineStr">
        <is>
          <t>성수동1가</t>
        </is>
      </c>
      <c r="B149" s="159" t="inlineStr">
        <is>
          <t>1성수</t>
        </is>
      </c>
      <c r="C149" s="159" t="inlineStr">
        <is>
          <t>최상</t>
        </is>
      </c>
      <c r="D149" s="458" t="n">
        <v>108405</v>
      </c>
      <c r="E149" s="288" t="inlineStr">
        <is>
          <t>트리마제</t>
        </is>
      </c>
      <c r="F149" s="458" t="n">
        <v>2017.05</v>
      </c>
      <c r="G149" s="458" t="n">
        <v>688</v>
      </c>
      <c r="H149" s="458">
        <f>2026-INT(F149)+1</f>
        <v/>
      </c>
      <c r="J149" s="458" t="n">
        <v>74</v>
      </c>
      <c r="K149" s="458" t="n">
        <v>49</v>
      </c>
      <c r="L149" s="458" t="n">
        <v>22</v>
      </c>
      <c r="M149" s="458" t="inlineStr">
        <is>
          <t>계단식</t>
        </is>
      </c>
      <c r="N149" s="458" t="n">
        <v>1</v>
      </c>
      <c r="O149" s="458" t="n">
        <v>1</v>
      </c>
      <c r="P149" s="458" t="n">
        <v>38</v>
      </c>
      <c r="Q149" s="318" t="n"/>
      <c r="V149" s="458" t="n">
        <v>20.7</v>
      </c>
      <c r="W149" s="458" t="n">
        <v>20.15</v>
      </c>
    </row>
    <row r="150">
      <c r="A150" s="458" t="inlineStr">
        <is>
          <t>성수동1가</t>
        </is>
      </c>
      <c r="B150" s="159" t="inlineStr">
        <is>
          <t>1성수</t>
        </is>
      </c>
      <c r="C150" s="159" t="inlineStr">
        <is>
          <t>최상</t>
        </is>
      </c>
      <c r="D150" s="458" t="n">
        <v>108405</v>
      </c>
      <c r="E150" s="288" t="inlineStr">
        <is>
          <t>트리마제</t>
        </is>
      </c>
      <c r="F150" s="458" t="n">
        <v>2017.05</v>
      </c>
      <c r="G150" s="458" t="n">
        <v>688</v>
      </c>
      <c r="H150" s="458">
        <f>2026-INT(F150)+1</f>
        <v/>
      </c>
      <c r="J150" s="458" t="n">
        <v>95</v>
      </c>
      <c r="K150" s="458" t="n">
        <v>69</v>
      </c>
      <c r="L150" s="458" t="n">
        <v>29</v>
      </c>
      <c r="M150" s="458" t="inlineStr">
        <is>
          <t>계단식</t>
        </is>
      </c>
      <c r="N150" s="458" t="n">
        <v>1</v>
      </c>
      <c r="O150" s="458" t="n">
        <v>1</v>
      </c>
      <c r="P150" s="458" t="n">
        <v>76</v>
      </c>
      <c r="Q150" s="318" t="n"/>
      <c r="V150" s="458" t="n">
        <v>24.95</v>
      </c>
      <c r="W150" s="458" t="n">
        <v>24.95</v>
      </c>
    </row>
    <row r="151" ht="17" customHeight="1" s="476">
      <c r="A151" s="297" t="inlineStr">
        <is>
          <t>성수동1가</t>
        </is>
      </c>
      <c r="B151" s="309" t="inlineStr">
        <is>
          <t>1성수</t>
        </is>
      </c>
      <c r="C151" s="309" t="inlineStr">
        <is>
          <t>최상</t>
        </is>
      </c>
      <c r="D151" s="297" t="n">
        <v>108405</v>
      </c>
      <c r="E151" s="299" t="inlineStr">
        <is>
          <t>트리마제</t>
        </is>
      </c>
      <c r="F151" s="297" t="n">
        <v>2017.05</v>
      </c>
      <c r="G151" s="297" t="n">
        <v>688</v>
      </c>
      <c r="H151" s="297">
        <f>2026-INT(F151)+1</f>
        <v/>
      </c>
      <c r="I151" s="298" t="n"/>
      <c r="J151" s="297" t="n">
        <v>124</v>
      </c>
      <c r="K151" s="297" t="n">
        <v>84</v>
      </c>
      <c r="L151" s="297" t="n">
        <v>38</v>
      </c>
      <c r="M151" s="297" t="inlineStr">
        <is>
          <t>계단식</t>
        </is>
      </c>
      <c r="N151" s="297" t="n">
        <v>3</v>
      </c>
      <c r="O151" s="297" t="n">
        <v>2</v>
      </c>
      <c r="P151" s="297" t="n">
        <v>250</v>
      </c>
      <c r="Q151" s="319" t="inlineStr">
        <is>
          <t>58/61</t>
        </is>
      </c>
      <c r="R151" s="298" t="n">
        <v>578001</v>
      </c>
      <c r="S151" s="298" t="n">
        <v>248001</v>
      </c>
      <c r="T151" s="298" t="n"/>
      <c r="U151" s="298" t="n"/>
      <c r="V151" s="297" t="n">
        <v>38.9</v>
      </c>
      <c r="W151" s="297" t="n">
        <v>29.9</v>
      </c>
      <c r="X151" s="298" t="n"/>
      <c r="Y151" s="298" t="n"/>
      <c r="Z151" s="298" t="n"/>
      <c r="AA151" s="298" t="n"/>
      <c r="AB151" s="298" t="n"/>
      <c r="AC151" s="298" t="n"/>
      <c r="AD151" s="298" t="n"/>
      <c r="AE151" s="298" t="n"/>
      <c r="AF151" s="298" t="n"/>
      <c r="AG151" s="298" t="n"/>
      <c r="AH151" s="298" t="n"/>
      <c r="AI151" s="298" t="n"/>
      <c r="AJ151" s="298" t="n"/>
      <c r="AK151" s="298" t="n"/>
      <c r="AL151" s="298" t="n"/>
    </row>
    <row r="152">
      <c r="A152" s="458" t="inlineStr">
        <is>
          <t>성수동1가</t>
        </is>
      </c>
      <c r="B152" s="159" t="inlineStr">
        <is>
          <t>1성수</t>
        </is>
      </c>
      <c r="C152" s="159" t="inlineStr">
        <is>
          <t>최상</t>
        </is>
      </c>
      <c r="D152" s="458" t="n">
        <v>108405</v>
      </c>
      <c r="E152" s="288" t="inlineStr">
        <is>
          <t>트리마제</t>
        </is>
      </c>
      <c r="F152" s="458" t="n">
        <v>2017.05</v>
      </c>
      <c r="G152" s="458" t="n">
        <v>688</v>
      </c>
      <c r="H152" s="458">
        <f>2026-INT(F152)+1</f>
        <v/>
      </c>
      <c r="J152" s="458" t="n">
        <v>185</v>
      </c>
      <c r="K152" s="458" t="n">
        <v>136</v>
      </c>
      <c r="L152" s="458" t="n">
        <v>56</v>
      </c>
      <c r="M152" s="458" t="inlineStr">
        <is>
          <t>계단식</t>
        </is>
      </c>
      <c r="N152" s="458" t="n">
        <v>3</v>
      </c>
      <c r="O152" s="458" t="n">
        <v>2</v>
      </c>
      <c r="P152" s="458" t="n">
        <v>76</v>
      </c>
      <c r="Q152" s="318" t="n"/>
      <c r="V152" s="458" t="n">
        <v>47</v>
      </c>
      <c r="W152" s="458" t="n"/>
    </row>
    <row r="153">
      <c r="A153" s="458" t="inlineStr">
        <is>
          <t>성수동1가</t>
        </is>
      </c>
      <c r="B153" s="159" t="inlineStr">
        <is>
          <t>1성수</t>
        </is>
      </c>
      <c r="C153" s="159" t="inlineStr">
        <is>
          <t>최상</t>
        </is>
      </c>
      <c r="D153" s="458" t="n">
        <v>108405</v>
      </c>
      <c r="E153" s="288" t="inlineStr">
        <is>
          <t>트리마제</t>
        </is>
      </c>
      <c r="F153" s="458" t="n">
        <v>2017.05</v>
      </c>
      <c r="G153" s="458" t="n">
        <v>688</v>
      </c>
      <c r="H153" s="458">
        <f>2026-INT(F153)+1</f>
        <v/>
      </c>
      <c r="J153" s="458" t="n">
        <v>189</v>
      </c>
      <c r="K153" s="458" t="n">
        <v>140</v>
      </c>
      <c r="L153" s="458" t="n">
        <v>57</v>
      </c>
      <c r="M153" s="458" t="inlineStr">
        <is>
          <t>계단식</t>
        </is>
      </c>
      <c r="N153" s="458" t="n">
        <v>3</v>
      </c>
      <c r="O153" s="458" t="n">
        <v>2</v>
      </c>
      <c r="P153" s="458" t="n">
        <v>78</v>
      </c>
      <c r="Q153" s="318" t="n"/>
      <c r="V153" s="458" t="n">
        <v>45.9</v>
      </c>
      <c r="W153" s="458" t="n">
        <v>42.5</v>
      </c>
    </row>
    <row r="154">
      <c r="A154" s="458" t="inlineStr">
        <is>
          <t>성수동1가</t>
        </is>
      </c>
      <c r="B154" s="159" t="inlineStr">
        <is>
          <t>1성수</t>
        </is>
      </c>
      <c r="C154" s="159" t="inlineStr">
        <is>
          <t>최상</t>
        </is>
      </c>
      <c r="D154" s="458" t="n">
        <v>108405</v>
      </c>
      <c r="E154" s="288" t="inlineStr">
        <is>
          <t>트리마제</t>
        </is>
      </c>
      <c r="F154" s="458" t="n">
        <v>2017.05</v>
      </c>
      <c r="G154" s="458" t="n">
        <v>688</v>
      </c>
      <c r="H154" s="458">
        <f>2026-INT(F154)+1</f>
        <v/>
      </c>
      <c r="J154" s="458" t="n">
        <v>204</v>
      </c>
      <c r="K154" s="458" t="n">
        <v>152</v>
      </c>
      <c r="L154" s="458" t="n">
        <v>62</v>
      </c>
      <c r="M154" s="458" t="inlineStr">
        <is>
          <t>계단식</t>
        </is>
      </c>
      <c r="N154" s="458" t="n">
        <v>3</v>
      </c>
      <c r="O154" s="458" t="n">
        <v>2</v>
      </c>
      <c r="P154" s="458" t="n">
        <v>52</v>
      </c>
      <c r="Q154" s="318" t="n"/>
      <c r="V154" s="458" t="n">
        <v>65</v>
      </c>
      <c r="W154" s="458" t="n">
        <v>64</v>
      </c>
    </row>
    <row r="155">
      <c r="A155" s="458" t="inlineStr">
        <is>
          <t>성수동1가</t>
        </is>
      </c>
      <c r="B155" s="159" t="inlineStr">
        <is>
          <t>1성수</t>
        </is>
      </c>
      <c r="C155" s="159" t="inlineStr">
        <is>
          <t>최상</t>
        </is>
      </c>
      <c r="D155" s="458" t="n">
        <v>108405</v>
      </c>
      <c r="E155" s="288" t="inlineStr">
        <is>
          <t>트리마제</t>
        </is>
      </c>
      <c r="F155" s="458" t="n">
        <v>2017.05</v>
      </c>
      <c r="G155" s="458" t="n">
        <v>688</v>
      </c>
      <c r="H155" s="458">
        <f>2026-INT(F155)+1</f>
        <v/>
      </c>
      <c r="J155" s="458" t="n">
        <v>292</v>
      </c>
      <c r="K155" s="458" t="n">
        <v>216</v>
      </c>
      <c r="L155" s="458" t="n">
        <v>88</v>
      </c>
      <c r="M155" s="458" t="inlineStr">
        <is>
          <t>계단식</t>
        </is>
      </c>
      <c r="N155" s="458" t="n">
        <v>3</v>
      </c>
      <c r="O155" s="458" t="n">
        <v>3</v>
      </c>
      <c r="P155" s="458" t="n">
        <v>4</v>
      </c>
      <c r="Q155" s="318" t="n"/>
    </row>
    <row r="156">
      <c r="A156" s="285" t="inlineStr">
        <is>
          <t>성수동1가</t>
        </is>
      </c>
      <c r="B156" s="307" t="inlineStr">
        <is>
          <t>1성수</t>
        </is>
      </c>
      <c r="C156" s="307" t="inlineStr">
        <is>
          <t>중</t>
        </is>
      </c>
      <c r="D156" s="285" t="n">
        <v>560</v>
      </c>
      <c r="E156" s="286" t="inlineStr">
        <is>
          <t>한진타운</t>
        </is>
      </c>
      <c r="F156" s="285" t="n">
        <v>1994.04</v>
      </c>
      <c r="G156" s="285" t="n">
        <v>378</v>
      </c>
      <c r="H156" s="285">
        <f>2026-INT(F156)+1</f>
        <v/>
      </c>
      <c r="I156" s="285" t="n"/>
      <c r="J156" s="285" t="n">
        <v>78</v>
      </c>
      <c r="K156" s="285" t="n">
        <v>59</v>
      </c>
      <c r="L156" s="285" t="n">
        <v>24</v>
      </c>
      <c r="M156" s="285" t="inlineStr">
        <is>
          <t>복도식</t>
        </is>
      </c>
      <c r="N156" s="285" t="n">
        <v>3</v>
      </c>
      <c r="O156" s="285" t="n">
        <v>1</v>
      </c>
      <c r="P156" s="285" t="n">
        <v>190</v>
      </c>
      <c r="Q156" s="316" t="n"/>
      <c r="R156" s="285" t="n"/>
      <c r="S156" s="285" t="n"/>
      <c r="T156" s="285" t="n"/>
      <c r="U156" s="285" t="n"/>
      <c r="V156" s="285" t="n">
        <v>15.97</v>
      </c>
      <c r="W156" s="285" t="n">
        <v>11</v>
      </c>
      <c r="X156" s="285" t="n"/>
      <c r="Y156" s="285" t="n"/>
      <c r="Z156" s="285" t="n"/>
      <c r="AA156" s="285" t="n"/>
      <c r="AB156" s="285" t="n"/>
      <c r="AC156" s="285" t="n"/>
      <c r="AD156" s="285" t="n"/>
      <c r="AE156" s="285" t="n"/>
      <c r="AF156" s="285" t="n"/>
      <c r="AG156" s="285" t="n"/>
      <c r="AH156" s="285" t="n"/>
      <c r="AI156" s="285" t="n"/>
      <c r="AJ156" s="285" t="n"/>
      <c r="AK156" s="285" t="n"/>
      <c r="AL156" s="285" t="n"/>
    </row>
    <row r="157">
      <c r="A157" s="285" t="inlineStr">
        <is>
          <t>성수동1가</t>
        </is>
      </c>
      <c r="B157" s="307" t="inlineStr">
        <is>
          <t>1성수</t>
        </is>
      </c>
      <c r="C157" s="307" t="inlineStr">
        <is>
          <t>중</t>
        </is>
      </c>
      <c r="D157" s="285" t="n">
        <v>560</v>
      </c>
      <c r="E157" s="286" t="inlineStr">
        <is>
          <t>한진타운</t>
        </is>
      </c>
      <c r="F157" s="285" t="n">
        <v>1994.04</v>
      </c>
      <c r="G157" s="285" t="n">
        <v>378</v>
      </c>
      <c r="H157" s="285">
        <f>2026-INT(F157)+1</f>
        <v/>
      </c>
      <c r="I157" s="285" t="n"/>
      <c r="J157" s="285" t="n">
        <v>103</v>
      </c>
      <c r="K157" s="285" t="n">
        <v>84</v>
      </c>
      <c r="L157" s="285" t="n">
        <v>31</v>
      </c>
      <c r="M157" s="285" t="inlineStr">
        <is>
          <t>계단식</t>
        </is>
      </c>
      <c r="N157" s="285" t="n">
        <v>3</v>
      </c>
      <c r="O157" s="285" t="n">
        <v>2</v>
      </c>
      <c r="P157" s="285" t="n">
        <v>188</v>
      </c>
      <c r="Q157" s="316" t="n"/>
      <c r="R157" s="285" t="n"/>
      <c r="S157" s="285" t="n"/>
      <c r="T157" s="285" t="n"/>
      <c r="U157" s="285" t="n"/>
      <c r="V157" s="285" t="n">
        <v>18</v>
      </c>
      <c r="W157" s="285" t="n">
        <v>14</v>
      </c>
      <c r="X157" s="285" t="n"/>
      <c r="Y157" s="285" t="n"/>
      <c r="Z157" s="285" t="n"/>
      <c r="AA157" s="285" t="n"/>
      <c r="AB157" s="285" t="n"/>
      <c r="AC157" s="285" t="n"/>
      <c r="AD157" s="285" t="n"/>
      <c r="AE157" s="285" t="n"/>
      <c r="AF157" s="285" t="n"/>
      <c r="AG157" s="285" t="n"/>
      <c r="AH157" s="285" t="n"/>
      <c r="AI157" s="285" t="n"/>
      <c r="AJ157" s="285" t="n"/>
      <c r="AK157" s="285" t="n"/>
      <c r="AL157" s="285" t="n"/>
    </row>
    <row r="158">
      <c r="A158" s="458" t="inlineStr">
        <is>
          <t>성수동1가</t>
        </is>
      </c>
      <c r="B158" s="159" t="inlineStr">
        <is>
          <t>1성수</t>
        </is>
      </c>
      <c r="C158" s="159" t="inlineStr">
        <is>
          <t>하</t>
        </is>
      </c>
      <c r="D158" s="458" t="n">
        <v>1</v>
      </c>
      <c r="E158" s="288" t="inlineStr">
        <is>
          <t>현대</t>
        </is>
      </c>
      <c r="F158" s="458" t="n">
        <v>1990.09</v>
      </c>
      <c r="G158" s="458" t="n">
        <v>217</v>
      </c>
      <c r="H158" s="458">
        <f>2026-INT(F158)+1</f>
        <v/>
      </c>
      <c r="J158" s="458" t="n">
        <v>82</v>
      </c>
      <c r="K158" s="458" t="n">
        <v>59</v>
      </c>
      <c r="L158" s="458" t="n">
        <v>25</v>
      </c>
      <c r="M158" s="458" t="inlineStr">
        <is>
          <t>복도식</t>
        </is>
      </c>
      <c r="N158" s="458" t="n">
        <v>2</v>
      </c>
      <c r="O158" s="458" t="n">
        <v>1</v>
      </c>
      <c r="P158" s="458" t="n">
        <v>54</v>
      </c>
      <c r="Q158" s="318" t="n"/>
      <c r="V158" s="458" t="n">
        <v>12</v>
      </c>
      <c r="W158" s="458" t="n">
        <v>12</v>
      </c>
    </row>
    <row r="159">
      <c r="A159" s="458" t="inlineStr">
        <is>
          <t>성수동1가</t>
        </is>
      </c>
      <c r="B159" s="159" t="inlineStr">
        <is>
          <t>1성수</t>
        </is>
      </c>
      <c r="C159" s="159" t="inlineStr">
        <is>
          <t>하</t>
        </is>
      </c>
      <c r="D159" s="458" t="n">
        <v>1</v>
      </c>
      <c r="E159" s="288" t="inlineStr">
        <is>
          <t>현대</t>
        </is>
      </c>
      <c r="F159" s="458" t="n">
        <v>1990.09</v>
      </c>
      <c r="G159" s="458" t="n">
        <v>217</v>
      </c>
      <c r="H159" s="458">
        <f>2026-INT(F159)+1</f>
        <v/>
      </c>
      <c r="J159" s="458" t="n">
        <v>89</v>
      </c>
      <c r="K159" s="458" t="n">
        <v>69</v>
      </c>
      <c r="L159" s="458" t="n">
        <v>27</v>
      </c>
      <c r="M159" s="458" t="inlineStr">
        <is>
          <t>복도식</t>
        </is>
      </c>
      <c r="N159" s="458" t="n">
        <v>3</v>
      </c>
      <c r="O159" s="458" t="n">
        <v>1</v>
      </c>
      <c r="P159" s="458" t="n">
        <v>52</v>
      </c>
      <c r="Q159" s="318" t="n"/>
      <c r="V159" s="458" t="n">
        <v>13</v>
      </c>
      <c r="W159" s="458" t="n">
        <v>11</v>
      </c>
    </row>
    <row r="160">
      <c r="A160" s="458" t="inlineStr">
        <is>
          <t>성수동1가</t>
        </is>
      </c>
      <c r="B160" s="159" t="inlineStr">
        <is>
          <t>1성수</t>
        </is>
      </c>
      <c r="C160" s="159" t="inlineStr">
        <is>
          <t>하</t>
        </is>
      </c>
      <c r="D160" s="458" t="n">
        <v>1</v>
      </c>
      <c r="E160" s="288" t="inlineStr">
        <is>
          <t>현대</t>
        </is>
      </c>
      <c r="F160" s="458" t="n">
        <v>1990.09</v>
      </c>
      <c r="G160" s="458" t="n">
        <v>217</v>
      </c>
      <c r="H160" s="458">
        <f>2026-INT(F160)+1</f>
        <v/>
      </c>
      <c r="J160" s="458" t="n">
        <v>103</v>
      </c>
      <c r="K160" s="458" t="n">
        <v>84</v>
      </c>
      <c r="L160" s="458" t="n">
        <v>31</v>
      </c>
      <c r="M160" s="458" t="inlineStr">
        <is>
          <t>계단식</t>
        </is>
      </c>
      <c r="N160" s="458" t="n">
        <v>3</v>
      </c>
      <c r="O160" s="458" t="n">
        <v>2</v>
      </c>
      <c r="P160" s="458" t="n">
        <v>96</v>
      </c>
      <c r="Q160" s="318" t="n"/>
      <c r="V160" s="458" t="n">
        <v>17.5</v>
      </c>
      <c r="W160" s="458" t="n">
        <v>10.1</v>
      </c>
    </row>
    <row r="161">
      <c r="A161" s="458" t="inlineStr">
        <is>
          <t>성수동1가</t>
        </is>
      </c>
      <c r="B161" s="159" t="inlineStr">
        <is>
          <t>1성수</t>
        </is>
      </c>
      <c r="C161" s="159" t="inlineStr">
        <is>
          <t>하</t>
        </is>
      </c>
      <c r="D161" s="458" t="n">
        <v>1</v>
      </c>
      <c r="E161" s="288" t="inlineStr">
        <is>
          <t>현대</t>
        </is>
      </c>
      <c r="F161" s="458" t="n">
        <v>1990.09</v>
      </c>
      <c r="G161" s="458" t="n">
        <v>217</v>
      </c>
      <c r="H161" s="458">
        <f>2026-INT(F161)+1</f>
        <v/>
      </c>
      <c r="J161" s="458" t="n">
        <v>104</v>
      </c>
      <c r="K161" s="458" t="n">
        <v>80</v>
      </c>
      <c r="L161" s="458" t="n">
        <v>31</v>
      </c>
      <c r="M161" s="458" t="inlineStr">
        <is>
          <t>복도식</t>
        </is>
      </c>
      <c r="N161" s="458" t="n">
        <v>3</v>
      </c>
      <c r="O161" s="458" t="n">
        <v>2</v>
      </c>
      <c r="P161" s="458" t="n">
        <v>15</v>
      </c>
      <c r="Q161" s="318" t="n"/>
    </row>
    <row r="162">
      <c r="A162" s="287" t="inlineStr">
        <is>
          <t>성수동2가</t>
        </is>
      </c>
      <c r="B162" s="307" t="inlineStr">
        <is>
          <t>1성수</t>
        </is>
      </c>
      <c r="C162" s="307" t="inlineStr">
        <is>
          <t>상</t>
        </is>
      </c>
      <c r="D162" s="287" t="n">
        <v>27424</v>
      </c>
      <c r="E162" s="286" t="inlineStr">
        <is>
          <t>서울숲힐스테이트</t>
        </is>
      </c>
      <c r="F162" s="287" t="n">
        <v>2009.06</v>
      </c>
      <c r="G162" s="287" t="n">
        <v>445</v>
      </c>
      <c r="H162" s="287">
        <f>2026-INT(F162)+1</f>
        <v/>
      </c>
      <c r="I162" s="285" t="n"/>
      <c r="J162" s="287" t="n">
        <v>60</v>
      </c>
      <c r="K162" s="287" t="n">
        <v>42</v>
      </c>
      <c r="L162" s="287" t="n">
        <v>18</v>
      </c>
      <c r="M162" s="287" t="inlineStr">
        <is>
          <t>계단식</t>
        </is>
      </c>
      <c r="N162" s="287" t="n">
        <v>2</v>
      </c>
      <c r="O162" s="287" t="n">
        <v>1</v>
      </c>
      <c r="P162" s="287" t="n">
        <v>19</v>
      </c>
      <c r="Q162" s="317" t="n"/>
      <c r="R162" s="285" t="n"/>
      <c r="S162" s="285" t="n"/>
      <c r="T162" s="285" t="n"/>
      <c r="U162" s="285" t="n"/>
      <c r="V162" s="287" t="n">
        <v>14.3</v>
      </c>
      <c r="W162" s="287" t="n">
        <v>14.3</v>
      </c>
      <c r="X162" s="285" t="n"/>
      <c r="Y162" s="285" t="n"/>
      <c r="Z162" s="285" t="n"/>
      <c r="AA162" s="285" t="n"/>
      <c r="AB162" s="285" t="n"/>
      <c r="AC162" s="285" t="n"/>
      <c r="AD162" s="285" t="n"/>
      <c r="AE162" s="285" t="n"/>
      <c r="AF162" s="285" t="n"/>
      <c r="AG162" s="285" t="n"/>
      <c r="AH162" s="285" t="n"/>
      <c r="AI162" s="285" t="n"/>
      <c r="AJ162" s="285" t="n"/>
      <c r="AK162" s="285" t="n"/>
      <c r="AL162" s="285" t="n"/>
    </row>
    <row r="163">
      <c r="A163" s="287" t="inlineStr">
        <is>
          <t>성수동2가</t>
        </is>
      </c>
      <c r="B163" s="307" t="inlineStr">
        <is>
          <t>1성수</t>
        </is>
      </c>
      <c r="C163" s="307" t="inlineStr">
        <is>
          <t>상</t>
        </is>
      </c>
      <c r="D163" s="287" t="n">
        <v>27424</v>
      </c>
      <c r="E163" s="286" t="inlineStr">
        <is>
          <t>서울숲힐스테이트</t>
        </is>
      </c>
      <c r="F163" s="287" t="n">
        <v>2009.06</v>
      </c>
      <c r="G163" s="287" t="n">
        <v>445</v>
      </c>
      <c r="H163" s="287">
        <f>2026-INT(F163)+1</f>
        <v/>
      </c>
      <c r="I163" s="285" t="n"/>
      <c r="J163" s="287" t="n">
        <v>79</v>
      </c>
      <c r="K163" s="287" t="n">
        <v>57</v>
      </c>
      <c r="L163" s="287" t="n">
        <v>24</v>
      </c>
      <c r="M163" s="287" t="inlineStr">
        <is>
          <t>계단식</t>
        </is>
      </c>
      <c r="N163" s="287" t="n">
        <v>3</v>
      </c>
      <c r="O163" s="287" t="n">
        <v>2</v>
      </c>
      <c r="P163" s="287" t="n">
        <v>78</v>
      </c>
      <c r="Q163" s="317" t="n"/>
      <c r="R163" s="285" t="n"/>
      <c r="S163" s="285" t="n"/>
      <c r="T163" s="285" t="n"/>
      <c r="U163" s="285" t="n"/>
      <c r="V163" s="287" t="n">
        <v>17</v>
      </c>
      <c r="W163" s="287" t="n">
        <v>15.1</v>
      </c>
      <c r="X163" s="285" t="n"/>
      <c r="Y163" s="285" t="n"/>
      <c r="Z163" s="285" t="n"/>
      <c r="AA163" s="285" t="n"/>
      <c r="AB163" s="285" t="n"/>
      <c r="AC163" s="285" t="n"/>
      <c r="AD163" s="285" t="n"/>
      <c r="AE163" s="285" t="n"/>
      <c r="AF163" s="285" t="n"/>
      <c r="AG163" s="285" t="n"/>
      <c r="AH163" s="285" t="n"/>
      <c r="AI163" s="285" t="n"/>
      <c r="AJ163" s="285" t="n"/>
      <c r="AK163" s="285" t="n"/>
      <c r="AL163" s="285" t="n"/>
    </row>
    <row r="164">
      <c r="A164" s="287" t="inlineStr">
        <is>
          <t>성수동2가</t>
        </is>
      </c>
      <c r="B164" s="307" t="inlineStr">
        <is>
          <t>1성수</t>
        </is>
      </c>
      <c r="C164" s="307" t="inlineStr">
        <is>
          <t>상</t>
        </is>
      </c>
      <c r="D164" s="287" t="n">
        <v>27424</v>
      </c>
      <c r="E164" s="286" t="inlineStr">
        <is>
          <t>서울숲힐스테이트</t>
        </is>
      </c>
      <c r="F164" s="287" t="n">
        <v>2009.06</v>
      </c>
      <c r="G164" s="287" t="n">
        <v>445</v>
      </c>
      <c r="H164" s="287">
        <f>2026-INT(F164)+1</f>
        <v/>
      </c>
      <c r="I164" s="285" t="n"/>
      <c r="J164" s="287" t="n">
        <v>117</v>
      </c>
      <c r="K164" s="287" t="n">
        <v>84</v>
      </c>
      <c r="L164" s="287" t="n">
        <v>35</v>
      </c>
      <c r="M164" s="287" t="inlineStr">
        <is>
          <t>계단식</t>
        </is>
      </c>
      <c r="N164" s="287" t="n">
        <v>3</v>
      </c>
      <c r="O164" s="287" t="n">
        <v>2</v>
      </c>
      <c r="P164" s="287" t="n">
        <v>79</v>
      </c>
      <c r="Q164" s="317" t="n"/>
      <c r="R164" s="285" t="n"/>
      <c r="S164" s="285" t="n"/>
      <c r="T164" s="285" t="n"/>
      <c r="U164" s="285" t="n"/>
      <c r="V164" s="287" t="n">
        <v>23.4</v>
      </c>
      <c r="W164" s="287" t="n">
        <v>23.4</v>
      </c>
      <c r="X164" s="285" t="n"/>
      <c r="Y164" s="285" t="n"/>
      <c r="Z164" s="285" t="n"/>
      <c r="AA164" s="285" t="n"/>
      <c r="AB164" s="285" t="n"/>
      <c r="AC164" s="285" t="n"/>
      <c r="AD164" s="285" t="n"/>
      <c r="AE164" s="285" t="n"/>
      <c r="AF164" s="285" t="n"/>
      <c r="AG164" s="285" t="n"/>
      <c r="AH164" s="285" t="n"/>
      <c r="AI164" s="285" t="n"/>
      <c r="AJ164" s="285" t="n"/>
      <c r="AK164" s="285" t="n"/>
      <c r="AL164" s="285" t="n"/>
    </row>
    <row r="165">
      <c r="A165" s="287" t="inlineStr">
        <is>
          <t>성수동2가</t>
        </is>
      </c>
      <c r="B165" s="307" t="inlineStr">
        <is>
          <t>1성수</t>
        </is>
      </c>
      <c r="C165" s="307" t="inlineStr">
        <is>
          <t>상</t>
        </is>
      </c>
      <c r="D165" s="287" t="n">
        <v>27424</v>
      </c>
      <c r="E165" s="286" t="inlineStr">
        <is>
          <t>서울숲힐스테이트</t>
        </is>
      </c>
      <c r="F165" s="287" t="n">
        <v>2009.06</v>
      </c>
      <c r="G165" s="287" t="n">
        <v>445</v>
      </c>
      <c r="H165" s="287">
        <f>2026-INT(F165)+1</f>
        <v/>
      </c>
      <c r="I165" s="285" t="n"/>
      <c r="J165" s="287" t="n">
        <v>151</v>
      </c>
      <c r="K165" s="287" t="n">
        <v>117</v>
      </c>
      <c r="L165" s="287" t="n">
        <v>46</v>
      </c>
      <c r="M165" s="287" t="inlineStr">
        <is>
          <t>계단식</t>
        </is>
      </c>
      <c r="N165" s="287" t="n">
        <v>4</v>
      </c>
      <c r="O165" s="287" t="n">
        <v>2</v>
      </c>
      <c r="P165" s="287" t="n">
        <v>132</v>
      </c>
      <c r="Q165" s="317" t="n"/>
      <c r="R165" s="285" t="n"/>
      <c r="S165" s="285" t="n"/>
      <c r="T165" s="285" t="n"/>
      <c r="U165" s="285" t="n"/>
      <c r="V165" s="287" t="n">
        <v>22.5</v>
      </c>
      <c r="W165" s="287" t="n"/>
      <c r="X165" s="285" t="n"/>
      <c r="Y165" s="285" t="n"/>
      <c r="Z165" s="285" t="n"/>
      <c r="AA165" s="285" t="n"/>
      <c r="AB165" s="285" t="n"/>
      <c r="AC165" s="285" t="n"/>
      <c r="AD165" s="285" t="n"/>
      <c r="AE165" s="285" t="n"/>
      <c r="AF165" s="285" t="n"/>
      <c r="AG165" s="285" t="n"/>
      <c r="AH165" s="285" t="n"/>
      <c r="AI165" s="285" t="n"/>
      <c r="AJ165" s="285" t="n"/>
      <c r="AK165" s="285" t="n"/>
      <c r="AL165" s="285" t="n"/>
    </row>
    <row r="166">
      <c r="A166" s="285" t="inlineStr">
        <is>
          <t>성수동2가</t>
        </is>
      </c>
      <c r="B166" s="307" t="inlineStr">
        <is>
          <t>1성수</t>
        </is>
      </c>
      <c r="C166" s="307" t="inlineStr">
        <is>
          <t>상</t>
        </is>
      </c>
      <c r="D166" s="285" t="n">
        <v>27424</v>
      </c>
      <c r="E166" s="286" t="inlineStr">
        <is>
          <t>서울숲힐스테이트</t>
        </is>
      </c>
      <c r="F166" s="285" t="n">
        <v>2009.06</v>
      </c>
      <c r="G166" s="285" t="n">
        <v>445</v>
      </c>
      <c r="H166" s="285">
        <f>2026-INT(F166)+1</f>
        <v/>
      </c>
      <c r="I166" s="285" t="n"/>
      <c r="J166" s="285" t="n">
        <v>184</v>
      </c>
      <c r="K166" s="285" t="n">
        <v>143</v>
      </c>
      <c r="L166" s="285" t="n">
        <v>56</v>
      </c>
      <c r="M166" s="285" t="inlineStr">
        <is>
          <t>계단식</t>
        </is>
      </c>
      <c r="N166" s="285" t="n">
        <v>4</v>
      </c>
      <c r="O166" s="285" t="n">
        <v>3</v>
      </c>
      <c r="P166" s="285" t="n">
        <v>132</v>
      </c>
      <c r="Q166" s="316" t="n"/>
      <c r="R166" s="285" t="n"/>
      <c r="S166" s="285" t="n"/>
      <c r="T166" s="285" t="n"/>
      <c r="U166" s="285" t="n"/>
      <c r="V166" s="285" t="n">
        <v>29.5</v>
      </c>
      <c r="W166" s="285" t="n">
        <v>24</v>
      </c>
      <c r="X166" s="285" t="n"/>
      <c r="Y166" s="285" t="n"/>
      <c r="Z166" s="285" t="n"/>
      <c r="AA166" s="285" t="n"/>
      <c r="AB166" s="285" t="n"/>
      <c r="AC166" s="285" t="n"/>
      <c r="AD166" s="285" t="n"/>
      <c r="AE166" s="285" t="n"/>
      <c r="AF166" s="285" t="n"/>
      <c r="AG166" s="285" t="n"/>
      <c r="AH166" s="285" t="n"/>
      <c r="AI166" s="285" t="n"/>
      <c r="AJ166" s="285" t="n"/>
      <c r="AK166" s="285" t="n"/>
      <c r="AL166" s="285" t="n"/>
    </row>
    <row r="167">
      <c r="A167" s="285" t="inlineStr">
        <is>
          <t>성수동2가</t>
        </is>
      </c>
      <c r="B167" s="307" t="inlineStr">
        <is>
          <t>1성수</t>
        </is>
      </c>
      <c r="C167" s="307" t="inlineStr">
        <is>
          <t>상</t>
        </is>
      </c>
      <c r="D167" s="285" t="n">
        <v>27424</v>
      </c>
      <c r="E167" s="286" t="inlineStr">
        <is>
          <t>서울숲힐스테이트</t>
        </is>
      </c>
      <c r="F167" s="285" t="n">
        <v>2009.06</v>
      </c>
      <c r="G167" s="285" t="n">
        <v>445</v>
      </c>
      <c r="H167" s="285">
        <f>2026-INT(F167)+1</f>
        <v/>
      </c>
      <c r="I167" s="285" t="n"/>
      <c r="J167" s="285" t="n">
        <v>283</v>
      </c>
      <c r="K167" s="285" t="n">
        <v>227</v>
      </c>
      <c r="L167" s="285" t="n">
        <v>86</v>
      </c>
      <c r="M167" s="285" t="inlineStr">
        <is>
          <t>계단식</t>
        </is>
      </c>
      <c r="N167" s="285" t="n">
        <v>5</v>
      </c>
      <c r="O167" s="285" t="n">
        <v>3</v>
      </c>
      <c r="P167" s="285" t="n">
        <v>3</v>
      </c>
      <c r="Q167" s="316" t="n"/>
      <c r="R167" s="285" t="n"/>
      <c r="S167" s="285" t="n"/>
      <c r="T167" s="285" t="n"/>
      <c r="U167" s="285" t="n"/>
      <c r="V167" s="285" t="n"/>
      <c r="W167" s="285" t="n"/>
      <c r="X167" s="285" t="n"/>
      <c r="Y167" s="285" t="n"/>
      <c r="Z167" s="285" t="n"/>
      <c r="AA167" s="285" t="n"/>
      <c r="AB167" s="285" t="n"/>
      <c r="AC167" s="285" t="n"/>
      <c r="AD167" s="285" t="n"/>
      <c r="AE167" s="285" t="n"/>
      <c r="AF167" s="285" t="n"/>
      <c r="AG167" s="285" t="n"/>
      <c r="AH167" s="285" t="n"/>
      <c r="AI167" s="285" t="n"/>
      <c r="AJ167" s="285" t="n"/>
      <c r="AK167" s="285" t="n"/>
      <c r="AL167" s="285" t="n"/>
    </row>
    <row r="168">
      <c r="A168" s="285" t="inlineStr">
        <is>
          <t>성수동2가</t>
        </is>
      </c>
      <c r="B168" s="307" t="inlineStr">
        <is>
          <t>1성수</t>
        </is>
      </c>
      <c r="C168" s="307" t="inlineStr">
        <is>
          <t>상</t>
        </is>
      </c>
      <c r="D168" s="285" t="n">
        <v>27424</v>
      </c>
      <c r="E168" s="286" t="inlineStr">
        <is>
          <t>서울숲힐스테이트</t>
        </is>
      </c>
      <c r="F168" s="285" t="n">
        <v>2009.06</v>
      </c>
      <c r="G168" s="285" t="n">
        <v>445</v>
      </c>
      <c r="H168" s="285">
        <f>2026-INT(F168)+1</f>
        <v/>
      </c>
      <c r="I168" s="285" t="n"/>
      <c r="J168" s="285" t="n">
        <v>304</v>
      </c>
      <c r="K168" s="285" t="n">
        <v>239</v>
      </c>
      <c r="L168" s="285" t="n">
        <v>92</v>
      </c>
      <c r="M168" s="285" t="inlineStr">
        <is>
          <t>계단식</t>
        </is>
      </c>
      <c r="N168" s="285" t="n">
        <v>5</v>
      </c>
      <c r="O168" s="285" t="n">
        <v>5</v>
      </c>
      <c r="P168" s="285" t="n">
        <v>2</v>
      </c>
      <c r="Q168" s="316" t="n"/>
      <c r="R168" s="285" t="n"/>
      <c r="S168" s="285" t="n"/>
      <c r="T168" s="285" t="n"/>
      <c r="U168" s="285" t="n"/>
      <c r="V168" s="285" t="n"/>
      <c r="W168" s="285" t="n"/>
      <c r="X168" s="285" t="n"/>
      <c r="Y168" s="285" t="n"/>
      <c r="Z168" s="285" t="n"/>
      <c r="AA168" s="285" t="n"/>
      <c r="AB168" s="285" t="n"/>
      <c r="AC168" s="285" t="n"/>
      <c r="AD168" s="285" t="n"/>
      <c r="AE168" s="285" t="n"/>
      <c r="AF168" s="285" t="n"/>
      <c r="AG168" s="285" t="n"/>
      <c r="AH168" s="285" t="n"/>
      <c r="AI168" s="285" t="n"/>
      <c r="AJ168" s="285" t="n"/>
      <c r="AK168" s="285" t="n"/>
      <c r="AL168" s="285" t="n"/>
    </row>
    <row r="169">
      <c r="A169" s="458" t="inlineStr">
        <is>
          <t>성수동2가</t>
        </is>
      </c>
      <c r="B169" s="159" t="inlineStr">
        <is>
          <t>1성수</t>
        </is>
      </c>
      <c r="C169" s="159" t="inlineStr">
        <is>
          <t>상</t>
        </is>
      </c>
      <c r="D169" s="458" t="n">
        <v>8104</v>
      </c>
      <c r="E169" s="288" t="inlineStr">
        <is>
          <t>성수롯데캐슬파크</t>
        </is>
      </c>
      <c r="F169" s="458" t="n">
        <v>2003.09</v>
      </c>
      <c r="G169" s="458" t="n">
        <v>604</v>
      </c>
      <c r="H169" s="458">
        <f>2026-INT(F169)+1</f>
        <v/>
      </c>
      <c r="J169" s="458" t="n">
        <v>79</v>
      </c>
      <c r="K169" s="458" t="n">
        <v>58</v>
      </c>
      <c r="L169" s="458" t="n">
        <v>24</v>
      </c>
      <c r="M169" s="458" t="inlineStr">
        <is>
          <t>계단식</t>
        </is>
      </c>
      <c r="N169" s="458" t="n">
        <v>3</v>
      </c>
      <c r="O169" s="458" t="n">
        <v>2</v>
      </c>
      <c r="P169" s="458" t="n">
        <v>32</v>
      </c>
      <c r="Q169" s="318" t="n"/>
      <c r="V169" s="458" t="n">
        <v>12.31</v>
      </c>
      <c r="W169" s="458" t="n">
        <v>11.5</v>
      </c>
    </row>
    <row r="170">
      <c r="A170" s="458" t="inlineStr">
        <is>
          <t>성수동2가</t>
        </is>
      </c>
      <c r="B170" s="159" t="inlineStr">
        <is>
          <t>1성수</t>
        </is>
      </c>
      <c r="C170" s="159" t="inlineStr">
        <is>
          <t>상</t>
        </is>
      </c>
      <c r="D170" s="458" t="n">
        <v>8104</v>
      </c>
      <c r="E170" s="288" t="inlineStr">
        <is>
          <t>성수롯데캐슬파크</t>
        </is>
      </c>
      <c r="F170" s="458" t="n">
        <v>2003.09</v>
      </c>
      <c r="G170" s="458" t="n">
        <v>604</v>
      </c>
      <c r="H170" s="458">
        <f>2026-INT(F170)+1</f>
        <v/>
      </c>
      <c r="J170" s="458" t="n">
        <v>103</v>
      </c>
      <c r="K170" s="458" t="n">
        <v>81</v>
      </c>
      <c r="L170" s="458" t="n">
        <v>31</v>
      </c>
      <c r="M170" s="458" t="inlineStr">
        <is>
          <t>계단식</t>
        </is>
      </c>
      <c r="N170" s="458" t="n">
        <v>3</v>
      </c>
      <c r="O170" s="458" t="n">
        <v>1</v>
      </c>
      <c r="P170" s="458" t="n">
        <v>174</v>
      </c>
      <c r="Q170" s="318" t="n"/>
      <c r="V170" s="458" t="n">
        <v>16.3</v>
      </c>
      <c r="W170" s="458" t="n">
        <v>12.6</v>
      </c>
    </row>
    <row r="171">
      <c r="A171" s="458" t="inlineStr">
        <is>
          <t>성수동2가</t>
        </is>
      </c>
      <c r="B171" s="159" t="inlineStr">
        <is>
          <t>1성수</t>
        </is>
      </c>
      <c r="C171" s="159" t="inlineStr">
        <is>
          <t>상</t>
        </is>
      </c>
      <c r="D171" s="458" t="n">
        <v>8104</v>
      </c>
      <c r="E171" s="288" t="inlineStr">
        <is>
          <t>성수롯데캐슬파크</t>
        </is>
      </c>
      <c r="F171" s="458" t="n">
        <v>2003.09</v>
      </c>
      <c r="G171" s="458" t="n">
        <v>604</v>
      </c>
      <c r="H171" s="458">
        <f>2026-INT(F171)+1</f>
        <v/>
      </c>
      <c r="J171" s="458" t="n">
        <v>109</v>
      </c>
      <c r="K171" s="458" t="n">
        <v>84</v>
      </c>
      <c r="L171" s="458" t="n">
        <v>33</v>
      </c>
      <c r="M171" s="458" t="inlineStr">
        <is>
          <t>계단식</t>
        </is>
      </c>
      <c r="N171" s="458" t="n">
        <v>3</v>
      </c>
      <c r="O171" s="458" t="n">
        <v>2</v>
      </c>
      <c r="P171" s="458" t="n">
        <v>17</v>
      </c>
      <c r="Q171" s="318" t="n"/>
      <c r="V171" s="458" t="n">
        <v>15.5</v>
      </c>
      <c r="W171" s="458" t="n">
        <v>11.5</v>
      </c>
    </row>
    <row r="172">
      <c r="A172" s="458" t="inlineStr">
        <is>
          <t>성수동2가</t>
        </is>
      </c>
      <c r="B172" s="159" t="inlineStr">
        <is>
          <t>1성수</t>
        </is>
      </c>
      <c r="C172" s="159" t="inlineStr">
        <is>
          <t>상</t>
        </is>
      </c>
      <c r="D172" s="458" t="n">
        <v>8104</v>
      </c>
      <c r="E172" s="288" t="inlineStr">
        <is>
          <t>성수롯데캐슬파크</t>
        </is>
      </c>
      <c r="F172" s="458" t="n">
        <v>2003.09</v>
      </c>
      <c r="G172" s="458" t="n">
        <v>604</v>
      </c>
      <c r="H172" s="458">
        <f>2026-INT(F172)+1</f>
        <v/>
      </c>
      <c r="J172" s="458" t="n">
        <v>126</v>
      </c>
      <c r="K172" s="458" t="n">
        <v>101</v>
      </c>
      <c r="L172" s="458" t="n">
        <v>38</v>
      </c>
      <c r="M172" s="458" t="inlineStr">
        <is>
          <t>계단식</t>
        </is>
      </c>
      <c r="N172" s="458" t="n">
        <v>4</v>
      </c>
      <c r="O172" s="458" t="n">
        <v>2</v>
      </c>
      <c r="P172" s="458" t="n">
        <v>285</v>
      </c>
      <c r="Q172" s="318" t="n"/>
      <c r="V172" s="458" t="n">
        <v>17.65</v>
      </c>
      <c r="W172" s="458" t="n">
        <v>13</v>
      </c>
    </row>
    <row r="173">
      <c r="A173" s="458" t="inlineStr">
        <is>
          <t>성수동2가</t>
        </is>
      </c>
      <c r="B173" s="159" t="inlineStr">
        <is>
          <t>1성수</t>
        </is>
      </c>
      <c r="C173" s="159" t="inlineStr">
        <is>
          <t>상</t>
        </is>
      </c>
      <c r="D173" s="458" t="n">
        <v>8104</v>
      </c>
      <c r="E173" s="288" t="inlineStr">
        <is>
          <t>성수롯데캐슬파크</t>
        </is>
      </c>
      <c r="F173" s="458" t="n">
        <v>2003.09</v>
      </c>
      <c r="G173" s="458" t="n">
        <v>604</v>
      </c>
      <c r="H173" s="458">
        <f>2026-INT(F173)+1</f>
        <v/>
      </c>
      <c r="J173" s="458" t="n">
        <v>140</v>
      </c>
      <c r="K173" s="458" t="n">
        <v>117</v>
      </c>
      <c r="L173" s="458" t="n">
        <v>42</v>
      </c>
      <c r="M173" s="458" t="inlineStr">
        <is>
          <t>계단식</t>
        </is>
      </c>
      <c r="N173" s="458" t="n">
        <v>4</v>
      </c>
      <c r="O173" s="458" t="n">
        <v>2</v>
      </c>
      <c r="P173" s="458" t="n">
        <v>96</v>
      </c>
      <c r="Q173" s="318" t="n"/>
      <c r="V173" s="458" t="n">
        <v>18.3</v>
      </c>
      <c r="W173" s="458" t="n">
        <v>18.15</v>
      </c>
    </row>
    <row r="174">
      <c r="A174" s="287" t="inlineStr">
        <is>
          <t>성수동2가</t>
        </is>
      </c>
      <c r="B174" s="307" t="inlineStr">
        <is>
          <t>1성수</t>
        </is>
      </c>
      <c r="C174" s="307" t="inlineStr">
        <is>
          <t>상</t>
        </is>
      </c>
      <c r="D174" s="287" t="n">
        <v>8103</v>
      </c>
      <c r="E174" s="286" t="inlineStr">
        <is>
          <t>성수아이파크</t>
        </is>
      </c>
      <c r="F174" s="287" t="n">
        <v>2003.08</v>
      </c>
      <c r="G174" s="287" t="n">
        <v>656</v>
      </c>
      <c r="H174" s="287">
        <f>2026-INT(F174)+1</f>
        <v/>
      </c>
      <c r="I174" s="285" t="n"/>
      <c r="J174" s="287" t="n">
        <v>106</v>
      </c>
      <c r="K174" s="287" t="n">
        <v>84</v>
      </c>
      <c r="L174" s="287" t="n">
        <v>32</v>
      </c>
      <c r="M174" s="287" t="inlineStr">
        <is>
          <t>계단식</t>
        </is>
      </c>
      <c r="N174" s="287" t="n">
        <v>3</v>
      </c>
      <c r="O174" s="287" t="n">
        <v>2</v>
      </c>
      <c r="P174" s="287" t="n">
        <v>236</v>
      </c>
      <c r="Q174" s="317" t="n"/>
      <c r="R174" s="285" t="n"/>
      <c r="S174" s="285" t="n"/>
      <c r="T174" s="285" t="n"/>
      <c r="U174" s="285" t="n"/>
      <c r="V174" s="285" t="n">
        <v>16.5</v>
      </c>
      <c r="W174" s="285" t="n">
        <v>13.7</v>
      </c>
      <c r="X174" s="285" t="n"/>
      <c r="Y174" s="285" t="n"/>
      <c r="Z174" s="285" t="n"/>
      <c r="AA174" s="285" t="n"/>
      <c r="AB174" s="285" t="n"/>
      <c r="AC174" s="285" t="n"/>
      <c r="AD174" s="285" t="n"/>
      <c r="AE174" s="285" t="n"/>
      <c r="AF174" s="285" t="n"/>
      <c r="AG174" s="285" t="n"/>
      <c r="AH174" s="285" t="n"/>
      <c r="AI174" s="285" t="n"/>
      <c r="AJ174" s="285" t="n"/>
      <c r="AK174" s="285" t="n"/>
      <c r="AL174" s="285" t="n"/>
    </row>
    <row r="175">
      <c r="A175" s="285" t="inlineStr">
        <is>
          <t>성수동2가</t>
        </is>
      </c>
      <c r="B175" s="307" t="inlineStr">
        <is>
          <t>1성수</t>
        </is>
      </c>
      <c r="C175" s="307" t="inlineStr">
        <is>
          <t>상</t>
        </is>
      </c>
      <c r="D175" s="285" t="n">
        <v>8103</v>
      </c>
      <c r="E175" s="286" t="inlineStr">
        <is>
          <t>성수아이파크</t>
        </is>
      </c>
      <c r="F175" s="285" t="n">
        <v>2003.08</v>
      </c>
      <c r="G175" s="285" t="n">
        <v>656</v>
      </c>
      <c r="H175" s="285">
        <f>2026-INT(F175)+1</f>
        <v/>
      </c>
      <c r="I175" s="285" t="n"/>
      <c r="J175" s="285" t="n">
        <v>127</v>
      </c>
      <c r="K175" s="285" t="n">
        <v>104</v>
      </c>
      <c r="L175" s="285" t="n">
        <v>38</v>
      </c>
      <c r="M175" s="285" t="inlineStr">
        <is>
          <t>계단식</t>
        </is>
      </c>
      <c r="N175" s="285" t="n">
        <v>4</v>
      </c>
      <c r="O175" s="285" t="n">
        <v>2</v>
      </c>
      <c r="P175" s="285" t="n">
        <v>258</v>
      </c>
      <c r="Q175" s="316" t="n"/>
      <c r="R175" s="285" t="n"/>
      <c r="S175" s="285" t="n"/>
      <c r="T175" s="285" t="n"/>
      <c r="U175" s="285" t="n"/>
      <c r="V175" s="285" t="n">
        <v>14.92</v>
      </c>
      <c r="W175" s="285" t="n">
        <v>15</v>
      </c>
      <c r="X175" s="285" t="n"/>
      <c r="Y175" s="285" t="n"/>
      <c r="Z175" s="285" t="n"/>
      <c r="AA175" s="285" t="n"/>
      <c r="AB175" s="285" t="n"/>
      <c r="AC175" s="285" t="n"/>
      <c r="AD175" s="285" t="n"/>
      <c r="AE175" s="285" t="n"/>
      <c r="AF175" s="285" t="n"/>
      <c r="AG175" s="285" t="n"/>
      <c r="AH175" s="285" t="n"/>
      <c r="AI175" s="285" t="n"/>
      <c r="AJ175" s="285" t="n"/>
      <c r="AK175" s="285" t="n"/>
      <c r="AL175" s="285" t="n"/>
    </row>
    <row r="176">
      <c r="A176" s="285" t="inlineStr">
        <is>
          <t>성수동2가</t>
        </is>
      </c>
      <c r="B176" s="307" t="inlineStr">
        <is>
          <t>1성수</t>
        </is>
      </c>
      <c r="C176" s="307" t="inlineStr">
        <is>
          <t>상</t>
        </is>
      </c>
      <c r="D176" s="285" t="n">
        <v>8103</v>
      </c>
      <c r="E176" s="286" t="inlineStr">
        <is>
          <t>성수아이파크</t>
        </is>
      </c>
      <c r="F176" s="285" t="n">
        <v>2003.08</v>
      </c>
      <c r="G176" s="285" t="n">
        <v>656</v>
      </c>
      <c r="H176" s="285">
        <f>2026-INT(F176)+1</f>
        <v/>
      </c>
      <c r="I176" s="285" t="n"/>
      <c r="J176" s="285" t="n">
        <v>139</v>
      </c>
      <c r="K176" s="285" t="n">
        <v>116</v>
      </c>
      <c r="L176" s="285" t="n">
        <v>42</v>
      </c>
      <c r="M176" s="285" t="inlineStr">
        <is>
          <t>계단식</t>
        </is>
      </c>
      <c r="N176" s="285" t="n">
        <v>4</v>
      </c>
      <c r="O176" s="285" t="n">
        <v>2</v>
      </c>
      <c r="P176" s="285" t="n">
        <v>162</v>
      </c>
      <c r="Q176" s="316" t="n"/>
      <c r="R176" s="285" t="n"/>
      <c r="S176" s="285" t="n"/>
      <c r="T176" s="285" t="n"/>
      <c r="U176" s="285" t="n"/>
      <c r="V176" s="285" t="n">
        <v>18.7</v>
      </c>
      <c r="W176" s="285" t="n"/>
      <c r="X176" s="285" t="n"/>
      <c r="Y176" s="285" t="n"/>
      <c r="Z176" s="285" t="n"/>
      <c r="AA176" s="285" t="n"/>
      <c r="AB176" s="285" t="n"/>
      <c r="AC176" s="285" t="n"/>
      <c r="AD176" s="285" t="n"/>
      <c r="AE176" s="285" t="n"/>
      <c r="AF176" s="285" t="n"/>
      <c r="AG176" s="285" t="n"/>
      <c r="AH176" s="285" t="n"/>
      <c r="AI176" s="285" t="n"/>
      <c r="AJ176" s="285" t="n"/>
      <c r="AK176" s="285" t="n"/>
      <c r="AL176" s="285" t="n"/>
    </row>
    <row r="177">
      <c r="A177" s="458" t="inlineStr">
        <is>
          <t>성수동2가</t>
        </is>
      </c>
      <c r="B177" s="159" t="inlineStr">
        <is>
          <t>1성수</t>
        </is>
      </c>
      <c r="C177" s="159" t="inlineStr">
        <is>
          <t>하</t>
        </is>
      </c>
      <c r="D177" s="458" t="n">
        <v>324</v>
      </c>
      <c r="E177" s="288" t="inlineStr">
        <is>
          <t>성수우방2차</t>
        </is>
      </c>
      <c r="F177" s="458" t="n">
        <v>1999.12</v>
      </c>
      <c r="G177" s="458" t="n">
        <v>221</v>
      </c>
      <c r="H177" s="458">
        <f>2026-INT(F177)+1</f>
        <v/>
      </c>
      <c r="J177" s="458" t="n">
        <v>80</v>
      </c>
      <c r="K177" s="458" t="n">
        <v>59</v>
      </c>
      <c r="L177" s="458" t="n">
        <v>24</v>
      </c>
      <c r="M177" s="458" t="inlineStr">
        <is>
          <t>복합식</t>
        </is>
      </c>
      <c r="N177" s="458" t="n">
        <v>3</v>
      </c>
      <c r="O177" s="458" t="n">
        <v>1</v>
      </c>
      <c r="P177" s="458" t="n">
        <v>103</v>
      </c>
      <c r="Q177" s="318" t="n"/>
      <c r="V177" s="458" t="n">
        <v>9.9</v>
      </c>
      <c r="W177" s="458" t="n">
        <v>8.6</v>
      </c>
    </row>
    <row r="178">
      <c r="A178" s="458" t="inlineStr">
        <is>
          <t>성수동2가</t>
        </is>
      </c>
      <c r="B178" s="159" t="inlineStr">
        <is>
          <t>1성수</t>
        </is>
      </c>
      <c r="C178" s="159" t="inlineStr">
        <is>
          <t>하</t>
        </is>
      </c>
      <c r="D178" s="458" t="n">
        <v>324</v>
      </c>
      <c r="E178" s="288" t="inlineStr">
        <is>
          <t>성수우방2차</t>
        </is>
      </c>
      <c r="F178" s="458" t="n">
        <v>1999.12</v>
      </c>
      <c r="G178" s="458" t="n">
        <v>221</v>
      </c>
      <c r="H178" s="458">
        <f>2026-INT(F178)+1</f>
        <v/>
      </c>
      <c r="J178" s="458" t="n">
        <v>95</v>
      </c>
      <c r="K178" s="458" t="n">
        <v>71</v>
      </c>
      <c r="L178" s="458" t="n">
        <v>29</v>
      </c>
      <c r="M178" s="458" t="inlineStr">
        <is>
          <t>계단식</t>
        </is>
      </c>
      <c r="N178" s="458" t="n">
        <v>3</v>
      </c>
      <c r="O178" s="458" t="n">
        <v>1</v>
      </c>
      <c r="P178" s="458" t="n">
        <v>4</v>
      </c>
      <c r="Q178" s="318" t="n"/>
      <c r="V178" s="458" t="n"/>
      <c r="W178" s="458" t="n"/>
    </row>
    <row r="179">
      <c r="A179" s="458" t="inlineStr">
        <is>
          <t>성수동2가</t>
        </is>
      </c>
      <c r="B179" s="159" t="inlineStr">
        <is>
          <t>1성수</t>
        </is>
      </c>
      <c r="C179" s="159" t="inlineStr">
        <is>
          <t>하</t>
        </is>
      </c>
      <c r="D179" s="458" t="n">
        <v>324</v>
      </c>
      <c r="E179" s="288" t="inlineStr">
        <is>
          <t>성수우방2차</t>
        </is>
      </c>
      <c r="F179" s="458" t="n">
        <v>1999.12</v>
      </c>
      <c r="G179" s="458" t="n">
        <v>221</v>
      </c>
      <c r="H179" s="458">
        <f>2026-INT(F179)+1</f>
        <v/>
      </c>
      <c r="J179" s="458" t="n">
        <v>113</v>
      </c>
      <c r="K179" s="458" t="n">
        <v>84</v>
      </c>
      <c r="L179" s="458" t="n">
        <v>34</v>
      </c>
      <c r="M179" s="458" t="inlineStr">
        <is>
          <t>계단식</t>
        </is>
      </c>
      <c r="N179" s="458" t="n">
        <v>3</v>
      </c>
      <c r="O179" s="458" t="n">
        <v>2</v>
      </c>
      <c r="P179" s="458" t="n">
        <v>114</v>
      </c>
      <c r="Q179" s="318" t="n"/>
      <c r="V179" s="458" t="n">
        <v>12</v>
      </c>
      <c r="W179" s="458" t="n">
        <v>10.5</v>
      </c>
    </row>
    <row r="180">
      <c r="A180" s="287" t="inlineStr">
        <is>
          <t>성수동2가</t>
        </is>
      </c>
      <c r="B180" s="307" t="inlineStr">
        <is>
          <t>1성수</t>
        </is>
      </c>
      <c r="C180" s="307" t="inlineStr">
        <is>
          <t>하</t>
        </is>
      </c>
      <c r="D180" s="287" t="n">
        <v>559</v>
      </c>
      <c r="E180" s="286" t="inlineStr">
        <is>
          <t>청구강변(101동)</t>
        </is>
      </c>
      <c r="F180" s="287" t="n">
        <v>1994.04</v>
      </c>
      <c r="G180" s="287" t="n">
        <v>246</v>
      </c>
      <c r="H180" s="287">
        <f>2026-INT(F180)+1</f>
        <v/>
      </c>
      <c r="I180" s="285" t="n"/>
      <c r="J180" s="287" t="n">
        <v>73</v>
      </c>
      <c r="K180" s="287" t="n">
        <v>59</v>
      </c>
      <c r="L180" s="287" t="n">
        <v>22</v>
      </c>
      <c r="M180" s="287" t="inlineStr">
        <is>
          <t>복도식</t>
        </is>
      </c>
      <c r="N180" s="287" t="n">
        <v>2</v>
      </c>
      <c r="O180" s="287" t="n">
        <v>1</v>
      </c>
      <c r="P180" s="287" t="n">
        <v>36</v>
      </c>
      <c r="Q180" s="317" t="n"/>
      <c r="R180" s="285" t="n"/>
      <c r="S180" s="285" t="n"/>
      <c r="T180" s="285" t="n"/>
      <c r="U180" s="285" t="n"/>
      <c r="V180" s="287" t="n"/>
      <c r="W180" s="287" t="n"/>
      <c r="X180" s="285" t="n"/>
      <c r="Y180" s="285" t="n"/>
      <c r="Z180" s="285" t="n"/>
      <c r="AA180" s="285" t="n"/>
      <c r="AB180" s="285" t="n"/>
      <c r="AC180" s="285" t="n"/>
      <c r="AD180" s="285" t="n"/>
      <c r="AE180" s="285" t="n"/>
      <c r="AF180" s="285" t="n"/>
      <c r="AG180" s="285" t="n"/>
      <c r="AH180" s="285" t="n"/>
      <c r="AI180" s="285" t="n"/>
      <c r="AJ180" s="285" t="n"/>
      <c r="AK180" s="285" t="n"/>
      <c r="AL180" s="285" t="n"/>
    </row>
    <row r="181">
      <c r="A181" s="285" t="inlineStr">
        <is>
          <t>성수동2가</t>
        </is>
      </c>
      <c r="B181" s="307" t="inlineStr">
        <is>
          <t>1성수</t>
        </is>
      </c>
      <c r="C181" s="307" t="inlineStr">
        <is>
          <t>하</t>
        </is>
      </c>
      <c r="D181" s="285" t="n">
        <v>559</v>
      </c>
      <c r="E181" s="286" t="inlineStr">
        <is>
          <t>청구강변(101동)</t>
        </is>
      </c>
      <c r="F181" s="285" t="n">
        <v>1994.04</v>
      </c>
      <c r="G181" s="285" t="n">
        <v>246</v>
      </c>
      <c r="H181" s="285">
        <f>2026-INT(F181)+1</f>
        <v/>
      </c>
      <c r="I181" s="285" t="n"/>
      <c r="J181" s="285" t="n">
        <v>103</v>
      </c>
      <c r="K181" s="285" t="n">
        <v>84</v>
      </c>
      <c r="L181" s="285" t="n">
        <v>31</v>
      </c>
      <c r="M181" s="285" t="inlineStr">
        <is>
          <t>계단식</t>
        </is>
      </c>
      <c r="N181" s="285" t="n">
        <v>3</v>
      </c>
      <c r="O181" s="285" t="n">
        <v>2</v>
      </c>
      <c r="P181" s="285" t="n">
        <v>210</v>
      </c>
      <c r="Q181" s="316" t="n"/>
      <c r="R181" s="285" t="n"/>
      <c r="S181" s="285" t="n"/>
      <c r="T181" s="285" t="n"/>
      <c r="U181" s="285" t="n"/>
      <c r="V181" s="285" t="n">
        <v>22.5</v>
      </c>
      <c r="W181" s="285" t="n">
        <v>20.5</v>
      </c>
      <c r="X181" s="285" t="n"/>
      <c r="Y181" s="285" t="n"/>
      <c r="Z181" s="285" t="n"/>
      <c r="AA181" s="285" t="n"/>
      <c r="AB181" s="285" t="n"/>
      <c r="AC181" s="285" t="n"/>
      <c r="AD181" s="285" t="n"/>
      <c r="AE181" s="285" t="n"/>
      <c r="AF181" s="285" t="n"/>
      <c r="AG181" s="285" t="n"/>
      <c r="AH181" s="285" t="n"/>
      <c r="AI181" s="285" t="n"/>
      <c r="AJ181" s="285" t="n"/>
      <c r="AK181" s="285" t="n"/>
      <c r="AL181" s="285" t="n"/>
    </row>
    <row r="182">
      <c r="A182" s="458" t="inlineStr">
        <is>
          <t>성수동2가</t>
        </is>
      </c>
      <c r="B182" s="159" t="inlineStr">
        <is>
          <t>1성수</t>
        </is>
      </c>
      <c r="C182" s="159" t="inlineStr">
        <is>
          <t>하</t>
        </is>
      </c>
      <c r="D182" s="458" t="n">
        <v>1177</v>
      </c>
      <c r="E182" s="288" t="inlineStr">
        <is>
          <t>한강한신</t>
        </is>
      </c>
      <c r="F182" s="458" t="n">
        <v>2000.09</v>
      </c>
      <c r="G182" s="458" t="n">
        <v>202</v>
      </c>
      <c r="H182" s="458">
        <f>2026-INT(F182)+1</f>
        <v/>
      </c>
      <c r="J182" s="458" t="n">
        <v>78</v>
      </c>
      <c r="K182" s="458" t="n">
        <v>59</v>
      </c>
      <c r="L182" s="458" t="n">
        <v>24</v>
      </c>
      <c r="M182" s="458" t="inlineStr">
        <is>
          <t>계단식</t>
        </is>
      </c>
      <c r="N182" s="458" t="n">
        <v>3</v>
      </c>
      <c r="O182" s="458" t="n">
        <v>1</v>
      </c>
      <c r="P182" s="458" t="n">
        <v>76</v>
      </c>
      <c r="Q182" s="318" t="n"/>
    </row>
    <row r="183">
      <c r="A183" s="458" t="inlineStr">
        <is>
          <t>성수동2가</t>
        </is>
      </c>
      <c r="B183" s="159" t="inlineStr">
        <is>
          <t>1성수</t>
        </is>
      </c>
      <c r="C183" s="159" t="inlineStr">
        <is>
          <t>하</t>
        </is>
      </c>
      <c r="D183" s="458" t="n">
        <v>1177</v>
      </c>
      <c r="E183" s="288" t="inlineStr">
        <is>
          <t>한강한신</t>
        </is>
      </c>
      <c r="F183" s="458" t="n">
        <v>2000.09</v>
      </c>
      <c r="G183" s="458" t="n">
        <v>202</v>
      </c>
      <c r="H183" s="458">
        <f>2026-INT(F183)+1</f>
        <v/>
      </c>
      <c r="J183" s="458" t="n">
        <v>112</v>
      </c>
      <c r="K183" s="458" t="n">
        <v>84</v>
      </c>
      <c r="L183" s="458" t="n">
        <v>34</v>
      </c>
      <c r="M183" s="458" t="inlineStr">
        <is>
          <t>계단식</t>
        </is>
      </c>
      <c r="N183" s="458" t="n">
        <v>3</v>
      </c>
      <c r="O183" s="458" t="n">
        <v>2</v>
      </c>
      <c r="P183" s="458" t="n">
        <v>126</v>
      </c>
      <c r="Q183" s="318" t="n"/>
      <c r="V183" s="458" t="n">
        <v>23.7</v>
      </c>
      <c r="W183" s="458" t="n">
        <v>20.8</v>
      </c>
    </row>
    <row r="184">
      <c r="A184" s="287" t="inlineStr">
        <is>
          <t>송정동</t>
        </is>
      </c>
      <c r="B184" s="159" t="inlineStr">
        <is>
          <t>1성수</t>
        </is>
      </c>
      <c r="C184" s="310" t="inlineStr">
        <is>
          <t>중</t>
        </is>
      </c>
      <c r="D184" s="287" t="n">
        <v>27132</v>
      </c>
      <c r="E184" s="286" t="inlineStr">
        <is>
          <t>서울숲IPARK</t>
        </is>
      </c>
      <c r="F184" s="287" t="n">
        <v>2009.03</v>
      </c>
      <c r="G184" s="287" t="n">
        <v>241</v>
      </c>
      <c r="H184" s="287">
        <f>2026-INT(F184)+1</f>
        <v/>
      </c>
      <c r="I184" s="285" t="n"/>
      <c r="J184" s="287" t="n">
        <v>84</v>
      </c>
      <c r="K184" s="287" t="n">
        <v>64</v>
      </c>
      <c r="L184" s="287" t="n">
        <v>25</v>
      </c>
      <c r="M184" s="287" t="inlineStr">
        <is>
          <t>복합식</t>
        </is>
      </c>
      <c r="N184" s="287" t="n">
        <v>3</v>
      </c>
      <c r="O184" s="287" t="n">
        <v>2</v>
      </c>
      <c r="P184" s="287" t="n">
        <v>4</v>
      </c>
      <c r="Q184" s="317" t="n"/>
      <c r="R184" s="285" t="n"/>
      <c r="S184" s="285" t="n"/>
      <c r="T184" s="285" t="n"/>
      <c r="U184" s="285" t="n"/>
      <c r="V184" s="287" t="n"/>
      <c r="W184" s="287" t="n"/>
      <c r="X184" s="285" t="n"/>
      <c r="Y184" s="285" t="n"/>
      <c r="Z184" s="285" t="n"/>
      <c r="AA184" s="285" t="n"/>
      <c r="AB184" s="285" t="n"/>
      <c r="AC184" s="285" t="n"/>
      <c r="AD184" s="285" t="n"/>
      <c r="AE184" s="285" t="n"/>
      <c r="AF184" s="285" t="n"/>
      <c r="AG184" s="285" t="n"/>
      <c r="AH184" s="285" t="n"/>
      <c r="AI184" s="285" t="n"/>
      <c r="AJ184" s="285" t="n"/>
      <c r="AK184" s="285" t="n"/>
      <c r="AL184" s="285" t="n"/>
    </row>
    <row r="185">
      <c r="A185" s="287" t="inlineStr">
        <is>
          <t>송정동</t>
        </is>
      </c>
      <c r="B185" s="310" t="inlineStr">
        <is>
          <t>1성수</t>
        </is>
      </c>
      <c r="C185" s="310" t="inlineStr">
        <is>
          <t>중</t>
        </is>
      </c>
      <c r="D185" s="287" t="n">
        <v>27132</v>
      </c>
      <c r="E185" s="286" t="inlineStr">
        <is>
          <t>서울숲IPARK</t>
        </is>
      </c>
      <c r="F185" s="287" t="n">
        <v>2009.03</v>
      </c>
      <c r="G185" s="287" t="n">
        <v>241</v>
      </c>
      <c r="H185" s="287">
        <f>2026-INT(F185)+1</f>
        <v/>
      </c>
      <c r="I185" s="285" t="n"/>
      <c r="J185" s="287" t="n">
        <v>100</v>
      </c>
      <c r="K185" s="287" t="n">
        <v>75</v>
      </c>
      <c r="L185" s="287" t="n">
        <v>30</v>
      </c>
      <c r="M185" s="287" t="inlineStr">
        <is>
          <t>복합식</t>
        </is>
      </c>
      <c r="N185" s="287" t="n">
        <v>3</v>
      </c>
      <c r="O185" s="287" t="n">
        <v>2</v>
      </c>
      <c r="P185" s="287" t="n">
        <v>11</v>
      </c>
      <c r="Q185" s="317" t="n"/>
      <c r="R185" s="285" t="n"/>
      <c r="S185" s="285" t="n"/>
      <c r="T185" s="285" t="n"/>
      <c r="U185" s="285" t="n"/>
      <c r="V185" s="285" t="n"/>
      <c r="W185" s="285" t="n"/>
      <c r="X185" s="285" t="n"/>
      <c r="Y185" s="285" t="n"/>
      <c r="Z185" s="285" t="n"/>
      <c r="AA185" s="285" t="n"/>
      <c r="AB185" s="285" t="n"/>
      <c r="AC185" s="285" t="n"/>
      <c r="AD185" s="285" t="n"/>
      <c r="AE185" s="285" t="n"/>
      <c r="AF185" s="285" t="n"/>
      <c r="AG185" s="285" t="n"/>
      <c r="AH185" s="285" t="n"/>
      <c r="AI185" s="285" t="n"/>
      <c r="AJ185" s="285" t="n"/>
      <c r="AK185" s="285" t="n"/>
      <c r="AL185" s="285" t="n"/>
    </row>
    <row r="186">
      <c r="A186" s="287" t="inlineStr">
        <is>
          <t>송정동</t>
        </is>
      </c>
      <c r="B186" s="310" t="inlineStr">
        <is>
          <t>1성수</t>
        </is>
      </c>
      <c r="C186" s="310" t="inlineStr">
        <is>
          <t>중</t>
        </is>
      </c>
      <c r="D186" s="287" t="n">
        <v>27132</v>
      </c>
      <c r="E186" s="286" t="inlineStr">
        <is>
          <t>서울숲IPARK</t>
        </is>
      </c>
      <c r="F186" s="287" t="n">
        <v>2009.03</v>
      </c>
      <c r="G186" s="287" t="n">
        <v>241</v>
      </c>
      <c r="H186" s="287">
        <f>2026-INT(F186)+1</f>
        <v/>
      </c>
      <c r="I186" s="285" t="n"/>
      <c r="J186" s="287" t="n">
        <v>112</v>
      </c>
      <c r="K186" s="287" t="n">
        <v>84</v>
      </c>
      <c r="L186" s="287" t="n">
        <v>34</v>
      </c>
      <c r="M186" s="287" t="inlineStr">
        <is>
          <t>복합식</t>
        </is>
      </c>
      <c r="N186" s="287" t="n">
        <v>3</v>
      </c>
      <c r="O186" s="287" t="n">
        <v>2</v>
      </c>
      <c r="P186" s="287" t="n">
        <v>163</v>
      </c>
      <c r="Q186" s="317" t="n"/>
      <c r="R186" s="285" t="n"/>
      <c r="S186" s="285" t="n"/>
      <c r="T186" s="285" t="n"/>
      <c r="U186" s="285" t="n"/>
      <c r="V186" s="285" t="n">
        <v>13.3</v>
      </c>
      <c r="W186" s="285" t="n">
        <v>12.5</v>
      </c>
      <c r="X186" s="285" t="n"/>
      <c r="Y186" s="285" t="n"/>
      <c r="Z186" s="285" t="n"/>
      <c r="AA186" s="285" t="n"/>
      <c r="AB186" s="285" t="n"/>
      <c r="AC186" s="285" t="n"/>
      <c r="AD186" s="285" t="n"/>
      <c r="AE186" s="285" t="n"/>
      <c r="AF186" s="285" t="n"/>
      <c r="AG186" s="285" t="n"/>
      <c r="AH186" s="285" t="n"/>
      <c r="AI186" s="285" t="n"/>
      <c r="AJ186" s="285" t="n"/>
      <c r="AK186" s="285" t="n"/>
      <c r="AL186" s="285" t="n"/>
    </row>
    <row r="187">
      <c r="A187" s="287" t="inlineStr">
        <is>
          <t>송정동</t>
        </is>
      </c>
      <c r="B187" s="310" t="inlineStr">
        <is>
          <t>1성수</t>
        </is>
      </c>
      <c r="C187" s="310" t="inlineStr">
        <is>
          <t>중</t>
        </is>
      </c>
      <c r="D187" s="287" t="n">
        <v>27132</v>
      </c>
      <c r="E187" s="286" t="inlineStr">
        <is>
          <t>서울숲IPARK</t>
        </is>
      </c>
      <c r="F187" s="287" t="n">
        <v>2009.03</v>
      </c>
      <c r="G187" s="287" t="n">
        <v>241</v>
      </c>
      <c r="H187" s="287">
        <f>2026-INT(F187)+1</f>
        <v/>
      </c>
      <c r="I187" s="285" t="n"/>
      <c r="J187" s="287" t="n">
        <v>152</v>
      </c>
      <c r="K187" s="287" t="n">
        <v>116</v>
      </c>
      <c r="L187" s="287" t="n">
        <v>46</v>
      </c>
      <c r="M187" s="287" t="inlineStr">
        <is>
          <t>복합식</t>
        </is>
      </c>
      <c r="N187" s="287" t="n">
        <v>4</v>
      </c>
      <c r="O187" s="287" t="n">
        <v>2</v>
      </c>
      <c r="P187" s="287" t="n">
        <v>29</v>
      </c>
      <c r="Q187" s="317" t="n"/>
      <c r="R187" s="285" t="n"/>
      <c r="S187" s="285" t="n"/>
      <c r="T187" s="285" t="n"/>
      <c r="U187" s="285" t="n"/>
      <c r="V187" s="285" t="n"/>
      <c r="W187" s="285" t="n"/>
      <c r="X187" s="285" t="n"/>
      <c r="Y187" s="285" t="n"/>
      <c r="Z187" s="285" t="n"/>
      <c r="AA187" s="285" t="n"/>
      <c r="AB187" s="285" t="n"/>
      <c r="AC187" s="285" t="n"/>
      <c r="AD187" s="285" t="n"/>
      <c r="AE187" s="285" t="n"/>
      <c r="AF187" s="285" t="n"/>
      <c r="AG187" s="285" t="n"/>
      <c r="AH187" s="285" t="n"/>
      <c r="AI187" s="285" t="n"/>
      <c r="AJ187" s="285" t="n"/>
      <c r="AK187" s="285" t="n"/>
      <c r="AL187" s="285" t="n"/>
    </row>
    <row r="188">
      <c r="A188" s="458" t="inlineStr">
        <is>
          <t>송정동</t>
        </is>
      </c>
      <c r="B188" s="159" t="inlineStr">
        <is>
          <t>1성수</t>
        </is>
      </c>
      <c r="C188" s="159" t="inlineStr">
        <is>
          <t>하</t>
        </is>
      </c>
      <c r="D188" s="458" t="n">
        <v>1178</v>
      </c>
      <c r="E188" s="288" t="inlineStr">
        <is>
          <t>송정건영</t>
        </is>
      </c>
      <c r="F188" s="458" t="n">
        <v>2000.05</v>
      </c>
      <c r="G188" s="458" t="n">
        <v>447</v>
      </c>
      <c r="H188" s="458">
        <f>2026-INT(F188)+1</f>
        <v/>
      </c>
      <c r="J188" s="458" t="n">
        <v>86</v>
      </c>
      <c r="K188" s="458" t="n">
        <v>59</v>
      </c>
      <c r="L188" s="458" t="n">
        <v>26</v>
      </c>
      <c r="M188" s="458" t="inlineStr">
        <is>
          <t>복도식</t>
        </is>
      </c>
      <c r="N188" s="458" t="n">
        <v>3</v>
      </c>
      <c r="O188" s="458" t="n">
        <v>1</v>
      </c>
      <c r="P188" s="458" t="n">
        <v>199</v>
      </c>
      <c r="Q188" s="318" t="n"/>
      <c r="V188" s="458" t="n">
        <v>8.6</v>
      </c>
      <c r="W188" s="458" t="n">
        <v>6.5</v>
      </c>
    </row>
    <row r="189">
      <c r="A189" s="458" t="inlineStr">
        <is>
          <t>송정동</t>
        </is>
      </c>
      <c r="B189" s="159" t="inlineStr">
        <is>
          <t>1성수</t>
        </is>
      </c>
      <c r="C189" s="159" t="inlineStr">
        <is>
          <t>하</t>
        </is>
      </c>
      <c r="D189" s="458" t="n">
        <v>1178</v>
      </c>
      <c r="E189" s="288" t="inlineStr">
        <is>
          <t>송정건영</t>
        </is>
      </c>
      <c r="F189" s="458" t="n">
        <v>2000.05</v>
      </c>
      <c r="G189" s="458" t="n">
        <v>447</v>
      </c>
      <c r="H189" s="458">
        <f>2026-INT(F189)+1</f>
        <v/>
      </c>
      <c r="J189" s="458" t="n">
        <v>107</v>
      </c>
      <c r="K189" s="458" t="n">
        <v>84</v>
      </c>
      <c r="L189" s="458" t="n">
        <v>32</v>
      </c>
      <c r="M189" s="458" t="inlineStr">
        <is>
          <t>복합식</t>
        </is>
      </c>
      <c r="N189" s="458" t="n">
        <v>3</v>
      </c>
      <c r="O189" s="458" t="n">
        <v>2</v>
      </c>
      <c r="P189" s="458" t="n">
        <v>216</v>
      </c>
      <c r="Q189" s="318" t="n"/>
      <c r="V189" s="458" t="n">
        <v>10.85</v>
      </c>
      <c r="W189" s="458" t="n">
        <v>9.300000000000001</v>
      </c>
    </row>
    <row r="190">
      <c r="A190" s="458" t="inlineStr">
        <is>
          <t>송정동</t>
        </is>
      </c>
      <c r="B190" s="159" t="inlineStr">
        <is>
          <t>1성수</t>
        </is>
      </c>
      <c r="C190" s="159" t="inlineStr">
        <is>
          <t>하</t>
        </is>
      </c>
      <c r="D190" s="458" t="n">
        <v>1178</v>
      </c>
      <c r="E190" s="288" t="inlineStr">
        <is>
          <t>송정건영</t>
        </is>
      </c>
      <c r="F190" s="458" t="n">
        <v>2000.05</v>
      </c>
      <c r="G190" s="458" t="n">
        <v>447</v>
      </c>
      <c r="H190" s="458">
        <f>2026-INT(F190)+1</f>
        <v/>
      </c>
      <c r="J190" s="458" t="n">
        <v>136</v>
      </c>
      <c r="K190" s="458" t="n">
        <v>110</v>
      </c>
      <c r="L190" s="458" t="n">
        <v>41</v>
      </c>
      <c r="M190" s="458" t="inlineStr">
        <is>
          <t>계단식</t>
        </is>
      </c>
      <c r="N190" s="458" t="n">
        <v>4</v>
      </c>
      <c r="O190" s="458" t="n">
        <v>2</v>
      </c>
      <c r="P190" s="458" t="n">
        <v>32</v>
      </c>
      <c r="Q190" s="318" t="n"/>
      <c r="V190" s="458" t="n">
        <v>10.1</v>
      </c>
      <c r="W190" s="458" t="n">
        <v>9.199999999999999</v>
      </c>
    </row>
    <row r="191">
      <c r="A191" s="458" t="inlineStr">
        <is>
          <t>옥수동</t>
        </is>
      </c>
      <c r="B191" s="159" t="inlineStr">
        <is>
          <t>2금호옥수</t>
        </is>
      </c>
      <c r="C191" s="159" t="inlineStr">
        <is>
          <t>중</t>
        </is>
      </c>
      <c r="D191" s="458" t="n">
        <v>1179</v>
      </c>
      <c r="E191" s="288" t="inlineStr">
        <is>
          <t>옥수삼성</t>
        </is>
      </c>
      <c r="F191" s="458" t="n">
        <v>1999.04</v>
      </c>
      <c r="G191" s="458" t="n">
        <v>1114</v>
      </c>
      <c r="H191" s="458">
        <f>2026-INT(F191)+1</f>
        <v/>
      </c>
      <c r="J191" s="458" t="n">
        <v>106</v>
      </c>
      <c r="K191" s="458" t="n">
        <v>84</v>
      </c>
      <c r="L191" s="458" t="n">
        <v>32</v>
      </c>
      <c r="M191" s="458" t="inlineStr">
        <is>
          <t>계단식</t>
        </is>
      </c>
      <c r="N191" s="458" t="n">
        <v>3</v>
      </c>
      <c r="O191" s="458" t="n">
        <v>2</v>
      </c>
      <c r="P191" s="458" t="n">
        <v>429</v>
      </c>
      <c r="Q191" s="318" t="n"/>
      <c r="V191" s="458" t="n">
        <v>17.8</v>
      </c>
      <c r="W191" s="458" t="n">
        <v>11.25</v>
      </c>
    </row>
    <row r="192">
      <c r="A192" s="458" t="inlineStr">
        <is>
          <t>옥수동</t>
        </is>
      </c>
      <c r="B192" s="159" t="inlineStr">
        <is>
          <t>2금호옥수</t>
        </is>
      </c>
      <c r="C192" s="159" t="inlineStr">
        <is>
          <t>중</t>
        </is>
      </c>
      <c r="D192" s="458" t="n">
        <v>1179</v>
      </c>
      <c r="E192" s="288" t="inlineStr">
        <is>
          <t>옥수삼성</t>
        </is>
      </c>
      <c r="F192" s="458" t="n">
        <v>1999.04</v>
      </c>
      <c r="G192" s="458" t="n">
        <v>1114</v>
      </c>
      <c r="H192" s="458">
        <f>2026-INT(F192)+1</f>
        <v/>
      </c>
      <c r="J192" s="458" t="n">
        <v>144</v>
      </c>
      <c r="K192" s="458" t="n">
        <v>114</v>
      </c>
      <c r="L192" s="458" t="n">
        <v>44</v>
      </c>
      <c r="M192" s="458" t="inlineStr">
        <is>
          <t>계단식</t>
        </is>
      </c>
      <c r="N192" s="458" t="n">
        <v>4</v>
      </c>
      <c r="O192" s="458" t="n">
        <v>2</v>
      </c>
      <c r="P192" s="458" t="n">
        <v>273</v>
      </c>
      <c r="Q192" s="318" t="n"/>
      <c r="V192" s="458" t="n">
        <v>18.7</v>
      </c>
      <c r="W192" s="458" t="n">
        <v>14.9</v>
      </c>
    </row>
    <row r="193">
      <c r="A193" s="285" t="inlineStr">
        <is>
          <t>옥수동</t>
        </is>
      </c>
      <c r="B193" s="307" t="inlineStr">
        <is>
          <t>2금호옥수</t>
        </is>
      </c>
      <c r="C193" s="307" t="inlineStr">
        <is>
          <t>중</t>
        </is>
      </c>
      <c r="D193" s="285" t="n">
        <v>103136</v>
      </c>
      <c r="E193" s="286" t="inlineStr">
        <is>
          <t>옥수어울림</t>
        </is>
      </c>
      <c r="F193" s="285" t="n">
        <v>2011.12</v>
      </c>
      <c r="G193" s="285" t="n">
        <v>297</v>
      </c>
      <c r="H193" s="285">
        <f>2026-INT(F193)+1</f>
        <v/>
      </c>
      <c r="I193" s="285" t="n"/>
      <c r="J193" s="285" t="n">
        <v>92</v>
      </c>
      <c r="K193" s="285" t="n">
        <v>59</v>
      </c>
      <c r="L193" s="285" t="n">
        <v>28</v>
      </c>
      <c r="M193" s="285" t="inlineStr">
        <is>
          <t>계단식</t>
        </is>
      </c>
      <c r="N193" s="285" t="n">
        <v>3</v>
      </c>
      <c r="O193" s="285" t="n">
        <v>1</v>
      </c>
      <c r="P193" s="285" t="n">
        <v>7</v>
      </c>
      <c r="Q193" s="316" t="n"/>
      <c r="R193" s="285" t="n"/>
      <c r="S193" s="285" t="n"/>
      <c r="T193" s="285" t="n"/>
      <c r="U193" s="285" t="n"/>
      <c r="V193" s="285" t="n"/>
      <c r="W193" s="285" t="n"/>
      <c r="X193" s="285" t="n"/>
      <c r="Y193" s="285" t="n"/>
      <c r="Z193" s="285" t="n"/>
      <c r="AA193" s="285" t="n"/>
      <c r="AB193" s="285" t="n"/>
      <c r="AC193" s="285" t="n"/>
      <c r="AD193" s="285" t="n"/>
      <c r="AE193" s="285" t="n"/>
      <c r="AF193" s="285" t="n"/>
      <c r="AG193" s="285" t="n"/>
      <c r="AH193" s="285" t="n"/>
      <c r="AI193" s="285" t="n"/>
      <c r="AJ193" s="285" t="n"/>
      <c r="AK193" s="285" t="n"/>
      <c r="AL193" s="285" t="n"/>
    </row>
    <row r="194">
      <c r="A194" s="285" t="inlineStr">
        <is>
          <t>옥수동</t>
        </is>
      </c>
      <c r="B194" s="307" t="inlineStr">
        <is>
          <t>2금호옥수</t>
        </is>
      </c>
      <c r="C194" s="307" t="inlineStr">
        <is>
          <t>중</t>
        </is>
      </c>
      <c r="D194" s="285" t="n">
        <v>103136</v>
      </c>
      <c r="E194" s="286" t="inlineStr">
        <is>
          <t>옥수어울림</t>
        </is>
      </c>
      <c r="F194" s="285" t="n">
        <v>2011.12</v>
      </c>
      <c r="G194" s="285" t="n">
        <v>297</v>
      </c>
      <c r="H194" s="285">
        <f>2026-INT(F194)+1</f>
        <v/>
      </c>
      <c r="I194" s="285" t="n"/>
      <c r="J194" s="285" t="n">
        <v>107</v>
      </c>
      <c r="K194" s="285" t="n">
        <v>84</v>
      </c>
      <c r="L194" s="285" t="n">
        <v>32</v>
      </c>
      <c r="M194" s="285" t="inlineStr">
        <is>
          <t>계단식</t>
        </is>
      </c>
      <c r="N194" s="285" t="n">
        <v>3</v>
      </c>
      <c r="O194" s="285" t="n">
        <v>2</v>
      </c>
      <c r="P194" s="285" t="n">
        <v>250</v>
      </c>
      <c r="Q194" s="316" t="n"/>
      <c r="R194" s="285" t="n"/>
      <c r="S194" s="285" t="n"/>
      <c r="T194" s="285" t="n"/>
      <c r="U194" s="285" t="n"/>
      <c r="V194" s="285" t="n">
        <v>18.3</v>
      </c>
      <c r="W194" s="285" t="n">
        <v>15.2</v>
      </c>
      <c r="X194" s="285" t="n"/>
      <c r="Y194" s="285" t="n"/>
      <c r="Z194" s="285" t="n"/>
      <c r="AA194" s="285" t="n"/>
      <c r="AB194" s="285" t="n"/>
      <c r="AC194" s="285" t="n"/>
      <c r="AD194" s="285" t="n"/>
      <c r="AE194" s="285" t="n"/>
      <c r="AF194" s="285" t="n"/>
      <c r="AG194" s="285" t="n"/>
      <c r="AH194" s="285" t="n"/>
      <c r="AI194" s="285" t="n"/>
      <c r="AJ194" s="285" t="n"/>
      <c r="AK194" s="285" t="n"/>
      <c r="AL194" s="285" t="n"/>
    </row>
    <row r="195">
      <c r="A195" s="285" t="inlineStr">
        <is>
          <t>옥수동</t>
        </is>
      </c>
      <c r="B195" s="307" t="inlineStr">
        <is>
          <t>2금호옥수</t>
        </is>
      </c>
      <c r="C195" s="307" t="inlineStr">
        <is>
          <t>중</t>
        </is>
      </c>
      <c r="D195" s="285" t="n">
        <v>103136</v>
      </c>
      <c r="E195" s="286" t="inlineStr">
        <is>
          <t>옥수어울림</t>
        </is>
      </c>
      <c r="F195" s="285" t="n">
        <v>2011.12</v>
      </c>
      <c r="G195" s="285" t="n">
        <v>297</v>
      </c>
      <c r="H195" s="285">
        <f>2026-INT(F195)+1</f>
        <v/>
      </c>
      <c r="I195" s="285" t="n"/>
      <c r="J195" s="285" t="n">
        <v>162</v>
      </c>
      <c r="K195" s="285" t="n">
        <v>128</v>
      </c>
      <c r="L195" s="285" t="n">
        <v>49</v>
      </c>
      <c r="M195" s="285" t="inlineStr">
        <is>
          <t>계단식</t>
        </is>
      </c>
      <c r="N195" s="285" t="n">
        <v>4</v>
      </c>
      <c r="O195" s="285" t="n">
        <v>2</v>
      </c>
      <c r="P195" s="285" t="n">
        <v>40</v>
      </c>
      <c r="Q195" s="316" t="n"/>
      <c r="R195" s="285" t="n"/>
      <c r="S195" s="285" t="n"/>
      <c r="T195" s="285" t="n"/>
      <c r="U195" s="285" t="n"/>
      <c r="V195" s="285" t="n">
        <v>18.45</v>
      </c>
      <c r="W195" s="285" t="n">
        <v>20.5</v>
      </c>
      <c r="X195" s="285" t="n"/>
      <c r="Y195" s="285" t="n"/>
      <c r="Z195" s="285" t="n"/>
      <c r="AA195" s="285" t="n"/>
      <c r="AB195" s="285" t="n"/>
      <c r="AC195" s="285" t="n"/>
      <c r="AD195" s="285" t="n"/>
      <c r="AE195" s="285" t="n"/>
      <c r="AF195" s="285" t="n"/>
      <c r="AG195" s="285" t="n"/>
      <c r="AH195" s="285" t="n"/>
      <c r="AI195" s="285" t="n"/>
      <c r="AJ195" s="285" t="n"/>
      <c r="AK195" s="285" t="n"/>
      <c r="AL195" s="285" t="n"/>
    </row>
    <row r="196">
      <c r="A196" s="458" t="inlineStr">
        <is>
          <t>옥수동</t>
        </is>
      </c>
      <c r="B196" s="159" t="inlineStr">
        <is>
          <t>2금호옥수</t>
        </is>
      </c>
      <c r="C196" s="159" t="inlineStr">
        <is>
          <t>중</t>
        </is>
      </c>
      <c r="D196" s="458" t="n">
        <v>564</v>
      </c>
      <c r="E196" s="288" t="inlineStr">
        <is>
          <t>옥수하이츠</t>
        </is>
      </c>
      <c r="F196" s="458" t="n">
        <v>1998.03</v>
      </c>
      <c r="G196" s="458" t="n">
        <v>774</v>
      </c>
      <c r="H196" s="458">
        <f>2026-INT(F196)+1</f>
        <v/>
      </c>
      <c r="J196" s="458" t="n">
        <v>105</v>
      </c>
      <c r="K196" s="458" t="n">
        <v>84</v>
      </c>
      <c r="L196" s="458" t="n">
        <v>32</v>
      </c>
      <c r="M196" s="458" t="inlineStr">
        <is>
          <t>계단식</t>
        </is>
      </c>
      <c r="N196" s="458" t="n">
        <v>3</v>
      </c>
      <c r="O196" s="458" t="n">
        <v>2</v>
      </c>
      <c r="P196" s="458" t="n">
        <v>248</v>
      </c>
      <c r="Q196" s="318" t="n"/>
      <c r="V196" s="458" t="n">
        <v>19</v>
      </c>
      <c r="W196" s="458" t="n">
        <v>10.4</v>
      </c>
    </row>
    <row r="197">
      <c r="A197" s="458" t="inlineStr">
        <is>
          <t>옥수동</t>
        </is>
      </c>
      <c r="B197" s="159" t="inlineStr">
        <is>
          <t>2금호옥수</t>
        </is>
      </c>
      <c r="C197" s="159" t="inlineStr">
        <is>
          <t>중</t>
        </is>
      </c>
      <c r="D197" s="458" t="n">
        <v>564</v>
      </c>
      <c r="E197" s="288" t="inlineStr">
        <is>
          <t>옥수하이츠</t>
        </is>
      </c>
      <c r="F197" s="458" t="n">
        <v>1998.03</v>
      </c>
      <c r="G197" s="458" t="n">
        <v>774</v>
      </c>
      <c r="H197" s="458">
        <f>2026-INT(F197)+1</f>
        <v/>
      </c>
      <c r="J197" s="458" t="n">
        <v>139</v>
      </c>
      <c r="K197" s="458" t="n">
        <v>114</v>
      </c>
      <c r="L197" s="458" t="n">
        <v>42</v>
      </c>
      <c r="M197" s="458" t="inlineStr">
        <is>
          <t>계단식</t>
        </is>
      </c>
      <c r="N197" s="458" t="n">
        <v>4</v>
      </c>
      <c r="O197" s="458" t="n">
        <v>2</v>
      </c>
      <c r="P197" s="458" t="n">
        <v>288</v>
      </c>
      <c r="Q197" s="318" t="n"/>
      <c r="V197" s="458" t="n">
        <v>22</v>
      </c>
      <c r="W197" s="458" t="n">
        <v>18.3</v>
      </c>
    </row>
    <row r="198">
      <c r="A198" s="287" t="inlineStr">
        <is>
          <t>옥수동</t>
        </is>
      </c>
      <c r="B198" s="307" t="inlineStr">
        <is>
          <t>2금호옥수</t>
        </is>
      </c>
      <c r="C198" s="307" t="inlineStr">
        <is>
          <t>중</t>
        </is>
      </c>
      <c r="D198" s="287" t="n">
        <v>567</v>
      </c>
      <c r="E198" s="286" t="inlineStr">
        <is>
          <t>옥수현대</t>
        </is>
      </c>
      <c r="F198" s="287" t="n">
        <v>1990.05</v>
      </c>
      <c r="G198" s="287" t="n">
        <v>566</v>
      </c>
      <c r="H198" s="287">
        <f>2026-INT(F198)+1</f>
        <v/>
      </c>
      <c r="I198" s="285" t="n"/>
      <c r="J198" s="287" t="n">
        <v>76</v>
      </c>
      <c r="K198" s="287" t="n">
        <v>58</v>
      </c>
      <c r="L198" s="287" t="n">
        <v>23</v>
      </c>
      <c r="M198" s="287" t="inlineStr">
        <is>
          <t>복도식</t>
        </is>
      </c>
      <c r="N198" s="287" t="n">
        <v>2</v>
      </c>
      <c r="O198" s="287" t="n">
        <v>1</v>
      </c>
      <c r="P198" s="287" t="n">
        <v>22</v>
      </c>
      <c r="Q198" s="317" t="n"/>
      <c r="R198" s="285" t="n"/>
      <c r="S198" s="285" t="n"/>
      <c r="T198" s="285" t="n"/>
      <c r="U198" s="285" t="n"/>
      <c r="V198" s="285" t="n"/>
      <c r="W198" s="285" t="n">
        <v>10.5</v>
      </c>
      <c r="X198" s="285" t="n"/>
      <c r="Y198" s="285" t="n"/>
      <c r="Z198" s="285" t="n"/>
      <c r="AA198" s="285" t="n"/>
      <c r="AB198" s="285" t="n"/>
      <c r="AC198" s="285" t="n"/>
      <c r="AD198" s="285" t="n"/>
      <c r="AE198" s="285" t="n"/>
      <c r="AF198" s="285" t="n"/>
      <c r="AG198" s="285" t="n"/>
      <c r="AH198" s="285" t="n"/>
      <c r="AI198" s="285" t="n"/>
      <c r="AJ198" s="285" t="n"/>
      <c r="AK198" s="285" t="n"/>
      <c r="AL198" s="285" t="n"/>
    </row>
    <row r="199">
      <c r="A199" s="285" t="inlineStr">
        <is>
          <t>옥수동</t>
        </is>
      </c>
      <c r="B199" s="307" t="inlineStr">
        <is>
          <t>2금호옥수</t>
        </is>
      </c>
      <c r="C199" s="307" t="inlineStr">
        <is>
          <t>중</t>
        </is>
      </c>
      <c r="D199" s="285" t="n">
        <v>567</v>
      </c>
      <c r="E199" s="286" t="inlineStr">
        <is>
          <t>옥수현대</t>
        </is>
      </c>
      <c r="F199" s="285" t="n">
        <v>1990.05</v>
      </c>
      <c r="G199" s="285" t="n">
        <v>566</v>
      </c>
      <c r="H199" s="285">
        <f>2026-INT(F199)+1</f>
        <v/>
      </c>
      <c r="I199" s="285" t="n"/>
      <c r="J199" s="285" t="n">
        <v>82</v>
      </c>
      <c r="K199" s="285" t="n">
        <v>63</v>
      </c>
      <c r="L199" s="285" t="n">
        <v>25</v>
      </c>
      <c r="M199" s="285" t="inlineStr">
        <is>
          <t>복도식</t>
        </is>
      </c>
      <c r="N199" s="285" t="n">
        <v>2</v>
      </c>
      <c r="O199" s="285" t="n">
        <v>1</v>
      </c>
      <c r="P199" s="285" t="n">
        <v>12</v>
      </c>
      <c r="Q199" s="316" t="n"/>
      <c r="R199" s="285" t="n"/>
      <c r="S199" s="285" t="n"/>
      <c r="T199" s="285" t="n"/>
      <c r="U199" s="285" t="n"/>
      <c r="V199" s="285" t="n"/>
      <c r="W199" s="285" t="n"/>
      <c r="X199" s="285" t="n"/>
      <c r="Y199" s="285" t="n"/>
      <c r="Z199" s="285" t="n"/>
      <c r="AA199" s="285" t="n"/>
      <c r="AB199" s="285" t="n"/>
      <c r="AC199" s="285" t="n"/>
      <c r="AD199" s="285" t="n"/>
      <c r="AE199" s="285" t="n"/>
      <c r="AF199" s="285" t="n"/>
      <c r="AG199" s="285" t="n"/>
      <c r="AH199" s="285" t="n"/>
      <c r="AI199" s="285" t="n"/>
      <c r="AJ199" s="285" t="n"/>
      <c r="AK199" s="285" t="n"/>
      <c r="AL199" s="285" t="n"/>
    </row>
    <row r="200">
      <c r="A200" s="285" t="inlineStr">
        <is>
          <t>옥수동</t>
        </is>
      </c>
      <c r="B200" s="307" t="inlineStr">
        <is>
          <t>2금호옥수</t>
        </is>
      </c>
      <c r="C200" s="307" t="inlineStr">
        <is>
          <t>중</t>
        </is>
      </c>
      <c r="D200" s="285" t="n">
        <v>567</v>
      </c>
      <c r="E200" s="286" t="inlineStr">
        <is>
          <t>옥수현대</t>
        </is>
      </c>
      <c r="F200" s="285" t="n">
        <v>1990.05</v>
      </c>
      <c r="G200" s="285" t="n">
        <v>566</v>
      </c>
      <c r="H200" s="285">
        <f>2026-INT(F200)+1</f>
        <v/>
      </c>
      <c r="I200" s="285" t="n"/>
      <c r="J200" s="285" t="n">
        <v>91</v>
      </c>
      <c r="K200" s="285" t="n">
        <v>77</v>
      </c>
      <c r="L200" s="285" t="n">
        <v>28</v>
      </c>
      <c r="M200" s="285" t="inlineStr">
        <is>
          <t>계단식</t>
        </is>
      </c>
      <c r="N200" s="285" t="n">
        <v>3</v>
      </c>
      <c r="O200" s="285" t="n">
        <v>1</v>
      </c>
      <c r="P200" s="285" t="n">
        <v>20</v>
      </c>
      <c r="Q200" s="316" t="n"/>
      <c r="R200" s="285" t="n"/>
      <c r="S200" s="285" t="n"/>
      <c r="T200" s="285" t="n"/>
      <c r="U200" s="285" t="n"/>
      <c r="V200" s="285" t="n"/>
      <c r="W200" s="285" t="n"/>
      <c r="X200" s="285" t="n"/>
      <c r="Y200" s="285" t="n"/>
      <c r="Z200" s="285" t="n"/>
      <c r="AA200" s="285" t="n"/>
      <c r="AB200" s="285" t="n"/>
      <c r="AC200" s="285" t="n"/>
      <c r="AD200" s="285" t="n"/>
      <c r="AE200" s="285" t="n"/>
      <c r="AF200" s="285" t="n"/>
      <c r="AG200" s="285" t="n"/>
      <c r="AH200" s="285" t="n"/>
      <c r="AI200" s="285" t="n"/>
      <c r="AJ200" s="285" t="n"/>
      <c r="AK200" s="285" t="n"/>
      <c r="AL200" s="285" t="n"/>
    </row>
    <row r="201">
      <c r="A201" s="285" t="inlineStr">
        <is>
          <t>옥수동</t>
        </is>
      </c>
      <c r="B201" s="307" t="inlineStr">
        <is>
          <t>2금호옥수</t>
        </is>
      </c>
      <c r="C201" s="307" t="inlineStr">
        <is>
          <t>중</t>
        </is>
      </c>
      <c r="D201" s="285" t="n">
        <v>567</v>
      </c>
      <c r="E201" s="286" t="inlineStr">
        <is>
          <t>옥수현대</t>
        </is>
      </c>
      <c r="F201" s="285" t="n">
        <v>1990.05</v>
      </c>
      <c r="G201" s="285" t="n">
        <v>566</v>
      </c>
      <c r="H201" s="285">
        <f>2026-INT(F201)+1</f>
        <v/>
      </c>
      <c r="I201" s="285" t="n"/>
      <c r="J201" s="285" t="n">
        <v>92</v>
      </c>
      <c r="K201" s="285" t="n">
        <v>71</v>
      </c>
      <c r="L201" s="285" t="n">
        <v>28</v>
      </c>
      <c r="M201" s="285" t="inlineStr">
        <is>
          <t>복도식</t>
        </is>
      </c>
      <c r="N201" s="285" t="n">
        <v>3</v>
      </c>
      <c r="O201" s="285" t="n">
        <v>1</v>
      </c>
      <c r="P201" s="285" t="n">
        <v>164</v>
      </c>
      <c r="Q201" s="316" t="n"/>
      <c r="R201" s="285" t="n"/>
      <c r="S201" s="285" t="n"/>
      <c r="T201" s="285" t="n"/>
      <c r="U201" s="285" t="n"/>
      <c r="V201" s="285" t="n">
        <v>15.8</v>
      </c>
      <c r="W201" s="285" t="n">
        <v>11.5</v>
      </c>
      <c r="X201" s="285" t="n"/>
      <c r="Y201" s="285" t="n"/>
      <c r="Z201" s="285" t="n"/>
      <c r="AA201" s="285" t="n"/>
      <c r="AB201" s="285" t="n"/>
      <c r="AC201" s="285" t="n"/>
      <c r="AD201" s="285" t="n"/>
      <c r="AE201" s="285" t="n"/>
      <c r="AF201" s="285" t="n"/>
      <c r="AG201" s="285" t="n"/>
      <c r="AH201" s="285" t="n"/>
      <c r="AI201" s="285" t="n"/>
      <c r="AJ201" s="285" t="n"/>
      <c r="AK201" s="285" t="n"/>
      <c r="AL201" s="285" t="n"/>
    </row>
    <row r="202">
      <c r="A202" s="285" t="inlineStr">
        <is>
          <t>옥수동</t>
        </is>
      </c>
      <c r="B202" s="307" t="inlineStr">
        <is>
          <t>2금호옥수</t>
        </is>
      </c>
      <c r="C202" s="307" t="inlineStr">
        <is>
          <t>중</t>
        </is>
      </c>
      <c r="D202" s="285" t="n">
        <v>567</v>
      </c>
      <c r="E202" s="286" t="inlineStr">
        <is>
          <t>옥수현대</t>
        </is>
      </c>
      <c r="F202" s="285" t="n">
        <v>1990.05</v>
      </c>
      <c r="G202" s="285" t="n">
        <v>566</v>
      </c>
      <c r="H202" s="285">
        <f>2026-INT(F202)+1</f>
        <v/>
      </c>
      <c r="I202" s="285" t="n"/>
      <c r="J202" s="285" t="n">
        <v>98</v>
      </c>
      <c r="K202" s="285" t="n">
        <v>84</v>
      </c>
      <c r="L202" s="285" t="n">
        <v>30</v>
      </c>
      <c r="M202" s="285" t="inlineStr">
        <is>
          <t>계단식</t>
        </is>
      </c>
      <c r="N202" s="285" t="n">
        <v>3</v>
      </c>
      <c r="O202" s="285" t="n">
        <v>1</v>
      </c>
      <c r="P202" s="285" t="n">
        <v>108</v>
      </c>
      <c r="Q202" s="316" t="n"/>
      <c r="R202" s="285" t="n"/>
      <c r="S202" s="285" t="n"/>
      <c r="T202" s="285" t="n"/>
      <c r="U202" s="285" t="n"/>
      <c r="V202" s="285" t="n">
        <v>16.8</v>
      </c>
      <c r="W202" s="285" t="n">
        <v>14</v>
      </c>
      <c r="X202" s="285" t="n"/>
      <c r="Y202" s="285" t="n"/>
      <c r="Z202" s="285" t="n"/>
      <c r="AA202" s="285" t="n"/>
      <c r="AB202" s="285" t="n"/>
      <c r="AC202" s="285" t="n"/>
      <c r="AD202" s="285" t="n"/>
      <c r="AE202" s="285" t="n"/>
      <c r="AF202" s="285" t="n"/>
      <c r="AG202" s="285" t="n"/>
      <c r="AH202" s="285" t="n"/>
      <c r="AI202" s="285" t="n"/>
      <c r="AJ202" s="285" t="n"/>
      <c r="AK202" s="285" t="n"/>
      <c r="AL202" s="285" t="n"/>
    </row>
    <row r="203">
      <c r="A203" s="285" t="inlineStr">
        <is>
          <t>옥수동</t>
        </is>
      </c>
      <c r="B203" s="307" t="inlineStr">
        <is>
          <t>2금호옥수</t>
        </is>
      </c>
      <c r="C203" s="307" t="inlineStr">
        <is>
          <t>중</t>
        </is>
      </c>
      <c r="D203" s="285" t="n">
        <v>567</v>
      </c>
      <c r="E203" s="286" t="inlineStr">
        <is>
          <t>옥수현대</t>
        </is>
      </c>
      <c r="F203" s="285" t="n">
        <v>1990.05</v>
      </c>
      <c r="G203" s="285" t="n">
        <v>566</v>
      </c>
      <c r="H203" s="285">
        <f>2026-INT(F203)+1</f>
        <v/>
      </c>
      <c r="I203" s="285" t="n"/>
      <c r="J203" s="285" t="n">
        <v>98</v>
      </c>
      <c r="K203" s="285" t="n">
        <v>75</v>
      </c>
      <c r="L203" s="285" t="n">
        <v>30</v>
      </c>
      <c r="M203" s="285" t="inlineStr">
        <is>
          <t>복도식</t>
        </is>
      </c>
      <c r="N203" s="285" t="n">
        <v>3</v>
      </c>
      <c r="O203" s="285" t="n">
        <v>1</v>
      </c>
      <c r="P203" s="285" t="n">
        <v>30</v>
      </c>
      <c r="Q203" s="316" t="n"/>
      <c r="R203" s="285" t="n"/>
      <c r="S203" s="285" t="n"/>
      <c r="T203" s="285" t="n"/>
      <c r="U203" s="285" t="n"/>
      <c r="V203" s="285" t="n"/>
      <c r="W203" s="285" t="n"/>
      <c r="X203" s="285" t="n"/>
      <c r="Y203" s="285" t="n"/>
      <c r="Z203" s="285" t="n"/>
      <c r="AA203" s="285" t="n"/>
      <c r="AB203" s="285" t="n"/>
      <c r="AC203" s="285" t="n"/>
      <c r="AD203" s="285" t="n"/>
      <c r="AE203" s="285" t="n"/>
      <c r="AF203" s="285" t="n"/>
      <c r="AG203" s="285" t="n"/>
      <c r="AH203" s="285" t="n"/>
      <c r="AI203" s="285" t="n"/>
      <c r="AJ203" s="285" t="n"/>
      <c r="AK203" s="285" t="n"/>
      <c r="AL203" s="285" t="n"/>
    </row>
    <row r="204">
      <c r="A204" s="287" t="inlineStr">
        <is>
          <t>옥수동</t>
        </is>
      </c>
      <c r="B204" s="307" t="inlineStr">
        <is>
          <t>2금호옥수</t>
        </is>
      </c>
      <c r="C204" s="307" t="inlineStr">
        <is>
          <t>중</t>
        </is>
      </c>
      <c r="D204" s="287" t="n">
        <v>567</v>
      </c>
      <c r="E204" s="286" t="inlineStr">
        <is>
          <t>옥수현대</t>
        </is>
      </c>
      <c r="F204" s="287" t="n">
        <v>1990.05</v>
      </c>
      <c r="G204" s="287" t="n">
        <v>566</v>
      </c>
      <c r="H204" s="287">
        <f>2026-INT(F204)+1</f>
        <v/>
      </c>
      <c r="I204" s="285" t="n"/>
      <c r="J204" s="287" t="n">
        <v>118</v>
      </c>
      <c r="K204" s="287" t="n">
        <v>104</v>
      </c>
      <c r="L204" s="287" t="n">
        <v>36</v>
      </c>
      <c r="M204" s="287" t="inlineStr">
        <is>
          <t>계단식</t>
        </is>
      </c>
      <c r="N204" s="287" t="n">
        <v>4</v>
      </c>
      <c r="O204" s="287" t="n">
        <v>2</v>
      </c>
      <c r="P204" s="287" t="n">
        <v>120</v>
      </c>
      <c r="Q204" s="317" t="n"/>
      <c r="R204" s="285" t="n"/>
      <c r="S204" s="285" t="n"/>
      <c r="T204" s="285" t="n"/>
      <c r="U204" s="285" t="n"/>
      <c r="V204" s="287" t="n">
        <v>18</v>
      </c>
      <c r="W204" s="287" t="n"/>
      <c r="X204" s="285" t="n"/>
      <c r="Y204" s="285" t="n"/>
      <c r="Z204" s="285" t="n"/>
      <c r="AA204" s="285" t="n"/>
      <c r="AB204" s="285" t="n"/>
      <c r="AC204" s="285" t="n"/>
      <c r="AD204" s="285" t="n"/>
      <c r="AE204" s="285" t="n"/>
      <c r="AF204" s="285" t="n"/>
      <c r="AG204" s="285" t="n"/>
      <c r="AH204" s="285" t="n"/>
      <c r="AI204" s="285" t="n"/>
      <c r="AJ204" s="285" t="n"/>
      <c r="AK204" s="285" t="n"/>
      <c r="AL204" s="285" t="n"/>
    </row>
    <row r="205">
      <c r="A205" s="287" t="inlineStr">
        <is>
          <t>옥수동</t>
        </is>
      </c>
      <c r="B205" s="307" t="inlineStr">
        <is>
          <t>2금호옥수</t>
        </is>
      </c>
      <c r="C205" s="307" t="inlineStr">
        <is>
          <t>중</t>
        </is>
      </c>
      <c r="D205" s="287" t="n">
        <v>567</v>
      </c>
      <c r="E205" s="286" t="inlineStr">
        <is>
          <t>옥수현대</t>
        </is>
      </c>
      <c r="F205" s="287" t="n">
        <v>1990.05</v>
      </c>
      <c r="G205" s="287" t="n">
        <v>566</v>
      </c>
      <c r="H205" s="287">
        <f>2026-INT(F205)+1</f>
        <v/>
      </c>
      <c r="I205" s="285" t="n"/>
      <c r="J205" s="287" t="n">
        <v>140</v>
      </c>
      <c r="K205" s="287" t="n">
        <v>123</v>
      </c>
      <c r="L205" s="287" t="n">
        <v>42</v>
      </c>
      <c r="M205" s="287" t="inlineStr">
        <is>
          <t>계단식</t>
        </is>
      </c>
      <c r="N205" s="287" t="n">
        <v>4</v>
      </c>
      <c r="O205" s="287" t="n">
        <v>2</v>
      </c>
      <c r="P205" s="287" t="n">
        <v>90</v>
      </c>
      <c r="Q205" s="317" t="n"/>
      <c r="R205" s="285" t="n"/>
      <c r="S205" s="285" t="n"/>
      <c r="T205" s="285" t="n"/>
      <c r="U205" s="285" t="n"/>
      <c r="V205" s="287" t="n">
        <v>18.3</v>
      </c>
      <c r="W205" s="287" t="n">
        <v>15.9</v>
      </c>
      <c r="X205" s="285" t="n"/>
      <c r="Y205" s="285" t="n"/>
      <c r="Z205" s="285" t="n"/>
      <c r="AA205" s="285" t="n"/>
      <c r="AB205" s="285" t="n"/>
      <c r="AC205" s="285" t="n"/>
      <c r="AD205" s="285" t="n"/>
      <c r="AE205" s="285" t="n"/>
      <c r="AF205" s="285" t="n"/>
      <c r="AG205" s="285" t="n"/>
      <c r="AH205" s="285" t="n"/>
      <c r="AI205" s="285" t="n"/>
      <c r="AJ205" s="285" t="n"/>
      <c r="AK205" s="285" t="n"/>
      <c r="AL205" s="285" t="n"/>
    </row>
    <row r="206">
      <c r="A206" s="458" t="inlineStr">
        <is>
          <t>옥수동</t>
        </is>
      </c>
      <c r="B206" s="159" t="inlineStr">
        <is>
          <t>2금호옥수</t>
        </is>
      </c>
      <c r="C206" s="159" t="inlineStr">
        <is>
          <t>중</t>
        </is>
      </c>
      <c r="D206" s="458" t="n">
        <v>566</v>
      </c>
      <c r="E206" s="288" t="inlineStr">
        <is>
          <t>한남하이츠</t>
        </is>
      </c>
      <c r="F206" s="458" t="n">
        <v>1982.09</v>
      </c>
      <c r="G206" s="458" t="n">
        <v>535</v>
      </c>
      <c r="H206" s="458">
        <f>2026-INT(F206)+1</f>
        <v/>
      </c>
      <c r="J206" s="458" t="n">
        <v>93</v>
      </c>
      <c r="K206" s="458" t="n">
        <v>87</v>
      </c>
      <c r="L206" s="458" t="n">
        <v>28</v>
      </c>
      <c r="M206" s="458" t="inlineStr">
        <is>
          <t>복도식</t>
        </is>
      </c>
      <c r="N206" s="458" t="n">
        <v>2</v>
      </c>
      <c r="O206" s="458" t="n">
        <v>1</v>
      </c>
      <c r="P206" s="458" t="n">
        <v>66</v>
      </c>
      <c r="Q206" s="318" t="n"/>
      <c r="V206" s="458" t="n">
        <v>20</v>
      </c>
      <c r="W206" s="458" t="n">
        <v>17.1</v>
      </c>
    </row>
    <row r="207">
      <c r="A207" s="458" t="inlineStr">
        <is>
          <t>옥수동</t>
        </is>
      </c>
      <c r="B207" s="159" t="inlineStr">
        <is>
          <t>2금호옥수</t>
        </is>
      </c>
      <c r="C207" s="159" t="inlineStr">
        <is>
          <t>중</t>
        </is>
      </c>
      <c r="D207" s="458" t="n">
        <v>566</v>
      </c>
      <c r="E207" s="288" t="inlineStr">
        <is>
          <t>한남하이츠</t>
        </is>
      </c>
      <c r="F207" s="458" t="n">
        <v>1982.09</v>
      </c>
      <c r="G207" s="458" t="n">
        <v>535</v>
      </c>
      <c r="H207" s="458">
        <f>2026-INT(F207)+1</f>
        <v/>
      </c>
      <c r="J207" s="458" t="n">
        <v>94</v>
      </c>
      <c r="K207" s="458" t="n">
        <v>89</v>
      </c>
      <c r="L207" s="458" t="n">
        <v>28</v>
      </c>
      <c r="M207" s="458" t="inlineStr">
        <is>
          <t>계단식</t>
        </is>
      </c>
      <c r="N207" s="458" t="n">
        <v>2</v>
      </c>
      <c r="O207" s="458" t="n">
        <v>1</v>
      </c>
      <c r="P207" s="458" t="n">
        <v>66</v>
      </c>
      <c r="Q207" s="318" t="n"/>
      <c r="V207" s="458" t="n">
        <v>20</v>
      </c>
      <c r="W207" s="458" t="n">
        <v>16.5</v>
      </c>
    </row>
    <row r="208">
      <c r="A208" s="458" t="inlineStr">
        <is>
          <t>옥수동</t>
        </is>
      </c>
      <c r="B208" s="159" t="inlineStr">
        <is>
          <t>2금호옥수</t>
        </is>
      </c>
      <c r="C208" s="159" t="inlineStr">
        <is>
          <t>중</t>
        </is>
      </c>
      <c r="D208" s="458" t="n">
        <v>566</v>
      </c>
      <c r="E208" s="288" t="inlineStr">
        <is>
          <t>한남하이츠</t>
        </is>
      </c>
      <c r="F208" s="458" t="n">
        <v>1982.09</v>
      </c>
      <c r="G208" s="458" t="n">
        <v>535</v>
      </c>
      <c r="H208" s="458">
        <f>2026-INT(F208)+1</f>
        <v/>
      </c>
      <c r="J208" s="458" t="n">
        <v>96</v>
      </c>
      <c r="K208" s="458" t="n">
        <v>91</v>
      </c>
      <c r="L208" s="458" t="n">
        <v>29</v>
      </c>
      <c r="M208" s="458" t="inlineStr">
        <is>
          <t>계단식</t>
        </is>
      </c>
      <c r="N208" s="458" t="n">
        <v>2</v>
      </c>
      <c r="O208" s="458" t="n">
        <v>1</v>
      </c>
      <c r="P208" s="458" t="n">
        <v>5</v>
      </c>
      <c r="Q208" s="318" t="n"/>
      <c r="V208" s="458" t="n"/>
      <c r="W208" s="458" t="n"/>
    </row>
    <row r="209">
      <c r="A209" s="458" t="inlineStr">
        <is>
          <t>옥수동</t>
        </is>
      </c>
      <c r="B209" s="159" t="inlineStr">
        <is>
          <t>2금호옥수</t>
        </is>
      </c>
      <c r="C209" s="159" t="inlineStr">
        <is>
          <t>중</t>
        </is>
      </c>
      <c r="D209" s="458" t="n">
        <v>566</v>
      </c>
      <c r="E209" s="288" t="inlineStr">
        <is>
          <t>한남하이츠</t>
        </is>
      </c>
      <c r="F209" s="458" t="n">
        <v>1982.09</v>
      </c>
      <c r="G209" s="458" t="n">
        <v>535</v>
      </c>
      <c r="H209" s="458">
        <f>2026-INT(F209)+1</f>
        <v/>
      </c>
      <c r="J209" s="458" t="n">
        <v>107</v>
      </c>
      <c r="K209" s="458" t="n">
        <v>101</v>
      </c>
      <c r="L209" s="458" t="n">
        <v>32</v>
      </c>
      <c r="M209" s="458" t="inlineStr">
        <is>
          <t>복도식</t>
        </is>
      </c>
      <c r="N209" s="458" t="n">
        <v>3</v>
      </c>
      <c r="O209" s="458" t="n">
        <v>1</v>
      </c>
      <c r="P209" s="458" t="n">
        <v>54</v>
      </c>
      <c r="Q209" s="318" t="n"/>
      <c r="V209" s="458" t="n">
        <v>19.4</v>
      </c>
      <c r="W209" s="458" t="n">
        <v>19.3</v>
      </c>
    </row>
    <row r="210">
      <c r="A210" s="458" t="inlineStr">
        <is>
          <t>옥수동</t>
        </is>
      </c>
      <c r="B210" s="159" t="inlineStr">
        <is>
          <t>2금호옥수</t>
        </is>
      </c>
      <c r="C210" s="159" t="inlineStr">
        <is>
          <t>중</t>
        </is>
      </c>
      <c r="D210" s="458" t="n">
        <v>566</v>
      </c>
      <c r="E210" s="288" t="inlineStr">
        <is>
          <t>한남하이츠</t>
        </is>
      </c>
      <c r="F210" s="458" t="n">
        <v>1982.09</v>
      </c>
      <c r="G210" s="458" t="n">
        <v>535</v>
      </c>
      <c r="H210" s="458">
        <f>2026-INT(F210)+1</f>
        <v/>
      </c>
      <c r="J210" s="458" t="n">
        <v>107</v>
      </c>
      <c r="K210" s="458" t="n">
        <v>101</v>
      </c>
      <c r="L210" s="458" t="n">
        <v>32</v>
      </c>
      <c r="M210" s="458" t="inlineStr">
        <is>
          <t>계단식</t>
        </is>
      </c>
      <c r="N210" s="458" t="n">
        <v>3</v>
      </c>
      <c r="O210" s="458" t="n">
        <v>1</v>
      </c>
      <c r="P210" s="458" t="n">
        <v>49</v>
      </c>
      <c r="Q210" s="318" t="n"/>
      <c r="V210" s="458" t="n">
        <v>19.4</v>
      </c>
      <c r="W210" s="458" t="n">
        <v>19.3</v>
      </c>
    </row>
    <row r="211">
      <c r="A211" s="458" t="inlineStr">
        <is>
          <t>옥수동</t>
        </is>
      </c>
      <c r="B211" s="159" t="inlineStr">
        <is>
          <t>2금호옥수</t>
        </is>
      </c>
      <c r="C211" s="159" t="inlineStr">
        <is>
          <t>중</t>
        </is>
      </c>
      <c r="D211" s="458" t="n">
        <v>566</v>
      </c>
      <c r="E211" s="288" t="inlineStr">
        <is>
          <t>한남하이츠</t>
        </is>
      </c>
      <c r="F211" s="458" t="n">
        <v>1982.09</v>
      </c>
      <c r="G211" s="458" t="n">
        <v>535</v>
      </c>
      <c r="H211" s="458">
        <f>2026-INT(F211)+1</f>
        <v/>
      </c>
      <c r="J211" s="458" t="n">
        <v>108</v>
      </c>
      <c r="K211" s="458" t="n">
        <v>102</v>
      </c>
      <c r="L211" s="458" t="n">
        <v>33</v>
      </c>
      <c r="M211" s="458" t="inlineStr">
        <is>
          <t>계단식</t>
        </is>
      </c>
      <c r="N211" s="458" t="n">
        <v>3</v>
      </c>
      <c r="O211" s="458" t="n">
        <v>1</v>
      </c>
      <c r="P211" s="458" t="n">
        <v>9</v>
      </c>
      <c r="Q211" s="318" t="n"/>
      <c r="V211" s="458" t="n">
        <v>19.4</v>
      </c>
      <c r="W211" s="458" t="n">
        <v>19.3</v>
      </c>
    </row>
    <row r="212">
      <c r="A212" s="458" t="inlineStr">
        <is>
          <t>옥수동</t>
        </is>
      </c>
      <c r="B212" s="159" t="inlineStr">
        <is>
          <t>2금호옥수</t>
        </is>
      </c>
      <c r="C212" s="159" t="inlineStr">
        <is>
          <t>중</t>
        </is>
      </c>
      <c r="D212" s="458" t="n">
        <v>566</v>
      </c>
      <c r="E212" s="288" t="inlineStr">
        <is>
          <t>한남하이츠</t>
        </is>
      </c>
      <c r="F212" s="458" t="n">
        <v>1982.09</v>
      </c>
      <c r="G212" s="458" t="n">
        <v>535</v>
      </c>
      <c r="H212" s="458">
        <f>2026-INT(F212)+1</f>
        <v/>
      </c>
      <c r="J212" s="458" t="n">
        <v>159</v>
      </c>
      <c r="K212" s="458" t="n">
        <v>149</v>
      </c>
      <c r="L212" s="458" t="n">
        <v>48</v>
      </c>
      <c r="M212" s="458" t="inlineStr">
        <is>
          <t>계단식</t>
        </is>
      </c>
      <c r="N212" s="458" t="n">
        <v>4</v>
      </c>
      <c r="O212" s="458" t="n">
        <v>2</v>
      </c>
      <c r="P212" s="458" t="n">
        <v>142</v>
      </c>
      <c r="Q212" s="318" t="n"/>
      <c r="V212" s="458" t="n">
        <v>29.25</v>
      </c>
      <c r="W212" s="458" t="n">
        <v>25.5</v>
      </c>
    </row>
    <row r="213">
      <c r="A213" s="458" t="inlineStr">
        <is>
          <t>옥수동</t>
        </is>
      </c>
      <c r="B213" s="159" t="inlineStr">
        <is>
          <t>2금호옥수</t>
        </is>
      </c>
      <c r="C213" s="159" t="inlineStr">
        <is>
          <t>중</t>
        </is>
      </c>
      <c r="D213" s="458" t="n">
        <v>566</v>
      </c>
      <c r="E213" s="288" t="inlineStr">
        <is>
          <t>한남하이츠</t>
        </is>
      </c>
      <c r="F213" s="458" t="n">
        <v>1982.09</v>
      </c>
      <c r="G213" s="458" t="n">
        <v>535</v>
      </c>
      <c r="H213" s="458">
        <f>2026-INT(F213)+1</f>
        <v/>
      </c>
      <c r="J213" s="458" t="n">
        <v>164</v>
      </c>
      <c r="K213" s="458" t="n">
        <v>153</v>
      </c>
      <c r="L213" s="458" t="n">
        <v>50</v>
      </c>
      <c r="M213" s="458" t="inlineStr">
        <is>
          <t>계단식</t>
        </is>
      </c>
      <c r="N213" s="458" t="n">
        <v>4</v>
      </c>
      <c r="O213" s="458" t="n">
        <v>2</v>
      </c>
      <c r="P213" s="458" t="n">
        <v>12</v>
      </c>
      <c r="Q213" s="318" t="n"/>
      <c r="V213" s="458" t="n"/>
      <c r="W213" s="458" t="n"/>
    </row>
    <row r="214">
      <c r="A214" s="458" t="inlineStr">
        <is>
          <t>옥수동</t>
        </is>
      </c>
      <c r="B214" s="159" t="inlineStr">
        <is>
          <t>2금호옥수</t>
        </is>
      </c>
      <c r="C214" s="159" t="inlineStr">
        <is>
          <t>중</t>
        </is>
      </c>
      <c r="D214" s="458" t="n">
        <v>566</v>
      </c>
      <c r="E214" s="288" t="inlineStr">
        <is>
          <t>한남하이츠</t>
        </is>
      </c>
      <c r="F214" s="458" t="n">
        <v>1982.09</v>
      </c>
      <c r="G214" s="458" t="n">
        <v>535</v>
      </c>
      <c r="H214" s="458">
        <f>2026-INT(F214)+1</f>
        <v/>
      </c>
      <c r="J214" s="458" t="n">
        <v>189</v>
      </c>
      <c r="K214" s="458" t="n">
        <v>177</v>
      </c>
      <c r="L214" s="458" t="n">
        <v>57</v>
      </c>
      <c r="M214" s="458" t="inlineStr">
        <is>
          <t>계단식</t>
        </is>
      </c>
      <c r="N214" s="458" t="n">
        <v>4</v>
      </c>
      <c r="O214" s="458" t="n">
        <v>2</v>
      </c>
      <c r="P214" s="458" t="n">
        <v>122</v>
      </c>
      <c r="Q214" s="318" t="n"/>
      <c r="V214" s="458" t="n">
        <v>37</v>
      </c>
      <c r="W214" s="458" t="n">
        <v>35</v>
      </c>
    </row>
    <row r="215">
      <c r="A215" s="458" t="inlineStr">
        <is>
          <t>옥수동</t>
        </is>
      </c>
      <c r="B215" s="159" t="inlineStr">
        <is>
          <t>2금호옥수</t>
        </is>
      </c>
      <c r="C215" s="159" t="inlineStr">
        <is>
          <t>중</t>
        </is>
      </c>
      <c r="D215" s="458" t="n">
        <v>566</v>
      </c>
      <c r="E215" s="288" t="inlineStr">
        <is>
          <t>한남하이츠</t>
        </is>
      </c>
      <c r="F215" s="458" t="n">
        <v>1982.09</v>
      </c>
      <c r="G215" s="458" t="n">
        <v>535</v>
      </c>
      <c r="H215" s="458">
        <f>2026-INT(F215)+1</f>
        <v/>
      </c>
      <c r="J215" s="458" t="n">
        <v>193</v>
      </c>
      <c r="K215" s="458" t="n">
        <v>181</v>
      </c>
      <c r="L215" s="458" t="n">
        <v>58</v>
      </c>
      <c r="M215" s="458" t="inlineStr">
        <is>
          <t>계단식</t>
        </is>
      </c>
      <c r="N215" s="458" t="n">
        <v>4</v>
      </c>
      <c r="O215" s="458" t="n">
        <v>2</v>
      </c>
      <c r="P215" s="458" t="n">
        <v>10</v>
      </c>
      <c r="Q215" s="318" t="n"/>
      <c r="V215" s="458" t="n"/>
      <c r="W215" s="458" t="n"/>
    </row>
    <row r="216">
      <c r="A216" s="458" t="inlineStr">
        <is>
          <t>금호동2가</t>
        </is>
      </c>
      <c r="B216" s="159" t="inlineStr">
        <is>
          <t>2금호옥수</t>
        </is>
      </c>
      <c r="C216" s="159" t="inlineStr">
        <is>
          <t>최상</t>
        </is>
      </c>
      <c r="D216" s="458" t="n">
        <v>110226</v>
      </c>
      <c r="E216" s="288" t="inlineStr">
        <is>
          <t>신금호파크자이</t>
        </is>
      </c>
      <c r="F216" s="458" t="n">
        <v>2016.04</v>
      </c>
      <c r="G216" s="458" t="n">
        <v>1156</v>
      </c>
      <c r="H216" s="458">
        <f>2026-INT(F216)+1</f>
        <v/>
      </c>
      <c r="J216" s="458" t="n">
        <v>81</v>
      </c>
      <c r="K216" s="458" t="n">
        <v>59</v>
      </c>
      <c r="L216" s="458" t="n">
        <v>25</v>
      </c>
      <c r="M216" s="458" t="inlineStr">
        <is>
          <t>계단식</t>
        </is>
      </c>
      <c r="N216" s="458" t="n">
        <v>3</v>
      </c>
      <c r="O216" s="458" t="n">
        <v>2</v>
      </c>
      <c r="P216" s="458" t="n">
        <v>603</v>
      </c>
      <c r="Q216" s="318" t="n"/>
      <c r="V216" s="458" t="n">
        <v>15.85</v>
      </c>
      <c r="W216" s="458" t="n">
        <v>10.7</v>
      </c>
    </row>
    <row r="217">
      <c r="A217" s="458" t="inlineStr">
        <is>
          <t>금호동2가</t>
        </is>
      </c>
      <c r="B217" s="159" t="inlineStr">
        <is>
          <t>2금호옥수</t>
        </is>
      </c>
      <c r="C217" s="159" t="inlineStr">
        <is>
          <t>최상</t>
        </is>
      </c>
      <c r="D217" s="458" t="n">
        <v>110226</v>
      </c>
      <c r="E217" s="288" t="inlineStr">
        <is>
          <t>신금호파크자이</t>
        </is>
      </c>
      <c r="F217" s="458" t="n">
        <v>2016.04</v>
      </c>
      <c r="G217" s="458" t="n">
        <v>1156</v>
      </c>
      <c r="H217" s="458">
        <f>2026-INT(F217)+1</f>
        <v/>
      </c>
      <c r="J217" s="458" t="n">
        <v>109</v>
      </c>
      <c r="K217" s="458" t="n">
        <v>84</v>
      </c>
      <c r="L217" s="458" t="n">
        <v>33</v>
      </c>
      <c r="M217" s="458" t="inlineStr">
        <is>
          <t>계단식</t>
        </is>
      </c>
      <c r="N217" s="458" t="n">
        <v>3</v>
      </c>
      <c r="O217" s="458" t="n">
        <v>2</v>
      </c>
      <c r="P217" s="458" t="n">
        <v>336</v>
      </c>
      <c r="Q217" s="318" t="n"/>
      <c r="V217" s="458" t="n">
        <v>17.75</v>
      </c>
      <c r="W217" s="458" t="n">
        <v>13.7</v>
      </c>
    </row>
    <row r="218">
      <c r="A218" s="458" t="inlineStr">
        <is>
          <t>금호동2가</t>
        </is>
      </c>
      <c r="B218" s="159" t="inlineStr">
        <is>
          <t>2금호옥수</t>
        </is>
      </c>
      <c r="C218" s="159" t="inlineStr">
        <is>
          <t>최상</t>
        </is>
      </c>
      <c r="D218" s="458" t="n">
        <v>110226</v>
      </c>
      <c r="E218" s="288" t="inlineStr">
        <is>
          <t>신금호파크자이</t>
        </is>
      </c>
      <c r="F218" s="458" t="n">
        <v>2016.04</v>
      </c>
      <c r="G218" s="458" t="n">
        <v>1156</v>
      </c>
      <c r="H218" s="458">
        <f>2026-INT(F218)+1</f>
        <v/>
      </c>
      <c r="J218" s="458" t="n">
        <v>142</v>
      </c>
      <c r="K218" s="458" t="n">
        <v>114</v>
      </c>
      <c r="L218" s="458" t="n">
        <v>43</v>
      </c>
      <c r="M218" s="458" t="inlineStr">
        <is>
          <t>계단식</t>
        </is>
      </c>
      <c r="N218" s="458" t="n">
        <v>4</v>
      </c>
      <c r="O218" s="458" t="n">
        <v>2</v>
      </c>
      <c r="P218" s="458" t="n">
        <v>19</v>
      </c>
      <c r="Q218" s="318" t="n"/>
      <c r="V218" s="458" t="n">
        <v>18.5</v>
      </c>
    </row>
    <row r="219">
      <c r="A219" s="285" t="inlineStr">
        <is>
          <t>옥수동</t>
        </is>
      </c>
      <c r="B219" s="307" t="inlineStr">
        <is>
          <t>2금호옥수</t>
        </is>
      </c>
      <c r="C219" s="307" t="inlineStr">
        <is>
          <t>최상</t>
        </is>
      </c>
      <c r="D219" s="285" t="n">
        <v>110938</v>
      </c>
      <c r="E219" s="286" t="inlineStr">
        <is>
          <t>e편한세상옥수파크힐스</t>
        </is>
      </c>
      <c r="F219" s="285" t="n">
        <v>2016.11</v>
      </c>
      <c r="G219" s="285" t="n">
        <v>1976</v>
      </c>
      <c r="H219" s="285">
        <f>2026-INT(F219)+1</f>
        <v/>
      </c>
      <c r="I219" s="285" t="n"/>
      <c r="J219" s="285" t="n">
        <v>82</v>
      </c>
      <c r="K219" s="285" t="n">
        <v>59</v>
      </c>
      <c r="L219" s="285" t="n">
        <v>25</v>
      </c>
      <c r="M219" s="285" t="inlineStr">
        <is>
          <t>계단식</t>
        </is>
      </c>
      <c r="N219" s="285" t="n">
        <v>3</v>
      </c>
      <c r="O219" s="285" t="n">
        <v>2</v>
      </c>
      <c r="P219" s="285" t="n">
        <v>791</v>
      </c>
      <c r="Q219" s="316" t="n"/>
      <c r="R219" s="285" t="n"/>
      <c r="S219" s="285" t="n"/>
      <c r="T219" s="285" t="n"/>
      <c r="U219" s="285" t="n"/>
      <c r="V219" s="285" t="n">
        <v>16.5</v>
      </c>
      <c r="W219" s="285" t="n">
        <v>12.4</v>
      </c>
      <c r="X219" s="285" t="n"/>
      <c r="Y219" s="285" t="n"/>
      <c r="Z219" s="285" t="n"/>
      <c r="AA219" s="285" t="n"/>
      <c r="AB219" s="285" t="n"/>
      <c r="AC219" s="285" t="n"/>
      <c r="AD219" s="285" t="n"/>
      <c r="AE219" s="285" t="n"/>
      <c r="AF219" s="285" t="n"/>
      <c r="AG219" s="285" t="n"/>
      <c r="AH219" s="285" t="n"/>
      <c r="AI219" s="285" t="n"/>
      <c r="AJ219" s="285" t="n"/>
      <c r="AK219" s="285" t="n"/>
      <c r="AL219" s="285" t="n"/>
    </row>
    <row r="220" ht="17" customHeight="1" s="476">
      <c r="A220" s="298" t="inlineStr">
        <is>
          <t>옥수동</t>
        </is>
      </c>
      <c r="B220" s="309" t="inlineStr">
        <is>
          <t>2금호옥수</t>
        </is>
      </c>
      <c r="C220" s="309" t="inlineStr">
        <is>
          <t>최상</t>
        </is>
      </c>
      <c r="D220" s="298" t="n">
        <v>110938</v>
      </c>
      <c r="E220" s="313" t="inlineStr">
        <is>
          <t>e편한세상옥수파크힐스</t>
        </is>
      </c>
      <c r="F220" s="298" t="n">
        <v>2016.11</v>
      </c>
      <c r="G220" s="298" t="n">
        <v>1976</v>
      </c>
      <c r="H220" s="298">
        <f>2026-INT(F220)+1</f>
        <v/>
      </c>
      <c r="I220" s="298" t="n"/>
      <c r="J220" s="298" t="n">
        <v>106</v>
      </c>
      <c r="K220" s="298" t="n">
        <v>84</v>
      </c>
      <c r="L220" s="298" t="n">
        <v>32</v>
      </c>
      <c r="M220" s="298" t="inlineStr">
        <is>
          <t>계단식</t>
        </is>
      </c>
      <c r="N220" s="298" t="n">
        <v>3</v>
      </c>
      <c r="O220" s="298" t="n">
        <v>2</v>
      </c>
      <c r="P220" s="298" t="n">
        <v>735</v>
      </c>
      <c r="Q220" s="320" t="inlineStr">
        <is>
          <t>24/14</t>
        </is>
      </c>
      <c r="R220" s="298" t="n">
        <v>252000</v>
      </c>
      <c r="S220" s="298" t="n">
        <v>120000</v>
      </c>
      <c r="T220" s="298" t="n"/>
      <c r="U220" s="298" t="n"/>
      <c r="V220" s="298" t="n">
        <v>20.9</v>
      </c>
      <c r="W220" s="298" t="n">
        <v>15</v>
      </c>
      <c r="X220" s="298" t="n"/>
      <c r="Y220" s="298" t="n"/>
      <c r="Z220" s="298" t="n"/>
      <c r="AA220" s="298" t="n"/>
      <c r="AB220" s="298" t="n"/>
      <c r="AC220" s="298" t="n"/>
      <c r="AD220" s="298" t="n"/>
      <c r="AE220" s="298" t="n"/>
      <c r="AF220" s="298" t="n"/>
      <c r="AG220" s="298" t="n"/>
      <c r="AH220" s="298" t="n"/>
      <c r="AI220" s="298" t="n"/>
      <c r="AJ220" s="298" t="n"/>
      <c r="AK220" s="298" t="n"/>
      <c r="AL220" s="298" t="n"/>
      <c r="AM220" s="298" t="n"/>
      <c r="AN220" s="298" t="n"/>
      <c r="AO220" s="298" t="n"/>
    </row>
    <row r="221">
      <c r="A221" s="287" t="inlineStr">
        <is>
          <t>옥수동</t>
        </is>
      </c>
      <c r="B221" s="307" t="inlineStr">
        <is>
          <t>2금호옥수</t>
        </is>
      </c>
      <c r="C221" s="307" t="inlineStr">
        <is>
          <t>최상</t>
        </is>
      </c>
      <c r="D221" s="287" t="n">
        <v>110938</v>
      </c>
      <c r="E221" s="286" t="inlineStr">
        <is>
          <t>e편한세상옥수파크힐스</t>
        </is>
      </c>
      <c r="F221" s="287" t="n">
        <v>2016.11</v>
      </c>
      <c r="G221" s="287" t="n">
        <v>1976</v>
      </c>
      <c r="H221" s="287">
        <f>2026-INT(F221)+1</f>
        <v/>
      </c>
      <c r="I221" s="285" t="n"/>
      <c r="J221" s="287" t="n">
        <v>108</v>
      </c>
      <c r="K221" s="287" t="n">
        <v>76</v>
      </c>
      <c r="L221" s="287" t="n">
        <v>33</v>
      </c>
      <c r="M221" s="287" t="inlineStr">
        <is>
          <t>계단식</t>
        </is>
      </c>
      <c r="N221" s="287" t="n">
        <v>3</v>
      </c>
      <c r="O221" s="287" t="n">
        <v>2</v>
      </c>
      <c r="P221" s="287" t="n">
        <v>12</v>
      </c>
      <c r="Q221" s="317" t="n"/>
      <c r="R221" s="285" t="n"/>
      <c r="S221" s="285" t="n"/>
      <c r="T221" s="285" t="n"/>
      <c r="U221" s="285" t="n"/>
      <c r="V221" s="287" t="n"/>
      <c r="W221" s="287" t="n"/>
      <c r="X221" s="285" t="n"/>
      <c r="Y221" s="285" t="n"/>
      <c r="Z221" s="285" t="n"/>
      <c r="AA221" s="285" t="n"/>
      <c r="AB221" s="285" t="n"/>
      <c r="AC221" s="285" t="n"/>
      <c r="AD221" s="285" t="n"/>
      <c r="AE221" s="285" t="n"/>
      <c r="AF221" s="285" t="n"/>
      <c r="AG221" s="285" t="n"/>
      <c r="AH221" s="285" t="n"/>
      <c r="AI221" s="285" t="n"/>
      <c r="AJ221" s="285" t="n"/>
      <c r="AK221" s="285" t="n"/>
      <c r="AL221" s="285" t="n"/>
    </row>
    <row r="222">
      <c r="A222" s="287" t="inlineStr">
        <is>
          <t>옥수동</t>
        </is>
      </c>
      <c r="B222" s="307" t="inlineStr">
        <is>
          <t>2금호옥수</t>
        </is>
      </c>
      <c r="C222" s="307" t="inlineStr">
        <is>
          <t>최상</t>
        </is>
      </c>
      <c r="D222" s="287" t="n">
        <v>110938</v>
      </c>
      <c r="E222" s="286" t="inlineStr">
        <is>
          <t>e편한세상옥수파크힐스</t>
        </is>
      </c>
      <c r="F222" s="287" t="n">
        <v>2016.11</v>
      </c>
      <c r="G222" s="287" t="n">
        <v>1976</v>
      </c>
      <c r="H222" s="287">
        <f>2026-INT(F222)+1</f>
        <v/>
      </c>
      <c r="I222" s="285" t="n"/>
      <c r="J222" s="287" t="n">
        <v>144</v>
      </c>
      <c r="K222" s="287" t="n">
        <v>115</v>
      </c>
      <c r="L222" s="287" t="n">
        <v>44</v>
      </c>
      <c r="M222" s="287" t="inlineStr">
        <is>
          <t>계단식</t>
        </is>
      </c>
      <c r="N222" s="287" t="n">
        <v>4</v>
      </c>
      <c r="O222" s="287" t="n">
        <v>2</v>
      </c>
      <c r="P222" s="287" t="n">
        <v>90</v>
      </c>
      <c r="Q222" s="317" t="n"/>
      <c r="R222" s="285" t="n"/>
      <c r="S222" s="285" t="n"/>
      <c r="T222" s="285" t="n"/>
      <c r="U222" s="285" t="n"/>
      <c r="V222" s="287" t="n">
        <v>21.8</v>
      </c>
      <c r="W222" s="287" t="n">
        <v>21.8</v>
      </c>
      <c r="X222" s="285" t="n"/>
      <c r="Y222" s="285" t="n"/>
      <c r="Z222" s="285" t="n"/>
      <c r="AA222" s="285" t="n"/>
      <c r="AB222" s="285" t="n"/>
      <c r="AC222" s="285" t="n"/>
      <c r="AD222" s="285" t="n"/>
      <c r="AE222" s="285" t="n"/>
      <c r="AF222" s="285" t="n"/>
      <c r="AG222" s="285" t="n"/>
      <c r="AH222" s="285" t="n"/>
      <c r="AI222" s="285" t="n"/>
      <c r="AJ222" s="285" t="n"/>
      <c r="AK222" s="285" t="n"/>
      <c r="AL222" s="285" t="n"/>
    </row>
    <row r="223">
      <c r="A223" s="287" t="inlineStr">
        <is>
          <t>옥수동</t>
        </is>
      </c>
      <c r="B223" s="307" t="inlineStr">
        <is>
          <t>2금호옥수</t>
        </is>
      </c>
      <c r="C223" s="307" t="inlineStr">
        <is>
          <t>최상</t>
        </is>
      </c>
      <c r="D223" s="287" t="n">
        <v>110938</v>
      </c>
      <c r="E223" s="286" t="inlineStr">
        <is>
          <t>e편한세상옥수파크힐스</t>
        </is>
      </c>
      <c r="F223" s="287" t="n">
        <v>2016.11</v>
      </c>
      <c r="G223" s="287" t="n">
        <v>1976</v>
      </c>
      <c r="H223" s="287">
        <f>2026-INT(F223)+1</f>
        <v/>
      </c>
      <c r="I223" s="285" t="n"/>
      <c r="J223" s="287" t="n">
        <v>149</v>
      </c>
      <c r="K223" s="287" t="n">
        <v>107</v>
      </c>
      <c r="L223" s="287" t="n">
        <v>45</v>
      </c>
      <c r="M223" s="287" t="inlineStr">
        <is>
          <t>계단식</t>
        </is>
      </c>
      <c r="N223" s="287" t="n">
        <v>4</v>
      </c>
      <c r="O223" s="287" t="n">
        <v>2</v>
      </c>
      <c r="P223" s="287" t="n">
        <v>6</v>
      </c>
      <c r="Q223" s="317" t="n"/>
      <c r="R223" s="285" t="n"/>
      <c r="S223" s="285" t="n"/>
      <c r="T223" s="285" t="n"/>
      <c r="U223" s="285" t="n"/>
      <c r="V223" s="287" t="n"/>
      <c r="W223" s="287" t="n">
        <v>29</v>
      </c>
      <c r="X223" s="285" t="n"/>
      <c r="Y223" s="285" t="n"/>
      <c r="Z223" s="285" t="n"/>
      <c r="AA223" s="285" t="n"/>
      <c r="AB223" s="285" t="n"/>
      <c r="AC223" s="285" t="n"/>
      <c r="AD223" s="285" t="n"/>
      <c r="AE223" s="285" t="n"/>
      <c r="AF223" s="285" t="n"/>
      <c r="AG223" s="285" t="n"/>
      <c r="AH223" s="285" t="n"/>
      <c r="AI223" s="285" t="n"/>
      <c r="AJ223" s="285" t="n"/>
      <c r="AK223" s="285" t="n"/>
      <c r="AL223" s="285" t="n"/>
    </row>
    <row r="224">
      <c r="A224" s="287" t="inlineStr">
        <is>
          <t>옥수동</t>
        </is>
      </c>
      <c r="B224" s="307" t="inlineStr">
        <is>
          <t>2금호옥수</t>
        </is>
      </c>
      <c r="C224" s="307" t="inlineStr">
        <is>
          <t>최상</t>
        </is>
      </c>
      <c r="D224" s="287" t="n">
        <v>110938</v>
      </c>
      <c r="E224" s="286" t="inlineStr">
        <is>
          <t>e편한세상옥수파크힐스</t>
        </is>
      </c>
      <c r="F224" s="287" t="n">
        <v>2016.11</v>
      </c>
      <c r="G224" s="287" t="n">
        <v>1976</v>
      </c>
      <c r="H224" s="287">
        <f>2026-INT(F224)+1</f>
        <v/>
      </c>
      <c r="I224" s="285" t="n"/>
      <c r="J224" s="287" t="n">
        <v>154</v>
      </c>
      <c r="K224" s="287" t="n">
        <v>118</v>
      </c>
      <c r="L224" s="287" t="n">
        <v>47</v>
      </c>
      <c r="M224" s="287" t="inlineStr">
        <is>
          <t>계단식</t>
        </is>
      </c>
      <c r="N224" s="287" t="n">
        <v>4</v>
      </c>
      <c r="O224" s="287" t="n">
        <v>2</v>
      </c>
      <c r="P224" s="287" t="n">
        <v>2</v>
      </c>
      <c r="Q224" s="317" t="n"/>
      <c r="R224" s="285" t="n"/>
      <c r="S224" s="285" t="n"/>
      <c r="T224" s="285" t="n"/>
      <c r="U224" s="285" t="n"/>
      <c r="V224" s="287" t="n"/>
      <c r="W224" s="287" t="n"/>
      <c r="X224" s="285" t="n"/>
      <c r="Y224" s="285" t="n"/>
      <c r="Z224" s="285" t="n"/>
      <c r="AA224" s="285" t="n"/>
      <c r="AB224" s="285" t="n"/>
      <c r="AC224" s="285" t="n"/>
      <c r="AD224" s="285" t="n"/>
      <c r="AE224" s="285" t="n"/>
      <c r="AF224" s="285" t="n"/>
      <c r="AG224" s="285" t="n"/>
      <c r="AH224" s="285" t="n"/>
      <c r="AI224" s="285" t="n"/>
      <c r="AJ224" s="285" t="n"/>
      <c r="AK224" s="285" t="n"/>
      <c r="AL224" s="285" t="n"/>
    </row>
    <row r="225">
      <c r="A225" s="458" t="inlineStr">
        <is>
          <t>금호동1가</t>
        </is>
      </c>
      <c r="B225" s="159" t="inlineStr">
        <is>
          <t>2금호옥수</t>
        </is>
      </c>
      <c r="C225" s="159" t="inlineStr">
        <is>
          <t>하</t>
        </is>
      </c>
      <c r="D225" s="458" t="n">
        <v>3417</v>
      </c>
      <c r="E225" s="288" t="inlineStr">
        <is>
          <t>금호삼성래미안</t>
        </is>
      </c>
      <c r="F225" s="458" t="n">
        <v>2001.1</v>
      </c>
      <c r="G225" s="458" t="n">
        <v>582</v>
      </c>
      <c r="H225" s="458">
        <f>2026-INT(F225)+1</f>
        <v/>
      </c>
      <c r="J225" s="458" t="n">
        <v>78</v>
      </c>
      <c r="K225" s="458" t="n">
        <v>59</v>
      </c>
      <c r="L225" s="458" t="n">
        <v>24</v>
      </c>
      <c r="M225" s="458" t="inlineStr">
        <is>
          <t>계단식</t>
        </is>
      </c>
      <c r="N225" s="458" t="n">
        <v>3</v>
      </c>
      <c r="O225" s="458" t="n">
        <v>2</v>
      </c>
      <c r="P225" s="458" t="n">
        <v>234</v>
      </c>
      <c r="Q225" s="318" t="n"/>
      <c r="V225" s="458" t="n">
        <v>12.3</v>
      </c>
      <c r="W225" s="458" t="n">
        <v>8.99</v>
      </c>
    </row>
    <row r="226">
      <c r="A226" s="458" t="inlineStr">
        <is>
          <t>금호동1가</t>
        </is>
      </c>
      <c r="B226" s="159" t="inlineStr">
        <is>
          <t>2금호옥수</t>
        </is>
      </c>
      <c r="C226" s="159" t="inlineStr">
        <is>
          <t>하</t>
        </is>
      </c>
      <c r="D226" s="458" t="n">
        <v>3417</v>
      </c>
      <c r="E226" s="288" t="inlineStr">
        <is>
          <t>금호삼성래미안</t>
        </is>
      </c>
      <c r="F226" s="458" t="n">
        <v>2001.1</v>
      </c>
      <c r="G226" s="458" t="n">
        <v>582</v>
      </c>
      <c r="H226" s="458">
        <f>2026-INT(F226)+1</f>
        <v/>
      </c>
      <c r="J226" s="458" t="n">
        <v>105</v>
      </c>
      <c r="K226" s="458" t="n">
        <v>84</v>
      </c>
      <c r="L226" s="458" t="n">
        <v>32</v>
      </c>
      <c r="M226" s="458" t="inlineStr">
        <is>
          <t>계단식</t>
        </is>
      </c>
      <c r="N226" s="458" t="n">
        <v>3</v>
      </c>
      <c r="O226" s="458" t="n">
        <v>2</v>
      </c>
      <c r="P226" s="458" t="n">
        <v>232</v>
      </c>
      <c r="Q226" s="318" t="n"/>
      <c r="V226" s="458" t="n">
        <v>13.6</v>
      </c>
      <c r="W226" s="458" t="n">
        <v>11.5</v>
      </c>
    </row>
    <row r="227">
      <c r="A227" s="458" t="inlineStr">
        <is>
          <t>금호동1가</t>
        </is>
      </c>
      <c r="B227" s="159" t="inlineStr">
        <is>
          <t>2금호옥수</t>
        </is>
      </c>
      <c r="C227" s="159" t="inlineStr">
        <is>
          <t>하</t>
        </is>
      </c>
      <c r="D227" s="458" t="n">
        <v>3417</v>
      </c>
      <c r="E227" s="288" t="inlineStr">
        <is>
          <t>금호삼성래미안</t>
        </is>
      </c>
      <c r="F227" s="458" t="n">
        <v>2001.1</v>
      </c>
      <c r="G227" s="458" t="n">
        <v>582</v>
      </c>
      <c r="H227" s="458">
        <f>2026-INT(F227)+1</f>
        <v/>
      </c>
      <c r="J227" s="458" t="n">
        <v>138</v>
      </c>
      <c r="K227" s="458" t="n">
        <v>114</v>
      </c>
      <c r="L227" s="458" t="n">
        <v>42</v>
      </c>
      <c r="M227" s="458" t="inlineStr">
        <is>
          <t>계단식</t>
        </is>
      </c>
      <c r="N227" s="458" t="n">
        <v>4</v>
      </c>
      <c r="O227" s="458" t="n">
        <v>2</v>
      </c>
      <c r="P227" s="458" t="n">
        <v>116</v>
      </c>
      <c r="Q227" s="318" t="n"/>
      <c r="V227" s="458" t="n">
        <v>16.9</v>
      </c>
      <c r="W227" s="458" t="n">
        <v>14.1</v>
      </c>
    </row>
    <row r="228">
      <c r="A228" s="458" t="inlineStr">
        <is>
          <t>옥수동</t>
        </is>
      </c>
      <c r="B228" s="159" t="inlineStr">
        <is>
          <t>2금호옥수</t>
        </is>
      </c>
      <c r="C228" s="159" t="inlineStr">
        <is>
          <t>하</t>
        </is>
      </c>
      <c r="D228" s="458" t="n">
        <v>563</v>
      </c>
      <c r="E228" s="288" t="inlineStr">
        <is>
          <t>극동그린</t>
        </is>
      </c>
      <c r="F228" s="458" t="n">
        <v>1997.1</v>
      </c>
      <c r="G228" s="458" t="n">
        <v>583</v>
      </c>
      <c r="H228" s="458">
        <f>2026-INT(F228)+1</f>
        <v/>
      </c>
      <c r="J228" s="458" t="n">
        <v>83</v>
      </c>
      <c r="K228" s="458" t="n">
        <v>59</v>
      </c>
      <c r="L228" s="458" t="n">
        <v>25</v>
      </c>
      <c r="M228" s="458" t="inlineStr">
        <is>
          <t>복도식</t>
        </is>
      </c>
      <c r="N228" s="458" t="n">
        <v>2</v>
      </c>
      <c r="O228" s="458" t="n">
        <v>1</v>
      </c>
      <c r="P228" s="458" t="n">
        <v>76</v>
      </c>
      <c r="Q228" s="318" t="n"/>
      <c r="V228" s="458" t="n">
        <v>11.75</v>
      </c>
      <c r="W228" s="458" t="n">
        <v>11.55</v>
      </c>
    </row>
    <row r="229">
      <c r="A229" s="458" t="inlineStr">
        <is>
          <t>옥수동</t>
        </is>
      </c>
      <c r="B229" s="159" t="inlineStr">
        <is>
          <t>2금호옥수</t>
        </is>
      </c>
      <c r="C229" s="159" t="inlineStr">
        <is>
          <t>하</t>
        </is>
      </c>
      <c r="D229" s="458" t="n">
        <v>563</v>
      </c>
      <c r="E229" s="288" t="inlineStr">
        <is>
          <t>극동그린</t>
        </is>
      </c>
      <c r="F229" s="458" t="n">
        <v>1997.1</v>
      </c>
      <c r="G229" s="458" t="n">
        <v>583</v>
      </c>
      <c r="H229" s="458">
        <f>2026-INT(F229)+1</f>
        <v/>
      </c>
      <c r="J229" s="458" t="n">
        <v>109</v>
      </c>
      <c r="K229" s="458" t="n">
        <v>84</v>
      </c>
      <c r="L229" s="458" t="n">
        <v>33</v>
      </c>
      <c r="M229" s="458" t="inlineStr">
        <is>
          <t>계단식</t>
        </is>
      </c>
      <c r="N229" s="458" t="n">
        <v>3</v>
      </c>
      <c r="O229" s="458" t="n">
        <v>2</v>
      </c>
      <c r="P229" s="458" t="n">
        <v>146</v>
      </c>
      <c r="Q229" s="318" t="n"/>
      <c r="V229" s="458" t="n">
        <v>14.4</v>
      </c>
      <c r="W229" s="458" t="n">
        <v>10.4</v>
      </c>
    </row>
    <row r="230">
      <c r="A230" s="458" t="inlineStr">
        <is>
          <t>옥수동</t>
        </is>
      </c>
      <c r="B230" s="159" t="inlineStr">
        <is>
          <t>2금호옥수</t>
        </is>
      </c>
      <c r="C230" s="159" t="inlineStr">
        <is>
          <t>하</t>
        </is>
      </c>
      <c r="D230" s="458" t="n">
        <v>563</v>
      </c>
      <c r="E230" s="288" t="inlineStr">
        <is>
          <t>극동그린</t>
        </is>
      </c>
      <c r="F230" s="458" t="n">
        <v>1997.1</v>
      </c>
      <c r="G230" s="458" t="n">
        <v>583</v>
      </c>
      <c r="H230" s="458">
        <f>2026-INT(F230)+1</f>
        <v/>
      </c>
      <c r="J230" s="458" t="n">
        <v>141</v>
      </c>
      <c r="K230" s="458" t="n">
        <v>114</v>
      </c>
      <c r="L230" s="458" t="n">
        <v>43</v>
      </c>
      <c r="M230" s="458" t="inlineStr">
        <is>
          <t>계단식</t>
        </is>
      </c>
      <c r="N230" s="458" t="n">
        <v>4</v>
      </c>
      <c r="O230" s="458" t="n">
        <v>2</v>
      </c>
      <c r="P230" s="458" t="n">
        <v>190</v>
      </c>
      <c r="Q230" s="318" t="n"/>
      <c r="V230" s="458" t="n">
        <v>15.5</v>
      </c>
      <c r="W230" s="458" t="n">
        <v>11.75</v>
      </c>
    </row>
    <row r="231">
      <c r="A231" s="285" t="inlineStr">
        <is>
          <t>옥수동</t>
        </is>
      </c>
      <c r="B231" s="307" t="inlineStr">
        <is>
          <t>2금호옥수</t>
        </is>
      </c>
      <c r="C231" s="307" t="inlineStr">
        <is>
          <t>하</t>
        </is>
      </c>
      <c r="D231" s="285" t="n">
        <v>562</v>
      </c>
      <c r="E231" s="286" t="inlineStr">
        <is>
          <t>옥수극동</t>
        </is>
      </c>
      <c r="F231" s="285" t="n">
        <v>1986.12</v>
      </c>
      <c r="G231" s="285" t="n">
        <v>900</v>
      </c>
      <c r="H231" s="285">
        <f>2026-INT(F231)+1</f>
        <v/>
      </c>
      <c r="I231" s="285" t="n"/>
      <c r="J231" s="285" t="n">
        <v>80</v>
      </c>
      <c r="K231" s="285" t="n">
        <v>57</v>
      </c>
      <c r="L231" s="285" t="n">
        <v>24</v>
      </c>
      <c r="M231" s="285" t="inlineStr">
        <is>
          <t>복도식</t>
        </is>
      </c>
      <c r="N231" s="285" t="n">
        <v>2</v>
      </c>
      <c r="O231" s="285" t="n">
        <v>1</v>
      </c>
      <c r="P231" s="285" t="n">
        <v>150</v>
      </c>
      <c r="Q231" s="316" t="n"/>
      <c r="R231" s="285" t="n"/>
      <c r="S231" s="285" t="n"/>
      <c r="T231" s="285" t="n"/>
      <c r="U231" s="285" t="n"/>
      <c r="V231" s="285" t="n">
        <v>12.8</v>
      </c>
      <c r="W231" s="285" t="n">
        <v>9.449999999999999</v>
      </c>
      <c r="X231" s="285" t="n"/>
      <c r="Y231" s="285" t="n"/>
      <c r="Z231" s="285" t="n"/>
      <c r="AA231" s="285" t="n"/>
      <c r="AB231" s="285" t="n"/>
      <c r="AC231" s="285" t="n"/>
      <c r="AD231" s="285" t="n"/>
      <c r="AE231" s="285" t="n"/>
      <c r="AF231" s="285" t="n"/>
      <c r="AG231" s="285" t="n"/>
      <c r="AH231" s="285" t="n"/>
      <c r="AI231" s="285" t="n"/>
      <c r="AJ231" s="285" t="n"/>
      <c r="AK231" s="285" t="n"/>
      <c r="AL231" s="285" t="n"/>
    </row>
    <row r="232">
      <c r="A232" s="287" t="inlineStr">
        <is>
          <t>옥수동</t>
        </is>
      </c>
      <c r="B232" s="307" t="inlineStr">
        <is>
          <t>2금호옥수</t>
        </is>
      </c>
      <c r="C232" s="307" t="inlineStr">
        <is>
          <t>하</t>
        </is>
      </c>
      <c r="D232" s="287" t="n">
        <v>562</v>
      </c>
      <c r="E232" s="286" t="inlineStr">
        <is>
          <t>옥수극동</t>
        </is>
      </c>
      <c r="F232" s="287" t="n">
        <v>1986.12</v>
      </c>
      <c r="G232" s="287" t="n">
        <v>900</v>
      </c>
      <c r="H232" s="287">
        <f>2026-INT(F232)+1</f>
        <v/>
      </c>
      <c r="I232" s="285" t="n"/>
      <c r="J232" s="287" t="n">
        <v>91</v>
      </c>
      <c r="K232" s="287" t="n">
        <v>68</v>
      </c>
      <c r="L232" s="287" t="n">
        <v>28</v>
      </c>
      <c r="M232" s="287" t="inlineStr">
        <is>
          <t>복도식</t>
        </is>
      </c>
      <c r="N232" s="287" t="n">
        <v>2</v>
      </c>
      <c r="O232" s="287" t="n">
        <v>1</v>
      </c>
      <c r="P232" s="287" t="n">
        <v>210</v>
      </c>
      <c r="Q232" s="317" t="n"/>
      <c r="R232" s="285" t="n"/>
      <c r="S232" s="285" t="n"/>
      <c r="T232" s="285" t="n"/>
      <c r="U232" s="285" t="n"/>
      <c r="V232" s="287" t="n">
        <v>13.8</v>
      </c>
      <c r="W232" s="287" t="n">
        <v>9.5</v>
      </c>
      <c r="X232" s="285" t="n"/>
      <c r="Y232" s="285" t="n"/>
      <c r="Z232" s="285" t="n"/>
      <c r="AA232" s="285" t="n"/>
      <c r="AB232" s="285" t="n"/>
      <c r="AC232" s="285" t="n"/>
      <c r="AD232" s="285" t="n"/>
      <c r="AE232" s="285" t="n"/>
      <c r="AF232" s="285" t="n"/>
      <c r="AG232" s="285" t="n"/>
      <c r="AH232" s="285" t="n"/>
      <c r="AI232" s="285" t="n"/>
      <c r="AJ232" s="285" t="n"/>
      <c r="AK232" s="285" t="n"/>
      <c r="AL232" s="285" t="n"/>
    </row>
    <row r="233">
      <c r="A233" s="287" t="inlineStr">
        <is>
          <t>옥수동</t>
        </is>
      </c>
      <c r="B233" s="307" t="inlineStr">
        <is>
          <t>2금호옥수</t>
        </is>
      </c>
      <c r="C233" s="307" t="inlineStr">
        <is>
          <t>하</t>
        </is>
      </c>
      <c r="D233" s="287" t="n">
        <v>562</v>
      </c>
      <c r="E233" s="286" t="inlineStr">
        <is>
          <t>옥수극동</t>
        </is>
      </c>
      <c r="F233" s="287" t="n">
        <v>1986.12</v>
      </c>
      <c r="G233" s="287" t="n">
        <v>900</v>
      </c>
      <c r="H233" s="287">
        <f>2026-INT(F233)+1</f>
        <v/>
      </c>
      <c r="I233" s="285" t="n"/>
      <c r="J233" s="287" t="n">
        <v>101</v>
      </c>
      <c r="K233" s="287" t="n">
        <v>84</v>
      </c>
      <c r="L233" s="287" t="n">
        <v>31</v>
      </c>
      <c r="M233" s="287" t="inlineStr">
        <is>
          <t>계단식</t>
        </is>
      </c>
      <c r="N233" s="287" t="n">
        <v>3</v>
      </c>
      <c r="O233" s="287" t="n">
        <v>1</v>
      </c>
      <c r="P233" s="287" t="n">
        <v>180</v>
      </c>
      <c r="Q233" s="317" t="n"/>
      <c r="R233" s="285" t="n"/>
      <c r="S233" s="285" t="n"/>
      <c r="T233" s="285" t="n"/>
      <c r="U233" s="285" t="n"/>
      <c r="V233" s="287" t="n">
        <v>16.2</v>
      </c>
      <c r="W233" s="287" t="n">
        <v>11</v>
      </c>
      <c r="X233" s="285" t="n"/>
      <c r="Y233" s="285" t="n"/>
      <c r="Z233" s="285" t="n"/>
      <c r="AA233" s="285" t="n"/>
      <c r="AB233" s="285" t="n"/>
      <c r="AC233" s="285" t="n"/>
      <c r="AD233" s="285" t="n"/>
      <c r="AE233" s="285" t="n"/>
      <c r="AF233" s="285" t="n"/>
      <c r="AG233" s="285" t="n"/>
      <c r="AH233" s="285" t="n"/>
      <c r="AI233" s="285" t="n"/>
      <c r="AJ233" s="285" t="n"/>
      <c r="AK233" s="285" t="n"/>
      <c r="AL233" s="285" t="n"/>
    </row>
    <row r="234">
      <c r="A234" s="287" t="inlineStr">
        <is>
          <t>옥수동</t>
        </is>
      </c>
      <c r="B234" s="307" t="inlineStr">
        <is>
          <t>2금호옥수</t>
        </is>
      </c>
      <c r="C234" s="307" t="inlineStr">
        <is>
          <t>하</t>
        </is>
      </c>
      <c r="D234" s="287" t="n">
        <v>562</v>
      </c>
      <c r="E234" s="286" t="inlineStr">
        <is>
          <t>옥수극동</t>
        </is>
      </c>
      <c r="F234" s="287" t="n">
        <v>1986.12</v>
      </c>
      <c r="G234" s="287" t="n">
        <v>900</v>
      </c>
      <c r="H234" s="287">
        <f>2026-INT(F234)+1</f>
        <v/>
      </c>
      <c r="I234" s="285" t="n"/>
      <c r="J234" s="287" t="n">
        <v>164</v>
      </c>
      <c r="K234" s="287" t="n">
        <v>142</v>
      </c>
      <c r="L234" s="287" t="n">
        <v>50</v>
      </c>
      <c r="M234" s="287" t="inlineStr">
        <is>
          <t>계단식</t>
        </is>
      </c>
      <c r="N234" s="287" t="n">
        <v>5</v>
      </c>
      <c r="O234" s="287" t="n">
        <v>2</v>
      </c>
      <c r="P234" s="287" t="n">
        <v>180</v>
      </c>
      <c r="Q234" s="317" t="n"/>
      <c r="R234" s="285" t="n"/>
      <c r="S234" s="285" t="n"/>
      <c r="T234" s="285" t="n"/>
      <c r="U234" s="285" t="n"/>
      <c r="V234" s="287" t="n">
        <v>19.35</v>
      </c>
      <c r="W234" s="287" t="n">
        <v>12.7</v>
      </c>
      <c r="X234" s="285" t="n"/>
      <c r="Y234" s="285" t="n"/>
      <c r="Z234" s="285" t="n"/>
      <c r="AA234" s="285" t="n"/>
      <c r="AB234" s="285" t="n"/>
      <c r="AC234" s="285" t="n"/>
      <c r="AD234" s="285" t="n"/>
      <c r="AE234" s="285" t="n"/>
      <c r="AF234" s="285" t="n"/>
      <c r="AG234" s="285" t="n"/>
      <c r="AH234" s="285" t="n"/>
      <c r="AI234" s="285" t="n"/>
      <c r="AJ234" s="285" t="n"/>
      <c r="AK234" s="285" t="n"/>
      <c r="AL234" s="285" t="n"/>
    </row>
    <row r="235">
      <c r="A235" s="287" t="inlineStr">
        <is>
          <t>옥수동</t>
        </is>
      </c>
      <c r="B235" s="307" t="inlineStr">
        <is>
          <t>2금호옥수</t>
        </is>
      </c>
      <c r="C235" s="307" t="inlineStr">
        <is>
          <t>하</t>
        </is>
      </c>
      <c r="D235" s="287" t="n">
        <v>562</v>
      </c>
      <c r="E235" s="286" t="inlineStr">
        <is>
          <t>옥수극동</t>
        </is>
      </c>
      <c r="F235" s="287" t="n">
        <v>1986.12</v>
      </c>
      <c r="G235" s="287" t="n">
        <v>900</v>
      </c>
      <c r="H235" s="287">
        <f>2026-INT(F235)+1</f>
        <v/>
      </c>
      <c r="I235" s="285" t="n"/>
      <c r="J235" s="287" t="n">
        <v>170</v>
      </c>
      <c r="K235" s="287" t="n">
        <v>148</v>
      </c>
      <c r="L235" s="287" t="n">
        <v>51</v>
      </c>
      <c r="M235" s="287" t="inlineStr">
        <is>
          <t>계단식</t>
        </is>
      </c>
      <c r="N235" s="287" t="n">
        <v>5</v>
      </c>
      <c r="O235" s="287" t="n">
        <v>2</v>
      </c>
      <c r="P235" s="287" t="n">
        <v>180</v>
      </c>
      <c r="Q235" s="317" t="n"/>
      <c r="R235" s="285" t="n"/>
      <c r="S235" s="285" t="n"/>
      <c r="T235" s="285" t="n"/>
      <c r="U235" s="285" t="n"/>
      <c r="V235" s="287" t="n">
        <v>21.5</v>
      </c>
      <c r="W235" s="287" t="n">
        <v>16.8</v>
      </c>
      <c r="X235" s="285" t="n"/>
      <c r="Y235" s="285" t="n"/>
      <c r="Z235" s="285" t="n"/>
      <c r="AA235" s="285" t="n"/>
      <c r="AB235" s="285" t="n"/>
      <c r="AC235" s="285" t="n"/>
      <c r="AD235" s="285" t="n"/>
      <c r="AE235" s="285" t="n"/>
      <c r="AF235" s="285" t="n"/>
      <c r="AG235" s="285" t="n"/>
      <c r="AH235" s="285" t="n"/>
      <c r="AI235" s="285" t="n"/>
      <c r="AJ235" s="285" t="n"/>
      <c r="AK235" s="285" t="n"/>
      <c r="AL235" s="285" t="n"/>
    </row>
    <row r="236">
      <c r="A236" s="287" t="inlineStr">
        <is>
          <t>용답동</t>
        </is>
      </c>
      <c r="B236" s="310" t="inlineStr">
        <is>
          <t>5마장</t>
        </is>
      </c>
      <c r="C236" s="310" t="inlineStr">
        <is>
          <t>상</t>
        </is>
      </c>
      <c r="D236" s="287" t="n">
        <v>176297</v>
      </c>
      <c r="E236" s="286" t="inlineStr">
        <is>
          <t>청계SK뷰(주상복합)</t>
        </is>
      </c>
      <c r="F236" s="287" t="n">
        <v>2025.07</v>
      </c>
      <c r="G236" s="287" t="n">
        <v>396</v>
      </c>
      <c r="H236" s="287">
        <f>2026-INT(F236)+1</f>
        <v/>
      </c>
      <c r="I236" s="285" t="n"/>
      <c r="J236" s="287" t="n">
        <v>83</v>
      </c>
      <c r="K236" s="287" t="n">
        <v>59</v>
      </c>
      <c r="L236" s="287" t="n">
        <v>25</v>
      </c>
      <c r="M236" s="287" t="inlineStr">
        <is>
          <t>계단식</t>
        </is>
      </c>
      <c r="N236" s="287" t="n">
        <v>3</v>
      </c>
      <c r="O236" s="287" t="n">
        <v>2</v>
      </c>
      <c r="P236" s="287" t="n">
        <v>258</v>
      </c>
      <c r="Q236" s="317" t="n"/>
      <c r="R236" s="285" t="n"/>
      <c r="S236" s="285" t="n"/>
      <c r="T236" s="285" t="n"/>
      <c r="U236" s="285" t="n"/>
      <c r="V236" s="287" t="n"/>
      <c r="W236" s="287" t="n"/>
      <c r="X236" s="285" t="n"/>
      <c r="Y236" s="285" t="n"/>
      <c r="Z236" s="285" t="n"/>
      <c r="AA236" s="285" t="n"/>
      <c r="AB236" s="285" t="n"/>
      <c r="AC236" s="285" t="n"/>
      <c r="AD236" s="285" t="n"/>
      <c r="AE236" s="285" t="n"/>
      <c r="AF236" s="285" t="n"/>
      <c r="AG236" s="285" t="n"/>
      <c r="AH236" s="285" t="n"/>
      <c r="AI236" s="285" t="n"/>
      <c r="AJ236" s="285" t="n"/>
      <c r="AK236" s="285" t="n"/>
      <c r="AL236" s="285" t="n"/>
    </row>
    <row r="237">
      <c r="A237" s="285" t="inlineStr">
        <is>
          <t>용답동</t>
        </is>
      </c>
      <c r="B237" s="310" t="inlineStr">
        <is>
          <t>5마장</t>
        </is>
      </c>
      <c r="C237" s="310" t="inlineStr">
        <is>
          <t>상</t>
        </is>
      </c>
      <c r="D237" s="285" t="n">
        <v>176297</v>
      </c>
      <c r="E237" s="286" t="inlineStr">
        <is>
          <t>청계SK뷰(주상복합)</t>
        </is>
      </c>
      <c r="F237" s="285" t="n">
        <v>2025.07</v>
      </c>
      <c r="G237" s="285" t="n">
        <v>396</v>
      </c>
      <c r="H237" s="285">
        <f>2026-INT(F237)+1</f>
        <v/>
      </c>
      <c r="I237" s="285" t="n"/>
      <c r="J237" s="285" t="n">
        <v>116</v>
      </c>
      <c r="K237" s="285" t="n">
        <v>84</v>
      </c>
      <c r="L237" s="285" t="n">
        <v>35</v>
      </c>
      <c r="M237" s="285" t="inlineStr">
        <is>
          <t>계단식</t>
        </is>
      </c>
      <c r="N237" s="285" t="n">
        <v>3</v>
      </c>
      <c r="O237" s="285" t="n">
        <v>2</v>
      </c>
      <c r="P237" s="285" t="n">
        <v>32</v>
      </c>
      <c r="Q237" s="316" t="n"/>
      <c r="R237" s="285" t="n"/>
      <c r="S237" s="285" t="n"/>
      <c r="T237" s="285" t="n"/>
      <c r="U237" s="285" t="n"/>
      <c r="V237" s="285" t="n"/>
      <c r="W237" s="285" t="n"/>
      <c r="X237" s="285" t="n"/>
      <c r="Y237" s="285" t="n"/>
      <c r="Z237" s="285" t="n"/>
      <c r="AA237" s="285" t="n"/>
      <c r="AB237" s="285" t="n"/>
      <c r="AC237" s="285" t="n"/>
      <c r="AD237" s="285" t="n"/>
      <c r="AE237" s="285" t="n"/>
      <c r="AF237" s="285" t="n"/>
      <c r="AG237" s="285" t="n"/>
      <c r="AH237" s="285" t="n"/>
      <c r="AI237" s="285" t="n"/>
      <c r="AJ237" s="285" t="n"/>
      <c r="AK237" s="285" t="n"/>
      <c r="AL237" s="285" t="n"/>
    </row>
    <row r="238">
      <c r="A238" s="458" t="inlineStr">
        <is>
          <t>응봉동</t>
        </is>
      </c>
      <c r="B238" s="159" t="inlineStr">
        <is>
          <t>4행당응봉</t>
        </is>
      </c>
      <c r="C238" s="159" t="inlineStr">
        <is>
          <t>하</t>
        </is>
      </c>
      <c r="D238" s="458" t="n">
        <v>572</v>
      </c>
      <c r="E238" s="288" t="inlineStr">
        <is>
          <t>금호현대</t>
        </is>
      </c>
      <c r="F238" s="458" t="n">
        <v>1990.09</v>
      </c>
      <c r="G238" s="458" t="n">
        <v>644</v>
      </c>
      <c r="H238" s="458">
        <f>2026-INT(F238)+1</f>
        <v/>
      </c>
      <c r="J238" s="458" t="n">
        <v>81</v>
      </c>
      <c r="K238" s="458" t="n">
        <v>59</v>
      </c>
      <c r="L238" s="458" t="n">
        <v>25</v>
      </c>
      <c r="M238" s="458" t="inlineStr">
        <is>
          <t>복도식</t>
        </is>
      </c>
      <c r="N238" s="458" t="n">
        <v>2</v>
      </c>
      <c r="O238" s="458" t="n">
        <v>1</v>
      </c>
      <c r="P238" s="458" t="n">
        <v>176</v>
      </c>
      <c r="Q238" s="318" t="n"/>
      <c r="V238" s="458" t="n">
        <v>10</v>
      </c>
      <c r="W238" s="458" t="n">
        <v>7.75</v>
      </c>
    </row>
    <row r="239">
      <c r="A239" s="458" t="inlineStr">
        <is>
          <t>응봉동</t>
        </is>
      </c>
      <c r="B239" s="159" t="inlineStr">
        <is>
          <t>4행당응봉</t>
        </is>
      </c>
      <c r="C239" s="159" t="inlineStr">
        <is>
          <t>하</t>
        </is>
      </c>
      <c r="D239" s="458" t="n">
        <v>572</v>
      </c>
      <c r="E239" s="288" t="inlineStr">
        <is>
          <t>금호현대</t>
        </is>
      </c>
      <c r="F239" s="458" t="n">
        <v>1990.09</v>
      </c>
      <c r="G239" s="458" t="n">
        <v>644</v>
      </c>
      <c r="H239" s="458">
        <f>2026-INT(F239)+1</f>
        <v/>
      </c>
      <c r="J239" s="458" t="n">
        <v>104</v>
      </c>
      <c r="K239" s="458" t="n">
        <v>79</v>
      </c>
      <c r="L239" s="458" t="n">
        <v>31</v>
      </c>
      <c r="M239" s="458" t="inlineStr">
        <is>
          <t>복도식</t>
        </is>
      </c>
      <c r="N239" s="458" t="n">
        <v>3</v>
      </c>
      <c r="O239" s="458" t="n">
        <v>1</v>
      </c>
      <c r="P239" s="458" t="n">
        <v>336</v>
      </c>
      <c r="Q239" s="318" t="n"/>
      <c r="V239" s="458" t="n">
        <v>13</v>
      </c>
      <c r="W239" s="458" t="n">
        <v>8.699999999999999</v>
      </c>
    </row>
    <row r="240">
      <c r="A240" s="458" t="inlineStr">
        <is>
          <t>응봉동</t>
        </is>
      </c>
      <c r="B240" s="159" t="inlineStr">
        <is>
          <t>4행당응봉</t>
        </is>
      </c>
      <c r="C240" s="159" t="inlineStr">
        <is>
          <t>하</t>
        </is>
      </c>
      <c r="D240" s="458" t="n">
        <v>572</v>
      </c>
      <c r="E240" s="288" t="inlineStr">
        <is>
          <t>금호현대</t>
        </is>
      </c>
      <c r="F240" s="458" t="n">
        <v>1990.09</v>
      </c>
      <c r="G240" s="458" t="n">
        <v>644</v>
      </c>
      <c r="H240" s="458">
        <f>2026-INT(F240)+1</f>
        <v/>
      </c>
      <c r="J240" s="458" t="n">
        <v>143</v>
      </c>
      <c r="K240" s="458" t="n">
        <v>120</v>
      </c>
      <c r="L240" s="458" t="n">
        <v>43</v>
      </c>
      <c r="M240" s="458" t="inlineStr">
        <is>
          <t>계단식</t>
        </is>
      </c>
      <c r="N240" s="458" t="n">
        <v>4</v>
      </c>
      <c r="O240" s="458" t="n">
        <v>2</v>
      </c>
      <c r="P240" s="458" t="n">
        <v>132</v>
      </c>
      <c r="Q240" s="318" t="n"/>
      <c r="V240" s="458" t="n">
        <v>12.25</v>
      </c>
      <c r="W240" s="458" t="n">
        <v>10.3</v>
      </c>
    </row>
    <row r="241">
      <c r="A241" s="285" t="inlineStr">
        <is>
          <t>응봉동</t>
        </is>
      </c>
      <c r="B241" s="307" t="inlineStr">
        <is>
          <t>4행당응봉</t>
        </is>
      </c>
      <c r="C241" s="307" t="inlineStr">
        <is>
          <t>중</t>
        </is>
      </c>
      <c r="D241" s="285" t="n">
        <v>569</v>
      </c>
      <c r="E241" s="286" t="inlineStr">
        <is>
          <t>대림1차</t>
        </is>
      </c>
      <c r="F241" s="285" t="n">
        <v>1986.1</v>
      </c>
      <c r="G241" s="285" t="n">
        <v>855</v>
      </c>
      <c r="H241" s="285">
        <f>2026-INT(F241)+1</f>
        <v/>
      </c>
      <c r="I241" s="285" t="n"/>
      <c r="J241" s="285" t="n">
        <v>85</v>
      </c>
      <c r="K241" s="285" t="n">
        <v>63</v>
      </c>
      <c r="L241" s="285" t="n">
        <v>26</v>
      </c>
      <c r="M241" s="285" t="inlineStr">
        <is>
          <t>복도식</t>
        </is>
      </c>
      <c r="N241" s="285" t="n">
        <v>2</v>
      </c>
      <c r="O241" s="285" t="n">
        <v>1</v>
      </c>
      <c r="P241" s="285" t="n">
        <v>75</v>
      </c>
      <c r="Q241" s="316" t="n"/>
      <c r="R241" s="285" t="n"/>
      <c r="S241" s="285" t="n"/>
      <c r="T241" s="285" t="n"/>
      <c r="U241" s="285" t="n"/>
      <c r="V241" s="285" t="n">
        <v>12.85</v>
      </c>
      <c r="W241" s="285" t="n">
        <v>6.5</v>
      </c>
      <c r="X241" s="285" t="n"/>
      <c r="Y241" s="285" t="n"/>
      <c r="Z241" s="285" t="n"/>
      <c r="AA241" s="285" t="n"/>
      <c r="AB241" s="285" t="n"/>
      <c r="AC241" s="285" t="n"/>
      <c r="AD241" s="285" t="n"/>
      <c r="AE241" s="285" t="n"/>
      <c r="AF241" s="285" t="n"/>
      <c r="AG241" s="285" t="n"/>
      <c r="AH241" s="285" t="n"/>
      <c r="AI241" s="285" t="n"/>
      <c r="AJ241" s="285" t="n"/>
      <c r="AK241" s="285" t="n"/>
      <c r="AL241" s="285" t="n"/>
    </row>
    <row r="242">
      <c r="A242" s="285" t="inlineStr">
        <is>
          <t>응봉동</t>
        </is>
      </c>
      <c r="B242" s="307" t="inlineStr">
        <is>
          <t>4행당응봉</t>
        </is>
      </c>
      <c r="C242" s="307" t="inlineStr">
        <is>
          <t>중</t>
        </is>
      </c>
      <c r="D242" s="285" t="n">
        <v>569</v>
      </c>
      <c r="E242" s="286" t="inlineStr">
        <is>
          <t>대림1차</t>
        </is>
      </c>
      <c r="F242" s="285" t="n">
        <v>1986.1</v>
      </c>
      <c r="G242" s="285" t="n">
        <v>855</v>
      </c>
      <c r="H242" s="285">
        <f>2026-INT(F242)+1</f>
        <v/>
      </c>
      <c r="I242" s="285" t="n"/>
      <c r="J242" s="285" t="n">
        <v>103</v>
      </c>
      <c r="K242" s="285" t="n">
        <v>75</v>
      </c>
      <c r="L242" s="285" t="n">
        <v>31</v>
      </c>
      <c r="M242" s="285" t="inlineStr">
        <is>
          <t>복도식</t>
        </is>
      </c>
      <c r="N242" s="285" t="n">
        <v>3</v>
      </c>
      <c r="O242" s="285" t="n">
        <v>1</v>
      </c>
      <c r="P242" s="285" t="n">
        <v>360</v>
      </c>
      <c r="Q242" s="316" t="n"/>
      <c r="R242" s="285" t="n"/>
      <c r="S242" s="285" t="n"/>
      <c r="T242" s="285" t="n"/>
      <c r="U242" s="285" t="n"/>
      <c r="V242" s="285" t="n">
        <v>14.4</v>
      </c>
      <c r="W242" s="285" t="n">
        <v>9.390000000000001</v>
      </c>
      <c r="X242" s="285" t="n"/>
      <c r="Y242" s="285" t="n"/>
      <c r="Z242" s="285" t="n"/>
      <c r="AA242" s="285" t="n"/>
      <c r="AB242" s="285" t="n"/>
      <c r="AC242" s="285" t="n"/>
      <c r="AD242" s="285" t="n"/>
      <c r="AE242" s="285" t="n"/>
      <c r="AF242" s="285" t="n"/>
      <c r="AG242" s="285" t="n"/>
      <c r="AH242" s="285" t="n"/>
      <c r="AI242" s="285" t="n"/>
      <c r="AJ242" s="285" t="n"/>
      <c r="AK242" s="285" t="n"/>
      <c r="AL242" s="285" t="n"/>
    </row>
    <row r="243">
      <c r="A243" s="285" t="inlineStr">
        <is>
          <t>응봉동</t>
        </is>
      </c>
      <c r="B243" s="307" t="inlineStr">
        <is>
          <t>4행당응봉</t>
        </is>
      </c>
      <c r="C243" s="307" t="inlineStr">
        <is>
          <t>중</t>
        </is>
      </c>
      <c r="D243" s="285" t="n">
        <v>569</v>
      </c>
      <c r="E243" s="286" t="inlineStr">
        <is>
          <t>대림1차</t>
        </is>
      </c>
      <c r="F243" s="285" t="n">
        <v>1986.1</v>
      </c>
      <c r="G243" s="285" t="n">
        <v>855</v>
      </c>
      <c r="H243" s="285">
        <f>2026-INT(F243)+1</f>
        <v/>
      </c>
      <c r="I243" s="285" t="n"/>
      <c r="J243" s="285" t="n">
        <v>133</v>
      </c>
      <c r="K243" s="285" t="n">
        <v>113</v>
      </c>
      <c r="L243" s="285" t="n">
        <v>40</v>
      </c>
      <c r="M243" s="285" t="inlineStr">
        <is>
          <t>계단식</t>
        </is>
      </c>
      <c r="N243" s="285" t="n">
        <v>4</v>
      </c>
      <c r="O243" s="285" t="n">
        <v>2</v>
      </c>
      <c r="P243" s="285" t="n">
        <v>270</v>
      </c>
      <c r="Q243" s="316" t="n"/>
      <c r="R243" s="285" t="n"/>
      <c r="S243" s="285" t="n"/>
      <c r="T243" s="285" t="n"/>
      <c r="U243" s="285" t="n"/>
      <c r="V243" s="285" t="n">
        <v>17.4</v>
      </c>
      <c r="W243" s="285" t="n">
        <v>12.5</v>
      </c>
      <c r="X243" s="285" t="n"/>
      <c r="Y243" s="285" t="n"/>
      <c r="Z243" s="285" t="n"/>
      <c r="AA243" s="285" t="n"/>
      <c r="AB243" s="285" t="n"/>
      <c r="AC243" s="285" t="n"/>
      <c r="AD243" s="285" t="n"/>
      <c r="AE243" s="285" t="n"/>
      <c r="AF243" s="285" t="n"/>
      <c r="AG243" s="285" t="n"/>
      <c r="AH243" s="285" t="n"/>
      <c r="AI243" s="285" t="n"/>
      <c r="AJ243" s="285" t="n"/>
      <c r="AK243" s="285" t="n"/>
      <c r="AL243" s="285" t="n"/>
    </row>
    <row r="244">
      <c r="A244" s="285" t="inlineStr">
        <is>
          <t>응봉동</t>
        </is>
      </c>
      <c r="B244" s="307" t="inlineStr">
        <is>
          <t>4행당응봉</t>
        </is>
      </c>
      <c r="C244" s="307" t="inlineStr">
        <is>
          <t>중</t>
        </is>
      </c>
      <c r="D244" s="285" t="n">
        <v>569</v>
      </c>
      <c r="E244" s="286" t="inlineStr">
        <is>
          <t>대림1차</t>
        </is>
      </c>
      <c r="F244" s="285" t="n">
        <v>1986.1</v>
      </c>
      <c r="G244" s="285" t="n">
        <v>855</v>
      </c>
      <c r="H244" s="285">
        <f>2026-INT(F244)+1</f>
        <v/>
      </c>
      <c r="I244" s="285" t="n"/>
      <c r="J244" s="285" t="n">
        <v>147</v>
      </c>
      <c r="K244" s="285" t="n">
        <v>126</v>
      </c>
      <c r="L244" s="285" t="n">
        <v>44</v>
      </c>
      <c r="M244" s="285" t="inlineStr">
        <is>
          <t>계단식</t>
        </is>
      </c>
      <c r="N244" s="285" t="n">
        <v>4</v>
      </c>
      <c r="O244" s="285" t="n">
        <v>2</v>
      </c>
      <c r="P244" s="285" t="n">
        <v>150</v>
      </c>
      <c r="Q244" s="316" t="n"/>
      <c r="R244" s="285" t="n"/>
      <c r="S244" s="285" t="n"/>
      <c r="T244" s="285" t="n"/>
      <c r="U244" s="285" t="n"/>
      <c r="V244" s="285" t="n">
        <v>15.9</v>
      </c>
      <c r="W244" s="285" t="n">
        <v>13.5</v>
      </c>
      <c r="X244" s="285" t="n"/>
      <c r="Y244" s="285" t="n"/>
      <c r="Z244" s="285" t="n"/>
      <c r="AA244" s="285" t="n"/>
      <c r="AB244" s="285" t="n"/>
      <c r="AC244" s="285" t="n"/>
      <c r="AD244" s="285" t="n"/>
      <c r="AE244" s="285" t="n"/>
      <c r="AF244" s="285" t="n"/>
      <c r="AG244" s="285" t="n"/>
      <c r="AH244" s="285" t="n"/>
      <c r="AI244" s="285" t="n"/>
      <c r="AJ244" s="285" t="n"/>
      <c r="AK244" s="285" t="n"/>
      <c r="AL244" s="285" t="n"/>
    </row>
    <row r="245">
      <c r="A245" s="458" t="inlineStr">
        <is>
          <t>응봉동</t>
        </is>
      </c>
      <c r="B245" s="159" t="inlineStr">
        <is>
          <t>4행당응봉</t>
        </is>
      </c>
      <c r="C245" s="159" t="inlineStr">
        <is>
          <t>하</t>
        </is>
      </c>
      <c r="D245" s="458" t="n">
        <v>571</v>
      </c>
      <c r="E245" s="288" t="inlineStr">
        <is>
          <t>대림2차</t>
        </is>
      </c>
      <c r="F245" s="458" t="n">
        <v>1989.09</v>
      </c>
      <c r="G245" s="458" t="n">
        <v>410</v>
      </c>
      <c r="H245" s="458">
        <f>2026-INT(F245)+1</f>
        <v/>
      </c>
      <c r="J245" s="458" t="n">
        <v>81</v>
      </c>
      <c r="K245" s="458" t="n">
        <v>59</v>
      </c>
      <c r="L245" s="458" t="n">
        <v>25</v>
      </c>
      <c r="M245" s="458" t="inlineStr">
        <is>
          <t>복도식</t>
        </is>
      </c>
      <c r="N245" s="458" t="n">
        <v>2</v>
      </c>
      <c r="O245" s="458" t="n">
        <v>1</v>
      </c>
      <c r="P245" s="458" t="n">
        <v>156</v>
      </c>
      <c r="Q245" s="318" t="n"/>
      <c r="V245" s="458" t="n">
        <v>10.05</v>
      </c>
      <c r="W245" s="458" t="n">
        <v>4.93</v>
      </c>
    </row>
    <row r="246">
      <c r="A246" s="458" t="inlineStr">
        <is>
          <t>응봉동</t>
        </is>
      </c>
      <c r="B246" s="159" t="inlineStr">
        <is>
          <t>4행당응봉</t>
        </is>
      </c>
      <c r="C246" s="159" t="inlineStr">
        <is>
          <t>하</t>
        </is>
      </c>
      <c r="D246" s="458" t="n">
        <v>571</v>
      </c>
      <c r="E246" s="288" t="inlineStr">
        <is>
          <t>대림2차</t>
        </is>
      </c>
      <c r="F246" s="458" t="n">
        <v>1989.09</v>
      </c>
      <c r="G246" s="458" t="n">
        <v>410</v>
      </c>
      <c r="H246" s="458">
        <f>2026-INT(F246)+1</f>
        <v/>
      </c>
      <c r="J246" s="458" t="n">
        <v>112</v>
      </c>
      <c r="K246" s="458" t="n">
        <v>84</v>
      </c>
      <c r="L246" s="458" t="n">
        <v>34</v>
      </c>
      <c r="M246" s="458" t="inlineStr">
        <is>
          <t>복도식</t>
        </is>
      </c>
      <c r="N246" s="458" t="n">
        <v>3</v>
      </c>
      <c r="O246" s="458" t="n">
        <v>1</v>
      </c>
      <c r="P246" s="458" t="n">
        <v>254</v>
      </c>
      <c r="Q246" s="318" t="n"/>
      <c r="V246" s="458" t="n">
        <v>11.5</v>
      </c>
      <c r="W246" s="458" t="n">
        <v>8.6</v>
      </c>
    </row>
    <row r="247">
      <c r="A247" s="285" t="inlineStr">
        <is>
          <t>응봉동</t>
        </is>
      </c>
      <c r="B247" s="307" t="inlineStr">
        <is>
          <t>4행당응봉</t>
        </is>
      </c>
      <c r="C247" s="307" t="inlineStr">
        <is>
          <t>중</t>
        </is>
      </c>
      <c r="D247" s="285" t="n">
        <v>2976</v>
      </c>
      <c r="E247" s="286" t="inlineStr">
        <is>
          <t>대림강변타운</t>
        </is>
      </c>
      <c r="F247" s="285" t="n">
        <v>2001.1</v>
      </c>
      <c r="G247" s="285" t="n">
        <v>1150</v>
      </c>
      <c r="H247" s="285">
        <f>2026-INT(F247)+1</f>
        <v/>
      </c>
      <c r="I247" s="285" t="n"/>
      <c r="J247" s="285" t="n">
        <v>79</v>
      </c>
      <c r="K247" s="285" t="n">
        <v>59</v>
      </c>
      <c r="L247" s="285" t="n">
        <v>24</v>
      </c>
      <c r="M247" s="285" t="inlineStr">
        <is>
          <t>계단식</t>
        </is>
      </c>
      <c r="N247" s="285" t="n">
        <v>3</v>
      </c>
      <c r="O247" s="285" t="n">
        <v>1</v>
      </c>
      <c r="P247" s="285" t="n">
        <v>240</v>
      </c>
      <c r="Q247" s="316" t="n"/>
      <c r="R247" s="285" t="n"/>
      <c r="S247" s="285" t="n"/>
      <c r="T247" s="285" t="n"/>
      <c r="U247" s="285" t="n"/>
      <c r="V247" s="285" t="n">
        <v>12.8</v>
      </c>
      <c r="W247" s="285" t="n">
        <v>6.47</v>
      </c>
      <c r="X247" s="285" t="n"/>
      <c r="Y247" s="285" t="n"/>
      <c r="Z247" s="285" t="n"/>
      <c r="AA247" s="285" t="n"/>
      <c r="AB247" s="285" t="n"/>
      <c r="AC247" s="285" t="n"/>
      <c r="AD247" s="285" t="n"/>
      <c r="AE247" s="285" t="n"/>
      <c r="AF247" s="285" t="n"/>
      <c r="AG247" s="285" t="n"/>
      <c r="AH247" s="285" t="n"/>
      <c r="AI247" s="285" t="n"/>
      <c r="AJ247" s="285" t="n"/>
      <c r="AK247" s="285" t="n"/>
      <c r="AL247" s="285" t="n"/>
    </row>
    <row r="248">
      <c r="A248" s="287" t="inlineStr">
        <is>
          <t>응봉동</t>
        </is>
      </c>
      <c r="B248" s="307" t="inlineStr">
        <is>
          <t>4행당응봉</t>
        </is>
      </c>
      <c r="C248" s="307" t="inlineStr">
        <is>
          <t>중</t>
        </is>
      </c>
      <c r="D248" s="287" t="n">
        <v>2976</v>
      </c>
      <c r="E248" s="286" t="inlineStr">
        <is>
          <t>대림강변타운</t>
        </is>
      </c>
      <c r="F248" s="287" t="n">
        <v>2001.1</v>
      </c>
      <c r="G248" s="287" t="n">
        <v>1150</v>
      </c>
      <c r="H248" s="287">
        <f>2026-INT(F248)+1</f>
        <v/>
      </c>
      <c r="I248" s="285" t="n"/>
      <c r="J248" s="287" t="n">
        <v>79</v>
      </c>
      <c r="K248" s="287" t="n">
        <v>59</v>
      </c>
      <c r="L248" s="287" t="n">
        <v>24</v>
      </c>
      <c r="M248" s="287" t="inlineStr">
        <is>
          <t>계단식</t>
        </is>
      </c>
      <c r="N248" s="287" t="n">
        <v>2</v>
      </c>
      <c r="O248" s="287" t="n">
        <v>1</v>
      </c>
      <c r="P248" s="287" t="n">
        <v>240</v>
      </c>
      <c r="Q248" s="317" t="n"/>
      <c r="R248" s="285" t="n"/>
      <c r="S248" s="285" t="n"/>
      <c r="T248" s="285" t="n"/>
      <c r="U248" s="285" t="n"/>
      <c r="V248" s="287" t="n">
        <v>12.8</v>
      </c>
      <c r="W248" s="287" t="n">
        <v>6.47</v>
      </c>
      <c r="X248" s="285" t="n"/>
      <c r="Y248" s="285" t="n"/>
      <c r="Z248" s="285" t="n"/>
      <c r="AA248" s="285" t="n"/>
      <c r="AB248" s="285" t="n"/>
      <c r="AC248" s="285" t="n"/>
      <c r="AD248" s="285" t="n"/>
      <c r="AE248" s="285" t="n"/>
      <c r="AF248" s="285" t="n"/>
      <c r="AG248" s="285" t="n"/>
      <c r="AH248" s="285" t="n"/>
      <c r="AI248" s="285" t="n"/>
      <c r="AJ248" s="285" t="n"/>
      <c r="AK248" s="285" t="n"/>
      <c r="AL248" s="285" t="n"/>
    </row>
    <row r="249">
      <c r="A249" s="287" t="inlineStr">
        <is>
          <t>응봉동</t>
        </is>
      </c>
      <c r="B249" s="307" t="inlineStr">
        <is>
          <t>4행당응봉</t>
        </is>
      </c>
      <c r="C249" s="307" t="inlineStr">
        <is>
          <t>중</t>
        </is>
      </c>
      <c r="D249" s="287" t="n">
        <v>2976</v>
      </c>
      <c r="E249" s="286" t="inlineStr">
        <is>
          <t>대림강변타운</t>
        </is>
      </c>
      <c r="F249" s="287" t="n">
        <v>2001.1</v>
      </c>
      <c r="G249" s="287" t="n">
        <v>1150</v>
      </c>
      <c r="H249" s="287">
        <f>2026-INT(F249)+1</f>
        <v/>
      </c>
      <c r="I249" s="285" t="n"/>
      <c r="J249" s="287" t="n">
        <v>107</v>
      </c>
      <c r="K249" s="287" t="n">
        <v>84</v>
      </c>
      <c r="L249" s="287" t="n">
        <v>32</v>
      </c>
      <c r="M249" s="287" t="inlineStr">
        <is>
          <t>계단식</t>
        </is>
      </c>
      <c r="N249" s="287" t="n">
        <v>3</v>
      </c>
      <c r="O249" s="287" t="n">
        <v>2</v>
      </c>
      <c r="P249" s="287" t="n">
        <v>441</v>
      </c>
      <c r="Q249" s="317" t="n"/>
      <c r="R249" s="285" t="n"/>
      <c r="S249" s="285" t="n"/>
      <c r="T249" s="285" t="n"/>
      <c r="U249" s="285" t="n"/>
      <c r="V249" s="287" t="n">
        <v>16.3</v>
      </c>
      <c r="W249" s="287" t="n">
        <v>11.55</v>
      </c>
      <c r="X249" s="285" t="n"/>
      <c r="Y249" s="285" t="n"/>
      <c r="Z249" s="285" t="n"/>
      <c r="AA249" s="285" t="n"/>
      <c r="AB249" s="285" t="n"/>
      <c r="AC249" s="285" t="n"/>
      <c r="AD249" s="285" t="n"/>
      <c r="AE249" s="285" t="n"/>
      <c r="AF249" s="285" t="n"/>
      <c r="AG249" s="285" t="n"/>
      <c r="AH249" s="285" t="n"/>
      <c r="AI249" s="285" t="n"/>
      <c r="AJ249" s="285" t="n"/>
      <c r="AK249" s="285" t="n"/>
      <c r="AL249" s="285" t="n"/>
    </row>
    <row r="250">
      <c r="A250" s="287" t="inlineStr">
        <is>
          <t>응봉동</t>
        </is>
      </c>
      <c r="B250" s="307" t="inlineStr">
        <is>
          <t>4행당응봉</t>
        </is>
      </c>
      <c r="C250" s="307" t="inlineStr">
        <is>
          <t>중</t>
        </is>
      </c>
      <c r="D250" s="287" t="n">
        <v>2976</v>
      </c>
      <c r="E250" s="286" t="inlineStr">
        <is>
          <t>대림강변타운</t>
        </is>
      </c>
      <c r="F250" s="287" t="n">
        <v>2001.1</v>
      </c>
      <c r="G250" s="287" t="n">
        <v>1150</v>
      </c>
      <c r="H250" s="287">
        <f>2026-INT(F250)+1</f>
        <v/>
      </c>
      <c r="I250" s="285" t="n"/>
      <c r="J250" s="287" t="n">
        <v>142</v>
      </c>
      <c r="K250" s="287" t="n">
        <v>114</v>
      </c>
      <c r="L250" s="287" t="n">
        <v>43</v>
      </c>
      <c r="M250" s="287" t="inlineStr">
        <is>
          <t>계단식</t>
        </is>
      </c>
      <c r="N250" s="287" t="n">
        <v>4</v>
      </c>
      <c r="O250" s="287" t="n">
        <v>2</v>
      </c>
      <c r="P250" s="287" t="n">
        <v>229</v>
      </c>
      <c r="Q250" s="317" t="n"/>
      <c r="R250" s="285" t="n"/>
      <c r="S250" s="285" t="n"/>
      <c r="T250" s="285" t="n"/>
      <c r="U250" s="285" t="n"/>
      <c r="V250" s="287" t="n">
        <v>19</v>
      </c>
      <c r="W250" s="287" t="n">
        <v>13.5</v>
      </c>
      <c r="X250" s="285" t="n"/>
      <c r="Y250" s="285" t="n"/>
      <c r="Z250" s="285" t="n"/>
      <c r="AA250" s="285" t="n"/>
      <c r="AB250" s="285" t="n"/>
      <c r="AC250" s="285" t="n"/>
      <c r="AD250" s="285" t="n"/>
      <c r="AE250" s="285" t="n"/>
      <c r="AF250" s="285" t="n"/>
      <c r="AG250" s="285" t="n"/>
      <c r="AH250" s="285" t="n"/>
      <c r="AI250" s="285" t="n"/>
      <c r="AJ250" s="285" t="n"/>
      <c r="AK250" s="285" t="n"/>
      <c r="AL250" s="285" t="n"/>
    </row>
    <row r="251">
      <c r="A251" s="458" t="inlineStr">
        <is>
          <t>응봉동</t>
        </is>
      </c>
      <c r="B251" s="159" t="inlineStr">
        <is>
          <t>4행당응봉</t>
        </is>
      </c>
      <c r="C251" s="159" t="inlineStr">
        <is>
          <t>중</t>
        </is>
      </c>
      <c r="D251" s="458" t="n">
        <v>7993</v>
      </c>
      <c r="E251" s="288" t="inlineStr">
        <is>
          <t>서울숲리버그린동아</t>
        </is>
      </c>
      <c r="F251" s="458" t="n">
        <v>2003.06</v>
      </c>
      <c r="G251" s="458" t="n">
        <v>375</v>
      </c>
      <c r="H251" s="458">
        <f>2026-INT(F251)+1</f>
        <v/>
      </c>
      <c r="J251" s="458" t="n">
        <v>81</v>
      </c>
      <c r="K251" s="458" t="n">
        <v>59</v>
      </c>
      <c r="L251" s="458" t="n">
        <v>25</v>
      </c>
      <c r="M251" s="458" t="inlineStr">
        <is>
          <t>계단식</t>
        </is>
      </c>
      <c r="N251" s="458" t="n">
        <v>3</v>
      </c>
      <c r="O251" s="458" t="n">
        <v>2</v>
      </c>
      <c r="P251" s="458" t="n">
        <v>162</v>
      </c>
      <c r="Q251" s="318" t="n"/>
      <c r="V251" s="458" t="n">
        <v>11.95</v>
      </c>
      <c r="W251" s="458" t="n">
        <v>8.699999999999999</v>
      </c>
    </row>
    <row r="252">
      <c r="A252" s="458" t="inlineStr">
        <is>
          <t>응봉동</t>
        </is>
      </c>
      <c r="B252" s="159" t="inlineStr">
        <is>
          <t>4행당응봉</t>
        </is>
      </c>
      <c r="C252" s="159" t="inlineStr">
        <is>
          <t>중</t>
        </is>
      </c>
      <c r="D252" s="458" t="n">
        <v>7993</v>
      </c>
      <c r="E252" s="288" t="inlineStr">
        <is>
          <t>서울숲리버그린동아</t>
        </is>
      </c>
      <c r="F252" s="458" t="n">
        <v>2003.06</v>
      </c>
      <c r="G252" s="458" t="n">
        <v>375</v>
      </c>
      <c r="H252" s="458">
        <f>2026-INT(F252)+1</f>
        <v/>
      </c>
      <c r="J252" s="458" t="n">
        <v>107</v>
      </c>
      <c r="K252" s="458" t="n">
        <v>84</v>
      </c>
      <c r="L252" s="458" t="n">
        <v>32</v>
      </c>
      <c r="M252" s="458" t="inlineStr">
        <is>
          <t>계단식</t>
        </is>
      </c>
      <c r="N252" s="458" t="n">
        <v>3</v>
      </c>
      <c r="O252" s="458" t="n">
        <v>2</v>
      </c>
      <c r="P252" s="458" t="n">
        <v>142</v>
      </c>
      <c r="Q252" s="318" t="n"/>
      <c r="V252" s="458" t="n">
        <v>15.4</v>
      </c>
      <c r="W252" s="458" t="n">
        <v>11</v>
      </c>
    </row>
    <row r="253">
      <c r="A253" s="458" t="inlineStr">
        <is>
          <t>응봉동</t>
        </is>
      </c>
      <c r="B253" s="159" t="inlineStr">
        <is>
          <t>4행당응봉</t>
        </is>
      </c>
      <c r="C253" s="159" t="inlineStr">
        <is>
          <t>중</t>
        </is>
      </c>
      <c r="D253" s="458" t="n">
        <v>7993</v>
      </c>
      <c r="E253" s="288" t="inlineStr">
        <is>
          <t>서울숲리버그린동아</t>
        </is>
      </c>
      <c r="F253" s="458" t="n">
        <v>2003.06</v>
      </c>
      <c r="G253" s="458" t="n">
        <v>375</v>
      </c>
      <c r="H253" s="458">
        <f>2026-INT(F253)+1</f>
        <v/>
      </c>
      <c r="J253" s="458" t="n">
        <v>141</v>
      </c>
      <c r="K253" s="458" t="n">
        <v>114</v>
      </c>
      <c r="L253" s="458" t="n">
        <v>43</v>
      </c>
      <c r="M253" s="458" t="inlineStr">
        <is>
          <t>계단식</t>
        </is>
      </c>
      <c r="N253" s="458" t="n">
        <v>4</v>
      </c>
      <c r="O253" s="458" t="n">
        <v>2</v>
      </c>
      <c r="P253" s="458" t="n">
        <v>71</v>
      </c>
      <c r="Q253" s="318" t="n"/>
      <c r="V253" s="458" t="n">
        <v>18.45</v>
      </c>
      <c r="W253" s="458" t="n">
        <v>14.5</v>
      </c>
    </row>
    <row r="254">
      <c r="A254" s="287" t="inlineStr">
        <is>
          <t>응봉동</t>
        </is>
      </c>
      <c r="B254" s="307" t="inlineStr">
        <is>
          <t>4행당응봉</t>
        </is>
      </c>
      <c r="C254" s="307" t="inlineStr">
        <is>
          <t>하</t>
        </is>
      </c>
      <c r="D254" s="287" t="n">
        <v>568</v>
      </c>
      <c r="E254" s="286" t="inlineStr">
        <is>
          <t>신동아</t>
        </is>
      </c>
      <c r="F254" s="287" t="n">
        <v>1996.04</v>
      </c>
      <c r="G254" s="287" t="n">
        <v>434</v>
      </c>
      <c r="H254" s="287">
        <f>2026-INT(F254)+1</f>
        <v/>
      </c>
      <c r="I254" s="285" t="n"/>
      <c r="J254" s="287" t="n">
        <v>81</v>
      </c>
      <c r="K254" s="287" t="n">
        <v>59</v>
      </c>
      <c r="L254" s="287" t="n">
        <v>25</v>
      </c>
      <c r="M254" s="287" t="inlineStr">
        <is>
          <t>복도식</t>
        </is>
      </c>
      <c r="N254" s="287" t="n">
        <v>2</v>
      </c>
      <c r="O254" s="287" t="n">
        <v>1</v>
      </c>
      <c r="P254" s="287" t="n">
        <v>210</v>
      </c>
      <c r="Q254" s="317" t="n"/>
      <c r="R254" s="285" t="n"/>
      <c r="S254" s="285" t="n"/>
      <c r="T254" s="285" t="n"/>
      <c r="U254" s="285" t="n"/>
      <c r="V254" s="287" t="n">
        <v>10.6</v>
      </c>
      <c r="W254" s="287" t="n">
        <v>6.52</v>
      </c>
      <c r="X254" s="285" t="n"/>
      <c r="Y254" s="285" t="n"/>
      <c r="Z254" s="285" t="n"/>
      <c r="AA254" s="285" t="n"/>
      <c r="AB254" s="285" t="n"/>
      <c r="AC254" s="285" t="n"/>
      <c r="AD254" s="285" t="n"/>
      <c r="AE254" s="285" t="n"/>
      <c r="AF254" s="285" t="n"/>
      <c r="AG254" s="285" t="n"/>
      <c r="AH254" s="285" t="n"/>
      <c r="AI254" s="285" t="n"/>
      <c r="AJ254" s="285" t="n"/>
      <c r="AK254" s="285" t="n"/>
      <c r="AL254" s="285" t="n"/>
    </row>
    <row r="255">
      <c r="A255" s="287" t="inlineStr">
        <is>
          <t>응봉동</t>
        </is>
      </c>
      <c r="B255" s="307" t="inlineStr">
        <is>
          <t>4행당응봉</t>
        </is>
      </c>
      <c r="C255" s="307" t="inlineStr">
        <is>
          <t>하</t>
        </is>
      </c>
      <c r="D255" s="287" t="n">
        <v>568</v>
      </c>
      <c r="E255" s="286" t="inlineStr">
        <is>
          <t>신동아</t>
        </is>
      </c>
      <c r="F255" s="287" t="n">
        <v>1996.04</v>
      </c>
      <c r="G255" s="287" t="n">
        <v>434</v>
      </c>
      <c r="H255" s="287">
        <f>2026-INT(F255)+1</f>
        <v/>
      </c>
      <c r="I255" s="285" t="n"/>
      <c r="J255" s="287" t="n">
        <v>97</v>
      </c>
      <c r="K255" s="287" t="n">
        <v>76</v>
      </c>
      <c r="L255" s="287" t="n">
        <v>29</v>
      </c>
      <c r="M255" s="287" t="inlineStr">
        <is>
          <t>복도식</t>
        </is>
      </c>
      <c r="N255" s="287" t="n">
        <v>3</v>
      </c>
      <c r="O255" s="287" t="n">
        <v>1</v>
      </c>
      <c r="P255" s="287" t="n">
        <v>48</v>
      </c>
      <c r="Q255" s="317" t="n"/>
      <c r="R255" s="285" t="n"/>
      <c r="S255" s="285" t="n"/>
      <c r="T255" s="285" t="n"/>
      <c r="U255" s="285" t="n"/>
      <c r="V255" s="287" t="n"/>
      <c r="W255" s="287" t="n"/>
      <c r="X255" s="285" t="n"/>
      <c r="Y255" s="285" t="n"/>
      <c r="Z255" s="285" t="n"/>
      <c r="AA255" s="285" t="n"/>
      <c r="AB255" s="285" t="n"/>
      <c r="AC255" s="285" t="n"/>
      <c r="AD255" s="285" t="n"/>
      <c r="AE255" s="285" t="n"/>
      <c r="AF255" s="285" t="n"/>
      <c r="AG255" s="285" t="n"/>
      <c r="AH255" s="285" t="n"/>
      <c r="AI255" s="285" t="n"/>
      <c r="AJ255" s="285" t="n"/>
      <c r="AK255" s="285" t="n"/>
      <c r="AL255" s="285" t="n"/>
    </row>
    <row r="256">
      <c r="A256" s="285" t="inlineStr">
        <is>
          <t>응봉동</t>
        </is>
      </c>
      <c r="B256" s="307" t="inlineStr">
        <is>
          <t>4행당응봉</t>
        </is>
      </c>
      <c r="C256" s="307" t="inlineStr">
        <is>
          <t>하</t>
        </is>
      </c>
      <c r="D256" s="285" t="n">
        <v>568</v>
      </c>
      <c r="E256" s="286" t="inlineStr">
        <is>
          <t>신동아</t>
        </is>
      </c>
      <c r="F256" s="285" t="n">
        <v>1996.04</v>
      </c>
      <c r="G256" s="285" t="n">
        <v>434</v>
      </c>
      <c r="H256" s="285">
        <f>2026-INT(F256)+1</f>
        <v/>
      </c>
      <c r="I256" s="285" t="n"/>
      <c r="J256" s="285" t="n">
        <v>103</v>
      </c>
      <c r="K256" s="285" t="n">
        <v>84</v>
      </c>
      <c r="L256" s="285" t="n">
        <v>31</v>
      </c>
      <c r="M256" s="285" t="inlineStr">
        <is>
          <t>계단식</t>
        </is>
      </c>
      <c r="N256" s="285" t="n">
        <v>3</v>
      </c>
      <c r="O256" s="285" t="n">
        <v>2</v>
      </c>
      <c r="P256" s="285" t="n">
        <v>148</v>
      </c>
      <c r="Q256" s="316" t="n"/>
      <c r="R256" s="285" t="n"/>
      <c r="S256" s="285" t="n"/>
      <c r="T256" s="285" t="n"/>
      <c r="U256" s="285" t="n"/>
      <c r="V256" s="285" t="n">
        <v>12</v>
      </c>
      <c r="W256" s="285" t="n">
        <v>12</v>
      </c>
      <c r="X256" s="285" t="n"/>
      <c r="Y256" s="285" t="n"/>
      <c r="Z256" s="285" t="n"/>
      <c r="AA256" s="285" t="n"/>
      <c r="AB256" s="285" t="n"/>
      <c r="AC256" s="285" t="n"/>
      <c r="AD256" s="285" t="n"/>
      <c r="AE256" s="285" t="n"/>
      <c r="AF256" s="285" t="n"/>
      <c r="AG256" s="285" t="n"/>
      <c r="AH256" s="285" t="n"/>
      <c r="AI256" s="285" t="n"/>
      <c r="AJ256" s="285" t="n"/>
      <c r="AK256" s="285" t="n"/>
      <c r="AL256" s="285" t="n"/>
    </row>
    <row r="257">
      <c r="A257" s="285" t="inlineStr">
        <is>
          <t>응봉동</t>
        </is>
      </c>
      <c r="B257" s="307" t="inlineStr">
        <is>
          <t>4행당응봉</t>
        </is>
      </c>
      <c r="C257" s="307" t="inlineStr">
        <is>
          <t>하</t>
        </is>
      </c>
      <c r="D257" s="285" t="n">
        <v>568</v>
      </c>
      <c r="E257" s="286" t="inlineStr">
        <is>
          <t>신동아</t>
        </is>
      </c>
      <c r="F257" s="285" t="n">
        <v>1996.04</v>
      </c>
      <c r="G257" s="285" t="n">
        <v>434</v>
      </c>
      <c r="H257" s="285">
        <f>2026-INT(F257)+1</f>
        <v/>
      </c>
      <c r="I257" s="285" t="n"/>
      <c r="J257" s="285" t="n">
        <v>136</v>
      </c>
      <c r="K257" s="285" t="n">
        <v>114</v>
      </c>
      <c r="L257" s="285" t="n">
        <v>41</v>
      </c>
      <c r="M257" s="285" t="inlineStr">
        <is>
          <t>계단식</t>
        </is>
      </c>
      <c r="N257" s="285" t="n">
        <v>4</v>
      </c>
      <c r="O257" s="285" t="n">
        <v>2</v>
      </c>
      <c r="P257" s="285" t="n">
        <v>28</v>
      </c>
      <c r="Q257" s="316" t="n"/>
      <c r="R257" s="285" t="n"/>
      <c r="S257" s="285" t="n"/>
      <c r="T257" s="285" t="n"/>
      <c r="U257" s="285" t="n"/>
      <c r="V257" s="285" t="n">
        <v>11.9</v>
      </c>
      <c r="W257" s="285" t="n"/>
      <c r="X257" s="285" t="n"/>
      <c r="Y257" s="285" t="n"/>
      <c r="Z257" s="285" t="n"/>
      <c r="AA257" s="285" t="n"/>
      <c r="AB257" s="285" t="n"/>
      <c r="AC257" s="285" t="n"/>
      <c r="AD257" s="285" t="n"/>
      <c r="AE257" s="285" t="n"/>
      <c r="AF257" s="285" t="n"/>
      <c r="AG257" s="285" t="n"/>
      <c r="AH257" s="285" t="n"/>
      <c r="AI257" s="285" t="n"/>
      <c r="AJ257" s="285" t="n"/>
      <c r="AK257" s="285" t="n"/>
      <c r="AL257" s="285" t="n"/>
    </row>
    <row r="258">
      <c r="A258" s="458" t="inlineStr">
        <is>
          <t>하왕십리동</t>
        </is>
      </c>
      <c r="B258" s="159" t="inlineStr">
        <is>
          <t>3왕십리</t>
        </is>
      </c>
      <c r="C258" s="159" t="inlineStr">
        <is>
          <t>중</t>
        </is>
      </c>
      <c r="D258" s="458" t="n">
        <v>3420</v>
      </c>
      <c r="E258" s="288" t="inlineStr">
        <is>
          <t>극동미라주</t>
        </is>
      </c>
      <c r="F258" s="458" t="n">
        <v>2001.12</v>
      </c>
      <c r="G258" s="458" t="n">
        <v>414</v>
      </c>
      <c r="H258" s="458">
        <f>2026-INT(F258)+1</f>
        <v/>
      </c>
      <c r="J258" s="458" t="n">
        <v>89</v>
      </c>
      <c r="K258" s="458" t="n">
        <v>59</v>
      </c>
      <c r="L258" s="458" t="n">
        <v>27</v>
      </c>
      <c r="M258" s="458" t="inlineStr">
        <is>
          <t>복도식</t>
        </is>
      </c>
      <c r="N258" s="458" t="n">
        <v>3</v>
      </c>
      <c r="O258" s="458" t="n">
        <v>1</v>
      </c>
      <c r="P258" s="458" t="n">
        <v>136</v>
      </c>
      <c r="Q258" s="318" t="n"/>
      <c r="V258" s="458" t="n">
        <v>8.75</v>
      </c>
      <c r="W258" s="458" t="n">
        <v>6.95</v>
      </c>
    </row>
    <row r="259">
      <c r="A259" s="458" t="inlineStr">
        <is>
          <t>하왕십리동</t>
        </is>
      </c>
      <c r="B259" s="159" t="inlineStr">
        <is>
          <t>3왕십리</t>
        </is>
      </c>
      <c r="C259" s="159" t="inlineStr">
        <is>
          <t>중</t>
        </is>
      </c>
      <c r="D259" s="458" t="n">
        <v>3420</v>
      </c>
      <c r="E259" s="288" t="inlineStr">
        <is>
          <t>극동미라주</t>
        </is>
      </c>
      <c r="F259" s="458" t="n">
        <v>2001.12</v>
      </c>
      <c r="G259" s="458" t="n">
        <v>414</v>
      </c>
      <c r="H259" s="458">
        <f>2026-INT(F259)+1</f>
        <v/>
      </c>
      <c r="J259" s="458" t="n">
        <v>95</v>
      </c>
      <c r="K259" s="458" t="n">
        <v>72</v>
      </c>
      <c r="L259" s="458" t="n">
        <v>29</v>
      </c>
      <c r="M259" s="458" t="inlineStr">
        <is>
          <t>계단식</t>
        </is>
      </c>
      <c r="N259" s="458" t="n">
        <v>3</v>
      </c>
      <c r="O259" s="458" t="n">
        <v>1</v>
      </c>
      <c r="P259" s="458" t="n">
        <v>9</v>
      </c>
      <c r="Q259" s="318" t="n"/>
    </row>
    <row r="260">
      <c r="A260" s="458" t="inlineStr">
        <is>
          <t>하왕십리동</t>
        </is>
      </c>
      <c r="B260" s="159" t="inlineStr">
        <is>
          <t>3왕십리</t>
        </is>
      </c>
      <c r="C260" s="159" t="inlineStr">
        <is>
          <t>중</t>
        </is>
      </c>
      <c r="D260" s="458" t="n">
        <v>3420</v>
      </c>
      <c r="E260" s="288" t="inlineStr">
        <is>
          <t>극동미라주</t>
        </is>
      </c>
      <c r="F260" s="458" t="n">
        <v>2001.12</v>
      </c>
      <c r="G260" s="458" t="n">
        <v>414</v>
      </c>
      <c r="H260" s="458">
        <f>2026-INT(F260)+1</f>
        <v/>
      </c>
      <c r="J260" s="458" t="n">
        <v>109</v>
      </c>
      <c r="K260" s="458" t="n">
        <v>84</v>
      </c>
      <c r="L260" s="458" t="n">
        <v>33</v>
      </c>
      <c r="M260" s="458" t="inlineStr">
        <is>
          <t>계단식</t>
        </is>
      </c>
      <c r="N260" s="458" t="n">
        <v>3</v>
      </c>
      <c r="O260" s="458" t="n">
        <v>2</v>
      </c>
      <c r="P260" s="458" t="n">
        <v>171</v>
      </c>
      <c r="Q260" s="318" t="n"/>
      <c r="V260" s="458" t="n">
        <v>11.05</v>
      </c>
      <c r="W260" s="458" t="n">
        <v>8.5</v>
      </c>
    </row>
    <row r="261">
      <c r="A261" s="458" t="inlineStr">
        <is>
          <t>하왕십리동</t>
        </is>
      </c>
      <c r="B261" s="159" t="inlineStr">
        <is>
          <t>3왕십리</t>
        </is>
      </c>
      <c r="C261" s="159" t="inlineStr">
        <is>
          <t>중</t>
        </is>
      </c>
      <c r="D261" s="458" t="n">
        <v>3420</v>
      </c>
      <c r="E261" s="288" t="inlineStr">
        <is>
          <t>극동미라주</t>
        </is>
      </c>
      <c r="F261" s="458" t="n">
        <v>2001.12</v>
      </c>
      <c r="G261" s="458" t="n">
        <v>414</v>
      </c>
      <c r="H261" s="458">
        <f>2026-INT(F261)+1</f>
        <v/>
      </c>
      <c r="J261" s="458" t="n">
        <v>141</v>
      </c>
      <c r="K261" s="458" t="n">
        <v>114</v>
      </c>
      <c r="L261" s="458" t="n">
        <v>43</v>
      </c>
      <c r="M261" s="458" t="inlineStr">
        <is>
          <t>계단식</t>
        </is>
      </c>
      <c r="N261" s="458" t="n">
        <v>4</v>
      </c>
      <c r="O261" s="458" t="n">
        <v>2</v>
      </c>
      <c r="P261" s="458" t="n">
        <v>98</v>
      </c>
      <c r="Q261" s="318" t="n"/>
      <c r="V261" s="458" t="n">
        <v>13</v>
      </c>
      <c r="W261" s="458" t="n">
        <v>11</v>
      </c>
    </row>
    <row r="262">
      <c r="A262" s="285" t="inlineStr">
        <is>
          <t>하왕십리동</t>
        </is>
      </c>
      <c r="B262" s="307" t="inlineStr">
        <is>
          <t>3왕십리</t>
        </is>
      </c>
      <c r="C262" s="307" t="inlineStr">
        <is>
          <t>중</t>
        </is>
      </c>
      <c r="D262" s="285" t="n">
        <v>3532</v>
      </c>
      <c r="E262" s="286" t="inlineStr">
        <is>
          <t>금호베스트빌</t>
        </is>
      </c>
      <c r="F262" s="285" t="n">
        <v>2001.1</v>
      </c>
      <c r="G262" s="285" t="n">
        <v>458</v>
      </c>
      <c r="H262" s="285">
        <f>2026-INT(F262)+1</f>
        <v/>
      </c>
      <c r="I262" s="285" t="n"/>
      <c r="J262" s="285" t="n">
        <v>87</v>
      </c>
      <c r="K262" s="285" t="n">
        <v>59</v>
      </c>
      <c r="L262" s="285" t="n">
        <v>26</v>
      </c>
      <c r="M262" s="285" t="inlineStr">
        <is>
          <t>복도식</t>
        </is>
      </c>
      <c r="N262" s="285" t="n">
        <v>2</v>
      </c>
      <c r="O262" s="285" t="n">
        <v>1</v>
      </c>
      <c r="P262" s="285" t="n">
        <v>137</v>
      </c>
      <c r="Q262" s="316" t="n"/>
      <c r="R262" s="285" t="n"/>
      <c r="S262" s="285" t="n"/>
      <c r="T262" s="285" t="n"/>
      <c r="U262" s="285" t="n"/>
      <c r="V262" s="285" t="n">
        <v>8.800000000000001</v>
      </c>
      <c r="W262" s="285" t="n">
        <v>6.95</v>
      </c>
      <c r="X262" s="285" t="n"/>
      <c r="Y262" s="285" t="n"/>
      <c r="Z262" s="285" t="n"/>
      <c r="AA262" s="285" t="n"/>
      <c r="AB262" s="285" t="n"/>
      <c r="AC262" s="285" t="n"/>
      <c r="AD262" s="285" t="n"/>
      <c r="AE262" s="285" t="n"/>
      <c r="AF262" s="285" t="n"/>
      <c r="AG262" s="285" t="n"/>
      <c r="AH262" s="285" t="n"/>
      <c r="AI262" s="285" t="n"/>
      <c r="AJ262" s="285" t="n"/>
      <c r="AK262" s="285" t="n"/>
      <c r="AL262" s="285" t="n"/>
    </row>
    <row r="263" ht="17" customHeight="1" s="476">
      <c r="A263" s="298" t="inlineStr">
        <is>
          <t>하왕십리동</t>
        </is>
      </c>
      <c r="B263" s="309" t="inlineStr">
        <is>
          <t>3왕십리</t>
        </is>
      </c>
      <c r="C263" s="309" t="inlineStr">
        <is>
          <t>중</t>
        </is>
      </c>
      <c r="D263" s="298" t="n">
        <v>3532</v>
      </c>
      <c r="E263" s="299" t="inlineStr">
        <is>
          <t>금호베스트빌</t>
        </is>
      </c>
      <c r="F263" s="298" t="n">
        <v>2001.1</v>
      </c>
      <c r="G263" s="298" t="n">
        <v>458</v>
      </c>
      <c r="H263" s="298">
        <f>2026-INT(F263)+1</f>
        <v/>
      </c>
      <c r="I263" s="298" t="n"/>
      <c r="J263" s="298" t="n">
        <v>110</v>
      </c>
      <c r="K263" s="298" t="n">
        <v>84</v>
      </c>
      <c r="L263" s="298" t="n">
        <v>33</v>
      </c>
      <c r="M263" s="298" t="inlineStr">
        <is>
          <t>계단식</t>
        </is>
      </c>
      <c r="N263" s="298" t="n">
        <v>3</v>
      </c>
      <c r="O263" s="298" t="n">
        <v>2</v>
      </c>
      <c r="P263" s="298" t="n">
        <v>185</v>
      </c>
      <c r="Q263" s="320" t="inlineStr">
        <is>
          <t>7/0</t>
        </is>
      </c>
      <c r="R263" s="298" t="n">
        <v>140000</v>
      </c>
      <c r="S263" s="298" t="n">
        <v>61000</v>
      </c>
      <c r="T263" s="298" t="n"/>
      <c r="U263" s="298" t="n"/>
      <c r="V263" s="298" t="n">
        <v>10.8</v>
      </c>
      <c r="W263" s="298" t="n">
        <v>5.5</v>
      </c>
      <c r="X263" s="298" t="n"/>
      <c r="Y263" s="298" t="n"/>
      <c r="Z263" s="298" t="n"/>
      <c r="AA263" s="298" t="n"/>
      <c r="AB263" s="298" t="n"/>
      <c r="AC263" s="298" t="n"/>
      <c r="AD263" s="298" t="n"/>
      <c r="AE263" s="298" t="n"/>
      <c r="AF263" s="298" t="n"/>
      <c r="AG263" s="298" t="n"/>
      <c r="AH263" s="298" t="n"/>
      <c r="AI263" s="298" t="n"/>
      <c r="AJ263" s="298" t="n"/>
      <c r="AK263" s="298" t="n"/>
      <c r="AL263" s="298" t="n"/>
      <c r="AM263" s="298" t="n"/>
      <c r="AN263" s="298" t="n"/>
      <c r="AO263" s="298" t="n"/>
    </row>
    <row r="264">
      <c r="A264" s="285" t="inlineStr">
        <is>
          <t>하왕십리동</t>
        </is>
      </c>
      <c r="B264" s="307" t="inlineStr">
        <is>
          <t>3왕십리</t>
        </is>
      </c>
      <c r="C264" s="307" t="inlineStr">
        <is>
          <t>중</t>
        </is>
      </c>
      <c r="D264" s="285" t="n">
        <v>3532</v>
      </c>
      <c r="E264" s="286" t="inlineStr">
        <is>
          <t>금호베스트빌</t>
        </is>
      </c>
      <c r="F264" s="285" t="n">
        <v>2001.1</v>
      </c>
      <c r="G264" s="285" t="n">
        <v>458</v>
      </c>
      <c r="H264" s="285">
        <f>2026-INT(F264)+1</f>
        <v/>
      </c>
      <c r="I264" s="285" t="n"/>
      <c r="J264" s="285" t="n">
        <v>144</v>
      </c>
      <c r="K264" s="285" t="n">
        <v>114</v>
      </c>
      <c r="L264" s="285" t="n">
        <v>44</v>
      </c>
      <c r="M264" s="285" t="inlineStr">
        <is>
          <t>계단식</t>
        </is>
      </c>
      <c r="N264" s="285" t="n">
        <v>4</v>
      </c>
      <c r="O264" s="285" t="n">
        <v>2</v>
      </c>
      <c r="P264" s="285" t="n">
        <v>136</v>
      </c>
      <c r="Q264" s="316" t="n"/>
      <c r="R264" s="285" t="n"/>
      <c r="S264" s="285" t="n"/>
      <c r="T264" s="285" t="n"/>
      <c r="U264" s="285" t="n"/>
      <c r="V264" s="285" t="n"/>
      <c r="W264" s="285" t="n"/>
      <c r="X264" s="285" t="n"/>
      <c r="Y264" s="285" t="n"/>
      <c r="Z264" s="285" t="n"/>
      <c r="AA264" s="285" t="n"/>
      <c r="AB264" s="285" t="n"/>
      <c r="AC264" s="285" t="n"/>
      <c r="AD264" s="285" t="n"/>
      <c r="AE264" s="285" t="n"/>
      <c r="AF264" s="285" t="n"/>
      <c r="AG264" s="285" t="n"/>
      <c r="AH264" s="285" t="n"/>
      <c r="AI264" s="285" t="n"/>
      <c r="AJ264" s="285" t="n"/>
      <c r="AK264" s="285" t="n"/>
      <c r="AL264" s="285" t="n"/>
    </row>
    <row r="265">
      <c r="A265" s="458" t="inlineStr">
        <is>
          <t>하왕십리동</t>
        </is>
      </c>
      <c r="B265" s="159" t="inlineStr">
        <is>
          <t>3왕십리</t>
        </is>
      </c>
      <c r="C265" s="159" t="inlineStr">
        <is>
          <t>하</t>
        </is>
      </c>
      <c r="D265" s="458" t="n">
        <v>838</v>
      </c>
      <c r="E265" s="288" t="inlineStr">
        <is>
          <t>무학현대</t>
        </is>
      </c>
      <c r="F265" s="458" t="n">
        <v>1996.03</v>
      </c>
      <c r="G265" s="458" t="n">
        <v>277</v>
      </c>
      <c r="H265" s="458">
        <f>2026-INT(F265)+1</f>
        <v/>
      </c>
      <c r="J265" s="458" t="n">
        <v>97</v>
      </c>
      <c r="K265" s="458" t="n">
        <v>84</v>
      </c>
      <c r="L265" s="458" t="n">
        <v>29</v>
      </c>
      <c r="M265" s="458" t="inlineStr">
        <is>
          <t>계단식</t>
        </is>
      </c>
      <c r="N265" s="458" t="n">
        <v>3</v>
      </c>
      <c r="O265" s="458" t="n">
        <v>2</v>
      </c>
      <c r="P265" s="458" t="n">
        <v>277</v>
      </c>
      <c r="Q265" s="318" t="n"/>
      <c r="V265" s="458" t="n">
        <v>9.699999999999999</v>
      </c>
      <c r="W265" s="458" t="n">
        <v>7.3</v>
      </c>
    </row>
    <row r="266">
      <c r="A266" s="287" t="inlineStr">
        <is>
          <t>하왕십리동</t>
        </is>
      </c>
      <c r="B266" s="307" t="inlineStr">
        <is>
          <t>3왕십리</t>
        </is>
      </c>
      <c r="C266" s="307" t="inlineStr">
        <is>
          <t>최상</t>
        </is>
      </c>
      <c r="D266" s="287" t="n">
        <v>109910</v>
      </c>
      <c r="E266" s="286" t="inlineStr">
        <is>
          <t>센트라스</t>
        </is>
      </c>
      <c r="F266" s="287" t="n">
        <v>2016.11</v>
      </c>
      <c r="G266" s="287" t="n">
        <v>2529</v>
      </c>
      <c r="H266" s="287">
        <f>2026-INT(F266)+1</f>
        <v/>
      </c>
      <c r="I266" s="285" t="n"/>
      <c r="J266" s="287" t="n">
        <v>57</v>
      </c>
      <c r="K266" s="287" t="n">
        <v>40</v>
      </c>
      <c r="L266" s="287" t="n">
        <v>17</v>
      </c>
      <c r="M266" s="287" t="inlineStr">
        <is>
          <t>계단식</t>
        </is>
      </c>
      <c r="N266" s="287" t="n">
        <v>1</v>
      </c>
      <c r="O266" s="287" t="n">
        <v>1</v>
      </c>
      <c r="P266" s="287" t="n">
        <v>144</v>
      </c>
      <c r="Q266" s="317" t="n"/>
      <c r="R266" s="285" t="n"/>
      <c r="S266" s="285" t="n"/>
      <c r="T266" s="285" t="n"/>
      <c r="U266" s="285" t="n"/>
      <c r="V266" s="287" t="n">
        <v>9.9</v>
      </c>
      <c r="W266" s="287" t="n">
        <v>7.4</v>
      </c>
      <c r="X266" s="285" t="n"/>
      <c r="Y266" s="285" t="n"/>
      <c r="Z266" s="285" t="n"/>
      <c r="AA266" s="285" t="n"/>
      <c r="AB266" s="285" t="n"/>
      <c r="AC266" s="285" t="n"/>
      <c r="AD266" s="285" t="n"/>
      <c r="AE266" s="285" t="n"/>
      <c r="AF266" s="285" t="n"/>
      <c r="AG266" s="285" t="n"/>
      <c r="AH266" s="285" t="n"/>
      <c r="AI266" s="285" t="n"/>
      <c r="AJ266" s="285" t="n"/>
      <c r="AK266" s="285" t="n"/>
      <c r="AL266" s="285" t="n"/>
    </row>
    <row r="267">
      <c r="A267" s="285" t="inlineStr">
        <is>
          <t>하왕십리동</t>
        </is>
      </c>
      <c r="B267" s="307" t="inlineStr">
        <is>
          <t>3왕십리</t>
        </is>
      </c>
      <c r="C267" s="307" t="inlineStr">
        <is>
          <t>최상</t>
        </is>
      </c>
      <c r="D267" s="285" t="n">
        <v>109910</v>
      </c>
      <c r="E267" s="286" t="inlineStr">
        <is>
          <t>센트라스</t>
        </is>
      </c>
      <c r="F267" s="285" t="n">
        <v>2016.11</v>
      </c>
      <c r="G267" s="285" t="n">
        <v>2529</v>
      </c>
      <c r="H267" s="285">
        <f>2026-INT(F267)+1</f>
        <v/>
      </c>
      <c r="I267" s="285" t="n"/>
      <c r="J267" s="285" t="n">
        <v>78</v>
      </c>
      <c r="K267" s="285" t="n">
        <v>59</v>
      </c>
      <c r="L267" s="285" t="n">
        <v>24</v>
      </c>
      <c r="M267" s="285" t="inlineStr">
        <is>
          <t>계단식</t>
        </is>
      </c>
      <c r="N267" s="285" t="n">
        <v>3</v>
      </c>
      <c r="O267" s="285" t="n">
        <v>2</v>
      </c>
      <c r="P267" s="285" t="n">
        <v>634</v>
      </c>
      <c r="Q267" s="316" t="n"/>
      <c r="R267" s="285" t="n"/>
      <c r="S267" s="285" t="n"/>
      <c r="T267" s="285" t="n"/>
      <c r="U267" s="285" t="n"/>
      <c r="V267" s="285" t="n">
        <v>15.3</v>
      </c>
      <c r="W267" s="285" t="n">
        <v>10.5</v>
      </c>
      <c r="X267" s="285" t="n"/>
      <c r="Y267" s="285" t="n"/>
      <c r="Z267" s="285" t="n"/>
      <c r="AA267" s="285" t="n"/>
      <c r="AB267" s="285" t="n"/>
      <c r="AC267" s="285" t="n"/>
      <c r="AD267" s="285" t="n"/>
      <c r="AE267" s="285" t="n"/>
      <c r="AF267" s="285" t="n"/>
      <c r="AG267" s="285" t="n"/>
      <c r="AH267" s="285" t="n"/>
      <c r="AI267" s="285" t="n"/>
      <c r="AJ267" s="285" t="n"/>
      <c r="AK267" s="285" t="n"/>
      <c r="AL267" s="285" t="n"/>
    </row>
    <row r="268" ht="17" customHeight="1" s="476">
      <c r="A268" s="298" t="inlineStr">
        <is>
          <t>하왕십리동</t>
        </is>
      </c>
      <c r="B268" s="309" t="inlineStr">
        <is>
          <t>3왕십리</t>
        </is>
      </c>
      <c r="C268" s="309" t="inlineStr">
        <is>
          <t>최상</t>
        </is>
      </c>
      <c r="D268" s="298" t="n">
        <v>109910</v>
      </c>
      <c r="E268" s="313" t="inlineStr">
        <is>
          <t>센트라스</t>
        </is>
      </c>
      <c r="F268" s="298" t="n">
        <v>2016.11</v>
      </c>
      <c r="G268" s="298" t="n">
        <v>2529</v>
      </c>
      <c r="H268" s="298">
        <f>2026-INT(F268)+1</f>
        <v/>
      </c>
      <c r="I268" s="298" t="n"/>
      <c r="J268" s="298" t="n">
        <v>109</v>
      </c>
      <c r="K268" s="298" t="n">
        <v>84</v>
      </c>
      <c r="L268" s="298" t="n">
        <v>33</v>
      </c>
      <c r="M268" s="298" t="inlineStr">
        <is>
          <t>계단식</t>
        </is>
      </c>
      <c r="N268" s="298" t="n">
        <v>3</v>
      </c>
      <c r="O268" s="298" t="n">
        <v>2</v>
      </c>
      <c r="P268" s="298" t="n">
        <v>1148</v>
      </c>
      <c r="Q268" s="320" t="inlineStr">
        <is>
          <t>58/3</t>
        </is>
      </c>
      <c r="R268" s="298" t="n">
        <v>240000</v>
      </c>
      <c r="S268" s="298" t="n">
        <v>115000</v>
      </c>
      <c r="T268" s="298" t="n"/>
      <c r="U268" s="298" t="n"/>
      <c r="V268" s="298" t="n">
        <v>19.2</v>
      </c>
      <c r="W268" s="298" t="n">
        <v>12.5</v>
      </c>
      <c r="X268" s="298" t="n"/>
      <c r="Y268" s="298" t="n"/>
      <c r="Z268" s="298" t="n"/>
      <c r="AA268" s="298" t="n"/>
      <c r="AB268" s="298" t="n"/>
      <c r="AC268" s="298" t="n"/>
      <c r="AD268" s="298" t="n"/>
      <c r="AE268" s="298" t="n"/>
      <c r="AF268" s="298" t="n"/>
      <c r="AG268" s="298" t="n"/>
      <c r="AH268" s="298" t="n"/>
      <c r="AI268" s="298" t="n"/>
      <c r="AJ268" s="298" t="n"/>
      <c r="AK268" s="298" t="n"/>
      <c r="AL268" s="298" t="n"/>
      <c r="AM268" s="298" t="n"/>
      <c r="AN268" s="298" t="n"/>
      <c r="AO268" s="298" t="n"/>
    </row>
    <row r="269">
      <c r="A269" s="285" t="inlineStr">
        <is>
          <t>하왕십리동</t>
        </is>
      </c>
      <c r="B269" s="307" t="inlineStr">
        <is>
          <t>3왕십리</t>
        </is>
      </c>
      <c r="C269" s="307" t="inlineStr">
        <is>
          <t>최상</t>
        </is>
      </c>
      <c r="D269" s="285" t="n">
        <v>109910</v>
      </c>
      <c r="E269" s="286" t="inlineStr">
        <is>
          <t>센트라스</t>
        </is>
      </c>
      <c r="F269" s="285" t="n">
        <v>2016.11</v>
      </c>
      <c r="G269" s="285" t="n">
        <v>2529</v>
      </c>
      <c r="H269" s="285">
        <f>2026-INT(F269)+1</f>
        <v/>
      </c>
      <c r="I269" s="285" t="n"/>
      <c r="J269" s="285" t="n">
        <v>149</v>
      </c>
      <c r="K269" s="285" t="n">
        <v>115</v>
      </c>
      <c r="L269" s="285" t="n">
        <v>45</v>
      </c>
      <c r="M269" s="285" t="inlineStr">
        <is>
          <t>계단식</t>
        </is>
      </c>
      <c r="N269" s="285" t="n">
        <v>4</v>
      </c>
      <c r="O269" s="285" t="n">
        <v>2</v>
      </c>
      <c r="P269" s="285" t="n">
        <v>171</v>
      </c>
      <c r="Q269" s="316" t="n"/>
      <c r="R269" s="285" t="n"/>
      <c r="S269" s="285" t="n"/>
      <c r="T269" s="285" t="n"/>
      <c r="U269" s="285" t="n"/>
      <c r="V269" s="285" t="n">
        <v>21</v>
      </c>
      <c r="W269" s="285" t="n">
        <v>19.1</v>
      </c>
      <c r="X269" s="285" t="n"/>
      <c r="Y269" s="285" t="n"/>
      <c r="Z269" s="285" t="n"/>
      <c r="AA269" s="285" t="n"/>
      <c r="AB269" s="285" t="n"/>
      <c r="AC269" s="285" t="n"/>
      <c r="AD269" s="285" t="n"/>
      <c r="AE269" s="285" t="n"/>
      <c r="AF269" s="285" t="n"/>
      <c r="AG269" s="285" t="n"/>
      <c r="AH269" s="285" t="n"/>
      <c r="AI269" s="285" t="n"/>
      <c r="AJ269" s="285" t="n"/>
      <c r="AK269" s="285" t="n"/>
      <c r="AL269" s="285" t="n"/>
    </row>
    <row r="270">
      <c r="A270" s="458" t="inlineStr">
        <is>
          <t>하왕십리동</t>
        </is>
      </c>
      <c r="B270" s="159" t="inlineStr">
        <is>
          <t>3왕십리</t>
        </is>
      </c>
      <c r="C270" s="159" t="inlineStr">
        <is>
          <t>중</t>
        </is>
      </c>
      <c r="D270" s="458" t="n">
        <v>107508</v>
      </c>
      <c r="E270" s="288" t="inlineStr">
        <is>
          <t>왕십리KCC스위첸</t>
        </is>
      </c>
      <c r="F270" s="458" t="n">
        <v>2016.04</v>
      </c>
      <c r="G270" s="458" t="n">
        <v>272</v>
      </c>
      <c r="H270" s="458">
        <f>2026-INT(F270)+1</f>
        <v/>
      </c>
      <c r="J270" s="458" t="n">
        <v>78</v>
      </c>
      <c r="K270" s="458" t="n">
        <v>59</v>
      </c>
      <c r="L270" s="458" t="n">
        <v>24</v>
      </c>
      <c r="M270" s="458" t="inlineStr">
        <is>
          <t>계단식</t>
        </is>
      </c>
      <c r="N270" s="458" t="n">
        <v>3</v>
      </c>
      <c r="O270" s="458" t="n">
        <v>2</v>
      </c>
      <c r="P270" s="458" t="n">
        <v>42</v>
      </c>
      <c r="Q270" s="318" t="n"/>
      <c r="V270" s="458" t="n">
        <v>11.1</v>
      </c>
      <c r="W270" s="458" t="n">
        <v>9.18</v>
      </c>
    </row>
    <row r="271">
      <c r="A271" s="458" t="inlineStr">
        <is>
          <t>하왕십리동</t>
        </is>
      </c>
      <c r="B271" s="159" t="inlineStr">
        <is>
          <t>3왕십리</t>
        </is>
      </c>
      <c r="C271" s="159" t="inlineStr">
        <is>
          <t>중</t>
        </is>
      </c>
      <c r="D271" s="458" t="n">
        <v>107508</v>
      </c>
      <c r="E271" s="288" t="inlineStr">
        <is>
          <t>왕십리KCC스위첸</t>
        </is>
      </c>
      <c r="F271" s="458" t="n">
        <v>2016.04</v>
      </c>
      <c r="G271" s="458" t="n">
        <v>272</v>
      </c>
      <c r="H271" s="458">
        <f>2026-INT(F271)+1</f>
        <v/>
      </c>
      <c r="J271" s="458" t="n">
        <v>84</v>
      </c>
      <c r="K271" s="458" t="n">
        <v>64</v>
      </c>
      <c r="L271" s="458" t="n">
        <v>25</v>
      </c>
      <c r="M271" s="458" t="inlineStr">
        <is>
          <t>계단식</t>
        </is>
      </c>
      <c r="N271" s="458" t="n">
        <v>3</v>
      </c>
      <c r="O271" s="458" t="n">
        <v>2</v>
      </c>
      <c r="P271" s="458" t="n">
        <v>90</v>
      </c>
      <c r="Q271" s="318" t="n"/>
      <c r="V271" s="458" t="n">
        <v>12.05</v>
      </c>
      <c r="W271" s="458" t="n">
        <v>9</v>
      </c>
    </row>
    <row r="272">
      <c r="A272" s="458" t="inlineStr">
        <is>
          <t>하왕십리동</t>
        </is>
      </c>
      <c r="B272" s="159" t="inlineStr">
        <is>
          <t>3왕십리</t>
        </is>
      </c>
      <c r="C272" s="159" t="inlineStr">
        <is>
          <t>중</t>
        </is>
      </c>
      <c r="D272" s="458" t="n">
        <v>107508</v>
      </c>
      <c r="E272" s="288" t="inlineStr">
        <is>
          <t>왕십리KCC스위첸</t>
        </is>
      </c>
      <c r="F272" s="458" t="n">
        <v>2016.04</v>
      </c>
      <c r="G272" s="458" t="n">
        <v>272</v>
      </c>
      <c r="H272" s="458">
        <f>2026-INT(F272)+1</f>
        <v/>
      </c>
      <c r="J272" s="458" t="n">
        <v>89</v>
      </c>
      <c r="K272" s="458" t="n">
        <v>68</v>
      </c>
      <c r="L272" s="458" t="n">
        <v>27</v>
      </c>
      <c r="M272" s="458" t="inlineStr">
        <is>
          <t>계단식</t>
        </is>
      </c>
      <c r="N272" s="458" t="n">
        <v>3</v>
      </c>
      <c r="O272" s="458" t="n">
        <v>2</v>
      </c>
      <c r="P272" s="458" t="n">
        <v>34</v>
      </c>
      <c r="Q272" s="318" t="n"/>
      <c r="V272" s="458" t="n">
        <v>12.5</v>
      </c>
      <c r="W272" s="458" t="n">
        <v>9.699999999999999</v>
      </c>
    </row>
    <row r="273">
      <c r="A273" s="458" t="inlineStr">
        <is>
          <t>하왕십리동</t>
        </is>
      </c>
      <c r="B273" s="159" t="inlineStr">
        <is>
          <t>3왕십리</t>
        </is>
      </c>
      <c r="C273" s="159" t="inlineStr">
        <is>
          <t>중</t>
        </is>
      </c>
      <c r="D273" s="458" t="n">
        <v>107508</v>
      </c>
      <c r="E273" s="288" t="inlineStr">
        <is>
          <t>왕십리KCC스위첸</t>
        </is>
      </c>
      <c r="F273" s="458" t="n">
        <v>2016.04</v>
      </c>
      <c r="G273" s="458" t="n">
        <v>272</v>
      </c>
      <c r="H273" s="458">
        <f>2026-INT(F273)+1</f>
        <v/>
      </c>
      <c r="J273" s="458" t="n">
        <v>96</v>
      </c>
      <c r="K273" s="458" t="n">
        <v>73</v>
      </c>
      <c r="L273" s="458" t="n">
        <v>29</v>
      </c>
      <c r="M273" s="458" t="inlineStr">
        <is>
          <t>계단식</t>
        </is>
      </c>
      <c r="N273" s="458" t="n">
        <v>3</v>
      </c>
      <c r="O273" s="458" t="n">
        <v>2</v>
      </c>
      <c r="P273" s="458" t="n">
        <v>2</v>
      </c>
      <c r="Q273" s="318" t="n"/>
      <c r="V273" s="458" t="n">
        <v>11.5</v>
      </c>
    </row>
    <row r="274">
      <c r="A274" s="458" t="inlineStr">
        <is>
          <t>하왕십리동</t>
        </is>
      </c>
      <c r="B274" s="159" t="inlineStr">
        <is>
          <t>3왕십리</t>
        </is>
      </c>
      <c r="C274" s="159" t="inlineStr">
        <is>
          <t>중</t>
        </is>
      </c>
      <c r="D274" s="458" t="n">
        <v>107508</v>
      </c>
      <c r="E274" s="288" t="inlineStr">
        <is>
          <t>왕십리KCC스위첸</t>
        </is>
      </c>
      <c r="F274" s="458" t="n">
        <v>2016.04</v>
      </c>
      <c r="G274" s="458" t="n">
        <v>272</v>
      </c>
      <c r="H274" s="458">
        <f>2026-INT(F274)+1</f>
        <v/>
      </c>
      <c r="J274" s="458" t="n">
        <v>110</v>
      </c>
      <c r="K274" s="458" t="n">
        <v>84</v>
      </c>
      <c r="L274" s="458" t="n">
        <v>33</v>
      </c>
      <c r="M274" s="458" t="inlineStr">
        <is>
          <t>계단식</t>
        </is>
      </c>
      <c r="N274" s="458" t="n">
        <v>3</v>
      </c>
      <c r="O274" s="458" t="n">
        <v>2</v>
      </c>
      <c r="P274" s="458" t="n">
        <v>91</v>
      </c>
      <c r="Q274" s="318" t="n"/>
      <c r="V274" s="458" t="n">
        <v>14</v>
      </c>
      <c r="W274" s="458" t="n">
        <v>12.5</v>
      </c>
    </row>
    <row r="275">
      <c r="A275" s="458" t="inlineStr">
        <is>
          <t>하왕십리동</t>
        </is>
      </c>
      <c r="B275" s="159" t="inlineStr">
        <is>
          <t>3왕십리</t>
        </is>
      </c>
      <c r="C275" s="159" t="inlineStr">
        <is>
          <t>중</t>
        </is>
      </c>
      <c r="D275" s="458" t="n">
        <v>107508</v>
      </c>
      <c r="E275" s="288" t="inlineStr">
        <is>
          <t>왕십리KCC스위첸</t>
        </is>
      </c>
      <c r="F275" s="458" t="n">
        <v>2016.04</v>
      </c>
      <c r="G275" s="458" t="n">
        <v>272</v>
      </c>
      <c r="H275" s="458">
        <f>2026-INT(F275)+1</f>
        <v/>
      </c>
      <c r="J275" s="458" t="n">
        <v>110</v>
      </c>
      <c r="K275" s="458" t="n">
        <v>84</v>
      </c>
      <c r="L275" s="458" t="n">
        <v>33</v>
      </c>
      <c r="M275" s="458" t="inlineStr">
        <is>
          <t>계단식</t>
        </is>
      </c>
      <c r="N275" s="458" t="n">
        <v>4</v>
      </c>
      <c r="O275" s="458" t="n">
        <v>2</v>
      </c>
      <c r="P275" s="458" t="n">
        <v>13</v>
      </c>
      <c r="Q275" s="318" t="n"/>
      <c r="V275" s="458" t="n">
        <v>14</v>
      </c>
      <c r="W275" s="458" t="n">
        <v>12.5</v>
      </c>
    </row>
    <row r="276">
      <c r="A276" s="287" t="inlineStr">
        <is>
          <t>하왕십리동</t>
        </is>
      </c>
      <c r="B276" s="307" t="inlineStr">
        <is>
          <t>3왕십리</t>
        </is>
      </c>
      <c r="C276" s="307" t="inlineStr">
        <is>
          <t>상</t>
        </is>
      </c>
      <c r="D276" s="287" t="n">
        <v>111002</v>
      </c>
      <c r="E276" s="286" t="inlineStr">
        <is>
          <t>왕십리자이</t>
        </is>
      </c>
      <c r="F276" s="287" t="n">
        <v>2017.07</v>
      </c>
      <c r="G276" s="287" t="n">
        <v>713</v>
      </c>
      <c r="H276" s="287">
        <f>2026-INT(F276)+1</f>
        <v/>
      </c>
      <c r="I276" s="285" t="n"/>
      <c r="J276" s="287" t="n">
        <v>73</v>
      </c>
      <c r="K276" s="287" t="n">
        <v>51</v>
      </c>
      <c r="L276" s="287" t="n">
        <v>22</v>
      </c>
      <c r="M276" s="287" t="inlineStr">
        <is>
          <t>계단식</t>
        </is>
      </c>
      <c r="N276" s="287" t="n">
        <v>2</v>
      </c>
      <c r="O276" s="287" t="n">
        <v>1</v>
      </c>
      <c r="P276" s="287" t="n">
        <v>52</v>
      </c>
      <c r="Q276" s="317" t="n"/>
      <c r="R276" s="285" t="n"/>
      <c r="S276" s="285" t="n"/>
      <c r="T276" s="285" t="n"/>
      <c r="U276" s="285" t="n"/>
      <c r="V276" s="285" t="n">
        <v>10.4</v>
      </c>
      <c r="W276" s="287" t="n">
        <v>8.880000000000001</v>
      </c>
      <c r="X276" s="285" t="n"/>
      <c r="Y276" s="285" t="n"/>
      <c r="Z276" s="285" t="n"/>
      <c r="AA276" s="285" t="n"/>
      <c r="AB276" s="285" t="n"/>
      <c r="AC276" s="285" t="n"/>
      <c r="AD276" s="285" t="n"/>
      <c r="AE276" s="285" t="n"/>
      <c r="AF276" s="285" t="n"/>
      <c r="AG276" s="285" t="n"/>
      <c r="AH276" s="285" t="n"/>
      <c r="AI276" s="285" t="n"/>
      <c r="AJ276" s="285" t="n"/>
      <c r="AK276" s="285" t="n"/>
      <c r="AL276" s="285" t="n"/>
    </row>
    <row r="277">
      <c r="A277" s="287" t="inlineStr">
        <is>
          <t>하왕십리동</t>
        </is>
      </c>
      <c r="B277" s="307" t="inlineStr">
        <is>
          <t>3왕십리</t>
        </is>
      </c>
      <c r="C277" s="307" t="inlineStr">
        <is>
          <t>상</t>
        </is>
      </c>
      <c r="D277" s="287" t="n">
        <v>111002</v>
      </c>
      <c r="E277" s="286" t="inlineStr">
        <is>
          <t>왕십리자이</t>
        </is>
      </c>
      <c r="F277" s="287" t="n">
        <v>2017.07</v>
      </c>
      <c r="G277" s="287" t="n">
        <v>713</v>
      </c>
      <c r="H277" s="287">
        <f>2026-INT(F277)+1</f>
        <v/>
      </c>
      <c r="I277" s="285" t="n"/>
      <c r="J277" s="287" t="n">
        <v>81</v>
      </c>
      <c r="K277" s="287" t="n">
        <v>59</v>
      </c>
      <c r="L277" s="287" t="n">
        <v>25</v>
      </c>
      <c r="M277" s="287" t="inlineStr">
        <is>
          <t>계단식</t>
        </is>
      </c>
      <c r="N277" s="287" t="n">
        <v>3</v>
      </c>
      <c r="O277" s="287" t="n">
        <v>2</v>
      </c>
      <c r="P277" s="287" t="n">
        <v>384</v>
      </c>
      <c r="Q277" s="317" t="n"/>
      <c r="R277" s="285" t="n"/>
      <c r="S277" s="285" t="n"/>
      <c r="T277" s="285" t="n"/>
      <c r="U277" s="285" t="n"/>
      <c r="V277" s="285" t="n">
        <v>14</v>
      </c>
      <c r="W277" s="287" t="n">
        <v>9.800000000000001</v>
      </c>
      <c r="X277" s="285" t="n"/>
      <c r="Y277" s="285" t="n"/>
      <c r="Z277" s="285" t="n"/>
      <c r="AA277" s="285" t="n"/>
      <c r="AB277" s="285" t="n"/>
      <c r="AC277" s="285" t="n"/>
      <c r="AD277" s="285" t="n"/>
      <c r="AE277" s="285" t="n"/>
      <c r="AF277" s="285" t="n"/>
      <c r="AG277" s="285" t="n"/>
      <c r="AH277" s="285" t="n"/>
      <c r="AI277" s="285" t="n"/>
      <c r="AJ277" s="285" t="n"/>
      <c r="AK277" s="285" t="n"/>
      <c r="AL277" s="285" t="n"/>
    </row>
    <row r="278">
      <c r="A278" s="285" t="inlineStr">
        <is>
          <t>하왕십리동</t>
        </is>
      </c>
      <c r="B278" s="307" t="inlineStr">
        <is>
          <t>3왕십리</t>
        </is>
      </c>
      <c r="C278" s="307" t="inlineStr">
        <is>
          <t>상</t>
        </is>
      </c>
      <c r="D278" s="285" t="n">
        <v>111002</v>
      </c>
      <c r="E278" s="286" t="inlineStr">
        <is>
          <t>왕십리자이</t>
        </is>
      </c>
      <c r="F278" s="285" t="n">
        <v>2017.07</v>
      </c>
      <c r="G278" s="285" t="n">
        <v>713</v>
      </c>
      <c r="H278" s="285">
        <f>2026-INT(F278)+1</f>
        <v/>
      </c>
      <c r="I278" s="285" t="n"/>
      <c r="J278" s="285" t="n">
        <v>112</v>
      </c>
      <c r="K278" s="285" t="n">
        <v>84</v>
      </c>
      <c r="L278" s="285" t="n">
        <v>34</v>
      </c>
      <c r="M278" s="285" t="inlineStr">
        <is>
          <t>계단식</t>
        </is>
      </c>
      <c r="N278" s="285" t="n">
        <v>3</v>
      </c>
      <c r="O278" s="285" t="n">
        <v>2</v>
      </c>
      <c r="P278" s="285" t="n">
        <v>151</v>
      </c>
      <c r="Q278" s="316" t="n"/>
      <c r="R278" s="285" t="n"/>
      <c r="S278" s="285" t="n"/>
      <c r="T278" s="285" t="n"/>
      <c r="U278" s="285" t="n"/>
      <c r="V278" s="285" t="n">
        <v>16</v>
      </c>
      <c r="W278" s="285" t="n">
        <v>11.95</v>
      </c>
      <c r="X278" s="285" t="n"/>
      <c r="Y278" s="285" t="n"/>
      <c r="Z278" s="285" t="n"/>
      <c r="AA278" s="285" t="n"/>
      <c r="AB278" s="285" t="n"/>
      <c r="AC278" s="285" t="n"/>
      <c r="AD278" s="285" t="n"/>
      <c r="AE278" s="285" t="n"/>
      <c r="AF278" s="285" t="n"/>
      <c r="AG278" s="285" t="n"/>
      <c r="AH278" s="285" t="n"/>
      <c r="AI278" s="285" t="n"/>
      <c r="AJ278" s="285" t="n"/>
      <c r="AK278" s="285" t="n"/>
      <c r="AL278" s="285" t="n"/>
    </row>
    <row r="279">
      <c r="A279" s="458" t="inlineStr">
        <is>
          <t>하왕십리동</t>
        </is>
      </c>
      <c r="B279" s="159" t="inlineStr">
        <is>
          <t>3왕십리</t>
        </is>
      </c>
      <c r="C279" s="159" t="inlineStr">
        <is>
          <t>중</t>
        </is>
      </c>
      <c r="D279" s="458" t="n">
        <v>9168</v>
      </c>
      <c r="E279" s="288" t="inlineStr">
        <is>
          <t>왕십리풍림아이원</t>
        </is>
      </c>
      <c r="F279" s="458" t="n">
        <v>2004.11</v>
      </c>
      <c r="G279" s="458" t="n">
        <v>758</v>
      </c>
      <c r="H279" s="458">
        <f>2026-INT(F279)+1</f>
        <v/>
      </c>
      <c r="J279" s="458" t="n">
        <v>74</v>
      </c>
      <c r="K279" s="458" t="n">
        <v>59</v>
      </c>
      <c r="L279" s="458" t="n">
        <v>22</v>
      </c>
      <c r="M279" s="458" t="inlineStr">
        <is>
          <t>계단식</t>
        </is>
      </c>
      <c r="N279" s="458" t="n">
        <v>3</v>
      </c>
      <c r="O279" s="458" t="n">
        <v>1</v>
      </c>
      <c r="P279" s="458" t="n">
        <v>339</v>
      </c>
      <c r="Q279" s="318" t="n"/>
      <c r="V279" s="458" t="n">
        <v>11</v>
      </c>
      <c r="W279" s="458" t="n">
        <v>7.3</v>
      </c>
    </row>
    <row r="280" ht="17" customHeight="1" s="476">
      <c r="A280" s="297" t="inlineStr">
        <is>
          <t>하왕십리동</t>
        </is>
      </c>
      <c r="B280" s="311" t="inlineStr">
        <is>
          <t>3왕십리</t>
        </is>
      </c>
      <c r="C280" s="311" t="inlineStr">
        <is>
          <t>중</t>
        </is>
      </c>
      <c r="D280" s="297" t="n">
        <v>9168</v>
      </c>
      <c r="E280" s="299" t="inlineStr">
        <is>
          <t>왕십리풍림아이원</t>
        </is>
      </c>
      <c r="F280" s="297" t="n">
        <v>2004.11</v>
      </c>
      <c r="G280" s="297" t="n">
        <v>758</v>
      </c>
      <c r="H280" s="297">
        <f>2026-INT(F280)+1</f>
        <v/>
      </c>
      <c r="I280" s="298" t="n"/>
      <c r="J280" s="297" t="n">
        <v>104</v>
      </c>
      <c r="K280" s="297" t="n">
        <v>84</v>
      </c>
      <c r="L280" s="297" t="n">
        <v>31</v>
      </c>
      <c r="M280" s="297" t="inlineStr">
        <is>
          <t>계단식</t>
        </is>
      </c>
      <c r="N280" s="297" t="n">
        <v>3</v>
      </c>
      <c r="O280" s="297" t="n">
        <v>2</v>
      </c>
      <c r="P280" s="297" t="n">
        <v>280</v>
      </c>
      <c r="Q280" s="319" t="inlineStr">
        <is>
          <t>11/1</t>
        </is>
      </c>
      <c r="R280" s="298" t="n">
        <v>162000</v>
      </c>
      <c r="S280" s="298" t="n">
        <v>7000</v>
      </c>
      <c r="T280" s="298" t="n"/>
      <c r="U280" s="298" t="n"/>
      <c r="V280" s="297" t="n">
        <v>12.3</v>
      </c>
      <c r="W280" s="297" t="n">
        <v>9.800000000000001</v>
      </c>
      <c r="X280" s="298" t="n"/>
      <c r="Y280" s="298" t="n"/>
      <c r="Z280" s="298" t="n"/>
      <c r="AA280" s="298" t="n"/>
      <c r="AB280" s="298" t="n"/>
      <c r="AC280" s="298" t="n"/>
      <c r="AD280" s="298" t="n"/>
      <c r="AE280" s="298" t="n"/>
      <c r="AF280" s="298" t="n"/>
      <c r="AG280" s="298" t="n"/>
      <c r="AH280" s="298" t="n"/>
      <c r="AI280" s="298" t="n"/>
      <c r="AJ280" s="298" t="n"/>
      <c r="AK280" s="298" t="n"/>
      <c r="AL280" s="298" t="n"/>
      <c r="AM280" s="298" t="n"/>
      <c r="AN280" s="298" t="n"/>
      <c r="AO280" s="298" t="n"/>
    </row>
    <row r="281">
      <c r="A281" s="458" t="inlineStr">
        <is>
          <t>하왕십리동</t>
        </is>
      </c>
      <c r="B281" s="159" t="inlineStr">
        <is>
          <t>3왕십리</t>
        </is>
      </c>
      <c r="C281" s="159" t="inlineStr">
        <is>
          <t>중</t>
        </is>
      </c>
      <c r="D281" s="458" t="n">
        <v>9168</v>
      </c>
      <c r="E281" s="288" t="inlineStr">
        <is>
          <t>왕십리풍림아이원</t>
        </is>
      </c>
      <c r="F281" s="458" t="n">
        <v>2004.11</v>
      </c>
      <c r="G281" s="458" t="n">
        <v>758</v>
      </c>
      <c r="H281" s="458">
        <f>2026-INT(F281)+1</f>
        <v/>
      </c>
      <c r="J281" s="458" t="n">
        <v>144</v>
      </c>
      <c r="K281" s="458" t="n">
        <v>114</v>
      </c>
      <c r="L281" s="458" t="n">
        <v>44</v>
      </c>
      <c r="M281" s="458" t="inlineStr">
        <is>
          <t>계단식</t>
        </is>
      </c>
      <c r="N281" s="458" t="n">
        <v>4</v>
      </c>
      <c r="O281" s="458" t="n">
        <v>2</v>
      </c>
      <c r="P281" s="458" t="n">
        <v>139</v>
      </c>
      <c r="Q281" s="318" t="n"/>
      <c r="V281" s="458" t="n">
        <v>14.2</v>
      </c>
      <c r="W281" s="458" t="n">
        <v>12</v>
      </c>
    </row>
    <row r="282">
      <c r="A282" s="285" t="inlineStr">
        <is>
          <t>하왕십리동</t>
        </is>
      </c>
      <c r="B282" s="307" t="inlineStr">
        <is>
          <t>3왕십리</t>
        </is>
      </c>
      <c r="C282" s="307" t="inlineStr">
        <is>
          <t>중</t>
        </is>
      </c>
      <c r="D282" s="285" t="n">
        <v>573</v>
      </c>
      <c r="E282" s="286" t="inlineStr">
        <is>
          <t>청계벽산</t>
        </is>
      </c>
      <c r="F282" s="285" t="n">
        <v>1996.06</v>
      </c>
      <c r="G282" s="285" t="n">
        <v>1332</v>
      </c>
      <c r="H282" s="285">
        <f>2026-INT(F282)+1</f>
        <v/>
      </c>
      <c r="I282" s="285" t="n"/>
      <c r="J282" s="285" t="n">
        <v>88</v>
      </c>
      <c r="K282" s="285" t="n">
        <v>71</v>
      </c>
      <c r="L282" s="285" t="n">
        <v>27</v>
      </c>
      <c r="M282" s="285" t="inlineStr">
        <is>
          <t>계단식</t>
        </is>
      </c>
      <c r="N282" s="285" t="n">
        <v>3</v>
      </c>
      <c r="O282" s="285" t="n">
        <v>1</v>
      </c>
      <c r="P282" s="285" t="n">
        <v>90</v>
      </c>
      <c r="Q282" s="316" t="n"/>
      <c r="R282" s="285" t="n"/>
      <c r="S282" s="285" t="n"/>
      <c r="T282" s="285" t="n"/>
      <c r="U282" s="285" t="n"/>
      <c r="V282" s="285" t="n">
        <v>11.2</v>
      </c>
      <c r="W282" s="285" t="n">
        <v>6.2</v>
      </c>
      <c r="X282" s="285" t="n"/>
      <c r="Y282" s="285" t="n"/>
      <c r="Z282" s="285" t="n"/>
      <c r="AA282" s="285" t="n"/>
      <c r="AB282" s="285" t="n"/>
      <c r="AC282" s="285" t="n"/>
      <c r="AD282" s="285" t="n"/>
      <c r="AE282" s="285" t="n"/>
      <c r="AF282" s="285" t="n"/>
      <c r="AG282" s="285" t="n"/>
      <c r="AH282" s="285" t="n"/>
      <c r="AI282" s="285" t="n"/>
      <c r="AJ282" s="285" t="n"/>
      <c r="AK282" s="285" t="n"/>
      <c r="AL282" s="285" t="n"/>
    </row>
    <row r="283">
      <c r="A283" s="285" t="inlineStr">
        <is>
          <t>하왕십리동</t>
        </is>
      </c>
      <c r="B283" s="307" t="inlineStr">
        <is>
          <t>3왕십리</t>
        </is>
      </c>
      <c r="C283" s="307" t="inlineStr">
        <is>
          <t>중</t>
        </is>
      </c>
      <c r="D283" s="285" t="n">
        <v>573</v>
      </c>
      <c r="E283" s="286" t="inlineStr">
        <is>
          <t>청계벽산</t>
        </is>
      </c>
      <c r="F283" s="285" t="n">
        <v>1996.06</v>
      </c>
      <c r="G283" s="285" t="n">
        <v>1332</v>
      </c>
      <c r="H283" s="285">
        <f>2026-INT(F283)+1</f>
        <v/>
      </c>
      <c r="I283" s="285" t="n"/>
      <c r="J283" s="285" t="n">
        <v>107</v>
      </c>
      <c r="K283" s="285" t="n">
        <v>84</v>
      </c>
      <c r="L283" s="285" t="n">
        <v>32</v>
      </c>
      <c r="M283" s="285" t="inlineStr">
        <is>
          <t>계단식</t>
        </is>
      </c>
      <c r="N283" s="285" t="n">
        <v>3</v>
      </c>
      <c r="O283" s="285" t="n">
        <v>2</v>
      </c>
      <c r="P283" s="285" t="n">
        <v>336</v>
      </c>
      <c r="Q283" s="316" t="n"/>
      <c r="R283" s="285" t="n"/>
      <c r="S283" s="285" t="n"/>
      <c r="T283" s="285" t="n"/>
      <c r="U283" s="285" t="n"/>
      <c r="V283" s="285" t="n">
        <v>13.4</v>
      </c>
      <c r="W283" s="285" t="n">
        <v>8.5</v>
      </c>
      <c r="X283" s="285" t="n"/>
      <c r="Y283" s="285" t="n"/>
      <c r="Z283" s="285" t="n"/>
      <c r="AA283" s="285" t="n"/>
      <c r="AB283" s="285" t="n"/>
      <c r="AC283" s="285" t="n"/>
      <c r="AD283" s="285" t="n"/>
      <c r="AE283" s="285" t="n"/>
      <c r="AF283" s="285" t="n"/>
      <c r="AG283" s="285" t="n"/>
      <c r="AH283" s="285" t="n"/>
      <c r="AI283" s="285" t="n"/>
      <c r="AJ283" s="285" t="n"/>
      <c r="AK283" s="285" t="n"/>
      <c r="AL283" s="285" t="n"/>
    </row>
    <row r="284">
      <c r="A284" s="285" t="inlineStr">
        <is>
          <t>하왕십리동</t>
        </is>
      </c>
      <c r="B284" s="307" t="inlineStr">
        <is>
          <t>3왕십리</t>
        </is>
      </c>
      <c r="C284" s="307" t="inlineStr">
        <is>
          <t>중</t>
        </is>
      </c>
      <c r="D284" s="285" t="n">
        <v>573</v>
      </c>
      <c r="E284" s="286" t="inlineStr">
        <is>
          <t>청계벽산</t>
        </is>
      </c>
      <c r="F284" s="285" t="n">
        <v>1996.06</v>
      </c>
      <c r="G284" s="285" t="n">
        <v>1332</v>
      </c>
      <c r="H284" s="285">
        <f>2026-INT(F284)+1</f>
        <v/>
      </c>
      <c r="I284" s="285" t="n"/>
      <c r="J284" s="285" t="n">
        <v>139</v>
      </c>
      <c r="K284" s="285" t="n">
        <v>114</v>
      </c>
      <c r="L284" s="285" t="n">
        <v>42</v>
      </c>
      <c r="M284" s="285" t="inlineStr">
        <is>
          <t>계단식</t>
        </is>
      </c>
      <c r="N284" s="285" t="n">
        <v>4</v>
      </c>
      <c r="O284" s="285" t="n">
        <v>2</v>
      </c>
      <c r="P284" s="285" t="n">
        <v>396</v>
      </c>
      <c r="Q284" s="316" t="n"/>
      <c r="R284" s="285" t="n"/>
      <c r="S284" s="285" t="n"/>
      <c r="T284" s="285" t="n"/>
      <c r="U284" s="285" t="n"/>
      <c r="V284" s="285" t="n">
        <v>14.75</v>
      </c>
      <c r="W284" s="285" t="n">
        <v>6.93</v>
      </c>
      <c r="X284" s="285" t="n"/>
      <c r="Y284" s="285" t="n"/>
      <c r="Z284" s="285" t="n"/>
      <c r="AA284" s="285" t="n"/>
      <c r="AB284" s="285" t="n"/>
      <c r="AC284" s="285" t="n"/>
      <c r="AD284" s="285" t="n"/>
      <c r="AE284" s="285" t="n"/>
      <c r="AF284" s="285" t="n"/>
      <c r="AG284" s="285" t="n"/>
      <c r="AH284" s="285" t="n"/>
      <c r="AI284" s="285" t="n"/>
      <c r="AJ284" s="285" t="n"/>
      <c r="AK284" s="285" t="n"/>
      <c r="AL284" s="285" t="n"/>
    </row>
    <row r="285">
      <c r="A285" s="458" t="inlineStr">
        <is>
          <t>하왕십리동</t>
        </is>
      </c>
      <c r="B285" s="159" t="inlineStr">
        <is>
          <t>3왕십리</t>
        </is>
      </c>
      <c r="C285" s="159" t="inlineStr">
        <is>
          <t>상</t>
        </is>
      </c>
      <c r="D285" s="458" t="n">
        <v>107240</v>
      </c>
      <c r="E285" s="288" t="inlineStr">
        <is>
          <t>텐즈힐1</t>
        </is>
      </c>
      <c r="F285" s="458" t="n">
        <v>2015.04</v>
      </c>
      <c r="G285" s="458" t="n">
        <v>1702</v>
      </c>
      <c r="H285" s="458">
        <f>2026-INT(F285)+1</f>
        <v/>
      </c>
      <c r="J285" s="458" t="n">
        <v>83</v>
      </c>
      <c r="K285" s="458" t="n">
        <v>59</v>
      </c>
      <c r="L285" s="458" t="n">
        <v>25</v>
      </c>
      <c r="M285" s="458" t="inlineStr">
        <is>
          <t>계단식</t>
        </is>
      </c>
      <c r="N285" s="458" t="n">
        <v>3</v>
      </c>
      <c r="O285" s="458" t="n">
        <v>2</v>
      </c>
      <c r="P285" s="458" t="n">
        <v>172</v>
      </c>
      <c r="Q285" s="318" t="n"/>
      <c r="V285" s="458" t="n">
        <v>14.85</v>
      </c>
      <c r="W285" s="458" t="n">
        <v>12</v>
      </c>
    </row>
    <row r="286">
      <c r="A286" s="458" t="inlineStr">
        <is>
          <t>하왕십리동</t>
        </is>
      </c>
      <c r="B286" s="159" t="inlineStr">
        <is>
          <t>3왕십리</t>
        </is>
      </c>
      <c r="C286" s="159" t="inlineStr">
        <is>
          <t>상</t>
        </is>
      </c>
      <c r="D286" s="458" t="n">
        <v>107240</v>
      </c>
      <c r="E286" s="288" t="inlineStr">
        <is>
          <t>텐즈힐1</t>
        </is>
      </c>
      <c r="F286" s="458" t="n">
        <v>2015.04</v>
      </c>
      <c r="G286" s="458" t="n">
        <v>1702</v>
      </c>
      <c r="H286" s="458">
        <f>2026-INT(F286)+1</f>
        <v/>
      </c>
      <c r="J286" s="458" t="n">
        <v>100</v>
      </c>
      <c r="K286" s="458" t="n">
        <v>72</v>
      </c>
      <c r="L286" s="458" t="n">
        <v>30</v>
      </c>
      <c r="M286" s="458" t="inlineStr">
        <is>
          <t>계단식</t>
        </is>
      </c>
      <c r="N286" s="458" t="n">
        <v>3</v>
      </c>
      <c r="O286" s="458" t="n">
        <v>2</v>
      </c>
      <c r="P286" s="458" t="n">
        <v>50</v>
      </c>
      <c r="Q286" s="318" t="n"/>
      <c r="V286" s="458" t="n">
        <v>15.8</v>
      </c>
      <c r="W286" s="458" t="n"/>
    </row>
    <row r="287">
      <c r="A287" s="458" t="inlineStr">
        <is>
          <t>하왕십리동</t>
        </is>
      </c>
      <c r="B287" s="159" t="inlineStr">
        <is>
          <t>3왕십리</t>
        </is>
      </c>
      <c r="C287" s="159" t="inlineStr">
        <is>
          <t>상</t>
        </is>
      </c>
      <c r="D287" s="458" t="n">
        <v>107240</v>
      </c>
      <c r="E287" s="288" t="inlineStr">
        <is>
          <t>텐즈힐1</t>
        </is>
      </c>
      <c r="F287" s="458" t="n">
        <v>2015.04</v>
      </c>
      <c r="G287" s="458" t="n">
        <v>1702</v>
      </c>
      <c r="H287" s="458">
        <f>2026-INT(F287)+1</f>
        <v/>
      </c>
      <c r="J287" s="458" t="n">
        <v>107</v>
      </c>
      <c r="K287" s="458" t="n">
        <v>84</v>
      </c>
      <c r="L287" s="458" t="n">
        <v>32</v>
      </c>
      <c r="M287" s="458" t="inlineStr">
        <is>
          <t>계단식</t>
        </is>
      </c>
      <c r="N287" s="458" t="n">
        <v>3</v>
      </c>
      <c r="O287" s="458" t="n">
        <v>2</v>
      </c>
      <c r="P287" s="458" t="n">
        <v>807</v>
      </c>
      <c r="Q287" s="318" t="n"/>
      <c r="V287" s="458" t="n">
        <v>17.5</v>
      </c>
      <c r="W287" s="458" t="n">
        <v>9.300000000000001</v>
      </c>
    </row>
    <row r="288">
      <c r="A288" s="458" t="inlineStr">
        <is>
          <t>하왕십리동</t>
        </is>
      </c>
      <c r="B288" s="159" t="inlineStr">
        <is>
          <t>3왕십리</t>
        </is>
      </c>
      <c r="C288" s="159" t="inlineStr">
        <is>
          <t>상</t>
        </is>
      </c>
      <c r="D288" s="458" t="n">
        <v>107240</v>
      </c>
      <c r="E288" s="288" t="inlineStr">
        <is>
          <t>텐즈힐1</t>
        </is>
      </c>
      <c r="F288" s="458" t="n">
        <v>2015.04</v>
      </c>
      <c r="G288" s="458" t="n">
        <v>1702</v>
      </c>
      <c r="H288" s="458">
        <f>2026-INT(F288)+1</f>
        <v/>
      </c>
      <c r="J288" s="458" t="n">
        <v>160</v>
      </c>
      <c r="K288" s="458" t="n">
        <v>129</v>
      </c>
      <c r="L288" s="458" t="n">
        <v>48</v>
      </c>
      <c r="M288" s="458" t="inlineStr">
        <is>
          <t>계단식</t>
        </is>
      </c>
      <c r="N288" s="458" t="n">
        <v>4</v>
      </c>
      <c r="O288" s="458" t="n">
        <v>2</v>
      </c>
      <c r="P288" s="458" t="n">
        <v>204</v>
      </c>
      <c r="Q288" s="318" t="n"/>
      <c r="V288" s="458" t="n">
        <v>23</v>
      </c>
      <c r="W288" s="458" t="n">
        <v>19.8</v>
      </c>
    </row>
    <row r="289">
      <c r="A289" s="458" t="inlineStr">
        <is>
          <t>하왕십리동</t>
        </is>
      </c>
      <c r="B289" s="159" t="inlineStr">
        <is>
          <t>3왕십리</t>
        </is>
      </c>
      <c r="C289" s="159" t="inlineStr">
        <is>
          <t>상</t>
        </is>
      </c>
      <c r="D289" s="458" t="n">
        <v>107240</v>
      </c>
      <c r="E289" s="288" t="inlineStr">
        <is>
          <t>텐즈힐1</t>
        </is>
      </c>
      <c r="F289" s="458" t="n">
        <v>2015.04</v>
      </c>
      <c r="G289" s="458" t="n">
        <v>1702</v>
      </c>
      <c r="H289" s="458">
        <f>2026-INT(F289)+1</f>
        <v/>
      </c>
      <c r="J289" s="458" t="n">
        <v>176</v>
      </c>
      <c r="K289" s="458" t="n">
        <v>148</v>
      </c>
      <c r="L289" s="458" t="n">
        <v>53</v>
      </c>
      <c r="M289" s="458" t="inlineStr">
        <is>
          <t>계단식</t>
        </is>
      </c>
      <c r="N289" s="458" t="n">
        <v>4</v>
      </c>
      <c r="O289" s="458" t="n">
        <v>2</v>
      </c>
      <c r="P289" s="458" t="n">
        <v>136</v>
      </c>
      <c r="Q289" s="318" t="n"/>
      <c r="V289" s="458" t="n">
        <v>21</v>
      </c>
      <c r="W289" s="458" t="n">
        <v>18.5</v>
      </c>
    </row>
    <row r="290">
      <c r="A290" s="285" t="inlineStr">
        <is>
          <t>하왕십리동</t>
        </is>
      </c>
      <c r="B290" s="307" t="inlineStr">
        <is>
          <t>3왕십리</t>
        </is>
      </c>
      <c r="C290" s="307" t="inlineStr">
        <is>
          <t>하</t>
        </is>
      </c>
      <c r="D290" s="285" t="n">
        <v>574</v>
      </c>
      <c r="E290" s="286" t="inlineStr">
        <is>
          <t>한신무학</t>
        </is>
      </c>
      <c r="F290" s="285" t="n">
        <v>1989.03</v>
      </c>
      <c r="G290" s="285" t="n">
        <v>480</v>
      </c>
      <c r="H290" s="285">
        <f>2026-INT(F290)+1</f>
        <v/>
      </c>
      <c r="I290" s="285" t="n"/>
      <c r="J290" s="285" t="n">
        <v>74</v>
      </c>
      <c r="K290" s="285" t="n">
        <v>62</v>
      </c>
      <c r="L290" s="285" t="n">
        <v>22</v>
      </c>
      <c r="M290" s="285" t="inlineStr">
        <is>
          <t>계단식</t>
        </is>
      </c>
      <c r="N290" s="285" t="n">
        <v>2</v>
      </c>
      <c r="O290" s="285" t="n">
        <v>1</v>
      </c>
      <c r="P290" s="285" t="n">
        <v>90</v>
      </c>
      <c r="Q290" s="316" t="n"/>
      <c r="R290" s="285" t="n"/>
      <c r="S290" s="285" t="n"/>
      <c r="T290" s="285" t="n"/>
      <c r="U290" s="285" t="n"/>
      <c r="V290" s="285" t="n">
        <v>9.199999999999999</v>
      </c>
      <c r="W290" s="285" t="n">
        <v>8.1</v>
      </c>
      <c r="X290" s="285" t="n"/>
      <c r="Y290" s="285" t="n"/>
      <c r="Z290" s="285" t="n"/>
      <c r="AA290" s="285" t="n"/>
      <c r="AB290" s="285" t="n"/>
      <c r="AC290" s="285" t="n"/>
      <c r="AD290" s="285" t="n"/>
      <c r="AE290" s="285" t="n"/>
      <c r="AF290" s="285" t="n"/>
      <c r="AG290" s="285" t="n"/>
      <c r="AH290" s="285" t="n"/>
      <c r="AI290" s="285" t="n"/>
      <c r="AJ290" s="285" t="n"/>
      <c r="AK290" s="285" t="n"/>
      <c r="AL290" s="285" t="n"/>
    </row>
    <row r="291">
      <c r="A291" s="287" t="inlineStr">
        <is>
          <t>하왕십리동</t>
        </is>
      </c>
      <c r="B291" s="307" t="inlineStr">
        <is>
          <t>3왕십리</t>
        </is>
      </c>
      <c r="C291" s="307" t="inlineStr">
        <is>
          <t>하</t>
        </is>
      </c>
      <c r="D291" s="287" t="n">
        <v>574</v>
      </c>
      <c r="E291" s="286" t="inlineStr">
        <is>
          <t>한신무학</t>
        </is>
      </c>
      <c r="F291" s="287" t="n">
        <v>1989.03</v>
      </c>
      <c r="G291" s="287" t="n">
        <v>480</v>
      </c>
      <c r="H291" s="287">
        <f>2026-INT(F291)+1</f>
        <v/>
      </c>
      <c r="I291" s="285" t="n"/>
      <c r="J291" s="287" t="n">
        <v>90</v>
      </c>
      <c r="K291" s="287" t="n">
        <v>75</v>
      </c>
      <c r="L291" s="287" t="n">
        <v>27</v>
      </c>
      <c r="M291" s="287" t="inlineStr">
        <is>
          <t>계단식</t>
        </is>
      </c>
      <c r="N291" s="287" t="n">
        <v>3</v>
      </c>
      <c r="O291" s="287" t="n">
        <v>2</v>
      </c>
      <c r="P291" s="287" t="n">
        <v>141</v>
      </c>
      <c r="Q291" s="317" t="n"/>
      <c r="R291" s="285" t="n"/>
      <c r="S291" s="285" t="n"/>
      <c r="T291" s="285" t="n"/>
      <c r="U291" s="285" t="n"/>
      <c r="V291" s="287" t="n">
        <v>9</v>
      </c>
      <c r="W291" s="287" t="n">
        <v>7.6</v>
      </c>
      <c r="X291" s="285" t="n"/>
      <c r="Y291" s="285" t="n"/>
      <c r="Z291" s="285" t="n"/>
      <c r="AA291" s="285" t="n"/>
      <c r="AB291" s="285" t="n"/>
      <c r="AC291" s="285" t="n"/>
      <c r="AD291" s="285" t="n"/>
      <c r="AE291" s="285" t="n"/>
      <c r="AF291" s="285" t="n"/>
      <c r="AG291" s="285" t="n"/>
      <c r="AH291" s="285" t="n"/>
      <c r="AI291" s="285" t="n"/>
      <c r="AJ291" s="285" t="n"/>
      <c r="AK291" s="285" t="n"/>
      <c r="AL291" s="285" t="n"/>
    </row>
    <row r="292">
      <c r="A292" s="287" t="inlineStr">
        <is>
          <t>하왕십리동</t>
        </is>
      </c>
      <c r="B292" s="307" t="inlineStr">
        <is>
          <t>3왕십리</t>
        </is>
      </c>
      <c r="C292" s="307" t="inlineStr">
        <is>
          <t>하</t>
        </is>
      </c>
      <c r="D292" s="287" t="n">
        <v>574</v>
      </c>
      <c r="E292" s="286" t="inlineStr">
        <is>
          <t>한신무학</t>
        </is>
      </c>
      <c r="F292" s="287" t="n">
        <v>1989.03</v>
      </c>
      <c r="G292" s="287" t="n">
        <v>480</v>
      </c>
      <c r="H292" s="287">
        <f>2026-INT(F292)+1</f>
        <v/>
      </c>
      <c r="I292" s="285" t="n"/>
      <c r="J292" s="287" t="n">
        <v>93</v>
      </c>
      <c r="K292" s="287" t="n">
        <v>70</v>
      </c>
      <c r="L292" s="287" t="n">
        <v>28</v>
      </c>
      <c r="M292" s="287" t="inlineStr">
        <is>
          <t>계단식</t>
        </is>
      </c>
      <c r="N292" s="287" t="n">
        <v>3</v>
      </c>
      <c r="O292" s="287" t="n">
        <v>2</v>
      </c>
      <c r="P292" s="287" t="n">
        <v>12</v>
      </c>
      <c r="Q292" s="317" t="n"/>
      <c r="R292" s="285" t="n"/>
      <c r="S292" s="285" t="n"/>
      <c r="T292" s="285" t="n"/>
      <c r="U292" s="285" t="n"/>
      <c r="V292" s="287" t="n">
        <v>9.9</v>
      </c>
      <c r="W292" s="287" t="n"/>
      <c r="X292" s="285" t="n"/>
      <c r="Y292" s="285" t="n"/>
      <c r="Z292" s="285" t="n"/>
      <c r="AA292" s="285" t="n"/>
      <c r="AB292" s="285" t="n"/>
      <c r="AC292" s="285" t="n"/>
      <c r="AD292" s="285" t="n"/>
      <c r="AE292" s="285" t="n"/>
      <c r="AF292" s="285" t="n"/>
      <c r="AG292" s="285" t="n"/>
      <c r="AH292" s="285" t="n"/>
      <c r="AI292" s="285" t="n"/>
      <c r="AJ292" s="285" t="n"/>
      <c r="AK292" s="285" t="n"/>
      <c r="AL292" s="285" t="n"/>
    </row>
    <row r="293">
      <c r="A293" s="287" t="inlineStr">
        <is>
          <t>하왕십리동</t>
        </is>
      </c>
      <c r="B293" s="307" t="inlineStr">
        <is>
          <t>3왕십리</t>
        </is>
      </c>
      <c r="C293" s="307" t="inlineStr">
        <is>
          <t>하</t>
        </is>
      </c>
      <c r="D293" s="287" t="n">
        <v>574</v>
      </c>
      <c r="E293" s="286" t="inlineStr">
        <is>
          <t>한신무학</t>
        </is>
      </c>
      <c r="F293" s="287" t="n">
        <v>1989.03</v>
      </c>
      <c r="G293" s="287" t="n">
        <v>480</v>
      </c>
      <c r="H293" s="287">
        <f>2026-INT(F293)+1</f>
        <v/>
      </c>
      <c r="I293" s="285" t="n"/>
      <c r="J293" s="287" t="n">
        <v>113</v>
      </c>
      <c r="K293" s="287" t="n">
        <v>94</v>
      </c>
      <c r="L293" s="287" t="n">
        <v>34</v>
      </c>
      <c r="M293" s="287" t="inlineStr">
        <is>
          <t>계단식</t>
        </is>
      </c>
      <c r="N293" s="287" t="n">
        <v>3</v>
      </c>
      <c r="O293" s="287" t="n">
        <v>2</v>
      </c>
      <c r="P293" s="287" t="n">
        <v>115</v>
      </c>
      <c r="Q293" s="317" t="n"/>
      <c r="R293" s="285" t="n"/>
      <c r="S293" s="285" t="n"/>
      <c r="T293" s="285" t="n"/>
      <c r="U293" s="285" t="n"/>
      <c r="V293" s="285" t="n">
        <v>12.39</v>
      </c>
      <c r="W293" s="287" t="n"/>
      <c r="X293" s="285" t="n"/>
      <c r="Y293" s="285" t="n"/>
      <c r="Z293" s="285" t="n"/>
      <c r="AA293" s="285" t="n"/>
      <c r="AB293" s="285" t="n"/>
      <c r="AC293" s="285" t="n"/>
      <c r="AD293" s="285" t="n"/>
      <c r="AE293" s="285" t="n"/>
      <c r="AF293" s="285" t="n"/>
      <c r="AG293" s="285" t="n"/>
      <c r="AH293" s="285" t="n"/>
      <c r="AI293" s="285" t="n"/>
      <c r="AJ293" s="285" t="n"/>
      <c r="AK293" s="285" t="n"/>
      <c r="AL293" s="285" t="n"/>
    </row>
    <row r="294">
      <c r="A294" s="287" t="inlineStr">
        <is>
          <t>하왕십리동</t>
        </is>
      </c>
      <c r="B294" s="307" t="inlineStr">
        <is>
          <t>3왕십리</t>
        </is>
      </c>
      <c r="C294" s="307" t="inlineStr">
        <is>
          <t>하</t>
        </is>
      </c>
      <c r="D294" s="287" t="n">
        <v>574</v>
      </c>
      <c r="E294" s="286" t="inlineStr">
        <is>
          <t>한신무학</t>
        </is>
      </c>
      <c r="F294" s="287" t="n">
        <v>1989.03</v>
      </c>
      <c r="G294" s="287" t="n">
        <v>480</v>
      </c>
      <c r="H294" s="287">
        <f>2026-INT(F294)+1</f>
        <v/>
      </c>
      <c r="I294" s="285" t="n"/>
      <c r="J294" s="287" t="n">
        <v>119</v>
      </c>
      <c r="K294" s="287" t="n">
        <v>88</v>
      </c>
      <c r="L294" s="287" t="n">
        <v>36</v>
      </c>
      <c r="M294" s="287" t="inlineStr">
        <is>
          <t>계단식</t>
        </is>
      </c>
      <c r="N294" s="287" t="n">
        <v>3</v>
      </c>
      <c r="O294" s="287" t="n">
        <v>2</v>
      </c>
      <c r="P294" s="287" t="n">
        <v>4</v>
      </c>
      <c r="Q294" s="317" t="n"/>
      <c r="R294" s="285" t="n"/>
      <c r="S294" s="285" t="n"/>
      <c r="T294" s="285" t="n"/>
      <c r="U294" s="285" t="n"/>
      <c r="V294" s="287" t="n"/>
      <c r="W294" s="287" t="n"/>
      <c r="X294" s="285" t="n"/>
      <c r="Y294" s="285" t="n"/>
      <c r="Z294" s="285" t="n"/>
      <c r="AA294" s="285" t="n"/>
      <c r="AB294" s="285" t="n"/>
      <c r="AC294" s="285" t="n"/>
      <c r="AD294" s="285" t="n"/>
      <c r="AE294" s="285" t="n"/>
      <c r="AF294" s="285" t="n"/>
      <c r="AG294" s="285" t="n"/>
      <c r="AH294" s="285" t="n"/>
      <c r="AI294" s="285" t="n"/>
      <c r="AJ294" s="285" t="n"/>
      <c r="AK294" s="285" t="n"/>
      <c r="AL294" s="285" t="n"/>
    </row>
    <row r="295">
      <c r="A295" s="287" t="inlineStr">
        <is>
          <t>하왕십리동</t>
        </is>
      </c>
      <c r="B295" s="307" t="inlineStr">
        <is>
          <t>3왕십리</t>
        </is>
      </c>
      <c r="C295" s="307" t="inlineStr">
        <is>
          <t>하</t>
        </is>
      </c>
      <c r="D295" s="287" t="n">
        <v>574</v>
      </c>
      <c r="E295" s="286" t="inlineStr">
        <is>
          <t>한신무학</t>
        </is>
      </c>
      <c r="F295" s="287" t="n">
        <v>1989.03</v>
      </c>
      <c r="G295" s="287" t="n">
        <v>480</v>
      </c>
      <c r="H295" s="287">
        <f>2026-INT(F295)+1</f>
        <v/>
      </c>
      <c r="I295" s="285" t="n"/>
      <c r="J295" s="287" t="n">
        <v>136</v>
      </c>
      <c r="K295" s="287" t="n">
        <v>114</v>
      </c>
      <c r="L295" s="287" t="n">
        <v>41</v>
      </c>
      <c r="M295" s="287" t="inlineStr">
        <is>
          <t>계단식</t>
        </is>
      </c>
      <c r="N295" s="287" t="n">
        <v>4</v>
      </c>
      <c r="O295" s="287" t="n">
        <v>2</v>
      </c>
      <c r="P295" s="287" t="n">
        <v>114</v>
      </c>
      <c r="Q295" s="317" t="n"/>
      <c r="R295" s="285" t="n"/>
      <c r="S295" s="285" t="n"/>
      <c r="T295" s="285" t="n"/>
      <c r="U295" s="285" t="n"/>
      <c r="V295" s="285" t="n">
        <v>13.4</v>
      </c>
      <c r="W295" s="287" t="n"/>
      <c r="X295" s="285" t="n"/>
      <c r="Y295" s="285" t="n"/>
      <c r="Z295" s="285" t="n"/>
      <c r="AA295" s="285" t="n"/>
      <c r="AB295" s="285" t="n"/>
      <c r="AC295" s="285" t="n"/>
      <c r="AD295" s="285" t="n"/>
      <c r="AE295" s="285" t="n"/>
      <c r="AF295" s="285" t="n"/>
      <c r="AG295" s="285" t="n"/>
      <c r="AH295" s="285" t="n"/>
      <c r="AI295" s="285" t="n"/>
      <c r="AJ295" s="285" t="n"/>
      <c r="AK295" s="285" t="n"/>
      <c r="AL295" s="285" t="n"/>
    </row>
    <row r="296">
      <c r="A296" s="285" t="inlineStr">
        <is>
          <t>하왕십리동</t>
        </is>
      </c>
      <c r="B296" s="307" t="inlineStr">
        <is>
          <t>3왕십리</t>
        </is>
      </c>
      <c r="C296" s="307" t="inlineStr">
        <is>
          <t>하</t>
        </is>
      </c>
      <c r="D296" s="285" t="n">
        <v>574</v>
      </c>
      <c r="E296" s="286" t="inlineStr">
        <is>
          <t>한신무학</t>
        </is>
      </c>
      <c r="F296" s="285" t="n">
        <v>1989.03</v>
      </c>
      <c r="G296" s="285" t="n">
        <v>480</v>
      </c>
      <c r="H296" s="285">
        <f>2026-INT(F296)+1</f>
        <v/>
      </c>
      <c r="I296" s="285" t="n"/>
      <c r="J296" s="285" t="n">
        <v>143</v>
      </c>
      <c r="K296" s="285" t="n">
        <v>106</v>
      </c>
      <c r="L296" s="285" t="n">
        <v>43</v>
      </c>
      <c r="M296" s="285" t="inlineStr">
        <is>
          <t>계단식</t>
        </is>
      </c>
      <c r="N296" s="285" t="n">
        <v>4</v>
      </c>
      <c r="O296" s="285" t="n">
        <v>2</v>
      </c>
      <c r="P296" s="285" t="n">
        <v>4</v>
      </c>
      <c r="Q296" s="316" t="n"/>
      <c r="R296" s="285" t="n"/>
      <c r="S296" s="285" t="n"/>
      <c r="T296" s="285" t="n"/>
      <c r="U296" s="285" t="n"/>
      <c r="V296" s="285" t="n"/>
      <c r="W296" s="285" t="n"/>
      <c r="X296" s="285" t="n"/>
      <c r="Y296" s="285" t="n"/>
      <c r="Z296" s="285" t="n"/>
      <c r="AA296" s="285" t="n"/>
      <c r="AB296" s="285" t="n"/>
      <c r="AC296" s="285" t="n"/>
      <c r="AD296" s="285" t="n"/>
      <c r="AE296" s="285" t="n"/>
      <c r="AF296" s="285" t="n"/>
      <c r="AG296" s="285" t="n"/>
      <c r="AH296" s="285" t="n"/>
      <c r="AI296" s="285" t="n"/>
      <c r="AJ296" s="285" t="n"/>
      <c r="AK296" s="285" t="n"/>
      <c r="AL296" s="285" t="n"/>
    </row>
    <row r="297">
      <c r="A297" s="458" t="inlineStr">
        <is>
          <t>하왕십리동</t>
        </is>
      </c>
      <c r="B297" s="159" t="inlineStr">
        <is>
          <t>3왕십리</t>
        </is>
      </c>
      <c r="C297" s="159" t="inlineStr">
        <is>
          <t>중</t>
        </is>
      </c>
      <c r="D297" s="458" t="n">
        <v>8545</v>
      </c>
      <c r="E297" s="288" t="inlineStr">
        <is>
          <t>한진해모로</t>
        </is>
      </c>
      <c r="F297" s="458" t="n">
        <v>2001.06</v>
      </c>
      <c r="G297" s="458" t="n">
        <v>362</v>
      </c>
      <c r="H297" s="458">
        <f>2026-INT(F297)+1</f>
        <v/>
      </c>
      <c r="J297" s="458" t="n">
        <v>77</v>
      </c>
      <c r="K297" s="458" t="n">
        <v>59</v>
      </c>
      <c r="L297" s="458" t="n">
        <v>23</v>
      </c>
      <c r="M297" s="458" t="inlineStr">
        <is>
          <t>복도식</t>
        </is>
      </c>
      <c r="N297" s="458" t="n">
        <v>2</v>
      </c>
      <c r="O297" s="458" t="n">
        <v>1</v>
      </c>
      <c r="P297" s="458" t="n">
        <v>66</v>
      </c>
      <c r="Q297" s="318" t="n"/>
      <c r="V297" s="458" t="n">
        <v>8.800000000000001</v>
      </c>
      <c r="W297" s="458" t="n">
        <v>6.95</v>
      </c>
    </row>
    <row r="298">
      <c r="A298" s="458" t="inlineStr">
        <is>
          <t>하왕십리동</t>
        </is>
      </c>
      <c r="B298" s="159" t="inlineStr">
        <is>
          <t>3왕십리</t>
        </is>
      </c>
      <c r="C298" s="159" t="inlineStr">
        <is>
          <t>중</t>
        </is>
      </c>
      <c r="D298" s="458" t="n">
        <v>8545</v>
      </c>
      <c r="E298" s="288" t="inlineStr">
        <is>
          <t>한진해모로</t>
        </is>
      </c>
      <c r="F298" s="458" t="n">
        <v>2001.06</v>
      </c>
      <c r="G298" s="458" t="n">
        <v>362</v>
      </c>
      <c r="H298" s="458">
        <f>2026-INT(F298)+1</f>
        <v/>
      </c>
      <c r="J298" s="458" t="n">
        <v>110</v>
      </c>
      <c r="K298" s="458" t="n">
        <v>84</v>
      </c>
      <c r="L298" s="458" t="n">
        <v>33</v>
      </c>
      <c r="M298" s="458" t="inlineStr">
        <is>
          <t>계단식</t>
        </is>
      </c>
      <c r="N298" s="458" t="n">
        <v>3</v>
      </c>
      <c r="O298" s="458" t="n">
        <v>2</v>
      </c>
      <c r="P298" s="458" t="n">
        <v>111</v>
      </c>
      <c r="Q298" s="318" t="n"/>
    </row>
    <row r="299">
      <c r="A299" s="458" t="inlineStr">
        <is>
          <t>하왕십리동</t>
        </is>
      </c>
      <c r="B299" s="159" t="inlineStr">
        <is>
          <t>3왕십리</t>
        </is>
      </c>
      <c r="C299" s="159" t="inlineStr">
        <is>
          <t>중</t>
        </is>
      </c>
      <c r="D299" s="458" t="n">
        <v>8545</v>
      </c>
      <c r="E299" s="288" t="inlineStr">
        <is>
          <t>한진해모로</t>
        </is>
      </c>
      <c r="F299" s="458" t="n">
        <v>2001.06</v>
      </c>
      <c r="G299" s="458" t="n">
        <v>362</v>
      </c>
      <c r="H299" s="458">
        <f>2026-INT(F299)+1</f>
        <v/>
      </c>
      <c r="J299" s="458" t="n">
        <v>146</v>
      </c>
      <c r="K299" s="458" t="n">
        <v>112</v>
      </c>
      <c r="L299" s="458" t="n">
        <v>44</v>
      </c>
      <c r="M299" s="458" t="inlineStr">
        <is>
          <t>계단식</t>
        </is>
      </c>
      <c r="N299" s="458" t="n">
        <v>4</v>
      </c>
      <c r="O299" s="458" t="n">
        <v>2</v>
      </c>
      <c r="P299" s="458" t="n">
        <v>69</v>
      </c>
      <c r="Q299" s="318" t="n"/>
      <c r="V299" s="458" t="n">
        <v>12.5</v>
      </c>
      <c r="W299" s="458" t="n">
        <v>9.5</v>
      </c>
    </row>
    <row r="300">
      <c r="A300" s="287" t="inlineStr">
        <is>
          <t>행당동</t>
        </is>
      </c>
      <c r="B300" s="307" t="inlineStr">
        <is>
          <t>4행당응봉</t>
        </is>
      </c>
      <c r="C300" s="307" t="inlineStr">
        <is>
          <t>중</t>
        </is>
      </c>
      <c r="D300" s="287" t="n">
        <v>8854</v>
      </c>
      <c r="E300" s="286" t="inlineStr">
        <is>
          <t>두산</t>
        </is>
      </c>
      <c r="F300" s="287" t="n">
        <v>1997.07</v>
      </c>
      <c r="G300" s="287" t="n">
        <v>251</v>
      </c>
      <c r="H300" s="287">
        <f>2026-INT(F300)+1</f>
        <v/>
      </c>
      <c r="I300" s="285" t="n"/>
      <c r="J300" s="287" t="n">
        <v>79</v>
      </c>
      <c r="K300" s="287" t="n">
        <v>59</v>
      </c>
      <c r="L300" s="287" t="n">
        <v>24</v>
      </c>
      <c r="M300" s="287" t="inlineStr">
        <is>
          <t>계단식</t>
        </is>
      </c>
      <c r="N300" s="287" t="n">
        <v>3</v>
      </c>
      <c r="O300" s="287" t="n">
        <v>1</v>
      </c>
      <c r="P300" s="287" t="n">
        <v>120</v>
      </c>
      <c r="Q300" s="317" t="n"/>
      <c r="R300" s="285" t="n"/>
      <c r="S300" s="285" t="n"/>
      <c r="T300" s="285" t="n"/>
      <c r="U300" s="285" t="n"/>
      <c r="V300" s="285" t="n">
        <v>10.55</v>
      </c>
      <c r="W300" s="285" t="n">
        <v>8</v>
      </c>
      <c r="X300" s="285" t="n"/>
      <c r="Y300" s="285" t="n"/>
      <c r="Z300" s="285" t="n"/>
      <c r="AA300" s="285" t="n"/>
      <c r="AB300" s="285" t="n"/>
      <c r="AC300" s="285" t="n"/>
      <c r="AD300" s="285" t="n"/>
      <c r="AE300" s="285" t="n"/>
      <c r="AF300" s="285" t="n"/>
      <c r="AG300" s="285" t="n"/>
      <c r="AH300" s="285" t="n"/>
      <c r="AI300" s="285" t="n"/>
      <c r="AJ300" s="285" t="n"/>
      <c r="AK300" s="285" t="n"/>
      <c r="AL300" s="285" t="n"/>
    </row>
    <row r="301">
      <c r="A301" s="287" t="inlineStr">
        <is>
          <t>행당동</t>
        </is>
      </c>
      <c r="B301" s="307" t="inlineStr">
        <is>
          <t>4행당응봉</t>
        </is>
      </c>
      <c r="C301" s="307" t="inlineStr">
        <is>
          <t>중</t>
        </is>
      </c>
      <c r="D301" s="287" t="n">
        <v>8854</v>
      </c>
      <c r="E301" s="286" t="inlineStr">
        <is>
          <t>두산</t>
        </is>
      </c>
      <c r="F301" s="287" t="n">
        <v>1997.07</v>
      </c>
      <c r="G301" s="287" t="n">
        <v>251</v>
      </c>
      <c r="H301" s="287">
        <f>2026-INT(F301)+1</f>
        <v/>
      </c>
      <c r="I301" s="285" t="n"/>
      <c r="J301" s="287" t="n">
        <v>104</v>
      </c>
      <c r="K301" s="287" t="n">
        <v>84</v>
      </c>
      <c r="L301" s="287" t="n">
        <v>31</v>
      </c>
      <c r="M301" s="287" t="inlineStr">
        <is>
          <t>계단식</t>
        </is>
      </c>
      <c r="N301" s="287" t="n">
        <v>3</v>
      </c>
      <c r="O301" s="287" t="n">
        <v>2</v>
      </c>
      <c r="P301" s="287" t="n">
        <v>131</v>
      </c>
      <c r="Q301" s="317" t="n"/>
      <c r="R301" s="285" t="n"/>
      <c r="S301" s="285" t="n"/>
      <c r="T301" s="285" t="n"/>
      <c r="U301" s="285" t="n"/>
      <c r="V301" s="285" t="n">
        <v>9</v>
      </c>
      <c r="W301" s="285" t="n">
        <v>5.8</v>
      </c>
      <c r="X301" s="285" t="n"/>
      <c r="Y301" s="285" t="n"/>
      <c r="Z301" s="285" t="n"/>
      <c r="AA301" s="285" t="n"/>
      <c r="AB301" s="285" t="n"/>
      <c r="AC301" s="285" t="n"/>
      <c r="AD301" s="285" t="n"/>
      <c r="AE301" s="285" t="n"/>
      <c r="AF301" s="285" t="n"/>
      <c r="AG301" s="285" t="n"/>
      <c r="AH301" s="285" t="n"/>
      <c r="AI301" s="285" t="n"/>
      <c r="AJ301" s="285" t="n"/>
      <c r="AK301" s="285" t="n"/>
      <c r="AL301" s="285" t="n"/>
    </row>
    <row r="302">
      <c r="A302" s="458" t="inlineStr">
        <is>
          <t>행당동</t>
        </is>
      </c>
      <c r="B302" s="307" t="inlineStr">
        <is>
          <t>4행당응봉</t>
        </is>
      </c>
      <c r="C302" s="307" t="inlineStr">
        <is>
          <t>중</t>
        </is>
      </c>
      <c r="D302" s="458" t="n">
        <v>26215</v>
      </c>
      <c r="E302" s="288" t="inlineStr">
        <is>
          <t>두산위브</t>
        </is>
      </c>
      <c r="F302" s="458" t="n">
        <v>2009.12</v>
      </c>
      <c r="G302" s="458" t="n">
        <v>465</v>
      </c>
      <c r="H302" s="458">
        <f>2026-INT(F302)+1</f>
        <v/>
      </c>
      <c r="J302" s="458" t="n">
        <v>82</v>
      </c>
      <c r="K302" s="458" t="n">
        <v>59</v>
      </c>
      <c r="L302" s="458" t="n">
        <v>25</v>
      </c>
      <c r="M302" s="458" t="inlineStr">
        <is>
          <t>계단식</t>
        </is>
      </c>
      <c r="N302" s="458" t="n">
        <v>3</v>
      </c>
      <c r="O302" s="458" t="n">
        <v>2</v>
      </c>
      <c r="P302" s="458" t="n">
        <v>181</v>
      </c>
      <c r="Q302" s="318" t="n"/>
      <c r="V302" s="458" t="n">
        <v>13.6</v>
      </c>
      <c r="W302" s="458" t="n">
        <v>8</v>
      </c>
    </row>
    <row r="303">
      <c r="A303" s="458" t="inlineStr">
        <is>
          <t>행당동</t>
        </is>
      </c>
      <c r="B303" s="307" t="inlineStr">
        <is>
          <t>4행당응봉</t>
        </is>
      </c>
      <c r="C303" s="307" t="inlineStr">
        <is>
          <t>중</t>
        </is>
      </c>
      <c r="D303" s="458" t="n">
        <v>26215</v>
      </c>
      <c r="E303" s="288" t="inlineStr">
        <is>
          <t>두산위브</t>
        </is>
      </c>
      <c r="F303" s="458" t="n">
        <v>2009.12</v>
      </c>
      <c r="G303" s="458" t="n">
        <v>465</v>
      </c>
      <c r="H303" s="458">
        <f>2026-INT(F303)+1</f>
        <v/>
      </c>
      <c r="J303" s="458" t="n">
        <v>99</v>
      </c>
      <c r="K303" s="458" t="n">
        <v>70</v>
      </c>
      <c r="L303" s="458" t="n">
        <v>30</v>
      </c>
      <c r="M303" s="458" t="inlineStr">
        <is>
          <t>계단식</t>
        </is>
      </c>
      <c r="N303" s="458" t="n">
        <v>3</v>
      </c>
      <c r="O303" s="458" t="n">
        <v>2</v>
      </c>
      <c r="P303" s="458" t="n">
        <v>12</v>
      </c>
      <c r="Q303" s="318" t="n"/>
    </row>
    <row r="304">
      <c r="A304" s="458" t="inlineStr">
        <is>
          <t>행당동</t>
        </is>
      </c>
      <c r="B304" s="307" t="inlineStr">
        <is>
          <t>4행당응봉</t>
        </is>
      </c>
      <c r="C304" s="307" t="inlineStr">
        <is>
          <t>중</t>
        </is>
      </c>
      <c r="D304" s="458" t="n">
        <v>26215</v>
      </c>
      <c r="E304" s="288" t="inlineStr">
        <is>
          <t>두산위브</t>
        </is>
      </c>
      <c r="F304" s="458" t="n">
        <v>2009.12</v>
      </c>
      <c r="G304" s="458" t="n">
        <v>465</v>
      </c>
      <c r="H304" s="458">
        <f>2026-INT(F304)+1</f>
        <v/>
      </c>
      <c r="J304" s="458" t="n">
        <v>107</v>
      </c>
      <c r="K304" s="458" t="n">
        <v>84</v>
      </c>
      <c r="L304" s="458" t="n">
        <v>32</v>
      </c>
      <c r="M304" s="458" t="inlineStr">
        <is>
          <t>계단식</t>
        </is>
      </c>
      <c r="N304" s="458" t="n">
        <v>3</v>
      </c>
      <c r="O304" s="458" t="n">
        <v>2</v>
      </c>
      <c r="P304" s="458" t="n">
        <v>129</v>
      </c>
      <c r="Q304" s="318" t="n"/>
      <c r="V304" s="458" t="n">
        <v>15.65</v>
      </c>
      <c r="W304" s="458" t="n">
        <v>11.5</v>
      </c>
    </row>
    <row r="305">
      <c r="A305" s="458" t="inlineStr">
        <is>
          <t>행당동</t>
        </is>
      </c>
      <c r="B305" s="307" t="inlineStr">
        <is>
          <t>4행당응봉</t>
        </is>
      </c>
      <c r="C305" s="307" t="inlineStr">
        <is>
          <t>중</t>
        </is>
      </c>
      <c r="D305" s="458" t="n">
        <v>26215</v>
      </c>
      <c r="E305" s="288" t="inlineStr">
        <is>
          <t>두산위브</t>
        </is>
      </c>
      <c r="F305" s="458" t="n">
        <v>2009.12</v>
      </c>
      <c r="G305" s="458" t="n">
        <v>465</v>
      </c>
      <c r="H305" s="458">
        <f>2026-INT(F305)+1</f>
        <v/>
      </c>
      <c r="J305" s="458" t="n">
        <v>143</v>
      </c>
      <c r="K305" s="458" t="n">
        <v>114</v>
      </c>
      <c r="L305" s="458" t="n">
        <v>43</v>
      </c>
      <c r="M305" s="458" t="inlineStr">
        <is>
          <t>계단식</t>
        </is>
      </c>
      <c r="N305" s="458" t="n">
        <v>4</v>
      </c>
      <c r="O305" s="458" t="n">
        <v>2</v>
      </c>
      <c r="P305" s="458" t="n">
        <v>29</v>
      </c>
      <c r="Q305" s="318" t="n"/>
      <c r="V305" s="458" t="n">
        <v>15.97</v>
      </c>
      <c r="W305" s="458" t="n">
        <v>15.97</v>
      </c>
    </row>
    <row r="306">
      <c r="A306" s="285" t="inlineStr">
        <is>
          <t>행당동</t>
        </is>
      </c>
      <c r="B306" s="307" t="inlineStr">
        <is>
          <t>4행당응봉</t>
        </is>
      </c>
      <c r="C306" s="307" t="inlineStr">
        <is>
          <t>최상</t>
        </is>
      </c>
      <c r="D306" s="285" t="n">
        <v>179118</v>
      </c>
      <c r="E306" s="286" t="inlineStr">
        <is>
          <t>라체르보푸르지오써밋</t>
        </is>
      </c>
      <c r="F306" s="285" t="n">
        <v>2025.07</v>
      </c>
      <c r="G306" s="285" t="n">
        <v>958</v>
      </c>
      <c r="H306" s="285">
        <f>2026-INT(F306)+1</f>
        <v/>
      </c>
      <c r="I306" s="285" t="n"/>
      <c r="J306" s="285" t="n">
        <v>61</v>
      </c>
      <c r="K306" s="285" t="n">
        <v>45</v>
      </c>
      <c r="L306" s="285" t="n">
        <v>18</v>
      </c>
      <c r="M306" s="285" t="inlineStr">
        <is>
          <t>계단식</t>
        </is>
      </c>
      <c r="N306" s="285" t="n">
        <v>2</v>
      </c>
      <c r="O306" s="285" t="n">
        <v>1</v>
      </c>
      <c r="P306" s="285" t="n">
        <v>108</v>
      </c>
      <c r="Q306" s="316" t="n"/>
      <c r="R306" s="285" t="n"/>
      <c r="S306" s="285" t="n"/>
      <c r="T306" s="285" t="n"/>
      <c r="U306" s="285" t="n"/>
      <c r="V306" s="285" t="n"/>
      <c r="W306" s="285" t="n"/>
      <c r="X306" s="285" t="n"/>
      <c r="Y306" s="285" t="n"/>
      <c r="Z306" s="285" t="n"/>
      <c r="AA306" s="285" t="n"/>
      <c r="AB306" s="285" t="n"/>
      <c r="AC306" s="285" t="n"/>
      <c r="AD306" s="285" t="n"/>
      <c r="AE306" s="285" t="n"/>
      <c r="AF306" s="285" t="n"/>
      <c r="AG306" s="285" t="n"/>
      <c r="AH306" s="285" t="n"/>
      <c r="AI306" s="285" t="n"/>
      <c r="AJ306" s="285" t="n"/>
      <c r="AK306" s="285" t="n"/>
      <c r="AL306" s="285" t="n"/>
    </row>
    <row r="307">
      <c r="A307" s="285" t="inlineStr">
        <is>
          <t>행당동</t>
        </is>
      </c>
      <c r="B307" s="307" t="inlineStr">
        <is>
          <t>4행당응봉</t>
        </is>
      </c>
      <c r="C307" s="307" t="inlineStr">
        <is>
          <t>최상</t>
        </is>
      </c>
      <c r="D307" s="285" t="n">
        <v>179118</v>
      </c>
      <c r="E307" s="286" t="inlineStr">
        <is>
          <t>라체르보푸르지오써밋</t>
        </is>
      </c>
      <c r="F307" s="285" t="n">
        <v>2025.07</v>
      </c>
      <c r="G307" s="285" t="n">
        <v>958</v>
      </c>
      <c r="H307" s="285">
        <f>2026-INT(F307)+1</f>
        <v/>
      </c>
      <c r="I307" s="285" t="n"/>
      <c r="J307" s="285" t="n">
        <v>80</v>
      </c>
      <c r="K307" s="285" t="n">
        <v>59</v>
      </c>
      <c r="L307" s="285" t="n">
        <v>24</v>
      </c>
      <c r="M307" s="285" t="inlineStr">
        <is>
          <t>계단식</t>
        </is>
      </c>
      <c r="N307" s="285" t="n">
        <v>3</v>
      </c>
      <c r="O307" s="285" t="n">
        <v>2</v>
      </c>
      <c r="P307" s="285" t="n">
        <v>284</v>
      </c>
      <c r="Q307" s="316" t="n"/>
      <c r="R307" s="285" t="n"/>
      <c r="S307" s="285" t="n"/>
      <c r="T307" s="285" t="n"/>
      <c r="U307" s="285" t="n"/>
      <c r="V307" s="285" t="n"/>
      <c r="W307" s="285" t="n"/>
      <c r="X307" s="285" t="n"/>
      <c r="Y307" s="285" t="n"/>
      <c r="Z307" s="285" t="n"/>
      <c r="AA307" s="285" t="n"/>
      <c r="AB307" s="285" t="n"/>
      <c r="AC307" s="285" t="n"/>
      <c r="AD307" s="285" t="n"/>
      <c r="AE307" s="285" t="n"/>
      <c r="AF307" s="285" t="n"/>
      <c r="AG307" s="285" t="n"/>
      <c r="AH307" s="285" t="n"/>
      <c r="AI307" s="285" t="n"/>
      <c r="AJ307" s="285" t="n"/>
      <c r="AK307" s="285" t="n"/>
      <c r="AL307" s="285" t="n"/>
    </row>
    <row r="308">
      <c r="A308" s="285" t="inlineStr">
        <is>
          <t>행당동</t>
        </is>
      </c>
      <c r="B308" s="307" t="inlineStr">
        <is>
          <t>4행당응봉</t>
        </is>
      </c>
      <c r="C308" s="307" t="inlineStr">
        <is>
          <t>최상</t>
        </is>
      </c>
      <c r="D308" s="285" t="n">
        <v>179118</v>
      </c>
      <c r="E308" s="286" t="inlineStr">
        <is>
          <t>라체르보푸르지오써밋</t>
        </is>
      </c>
      <c r="F308" s="285" t="n">
        <v>2025.07</v>
      </c>
      <c r="G308" s="285" t="n">
        <v>958</v>
      </c>
      <c r="H308" s="285">
        <f>2026-INT(F308)+1</f>
        <v/>
      </c>
      <c r="I308" s="285" t="n"/>
      <c r="J308" s="285" t="n">
        <v>89</v>
      </c>
      <c r="K308" s="285" t="n">
        <v>65</v>
      </c>
      <c r="L308" s="285" t="n">
        <v>27</v>
      </c>
      <c r="M308" s="285" t="inlineStr">
        <is>
          <t>계단식</t>
        </is>
      </c>
      <c r="N308" s="285" t="n">
        <v>3</v>
      </c>
      <c r="O308" s="285" t="n">
        <v>2</v>
      </c>
      <c r="P308" s="285" t="n">
        <v>58</v>
      </c>
      <c r="Q308" s="316" t="n"/>
      <c r="R308" s="285" t="n"/>
      <c r="S308" s="285" t="n"/>
      <c r="T308" s="285" t="n"/>
      <c r="U308" s="285" t="n"/>
      <c r="V308" s="285" t="n"/>
      <c r="W308" s="285" t="n"/>
      <c r="X308" s="285" t="n"/>
      <c r="Y308" s="285" t="n"/>
      <c r="Z308" s="285" t="n"/>
      <c r="AA308" s="285" t="n"/>
      <c r="AB308" s="285" t="n"/>
      <c r="AC308" s="285" t="n"/>
      <c r="AD308" s="285" t="n"/>
      <c r="AE308" s="285" t="n"/>
      <c r="AF308" s="285" t="n"/>
      <c r="AG308" s="285" t="n"/>
      <c r="AH308" s="285" t="n"/>
      <c r="AI308" s="285" t="n"/>
      <c r="AJ308" s="285" t="n"/>
      <c r="AK308" s="285" t="n"/>
      <c r="AL308" s="285" t="n"/>
    </row>
    <row r="309">
      <c r="A309" s="285" t="inlineStr">
        <is>
          <t>행당동</t>
        </is>
      </c>
      <c r="B309" s="307" t="inlineStr">
        <is>
          <t>4행당응봉</t>
        </is>
      </c>
      <c r="C309" s="307" t="inlineStr">
        <is>
          <t>최상</t>
        </is>
      </c>
      <c r="D309" s="285" t="n">
        <v>179118</v>
      </c>
      <c r="E309" s="286" t="inlineStr">
        <is>
          <t>라체르보푸르지오써밋</t>
        </is>
      </c>
      <c r="F309" s="285" t="n">
        <v>2025.07</v>
      </c>
      <c r="G309" s="285" t="n">
        <v>958</v>
      </c>
      <c r="H309" s="285">
        <f>2026-INT(F309)+1</f>
        <v/>
      </c>
      <c r="I309" s="285" t="n"/>
      <c r="J309" s="285" t="n">
        <v>113</v>
      </c>
      <c r="K309" s="285" t="n">
        <v>84</v>
      </c>
      <c r="L309" s="285" t="n">
        <v>34</v>
      </c>
      <c r="M309" s="285" t="inlineStr">
        <is>
          <t>계단식</t>
        </is>
      </c>
      <c r="N309" s="285" t="n">
        <v>3</v>
      </c>
      <c r="O309" s="285" t="n">
        <v>2</v>
      </c>
      <c r="P309" s="285" t="n">
        <v>314</v>
      </c>
      <c r="Q309" s="316" t="n"/>
      <c r="R309" s="285" t="n"/>
      <c r="S309" s="285" t="n"/>
      <c r="T309" s="285" t="n"/>
      <c r="U309" s="285" t="n"/>
      <c r="V309" s="285" t="n"/>
      <c r="W309" s="285" t="n"/>
      <c r="X309" s="285" t="n"/>
      <c r="Y309" s="285" t="n"/>
      <c r="Z309" s="285" t="n"/>
      <c r="AA309" s="285" t="n"/>
      <c r="AB309" s="285" t="n"/>
      <c r="AC309" s="285" t="n"/>
      <c r="AD309" s="285" t="n"/>
      <c r="AE309" s="285" t="n"/>
      <c r="AF309" s="285" t="n"/>
      <c r="AG309" s="285" t="n"/>
      <c r="AH309" s="285" t="n"/>
      <c r="AI309" s="285" t="n"/>
      <c r="AJ309" s="285" t="n"/>
      <c r="AK309" s="285" t="n"/>
      <c r="AL309" s="285" t="n"/>
    </row>
    <row r="310">
      <c r="A310" s="285" t="inlineStr">
        <is>
          <t>행당동</t>
        </is>
      </c>
      <c r="B310" s="307" t="inlineStr">
        <is>
          <t>4행당응봉</t>
        </is>
      </c>
      <c r="C310" s="307" t="inlineStr">
        <is>
          <t>최상</t>
        </is>
      </c>
      <c r="D310" s="285" t="n">
        <v>179118</v>
      </c>
      <c r="E310" s="286" t="inlineStr">
        <is>
          <t>라체르보푸르지오써밋</t>
        </is>
      </c>
      <c r="F310" s="285" t="n">
        <v>2025.07</v>
      </c>
      <c r="G310" s="285" t="n">
        <v>958</v>
      </c>
      <c r="H310" s="285">
        <f>2026-INT(F310)+1</f>
        <v/>
      </c>
      <c r="I310" s="285" t="n"/>
      <c r="J310" s="285" t="n">
        <v>156</v>
      </c>
      <c r="K310" s="285" t="n">
        <v>116</v>
      </c>
      <c r="L310" s="285" t="n">
        <v>47</v>
      </c>
      <c r="M310" s="285" t="inlineStr">
        <is>
          <t>계단식</t>
        </is>
      </c>
      <c r="N310" s="285" t="n">
        <v>3</v>
      </c>
      <c r="O310" s="285" t="n">
        <v>2</v>
      </c>
      <c r="P310" s="285" t="n">
        <v>4</v>
      </c>
      <c r="Q310" s="316" t="n"/>
      <c r="R310" s="285" t="n"/>
      <c r="S310" s="285" t="n"/>
      <c r="T310" s="285" t="n"/>
      <c r="U310" s="285" t="n"/>
      <c r="V310" s="285" t="n"/>
      <c r="W310" s="285" t="n"/>
      <c r="X310" s="285" t="n"/>
      <c r="Y310" s="285" t="n"/>
      <c r="Z310" s="285" t="n"/>
      <c r="AA310" s="285" t="n"/>
      <c r="AB310" s="285" t="n"/>
      <c r="AC310" s="285" t="n"/>
      <c r="AD310" s="285" t="n"/>
      <c r="AE310" s="285" t="n"/>
      <c r="AF310" s="285" t="n"/>
      <c r="AG310" s="285" t="n"/>
      <c r="AH310" s="285" t="n"/>
      <c r="AI310" s="285" t="n"/>
      <c r="AJ310" s="285" t="n"/>
      <c r="AK310" s="285" t="n"/>
      <c r="AL310" s="285" t="n"/>
    </row>
    <row r="311">
      <c r="A311" s="458" t="inlineStr">
        <is>
          <t>행당동</t>
        </is>
      </c>
      <c r="B311" s="159" t="inlineStr">
        <is>
          <t>4행당응봉</t>
        </is>
      </c>
      <c r="C311" s="159" t="inlineStr">
        <is>
          <t>상</t>
        </is>
      </c>
      <c r="D311" s="458" t="n">
        <v>103112</v>
      </c>
      <c r="E311" s="288" t="inlineStr">
        <is>
          <t>서울숲더샵(주상복합)</t>
        </is>
      </c>
      <c r="F311" s="458" t="n">
        <v>2014.09</v>
      </c>
      <c r="G311" s="458" t="n">
        <v>495</v>
      </c>
      <c r="H311" s="458">
        <f>2026-INT(F311)+1</f>
        <v/>
      </c>
      <c r="J311" s="458" t="n">
        <v>119</v>
      </c>
      <c r="K311" s="458" t="n">
        <v>84</v>
      </c>
      <c r="L311" s="458" t="n">
        <v>36</v>
      </c>
      <c r="M311" s="458" t="inlineStr">
        <is>
          <t>계단식</t>
        </is>
      </c>
      <c r="N311" s="458" t="n">
        <v>3</v>
      </c>
      <c r="O311" s="458" t="n">
        <v>2</v>
      </c>
      <c r="P311" s="458" t="n">
        <v>183</v>
      </c>
      <c r="Q311" s="318" t="n"/>
      <c r="V311" s="458" t="n">
        <v>16.5</v>
      </c>
      <c r="W311" s="458" t="n">
        <v>12.5</v>
      </c>
    </row>
    <row r="312">
      <c r="A312" s="458" t="inlineStr">
        <is>
          <t>행당동</t>
        </is>
      </c>
      <c r="B312" s="159" t="inlineStr">
        <is>
          <t>4행당응봉</t>
        </is>
      </c>
      <c r="C312" s="159" t="inlineStr">
        <is>
          <t>상</t>
        </is>
      </c>
      <c r="D312" s="458" t="n">
        <v>103112</v>
      </c>
      <c r="E312" s="288" t="inlineStr">
        <is>
          <t>서울숲더샵(주상복합)</t>
        </is>
      </c>
      <c r="F312" s="458" t="n">
        <v>2014.09</v>
      </c>
      <c r="G312" s="458" t="n">
        <v>495</v>
      </c>
      <c r="H312" s="458">
        <f>2026-INT(F312)+1</f>
        <v/>
      </c>
      <c r="J312" s="458" t="n">
        <v>130</v>
      </c>
      <c r="K312" s="458" t="n">
        <v>92</v>
      </c>
      <c r="L312" s="458" t="n">
        <v>39</v>
      </c>
      <c r="M312" s="458" t="inlineStr">
        <is>
          <t>계단식</t>
        </is>
      </c>
      <c r="N312" s="458" t="n">
        <v>3</v>
      </c>
      <c r="O312" s="458" t="n">
        <v>2</v>
      </c>
      <c r="P312" s="458" t="n">
        <v>157</v>
      </c>
      <c r="Q312" s="318" t="n"/>
      <c r="V312" s="458" t="n">
        <v>17</v>
      </c>
      <c r="W312" s="458" t="n">
        <v>16</v>
      </c>
    </row>
    <row r="313">
      <c r="A313" s="458" t="inlineStr">
        <is>
          <t>행당동</t>
        </is>
      </c>
      <c r="B313" s="159" t="inlineStr">
        <is>
          <t>4행당응봉</t>
        </is>
      </c>
      <c r="C313" s="159" t="inlineStr">
        <is>
          <t>상</t>
        </is>
      </c>
      <c r="D313" s="458" t="n">
        <v>103112</v>
      </c>
      <c r="E313" s="288" t="inlineStr">
        <is>
          <t>서울숲더샵(주상복합)</t>
        </is>
      </c>
      <c r="F313" s="458" t="n">
        <v>2014.09</v>
      </c>
      <c r="G313" s="458" t="n">
        <v>495</v>
      </c>
      <c r="H313" s="458">
        <f>2026-INT(F313)+1</f>
        <v/>
      </c>
      <c r="J313" s="458" t="n">
        <v>143</v>
      </c>
      <c r="K313" s="458" t="n">
        <v>101</v>
      </c>
      <c r="L313" s="458" t="n">
        <v>43</v>
      </c>
      <c r="M313" s="458" t="inlineStr">
        <is>
          <t>계단식</t>
        </is>
      </c>
      <c r="N313" s="458" t="n">
        <v>3</v>
      </c>
      <c r="O313" s="458" t="n">
        <v>2</v>
      </c>
      <c r="P313" s="458" t="n">
        <v>79</v>
      </c>
      <c r="Q313" s="318" t="n"/>
      <c r="V313" s="458" t="n">
        <v>22.3</v>
      </c>
    </row>
    <row r="314">
      <c r="A314" s="458" t="inlineStr">
        <is>
          <t>행당동</t>
        </is>
      </c>
      <c r="B314" s="159" t="inlineStr">
        <is>
          <t>4행당응봉</t>
        </is>
      </c>
      <c r="C314" s="159" t="inlineStr">
        <is>
          <t>상</t>
        </is>
      </c>
      <c r="D314" s="458" t="n">
        <v>103112</v>
      </c>
      <c r="E314" s="288" t="inlineStr">
        <is>
          <t>서울숲더샵(주상복합)</t>
        </is>
      </c>
      <c r="F314" s="458" t="n">
        <v>2014.09</v>
      </c>
      <c r="G314" s="458" t="n">
        <v>495</v>
      </c>
      <c r="H314" s="458">
        <f>2026-INT(F314)+1</f>
        <v/>
      </c>
      <c r="J314" s="458" t="n">
        <v>161</v>
      </c>
      <c r="K314" s="458" t="n">
        <v>114</v>
      </c>
      <c r="L314" s="458" t="n">
        <v>49</v>
      </c>
      <c r="M314" s="458" t="inlineStr">
        <is>
          <t>계단식</t>
        </is>
      </c>
      <c r="N314" s="458" t="n">
        <v>3</v>
      </c>
      <c r="O314" s="458" t="n">
        <v>2</v>
      </c>
      <c r="P314" s="458" t="n">
        <v>50</v>
      </c>
      <c r="Q314" s="318" t="n"/>
      <c r="V314" s="458" t="n">
        <v>23.8</v>
      </c>
      <c r="W314" s="458" t="n">
        <v>22.8</v>
      </c>
    </row>
    <row r="315">
      <c r="A315" s="458" t="inlineStr">
        <is>
          <t>행당동</t>
        </is>
      </c>
      <c r="B315" s="159" t="inlineStr">
        <is>
          <t>4행당응봉</t>
        </is>
      </c>
      <c r="C315" s="159" t="inlineStr">
        <is>
          <t>상</t>
        </is>
      </c>
      <c r="D315" s="458" t="n">
        <v>103112</v>
      </c>
      <c r="E315" s="288" t="inlineStr">
        <is>
          <t>서울숲더샵(주상복합)</t>
        </is>
      </c>
      <c r="F315" s="458" t="n">
        <v>2014.09</v>
      </c>
      <c r="G315" s="458" t="n">
        <v>495</v>
      </c>
      <c r="H315" s="458">
        <f>2026-INT(F315)+1</f>
        <v/>
      </c>
      <c r="J315" s="458" t="n">
        <v>210</v>
      </c>
      <c r="K315" s="458" t="n">
        <v>150</v>
      </c>
      <c r="L315" s="458" t="n">
        <v>64</v>
      </c>
      <c r="M315" s="458" t="inlineStr">
        <is>
          <t>계단식</t>
        </is>
      </c>
      <c r="N315" s="458" t="n">
        <v>4</v>
      </c>
      <c r="O315" s="458" t="n">
        <v>2</v>
      </c>
      <c r="P315" s="458" t="n">
        <v>26</v>
      </c>
      <c r="Q315" s="318" t="n"/>
      <c r="V315" s="458" t="n">
        <v>25.75</v>
      </c>
      <c r="W315" s="458" t="n">
        <v>27</v>
      </c>
    </row>
    <row r="316">
      <c r="A316" s="285" t="inlineStr">
        <is>
          <t>행당동</t>
        </is>
      </c>
      <c r="B316" s="307" t="inlineStr">
        <is>
          <t>4행당응봉</t>
        </is>
      </c>
      <c r="C316" s="307" t="inlineStr">
        <is>
          <t>상</t>
        </is>
      </c>
      <c r="D316" s="285" t="n">
        <v>111258</v>
      </c>
      <c r="E316" s="286" t="inlineStr">
        <is>
          <t>서울숲리버뷰자이</t>
        </is>
      </c>
      <c r="F316" s="285" t="n">
        <v>2018.06</v>
      </c>
      <c r="G316" s="285" t="n">
        <v>1034</v>
      </c>
      <c r="H316" s="285">
        <f>2026-INT(F316)+1</f>
        <v/>
      </c>
      <c r="I316" s="285" t="n"/>
      <c r="J316" s="285" t="n">
        <v>84</v>
      </c>
      <c r="K316" s="285" t="n">
        <v>59</v>
      </c>
      <c r="L316" s="285" t="n">
        <v>25</v>
      </c>
      <c r="M316" s="285" t="inlineStr">
        <is>
          <t>계단식</t>
        </is>
      </c>
      <c r="N316" s="285" t="n">
        <v>3</v>
      </c>
      <c r="O316" s="285" t="n">
        <v>2</v>
      </c>
      <c r="P316" s="285" t="n">
        <v>150</v>
      </c>
      <c r="Q316" s="316" t="n"/>
      <c r="R316" s="285" t="n"/>
      <c r="S316" s="285" t="n"/>
      <c r="T316" s="285" t="n"/>
      <c r="U316" s="285" t="n"/>
      <c r="V316" s="285" t="n">
        <v>16.3</v>
      </c>
      <c r="W316" s="285" t="n">
        <v>10.2</v>
      </c>
      <c r="X316" s="285" t="n"/>
      <c r="Y316" s="285" t="n"/>
      <c r="Z316" s="285" t="n"/>
      <c r="AA316" s="285" t="n"/>
      <c r="AB316" s="285" t="n"/>
      <c r="AC316" s="285" t="n"/>
      <c r="AD316" s="285" t="n"/>
      <c r="AE316" s="285" t="n"/>
      <c r="AF316" s="285" t="n"/>
      <c r="AG316" s="285" t="n"/>
      <c r="AH316" s="285" t="n"/>
      <c r="AI316" s="285" t="n"/>
      <c r="AJ316" s="285" t="n"/>
      <c r="AK316" s="285" t="n"/>
      <c r="AL316" s="285" t="n"/>
    </row>
    <row r="317">
      <c r="A317" s="285" t="inlineStr">
        <is>
          <t>행당동</t>
        </is>
      </c>
      <c r="B317" s="307" t="inlineStr">
        <is>
          <t>4행당응봉</t>
        </is>
      </c>
      <c r="C317" s="307" t="inlineStr">
        <is>
          <t>상</t>
        </is>
      </c>
      <c r="D317" s="285" t="n">
        <v>111258</v>
      </c>
      <c r="E317" s="286" t="inlineStr">
        <is>
          <t>서울숲리버뷰자이</t>
        </is>
      </c>
      <c r="F317" s="285" t="n">
        <v>2018.06</v>
      </c>
      <c r="G317" s="285" t="n">
        <v>1034</v>
      </c>
      <c r="H317" s="285">
        <f>2026-INT(F317)+1</f>
        <v/>
      </c>
      <c r="I317" s="285" t="n"/>
      <c r="J317" s="285" t="n">
        <v>109</v>
      </c>
      <c r="K317" s="285" t="n">
        <v>84</v>
      </c>
      <c r="L317" s="285" t="n">
        <v>33</v>
      </c>
      <c r="M317" s="285" t="inlineStr">
        <is>
          <t>계단식</t>
        </is>
      </c>
      <c r="N317" s="285" t="n">
        <v>3</v>
      </c>
      <c r="O317" s="285" t="n">
        <v>2</v>
      </c>
      <c r="P317" s="285" t="n">
        <v>578</v>
      </c>
      <c r="Q317" s="316" t="n"/>
      <c r="R317" s="285" t="n"/>
      <c r="S317" s="285" t="n"/>
      <c r="T317" s="285" t="n"/>
      <c r="U317" s="285" t="n"/>
      <c r="V317" s="285" t="n">
        <v>21</v>
      </c>
      <c r="W317" s="285" t="n">
        <v>14.4</v>
      </c>
      <c r="X317" s="285" t="n"/>
      <c r="Y317" s="285" t="n"/>
      <c r="Z317" s="285" t="n"/>
      <c r="AA317" s="285" t="n"/>
      <c r="AB317" s="285" t="n"/>
      <c r="AC317" s="285" t="n"/>
      <c r="AD317" s="285" t="n"/>
      <c r="AE317" s="285" t="n"/>
      <c r="AF317" s="285" t="n"/>
      <c r="AG317" s="285" t="n"/>
      <c r="AH317" s="285" t="n"/>
      <c r="AI317" s="285" t="n"/>
      <c r="AJ317" s="285" t="n"/>
      <c r="AK317" s="285" t="n"/>
      <c r="AL317" s="285" t="n"/>
    </row>
    <row r="318">
      <c r="A318" s="285" t="inlineStr">
        <is>
          <t>행당동</t>
        </is>
      </c>
      <c r="B318" s="307" t="inlineStr">
        <is>
          <t>4행당응봉</t>
        </is>
      </c>
      <c r="C318" s="307" t="inlineStr">
        <is>
          <t>상</t>
        </is>
      </c>
      <c r="D318" s="285" t="n">
        <v>111258</v>
      </c>
      <c r="E318" s="286" t="inlineStr">
        <is>
          <t>서울숲리버뷰자이</t>
        </is>
      </c>
      <c r="F318" s="285" t="n">
        <v>2018.06</v>
      </c>
      <c r="G318" s="285" t="n">
        <v>1034</v>
      </c>
      <c r="H318" s="285">
        <f>2026-INT(F318)+1</f>
        <v/>
      </c>
      <c r="I318" s="285" t="n"/>
      <c r="J318" s="285" t="n">
        <v>140</v>
      </c>
      <c r="K318" s="285" t="n">
        <v>108</v>
      </c>
      <c r="L318" s="285" t="n">
        <v>42</v>
      </c>
      <c r="M318" s="285" t="inlineStr">
        <is>
          <t>계단식</t>
        </is>
      </c>
      <c r="N318" s="285" t="n">
        <v>3</v>
      </c>
      <c r="O318" s="285" t="n">
        <v>2</v>
      </c>
      <c r="P318" s="285" t="n">
        <v>60</v>
      </c>
      <c r="Q318" s="316" t="n"/>
      <c r="R318" s="285" t="n"/>
      <c r="S318" s="285" t="n"/>
      <c r="T318" s="285" t="n"/>
      <c r="U318" s="285" t="n"/>
      <c r="V318" s="285" t="n">
        <v>24</v>
      </c>
      <c r="W318" s="285" t="n">
        <v>21.5</v>
      </c>
      <c r="X318" s="285" t="n"/>
      <c r="Y318" s="285" t="n"/>
      <c r="Z318" s="285" t="n"/>
      <c r="AA318" s="285" t="n"/>
      <c r="AB318" s="285" t="n"/>
      <c r="AC318" s="285" t="n"/>
      <c r="AD318" s="285" t="n"/>
      <c r="AE318" s="285" t="n"/>
      <c r="AF318" s="285" t="n"/>
      <c r="AG318" s="285" t="n"/>
      <c r="AH318" s="285" t="n"/>
      <c r="AI318" s="285" t="n"/>
      <c r="AJ318" s="285" t="n"/>
      <c r="AK318" s="285" t="n"/>
      <c r="AL318" s="285" t="n"/>
    </row>
    <row r="319">
      <c r="A319" s="285" t="inlineStr">
        <is>
          <t>행당동</t>
        </is>
      </c>
      <c r="B319" s="307" t="inlineStr">
        <is>
          <t>4행당응봉</t>
        </is>
      </c>
      <c r="C319" s="307" t="inlineStr">
        <is>
          <t>상</t>
        </is>
      </c>
      <c r="D319" s="285" t="n">
        <v>111258</v>
      </c>
      <c r="E319" s="286" t="inlineStr">
        <is>
          <t>서울숲리버뷰자이</t>
        </is>
      </c>
      <c r="F319" s="285" t="n">
        <v>2018.06</v>
      </c>
      <c r="G319" s="285" t="n">
        <v>1034</v>
      </c>
      <c r="H319" s="285">
        <f>2026-INT(F319)+1</f>
        <v/>
      </c>
      <c r="I319" s="285" t="n"/>
      <c r="J319" s="285" t="n">
        <v>140</v>
      </c>
      <c r="K319" s="285" t="n">
        <v>108</v>
      </c>
      <c r="L319" s="285" t="n">
        <v>42</v>
      </c>
      <c r="M319" s="285" t="inlineStr">
        <is>
          <t>계단식</t>
        </is>
      </c>
      <c r="N319" s="285" t="n">
        <v>4</v>
      </c>
      <c r="O319" s="285" t="n">
        <v>2</v>
      </c>
      <c r="P319" s="285" t="n">
        <v>30</v>
      </c>
      <c r="Q319" s="316" t="n"/>
      <c r="R319" s="285" t="n"/>
      <c r="S319" s="285" t="n"/>
      <c r="T319" s="285" t="n"/>
      <c r="U319" s="285" t="n"/>
      <c r="V319" s="285" t="n">
        <v>24</v>
      </c>
      <c r="W319" s="285" t="n">
        <v>21.5</v>
      </c>
      <c r="X319" s="285" t="n"/>
      <c r="Y319" s="285" t="n"/>
      <c r="Z319" s="285" t="n"/>
      <c r="AA319" s="285" t="n"/>
      <c r="AB319" s="285" t="n"/>
      <c r="AC319" s="285" t="n"/>
      <c r="AD319" s="285" t="n"/>
      <c r="AE319" s="285" t="n"/>
      <c r="AF319" s="285" t="n"/>
      <c r="AG319" s="285" t="n"/>
      <c r="AH319" s="285" t="n"/>
      <c r="AI319" s="285" t="n"/>
      <c r="AJ319" s="285" t="n"/>
      <c r="AK319" s="285" t="n"/>
      <c r="AL319" s="285" t="n"/>
    </row>
    <row r="320">
      <c r="A320" s="285" t="inlineStr">
        <is>
          <t>행당동</t>
        </is>
      </c>
      <c r="B320" s="307" t="inlineStr">
        <is>
          <t>4행당응봉</t>
        </is>
      </c>
      <c r="C320" s="307" t="inlineStr">
        <is>
          <t>상</t>
        </is>
      </c>
      <c r="D320" s="285" t="n">
        <v>111258</v>
      </c>
      <c r="E320" s="286" t="inlineStr">
        <is>
          <t>서울숲리버뷰자이</t>
        </is>
      </c>
      <c r="F320" s="285" t="n">
        <v>2018.06</v>
      </c>
      <c r="G320" s="285" t="n">
        <v>1034</v>
      </c>
      <c r="H320" s="285">
        <f>2026-INT(F320)+1</f>
        <v/>
      </c>
      <c r="I320" s="285" t="n"/>
      <c r="J320" s="285" t="n">
        <v>165</v>
      </c>
      <c r="K320" s="285" t="n">
        <v>128</v>
      </c>
      <c r="L320" s="285" t="n">
        <v>50</v>
      </c>
      <c r="M320" s="285" t="inlineStr">
        <is>
          <t>계단식</t>
        </is>
      </c>
      <c r="N320" s="285" t="n">
        <v>4</v>
      </c>
      <c r="O320" s="285" t="n">
        <v>2</v>
      </c>
      <c r="P320" s="285" t="n">
        <v>30</v>
      </c>
      <c r="Q320" s="316" t="n"/>
      <c r="R320" s="285" t="n"/>
      <c r="S320" s="285" t="n"/>
      <c r="T320" s="285" t="n"/>
      <c r="U320" s="285" t="n"/>
      <c r="V320" s="285" t="n">
        <v>24.7</v>
      </c>
      <c r="W320" s="285" t="n"/>
      <c r="X320" s="285" t="n"/>
      <c r="Y320" s="285" t="n"/>
      <c r="Z320" s="285" t="n"/>
      <c r="AA320" s="285" t="n"/>
      <c r="AB320" s="285" t="n"/>
      <c r="AC320" s="285" t="n"/>
      <c r="AD320" s="285" t="n"/>
      <c r="AE320" s="285" t="n"/>
      <c r="AF320" s="285" t="n"/>
      <c r="AG320" s="285" t="n"/>
      <c r="AH320" s="285" t="n"/>
      <c r="AI320" s="285" t="n"/>
      <c r="AJ320" s="285" t="n"/>
      <c r="AK320" s="285" t="n"/>
      <c r="AL320" s="285" t="n"/>
    </row>
    <row r="321">
      <c r="A321" s="285" t="inlineStr">
        <is>
          <t>행당동</t>
        </is>
      </c>
      <c r="B321" s="307" t="inlineStr">
        <is>
          <t>4행당응봉</t>
        </is>
      </c>
      <c r="C321" s="307" t="inlineStr">
        <is>
          <t>상</t>
        </is>
      </c>
      <c r="D321" s="285" t="n">
        <v>111258</v>
      </c>
      <c r="E321" s="286" t="inlineStr">
        <is>
          <t>서울숲리버뷰자이</t>
        </is>
      </c>
      <c r="F321" s="285" t="n">
        <v>2018.06</v>
      </c>
      <c r="G321" s="285" t="n">
        <v>1034</v>
      </c>
      <c r="H321" s="285">
        <f>2026-INT(F321)+1</f>
        <v/>
      </c>
      <c r="I321" s="285" t="n"/>
      <c r="J321" s="285" t="n">
        <v>169</v>
      </c>
      <c r="K321" s="285" t="n">
        <v>130</v>
      </c>
      <c r="L321" s="285" t="n">
        <v>51</v>
      </c>
      <c r="M321" s="285" t="inlineStr">
        <is>
          <t>계단식</t>
        </is>
      </c>
      <c r="N321" s="285" t="n">
        <v>4</v>
      </c>
      <c r="O321" s="285" t="n">
        <v>2</v>
      </c>
      <c r="P321" s="285" t="n">
        <v>6</v>
      </c>
      <c r="Q321" s="316" t="n"/>
      <c r="R321" s="285" t="n"/>
      <c r="S321" s="285" t="n"/>
      <c r="T321" s="285" t="n"/>
      <c r="U321" s="285" t="n"/>
      <c r="V321" s="285" t="n">
        <v>24.7</v>
      </c>
      <c r="W321" s="285" t="n"/>
      <c r="X321" s="285" t="n"/>
      <c r="Y321" s="285" t="n"/>
      <c r="Z321" s="285" t="n"/>
      <c r="AA321" s="285" t="n"/>
      <c r="AB321" s="285" t="n"/>
      <c r="AC321" s="285" t="n"/>
      <c r="AD321" s="285" t="n"/>
      <c r="AE321" s="285" t="n"/>
      <c r="AF321" s="285" t="n"/>
      <c r="AG321" s="285" t="n"/>
      <c r="AH321" s="285" t="n"/>
      <c r="AI321" s="285" t="n"/>
      <c r="AJ321" s="285" t="n"/>
      <c r="AK321" s="285" t="n"/>
      <c r="AL321" s="285" t="n"/>
    </row>
    <row r="322">
      <c r="A322" s="285" t="inlineStr">
        <is>
          <t>행당동</t>
        </is>
      </c>
      <c r="B322" s="307" t="inlineStr">
        <is>
          <t>4행당응봉</t>
        </is>
      </c>
      <c r="C322" s="307" t="inlineStr">
        <is>
          <t>상</t>
        </is>
      </c>
      <c r="D322" s="285" t="n">
        <v>111258</v>
      </c>
      <c r="E322" s="286" t="inlineStr">
        <is>
          <t>서울숲리버뷰자이</t>
        </is>
      </c>
      <c r="F322" s="285" t="n">
        <v>2018.06</v>
      </c>
      <c r="G322" s="285" t="n">
        <v>1034</v>
      </c>
      <c r="H322" s="285">
        <f>2026-INT(F322)+1</f>
        <v/>
      </c>
      <c r="I322" s="285" t="n"/>
      <c r="J322" s="285" t="n">
        <v>186</v>
      </c>
      <c r="K322" s="285" t="n">
        <v>141</v>
      </c>
      <c r="L322" s="285" t="n">
        <v>56</v>
      </c>
      <c r="M322" s="285" t="inlineStr">
        <is>
          <t>계단식</t>
        </is>
      </c>
      <c r="N322" s="285" t="n">
        <v>5</v>
      </c>
      <c r="O322" s="285" t="n">
        <v>3</v>
      </c>
      <c r="P322" s="285" t="n">
        <v>3</v>
      </c>
      <c r="Q322" s="316" t="n"/>
      <c r="R322" s="285" t="n"/>
      <c r="S322" s="285" t="n"/>
      <c r="T322" s="285" t="n"/>
      <c r="U322" s="285" t="n"/>
      <c r="V322" s="285" t="n"/>
      <c r="W322" s="285" t="n"/>
      <c r="X322" s="285" t="n"/>
      <c r="Y322" s="285" t="n"/>
      <c r="Z322" s="285" t="n"/>
      <c r="AA322" s="285" t="n"/>
      <c r="AB322" s="285" t="n"/>
      <c r="AC322" s="285" t="n"/>
      <c r="AD322" s="285" t="n"/>
      <c r="AE322" s="285" t="n"/>
      <c r="AF322" s="285" t="n"/>
      <c r="AG322" s="285" t="n"/>
      <c r="AH322" s="285" t="n"/>
      <c r="AI322" s="285" t="n"/>
      <c r="AJ322" s="285" t="n"/>
      <c r="AK322" s="285" t="n"/>
      <c r="AL322" s="285" t="n"/>
    </row>
    <row r="323">
      <c r="A323" s="285" t="inlineStr">
        <is>
          <t>행당동</t>
        </is>
      </c>
      <c r="B323" s="307" t="inlineStr">
        <is>
          <t>4행당응봉</t>
        </is>
      </c>
      <c r="C323" s="307" t="inlineStr">
        <is>
          <t>상</t>
        </is>
      </c>
      <c r="D323" s="285" t="n">
        <v>111258</v>
      </c>
      <c r="E323" s="286" t="inlineStr">
        <is>
          <t>서울숲리버뷰자이</t>
        </is>
      </c>
      <c r="F323" s="285" t="n">
        <v>2018.06</v>
      </c>
      <c r="G323" s="285" t="n">
        <v>1034</v>
      </c>
      <c r="H323" s="285">
        <f>2026-INT(F323)+1</f>
        <v/>
      </c>
      <c r="I323" s="285" t="n"/>
      <c r="J323" s="285" t="n">
        <v>186</v>
      </c>
      <c r="K323" s="285" t="n">
        <v>141</v>
      </c>
      <c r="L323" s="285" t="n">
        <v>56</v>
      </c>
      <c r="M323" s="285" t="inlineStr">
        <is>
          <t>계단식</t>
        </is>
      </c>
      <c r="N323" s="285" t="n">
        <v>4</v>
      </c>
      <c r="O323" s="285" t="n">
        <v>3</v>
      </c>
      <c r="P323" s="285" t="n">
        <v>1</v>
      </c>
      <c r="Q323" s="316" t="n"/>
      <c r="R323" s="285" t="n"/>
      <c r="S323" s="285" t="n"/>
      <c r="T323" s="285" t="n"/>
      <c r="U323" s="285" t="n"/>
      <c r="V323" s="285" t="n"/>
      <c r="W323" s="285" t="n"/>
      <c r="X323" s="285" t="n"/>
      <c r="Y323" s="285" t="n"/>
      <c r="Z323" s="285" t="n"/>
      <c r="AA323" s="285" t="n"/>
      <c r="AB323" s="285" t="n"/>
      <c r="AC323" s="285" t="n"/>
      <c r="AD323" s="285" t="n"/>
      <c r="AE323" s="285" t="n"/>
      <c r="AF323" s="285" t="n"/>
      <c r="AG323" s="285" t="n"/>
      <c r="AH323" s="285" t="n"/>
      <c r="AI323" s="285" t="n"/>
      <c r="AJ323" s="285" t="n"/>
      <c r="AK323" s="285" t="n"/>
      <c r="AL323" s="285" t="n"/>
    </row>
    <row r="324">
      <c r="A324" s="458" t="inlineStr">
        <is>
          <t>행당동</t>
        </is>
      </c>
      <c r="B324" s="159" t="inlineStr">
        <is>
          <t>3왕십리</t>
        </is>
      </c>
      <c r="C324" s="159" t="inlineStr">
        <is>
          <t>중</t>
        </is>
      </c>
      <c r="D324" s="458" t="n">
        <v>575</v>
      </c>
      <c r="E324" s="288" t="inlineStr">
        <is>
          <t>서울숲삼부</t>
        </is>
      </c>
      <c r="F324" s="458" t="n">
        <v>1998.07</v>
      </c>
      <c r="G324" s="458" t="n">
        <v>498</v>
      </c>
      <c r="H324" s="458">
        <f>2026-INT(F324)+1</f>
        <v/>
      </c>
      <c r="J324" s="458" t="n">
        <v>81</v>
      </c>
      <c r="K324" s="458" t="n">
        <v>67</v>
      </c>
      <c r="L324" s="458" t="n">
        <v>25</v>
      </c>
      <c r="M324" s="458" t="inlineStr">
        <is>
          <t>계단식</t>
        </is>
      </c>
      <c r="N324" s="458" t="n">
        <v>3</v>
      </c>
      <c r="O324" s="458" t="n">
        <v>1</v>
      </c>
      <c r="P324" s="458" t="n">
        <v>48</v>
      </c>
      <c r="Q324" s="318" t="n"/>
      <c r="W324" s="458" t="n">
        <v>10.8</v>
      </c>
    </row>
    <row r="325">
      <c r="A325" s="458" t="inlineStr">
        <is>
          <t>행당동</t>
        </is>
      </c>
      <c r="B325" s="159" t="inlineStr">
        <is>
          <t>3왕십리</t>
        </is>
      </c>
      <c r="C325" s="159" t="inlineStr">
        <is>
          <t>중</t>
        </is>
      </c>
      <c r="D325" s="458" t="n">
        <v>575</v>
      </c>
      <c r="E325" s="288" t="inlineStr">
        <is>
          <t>서울숲삼부</t>
        </is>
      </c>
      <c r="F325" s="458" t="n">
        <v>1998.07</v>
      </c>
      <c r="G325" s="458" t="n">
        <v>498</v>
      </c>
      <c r="H325" s="458">
        <f>2026-INT(F325)+1</f>
        <v/>
      </c>
      <c r="J325" s="458" t="n">
        <v>101</v>
      </c>
      <c r="K325" s="458" t="n">
        <v>84</v>
      </c>
      <c r="L325" s="458" t="n">
        <v>31</v>
      </c>
      <c r="M325" s="458" t="inlineStr">
        <is>
          <t>계단식</t>
        </is>
      </c>
      <c r="N325" s="458" t="n">
        <v>3</v>
      </c>
      <c r="O325" s="458" t="n">
        <v>2</v>
      </c>
      <c r="P325" s="458" t="n">
        <v>300</v>
      </c>
      <c r="Q325" s="318" t="n"/>
      <c r="V325" s="458" t="n">
        <v>16.8</v>
      </c>
      <c r="W325" s="458" t="n">
        <v>10.1</v>
      </c>
    </row>
    <row r="326">
      <c r="A326" s="458" t="inlineStr">
        <is>
          <t>행당동</t>
        </is>
      </c>
      <c r="B326" s="159" t="inlineStr">
        <is>
          <t>3왕십리</t>
        </is>
      </c>
      <c r="C326" s="159" t="inlineStr">
        <is>
          <t>중</t>
        </is>
      </c>
      <c r="D326" s="458" t="n">
        <v>575</v>
      </c>
      <c r="E326" s="288" t="inlineStr">
        <is>
          <t>서울숲삼부</t>
        </is>
      </c>
      <c r="F326" s="458" t="n">
        <v>1998.07</v>
      </c>
      <c r="G326" s="458" t="n">
        <v>498</v>
      </c>
      <c r="H326" s="458">
        <f>2026-INT(F326)+1</f>
        <v/>
      </c>
      <c r="J326" s="458" t="n">
        <v>146</v>
      </c>
      <c r="K326" s="458" t="n">
        <v>122</v>
      </c>
      <c r="L326" s="458" t="n">
        <v>44</v>
      </c>
      <c r="M326" s="458" t="inlineStr">
        <is>
          <t>계단식</t>
        </is>
      </c>
      <c r="N326" s="458" t="n">
        <v>4</v>
      </c>
      <c r="O326" s="458" t="n">
        <v>2</v>
      </c>
      <c r="P326" s="458" t="n">
        <v>150</v>
      </c>
      <c r="Q326" s="318" t="n"/>
      <c r="V326" s="458" t="n">
        <v>16.5</v>
      </c>
      <c r="W326" s="458" t="n">
        <v>14.8</v>
      </c>
    </row>
    <row r="327">
      <c r="A327" s="285" t="inlineStr">
        <is>
          <t>행당동</t>
        </is>
      </c>
      <c r="B327" s="307" t="inlineStr">
        <is>
          <t>4행당응봉</t>
        </is>
      </c>
      <c r="C327" s="307" t="inlineStr">
        <is>
          <t>중</t>
        </is>
      </c>
      <c r="D327" s="285" t="n">
        <v>2977</v>
      </c>
      <c r="E327" s="286" t="inlineStr">
        <is>
          <t>서울숲한신더휴</t>
        </is>
      </c>
      <c r="F327" s="285" t="n">
        <v>2003.12</v>
      </c>
      <c r="G327" s="285" t="n">
        <v>1410</v>
      </c>
      <c r="H327" s="285">
        <f>2026-INT(F327)+1</f>
        <v/>
      </c>
      <c r="I327" s="285" t="n"/>
      <c r="J327" s="285" t="n">
        <v>80</v>
      </c>
      <c r="K327" s="285" t="n">
        <v>59</v>
      </c>
      <c r="L327" s="285" t="n">
        <v>24</v>
      </c>
      <c r="M327" s="285" t="inlineStr">
        <is>
          <t>계단식</t>
        </is>
      </c>
      <c r="N327" s="285" t="n">
        <v>2</v>
      </c>
      <c r="O327" s="285" t="n">
        <v>1</v>
      </c>
      <c r="P327" s="285" t="n">
        <v>188</v>
      </c>
      <c r="Q327" s="316" t="n"/>
      <c r="R327" s="285" t="n"/>
      <c r="S327" s="285" t="n"/>
      <c r="T327" s="285" t="n"/>
      <c r="U327" s="285" t="n"/>
      <c r="V327" s="285" t="n">
        <v>13.2</v>
      </c>
      <c r="W327" s="285" t="n">
        <v>8.6</v>
      </c>
      <c r="X327" s="285" t="n"/>
      <c r="Y327" s="285" t="n"/>
      <c r="Z327" s="285" t="n"/>
      <c r="AA327" s="285" t="n"/>
      <c r="AB327" s="285" t="n"/>
      <c r="AC327" s="285" t="n"/>
      <c r="AD327" s="285" t="n"/>
      <c r="AE327" s="285" t="n"/>
      <c r="AF327" s="285" t="n"/>
      <c r="AG327" s="285" t="n"/>
      <c r="AH327" s="285" t="n"/>
      <c r="AI327" s="285" t="n"/>
      <c r="AJ327" s="285" t="n"/>
      <c r="AK327" s="285" t="n"/>
      <c r="AL327" s="285" t="n"/>
    </row>
    <row r="328">
      <c r="A328" s="285" t="inlineStr">
        <is>
          <t>행당동</t>
        </is>
      </c>
      <c r="B328" s="307" t="inlineStr">
        <is>
          <t>4행당응봉</t>
        </is>
      </c>
      <c r="C328" s="307" t="inlineStr">
        <is>
          <t>중</t>
        </is>
      </c>
      <c r="D328" s="285" t="n">
        <v>2977</v>
      </c>
      <c r="E328" s="286" t="inlineStr">
        <is>
          <t>서울숲한신더휴</t>
        </is>
      </c>
      <c r="F328" s="285" t="n">
        <v>2003.12</v>
      </c>
      <c r="G328" s="285" t="n">
        <v>1410</v>
      </c>
      <c r="H328" s="285">
        <f>2026-INT(F328)+1</f>
        <v/>
      </c>
      <c r="I328" s="285" t="n"/>
      <c r="J328" s="285" t="n">
        <v>81</v>
      </c>
      <c r="K328" s="285" t="n">
        <v>59</v>
      </c>
      <c r="L328" s="285" t="n">
        <v>25</v>
      </c>
      <c r="M328" s="285" t="inlineStr">
        <is>
          <t>계단식</t>
        </is>
      </c>
      <c r="N328" s="285" t="n">
        <v>3</v>
      </c>
      <c r="O328" s="285" t="n">
        <v>2</v>
      </c>
      <c r="P328" s="285" t="n">
        <v>282</v>
      </c>
      <c r="Q328" s="316" t="n"/>
      <c r="R328" s="285" t="n"/>
      <c r="S328" s="285" t="n"/>
      <c r="T328" s="285" t="n"/>
      <c r="U328" s="285" t="n"/>
      <c r="V328" s="285" t="n">
        <v>13.2</v>
      </c>
      <c r="W328" s="285" t="n">
        <v>8.6</v>
      </c>
      <c r="X328" s="285" t="n"/>
      <c r="Y328" s="285" t="n"/>
      <c r="Z328" s="285" t="n"/>
      <c r="AA328" s="285" t="n"/>
      <c r="AB328" s="285" t="n"/>
      <c r="AC328" s="285" t="n"/>
      <c r="AD328" s="285" t="n"/>
      <c r="AE328" s="285" t="n"/>
      <c r="AF328" s="285" t="n"/>
      <c r="AG328" s="285" t="n"/>
      <c r="AH328" s="285" t="n"/>
      <c r="AI328" s="285" t="n"/>
      <c r="AJ328" s="285" t="n"/>
      <c r="AK328" s="285" t="n"/>
      <c r="AL328" s="285" t="n"/>
    </row>
    <row r="329">
      <c r="A329" s="285" t="inlineStr">
        <is>
          <t>행당동</t>
        </is>
      </c>
      <c r="B329" s="307" t="inlineStr">
        <is>
          <t>4행당응봉</t>
        </is>
      </c>
      <c r="C329" s="307" t="inlineStr">
        <is>
          <t>중</t>
        </is>
      </c>
      <c r="D329" s="285" t="n">
        <v>2977</v>
      </c>
      <c r="E329" s="286" t="inlineStr">
        <is>
          <t>서울숲한신더휴</t>
        </is>
      </c>
      <c r="F329" s="285" t="n">
        <v>2003.12</v>
      </c>
      <c r="G329" s="285" t="n">
        <v>1410</v>
      </c>
      <c r="H329" s="285">
        <f>2026-INT(F329)+1</f>
        <v/>
      </c>
      <c r="I329" s="285" t="n"/>
      <c r="J329" s="285" t="n">
        <v>108</v>
      </c>
      <c r="K329" s="285" t="n">
        <v>84</v>
      </c>
      <c r="L329" s="285" t="n">
        <v>33</v>
      </c>
      <c r="M329" s="285" t="inlineStr">
        <is>
          <t>계단식</t>
        </is>
      </c>
      <c r="N329" s="285" t="n">
        <v>3</v>
      </c>
      <c r="O329" s="285" t="n">
        <v>2</v>
      </c>
      <c r="P329" s="285" t="n">
        <v>630</v>
      </c>
      <c r="Q329" s="316" t="n"/>
      <c r="R329" s="285" t="n"/>
      <c r="S329" s="285" t="n"/>
      <c r="T329" s="285" t="n"/>
      <c r="U329" s="285" t="n"/>
      <c r="V329" s="285" t="n">
        <v>15.5</v>
      </c>
      <c r="W329" s="285" t="n">
        <v>10.45</v>
      </c>
      <c r="X329" s="285" t="n"/>
      <c r="Y329" s="285" t="n"/>
      <c r="Z329" s="285" t="n"/>
      <c r="AA329" s="285" t="n"/>
      <c r="AB329" s="285" t="n"/>
      <c r="AC329" s="285" t="n"/>
      <c r="AD329" s="285" t="n"/>
      <c r="AE329" s="285" t="n"/>
      <c r="AF329" s="285" t="n"/>
      <c r="AG329" s="285" t="n"/>
      <c r="AH329" s="285" t="n"/>
      <c r="AI329" s="285" t="n"/>
      <c r="AJ329" s="285" t="n"/>
      <c r="AK329" s="285" t="n"/>
      <c r="AL329" s="285" t="n"/>
    </row>
    <row r="330">
      <c r="A330" s="285" t="inlineStr">
        <is>
          <t>행당동</t>
        </is>
      </c>
      <c r="B330" s="307" t="inlineStr">
        <is>
          <t>4행당응봉</t>
        </is>
      </c>
      <c r="C330" s="307" t="inlineStr">
        <is>
          <t>중</t>
        </is>
      </c>
      <c r="D330" s="285" t="n">
        <v>2977</v>
      </c>
      <c r="E330" s="286" t="inlineStr">
        <is>
          <t>서울숲한신더휴</t>
        </is>
      </c>
      <c r="F330" s="285" t="n">
        <v>2003.12</v>
      </c>
      <c r="G330" s="285" t="n">
        <v>1410</v>
      </c>
      <c r="H330" s="285">
        <f>2026-INT(F330)+1</f>
        <v/>
      </c>
      <c r="I330" s="285" t="n"/>
      <c r="J330" s="285" t="n">
        <v>142</v>
      </c>
      <c r="K330" s="285" t="n">
        <v>114</v>
      </c>
      <c r="L330" s="285" t="n">
        <v>43</v>
      </c>
      <c r="M330" s="285" t="inlineStr">
        <is>
          <t>계단식</t>
        </is>
      </c>
      <c r="N330" s="285" t="n">
        <v>4</v>
      </c>
      <c r="O330" s="285" t="n">
        <v>2</v>
      </c>
      <c r="P330" s="285" t="n">
        <v>310</v>
      </c>
      <c r="Q330" s="316" t="n"/>
      <c r="R330" s="285" t="n"/>
      <c r="S330" s="285" t="n"/>
      <c r="T330" s="285" t="n"/>
      <c r="U330" s="285" t="n"/>
      <c r="V330" s="285" t="n">
        <v>16.9</v>
      </c>
      <c r="W330" s="285" t="n">
        <v>12.2</v>
      </c>
      <c r="X330" s="285" t="n"/>
      <c r="Y330" s="285" t="n"/>
      <c r="Z330" s="285" t="n"/>
      <c r="AA330" s="285" t="n"/>
      <c r="AB330" s="285" t="n"/>
      <c r="AC330" s="285" t="n"/>
      <c r="AD330" s="285" t="n"/>
      <c r="AE330" s="285" t="n"/>
      <c r="AF330" s="285" t="n"/>
      <c r="AG330" s="285" t="n"/>
      <c r="AH330" s="285" t="n"/>
      <c r="AI330" s="285" t="n"/>
      <c r="AJ330" s="285" t="n"/>
      <c r="AK330" s="285" t="n"/>
      <c r="AL330" s="285" t="n"/>
    </row>
    <row r="331">
      <c r="A331" s="458" t="inlineStr">
        <is>
          <t>행당동</t>
        </is>
      </c>
      <c r="B331" s="159" t="inlineStr">
        <is>
          <t>4행당응봉</t>
        </is>
      </c>
      <c r="C331" s="159" t="inlineStr">
        <is>
          <t>중</t>
        </is>
      </c>
      <c r="D331" s="458" t="n">
        <v>27044</v>
      </c>
      <c r="E331" s="288" t="inlineStr">
        <is>
          <t>서울숲행당푸르지오</t>
        </is>
      </c>
      <c r="F331" s="458" t="n">
        <v>2011.05</v>
      </c>
      <c r="G331" s="458" t="n">
        <v>457</v>
      </c>
      <c r="H331" s="458">
        <f>2026-INT(F331)+1</f>
        <v/>
      </c>
      <c r="J331" s="458" t="n">
        <v>79</v>
      </c>
      <c r="K331" s="458" t="n">
        <v>59</v>
      </c>
      <c r="L331" s="458" t="n">
        <v>24</v>
      </c>
      <c r="M331" s="458" t="inlineStr">
        <is>
          <t>계단식</t>
        </is>
      </c>
      <c r="N331" s="458" t="n">
        <v>3</v>
      </c>
      <c r="O331" s="458" t="n">
        <v>2</v>
      </c>
      <c r="P331" s="458" t="n">
        <v>191</v>
      </c>
      <c r="Q331" s="318" t="n"/>
      <c r="V331" s="458" t="n">
        <v>13.1</v>
      </c>
      <c r="W331" s="458" t="n">
        <v>10</v>
      </c>
    </row>
    <row r="332">
      <c r="A332" s="458" t="inlineStr">
        <is>
          <t>행당동</t>
        </is>
      </c>
      <c r="B332" s="159" t="inlineStr">
        <is>
          <t>4행당응봉</t>
        </is>
      </c>
      <c r="C332" s="159" t="inlineStr">
        <is>
          <t>중</t>
        </is>
      </c>
      <c r="D332" s="458" t="n">
        <v>27044</v>
      </c>
      <c r="E332" s="288" t="inlineStr">
        <is>
          <t>서울숲행당푸르지오</t>
        </is>
      </c>
      <c r="F332" s="458" t="n">
        <v>2011.05</v>
      </c>
      <c r="G332" s="458" t="n">
        <v>457</v>
      </c>
      <c r="H332" s="458">
        <f>2026-INT(F332)+1</f>
        <v/>
      </c>
      <c r="J332" s="458" t="n">
        <v>111</v>
      </c>
      <c r="K332" s="458" t="n">
        <v>84</v>
      </c>
      <c r="L332" s="458" t="n">
        <v>34</v>
      </c>
      <c r="M332" s="458" t="inlineStr">
        <is>
          <t>계단식</t>
        </is>
      </c>
      <c r="N332" s="458" t="n">
        <v>3</v>
      </c>
      <c r="O332" s="458" t="n">
        <v>2</v>
      </c>
      <c r="P332" s="458" t="n">
        <v>215</v>
      </c>
      <c r="Q332" s="318" t="n"/>
      <c r="V332" s="458" t="n">
        <v>15.3</v>
      </c>
      <c r="W332" s="458" t="n">
        <v>12</v>
      </c>
    </row>
    <row r="333">
      <c r="A333" s="458" t="inlineStr">
        <is>
          <t>행당동</t>
        </is>
      </c>
      <c r="B333" s="159" t="inlineStr">
        <is>
          <t>4행당응봉</t>
        </is>
      </c>
      <c r="C333" s="159" t="inlineStr">
        <is>
          <t>중</t>
        </is>
      </c>
      <c r="D333" s="458" t="n">
        <v>27044</v>
      </c>
      <c r="E333" s="288" t="inlineStr">
        <is>
          <t>서울숲행당푸르지오</t>
        </is>
      </c>
      <c r="F333" s="458" t="n">
        <v>2011.05</v>
      </c>
      <c r="G333" s="458" t="n">
        <v>457</v>
      </c>
      <c r="H333" s="458">
        <f>2026-INT(F333)+1</f>
        <v/>
      </c>
      <c r="J333" s="458" t="n">
        <v>143</v>
      </c>
      <c r="K333" s="458" t="n">
        <v>114</v>
      </c>
      <c r="L333" s="458" t="n">
        <v>43</v>
      </c>
      <c r="M333" s="458" t="inlineStr">
        <is>
          <t>계단식</t>
        </is>
      </c>
      <c r="N333" s="458" t="n">
        <v>4</v>
      </c>
      <c r="O333" s="458" t="n">
        <v>2</v>
      </c>
      <c r="P333" s="458" t="n">
        <v>51</v>
      </c>
      <c r="Q333" s="318" t="n"/>
      <c r="V333" s="458" t="n">
        <v>16.99</v>
      </c>
    </row>
    <row r="334">
      <c r="A334" s="285" t="inlineStr">
        <is>
          <t>행당동</t>
        </is>
      </c>
      <c r="B334" s="307" t="inlineStr">
        <is>
          <t>4행당응봉</t>
        </is>
      </c>
      <c r="C334" s="307" t="inlineStr">
        <is>
          <t>하</t>
        </is>
      </c>
      <c r="D334" s="285" t="n">
        <v>332</v>
      </c>
      <c r="E334" s="286" t="inlineStr">
        <is>
          <t>신동아</t>
        </is>
      </c>
      <c r="F334" s="285" t="n">
        <v>1995.05</v>
      </c>
      <c r="G334" s="285" t="n">
        <v>636</v>
      </c>
      <c r="H334" s="285">
        <f>2026-INT(F334)+1</f>
        <v/>
      </c>
      <c r="I334" s="285" t="n"/>
      <c r="J334" s="285" t="n">
        <v>76</v>
      </c>
      <c r="K334" s="285" t="n">
        <v>59</v>
      </c>
      <c r="L334" s="285" t="n">
        <v>23</v>
      </c>
      <c r="M334" s="285" t="inlineStr">
        <is>
          <t>계단식</t>
        </is>
      </c>
      <c r="N334" s="285" t="n">
        <v>2</v>
      </c>
      <c r="O334" s="285" t="n">
        <v>1</v>
      </c>
      <c r="P334" s="285" t="n">
        <v>15</v>
      </c>
      <c r="Q334" s="316" t="n"/>
      <c r="R334" s="285" t="n"/>
      <c r="S334" s="285" t="n"/>
      <c r="T334" s="285" t="n"/>
      <c r="U334" s="285" t="n"/>
      <c r="V334" s="285" t="n">
        <v>10.28</v>
      </c>
      <c r="W334" s="285" t="n">
        <v>6.97</v>
      </c>
      <c r="X334" s="285" t="n"/>
      <c r="Y334" s="285" t="n"/>
      <c r="Z334" s="285" t="n"/>
      <c r="AA334" s="285" t="n"/>
      <c r="AB334" s="285" t="n"/>
      <c r="AC334" s="285" t="n"/>
      <c r="AD334" s="285" t="n"/>
      <c r="AE334" s="285" t="n"/>
      <c r="AF334" s="285" t="n"/>
      <c r="AG334" s="285" t="n"/>
      <c r="AH334" s="285" t="n"/>
      <c r="AI334" s="285" t="n"/>
      <c r="AJ334" s="285" t="n"/>
      <c r="AK334" s="285" t="n"/>
      <c r="AL334" s="285" t="n"/>
    </row>
    <row r="335">
      <c r="A335" s="285" t="inlineStr">
        <is>
          <t>행당동</t>
        </is>
      </c>
      <c r="B335" s="307" t="inlineStr">
        <is>
          <t>4행당응봉</t>
        </is>
      </c>
      <c r="C335" s="307" t="inlineStr">
        <is>
          <t>하</t>
        </is>
      </c>
      <c r="D335" s="285" t="n">
        <v>332</v>
      </c>
      <c r="E335" s="286" t="inlineStr">
        <is>
          <t>신동아</t>
        </is>
      </c>
      <c r="F335" s="285" t="n">
        <v>1995.05</v>
      </c>
      <c r="G335" s="285" t="n">
        <v>636</v>
      </c>
      <c r="H335" s="285">
        <f>2026-INT(F335)+1</f>
        <v/>
      </c>
      <c r="I335" s="285" t="n"/>
      <c r="J335" s="285" t="n">
        <v>81</v>
      </c>
      <c r="K335" s="285" t="n">
        <v>59</v>
      </c>
      <c r="L335" s="285" t="n">
        <v>25</v>
      </c>
      <c r="M335" s="285" t="inlineStr">
        <is>
          <t>복도식</t>
        </is>
      </c>
      <c r="N335" s="285" t="n">
        <v>2</v>
      </c>
      <c r="O335" s="285" t="n">
        <v>1</v>
      </c>
      <c r="P335" s="285" t="n">
        <v>323</v>
      </c>
      <c r="Q335" s="316" t="n"/>
      <c r="R335" s="285" t="n"/>
      <c r="S335" s="285" t="n"/>
      <c r="T335" s="285" t="n"/>
      <c r="U335" s="285" t="n"/>
      <c r="V335" s="285" t="n">
        <v>10.28</v>
      </c>
      <c r="W335" s="285" t="n">
        <v>6.97</v>
      </c>
      <c r="X335" s="285" t="n"/>
      <c r="Y335" s="285" t="n"/>
      <c r="Z335" s="285" t="n"/>
      <c r="AA335" s="285" t="n"/>
      <c r="AB335" s="285" t="n"/>
      <c r="AC335" s="285" t="n"/>
      <c r="AD335" s="285" t="n"/>
      <c r="AE335" s="285" t="n"/>
      <c r="AF335" s="285" t="n"/>
      <c r="AG335" s="285" t="n"/>
      <c r="AH335" s="285" t="n"/>
      <c r="AI335" s="285" t="n"/>
      <c r="AJ335" s="285" t="n"/>
      <c r="AK335" s="285" t="n"/>
      <c r="AL335" s="285" t="n"/>
    </row>
    <row r="336">
      <c r="A336" s="285" t="inlineStr">
        <is>
          <t>행당동</t>
        </is>
      </c>
      <c r="B336" s="307" t="inlineStr">
        <is>
          <t>4행당응봉</t>
        </is>
      </c>
      <c r="C336" s="307" t="inlineStr">
        <is>
          <t>하</t>
        </is>
      </c>
      <c r="D336" s="285" t="n">
        <v>332</v>
      </c>
      <c r="E336" s="286" t="inlineStr">
        <is>
          <t>신동아</t>
        </is>
      </c>
      <c r="F336" s="285" t="n">
        <v>1995.05</v>
      </c>
      <c r="G336" s="285" t="n">
        <v>636</v>
      </c>
      <c r="H336" s="285">
        <f>2026-INT(F336)+1</f>
        <v/>
      </c>
      <c r="I336" s="285" t="n"/>
      <c r="J336" s="285" t="n">
        <v>95</v>
      </c>
      <c r="K336" s="285" t="n">
        <v>76</v>
      </c>
      <c r="L336" s="285" t="n">
        <v>29</v>
      </c>
      <c r="M336" s="285" t="inlineStr">
        <is>
          <t>계단식</t>
        </is>
      </c>
      <c r="N336" s="285" t="n">
        <v>3</v>
      </c>
      <c r="O336" s="285" t="n">
        <v>1</v>
      </c>
      <c r="P336" s="285" t="n">
        <v>58</v>
      </c>
      <c r="Q336" s="316" t="n"/>
      <c r="R336" s="285" t="n"/>
      <c r="S336" s="285" t="n"/>
      <c r="T336" s="285" t="n"/>
      <c r="U336" s="285" t="n"/>
      <c r="V336" s="285" t="n"/>
      <c r="W336" s="285" t="n"/>
      <c r="X336" s="285" t="n"/>
      <c r="Y336" s="285" t="n"/>
      <c r="Z336" s="285" t="n"/>
      <c r="AA336" s="285" t="n"/>
      <c r="AB336" s="285" t="n"/>
      <c r="AC336" s="285" t="n"/>
      <c r="AD336" s="285" t="n"/>
      <c r="AE336" s="285" t="n"/>
      <c r="AF336" s="285" t="n"/>
      <c r="AG336" s="285" t="n"/>
      <c r="AH336" s="285" t="n"/>
      <c r="AI336" s="285" t="n"/>
      <c r="AJ336" s="285" t="n"/>
      <c r="AK336" s="285" t="n"/>
      <c r="AL336" s="285" t="n"/>
    </row>
    <row r="337">
      <c r="A337" s="285" t="inlineStr">
        <is>
          <t>행당동</t>
        </is>
      </c>
      <c r="B337" s="307" t="inlineStr">
        <is>
          <t>4행당응봉</t>
        </is>
      </c>
      <c r="C337" s="307" t="inlineStr">
        <is>
          <t>하</t>
        </is>
      </c>
      <c r="D337" s="285" t="n">
        <v>332</v>
      </c>
      <c r="E337" s="286" t="inlineStr">
        <is>
          <t>신동아</t>
        </is>
      </c>
      <c r="F337" s="285" t="n">
        <v>1995.05</v>
      </c>
      <c r="G337" s="285" t="n">
        <v>636</v>
      </c>
      <c r="H337" s="285">
        <f>2026-INT(F337)+1</f>
        <v/>
      </c>
      <c r="I337" s="285" t="n"/>
      <c r="J337" s="285" t="n">
        <v>102</v>
      </c>
      <c r="K337" s="285" t="n">
        <v>84</v>
      </c>
      <c r="L337" s="285" t="n">
        <v>31</v>
      </c>
      <c r="M337" s="285" t="inlineStr">
        <is>
          <t>계단식</t>
        </is>
      </c>
      <c r="N337" s="285" t="n">
        <v>3</v>
      </c>
      <c r="O337" s="285" t="n">
        <v>1</v>
      </c>
      <c r="P337" s="285" t="n">
        <v>150</v>
      </c>
      <c r="Q337" s="316" t="n"/>
      <c r="R337" s="285" t="n"/>
      <c r="S337" s="285" t="n"/>
      <c r="T337" s="285" t="n"/>
      <c r="U337" s="285" t="n"/>
      <c r="V337" s="285" t="n">
        <v>11.4</v>
      </c>
      <c r="W337" s="285" t="n">
        <v>9.300000000000001</v>
      </c>
      <c r="X337" s="285" t="n"/>
      <c r="Y337" s="285" t="n"/>
      <c r="Z337" s="285" t="n"/>
      <c r="AA337" s="285" t="n"/>
      <c r="AB337" s="285" t="n"/>
      <c r="AC337" s="285" t="n"/>
      <c r="AD337" s="285" t="n"/>
      <c r="AE337" s="285" t="n"/>
      <c r="AF337" s="285" t="n"/>
      <c r="AG337" s="285" t="n"/>
      <c r="AH337" s="285" t="n"/>
      <c r="AI337" s="285" t="n"/>
      <c r="AJ337" s="285" t="n"/>
      <c r="AK337" s="285" t="n"/>
      <c r="AL337" s="285" t="n"/>
    </row>
    <row r="338">
      <c r="A338" s="285" t="inlineStr">
        <is>
          <t>행당동</t>
        </is>
      </c>
      <c r="B338" s="307" t="inlineStr">
        <is>
          <t>4행당응봉</t>
        </is>
      </c>
      <c r="C338" s="307" t="inlineStr">
        <is>
          <t>하</t>
        </is>
      </c>
      <c r="D338" s="285" t="n">
        <v>332</v>
      </c>
      <c r="E338" s="286" t="inlineStr">
        <is>
          <t>신동아</t>
        </is>
      </c>
      <c r="F338" s="285" t="n">
        <v>1995.05</v>
      </c>
      <c r="G338" s="285" t="n">
        <v>636</v>
      </c>
      <c r="H338" s="285">
        <f>2026-INT(F338)+1</f>
        <v/>
      </c>
      <c r="I338" s="285" t="n"/>
      <c r="J338" s="285" t="n">
        <v>134</v>
      </c>
      <c r="K338" s="285" t="n">
        <v>114</v>
      </c>
      <c r="L338" s="285" t="n">
        <v>41</v>
      </c>
      <c r="M338" s="285" t="inlineStr">
        <is>
          <t>계단식</t>
        </is>
      </c>
      <c r="N338" s="285" t="n">
        <v>4</v>
      </c>
      <c r="O338" s="285" t="n">
        <v>2</v>
      </c>
      <c r="P338" s="285" t="n">
        <v>90</v>
      </c>
      <c r="Q338" s="316" t="n"/>
      <c r="R338" s="285" t="n"/>
      <c r="S338" s="285" t="n"/>
      <c r="T338" s="285" t="n"/>
      <c r="U338" s="285" t="n"/>
      <c r="V338" s="285" t="n">
        <v>12.5</v>
      </c>
      <c r="W338" s="285" t="n">
        <v>10.5</v>
      </c>
      <c r="X338" s="285" t="n"/>
      <c r="Y338" s="285" t="n"/>
      <c r="Z338" s="285" t="n"/>
      <c r="AA338" s="285" t="n"/>
      <c r="AB338" s="285" t="n"/>
      <c r="AC338" s="285" t="n"/>
      <c r="AD338" s="285" t="n"/>
      <c r="AE338" s="285" t="n"/>
      <c r="AF338" s="285" t="n"/>
      <c r="AG338" s="285" t="n"/>
      <c r="AH338" s="285" t="n"/>
      <c r="AI338" s="285" t="n"/>
      <c r="AJ338" s="285" t="n"/>
      <c r="AK338" s="285" t="n"/>
      <c r="AL338" s="285" t="n"/>
    </row>
    <row r="339">
      <c r="A339" s="458" t="inlineStr">
        <is>
          <t>행당동</t>
        </is>
      </c>
      <c r="B339" s="159" t="inlineStr">
        <is>
          <t>4행당응봉</t>
        </is>
      </c>
      <c r="C339" s="159" t="inlineStr">
        <is>
          <t>중</t>
        </is>
      </c>
      <c r="D339" s="458" t="n">
        <v>950</v>
      </c>
      <c r="E339" s="288" t="inlineStr">
        <is>
          <t>행당대림</t>
        </is>
      </c>
      <c r="F339" s="458" t="n">
        <v>2000.12</v>
      </c>
      <c r="G339" s="458" t="n">
        <v>3404</v>
      </c>
      <c r="H339" s="458">
        <f>2026-INT(F339)+1</f>
        <v/>
      </c>
      <c r="J339" s="458" t="n">
        <v>83</v>
      </c>
      <c r="K339" s="458" t="n">
        <v>59</v>
      </c>
      <c r="L339" s="458" t="n">
        <v>25</v>
      </c>
      <c r="M339" s="458" t="inlineStr">
        <is>
          <t>복도식</t>
        </is>
      </c>
      <c r="N339" s="458" t="n">
        <v>3</v>
      </c>
      <c r="O339" s="458" t="n">
        <v>1</v>
      </c>
      <c r="P339" s="458" t="n">
        <v>705</v>
      </c>
      <c r="Q339" s="318" t="n"/>
      <c r="V339" s="458" t="n">
        <v>12.05</v>
      </c>
      <c r="W339" s="458" t="n">
        <v>8</v>
      </c>
    </row>
    <row r="340">
      <c r="A340" s="458" t="inlineStr">
        <is>
          <t>행당동</t>
        </is>
      </c>
      <c r="B340" s="159" t="inlineStr">
        <is>
          <t>4행당응봉</t>
        </is>
      </c>
      <c r="C340" s="159" t="inlineStr">
        <is>
          <t>중</t>
        </is>
      </c>
      <c r="D340" s="458" t="n">
        <v>950</v>
      </c>
      <c r="E340" s="288" t="inlineStr">
        <is>
          <t>행당대림</t>
        </is>
      </c>
      <c r="F340" s="458" t="n">
        <v>2000.12</v>
      </c>
      <c r="G340" s="458" t="n">
        <v>3404</v>
      </c>
      <c r="H340" s="458">
        <f>2026-INT(F340)+1</f>
        <v/>
      </c>
      <c r="J340" s="458" t="n">
        <v>104</v>
      </c>
      <c r="K340" s="458" t="n">
        <v>84</v>
      </c>
      <c r="L340" s="458" t="n">
        <v>31</v>
      </c>
      <c r="M340" s="458" t="inlineStr">
        <is>
          <t>계단식</t>
        </is>
      </c>
      <c r="N340" s="458" t="n">
        <v>3</v>
      </c>
      <c r="O340" s="458" t="n">
        <v>2</v>
      </c>
      <c r="P340" s="458" t="n">
        <v>1034</v>
      </c>
      <c r="Q340" s="318" t="n"/>
      <c r="V340" s="458" t="n">
        <v>14.22</v>
      </c>
      <c r="W340" s="458" t="n">
        <v>9.4</v>
      </c>
    </row>
    <row r="341">
      <c r="A341" s="458" t="inlineStr">
        <is>
          <t>행당동</t>
        </is>
      </c>
      <c r="B341" s="159" t="inlineStr">
        <is>
          <t>4행당응봉</t>
        </is>
      </c>
      <c r="C341" s="159" t="inlineStr">
        <is>
          <t>중</t>
        </is>
      </c>
      <c r="D341" s="458" t="n">
        <v>950</v>
      </c>
      <c r="E341" s="288" t="inlineStr">
        <is>
          <t>행당대림</t>
        </is>
      </c>
      <c r="F341" s="458" t="n">
        <v>2000.12</v>
      </c>
      <c r="G341" s="458" t="n">
        <v>3404</v>
      </c>
      <c r="H341" s="458">
        <f>2026-INT(F341)+1</f>
        <v/>
      </c>
      <c r="J341" s="458" t="n">
        <v>137</v>
      </c>
      <c r="K341" s="458" t="n">
        <v>114</v>
      </c>
      <c r="L341" s="458" t="n">
        <v>41</v>
      </c>
      <c r="M341" s="458" t="inlineStr">
        <is>
          <t>계단식</t>
        </is>
      </c>
      <c r="N341" s="458" t="n">
        <v>4</v>
      </c>
      <c r="O341" s="458" t="n">
        <v>2</v>
      </c>
      <c r="P341" s="458" t="n">
        <v>660</v>
      </c>
      <c r="Q341" s="318" t="n"/>
      <c r="V341" s="458" t="n">
        <v>16.3</v>
      </c>
      <c r="W341" s="458" t="n">
        <v>10.88</v>
      </c>
    </row>
    <row r="342">
      <c r="A342" s="285" t="inlineStr">
        <is>
          <t>행당동</t>
        </is>
      </c>
      <c r="B342" s="307" t="inlineStr">
        <is>
          <t>4행당응봉</t>
        </is>
      </c>
      <c r="C342" s="307" t="inlineStr">
        <is>
          <t>중</t>
        </is>
      </c>
      <c r="D342" s="285" t="n">
        <v>8562</v>
      </c>
      <c r="E342" s="286" t="inlineStr">
        <is>
          <t>행당브라운스톤</t>
        </is>
      </c>
      <c r="F342" s="285" t="n">
        <v>2005.09</v>
      </c>
      <c r="G342" s="285" t="n">
        <v>208</v>
      </c>
      <c r="H342" s="285">
        <f>2026-INT(F342)+1</f>
        <v/>
      </c>
      <c r="I342" s="285" t="n"/>
      <c r="J342" s="285" t="n">
        <v>77</v>
      </c>
      <c r="K342" s="285" t="n">
        <v>59</v>
      </c>
      <c r="L342" s="285" t="n">
        <v>23</v>
      </c>
      <c r="M342" s="285" t="inlineStr">
        <is>
          <t>계단식</t>
        </is>
      </c>
      <c r="N342" s="285" t="n">
        <v>3</v>
      </c>
      <c r="O342" s="285" t="n">
        <v>2</v>
      </c>
      <c r="P342" s="285" t="n">
        <v>100</v>
      </c>
      <c r="Q342" s="316" t="n"/>
      <c r="R342" s="285" t="n"/>
      <c r="S342" s="285" t="n"/>
      <c r="T342" s="285" t="n"/>
      <c r="U342" s="285" t="n"/>
      <c r="V342" s="285" t="n">
        <v>11.6</v>
      </c>
      <c r="W342" s="285" t="n">
        <v>8.4</v>
      </c>
      <c r="X342" s="285" t="n"/>
      <c r="Y342" s="285" t="n"/>
      <c r="Z342" s="285" t="n"/>
      <c r="AA342" s="285" t="n"/>
      <c r="AB342" s="285" t="n"/>
      <c r="AC342" s="285" t="n"/>
      <c r="AD342" s="285" t="n"/>
      <c r="AE342" s="285" t="n"/>
      <c r="AF342" s="285" t="n"/>
      <c r="AG342" s="285" t="n"/>
      <c r="AH342" s="285" t="n"/>
      <c r="AI342" s="285" t="n"/>
      <c r="AJ342" s="285" t="n"/>
      <c r="AK342" s="285" t="n"/>
      <c r="AL342" s="285" t="n"/>
    </row>
    <row r="343">
      <c r="A343" s="285" t="inlineStr">
        <is>
          <t>행당동</t>
        </is>
      </c>
      <c r="B343" s="307" t="inlineStr">
        <is>
          <t>4행당응봉</t>
        </is>
      </c>
      <c r="C343" s="307" t="inlineStr">
        <is>
          <t>중</t>
        </is>
      </c>
      <c r="D343" s="285" t="n">
        <v>8562</v>
      </c>
      <c r="E343" s="286" t="inlineStr">
        <is>
          <t>행당브라운스톤</t>
        </is>
      </c>
      <c r="F343" s="285" t="n">
        <v>2005.09</v>
      </c>
      <c r="G343" s="285" t="n">
        <v>208</v>
      </c>
      <c r="H343" s="285">
        <f>2026-INT(F343)+1</f>
        <v/>
      </c>
      <c r="I343" s="285" t="n"/>
      <c r="J343" s="285" t="n">
        <v>103</v>
      </c>
      <c r="K343" s="285" t="n">
        <v>84</v>
      </c>
      <c r="L343" s="285" t="n">
        <v>31</v>
      </c>
      <c r="M343" s="285" t="inlineStr">
        <is>
          <t>계단식</t>
        </is>
      </c>
      <c r="N343" s="285" t="n">
        <v>3</v>
      </c>
      <c r="O343" s="285" t="n">
        <v>2</v>
      </c>
      <c r="P343" s="285" t="n">
        <v>78</v>
      </c>
      <c r="Q343" s="316" t="n"/>
      <c r="R343" s="285" t="n"/>
      <c r="S343" s="285" t="n"/>
      <c r="T343" s="285" t="n"/>
      <c r="U343" s="285" t="n"/>
      <c r="V343" s="285" t="n">
        <v>14.4</v>
      </c>
      <c r="W343" s="285" t="n">
        <v>9.199999999999999</v>
      </c>
      <c r="X343" s="285" t="n"/>
      <c r="Y343" s="285" t="n"/>
      <c r="Z343" s="285" t="n"/>
      <c r="AA343" s="285" t="n"/>
      <c r="AB343" s="285" t="n"/>
      <c r="AC343" s="285" t="n"/>
      <c r="AD343" s="285" t="n"/>
      <c r="AE343" s="285" t="n"/>
      <c r="AF343" s="285" t="n"/>
      <c r="AG343" s="285" t="n"/>
      <c r="AH343" s="285" t="n"/>
      <c r="AI343" s="285" t="n"/>
      <c r="AJ343" s="285" t="n"/>
      <c r="AK343" s="285" t="n"/>
      <c r="AL343" s="285" t="n"/>
    </row>
    <row r="344">
      <c r="A344" s="285" t="inlineStr">
        <is>
          <t>행당동</t>
        </is>
      </c>
      <c r="B344" s="307" t="inlineStr">
        <is>
          <t>4행당응봉</t>
        </is>
      </c>
      <c r="C344" s="307" t="inlineStr">
        <is>
          <t>중</t>
        </is>
      </c>
      <c r="D344" s="285" t="n">
        <v>8562</v>
      </c>
      <c r="E344" s="286" t="inlineStr">
        <is>
          <t>행당브라운스톤</t>
        </is>
      </c>
      <c r="F344" s="285" t="n">
        <v>2005.09</v>
      </c>
      <c r="G344" s="285" t="n">
        <v>208</v>
      </c>
      <c r="H344" s="285">
        <f>2026-INT(F344)+1</f>
        <v/>
      </c>
      <c r="I344" s="285" t="n"/>
      <c r="J344" s="285" t="n">
        <v>141</v>
      </c>
      <c r="K344" s="285" t="n">
        <v>114</v>
      </c>
      <c r="L344" s="285" t="n">
        <v>43</v>
      </c>
      <c r="M344" s="285" t="inlineStr">
        <is>
          <t>계단식</t>
        </is>
      </c>
      <c r="N344" s="285" t="n">
        <v>4</v>
      </c>
      <c r="O344" s="285" t="n">
        <v>2</v>
      </c>
      <c r="P344" s="285" t="n">
        <v>30</v>
      </c>
      <c r="Q344" s="316" t="n"/>
      <c r="R344" s="285" t="n"/>
      <c r="S344" s="285" t="n"/>
      <c r="T344" s="285" t="n"/>
      <c r="U344" s="285" t="n"/>
      <c r="V344" s="285" t="n"/>
      <c r="W344" s="285" t="n">
        <v>13</v>
      </c>
      <c r="X344" s="285" t="n"/>
      <c r="Y344" s="285" t="n"/>
      <c r="Z344" s="285" t="n"/>
      <c r="AA344" s="285" t="n"/>
      <c r="AB344" s="285" t="n"/>
      <c r="AC344" s="285" t="n"/>
      <c r="AD344" s="285" t="n"/>
      <c r="AE344" s="285" t="n"/>
      <c r="AF344" s="285" t="n"/>
      <c r="AG344" s="285" t="n"/>
      <c r="AH344" s="285" t="n"/>
      <c r="AI344" s="285" t="n"/>
      <c r="AJ344" s="285" t="n"/>
      <c r="AK344" s="285" t="n"/>
      <c r="AL344" s="285" t="n"/>
    </row>
    <row r="345">
      <c r="A345" s="458" t="inlineStr">
        <is>
          <t>행당동</t>
        </is>
      </c>
      <c r="B345" s="159" t="inlineStr">
        <is>
          <t>4행당응봉</t>
        </is>
      </c>
      <c r="C345" s="159" t="inlineStr">
        <is>
          <t>중</t>
        </is>
      </c>
      <c r="D345" s="458" t="n">
        <v>878</v>
      </c>
      <c r="E345" s="288" t="inlineStr">
        <is>
          <t>행당한진타운</t>
        </is>
      </c>
      <c r="F345" s="458" t="n">
        <v>2000.11</v>
      </c>
      <c r="G345" s="458" t="n">
        <v>2123</v>
      </c>
      <c r="H345" s="458">
        <f>2026-INT(F345)+1</f>
        <v/>
      </c>
      <c r="J345" s="458" t="n">
        <v>86</v>
      </c>
      <c r="K345" s="458" t="n">
        <v>59</v>
      </c>
      <c r="L345" s="458" t="n">
        <v>26</v>
      </c>
      <c r="M345" s="458" t="inlineStr">
        <is>
          <t>복도식</t>
        </is>
      </c>
      <c r="N345" s="458" t="n">
        <v>3</v>
      </c>
      <c r="O345" s="458" t="n">
        <v>1</v>
      </c>
      <c r="P345" s="458" t="n">
        <v>748</v>
      </c>
      <c r="Q345" s="318" t="n"/>
      <c r="V345" s="458" t="n">
        <v>12.05</v>
      </c>
      <c r="W345" s="458" t="n">
        <v>8</v>
      </c>
    </row>
    <row r="346">
      <c r="A346" s="458" t="inlineStr">
        <is>
          <t>행당동</t>
        </is>
      </c>
      <c r="B346" s="159" t="inlineStr">
        <is>
          <t>4행당응봉</t>
        </is>
      </c>
      <c r="C346" s="159" t="inlineStr">
        <is>
          <t>중</t>
        </is>
      </c>
      <c r="D346" s="458" t="n">
        <v>878</v>
      </c>
      <c r="E346" s="288" t="inlineStr">
        <is>
          <t>행당한진타운</t>
        </is>
      </c>
      <c r="F346" s="458" t="n">
        <v>2000.11</v>
      </c>
      <c r="G346" s="458" t="n">
        <v>2123</v>
      </c>
      <c r="H346" s="458">
        <f>2026-INT(F346)+1</f>
        <v/>
      </c>
      <c r="J346" s="458" t="n">
        <v>108</v>
      </c>
      <c r="K346" s="458" t="n">
        <v>84</v>
      </c>
      <c r="L346" s="458" t="n">
        <v>33</v>
      </c>
      <c r="M346" s="458" t="inlineStr">
        <is>
          <t>계단식</t>
        </is>
      </c>
      <c r="N346" s="458" t="n">
        <v>3</v>
      </c>
      <c r="O346" s="458" t="n">
        <v>2</v>
      </c>
      <c r="P346" s="458" t="n">
        <v>805</v>
      </c>
      <c r="Q346" s="318" t="n"/>
      <c r="V346" s="458" t="n">
        <v>14.7</v>
      </c>
      <c r="W346" s="458" t="n">
        <v>10.7</v>
      </c>
    </row>
    <row r="347">
      <c r="A347" s="458" t="inlineStr">
        <is>
          <t>행당동</t>
        </is>
      </c>
      <c r="B347" s="159" t="inlineStr">
        <is>
          <t>4행당응봉</t>
        </is>
      </c>
      <c r="C347" s="159" t="inlineStr">
        <is>
          <t>중</t>
        </is>
      </c>
      <c r="D347" s="458" t="n">
        <v>878</v>
      </c>
      <c r="E347" s="288" t="inlineStr">
        <is>
          <t>행당한진타운</t>
        </is>
      </c>
      <c r="F347" s="458" t="n">
        <v>2000.11</v>
      </c>
      <c r="G347" s="458" t="n">
        <v>2123</v>
      </c>
      <c r="H347" s="458">
        <f>2026-INT(F347)+1</f>
        <v/>
      </c>
      <c r="J347" s="458" t="n">
        <v>144</v>
      </c>
      <c r="K347" s="458" t="n">
        <v>114</v>
      </c>
      <c r="L347" s="458" t="n">
        <v>44</v>
      </c>
      <c r="M347" s="458" t="inlineStr">
        <is>
          <t>계단식</t>
        </is>
      </c>
      <c r="N347" s="458" t="n">
        <v>4</v>
      </c>
      <c r="O347" s="458" t="n">
        <v>2</v>
      </c>
      <c r="P347" s="458" t="n">
        <v>570</v>
      </c>
      <c r="Q347" s="318" t="n"/>
      <c r="V347" s="458" t="n">
        <v>16.3</v>
      </c>
      <c r="W347" s="458" t="n">
        <v>10.88</v>
      </c>
    </row>
  </sheetData>
  <autoFilter ref="A4:AW347">
    <sortState ref="A5:AW235">
      <sortCondition ref="C4:C347"/>
    </sortState>
  </autoFilter>
  <mergeCells count="3">
    <mergeCell ref="B3:C3"/>
    <mergeCell ref="AI3:AM3"/>
    <mergeCell ref="Q3:U3"/>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 xmlns:r="http://schemas.openxmlformats.org/officeDocument/2006/relationships" ref="E236" r:id="rId232"/>
    <hyperlink xmlns:r="http://schemas.openxmlformats.org/officeDocument/2006/relationships" ref="E237" r:id="rId233"/>
    <hyperlink xmlns:r="http://schemas.openxmlformats.org/officeDocument/2006/relationships" ref="E238" r:id="rId234"/>
    <hyperlink xmlns:r="http://schemas.openxmlformats.org/officeDocument/2006/relationships" ref="E239" r:id="rId235"/>
    <hyperlink xmlns:r="http://schemas.openxmlformats.org/officeDocument/2006/relationships" ref="E240" r:id="rId236"/>
    <hyperlink xmlns:r="http://schemas.openxmlformats.org/officeDocument/2006/relationships" ref="E241" r:id="rId237"/>
    <hyperlink xmlns:r="http://schemas.openxmlformats.org/officeDocument/2006/relationships" ref="E242" r:id="rId238"/>
    <hyperlink xmlns:r="http://schemas.openxmlformats.org/officeDocument/2006/relationships" ref="E243" r:id="rId239"/>
    <hyperlink xmlns:r="http://schemas.openxmlformats.org/officeDocument/2006/relationships" ref="E244" r:id="rId240"/>
    <hyperlink xmlns:r="http://schemas.openxmlformats.org/officeDocument/2006/relationships" ref="E245" r:id="rId241"/>
    <hyperlink xmlns:r="http://schemas.openxmlformats.org/officeDocument/2006/relationships" ref="E246" r:id="rId242"/>
    <hyperlink xmlns:r="http://schemas.openxmlformats.org/officeDocument/2006/relationships" ref="E247" r:id="rId243"/>
    <hyperlink xmlns:r="http://schemas.openxmlformats.org/officeDocument/2006/relationships" ref="E248" r:id="rId244"/>
    <hyperlink xmlns:r="http://schemas.openxmlformats.org/officeDocument/2006/relationships" ref="E249" r:id="rId245"/>
    <hyperlink xmlns:r="http://schemas.openxmlformats.org/officeDocument/2006/relationships" ref="E250" r:id="rId246"/>
    <hyperlink xmlns:r="http://schemas.openxmlformats.org/officeDocument/2006/relationships" ref="E251" r:id="rId247"/>
    <hyperlink xmlns:r="http://schemas.openxmlformats.org/officeDocument/2006/relationships" ref="E252" r:id="rId248"/>
    <hyperlink xmlns:r="http://schemas.openxmlformats.org/officeDocument/2006/relationships" ref="E253" r:id="rId249"/>
    <hyperlink xmlns:r="http://schemas.openxmlformats.org/officeDocument/2006/relationships" ref="E254" r:id="rId250"/>
    <hyperlink xmlns:r="http://schemas.openxmlformats.org/officeDocument/2006/relationships" ref="E255" r:id="rId251"/>
    <hyperlink xmlns:r="http://schemas.openxmlformats.org/officeDocument/2006/relationships" ref="E256" r:id="rId252"/>
    <hyperlink xmlns:r="http://schemas.openxmlformats.org/officeDocument/2006/relationships" ref="E257" r:id="rId253"/>
    <hyperlink xmlns:r="http://schemas.openxmlformats.org/officeDocument/2006/relationships" ref="E258" r:id="rId254"/>
    <hyperlink xmlns:r="http://schemas.openxmlformats.org/officeDocument/2006/relationships" ref="E259" r:id="rId255"/>
    <hyperlink xmlns:r="http://schemas.openxmlformats.org/officeDocument/2006/relationships" ref="E260" r:id="rId256"/>
    <hyperlink xmlns:r="http://schemas.openxmlformats.org/officeDocument/2006/relationships" ref="E261" r:id="rId257"/>
    <hyperlink xmlns:r="http://schemas.openxmlformats.org/officeDocument/2006/relationships" ref="E262" r:id="rId258"/>
    <hyperlink xmlns:r="http://schemas.openxmlformats.org/officeDocument/2006/relationships" ref="E263" r:id="rId259"/>
    <hyperlink xmlns:r="http://schemas.openxmlformats.org/officeDocument/2006/relationships" ref="E264" r:id="rId260"/>
    <hyperlink xmlns:r="http://schemas.openxmlformats.org/officeDocument/2006/relationships" ref="E265" r:id="rId261"/>
    <hyperlink xmlns:r="http://schemas.openxmlformats.org/officeDocument/2006/relationships" ref="E266" r:id="rId262"/>
    <hyperlink xmlns:r="http://schemas.openxmlformats.org/officeDocument/2006/relationships" ref="E267" r:id="rId263"/>
    <hyperlink xmlns:r="http://schemas.openxmlformats.org/officeDocument/2006/relationships" ref="E268" r:id="rId264"/>
    <hyperlink xmlns:r="http://schemas.openxmlformats.org/officeDocument/2006/relationships" ref="E269" r:id="rId265"/>
    <hyperlink xmlns:r="http://schemas.openxmlformats.org/officeDocument/2006/relationships" ref="E270" r:id="rId266"/>
    <hyperlink xmlns:r="http://schemas.openxmlformats.org/officeDocument/2006/relationships" ref="E271" r:id="rId267"/>
    <hyperlink xmlns:r="http://schemas.openxmlformats.org/officeDocument/2006/relationships" ref="E272" r:id="rId268"/>
    <hyperlink xmlns:r="http://schemas.openxmlformats.org/officeDocument/2006/relationships" ref="E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E276" r:id="rId272"/>
    <hyperlink xmlns:r="http://schemas.openxmlformats.org/officeDocument/2006/relationships" ref="E277" r:id="rId273"/>
    <hyperlink xmlns:r="http://schemas.openxmlformats.org/officeDocument/2006/relationships" ref="E278" r:id="rId274"/>
    <hyperlink xmlns:r="http://schemas.openxmlformats.org/officeDocument/2006/relationships" ref="E279" r:id="rId275"/>
    <hyperlink xmlns:r="http://schemas.openxmlformats.org/officeDocument/2006/relationships" ref="E280" r:id="rId276"/>
    <hyperlink xmlns:r="http://schemas.openxmlformats.org/officeDocument/2006/relationships" ref="E281" r:id="rId277"/>
    <hyperlink xmlns:r="http://schemas.openxmlformats.org/officeDocument/2006/relationships" ref="E282" r:id="rId278"/>
    <hyperlink xmlns:r="http://schemas.openxmlformats.org/officeDocument/2006/relationships" ref="E283" r:id="rId279"/>
    <hyperlink xmlns:r="http://schemas.openxmlformats.org/officeDocument/2006/relationships" ref="E284" r:id="rId280"/>
    <hyperlink xmlns:r="http://schemas.openxmlformats.org/officeDocument/2006/relationships" ref="E285" r:id="rId281"/>
    <hyperlink xmlns:r="http://schemas.openxmlformats.org/officeDocument/2006/relationships" ref="E286" r:id="rId282"/>
    <hyperlink xmlns:r="http://schemas.openxmlformats.org/officeDocument/2006/relationships" ref="E287" r:id="rId283"/>
    <hyperlink xmlns:r="http://schemas.openxmlformats.org/officeDocument/2006/relationships" ref="E288" r:id="rId284"/>
    <hyperlink xmlns:r="http://schemas.openxmlformats.org/officeDocument/2006/relationships" ref="E289" r:id="rId285"/>
    <hyperlink xmlns:r="http://schemas.openxmlformats.org/officeDocument/2006/relationships" ref="E290" r:id="rId286"/>
    <hyperlink xmlns:r="http://schemas.openxmlformats.org/officeDocument/2006/relationships" ref="E291" r:id="rId287"/>
    <hyperlink xmlns:r="http://schemas.openxmlformats.org/officeDocument/2006/relationships" ref="E292" r:id="rId288"/>
    <hyperlink xmlns:r="http://schemas.openxmlformats.org/officeDocument/2006/relationships" ref="E293" r:id="rId289"/>
    <hyperlink xmlns:r="http://schemas.openxmlformats.org/officeDocument/2006/relationships" ref="E294" r:id="rId290"/>
    <hyperlink xmlns:r="http://schemas.openxmlformats.org/officeDocument/2006/relationships" ref="E295" r:id="rId291"/>
    <hyperlink xmlns:r="http://schemas.openxmlformats.org/officeDocument/2006/relationships" ref="E296" r:id="rId292"/>
    <hyperlink xmlns:r="http://schemas.openxmlformats.org/officeDocument/2006/relationships" ref="E297" r:id="rId293"/>
    <hyperlink xmlns:r="http://schemas.openxmlformats.org/officeDocument/2006/relationships" ref="E298" r:id="rId294"/>
    <hyperlink xmlns:r="http://schemas.openxmlformats.org/officeDocument/2006/relationships" ref="E299" r:id="rId295"/>
    <hyperlink xmlns:r="http://schemas.openxmlformats.org/officeDocument/2006/relationships" ref="E300" r:id="rId296"/>
    <hyperlink xmlns:r="http://schemas.openxmlformats.org/officeDocument/2006/relationships" ref="E301" r:id="rId297"/>
    <hyperlink xmlns:r="http://schemas.openxmlformats.org/officeDocument/2006/relationships" ref="E302" r:id="rId298"/>
    <hyperlink xmlns:r="http://schemas.openxmlformats.org/officeDocument/2006/relationships" ref="E303" r:id="rId299"/>
    <hyperlink xmlns:r="http://schemas.openxmlformats.org/officeDocument/2006/relationships" ref="E304" r:id="rId300"/>
    <hyperlink xmlns:r="http://schemas.openxmlformats.org/officeDocument/2006/relationships" ref="E305" r:id="rId301"/>
    <hyperlink xmlns:r="http://schemas.openxmlformats.org/officeDocument/2006/relationships" ref="E306" r:id="rId302"/>
    <hyperlink xmlns:r="http://schemas.openxmlformats.org/officeDocument/2006/relationships" ref="E307" r:id="rId303"/>
    <hyperlink xmlns:r="http://schemas.openxmlformats.org/officeDocument/2006/relationships" ref="E308" r:id="rId304"/>
    <hyperlink xmlns:r="http://schemas.openxmlformats.org/officeDocument/2006/relationships" ref="E309" r:id="rId305"/>
    <hyperlink xmlns:r="http://schemas.openxmlformats.org/officeDocument/2006/relationships" ref="E310" r:id="rId306"/>
    <hyperlink xmlns:r="http://schemas.openxmlformats.org/officeDocument/2006/relationships" ref="E311" r:id="rId307"/>
    <hyperlink xmlns:r="http://schemas.openxmlformats.org/officeDocument/2006/relationships" ref="E312" r:id="rId308"/>
    <hyperlink xmlns:r="http://schemas.openxmlformats.org/officeDocument/2006/relationships" ref="E313" r:id="rId309"/>
    <hyperlink xmlns:r="http://schemas.openxmlformats.org/officeDocument/2006/relationships" ref="E314" r:id="rId310"/>
    <hyperlink xmlns:r="http://schemas.openxmlformats.org/officeDocument/2006/relationships" ref="E315" r:id="rId311"/>
    <hyperlink xmlns:r="http://schemas.openxmlformats.org/officeDocument/2006/relationships" ref="E316" r:id="rId312"/>
    <hyperlink xmlns:r="http://schemas.openxmlformats.org/officeDocument/2006/relationships" ref="E317" r:id="rId313"/>
    <hyperlink xmlns:r="http://schemas.openxmlformats.org/officeDocument/2006/relationships" ref="E318" r:id="rId314"/>
    <hyperlink xmlns:r="http://schemas.openxmlformats.org/officeDocument/2006/relationships" ref="E319" r:id="rId315"/>
    <hyperlink xmlns:r="http://schemas.openxmlformats.org/officeDocument/2006/relationships" ref="E320" r:id="rId316"/>
    <hyperlink xmlns:r="http://schemas.openxmlformats.org/officeDocument/2006/relationships" ref="E321" r:id="rId317"/>
    <hyperlink xmlns:r="http://schemas.openxmlformats.org/officeDocument/2006/relationships" ref="E322" r:id="rId318"/>
    <hyperlink xmlns:r="http://schemas.openxmlformats.org/officeDocument/2006/relationships" ref="E323" r:id="rId319"/>
    <hyperlink xmlns:r="http://schemas.openxmlformats.org/officeDocument/2006/relationships" ref="E324" r:id="rId320"/>
    <hyperlink xmlns:r="http://schemas.openxmlformats.org/officeDocument/2006/relationships" ref="E325" r:id="rId321"/>
    <hyperlink xmlns:r="http://schemas.openxmlformats.org/officeDocument/2006/relationships" ref="E326" r:id="rId322"/>
    <hyperlink xmlns:r="http://schemas.openxmlformats.org/officeDocument/2006/relationships" ref="E327" r:id="rId323"/>
    <hyperlink xmlns:r="http://schemas.openxmlformats.org/officeDocument/2006/relationships" ref="E328" r:id="rId324"/>
    <hyperlink xmlns:r="http://schemas.openxmlformats.org/officeDocument/2006/relationships" ref="E329" r:id="rId325"/>
    <hyperlink xmlns:r="http://schemas.openxmlformats.org/officeDocument/2006/relationships" ref="E330" r:id="rId326"/>
    <hyperlink xmlns:r="http://schemas.openxmlformats.org/officeDocument/2006/relationships" ref="E331" r:id="rId327"/>
    <hyperlink xmlns:r="http://schemas.openxmlformats.org/officeDocument/2006/relationships" ref="E332" r:id="rId328"/>
    <hyperlink xmlns:r="http://schemas.openxmlformats.org/officeDocument/2006/relationships" ref="E333"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7" r:id="rId343"/>
  </hyperlinks>
  <pageMargins left="0.75" right="0.75" top="1" bottom="1" header="0.5" footer="0.5"/>
  <pageSetup orientation="portrait" paperSize="9" horizontalDpi="360" verticalDpi="360"/>
</worksheet>
</file>

<file path=xl/worksheets/sheet10.xml><?xml version="1.0" encoding="utf-8"?>
<worksheet xmlns="http://schemas.openxmlformats.org/spreadsheetml/2006/main">
  <sheetPr>
    <outlinePr summaryBelow="1" summaryRight="1"/>
    <pageSetUpPr/>
  </sheetPr>
  <dimension ref="A1:AU41"/>
  <sheetViews>
    <sheetView topLeftCell="B1" zoomScale="70" zoomScaleNormal="70" workbookViewId="0">
      <selection activeCell="J22" sqref="J22"/>
    </sheetView>
  </sheetViews>
  <sheetFormatPr baseColWidth="8" defaultRowHeight="14"/>
  <cols>
    <col width="7.54296875" bestFit="1" customWidth="1" style="458" min="1" max="1"/>
    <col width="15.08984375" customWidth="1" style="278" min="2" max="2"/>
    <col width="8.6328125" customWidth="1" style="476" min="3" max="3"/>
    <col width="8.7265625" customWidth="1" style="458" min="4" max="10"/>
    <col width="8.7265625" customWidth="1" style="458" min="11" max="11"/>
    <col width="11.6328125" customWidth="1" style="475" min="12" max="12"/>
    <col width="13.90625" bestFit="1" customWidth="1" style="476" min="13" max="13"/>
    <col width="14.08984375" bestFit="1" customWidth="1" style="476" min="14" max="14"/>
    <col width="24" bestFit="1" customWidth="1" style="112" min="15" max="15"/>
    <col width="19.54296875" bestFit="1" customWidth="1" style="476" min="16" max="16"/>
    <col width="13.90625" bestFit="1" customWidth="1" style="484" min="17" max="17"/>
    <col width="13.90625" bestFit="1" customWidth="1" style="476" min="18" max="19"/>
    <col width="13.90625" bestFit="1" customWidth="1" style="477" min="20" max="20"/>
    <col width="8.7265625" customWidth="1" style="458" min="21" max="21"/>
    <col width="8.7265625" customWidth="1" style="458" min="22" max="29"/>
  </cols>
  <sheetData>
    <row r="1" ht="17.5" customFormat="1" customHeight="1" s="457">
      <c r="B1" s="453" t="n"/>
      <c r="C1" s="454" t="inlineStr">
        <is>
          <t>송파구</t>
        </is>
      </c>
      <c r="D1" s="455" t="n"/>
      <c r="K1" s="457" t="n"/>
      <c r="L1" s="461" t="inlineStr">
        <is>
          <t>성동구</t>
        </is>
      </c>
      <c r="M1" s="462" t="n"/>
      <c r="N1" s="462" t="n"/>
      <c r="O1" s="478" t="n"/>
      <c r="P1" s="479" t="n"/>
      <c r="Q1" s="480" t="n"/>
      <c r="R1" s="462" t="n"/>
      <c r="S1" s="462" t="n"/>
      <c r="T1" s="463" t="n"/>
      <c r="U1" s="459" t="inlineStr">
        <is>
          <t>강서구</t>
        </is>
      </c>
      <c r="AD1" s="459" t="inlineStr">
        <is>
          <t>수지구</t>
        </is>
      </c>
      <c r="AM1" s="459" t="inlineStr">
        <is>
          <t>안양동안구</t>
        </is>
      </c>
    </row>
    <row r="2" customFormat="1" s="458">
      <c r="B2" s="278" t="n"/>
      <c r="C2" s="460" t="inlineStr">
        <is>
          <t>잠실</t>
        </is>
      </c>
      <c r="F2" s="465" t="inlineStr">
        <is>
          <t>2등생활권</t>
        </is>
      </c>
      <c r="I2" s="465" t="inlineStr">
        <is>
          <t>3등생활권</t>
        </is>
      </c>
      <c r="K2" s="458" t="n"/>
      <c r="L2" s="464" t="inlineStr">
        <is>
          <t>성수</t>
        </is>
      </c>
      <c r="M2" s="458" t="n"/>
      <c r="N2" s="458" t="n"/>
      <c r="O2" s="280" t="inlineStr">
        <is>
          <t>금호,옥수</t>
        </is>
      </c>
      <c r="P2" s="458" t="n"/>
      <c r="Q2" s="278" t="n"/>
      <c r="R2" s="465" t="inlineStr">
        <is>
          <t>왕십리</t>
        </is>
      </c>
      <c r="S2" s="458" t="n"/>
      <c r="T2" s="466" t="n"/>
      <c r="U2" s="460" t="inlineStr">
        <is>
          <t>1등생활권</t>
        </is>
      </c>
      <c r="X2" s="465" t="inlineStr">
        <is>
          <t>2등생활권</t>
        </is>
      </c>
      <c r="AA2" s="465" t="inlineStr">
        <is>
          <t>3등생활권</t>
        </is>
      </c>
      <c r="AC2" s="278" t="n"/>
      <c r="AD2" s="279" t="inlineStr">
        <is>
          <t>1등생활권</t>
        </is>
      </c>
      <c r="AG2" s="465" t="inlineStr">
        <is>
          <t>2등생활권</t>
        </is>
      </c>
      <c r="AJ2" s="465" t="inlineStr">
        <is>
          <t>3등생활권</t>
        </is>
      </c>
      <c r="AL2" s="278" t="n"/>
      <c r="AM2" s="279" t="inlineStr">
        <is>
          <t>1등생활권</t>
        </is>
      </c>
      <c r="AP2" s="465" t="inlineStr">
        <is>
          <t>2등생활권</t>
        </is>
      </c>
      <c r="AS2" s="465" t="inlineStr">
        <is>
          <t>3등생활권</t>
        </is>
      </c>
      <c r="AU2" s="278" t="n"/>
    </row>
    <row r="3" ht="17.5" customFormat="1" customHeight="1" s="281" thickBot="1">
      <c r="B3" s="303" t="n"/>
      <c r="C3" s="296" t="inlineStr">
        <is>
          <t>상</t>
        </is>
      </c>
      <c r="D3" s="283" t="inlineStr">
        <is>
          <t>중</t>
        </is>
      </c>
      <c r="E3" s="283" t="inlineStr">
        <is>
          <t>하</t>
        </is>
      </c>
      <c r="F3" s="283" t="inlineStr">
        <is>
          <t>상</t>
        </is>
      </c>
      <c r="G3" s="283" t="inlineStr">
        <is>
          <t>중</t>
        </is>
      </c>
      <c r="H3" s="283" t="inlineStr">
        <is>
          <t>하</t>
        </is>
      </c>
      <c r="I3" s="283" t="inlineStr">
        <is>
          <t>상</t>
        </is>
      </c>
      <c r="J3" s="283" t="inlineStr">
        <is>
          <t>중</t>
        </is>
      </c>
      <c r="K3" s="283" t="inlineStr">
        <is>
          <t>하</t>
        </is>
      </c>
      <c r="L3" s="467" t="inlineStr">
        <is>
          <t>상</t>
        </is>
      </c>
      <c r="M3" s="283" t="inlineStr">
        <is>
          <t>중</t>
        </is>
      </c>
      <c r="N3" s="283" t="inlineStr">
        <is>
          <t>하</t>
        </is>
      </c>
      <c r="O3" s="481" t="inlineStr">
        <is>
          <t>상</t>
        </is>
      </c>
      <c r="P3" s="283" t="inlineStr">
        <is>
          <t>중</t>
        </is>
      </c>
      <c r="Q3" s="284" t="inlineStr">
        <is>
          <t>하</t>
        </is>
      </c>
      <c r="R3" s="283" t="inlineStr">
        <is>
          <t>상</t>
        </is>
      </c>
      <c r="S3" s="283" t="inlineStr">
        <is>
          <t>중</t>
        </is>
      </c>
      <c r="T3" s="468" t="inlineStr">
        <is>
          <t>하</t>
        </is>
      </c>
      <c r="U3" s="296" t="inlineStr">
        <is>
          <t>상</t>
        </is>
      </c>
      <c r="V3" s="283" t="inlineStr">
        <is>
          <t>중</t>
        </is>
      </c>
      <c r="W3" s="283" t="inlineStr">
        <is>
          <t>하</t>
        </is>
      </c>
      <c r="X3" s="283" t="inlineStr">
        <is>
          <t>상</t>
        </is>
      </c>
      <c r="Y3" s="283" t="inlineStr">
        <is>
          <t>중</t>
        </is>
      </c>
      <c r="Z3" s="283" t="inlineStr">
        <is>
          <t>하</t>
        </is>
      </c>
      <c r="AA3" s="283" t="inlineStr">
        <is>
          <t>상</t>
        </is>
      </c>
      <c r="AB3" s="283" t="inlineStr">
        <is>
          <t>중</t>
        </is>
      </c>
      <c r="AC3" s="284" t="inlineStr">
        <is>
          <t>하</t>
        </is>
      </c>
      <c r="AD3" s="282" t="inlineStr">
        <is>
          <t>상</t>
        </is>
      </c>
      <c r="AE3" s="283" t="inlineStr">
        <is>
          <t>중</t>
        </is>
      </c>
      <c r="AF3" s="283" t="inlineStr">
        <is>
          <t>하</t>
        </is>
      </c>
      <c r="AG3" s="283" t="inlineStr">
        <is>
          <t>상</t>
        </is>
      </c>
      <c r="AH3" s="283" t="inlineStr">
        <is>
          <t>중</t>
        </is>
      </c>
      <c r="AI3" s="283" t="inlineStr">
        <is>
          <t>하</t>
        </is>
      </c>
      <c r="AJ3" s="283" t="inlineStr">
        <is>
          <t>상</t>
        </is>
      </c>
      <c r="AK3" s="283" t="inlineStr">
        <is>
          <t>중</t>
        </is>
      </c>
      <c r="AL3" s="284" t="inlineStr">
        <is>
          <t>하</t>
        </is>
      </c>
      <c r="AM3" s="282" t="inlineStr">
        <is>
          <t>상</t>
        </is>
      </c>
      <c r="AN3" s="283" t="inlineStr">
        <is>
          <t>중</t>
        </is>
      </c>
      <c r="AO3" s="283" t="inlineStr">
        <is>
          <t>하</t>
        </is>
      </c>
      <c r="AP3" s="283" t="inlineStr">
        <is>
          <t>상</t>
        </is>
      </c>
      <c r="AQ3" s="283" t="inlineStr">
        <is>
          <t>중</t>
        </is>
      </c>
      <c r="AR3" s="283" t="inlineStr">
        <is>
          <t>하</t>
        </is>
      </c>
      <c r="AS3" s="283" t="inlineStr">
        <is>
          <t>상</t>
        </is>
      </c>
      <c r="AT3" s="283" t="inlineStr">
        <is>
          <t>중</t>
        </is>
      </c>
      <c r="AU3" s="284" t="inlineStr">
        <is>
          <t>하</t>
        </is>
      </c>
    </row>
    <row r="4" customFormat="1" s="291">
      <c r="A4" s="290" t="inlineStr">
        <is>
          <t>단지명</t>
        </is>
      </c>
      <c r="B4" s="304" t="n"/>
      <c r="C4" s="302" t="n"/>
      <c r="L4" s="469">
        <f>성동구!E149</f>
        <v/>
      </c>
      <c r="M4" s="291">
        <f>성동구!E114</f>
        <v/>
      </c>
      <c r="N4" s="291">
        <f>성동구!E124</f>
        <v/>
      </c>
      <c r="O4" s="293">
        <f>성동구!E219</f>
        <v/>
      </c>
      <c r="P4" s="291">
        <f>성동구!E47</f>
        <v/>
      </c>
      <c r="Q4" s="292">
        <f>성동구!E37</f>
        <v/>
      </c>
      <c r="R4" s="291">
        <f>성동구!E268</f>
        <v/>
      </c>
      <c r="S4" s="291">
        <f>성동구!E280</f>
        <v/>
      </c>
      <c r="T4" s="470">
        <f>성동구!E263</f>
        <v/>
      </c>
      <c r="AC4" s="292" t="n"/>
      <c r="AD4" s="293" t="n"/>
      <c r="AL4" s="292" t="n"/>
      <c r="AM4" s="293" t="n"/>
      <c r="AU4" s="292" t="n"/>
    </row>
    <row r="5" customFormat="1" s="458">
      <c r="A5" s="465" t="inlineStr">
        <is>
          <t>세대수</t>
        </is>
      </c>
      <c r="B5" s="306" t="n"/>
      <c r="K5" s="458" t="n"/>
      <c r="L5" s="471">
        <f>성동구!G147</f>
        <v/>
      </c>
      <c r="M5" s="458">
        <f>성동구!G114</f>
        <v/>
      </c>
      <c r="N5" s="458">
        <f>성동구!G124</f>
        <v/>
      </c>
      <c r="O5" s="11">
        <f>성동구!G219</f>
        <v/>
      </c>
      <c r="P5" s="458">
        <f>성동구!G47</f>
        <v/>
      </c>
      <c r="Q5" s="278">
        <f>성동구!G37</f>
        <v/>
      </c>
      <c r="R5" s="458">
        <f>성동구!G268</f>
        <v/>
      </c>
      <c r="S5" s="458">
        <f>성동구!G280</f>
        <v/>
      </c>
      <c r="T5" s="466">
        <f>성동구!G263</f>
        <v/>
      </c>
      <c r="U5" s="458" t="n"/>
      <c r="AC5" s="278" t="n"/>
      <c r="AD5" s="11" t="n"/>
      <c r="AL5" s="278" t="n"/>
      <c r="AM5" s="11" t="n"/>
      <c r="AU5" s="278" t="n"/>
    </row>
    <row r="6" customFormat="1" s="458">
      <c r="A6" s="465" t="inlineStr">
        <is>
          <t>연식</t>
        </is>
      </c>
      <c r="B6" s="306" t="n"/>
      <c r="K6" s="458" t="n"/>
      <c r="L6" s="471">
        <f>INT(성동구!F147)</f>
        <v/>
      </c>
      <c r="M6" s="458">
        <f>INT(성동구!F114)</f>
        <v/>
      </c>
      <c r="N6" s="458">
        <f>INT(성동구!F124)</f>
        <v/>
      </c>
      <c r="O6" s="11">
        <f>INT(성동구!F219)</f>
        <v/>
      </c>
      <c r="P6" s="458">
        <f>INT(성동구!F47)</f>
        <v/>
      </c>
      <c r="Q6" s="278">
        <f>INT(성동구!F37)</f>
        <v/>
      </c>
      <c r="R6" s="458">
        <f>INT(성동구!F268)</f>
        <v/>
      </c>
      <c r="S6" s="458">
        <f>INT(성동구!F280)</f>
        <v/>
      </c>
      <c r="T6" s="466">
        <f>INT(성동구!F263)</f>
        <v/>
      </c>
      <c r="U6" s="458" t="n"/>
      <c r="AC6" s="278" t="n"/>
      <c r="AD6" s="11" t="n"/>
      <c r="AL6" s="278" t="n"/>
      <c r="AM6" s="11" t="n"/>
      <c r="AU6" s="278" t="n"/>
    </row>
    <row r="7" ht="16" customFormat="1" customHeight="1" s="458">
      <c r="A7" s="458" t="inlineStr">
        <is>
          <t>평형(84)</t>
        </is>
      </c>
      <c r="B7" s="278" t="n"/>
      <c r="L7" s="471">
        <f>성동구!L151</f>
        <v/>
      </c>
      <c r="M7" s="458">
        <f>성동구!L117</f>
        <v/>
      </c>
      <c r="N7" s="458">
        <f>성동구!L125</f>
        <v/>
      </c>
      <c r="O7" s="11">
        <f>성동구!L220</f>
        <v/>
      </c>
      <c r="P7" s="458">
        <f>성동구!L45</f>
        <v/>
      </c>
      <c r="Q7" s="278">
        <f>성동구!L35</f>
        <v/>
      </c>
      <c r="R7" s="458">
        <f>성동구!L268</f>
        <v/>
      </c>
      <c r="S7" s="458">
        <f>성동구!L280</f>
        <v/>
      </c>
      <c r="T7" s="466">
        <f>성동구!L263</f>
        <v/>
      </c>
    </row>
    <row r="8" ht="13" customFormat="1" customHeight="1" s="458">
      <c r="A8" s="465" t="inlineStr">
        <is>
          <t>전고점(84)</t>
        </is>
      </c>
      <c r="B8" s="306" t="n"/>
      <c r="K8" s="458" t="n"/>
      <c r="L8" s="627">
        <f>성동구!V151*10000</f>
        <v/>
      </c>
      <c r="M8" s="569">
        <f>성동구!V117*10000</f>
        <v/>
      </c>
      <c r="N8" s="569">
        <f>성동구!V125*10000</f>
        <v/>
      </c>
      <c r="O8" s="628">
        <f>성동구!V220*10000</f>
        <v/>
      </c>
      <c r="P8" s="569">
        <f>성동구!V45*10000</f>
        <v/>
      </c>
      <c r="Q8" s="629">
        <f>성동구!V35*10000</f>
        <v/>
      </c>
      <c r="R8" s="569">
        <f>성동구!V268*10000</f>
        <v/>
      </c>
      <c r="S8" s="569">
        <f>성동구!V280*10000</f>
        <v/>
      </c>
      <c r="T8" s="630">
        <f>성동구!V263*10000</f>
        <v/>
      </c>
      <c r="U8" s="458" t="n"/>
    </row>
    <row r="9" customFormat="1" s="488">
      <c r="A9" s="485" t="inlineStr">
        <is>
          <t>5월 2주차</t>
        </is>
      </c>
      <c r="B9" s="486" t="inlineStr">
        <is>
          <t>매매가</t>
        </is>
      </c>
      <c r="C9" s="487" t="n"/>
      <c r="L9" s="631">
        <f>성동구!R151</f>
        <v/>
      </c>
      <c r="M9" s="632">
        <f>성동구!R117</f>
        <v/>
      </c>
      <c r="N9" s="632">
        <f>성동구!R125</f>
        <v/>
      </c>
      <c r="O9" s="633">
        <f>성동구!R220</f>
        <v/>
      </c>
      <c r="P9" s="632">
        <f>성동구!R45</f>
        <v/>
      </c>
      <c r="Q9" s="634">
        <f>성동구!R35</f>
        <v/>
      </c>
      <c r="R9" s="632">
        <f>성동구!R268</f>
        <v/>
      </c>
      <c r="S9" s="632">
        <f>성동구!R280</f>
        <v/>
      </c>
      <c r="T9" s="635">
        <f>성동구!R263</f>
        <v/>
      </c>
    </row>
    <row r="10" ht="14.5" customFormat="1" customHeight="1" s="494">
      <c r="B10" s="495" t="inlineStr">
        <is>
          <t>전세가</t>
        </is>
      </c>
      <c r="C10" s="289" t="n"/>
      <c r="L10" s="631">
        <f>성동구!S151</f>
        <v/>
      </c>
      <c r="M10" s="632">
        <f>성동구!S117</f>
        <v/>
      </c>
      <c r="N10" s="632">
        <f>성동구!S125</f>
        <v/>
      </c>
      <c r="O10" s="633">
        <f>성동구!S220</f>
        <v/>
      </c>
      <c r="P10" s="632">
        <f>성동구!S45</f>
        <v/>
      </c>
      <c r="Q10" s="634">
        <f>성동구!S35</f>
        <v/>
      </c>
      <c r="R10" s="632">
        <f>성동구!S268</f>
        <v/>
      </c>
      <c r="S10" s="632">
        <f>성동구!S280</f>
        <v/>
      </c>
      <c r="T10" s="635">
        <f>성동구!S263</f>
        <v/>
      </c>
    </row>
    <row r="11" customFormat="1" s="494">
      <c r="B11" s="495" t="inlineStr">
        <is>
          <t>전고대비하락률</t>
        </is>
      </c>
      <c r="C11" s="498" t="n"/>
      <c r="L11" s="497">
        <f>(성동구!R151-성동구!V151*10000)/(성동구!V151*10000)</f>
        <v/>
      </c>
      <c r="M11" s="498">
        <f>(성동구!R117-성동구!V117*10000)/(성동구!V117*10000)</f>
        <v/>
      </c>
      <c r="N11" s="498">
        <f>(성동구!R125-성동구!V125*10000)/(성동구!V125*10000)</f>
        <v/>
      </c>
      <c r="O11" s="499">
        <f>(성동구!R220-성동구!V220*10000)/(성동구!V220*10000)</f>
        <v/>
      </c>
      <c r="P11" s="498">
        <f>(성동구!R45-성동구!V45*10000)/(성동구!V45*10000)</f>
        <v/>
      </c>
      <c r="Q11" s="500">
        <f>(성동구!R35-성동구!V35*10000)/(성동구!V35*10000)</f>
        <v/>
      </c>
      <c r="R11" s="498">
        <f>(성동구!R268-성동구!V268*10000)/(성동구!V268*10000)</f>
        <v/>
      </c>
      <c r="S11" s="498">
        <f>(성동구!R280-성동구!V280*10000)/(성동구!V280*10000)</f>
        <v/>
      </c>
      <c r="T11" s="501">
        <f>(성동구!R263-성동구!V263*10000)/(성동구!V263*10000)</f>
        <v/>
      </c>
    </row>
    <row r="12" ht="14.5" customFormat="1" customHeight="1" s="494">
      <c r="B12" s="495" t="inlineStr">
        <is>
          <t>매/전(개수)</t>
        </is>
      </c>
      <c r="C12" s="289" t="n"/>
      <c r="L12" s="502">
        <f>성동구!Q151</f>
        <v/>
      </c>
      <c r="M12" s="503">
        <f>성동구!Q117</f>
        <v/>
      </c>
      <c r="N12" s="503">
        <f>성동구!Q125</f>
        <v/>
      </c>
      <c r="O12" s="111">
        <f>성동구!Q220</f>
        <v/>
      </c>
      <c r="P12" s="503">
        <f>성동구!Q45</f>
        <v/>
      </c>
      <c r="Q12" s="504">
        <f>성동구!Q35</f>
        <v/>
      </c>
      <c r="R12" s="503">
        <f>성동구!Q268</f>
        <v/>
      </c>
      <c r="S12" s="503">
        <f>성동구!Q280</f>
        <v/>
      </c>
      <c r="T12" s="505">
        <f>성동구!Q263</f>
        <v/>
      </c>
    </row>
    <row r="13" ht="14.5" customFormat="1" customHeight="1" s="508" thickBot="1">
      <c r="A13" s="506" t="n"/>
      <c r="B13" s="507" t="inlineStr">
        <is>
          <t>매-전</t>
        </is>
      </c>
      <c r="C13" s="506" t="n"/>
      <c r="L13" s="631">
        <f>성동구!R151-성동구!S151</f>
        <v/>
      </c>
      <c r="M13" s="632">
        <f>성동구!R117-성동구!S117</f>
        <v/>
      </c>
      <c r="N13" s="632">
        <f>성동구!R125-성동구!S125</f>
        <v/>
      </c>
      <c r="O13" s="633">
        <f>성동구!R220-성동구!S220</f>
        <v/>
      </c>
      <c r="P13" s="632">
        <f>성동구!R45-성동구!S45</f>
        <v/>
      </c>
      <c r="Q13" s="634">
        <f>성동구!R35-성동구!S35</f>
        <v/>
      </c>
      <c r="R13" s="632">
        <f>성동구!R268-성동구!S268</f>
        <v/>
      </c>
      <c r="S13" s="632">
        <f>성동구!R280-성동구!S280</f>
        <v/>
      </c>
      <c r="T13" s="635">
        <f>성동구!R263-성동구!S263</f>
        <v/>
      </c>
    </row>
    <row r="14" ht="14.5" customHeight="1" s="476" thickTop="1">
      <c r="L14" s="471" t="n"/>
      <c r="M14" s="458" t="n"/>
      <c r="N14" s="458" t="n"/>
      <c r="O14" s="11" t="n"/>
      <c r="P14" s="458" t="n"/>
      <c r="Q14" s="278" t="n"/>
      <c r="R14" s="458" t="n"/>
      <c r="S14" s="458" t="n"/>
      <c r="T14" s="466" t="n"/>
      <c r="AC14" s="278" t="n"/>
      <c r="AD14" s="11" t="n"/>
      <c r="AE14" s="458" t="n"/>
      <c r="AF14" s="458" t="n"/>
      <c r="AG14" s="458" t="n"/>
      <c r="AH14" s="458" t="n"/>
      <c r="AI14" s="458" t="n"/>
      <c r="AJ14" s="458" t="n"/>
      <c r="AK14" s="458" t="n"/>
      <c r="AL14" s="278" t="n"/>
      <c r="AM14" s="11" t="n"/>
      <c r="AN14" s="458" t="n"/>
      <c r="AO14" s="458" t="n"/>
      <c r="AP14" s="458" t="n"/>
      <c r="AQ14" s="458" t="n"/>
      <c r="AR14" s="458" t="n"/>
      <c r="AS14" s="458" t="n"/>
      <c r="AT14" s="458" t="n"/>
      <c r="AU14" s="278" t="n"/>
    </row>
    <row r="15">
      <c r="L15" s="471" t="n"/>
      <c r="M15" s="458" t="n"/>
      <c r="N15" s="458" t="n"/>
      <c r="O15" s="11" t="n"/>
      <c r="P15" s="458" t="n"/>
      <c r="Q15" s="278" t="n"/>
      <c r="R15" s="458" t="n"/>
      <c r="S15" s="458" t="n"/>
      <c r="T15" s="466" t="n"/>
      <c r="AC15" s="278" t="n"/>
      <c r="AD15" s="11" t="n"/>
      <c r="AE15" s="458" t="n"/>
      <c r="AF15" s="458" t="n"/>
      <c r="AG15" s="458" t="n"/>
      <c r="AH15" s="458" t="n"/>
      <c r="AI15" s="458" t="n"/>
      <c r="AJ15" s="458" t="n"/>
      <c r="AK15" s="458" t="n"/>
      <c r="AL15" s="278" t="n"/>
      <c r="AM15" s="11" t="n"/>
      <c r="AN15" s="458" t="n"/>
      <c r="AO15" s="458" t="n"/>
      <c r="AP15" s="458" t="n"/>
      <c r="AQ15" s="458" t="n"/>
      <c r="AR15" s="458" t="n"/>
      <c r="AS15" s="458" t="n"/>
      <c r="AT15" s="458" t="n"/>
      <c r="AU15" s="278" t="n"/>
    </row>
    <row r="16">
      <c r="L16" s="471" t="n"/>
      <c r="M16" s="458" t="n"/>
      <c r="N16" s="458" t="n"/>
      <c r="O16" s="11" t="n"/>
      <c r="P16" s="458" t="n"/>
      <c r="Q16" s="278" t="n"/>
      <c r="R16" s="458" t="n"/>
      <c r="S16" s="458" t="n"/>
      <c r="T16" s="466" t="n"/>
      <c r="AC16" s="278" t="n"/>
      <c r="AD16" s="11" t="n"/>
      <c r="AE16" s="458" t="n"/>
      <c r="AF16" s="458" t="n"/>
      <c r="AG16" s="458" t="n"/>
      <c r="AH16" s="458" t="n"/>
      <c r="AI16" s="458" t="n"/>
      <c r="AJ16" s="458" t="n"/>
      <c r="AK16" s="458" t="n"/>
      <c r="AL16" s="278" t="n"/>
      <c r="AM16" s="11" t="n"/>
      <c r="AN16" s="458" t="n"/>
      <c r="AO16" s="458" t="n"/>
      <c r="AP16" s="458" t="n"/>
      <c r="AQ16" s="458" t="n"/>
      <c r="AR16" s="458" t="n"/>
      <c r="AS16" s="458" t="n"/>
      <c r="AT16" s="458" t="n"/>
      <c r="AU16" s="278" t="n"/>
    </row>
    <row r="17">
      <c r="L17" s="471" t="n"/>
      <c r="M17" s="458" t="n"/>
      <c r="N17" s="458" t="n"/>
      <c r="O17" s="11" t="n"/>
      <c r="P17" s="458" t="n"/>
      <c r="Q17" s="278" t="n"/>
      <c r="R17" s="458" t="n"/>
      <c r="S17" s="458" t="n"/>
      <c r="T17" s="466" t="n"/>
      <c r="AC17" s="278" t="n"/>
      <c r="AD17" s="11" t="n"/>
      <c r="AE17" s="458" t="n"/>
      <c r="AF17" s="458" t="n"/>
      <c r="AG17" s="458" t="n"/>
      <c r="AH17" s="458" t="n"/>
      <c r="AI17" s="458" t="n"/>
      <c r="AJ17" s="458" t="n"/>
      <c r="AK17" s="458" t="n"/>
      <c r="AL17" s="278" t="n"/>
      <c r="AM17" s="11" t="n"/>
      <c r="AN17" s="458" t="n"/>
      <c r="AO17" s="458" t="n"/>
      <c r="AP17" s="458" t="n"/>
      <c r="AQ17" s="458" t="n"/>
      <c r="AR17" s="458" t="n"/>
      <c r="AS17" s="458" t="n"/>
      <c r="AT17" s="458" t="n"/>
      <c r="AU17" s="278" t="n"/>
    </row>
    <row r="18">
      <c r="L18" s="471" t="n"/>
      <c r="M18" s="458" t="n"/>
      <c r="N18" s="458" t="n"/>
      <c r="O18" s="11" t="n"/>
      <c r="P18" s="458" t="n"/>
      <c r="Q18" s="278" t="n"/>
      <c r="R18" s="458" t="n"/>
      <c r="S18" s="458" t="n"/>
      <c r="T18" s="466" t="n"/>
      <c r="AC18" s="278" t="n"/>
      <c r="AD18" s="11" t="n"/>
      <c r="AE18" s="458" t="n"/>
      <c r="AF18" s="458" t="n"/>
      <c r="AG18" s="458" t="n"/>
      <c r="AH18" s="458" t="n"/>
      <c r="AI18" s="458" t="n"/>
      <c r="AJ18" s="458" t="n"/>
      <c r="AK18" s="458" t="n"/>
      <c r="AL18" s="278" t="n"/>
      <c r="AM18" s="11" t="n"/>
      <c r="AN18" s="458" t="n"/>
      <c r="AO18" s="458" t="n"/>
      <c r="AP18" s="458" t="n"/>
      <c r="AQ18" s="458" t="n"/>
      <c r="AR18" s="458" t="n"/>
      <c r="AS18" s="458" t="n"/>
      <c r="AT18" s="458" t="n"/>
      <c r="AU18" s="278" t="n"/>
    </row>
    <row r="19">
      <c r="L19" s="471" t="n"/>
      <c r="M19" s="458" t="n"/>
      <c r="N19" s="458" t="n"/>
      <c r="O19" s="11" t="n"/>
      <c r="P19" s="458" t="n"/>
      <c r="Q19" s="278" t="n"/>
      <c r="R19" s="458" t="n"/>
      <c r="S19" s="458" t="n"/>
      <c r="T19" s="466" t="n"/>
      <c r="AC19" s="278" t="n"/>
      <c r="AD19" s="11" t="n"/>
      <c r="AE19" s="458" t="n"/>
      <c r="AF19" s="458" t="n"/>
      <c r="AG19" s="458" t="n"/>
      <c r="AH19" s="458" t="n"/>
      <c r="AI19" s="458" t="n"/>
      <c r="AJ19" s="458" t="n"/>
      <c r="AK19" s="458" t="n"/>
      <c r="AL19" s="278" t="n"/>
      <c r="AM19" s="11" t="n"/>
      <c r="AN19" s="458" t="n"/>
      <c r="AO19" s="458" t="n"/>
      <c r="AP19" s="458" t="n"/>
      <c r="AQ19" s="458" t="n"/>
      <c r="AR19" s="458" t="n"/>
      <c r="AS19" s="458" t="n"/>
      <c r="AT19" s="458" t="n"/>
      <c r="AU19" s="278" t="n"/>
    </row>
    <row r="20">
      <c r="L20" s="471" t="n"/>
      <c r="M20" s="458" t="n"/>
      <c r="N20" s="458" t="n"/>
      <c r="O20" s="11" t="n"/>
      <c r="P20" s="458" t="n"/>
      <c r="Q20" s="278" t="n"/>
      <c r="R20" s="458" t="n"/>
      <c r="S20" s="458" t="n"/>
      <c r="T20" s="466" t="n"/>
      <c r="AC20" s="278" t="n"/>
      <c r="AD20" s="11" t="n"/>
      <c r="AE20" s="458" t="n"/>
      <c r="AF20" s="458" t="n"/>
      <c r="AG20" s="458" t="n"/>
      <c r="AH20" s="458" t="n"/>
      <c r="AI20" s="458" t="n"/>
      <c r="AJ20" s="458" t="n"/>
      <c r="AK20" s="458" t="n"/>
      <c r="AL20" s="278" t="n"/>
      <c r="AM20" s="11" t="n"/>
      <c r="AN20" s="458" t="n"/>
      <c r="AO20" s="458" t="n"/>
      <c r="AP20" s="458" t="n"/>
      <c r="AQ20" s="458" t="n"/>
      <c r="AR20" s="458" t="n"/>
      <c r="AS20" s="458" t="n"/>
      <c r="AT20" s="458" t="n"/>
      <c r="AU20" s="278" t="n"/>
    </row>
    <row r="21">
      <c r="L21" s="471" t="n"/>
      <c r="M21" s="458" t="n"/>
      <c r="N21" s="458" t="n"/>
      <c r="O21" s="11" t="n"/>
      <c r="P21" s="458" t="n"/>
      <c r="Q21" s="278" t="n"/>
      <c r="R21" s="458" t="n"/>
      <c r="S21" s="458" t="n"/>
      <c r="T21" s="466" t="n"/>
      <c r="AC21" s="278" t="n"/>
      <c r="AD21" s="11" t="n"/>
      <c r="AE21" s="458" t="n"/>
      <c r="AF21" s="458" t="n"/>
      <c r="AG21" s="458" t="n"/>
      <c r="AH21" s="458" t="n"/>
      <c r="AI21" s="458" t="n"/>
      <c r="AJ21" s="458" t="n"/>
      <c r="AK21" s="458" t="n"/>
      <c r="AL21" s="278" t="n"/>
      <c r="AM21" s="11" t="n"/>
      <c r="AN21" s="458" t="n"/>
      <c r="AO21" s="458" t="n"/>
      <c r="AP21" s="458" t="n"/>
      <c r="AQ21" s="458" t="n"/>
      <c r="AR21" s="458" t="n"/>
      <c r="AS21" s="458" t="n"/>
      <c r="AT21" s="458" t="n"/>
      <c r="AU21" s="278" t="n"/>
    </row>
    <row r="22">
      <c r="L22" s="471" t="n"/>
      <c r="M22" s="458" t="n"/>
      <c r="N22" s="458" t="n"/>
      <c r="O22" s="11" t="n"/>
      <c r="P22" s="458" t="n"/>
      <c r="Q22" s="278" t="n"/>
      <c r="R22" s="458" t="n"/>
      <c r="S22" s="458" t="n"/>
      <c r="T22" s="466" t="n"/>
      <c r="AC22" s="278" t="n"/>
      <c r="AD22" s="11" t="n"/>
      <c r="AE22" s="458" t="n"/>
      <c r="AF22" s="458" t="n"/>
      <c r="AG22" s="458" t="n"/>
      <c r="AH22" s="458" t="n"/>
      <c r="AI22" s="458" t="n"/>
      <c r="AJ22" s="458" t="n"/>
      <c r="AK22" s="458" t="n"/>
      <c r="AL22" s="278" t="n"/>
      <c r="AM22" s="11" t="n"/>
      <c r="AN22" s="458" t="n"/>
      <c r="AO22" s="458" t="n"/>
      <c r="AP22" s="458" t="n"/>
      <c r="AQ22" s="458" t="n"/>
      <c r="AR22" s="458" t="n"/>
      <c r="AS22" s="458" t="n"/>
      <c r="AT22" s="458" t="n"/>
      <c r="AU22" s="278" t="n"/>
    </row>
    <row r="23">
      <c r="L23" s="471" t="n"/>
      <c r="M23" s="458" t="n"/>
      <c r="N23" s="458" t="n"/>
      <c r="O23" s="11" t="n"/>
      <c r="P23" s="458" t="n"/>
      <c r="Q23" s="278" t="n"/>
      <c r="R23" s="458" t="n"/>
      <c r="S23" s="458" t="n"/>
      <c r="T23" s="466" t="n"/>
      <c r="AC23" s="278" t="n"/>
      <c r="AD23" s="11" t="n"/>
      <c r="AE23" s="458" t="n"/>
      <c r="AF23" s="458" t="n"/>
      <c r="AG23" s="458" t="n"/>
      <c r="AH23" s="458" t="n"/>
      <c r="AI23" s="458" t="n"/>
      <c r="AJ23" s="458" t="n"/>
      <c r="AK23" s="458" t="n"/>
      <c r="AL23" s="278" t="n"/>
      <c r="AM23" s="11" t="n"/>
      <c r="AN23" s="458" t="n"/>
      <c r="AO23" s="458" t="n"/>
      <c r="AP23" s="458" t="n"/>
      <c r="AQ23" s="458" t="n"/>
      <c r="AR23" s="458" t="n"/>
      <c r="AS23" s="458" t="n"/>
      <c r="AT23" s="458" t="n"/>
      <c r="AU23" s="278" t="n"/>
    </row>
    <row r="24">
      <c r="L24" s="471" t="n"/>
      <c r="M24" s="458" t="n"/>
      <c r="N24" s="458" t="n"/>
      <c r="O24" s="11" t="n"/>
      <c r="P24" s="458" t="n"/>
      <c r="Q24" s="278" t="n"/>
      <c r="R24" s="458" t="n"/>
      <c r="S24" s="458" t="n"/>
      <c r="T24" s="466" t="n"/>
      <c r="AC24" s="278" t="n"/>
      <c r="AD24" s="11" t="n"/>
      <c r="AE24" s="458" t="n"/>
      <c r="AF24" s="458" t="n"/>
      <c r="AG24" s="458" t="n"/>
      <c r="AH24" s="458" t="n"/>
      <c r="AI24" s="458" t="n"/>
      <c r="AJ24" s="458" t="n"/>
      <c r="AK24" s="458" t="n"/>
      <c r="AL24" s="278" t="n"/>
      <c r="AM24" s="11" t="n"/>
      <c r="AN24" s="458" t="n"/>
      <c r="AO24" s="458" t="n"/>
      <c r="AP24" s="458" t="n"/>
      <c r="AQ24" s="458" t="n"/>
      <c r="AR24" s="458" t="n"/>
      <c r="AS24" s="458" t="n"/>
      <c r="AT24" s="458" t="n"/>
      <c r="AU24" s="278" t="n"/>
    </row>
    <row r="25">
      <c r="L25" s="471" t="n"/>
      <c r="M25" s="458" t="n"/>
      <c r="N25" s="458" t="n"/>
      <c r="O25" s="11" t="n"/>
      <c r="P25" s="458" t="n"/>
      <c r="Q25" s="278" t="n"/>
      <c r="R25" s="458" t="n"/>
      <c r="S25" s="458" t="n"/>
      <c r="T25" s="466" t="n"/>
      <c r="AC25" s="278" t="n"/>
      <c r="AD25" s="11" t="n"/>
      <c r="AE25" s="458" t="n"/>
      <c r="AF25" s="458" t="n"/>
      <c r="AG25" s="458" t="n"/>
      <c r="AH25" s="458" t="n"/>
      <c r="AI25" s="458" t="n"/>
      <c r="AJ25" s="458" t="n"/>
      <c r="AK25" s="458" t="n"/>
      <c r="AL25" s="278" t="n"/>
      <c r="AM25" s="11" t="n"/>
      <c r="AN25" s="458" t="n"/>
      <c r="AO25" s="458" t="n"/>
      <c r="AP25" s="458" t="n"/>
      <c r="AQ25" s="458" t="n"/>
      <c r="AR25" s="458" t="n"/>
      <c r="AS25" s="458" t="n"/>
      <c r="AT25" s="458" t="n"/>
      <c r="AU25" s="278" t="n"/>
    </row>
    <row r="26">
      <c r="L26" s="471" t="n"/>
      <c r="M26" s="458" t="n"/>
      <c r="N26" s="458" t="n"/>
      <c r="O26" s="11" t="n"/>
      <c r="P26" s="458" t="n"/>
      <c r="Q26" s="278" t="n"/>
      <c r="R26" s="458" t="n"/>
      <c r="S26" s="458" t="n"/>
      <c r="T26" s="466" t="n"/>
      <c r="AC26" s="278" t="n"/>
      <c r="AD26" s="11" t="n"/>
      <c r="AE26" s="458" t="n"/>
      <c r="AF26" s="458" t="n"/>
      <c r="AG26" s="458" t="n"/>
      <c r="AH26" s="458" t="n"/>
      <c r="AI26" s="458" t="n"/>
      <c r="AJ26" s="458" t="n"/>
      <c r="AK26" s="458" t="n"/>
      <c r="AL26" s="278" t="n"/>
      <c r="AM26" s="11" t="n"/>
      <c r="AN26" s="458" t="n"/>
      <c r="AO26" s="458" t="n"/>
      <c r="AP26" s="458" t="n"/>
      <c r="AQ26" s="458" t="n"/>
      <c r="AR26" s="458" t="n"/>
      <c r="AS26" s="458" t="n"/>
      <c r="AT26" s="458" t="n"/>
      <c r="AU26" s="278" t="n"/>
    </row>
    <row r="27">
      <c r="L27" s="471" t="n"/>
      <c r="M27" s="458" t="n"/>
      <c r="N27" s="458" t="n"/>
      <c r="O27" s="11" t="n"/>
      <c r="P27" s="458" t="n"/>
      <c r="Q27" s="278" t="n"/>
      <c r="R27" s="458" t="n"/>
      <c r="S27" s="458" t="n"/>
      <c r="T27" s="466" t="n"/>
      <c r="AC27" s="278" t="n"/>
      <c r="AD27" s="11" t="n"/>
      <c r="AE27" s="458" t="n"/>
      <c r="AF27" s="458" t="n"/>
      <c r="AG27" s="458" t="n"/>
      <c r="AH27" s="458" t="n"/>
      <c r="AI27" s="458" t="n"/>
      <c r="AJ27" s="458" t="n"/>
      <c r="AK27" s="458" t="n"/>
      <c r="AL27" s="278" t="n"/>
      <c r="AM27" s="11" t="n"/>
      <c r="AN27" s="458" t="n"/>
      <c r="AO27" s="458" t="n"/>
      <c r="AP27" s="458" t="n"/>
      <c r="AQ27" s="458" t="n"/>
      <c r="AR27" s="458" t="n"/>
      <c r="AS27" s="458" t="n"/>
      <c r="AT27" s="458" t="n"/>
      <c r="AU27" s="278" t="n"/>
    </row>
    <row r="28">
      <c r="L28" s="471" t="n"/>
      <c r="M28" s="458" t="n"/>
      <c r="N28" s="458" t="n"/>
      <c r="O28" s="11" t="n"/>
      <c r="P28" s="458" t="n"/>
      <c r="Q28" s="278" t="n"/>
      <c r="R28" s="458" t="n"/>
      <c r="S28" s="458" t="n"/>
      <c r="T28" s="466" t="n"/>
      <c r="AC28" s="278" t="n"/>
      <c r="AD28" s="11" t="n"/>
      <c r="AE28" s="458" t="n"/>
      <c r="AF28" s="458" t="n"/>
      <c r="AG28" s="458" t="n"/>
      <c r="AH28" s="458" t="n"/>
      <c r="AI28" s="458" t="n"/>
      <c r="AJ28" s="458" t="n"/>
      <c r="AK28" s="458" t="n"/>
      <c r="AL28" s="278" t="n"/>
      <c r="AM28" s="11" t="n"/>
      <c r="AN28" s="458" t="n"/>
      <c r="AO28" s="458" t="n"/>
      <c r="AP28" s="458" t="n"/>
      <c r="AQ28" s="458" t="n"/>
      <c r="AR28" s="458" t="n"/>
      <c r="AS28" s="458" t="n"/>
      <c r="AT28" s="458" t="n"/>
      <c r="AU28" s="278" t="n"/>
    </row>
    <row r="29">
      <c r="L29" s="471" t="n"/>
      <c r="M29" s="458" t="n"/>
      <c r="N29" s="458" t="n"/>
      <c r="O29" s="11" t="n"/>
      <c r="P29" s="458" t="n"/>
      <c r="Q29" s="278" t="n"/>
      <c r="R29" s="458" t="n"/>
      <c r="S29" s="458" t="n"/>
      <c r="T29" s="466" t="n"/>
      <c r="AC29" s="278" t="n"/>
      <c r="AD29" s="11" t="n"/>
      <c r="AE29" s="458" t="n"/>
      <c r="AF29" s="458" t="n"/>
      <c r="AG29" s="458" t="n"/>
      <c r="AH29" s="458" t="n"/>
      <c r="AI29" s="458" t="n"/>
      <c r="AJ29" s="458" t="n"/>
      <c r="AK29" s="458" t="n"/>
      <c r="AL29" s="278" t="n"/>
      <c r="AM29" s="11" t="n"/>
      <c r="AN29" s="458" t="n"/>
      <c r="AO29" s="458" t="n"/>
      <c r="AP29" s="458" t="n"/>
      <c r="AQ29" s="458" t="n"/>
      <c r="AR29" s="458" t="n"/>
      <c r="AS29" s="458" t="n"/>
      <c r="AT29" s="458" t="n"/>
      <c r="AU29" s="278" t="n"/>
    </row>
    <row r="30">
      <c r="L30" s="471" t="n"/>
      <c r="M30" s="458" t="n"/>
      <c r="N30" s="458" t="n"/>
      <c r="O30" s="11" t="n"/>
      <c r="P30" s="458" t="n"/>
      <c r="Q30" s="278" t="n"/>
      <c r="R30" s="458" t="n"/>
      <c r="S30" s="458" t="n"/>
      <c r="T30" s="466" t="n"/>
      <c r="AC30" s="278" t="n"/>
      <c r="AD30" s="11" t="n"/>
      <c r="AE30" s="458" t="n"/>
      <c r="AF30" s="458" t="n"/>
      <c r="AG30" s="458" t="n"/>
      <c r="AH30" s="458" t="n"/>
      <c r="AI30" s="458" t="n"/>
      <c r="AJ30" s="458" t="n"/>
      <c r="AK30" s="458" t="n"/>
      <c r="AL30" s="278" t="n"/>
      <c r="AM30" s="11" t="n"/>
      <c r="AN30" s="458" t="n"/>
      <c r="AO30" s="458" t="n"/>
      <c r="AP30" s="458" t="n"/>
      <c r="AQ30" s="458" t="n"/>
      <c r="AR30" s="458" t="n"/>
      <c r="AS30" s="458" t="n"/>
      <c r="AT30" s="458" t="n"/>
      <c r="AU30" s="278" t="n"/>
    </row>
    <row r="31">
      <c r="L31" s="471" t="n"/>
      <c r="M31" s="458" t="n"/>
      <c r="N31" s="458" t="n"/>
      <c r="O31" s="11" t="n"/>
      <c r="P31" s="458" t="n"/>
      <c r="Q31" s="278" t="n"/>
      <c r="R31" s="458" t="n"/>
      <c r="S31" s="458" t="n"/>
      <c r="T31" s="466" t="n"/>
      <c r="AC31" s="278" t="n"/>
      <c r="AD31" s="11" t="n"/>
      <c r="AE31" s="458" t="n"/>
      <c r="AF31" s="458" t="n"/>
      <c r="AG31" s="458" t="n"/>
      <c r="AH31" s="458" t="n"/>
      <c r="AI31" s="458" t="n"/>
      <c r="AJ31" s="458" t="n"/>
      <c r="AK31" s="458" t="n"/>
      <c r="AL31" s="278" t="n"/>
      <c r="AM31" s="11" t="n"/>
      <c r="AN31" s="458" t="n"/>
      <c r="AO31" s="458" t="n"/>
      <c r="AP31" s="458" t="n"/>
      <c r="AQ31" s="458" t="n"/>
      <c r="AR31" s="458" t="n"/>
      <c r="AS31" s="458" t="n"/>
      <c r="AT31" s="458" t="n"/>
      <c r="AU31" s="278" t="n"/>
    </row>
    <row r="32">
      <c r="L32" s="471" t="n"/>
      <c r="M32" s="458" t="n"/>
      <c r="N32" s="458" t="n"/>
      <c r="O32" s="11" t="n"/>
      <c r="P32" s="458" t="n"/>
      <c r="Q32" s="278" t="n"/>
      <c r="R32" s="458" t="n"/>
      <c r="S32" s="458" t="n"/>
      <c r="T32" s="466" t="n"/>
      <c r="AC32" s="278" t="n"/>
      <c r="AD32" s="11" t="n"/>
      <c r="AE32" s="458" t="n"/>
      <c r="AF32" s="458" t="n"/>
      <c r="AG32" s="458" t="n"/>
      <c r="AH32" s="458" t="n"/>
      <c r="AI32" s="458" t="n"/>
      <c r="AJ32" s="458" t="n"/>
      <c r="AK32" s="458" t="n"/>
      <c r="AL32" s="278" t="n"/>
      <c r="AM32" s="11" t="n"/>
      <c r="AN32" s="458" t="n"/>
      <c r="AO32" s="458" t="n"/>
      <c r="AP32" s="458" t="n"/>
      <c r="AQ32" s="458" t="n"/>
      <c r="AR32" s="458" t="n"/>
      <c r="AS32" s="458" t="n"/>
      <c r="AT32" s="458" t="n"/>
      <c r="AU32" s="278" t="n"/>
    </row>
    <row r="33">
      <c r="L33" s="471" t="n"/>
      <c r="M33" s="458" t="n"/>
      <c r="N33" s="458" t="n"/>
      <c r="O33" s="11" t="n"/>
      <c r="P33" s="458" t="n"/>
      <c r="Q33" s="278" t="n"/>
      <c r="R33" s="458" t="n"/>
      <c r="S33" s="458" t="n"/>
      <c r="T33" s="466" t="n"/>
      <c r="AC33" s="278" t="n"/>
      <c r="AD33" s="11" t="n"/>
      <c r="AE33" s="458" t="n"/>
      <c r="AF33" s="458" t="n"/>
      <c r="AG33" s="458" t="n"/>
      <c r="AH33" s="458" t="n"/>
      <c r="AI33" s="458" t="n"/>
      <c r="AJ33" s="458" t="n"/>
      <c r="AK33" s="458" t="n"/>
      <c r="AL33" s="278" t="n"/>
      <c r="AM33" s="11" t="n"/>
      <c r="AN33" s="458" t="n"/>
      <c r="AO33" s="458" t="n"/>
      <c r="AP33" s="458" t="n"/>
      <c r="AQ33" s="458" t="n"/>
      <c r="AR33" s="458" t="n"/>
      <c r="AS33" s="458" t="n"/>
      <c r="AT33" s="458" t="n"/>
      <c r="AU33" s="278" t="n"/>
    </row>
    <row r="34">
      <c r="L34" s="471" t="n"/>
      <c r="M34" s="458" t="n"/>
      <c r="N34" s="458" t="n"/>
      <c r="O34" s="11" t="n"/>
      <c r="P34" s="458" t="n"/>
      <c r="Q34" s="278" t="n"/>
      <c r="R34" s="458" t="n"/>
      <c r="S34" s="458" t="n"/>
      <c r="T34" s="466" t="n"/>
      <c r="AC34" s="278" t="n"/>
      <c r="AD34" s="11" t="n"/>
      <c r="AE34" s="458" t="n"/>
      <c r="AF34" s="458" t="n"/>
      <c r="AG34" s="458" t="n"/>
      <c r="AH34" s="458" t="n"/>
      <c r="AI34" s="458" t="n"/>
      <c r="AJ34" s="458" t="n"/>
      <c r="AK34" s="458" t="n"/>
      <c r="AL34" s="278" t="n"/>
      <c r="AM34" s="11" t="n"/>
      <c r="AN34" s="458" t="n"/>
      <c r="AO34" s="458" t="n"/>
      <c r="AP34" s="458" t="n"/>
      <c r="AQ34" s="458" t="n"/>
      <c r="AR34" s="458" t="n"/>
      <c r="AS34" s="458" t="n"/>
      <c r="AT34" s="458" t="n"/>
      <c r="AU34" s="278" t="n"/>
    </row>
    <row r="35">
      <c r="L35" s="471" t="n"/>
      <c r="M35" s="458" t="n"/>
      <c r="N35" s="458" t="n"/>
      <c r="O35" s="11" t="n"/>
      <c r="P35" s="458" t="n"/>
      <c r="Q35" s="278" t="n"/>
      <c r="R35" s="458" t="n"/>
      <c r="S35" s="458" t="n"/>
      <c r="T35" s="466" t="n"/>
      <c r="AC35" s="278" t="n"/>
      <c r="AD35" s="11" t="n"/>
      <c r="AE35" s="458" t="n"/>
      <c r="AF35" s="458" t="n"/>
      <c r="AG35" s="458" t="n"/>
      <c r="AH35" s="458" t="n"/>
      <c r="AI35" s="458" t="n"/>
      <c r="AJ35" s="458" t="n"/>
      <c r="AK35" s="458" t="n"/>
      <c r="AL35" s="278" t="n"/>
      <c r="AM35" s="11" t="n"/>
      <c r="AN35" s="458" t="n"/>
      <c r="AO35" s="458" t="n"/>
      <c r="AP35" s="458" t="n"/>
      <c r="AQ35" s="458" t="n"/>
      <c r="AR35" s="458" t="n"/>
      <c r="AS35" s="458" t="n"/>
      <c r="AT35" s="458" t="n"/>
      <c r="AU35" s="278" t="n"/>
    </row>
    <row r="36">
      <c r="L36" s="471" t="n"/>
      <c r="M36" s="458" t="n"/>
      <c r="N36" s="458" t="n"/>
      <c r="O36" s="11" t="n"/>
      <c r="P36" s="458" t="n"/>
      <c r="Q36" s="278" t="n"/>
      <c r="R36" s="458" t="n"/>
      <c r="S36" s="458" t="n"/>
      <c r="T36" s="466" t="n"/>
      <c r="AC36" s="278" t="n"/>
      <c r="AD36" s="11" t="n"/>
      <c r="AE36" s="458" t="n"/>
      <c r="AF36" s="458" t="n"/>
      <c r="AG36" s="458" t="n"/>
      <c r="AH36" s="458" t="n"/>
      <c r="AI36" s="458" t="n"/>
      <c r="AJ36" s="458" t="n"/>
      <c r="AK36" s="458" t="n"/>
      <c r="AL36" s="278" t="n"/>
      <c r="AM36" s="11" t="n"/>
      <c r="AN36" s="458" t="n"/>
      <c r="AO36" s="458" t="n"/>
      <c r="AP36" s="458" t="n"/>
      <c r="AQ36" s="458" t="n"/>
      <c r="AR36" s="458" t="n"/>
      <c r="AS36" s="458" t="n"/>
      <c r="AT36" s="458" t="n"/>
      <c r="AU36" s="278" t="n"/>
    </row>
    <row r="37">
      <c r="L37" s="471" t="n"/>
      <c r="M37" s="458" t="n"/>
      <c r="N37" s="458" t="n"/>
      <c r="O37" s="11" t="n"/>
      <c r="P37" s="458" t="n"/>
      <c r="Q37" s="278" t="n"/>
      <c r="R37" s="458" t="n"/>
      <c r="S37" s="458" t="n"/>
      <c r="T37" s="466" t="n"/>
      <c r="AC37" s="278" t="n"/>
      <c r="AD37" s="11" t="n"/>
      <c r="AE37" s="458" t="n"/>
      <c r="AF37" s="458" t="n"/>
      <c r="AG37" s="458" t="n"/>
      <c r="AH37" s="458" t="n"/>
      <c r="AI37" s="458" t="n"/>
      <c r="AJ37" s="458" t="n"/>
      <c r="AK37" s="458" t="n"/>
      <c r="AL37" s="278" t="n"/>
      <c r="AM37" s="11" t="n"/>
      <c r="AN37" s="458" t="n"/>
      <c r="AO37" s="458" t="n"/>
      <c r="AP37" s="458" t="n"/>
      <c r="AQ37" s="458" t="n"/>
      <c r="AR37" s="458" t="n"/>
      <c r="AS37" s="458" t="n"/>
      <c r="AT37" s="458" t="n"/>
      <c r="AU37" s="278" t="n"/>
    </row>
    <row r="38">
      <c r="L38" s="471" t="n"/>
      <c r="M38" s="458" t="n"/>
      <c r="N38" s="458" t="n"/>
      <c r="O38" s="11" t="n"/>
      <c r="P38" s="458" t="n"/>
      <c r="Q38" s="278" t="n"/>
      <c r="R38" s="458" t="n"/>
      <c r="S38" s="458" t="n"/>
      <c r="T38" s="466" t="n"/>
      <c r="AC38" s="278" t="n"/>
      <c r="AD38" s="11" t="n"/>
      <c r="AE38" s="458" t="n"/>
      <c r="AF38" s="458" t="n"/>
      <c r="AG38" s="458" t="n"/>
      <c r="AH38" s="458" t="n"/>
      <c r="AI38" s="458" t="n"/>
      <c r="AJ38" s="458" t="n"/>
      <c r="AK38" s="458" t="n"/>
      <c r="AL38" s="278" t="n"/>
      <c r="AM38" s="11" t="n"/>
      <c r="AN38" s="458" t="n"/>
      <c r="AO38" s="458" t="n"/>
      <c r="AP38" s="458" t="n"/>
      <c r="AQ38" s="458" t="n"/>
      <c r="AR38" s="458" t="n"/>
      <c r="AS38" s="458" t="n"/>
      <c r="AT38" s="458" t="n"/>
      <c r="AU38" s="278" t="n"/>
    </row>
    <row r="39">
      <c r="L39" s="471" t="n"/>
      <c r="M39" s="458" t="n"/>
      <c r="N39" s="458" t="n"/>
      <c r="O39" s="11" t="n"/>
      <c r="P39" s="458" t="n"/>
      <c r="Q39" s="278" t="n"/>
      <c r="R39" s="458" t="n"/>
      <c r="S39" s="458" t="n"/>
      <c r="T39" s="466" t="n"/>
      <c r="AC39" s="278" t="n"/>
      <c r="AD39" s="11" t="n"/>
      <c r="AE39" s="458" t="n"/>
      <c r="AF39" s="458" t="n"/>
      <c r="AG39" s="458" t="n"/>
      <c r="AH39" s="458" t="n"/>
      <c r="AI39" s="458" t="n"/>
      <c r="AJ39" s="458" t="n"/>
      <c r="AK39" s="458" t="n"/>
      <c r="AL39" s="278" t="n"/>
      <c r="AM39" s="11" t="n"/>
      <c r="AN39" s="458" t="n"/>
      <c r="AO39" s="458" t="n"/>
      <c r="AP39" s="458" t="n"/>
      <c r="AQ39" s="458" t="n"/>
      <c r="AR39" s="458" t="n"/>
      <c r="AS39" s="458" t="n"/>
      <c r="AT39" s="458" t="n"/>
      <c r="AU39" s="278" t="n"/>
    </row>
    <row r="40">
      <c r="AD40" s="458" t="n"/>
      <c r="AE40" s="458" t="n"/>
      <c r="AF40" s="458" t="n"/>
      <c r="AG40" s="458" t="n"/>
      <c r="AH40" s="458" t="n"/>
      <c r="AI40" s="458" t="n"/>
      <c r="AJ40" s="458" t="n"/>
      <c r="AK40" s="458" t="n"/>
      <c r="AL40" s="458" t="n"/>
      <c r="AM40" s="458" t="n"/>
      <c r="AN40" s="458" t="n"/>
      <c r="AO40" s="458" t="n"/>
      <c r="AP40" s="458" t="n"/>
      <c r="AQ40" s="458" t="n"/>
      <c r="AR40" s="458" t="n"/>
      <c r="AS40" s="458" t="n"/>
      <c r="AT40" s="458" t="n"/>
      <c r="AU40" s="458" t="n"/>
    </row>
    <row r="41">
      <c r="AD41" s="458" t="n"/>
      <c r="AE41" s="458" t="n"/>
      <c r="AF41" s="458" t="n"/>
      <c r="AG41" s="458" t="n"/>
      <c r="AH41" s="458" t="n"/>
      <c r="AI41" s="458" t="n"/>
      <c r="AJ41" s="458" t="n"/>
      <c r="AK41" s="458" t="n"/>
      <c r="AL41" s="458" t="n"/>
      <c r="AM41" s="458" t="n"/>
      <c r="AN41" s="458" t="n"/>
      <c r="AO41" s="458" t="n"/>
      <c r="AP41" s="458" t="n"/>
      <c r="AQ41" s="458" t="n"/>
      <c r="AR41" s="458" t="n"/>
      <c r="AS41" s="458" t="n"/>
      <c r="AT41" s="458" t="n"/>
      <c r="AU41" s="458" t="n"/>
    </row>
  </sheetData>
  <mergeCells count="1">
    <mergeCell ref="A9:A12"/>
  </mergeCells>
  <pageMargins left="0.7" right="0.7" top="0.75" bottom="0.75" header="0.3" footer="0.3"/>
  <pageSetup orientation="portrait" paperSize="9" horizontalDpi="360" verticalDpi="360"/>
</worksheet>
</file>

<file path=xl/worksheets/sheet11.xml><?xml version="1.0" encoding="utf-8"?>
<worksheet xmlns="http://schemas.openxmlformats.org/spreadsheetml/2006/main">
  <sheetPr>
    <outlinePr summaryBelow="1" summaryRight="1"/>
    <pageSetUpPr/>
  </sheetPr>
  <dimension ref="A1:AO360"/>
  <sheetViews>
    <sheetView workbookViewId="0">
      <selection activeCell="A1" sqref="A1"/>
    </sheetView>
  </sheetViews>
  <sheetFormatPr baseColWidth="8" defaultRowHeight="14"/>
  <cols>
    <col width="8.7265625" customWidth="1" style="476" min="1" max="1"/>
    <col width="7.81640625" customWidth="1" style="476" min="2" max="2"/>
    <col width="9.453125" customWidth="1" style="476" min="3" max="4"/>
    <col width="33.453125" customWidth="1" style="476" min="5" max="5"/>
    <col width="9.54296875" customWidth="1" style="476" min="6" max="6"/>
    <col width="7.81640625" customWidth="1" style="476" min="7" max="7"/>
    <col width="5.90625" customWidth="1" style="476" min="8" max="8"/>
    <col width="6.7265625" customWidth="1" style="476" min="9" max="9"/>
    <col width="13" customWidth="1" style="476" min="10" max="10"/>
    <col width="5.453125" customWidth="1" style="476" min="11" max="11"/>
    <col width="6.6328125" customWidth="1" style="476" min="12" max="12"/>
    <col width="5.08984375" customWidth="1" style="476" min="13" max="13"/>
    <col width="7.08984375" customWidth="1" style="476" min="14" max="14"/>
    <col width="6.6328125" customWidth="1" style="476" min="15" max="15"/>
    <col width="5" customWidth="1" style="476" min="16" max="16"/>
    <col width="11" customWidth="1" style="476" min="17" max="17"/>
    <col width="13" customWidth="1" style="476" min="18" max="18"/>
    <col width="9.81640625" customWidth="1" style="476" min="19" max="20"/>
    <col width="9.6328125" customWidth="1" style="476" min="21" max="21"/>
    <col width="13" customWidth="1" style="476" min="22" max="22"/>
    <col width="6.90625" customWidth="1" style="476" min="23" max="23"/>
    <col width="3.90625" customWidth="1" style="476" min="24" max="24"/>
    <col width="13" customWidth="1" style="476" min="25" max="25"/>
    <col width="5.7265625" customWidth="1" style="476" min="26" max="26"/>
    <col width="9.81640625" customWidth="1" style="476" min="27" max="27"/>
    <col width="10.26953125" customWidth="1" style="476" min="28" max="28"/>
    <col width="5.90625" customWidth="1" style="476" min="29" max="29"/>
    <col width="9.81640625" customWidth="1" style="476" min="30" max="30"/>
    <col width="13" customWidth="1" style="476" min="31" max="32"/>
    <col width="7.81640625" customWidth="1" style="476" min="33" max="33"/>
    <col width="9.81640625" customWidth="1" style="476" min="34" max="35"/>
    <col width="13" customWidth="1" style="476" min="36" max="36"/>
    <col width="7.81640625" customWidth="1" style="476" min="37" max="37"/>
    <col width="13" customWidth="1" style="476" min="38" max="38"/>
    <col width="8.7265625" customWidth="1" style="476" min="39" max="39"/>
    <col width="11.1796875" customWidth="1" style="476" min="40" max="40"/>
    <col width="8.7265625" customWidth="1" style="476" min="41" max="41"/>
    <col width="13" customWidth="1" style="476" min="42" max="47"/>
    <col width="8.453125" customWidth="1" style="476" min="48" max="48"/>
  </cols>
  <sheetData>
    <row r="1">
      <c r="B1" s="163" t="inlineStr">
        <is>
          <t>상</t>
        </is>
      </c>
      <c r="C1" s="13" t="inlineStr">
        <is>
          <t>중</t>
        </is>
      </c>
      <c r="D1" s="160" t="n"/>
      <c r="AH1" s="231" t="n"/>
      <c r="AM1" s="238" t="n"/>
    </row>
    <row r="2">
      <c r="B2" s="163" t="inlineStr">
        <is>
          <t>하</t>
        </is>
      </c>
      <c r="C2" s="163" t="n"/>
      <c r="AH2" s="231" t="n"/>
      <c r="AM2" s="238" t="n"/>
    </row>
    <row r="3">
      <c r="A3" s="221" t="n">
        <v>84</v>
      </c>
      <c r="B3" s="448" t="inlineStr">
        <is>
          <t>선호도</t>
        </is>
      </c>
      <c r="C3" s="445" t="n"/>
      <c r="D3" s="256" t="n"/>
      <c r="E3" s="257" t="inlineStr">
        <is>
          <t>단지정보 (30평)</t>
        </is>
      </c>
      <c r="F3" s="258" t="n"/>
      <c r="G3" s="258" t="n"/>
      <c r="H3" s="258" t="n"/>
      <c r="I3" s="258" t="n"/>
      <c r="J3" s="258" t="n"/>
      <c r="K3" s="258" t="n"/>
      <c r="L3" s="258" t="n"/>
      <c r="M3" s="258" t="n"/>
      <c r="N3" s="258" t="n"/>
      <c r="O3" s="258" t="n"/>
      <c r="P3" s="258" t="n"/>
      <c r="Q3" s="259" t="n"/>
      <c r="R3" s="259" t="n"/>
      <c r="S3" s="258" t="n"/>
      <c r="T3" s="258" t="n"/>
      <c r="U3" s="258" t="n"/>
      <c r="V3" s="258" t="n"/>
      <c r="W3" s="258" t="n"/>
      <c r="X3" s="258" t="n"/>
      <c r="Y3" s="258" t="n"/>
      <c r="Z3" s="258" t="n"/>
      <c r="AA3" s="258" t="n"/>
      <c r="AB3" s="258" t="n"/>
      <c r="AC3" s="258" t="n"/>
      <c r="AD3" s="258" t="n"/>
      <c r="AE3" s="258" t="n"/>
      <c r="AF3" s="258" t="n"/>
      <c r="AG3" s="258" t="n"/>
      <c r="AH3" s="447" t="inlineStr">
        <is>
          <t>투자결과</t>
        </is>
      </c>
      <c r="AI3" s="443" t="n"/>
      <c r="AJ3" s="443" t="n"/>
      <c r="AK3" s="443" t="n"/>
      <c r="AL3" s="445" t="n"/>
    </row>
    <row r="4" ht="17" customHeight="1" s="476">
      <c r="B4" s="165" t="inlineStr">
        <is>
          <t>생활권</t>
        </is>
      </c>
      <c r="C4" s="166" t="inlineStr">
        <is>
          <t>생활권 내</t>
        </is>
      </c>
      <c r="D4" s="231" t="inlineStr">
        <is>
          <t>단지코드</t>
        </is>
      </c>
      <c r="E4" s="231" t="inlineStr">
        <is>
          <t>단지명</t>
        </is>
      </c>
      <c r="F4" s="231" t="inlineStr">
        <is>
          <t>사용승인일</t>
        </is>
      </c>
      <c r="G4" s="231" t="inlineStr">
        <is>
          <t>총세대수</t>
        </is>
      </c>
      <c r="H4" s="22" t="inlineStr">
        <is>
          <t>나이</t>
        </is>
      </c>
      <c r="I4" s="68" t="inlineStr">
        <is>
          <t>타입</t>
        </is>
      </c>
      <c r="J4" s="68" t="inlineStr">
        <is>
          <t>공급면적</t>
        </is>
      </c>
      <c r="K4" s="167" t="inlineStr">
        <is>
          <t>전용면적</t>
        </is>
      </c>
      <c r="L4" s="167" t="inlineStr">
        <is>
          <t>평형</t>
        </is>
      </c>
      <c r="M4" s="231" t="inlineStr">
        <is>
          <t>구조</t>
        </is>
      </c>
      <c r="N4" s="231" t="inlineStr">
        <is>
          <t>방수</t>
        </is>
      </c>
      <c r="O4" s="231" t="inlineStr">
        <is>
          <t>욕실수</t>
        </is>
      </c>
      <c r="P4" s="231" t="inlineStr">
        <is>
          <t>평형별 세대수</t>
        </is>
      </c>
      <c r="Q4" s="260" t="inlineStr">
        <is>
          <t>매</t>
        </is>
      </c>
      <c r="R4" s="260" t="inlineStr">
        <is>
          <t>전</t>
        </is>
      </c>
      <c r="S4" s="167" t="inlineStr">
        <is>
          <t>차</t>
        </is>
      </c>
      <c r="T4" s="167" t="inlineStr">
        <is>
          <t>전세가율</t>
        </is>
      </c>
      <c r="U4" s="167" t="inlineStr">
        <is>
          <t>전고</t>
        </is>
      </c>
      <c r="V4" s="167" t="inlineStr">
        <is>
          <t>전저</t>
        </is>
      </c>
      <c r="W4" s="57" t="inlineStr">
        <is>
          <t>계/복</t>
        </is>
      </c>
      <c r="X4" s="167" t="inlineStr">
        <is>
          <t>방</t>
        </is>
      </c>
      <c r="Y4" s="167" t="inlineStr">
        <is>
          <t>화</t>
        </is>
      </c>
      <c r="Z4" s="167" t="inlineStr">
        <is>
          <t>면적세대수</t>
        </is>
      </c>
      <c r="AA4" s="221" t="inlineStr">
        <is>
          <t>시기(년)</t>
        </is>
      </c>
      <c r="AB4" s="238" t="inlineStr">
        <is>
          <t>(전세가율80%이상인)기간</t>
        </is>
      </c>
      <c r="AC4" s="221" t="inlineStr">
        <is>
          <t>평형</t>
        </is>
      </c>
      <c r="AD4" s="221" t="inlineStr">
        <is>
          <t>매매가</t>
        </is>
      </c>
      <c r="AE4" s="221" t="inlineStr">
        <is>
          <t>전세가</t>
        </is>
      </c>
      <c r="AF4" s="221" t="inlineStr">
        <is>
          <t>전세가율</t>
        </is>
      </c>
      <c r="AG4" s="24" t="inlineStr">
        <is>
          <t>투자금</t>
        </is>
      </c>
      <c r="AH4" s="165" t="inlineStr">
        <is>
          <t>시기(년)</t>
        </is>
      </c>
      <c r="AI4" s="165" t="inlineStr">
        <is>
          <t>매매가</t>
        </is>
      </c>
      <c r="AJ4" s="165" t="inlineStr">
        <is>
          <t>수익금</t>
        </is>
      </c>
      <c r="AK4" s="261" t="inlineStr">
        <is>
          <t>상승율</t>
        </is>
      </c>
      <c r="AL4" s="262" t="inlineStr">
        <is>
          <t>수익율</t>
        </is>
      </c>
      <c r="AN4" s="14" t="n"/>
    </row>
    <row r="5">
      <c r="A5" s="636" t="inlineStr">
        <is>
          <t>관양동</t>
        </is>
      </c>
      <c r="B5" s="636" t="n"/>
      <c r="C5" s="636" t="n"/>
      <c r="D5" s="636" t="n">
        <v>1460</v>
      </c>
      <c r="E5" s="637" t="inlineStr">
        <is>
          <t>공작럭키</t>
        </is>
      </c>
      <c r="F5" s="636" t="n">
        <v>1993.06</v>
      </c>
      <c r="G5" s="636" t="n">
        <v>766</v>
      </c>
      <c r="H5" s="636">
        <f>2026-INT(F5)+1</f>
        <v/>
      </c>
      <c r="I5" s="636" t="n"/>
      <c r="J5" s="636" t="n">
        <v>67</v>
      </c>
      <c r="K5" s="636" t="n">
        <v>49</v>
      </c>
      <c r="L5" s="636" t="n">
        <v>20</v>
      </c>
      <c r="M5" s="636" t="inlineStr">
        <is>
          <t>복도식</t>
        </is>
      </c>
      <c r="N5" s="636" t="n">
        <v>3</v>
      </c>
      <c r="O5" s="636" t="n">
        <v>1</v>
      </c>
      <c r="P5" s="636" t="n">
        <v>766</v>
      </c>
      <c r="Q5" s="636" t="n"/>
      <c r="R5" s="636" t="n"/>
      <c r="S5" s="636" t="n"/>
      <c r="T5" s="636" t="n"/>
      <c r="U5" s="636" t="n"/>
      <c r="V5" s="636" t="n"/>
      <c r="W5" s="636" t="n"/>
      <c r="X5" s="636" t="n"/>
      <c r="Y5" s="636" t="n"/>
      <c r="Z5" s="636" t="n"/>
      <c r="AA5" s="636" t="n"/>
      <c r="AB5" s="636" t="n"/>
      <c r="AC5" s="636" t="n"/>
      <c r="AD5" s="636" t="n"/>
      <c r="AE5" s="636" t="n"/>
      <c r="AF5" s="636" t="n"/>
      <c r="AG5" s="636" t="n"/>
      <c r="AH5" s="636" t="n"/>
      <c r="AI5" s="636" t="n"/>
      <c r="AJ5" s="636" t="n"/>
      <c r="AK5" s="636" t="n"/>
    </row>
    <row r="6">
      <c r="A6" s="458" t="inlineStr">
        <is>
          <t>관양동</t>
        </is>
      </c>
      <c r="D6" s="458" t="n">
        <v>1463</v>
      </c>
      <c r="E6" s="638" t="inlineStr">
        <is>
          <t>공작부영</t>
        </is>
      </c>
      <c r="F6" s="458" t="n">
        <v>1993.03</v>
      </c>
      <c r="G6" s="458" t="n">
        <v>1710</v>
      </c>
      <c r="H6" s="458">
        <f>2026-INT(F6)+1</f>
        <v/>
      </c>
      <c r="J6" s="458" t="n">
        <v>51</v>
      </c>
      <c r="K6" s="458" t="n">
        <v>37</v>
      </c>
      <c r="L6" s="458" t="n">
        <v>15</v>
      </c>
      <c r="M6" s="458" t="inlineStr">
        <is>
          <t>복도식</t>
        </is>
      </c>
      <c r="N6" s="458" t="n">
        <v>2</v>
      </c>
      <c r="O6" s="458" t="n">
        <v>1</v>
      </c>
      <c r="P6" s="458" t="n">
        <v>735</v>
      </c>
      <c r="U6" s="458" t="n"/>
      <c r="V6" s="458" t="n"/>
    </row>
    <row r="7">
      <c r="A7" s="458" t="inlineStr">
        <is>
          <t>관양동</t>
        </is>
      </c>
      <c r="D7" s="458" t="n">
        <v>1463</v>
      </c>
      <c r="E7" s="638" t="inlineStr">
        <is>
          <t>공작부영</t>
        </is>
      </c>
      <c r="F7" s="458" t="n">
        <v>1993.03</v>
      </c>
      <c r="G7" s="458" t="n">
        <v>1710</v>
      </c>
      <c r="H7" s="458">
        <f>2026-INT(F7)+1</f>
        <v/>
      </c>
      <c r="J7" s="458" t="n">
        <v>68</v>
      </c>
      <c r="K7" s="458" t="n">
        <v>50</v>
      </c>
      <c r="L7" s="458" t="n">
        <v>21</v>
      </c>
      <c r="M7" s="458" t="inlineStr">
        <is>
          <t>복도식</t>
        </is>
      </c>
      <c r="N7" s="458" t="n">
        <v>3</v>
      </c>
      <c r="O7" s="458" t="n">
        <v>1</v>
      </c>
      <c r="P7" s="458" t="n">
        <v>510</v>
      </c>
      <c r="U7" s="458" t="n"/>
      <c r="V7" s="458" t="n"/>
    </row>
    <row r="8">
      <c r="A8" t="inlineStr">
        <is>
          <t>관양동</t>
        </is>
      </c>
      <c r="D8" t="n">
        <v>1463</v>
      </c>
      <c r="E8" s="638" t="inlineStr">
        <is>
          <t>공작부영</t>
        </is>
      </c>
      <c r="F8" t="n">
        <v>1993.03</v>
      </c>
      <c r="G8" t="n">
        <v>1710</v>
      </c>
      <c r="H8">
        <f>2026-INT(F8)+1</f>
        <v/>
      </c>
      <c r="J8" t="n">
        <v>83</v>
      </c>
      <c r="K8" t="n">
        <v>60</v>
      </c>
      <c r="L8" t="n">
        <v>25</v>
      </c>
      <c r="M8" t="inlineStr">
        <is>
          <t>복도식</t>
        </is>
      </c>
      <c r="N8" t="n">
        <v>3</v>
      </c>
      <c r="O8" t="n">
        <v>1</v>
      </c>
      <c r="P8" t="n">
        <v>465</v>
      </c>
    </row>
    <row r="9">
      <c r="A9" s="636" t="inlineStr">
        <is>
          <t>관양동</t>
        </is>
      </c>
      <c r="B9" s="636" t="n"/>
      <c r="C9" s="636" t="n"/>
      <c r="D9" s="636" t="n">
        <v>1462</v>
      </c>
      <c r="E9" s="637" t="inlineStr">
        <is>
          <t>공작성일</t>
        </is>
      </c>
      <c r="F9" s="636" t="n">
        <v>1993.02</v>
      </c>
      <c r="G9" s="636" t="n">
        <v>750</v>
      </c>
      <c r="H9" s="636">
        <f>2026-INT(F9)+1</f>
        <v/>
      </c>
      <c r="I9" s="636" t="n"/>
      <c r="J9" s="636" t="n">
        <v>55</v>
      </c>
      <c r="K9" s="636" t="n">
        <v>39</v>
      </c>
      <c r="L9" s="636" t="n">
        <v>17</v>
      </c>
      <c r="M9" s="636" t="inlineStr">
        <is>
          <t>복도식</t>
        </is>
      </c>
      <c r="N9" s="636" t="n">
        <v>2</v>
      </c>
      <c r="O9" s="636" t="n">
        <v>1</v>
      </c>
      <c r="P9" s="636" t="n">
        <v>310</v>
      </c>
      <c r="Q9" s="636" t="n"/>
      <c r="R9" s="636" t="n"/>
      <c r="S9" s="636" t="n"/>
      <c r="T9" s="636" t="n"/>
      <c r="U9" s="636" t="n"/>
      <c r="V9" s="636" t="n"/>
      <c r="W9" s="636" t="n"/>
      <c r="X9" s="636" t="n"/>
      <c r="Y9" s="636" t="n"/>
      <c r="Z9" s="636" t="n"/>
      <c r="AA9" s="636" t="n"/>
      <c r="AB9" s="636" t="n"/>
      <c r="AC9" s="636" t="n"/>
      <c r="AD9" s="636" t="n"/>
      <c r="AE9" s="636" t="n"/>
      <c r="AF9" s="636" t="n"/>
      <c r="AG9" s="636" t="n"/>
      <c r="AH9" s="636" t="n"/>
      <c r="AI9" s="636" t="n"/>
      <c r="AJ9" s="636" t="n"/>
      <c r="AK9" s="636" t="n"/>
    </row>
    <row r="10">
      <c r="A10" s="636" t="inlineStr">
        <is>
          <t>관양동</t>
        </is>
      </c>
      <c r="B10" s="636" t="n"/>
      <c r="C10" s="636" t="n"/>
      <c r="D10" s="636" t="n">
        <v>1462</v>
      </c>
      <c r="E10" s="637" t="inlineStr">
        <is>
          <t>공작성일</t>
        </is>
      </c>
      <c r="F10" s="636" t="n">
        <v>1993.02</v>
      </c>
      <c r="G10" s="636" t="n">
        <v>750</v>
      </c>
      <c r="H10" s="636">
        <f>2026-INT(F10)+1</f>
        <v/>
      </c>
      <c r="I10" s="636" t="n"/>
      <c r="J10" s="636" t="n">
        <v>76</v>
      </c>
      <c r="K10" s="636" t="n">
        <v>59</v>
      </c>
      <c r="L10" s="636" t="n">
        <v>23</v>
      </c>
      <c r="M10" s="636" t="inlineStr">
        <is>
          <t>계단식</t>
        </is>
      </c>
      <c r="N10" s="636" t="n">
        <v>3</v>
      </c>
      <c r="O10" s="636" t="n">
        <v>1</v>
      </c>
      <c r="P10" s="636" t="n">
        <v>200</v>
      </c>
      <c r="Q10" s="636" t="n"/>
      <c r="R10" s="636" t="n"/>
      <c r="S10" s="636" t="n"/>
      <c r="T10" s="636" t="n"/>
      <c r="U10" s="636" t="n"/>
      <c r="V10" s="636" t="n"/>
      <c r="W10" s="636" t="n"/>
      <c r="X10" s="636" t="n"/>
      <c r="Y10" s="636" t="n"/>
      <c r="Z10" s="636" t="n"/>
      <c r="AA10" s="636" t="n"/>
      <c r="AB10" s="636" t="n"/>
      <c r="AC10" s="636" t="n"/>
      <c r="AD10" s="636" t="n"/>
      <c r="AE10" s="636" t="n"/>
      <c r="AF10" s="636" t="n"/>
      <c r="AG10" s="636" t="n"/>
      <c r="AH10" s="636" t="n"/>
      <c r="AI10" s="636" t="n"/>
      <c r="AJ10" s="636" t="n"/>
      <c r="AK10" s="636" t="n"/>
    </row>
    <row r="11">
      <c r="A11" s="636" t="inlineStr">
        <is>
          <t>관양동</t>
        </is>
      </c>
      <c r="B11" s="636" t="n"/>
      <c r="C11" s="636" t="n"/>
      <c r="D11" s="636" t="n">
        <v>1462</v>
      </c>
      <c r="E11" s="637" t="inlineStr">
        <is>
          <t>공작성일</t>
        </is>
      </c>
      <c r="F11" s="636" t="n">
        <v>1993.02</v>
      </c>
      <c r="G11" s="636" t="n">
        <v>750</v>
      </c>
      <c r="H11" s="636">
        <f>2026-INT(F11)+1</f>
        <v/>
      </c>
      <c r="I11" s="636" t="n"/>
      <c r="J11" s="636" t="n">
        <v>96</v>
      </c>
      <c r="K11" s="636" t="n">
        <v>79</v>
      </c>
      <c r="L11" s="636" t="n">
        <v>29</v>
      </c>
      <c r="M11" s="636" t="inlineStr">
        <is>
          <t>계단식</t>
        </is>
      </c>
      <c r="N11" s="636" t="n">
        <v>3</v>
      </c>
      <c r="O11" s="636" t="n">
        <v>2</v>
      </c>
      <c r="P11" s="636" t="n">
        <v>240</v>
      </c>
      <c r="Q11" s="636" t="n"/>
      <c r="R11" s="636" t="n"/>
      <c r="S11" s="636" t="n"/>
      <c r="T11" s="636" t="n"/>
      <c r="U11" s="636" t="n"/>
      <c r="V11" s="636" t="n"/>
      <c r="W11" s="636" t="n"/>
      <c r="X11" s="636" t="n"/>
      <c r="Y11" s="636" t="n"/>
      <c r="Z11" s="636" t="n"/>
      <c r="AA11" s="636" t="n"/>
      <c r="AB11" s="636" t="n"/>
      <c r="AC11" s="636" t="n"/>
      <c r="AD11" s="636" t="n"/>
      <c r="AE11" s="636" t="n"/>
      <c r="AF11" s="636" t="n"/>
      <c r="AG11" s="636" t="n"/>
      <c r="AH11" s="636" t="n"/>
      <c r="AI11" s="636" t="n"/>
      <c r="AJ11" s="636" t="n"/>
      <c r="AK11" s="636" t="n"/>
    </row>
    <row r="12">
      <c r="A12" t="inlineStr">
        <is>
          <t>관양동</t>
        </is>
      </c>
      <c r="D12" t="n">
        <v>102312</v>
      </c>
      <c r="E12" s="638" t="inlineStr">
        <is>
          <t>동편마을3단지</t>
        </is>
      </c>
      <c r="F12" t="n">
        <v>2012.04</v>
      </c>
      <c r="G12" t="n">
        <v>1042</v>
      </c>
      <c r="H12">
        <f>2026-INT(F12)+1</f>
        <v/>
      </c>
      <c r="J12" t="n">
        <v>97</v>
      </c>
      <c r="K12" t="n">
        <v>74</v>
      </c>
      <c r="L12" t="n">
        <v>29</v>
      </c>
      <c r="M12" t="inlineStr">
        <is>
          <t>계단식</t>
        </is>
      </c>
      <c r="N12" t="n">
        <v>3</v>
      </c>
      <c r="O12" t="n">
        <v>2</v>
      </c>
      <c r="P12" t="n">
        <v>225</v>
      </c>
    </row>
    <row r="13">
      <c r="A13" s="458" t="inlineStr">
        <is>
          <t>관양동</t>
        </is>
      </c>
      <c r="D13" s="458" t="n">
        <v>102312</v>
      </c>
      <c r="E13" s="638" t="inlineStr">
        <is>
          <t>동편마을3단지</t>
        </is>
      </c>
      <c r="F13" s="458" t="n">
        <v>2012.04</v>
      </c>
      <c r="G13" s="458" t="n">
        <v>1042</v>
      </c>
      <c r="H13" s="458">
        <f>2026-INT(F13)+1</f>
        <v/>
      </c>
      <c r="J13" s="458" t="n">
        <v>110</v>
      </c>
      <c r="K13" s="458" t="n">
        <v>84</v>
      </c>
      <c r="L13" s="458" t="n">
        <v>33</v>
      </c>
      <c r="M13" s="458" t="inlineStr">
        <is>
          <t>계단식</t>
        </is>
      </c>
      <c r="N13" s="458" t="n">
        <v>3</v>
      </c>
      <c r="O13" s="458" t="n">
        <v>2</v>
      </c>
      <c r="P13" s="458" t="n">
        <v>817</v>
      </c>
      <c r="U13" s="458" t="n"/>
      <c r="V13" s="458" t="n"/>
    </row>
    <row r="14">
      <c r="A14" s="639" t="inlineStr">
        <is>
          <t>관양동</t>
        </is>
      </c>
      <c r="B14" s="636" t="n"/>
      <c r="C14" s="636" t="n"/>
      <c r="D14" s="639" t="n">
        <v>102625</v>
      </c>
      <c r="E14" s="637" t="inlineStr">
        <is>
          <t>동편마을4단지</t>
        </is>
      </c>
      <c r="F14" s="639" t="n">
        <v>2012.03</v>
      </c>
      <c r="G14" s="639" t="n">
        <v>711</v>
      </c>
      <c r="H14" s="639">
        <f>2026-INT(F14)+1</f>
        <v/>
      </c>
      <c r="I14" s="636" t="n"/>
      <c r="J14" s="639" t="n">
        <v>126</v>
      </c>
      <c r="K14" s="639" t="n">
        <v>100</v>
      </c>
      <c r="L14" s="639" t="n">
        <v>38</v>
      </c>
      <c r="M14" s="639" t="inlineStr">
        <is>
          <t>계단식</t>
        </is>
      </c>
      <c r="N14" s="639" t="n">
        <v>3</v>
      </c>
      <c r="O14" s="639" t="n">
        <v>2</v>
      </c>
      <c r="P14" s="639" t="n">
        <v>320</v>
      </c>
      <c r="Q14" s="636" t="n"/>
      <c r="R14" s="636" t="n"/>
      <c r="S14" s="636" t="n"/>
      <c r="T14" s="636" t="n"/>
      <c r="U14" s="639" t="n"/>
      <c r="V14" s="639" t="n"/>
      <c r="W14" s="636" t="n"/>
      <c r="X14" s="636" t="n"/>
      <c r="Y14" s="636" t="n"/>
      <c r="Z14" s="636" t="n"/>
      <c r="AA14" s="636" t="n"/>
      <c r="AB14" s="636" t="n"/>
      <c r="AC14" s="636" t="n"/>
      <c r="AD14" s="636" t="n"/>
      <c r="AE14" s="636" t="n"/>
      <c r="AF14" s="636" t="n"/>
      <c r="AG14" s="636" t="n"/>
      <c r="AH14" s="636" t="n"/>
      <c r="AI14" s="636" t="n"/>
      <c r="AJ14" s="636" t="n"/>
      <c r="AK14" s="636" t="n"/>
    </row>
    <row r="15">
      <c r="A15" s="639" t="inlineStr">
        <is>
          <t>관양동</t>
        </is>
      </c>
      <c r="B15" s="636" t="n"/>
      <c r="C15" s="636" t="n"/>
      <c r="D15" s="639" t="n">
        <v>102625</v>
      </c>
      <c r="E15" s="637" t="inlineStr">
        <is>
          <t>동편마을4단지</t>
        </is>
      </c>
      <c r="F15" s="639" t="n">
        <v>2012.03</v>
      </c>
      <c r="G15" s="639" t="n">
        <v>711</v>
      </c>
      <c r="H15" s="639">
        <f>2026-INT(F15)+1</f>
        <v/>
      </c>
      <c r="I15" s="636" t="n"/>
      <c r="J15" s="639" t="n">
        <v>152</v>
      </c>
      <c r="K15" s="639" t="n">
        <v>120</v>
      </c>
      <c r="L15" s="639" t="n">
        <v>46</v>
      </c>
      <c r="M15" s="639" t="inlineStr">
        <is>
          <t>계단식</t>
        </is>
      </c>
      <c r="N15" s="639" t="n">
        <v>4</v>
      </c>
      <c r="O15" s="639" t="n">
        <v>2</v>
      </c>
      <c r="P15" s="639" t="n">
        <v>232</v>
      </c>
      <c r="Q15" s="636" t="n"/>
      <c r="R15" s="636" t="n"/>
      <c r="S15" s="636" t="n"/>
      <c r="T15" s="636" t="n"/>
      <c r="U15" s="639" t="n"/>
      <c r="V15" s="639" t="n"/>
      <c r="W15" s="636" t="n"/>
      <c r="X15" s="636" t="n"/>
      <c r="Y15" s="636" t="n"/>
      <c r="Z15" s="636" t="n"/>
      <c r="AA15" s="636" t="n"/>
      <c r="AB15" s="636" t="n"/>
      <c r="AC15" s="636" t="n"/>
      <c r="AD15" s="636" t="n"/>
      <c r="AE15" s="636" t="n"/>
      <c r="AF15" s="636" t="n"/>
      <c r="AG15" s="636" t="n"/>
      <c r="AH15" s="636" t="n"/>
      <c r="AI15" s="636" t="n"/>
      <c r="AJ15" s="636" t="n"/>
      <c r="AK15" s="636" t="n"/>
    </row>
    <row r="16">
      <c r="A16" s="636" t="inlineStr">
        <is>
          <t>관양동</t>
        </is>
      </c>
      <c r="B16" s="636" t="n"/>
      <c r="C16" s="636" t="n"/>
      <c r="D16" s="636" t="n">
        <v>102625</v>
      </c>
      <c r="E16" s="637" t="inlineStr">
        <is>
          <t>동편마을4단지</t>
        </is>
      </c>
      <c r="F16" s="636" t="n">
        <v>2012.03</v>
      </c>
      <c r="G16" s="636" t="n">
        <v>711</v>
      </c>
      <c r="H16" s="636">
        <f>2026-INT(F16)+1</f>
        <v/>
      </c>
      <c r="I16" s="636" t="n"/>
      <c r="J16" s="636" t="n">
        <v>171</v>
      </c>
      <c r="K16" s="636" t="n">
        <v>135</v>
      </c>
      <c r="L16" s="636" t="n">
        <v>52</v>
      </c>
      <c r="M16" s="636" t="inlineStr">
        <is>
          <t>계단식</t>
        </is>
      </c>
      <c r="N16" s="636" t="n">
        <v>4</v>
      </c>
      <c r="O16" s="636" t="n">
        <v>2</v>
      </c>
      <c r="P16" s="636" t="n">
        <v>156</v>
      </c>
      <c r="Q16" s="636" t="n"/>
      <c r="R16" s="636" t="n"/>
      <c r="S16" s="636" t="n"/>
      <c r="T16" s="636" t="n"/>
      <c r="U16" s="636" t="n"/>
      <c r="V16" s="636" t="n"/>
      <c r="W16" s="636" t="n"/>
      <c r="X16" s="636" t="n"/>
      <c r="Y16" s="636" t="n"/>
      <c r="Z16" s="636" t="n"/>
      <c r="AA16" s="636" t="n"/>
      <c r="AB16" s="636" t="n"/>
      <c r="AC16" s="636" t="n"/>
      <c r="AD16" s="636" t="n"/>
      <c r="AE16" s="636" t="n"/>
      <c r="AF16" s="636" t="n"/>
      <c r="AG16" s="636" t="n"/>
      <c r="AH16" s="636" t="n"/>
      <c r="AI16" s="636" t="n"/>
      <c r="AJ16" s="636" t="n"/>
      <c r="AK16" s="636" t="n"/>
    </row>
    <row r="17">
      <c r="A17" s="636" t="inlineStr">
        <is>
          <t>관양동</t>
        </is>
      </c>
      <c r="B17" s="636" t="n"/>
      <c r="C17" s="636" t="n"/>
      <c r="D17" s="636" t="n">
        <v>102625</v>
      </c>
      <c r="E17" s="637" t="inlineStr">
        <is>
          <t>동편마을4단지</t>
        </is>
      </c>
      <c r="F17" s="636" t="n">
        <v>2012.03</v>
      </c>
      <c r="G17" s="636" t="n">
        <v>711</v>
      </c>
      <c r="H17" s="636">
        <f>2026-INT(F17)+1</f>
        <v/>
      </c>
      <c r="I17" s="636" t="n"/>
      <c r="J17" s="636" t="n">
        <v>201</v>
      </c>
      <c r="K17" s="636" t="n">
        <v>159</v>
      </c>
      <c r="L17" s="636" t="n">
        <v>61</v>
      </c>
      <c r="M17" s="636" t="inlineStr">
        <is>
          <t>계단식</t>
        </is>
      </c>
      <c r="N17" s="636" t="n">
        <v>4</v>
      </c>
      <c r="O17" s="636" t="n">
        <v>2</v>
      </c>
      <c r="P17" s="636" t="n">
        <v>3</v>
      </c>
      <c r="Q17" s="636" t="n"/>
      <c r="R17" s="636" t="n"/>
      <c r="S17" s="636" t="n"/>
      <c r="T17" s="636" t="n"/>
      <c r="U17" s="636" t="n"/>
      <c r="V17" s="636" t="n"/>
      <c r="W17" s="636" t="n"/>
      <c r="X17" s="636" t="n"/>
      <c r="Y17" s="636" t="n"/>
      <c r="Z17" s="636" t="n"/>
      <c r="AA17" s="636" t="n"/>
      <c r="AB17" s="636" t="n"/>
      <c r="AC17" s="636" t="n"/>
      <c r="AD17" s="636" t="n"/>
      <c r="AE17" s="636" t="n"/>
      <c r="AF17" s="636" t="n"/>
      <c r="AG17" s="636" t="n"/>
      <c r="AH17" s="636" t="n"/>
      <c r="AI17" s="636" t="n"/>
      <c r="AJ17" s="636" t="n"/>
      <c r="AK17" s="636" t="n"/>
    </row>
    <row r="18">
      <c r="A18" t="inlineStr">
        <is>
          <t>관양동</t>
        </is>
      </c>
      <c r="D18" t="n">
        <v>2505</v>
      </c>
      <c r="E18" s="638" t="inlineStr">
        <is>
          <t>인덕원마을삼성</t>
        </is>
      </c>
      <c r="F18" t="n">
        <v>1998.12</v>
      </c>
      <c r="G18" t="n">
        <v>1314</v>
      </c>
      <c r="H18">
        <f>2026-INT(F18)+1</f>
        <v/>
      </c>
      <c r="J18" t="n">
        <v>79</v>
      </c>
      <c r="K18" t="n">
        <v>59</v>
      </c>
      <c r="L18" t="n">
        <v>24</v>
      </c>
      <c r="M18" t="inlineStr">
        <is>
          <t>계단식</t>
        </is>
      </c>
      <c r="N18" t="n">
        <v>2</v>
      </c>
      <c r="O18" t="n">
        <v>1</v>
      </c>
      <c r="P18" t="n">
        <v>470</v>
      </c>
    </row>
    <row r="19">
      <c r="A19" s="458" t="inlineStr">
        <is>
          <t>관양동</t>
        </is>
      </c>
      <c r="D19" s="458" t="n">
        <v>2505</v>
      </c>
      <c r="E19" s="638" t="inlineStr">
        <is>
          <t>인덕원마을삼성</t>
        </is>
      </c>
      <c r="F19" s="458" t="n">
        <v>1998.12</v>
      </c>
      <c r="G19" s="458" t="n">
        <v>1314</v>
      </c>
      <c r="H19" s="458">
        <f>2026-INT(F19)+1</f>
        <v/>
      </c>
      <c r="J19" s="458" t="n">
        <v>79</v>
      </c>
      <c r="K19" s="458" t="n">
        <v>59</v>
      </c>
      <c r="L19" s="458" t="n">
        <v>24</v>
      </c>
      <c r="M19" s="458" t="inlineStr">
        <is>
          <t>계단식</t>
        </is>
      </c>
      <c r="N19" s="458" t="n">
        <v>3</v>
      </c>
      <c r="O19" s="458" t="n">
        <v>1</v>
      </c>
      <c r="P19" s="458" t="n">
        <v>200</v>
      </c>
      <c r="U19" s="458" t="n"/>
      <c r="V19" s="458" t="n"/>
    </row>
    <row r="20">
      <c r="A20" s="458" t="inlineStr">
        <is>
          <t>관양동</t>
        </is>
      </c>
      <c r="D20" s="458" t="n">
        <v>2505</v>
      </c>
      <c r="E20" s="638" t="inlineStr">
        <is>
          <t>인덕원마을삼성</t>
        </is>
      </c>
      <c r="F20" s="458" t="n">
        <v>1998.12</v>
      </c>
      <c r="G20" s="458" t="n">
        <v>1314</v>
      </c>
      <c r="H20" s="458">
        <f>2026-INT(F20)+1</f>
        <v/>
      </c>
      <c r="J20" s="458" t="n">
        <v>106</v>
      </c>
      <c r="K20" s="458" t="n">
        <v>84</v>
      </c>
      <c r="L20" s="458" t="n">
        <v>32</v>
      </c>
      <c r="M20" s="458" t="inlineStr">
        <is>
          <t>계단식</t>
        </is>
      </c>
      <c r="N20" s="458" t="n">
        <v>3</v>
      </c>
      <c r="O20" s="458" t="n">
        <v>2</v>
      </c>
      <c r="P20" s="458" t="n">
        <v>644</v>
      </c>
      <c r="U20" s="458" t="n"/>
      <c r="V20" s="458" t="n"/>
    </row>
    <row r="21">
      <c r="A21" s="639" t="inlineStr">
        <is>
          <t>관양동</t>
        </is>
      </c>
      <c r="B21" s="636" t="n"/>
      <c r="C21" s="636" t="n"/>
      <c r="D21" s="639" t="n">
        <v>107579</v>
      </c>
      <c r="E21" s="637" t="inlineStr">
        <is>
          <t>평촌더샵센트럴시티</t>
        </is>
      </c>
      <c r="F21" s="639" t="n">
        <v>2016.06</v>
      </c>
      <c r="G21" s="639" t="n">
        <v>1459</v>
      </c>
      <c r="H21" s="639">
        <f>2026-INT(F21)+1</f>
        <v/>
      </c>
      <c r="I21" s="636" t="n"/>
      <c r="J21" s="639" t="n">
        <v>80</v>
      </c>
      <c r="K21" s="639" t="n">
        <v>59</v>
      </c>
      <c r="L21" s="639" t="n">
        <v>24</v>
      </c>
      <c r="M21" s="639" t="inlineStr">
        <is>
          <t>계단식</t>
        </is>
      </c>
      <c r="N21" s="639" t="n">
        <v>3</v>
      </c>
      <c r="O21" s="639" t="n">
        <v>2</v>
      </c>
      <c r="P21" s="639" t="n">
        <v>320</v>
      </c>
      <c r="Q21" s="636" t="n"/>
      <c r="R21" s="636" t="n"/>
      <c r="S21" s="636" t="n"/>
      <c r="T21" s="636" t="n"/>
      <c r="U21" s="639" t="n"/>
      <c r="V21" s="639" t="n"/>
      <c r="W21" s="636" t="n"/>
      <c r="X21" s="636" t="n"/>
      <c r="Y21" s="636" t="n"/>
      <c r="Z21" s="636" t="n"/>
      <c r="AA21" s="636" t="n"/>
      <c r="AB21" s="636" t="n"/>
      <c r="AC21" s="636" t="n"/>
      <c r="AD21" s="636" t="n"/>
      <c r="AE21" s="636" t="n"/>
      <c r="AF21" s="636" t="n"/>
      <c r="AG21" s="636" t="n"/>
      <c r="AH21" s="636" t="n"/>
      <c r="AI21" s="636" t="n"/>
      <c r="AJ21" s="636" t="n"/>
      <c r="AK21" s="636" t="n"/>
    </row>
    <row r="22">
      <c r="A22" s="636" t="inlineStr">
        <is>
          <t>관양동</t>
        </is>
      </c>
      <c r="B22" s="636" t="n"/>
      <c r="C22" s="636" t="n"/>
      <c r="D22" s="636" t="n">
        <v>107579</v>
      </c>
      <c r="E22" s="637" t="inlineStr">
        <is>
          <t>평촌더샵센트럴시티</t>
        </is>
      </c>
      <c r="F22" s="636" t="n">
        <v>2016.06</v>
      </c>
      <c r="G22" s="636" t="n">
        <v>1459</v>
      </c>
      <c r="H22" s="636">
        <f>2026-INT(F22)+1</f>
        <v/>
      </c>
      <c r="I22" s="636" t="n"/>
      <c r="J22" s="636" t="n">
        <v>112</v>
      </c>
      <c r="K22" s="636" t="n">
        <v>84</v>
      </c>
      <c r="L22" s="636" t="n">
        <v>34</v>
      </c>
      <c r="M22" s="636" t="inlineStr">
        <is>
          <t>계단식</t>
        </is>
      </c>
      <c r="N22" s="636" t="n">
        <v>3</v>
      </c>
      <c r="O22" s="636" t="n">
        <v>2</v>
      </c>
      <c r="P22" s="636" t="n">
        <v>1025</v>
      </c>
      <c r="Q22" s="636" t="n"/>
      <c r="R22" s="636" t="n"/>
      <c r="S22" s="636" t="n"/>
      <c r="T22" s="636" t="n"/>
      <c r="U22" s="636" t="n"/>
      <c r="V22" s="636" t="n"/>
      <c r="W22" s="636" t="n"/>
      <c r="X22" s="636" t="n"/>
      <c r="Y22" s="636" t="n"/>
      <c r="Z22" s="636" t="n"/>
      <c r="AA22" s="636" t="n"/>
      <c r="AB22" s="636" t="n"/>
      <c r="AC22" s="636" t="n"/>
      <c r="AD22" s="636" t="n"/>
      <c r="AE22" s="636" t="n"/>
      <c r="AF22" s="636" t="n"/>
      <c r="AG22" s="636" t="n"/>
      <c r="AH22" s="636" t="n"/>
      <c r="AI22" s="636" t="n"/>
      <c r="AJ22" s="636" t="n"/>
      <c r="AK22" s="636" t="n"/>
    </row>
    <row r="23">
      <c r="A23" s="636" t="inlineStr">
        <is>
          <t>관양동</t>
        </is>
      </c>
      <c r="B23" s="636" t="n"/>
      <c r="C23" s="636" t="n"/>
      <c r="D23" s="636" t="n">
        <v>107579</v>
      </c>
      <c r="E23" s="637" t="inlineStr">
        <is>
          <t>평촌더샵센트럴시티</t>
        </is>
      </c>
      <c r="F23" s="636" t="n">
        <v>2016.06</v>
      </c>
      <c r="G23" s="636" t="n">
        <v>1459</v>
      </c>
      <c r="H23" s="636">
        <f>2026-INT(F23)+1</f>
        <v/>
      </c>
      <c r="I23" s="636" t="n"/>
      <c r="J23" s="636" t="n">
        <v>127</v>
      </c>
      <c r="K23" s="636" t="n">
        <v>96</v>
      </c>
      <c r="L23" s="636" t="n">
        <v>38</v>
      </c>
      <c r="M23" s="636" t="inlineStr">
        <is>
          <t>계단식</t>
        </is>
      </c>
      <c r="N23" s="636" t="n">
        <v>4</v>
      </c>
      <c r="O23" s="636" t="n">
        <v>2</v>
      </c>
      <c r="P23" s="636" t="n">
        <v>114</v>
      </c>
      <c r="Q23" s="636" t="n"/>
      <c r="R23" s="636" t="n"/>
      <c r="S23" s="636" t="n"/>
      <c r="T23" s="636" t="n"/>
      <c r="U23" s="636" t="n"/>
      <c r="V23" s="636" t="n"/>
      <c r="W23" s="636" t="n"/>
      <c r="X23" s="636" t="n"/>
      <c r="Y23" s="636" t="n"/>
      <c r="Z23" s="636" t="n"/>
      <c r="AA23" s="636" t="n"/>
      <c r="AB23" s="636" t="n"/>
      <c r="AC23" s="636" t="n"/>
      <c r="AD23" s="636" t="n"/>
      <c r="AE23" s="636" t="n"/>
      <c r="AF23" s="636" t="n"/>
      <c r="AG23" s="636" t="n"/>
      <c r="AH23" s="636" t="n"/>
      <c r="AI23" s="636" t="n"/>
      <c r="AJ23" s="636" t="n"/>
      <c r="AK23" s="636" t="n"/>
    </row>
    <row r="24">
      <c r="A24" t="inlineStr">
        <is>
          <t>관양동</t>
        </is>
      </c>
      <c r="D24" t="n">
        <v>1461</v>
      </c>
      <c r="E24" s="638" t="inlineStr">
        <is>
          <t>한가람두산</t>
        </is>
      </c>
      <c r="F24" t="n">
        <v>1992.11</v>
      </c>
      <c r="G24" t="n">
        <v>436</v>
      </c>
      <c r="H24">
        <f>2026-INT(F24)+1</f>
        <v/>
      </c>
      <c r="J24" t="n">
        <v>76</v>
      </c>
      <c r="K24" t="n">
        <v>59</v>
      </c>
      <c r="L24" t="n">
        <v>23</v>
      </c>
      <c r="M24" t="inlineStr">
        <is>
          <t>계단식</t>
        </is>
      </c>
      <c r="N24" t="n">
        <v>3</v>
      </c>
      <c r="O24" t="n">
        <v>1</v>
      </c>
      <c r="P24" t="n">
        <v>168</v>
      </c>
    </row>
    <row r="25">
      <c r="A25" t="inlineStr">
        <is>
          <t>관양동</t>
        </is>
      </c>
      <c r="D25" t="n">
        <v>1461</v>
      </c>
      <c r="E25" s="638" t="inlineStr">
        <is>
          <t>한가람두산</t>
        </is>
      </c>
      <c r="F25" t="n">
        <v>1992.11</v>
      </c>
      <c r="G25" t="n">
        <v>436</v>
      </c>
      <c r="H25">
        <f>2026-INT(F25)+1</f>
        <v/>
      </c>
      <c r="J25" t="n">
        <v>104</v>
      </c>
      <c r="K25" t="n">
        <v>84</v>
      </c>
      <c r="L25" t="n">
        <v>31</v>
      </c>
      <c r="M25" t="inlineStr">
        <is>
          <t>계단식</t>
        </is>
      </c>
      <c r="N25" t="n">
        <v>3</v>
      </c>
      <c r="O25" t="n">
        <v>2</v>
      </c>
      <c r="P25" t="n">
        <v>268</v>
      </c>
    </row>
    <row r="26">
      <c r="A26" s="639" t="inlineStr">
        <is>
          <t>관양동</t>
        </is>
      </c>
      <c r="B26" s="636" t="n"/>
      <c r="C26" s="636" t="n"/>
      <c r="D26" s="639" t="n">
        <v>1465</v>
      </c>
      <c r="E26" s="637" t="inlineStr">
        <is>
          <t>한가람삼성</t>
        </is>
      </c>
      <c r="F26" s="639" t="n">
        <v>1995.01</v>
      </c>
      <c r="G26" s="639" t="n">
        <v>708</v>
      </c>
      <c r="H26" s="639">
        <f>2026-INT(F26)+1</f>
        <v/>
      </c>
      <c r="I26" s="636" t="n"/>
      <c r="J26" s="639" t="n">
        <v>83</v>
      </c>
      <c r="K26" s="639" t="n">
        <v>59</v>
      </c>
      <c r="L26" s="639" t="n">
        <v>25</v>
      </c>
      <c r="M26" s="639" t="inlineStr">
        <is>
          <t>복도식</t>
        </is>
      </c>
      <c r="N26" s="639" t="n">
        <v>3</v>
      </c>
      <c r="O26" s="639" t="n">
        <v>1</v>
      </c>
      <c r="P26" s="639" t="n">
        <v>250</v>
      </c>
      <c r="Q26" s="636" t="n"/>
      <c r="R26" s="636" t="n"/>
      <c r="S26" s="636" t="n"/>
      <c r="T26" s="636" t="n"/>
      <c r="U26" s="636" t="n"/>
      <c r="V26" s="636" t="n"/>
      <c r="W26" s="636" t="n"/>
      <c r="X26" s="636" t="n"/>
      <c r="Y26" s="636" t="n"/>
      <c r="Z26" s="636" t="n"/>
      <c r="AA26" s="636" t="n"/>
      <c r="AB26" s="636" t="n"/>
      <c r="AC26" s="636" t="n"/>
      <c r="AD26" s="636" t="n"/>
      <c r="AE26" s="636" t="n"/>
      <c r="AF26" s="636" t="n"/>
      <c r="AG26" s="636" t="n"/>
      <c r="AH26" s="636" t="n"/>
      <c r="AI26" s="636" t="n"/>
      <c r="AJ26" s="636" t="n"/>
      <c r="AK26" s="636" t="n"/>
    </row>
    <row r="27">
      <c r="A27" s="639" t="inlineStr">
        <is>
          <t>관양동</t>
        </is>
      </c>
      <c r="B27" s="636" t="n"/>
      <c r="C27" s="636" t="n"/>
      <c r="D27" s="639" t="n">
        <v>1465</v>
      </c>
      <c r="E27" s="637" t="inlineStr">
        <is>
          <t>한가람삼성</t>
        </is>
      </c>
      <c r="F27" s="639" t="n">
        <v>1995.01</v>
      </c>
      <c r="G27" s="639" t="n">
        <v>708</v>
      </c>
      <c r="H27" s="639">
        <f>2026-INT(F27)+1</f>
        <v/>
      </c>
      <c r="I27" s="636" t="n"/>
      <c r="J27" s="639" t="n">
        <v>106</v>
      </c>
      <c r="K27" s="639" t="n">
        <v>84</v>
      </c>
      <c r="L27" s="639" t="n">
        <v>32</v>
      </c>
      <c r="M27" s="639" t="inlineStr">
        <is>
          <t>계단식</t>
        </is>
      </c>
      <c r="N27" s="639" t="n">
        <v>3</v>
      </c>
      <c r="O27" s="639" t="n">
        <v>2</v>
      </c>
      <c r="P27" s="639" t="n">
        <v>458</v>
      </c>
      <c r="Q27" s="636" t="n"/>
      <c r="R27" s="636" t="n"/>
      <c r="S27" s="636" t="n"/>
      <c r="T27" s="636" t="n"/>
      <c r="U27" s="636" t="n"/>
      <c r="V27" s="636" t="n"/>
      <c r="W27" s="636" t="n"/>
      <c r="X27" s="636" t="n"/>
      <c r="Y27" s="636" t="n"/>
      <c r="Z27" s="636" t="n"/>
      <c r="AA27" s="636" t="n"/>
      <c r="AB27" s="636" t="n"/>
      <c r="AC27" s="636" t="n"/>
      <c r="AD27" s="636" t="n"/>
      <c r="AE27" s="636" t="n"/>
      <c r="AF27" s="636" t="n"/>
      <c r="AG27" s="636" t="n"/>
      <c r="AH27" s="636" t="n"/>
      <c r="AI27" s="636" t="n"/>
      <c r="AJ27" s="636" t="n"/>
      <c r="AK27" s="636" t="n"/>
    </row>
    <row r="28">
      <c r="A28" s="458" t="inlineStr">
        <is>
          <t>관양동</t>
        </is>
      </c>
      <c r="D28" s="458" t="n">
        <v>3286</v>
      </c>
      <c r="E28" s="638" t="inlineStr">
        <is>
          <t>한가람세경</t>
        </is>
      </c>
      <c r="F28" s="458" t="n">
        <v>1996.11</v>
      </c>
      <c r="G28" s="458" t="n">
        <v>1292</v>
      </c>
      <c r="H28" s="458">
        <f>2026-INT(F28)+1</f>
        <v/>
      </c>
      <c r="J28" s="458" t="n">
        <v>64</v>
      </c>
      <c r="K28" s="458" t="n">
        <v>49</v>
      </c>
      <c r="L28" s="458" t="n">
        <v>19</v>
      </c>
      <c r="M28" s="458" t="inlineStr">
        <is>
          <t>복도식</t>
        </is>
      </c>
      <c r="N28" s="458" t="n">
        <v>2</v>
      </c>
      <c r="O28" s="458" t="n">
        <v>1</v>
      </c>
      <c r="P28" s="458" t="n">
        <v>660</v>
      </c>
    </row>
    <row r="29">
      <c r="A29" t="inlineStr">
        <is>
          <t>관양동</t>
        </is>
      </c>
      <c r="D29" t="n">
        <v>3286</v>
      </c>
      <c r="E29" s="638" t="inlineStr">
        <is>
          <t>한가람세경</t>
        </is>
      </c>
      <c r="F29" t="n">
        <v>1996.11</v>
      </c>
      <c r="G29" t="n">
        <v>1292</v>
      </c>
      <c r="H29">
        <f>2026-INT(F29)+1</f>
        <v/>
      </c>
      <c r="J29" t="n">
        <v>66</v>
      </c>
      <c r="K29" t="n">
        <v>51</v>
      </c>
      <c r="L29" t="n">
        <v>20</v>
      </c>
      <c r="M29" t="inlineStr">
        <is>
          <t>복도식</t>
        </is>
      </c>
      <c r="N29" t="n">
        <v>2</v>
      </c>
      <c r="O29" t="n">
        <v>1</v>
      </c>
      <c r="P29" t="n">
        <v>632</v>
      </c>
    </row>
    <row r="30">
      <c r="A30" s="636" t="inlineStr">
        <is>
          <t>관양동</t>
        </is>
      </c>
      <c r="B30" s="636" t="n"/>
      <c r="C30" s="636" t="n"/>
      <c r="D30" s="636" t="n">
        <v>1464</v>
      </c>
      <c r="E30" s="637" t="inlineStr">
        <is>
          <t>한가람신라</t>
        </is>
      </c>
      <c r="F30" s="636" t="n">
        <v>1992.07</v>
      </c>
      <c r="G30" s="636" t="n">
        <v>1068</v>
      </c>
      <c r="H30" s="636">
        <f>2026-INT(F30)+1</f>
        <v/>
      </c>
      <c r="I30" s="636" t="n"/>
      <c r="J30" s="636" t="n">
        <v>49</v>
      </c>
      <c r="K30" s="636" t="n">
        <v>38</v>
      </c>
      <c r="L30" s="636" t="n">
        <v>15</v>
      </c>
      <c r="M30" s="636" t="inlineStr">
        <is>
          <t>복도식</t>
        </is>
      </c>
      <c r="N30" s="636" t="n">
        <v>2</v>
      </c>
      <c r="O30" s="636" t="n">
        <v>1</v>
      </c>
      <c r="P30" s="636" t="n">
        <v>318</v>
      </c>
      <c r="Q30" s="636" t="n"/>
      <c r="R30" s="636" t="n"/>
      <c r="S30" s="636" t="n"/>
      <c r="T30" s="636" t="n"/>
      <c r="U30" s="636" t="n"/>
      <c r="V30" s="636" t="n"/>
      <c r="W30" s="636" t="n"/>
      <c r="X30" s="636" t="n"/>
      <c r="Y30" s="636" t="n"/>
      <c r="Z30" s="636" t="n"/>
      <c r="AA30" s="636" t="n"/>
      <c r="AB30" s="636" t="n"/>
      <c r="AC30" s="636" t="n"/>
      <c r="AD30" s="636" t="n"/>
      <c r="AE30" s="636" t="n"/>
      <c r="AF30" s="636" t="n"/>
      <c r="AG30" s="636" t="n"/>
      <c r="AH30" s="636" t="n"/>
      <c r="AI30" s="636" t="n"/>
      <c r="AJ30" s="636" t="n"/>
      <c r="AK30" s="636" t="n"/>
    </row>
    <row r="31">
      <c r="A31" s="639" t="inlineStr">
        <is>
          <t>관양동</t>
        </is>
      </c>
      <c r="B31" s="636" t="n"/>
      <c r="C31" s="636" t="n"/>
      <c r="D31" s="639" t="n">
        <v>1464</v>
      </c>
      <c r="E31" s="637" t="inlineStr">
        <is>
          <t>한가람신라</t>
        </is>
      </c>
      <c r="F31" s="639" t="n">
        <v>1992.07</v>
      </c>
      <c r="G31" s="639" t="n">
        <v>1068</v>
      </c>
      <c r="H31" s="639">
        <f>2026-INT(F31)+1</f>
        <v/>
      </c>
      <c r="I31" s="636" t="n"/>
      <c r="J31" s="639" t="n">
        <v>57</v>
      </c>
      <c r="K31" s="639" t="n">
        <v>42</v>
      </c>
      <c r="L31" s="639" t="n">
        <v>17</v>
      </c>
      <c r="M31" s="639" t="inlineStr">
        <is>
          <t>복도식</t>
        </is>
      </c>
      <c r="N31" s="639" t="n">
        <v>2</v>
      </c>
      <c r="O31" s="639" t="n">
        <v>1</v>
      </c>
      <c r="P31" s="639" t="n">
        <v>238</v>
      </c>
      <c r="Q31" s="636" t="n"/>
      <c r="R31" s="636" t="n"/>
      <c r="S31" s="636" t="n"/>
      <c r="T31" s="636" t="n"/>
      <c r="U31" s="639" t="n"/>
      <c r="V31" s="639" t="n"/>
      <c r="W31" s="636" t="n"/>
      <c r="X31" s="636" t="n"/>
      <c r="Y31" s="636" t="n"/>
      <c r="Z31" s="636" t="n"/>
      <c r="AA31" s="636" t="n"/>
      <c r="AB31" s="636" t="n"/>
      <c r="AC31" s="636" t="n"/>
      <c r="AD31" s="636" t="n"/>
      <c r="AE31" s="636" t="n"/>
      <c r="AF31" s="636" t="n"/>
      <c r="AG31" s="636" t="n"/>
      <c r="AH31" s="636" t="n"/>
      <c r="AI31" s="636" t="n"/>
      <c r="AJ31" s="636" t="n"/>
      <c r="AK31" s="636" t="n"/>
    </row>
    <row r="32">
      <c r="A32" s="639" t="inlineStr">
        <is>
          <t>관양동</t>
        </is>
      </c>
      <c r="B32" s="636" t="n"/>
      <c r="C32" s="636" t="n"/>
      <c r="D32" s="639" t="n">
        <v>1464</v>
      </c>
      <c r="E32" s="637" t="inlineStr">
        <is>
          <t>한가람신라</t>
        </is>
      </c>
      <c r="F32" s="639" t="n">
        <v>1992.07</v>
      </c>
      <c r="G32" s="639" t="n">
        <v>1068</v>
      </c>
      <c r="H32" s="639">
        <f>2026-INT(F32)+1</f>
        <v/>
      </c>
      <c r="I32" s="636" t="n"/>
      <c r="J32" s="639" t="n">
        <v>59</v>
      </c>
      <c r="K32" s="639" t="n">
        <v>45</v>
      </c>
      <c r="L32" s="639" t="n">
        <v>18</v>
      </c>
      <c r="M32" s="639" t="inlineStr">
        <is>
          <t>복도식</t>
        </is>
      </c>
      <c r="N32" s="639" t="n">
        <v>2</v>
      </c>
      <c r="O32" s="639" t="n">
        <v>1</v>
      </c>
      <c r="P32" s="639" t="n">
        <v>182</v>
      </c>
      <c r="Q32" s="636" t="n"/>
      <c r="R32" s="636" t="n"/>
      <c r="S32" s="636" t="n"/>
      <c r="T32" s="636" t="n"/>
      <c r="U32" s="639" t="n"/>
      <c r="V32" s="639" t="n"/>
      <c r="W32" s="636" t="n"/>
      <c r="X32" s="636" t="n"/>
      <c r="Y32" s="636" t="n"/>
      <c r="Z32" s="636" t="n"/>
      <c r="AA32" s="636" t="n"/>
      <c r="AB32" s="636" t="n"/>
      <c r="AC32" s="636" t="n"/>
      <c r="AD32" s="636" t="n"/>
      <c r="AE32" s="636" t="n"/>
      <c r="AF32" s="636" t="n"/>
      <c r="AG32" s="636" t="n"/>
      <c r="AH32" s="636" t="n"/>
      <c r="AI32" s="636" t="n"/>
      <c r="AJ32" s="636" t="n"/>
      <c r="AK32" s="636" t="n"/>
    </row>
    <row r="33">
      <c r="A33" s="639" t="inlineStr">
        <is>
          <t>관양동</t>
        </is>
      </c>
      <c r="B33" s="636" t="n"/>
      <c r="C33" s="636" t="n"/>
      <c r="D33" s="639" t="n">
        <v>1464</v>
      </c>
      <c r="E33" s="637" t="inlineStr">
        <is>
          <t>한가람신라</t>
        </is>
      </c>
      <c r="F33" s="639" t="n">
        <v>1992.07</v>
      </c>
      <c r="G33" s="639" t="n">
        <v>1068</v>
      </c>
      <c r="H33" s="639">
        <f>2026-INT(F33)+1</f>
        <v/>
      </c>
      <c r="I33" s="636" t="n"/>
      <c r="J33" s="639" t="n">
        <v>80</v>
      </c>
      <c r="K33" s="639" t="n">
        <v>59</v>
      </c>
      <c r="L33" s="639" t="n">
        <v>24</v>
      </c>
      <c r="M33" s="639" t="inlineStr">
        <is>
          <t>복도식</t>
        </is>
      </c>
      <c r="N33" s="639" t="n">
        <v>3</v>
      </c>
      <c r="O33" s="639" t="n">
        <v>1</v>
      </c>
      <c r="P33" s="639" t="n">
        <v>330</v>
      </c>
      <c r="Q33" s="636" t="n"/>
      <c r="R33" s="636" t="n"/>
      <c r="S33" s="636" t="n"/>
      <c r="T33" s="636" t="n"/>
      <c r="U33" s="639" t="n"/>
      <c r="V33" s="639" t="n"/>
      <c r="W33" s="636" t="n"/>
      <c r="X33" s="636" t="n"/>
      <c r="Y33" s="636" t="n"/>
      <c r="Z33" s="636" t="n"/>
      <c r="AA33" s="636" t="n"/>
      <c r="AB33" s="636" t="n"/>
      <c r="AC33" s="636" t="n"/>
      <c r="AD33" s="636" t="n"/>
      <c r="AE33" s="636" t="n"/>
      <c r="AF33" s="636" t="n"/>
      <c r="AG33" s="636" t="n"/>
      <c r="AH33" s="636" t="n"/>
      <c r="AI33" s="636" t="n"/>
      <c r="AJ33" s="636" t="n"/>
      <c r="AK33" s="636" t="n"/>
    </row>
    <row r="34">
      <c r="A34" t="inlineStr">
        <is>
          <t>관양동</t>
        </is>
      </c>
      <c r="D34" t="n">
        <v>3001</v>
      </c>
      <c r="E34" s="638" t="inlineStr">
        <is>
          <t>한가람한양</t>
        </is>
      </c>
      <c r="F34" t="n">
        <v>1995.05</v>
      </c>
      <c r="G34" t="n">
        <v>952</v>
      </c>
      <c r="H34">
        <f>2026-INT(F34)+1</f>
        <v/>
      </c>
      <c r="J34" t="n">
        <v>55</v>
      </c>
      <c r="K34" t="n">
        <v>41</v>
      </c>
      <c r="L34" t="n">
        <v>17</v>
      </c>
      <c r="M34" t="inlineStr">
        <is>
          <t>복도식</t>
        </is>
      </c>
      <c r="N34" t="n">
        <v>2</v>
      </c>
      <c r="O34" t="n">
        <v>1</v>
      </c>
      <c r="P34" t="n">
        <v>560</v>
      </c>
    </row>
    <row r="35">
      <c r="A35" t="inlineStr">
        <is>
          <t>관양동</t>
        </is>
      </c>
      <c r="D35" t="n">
        <v>3001</v>
      </c>
      <c r="E35" s="638" t="inlineStr">
        <is>
          <t>한가람한양</t>
        </is>
      </c>
      <c r="F35" t="n">
        <v>1995.05</v>
      </c>
      <c r="G35" t="n">
        <v>952</v>
      </c>
      <c r="H35">
        <f>2026-INT(F35)+1</f>
        <v/>
      </c>
      <c r="J35" t="n">
        <v>79</v>
      </c>
      <c r="K35" t="n">
        <v>59</v>
      </c>
      <c r="L35" t="n">
        <v>24</v>
      </c>
      <c r="M35" t="inlineStr">
        <is>
          <t>복도식</t>
        </is>
      </c>
      <c r="N35" t="n">
        <v>3</v>
      </c>
      <c r="O35" t="n">
        <v>1</v>
      </c>
      <c r="P35" t="n">
        <v>72</v>
      </c>
    </row>
    <row r="36">
      <c r="A36" s="458" t="inlineStr">
        <is>
          <t>관양동</t>
        </is>
      </c>
      <c r="D36" s="458" t="n">
        <v>3001</v>
      </c>
      <c r="E36" s="638" t="inlineStr">
        <is>
          <t>한가람한양</t>
        </is>
      </c>
      <c r="F36" s="458" t="n">
        <v>1995.05</v>
      </c>
      <c r="G36" s="458" t="n">
        <v>952</v>
      </c>
      <c r="H36" s="458">
        <f>2026-INT(F36)+1</f>
        <v/>
      </c>
      <c r="J36" s="458" t="n">
        <v>104</v>
      </c>
      <c r="K36" s="458" t="n">
        <v>84</v>
      </c>
      <c r="L36" s="458" t="n">
        <v>31</v>
      </c>
      <c r="M36" s="458" t="inlineStr">
        <is>
          <t>계단식</t>
        </is>
      </c>
      <c r="N36" s="458" t="n">
        <v>3</v>
      </c>
      <c r="O36" s="458" t="n">
        <v>2</v>
      </c>
      <c r="P36" s="458" t="n">
        <v>320</v>
      </c>
      <c r="U36" s="458" t="n"/>
      <c r="V36" s="458" t="n"/>
    </row>
    <row r="37">
      <c r="A37" s="639" t="inlineStr">
        <is>
          <t>관양동</t>
        </is>
      </c>
      <c r="B37" s="636" t="n"/>
      <c r="C37" s="636" t="n"/>
      <c r="D37" s="639" t="n">
        <v>1977</v>
      </c>
      <c r="E37" s="637" t="inlineStr">
        <is>
          <t>한미</t>
        </is>
      </c>
      <c r="F37" s="639" t="n">
        <v>1986.05</v>
      </c>
      <c r="G37" s="639" t="n">
        <v>220</v>
      </c>
      <c r="H37" s="639">
        <f>2026-INT(F37)+1</f>
        <v/>
      </c>
      <c r="I37" s="636" t="n"/>
      <c r="J37" s="639" t="n">
        <v>54</v>
      </c>
      <c r="K37" s="639" t="n">
        <v>41</v>
      </c>
      <c r="L37" s="639" t="n">
        <v>16</v>
      </c>
      <c r="M37" s="639" t="inlineStr">
        <is>
          <t>계단식</t>
        </is>
      </c>
      <c r="N37" s="639" t="n">
        <v>2</v>
      </c>
      <c r="O37" s="639" t="n">
        <v>1</v>
      </c>
      <c r="P37" s="639" t="n">
        <v>40</v>
      </c>
      <c r="Q37" s="636" t="n"/>
      <c r="R37" s="636" t="n"/>
      <c r="S37" s="636" t="n"/>
      <c r="T37" s="636" t="n"/>
      <c r="U37" s="639" t="n"/>
      <c r="V37" s="639" t="n"/>
      <c r="W37" s="636" t="n"/>
      <c r="X37" s="636" t="n"/>
      <c r="Y37" s="636" t="n"/>
      <c r="Z37" s="636" t="n"/>
      <c r="AA37" s="636" t="n"/>
      <c r="AB37" s="636" t="n"/>
      <c r="AC37" s="636" t="n"/>
      <c r="AD37" s="636" t="n"/>
      <c r="AE37" s="636" t="n"/>
      <c r="AF37" s="636" t="n"/>
      <c r="AG37" s="636" t="n"/>
      <c r="AH37" s="636" t="n"/>
      <c r="AI37" s="636" t="n"/>
      <c r="AJ37" s="636" t="n"/>
      <c r="AK37" s="636" t="n"/>
    </row>
    <row r="38">
      <c r="A38" s="639" t="inlineStr">
        <is>
          <t>관양동</t>
        </is>
      </c>
      <c r="B38" s="636" t="n"/>
      <c r="C38" s="636" t="n"/>
      <c r="D38" s="639" t="n">
        <v>1977</v>
      </c>
      <c r="E38" s="637" t="inlineStr">
        <is>
          <t>한미</t>
        </is>
      </c>
      <c r="F38" s="639" t="n">
        <v>1986.05</v>
      </c>
      <c r="G38" s="639" t="n">
        <v>220</v>
      </c>
      <c r="H38" s="639">
        <f>2026-INT(F38)+1</f>
        <v/>
      </c>
      <c r="I38" s="636" t="n"/>
      <c r="J38" s="639" t="n">
        <v>57</v>
      </c>
      <c r="K38" s="639" t="n">
        <v>43</v>
      </c>
      <c r="L38" s="639" t="n">
        <v>17</v>
      </c>
      <c r="M38" s="639" t="inlineStr">
        <is>
          <t>계단식</t>
        </is>
      </c>
      <c r="N38" s="639" t="n">
        <v>2</v>
      </c>
      <c r="O38" s="639" t="n">
        <v>1</v>
      </c>
      <c r="P38" s="639" t="n">
        <v>50</v>
      </c>
      <c r="Q38" s="636" t="n"/>
      <c r="R38" s="636" t="n"/>
      <c r="S38" s="636" t="n"/>
      <c r="T38" s="636" t="n"/>
      <c r="U38" s="639" t="n"/>
      <c r="V38" s="639" t="n"/>
      <c r="W38" s="636" t="n"/>
      <c r="X38" s="636" t="n"/>
      <c r="Y38" s="636" t="n"/>
      <c r="Z38" s="636" t="n"/>
      <c r="AA38" s="636" t="n"/>
      <c r="AB38" s="636" t="n"/>
      <c r="AC38" s="636" t="n"/>
      <c r="AD38" s="636" t="n"/>
      <c r="AE38" s="636" t="n"/>
      <c r="AF38" s="636" t="n"/>
      <c r="AG38" s="636" t="n"/>
      <c r="AH38" s="636" t="n"/>
      <c r="AI38" s="636" t="n"/>
      <c r="AJ38" s="636" t="n"/>
      <c r="AK38" s="636" t="n"/>
    </row>
    <row r="39">
      <c r="A39" s="639" t="inlineStr">
        <is>
          <t>관양동</t>
        </is>
      </c>
      <c r="B39" s="636" t="n"/>
      <c r="C39" s="636" t="n"/>
      <c r="D39" s="639" t="n">
        <v>1977</v>
      </c>
      <c r="E39" s="637" t="inlineStr">
        <is>
          <t>한미</t>
        </is>
      </c>
      <c r="F39" s="639" t="n">
        <v>1986.05</v>
      </c>
      <c r="G39" s="639" t="n">
        <v>220</v>
      </c>
      <c r="H39" s="639">
        <f>2026-INT(F39)+1</f>
        <v/>
      </c>
      <c r="I39" s="636" t="n"/>
      <c r="J39" s="639" t="n">
        <v>64</v>
      </c>
      <c r="K39" s="639" t="n">
        <v>49</v>
      </c>
      <c r="L39" s="639" t="n">
        <v>19</v>
      </c>
      <c r="M39" s="639" t="inlineStr">
        <is>
          <t>계단식</t>
        </is>
      </c>
      <c r="N39" s="639" t="n">
        <v>3</v>
      </c>
      <c r="O39" s="639" t="n">
        <v>1</v>
      </c>
      <c r="P39" s="639" t="n">
        <v>50</v>
      </c>
      <c r="Q39" s="636" t="n"/>
      <c r="R39" s="636" t="n"/>
      <c r="S39" s="636" t="n"/>
      <c r="T39" s="636" t="n"/>
      <c r="U39" s="636" t="n"/>
      <c r="V39" s="636" t="n"/>
      <c r="W39" s="636" t="n"/>
      <c r="X39" s="636" t="n"/>
      <c r="Y39" s="636" t="n"/>
      <c r="Z39" s="636" t="n"/>
      <c r="AA39" s="636" t="n"/>
      <c r="AB39" s="636" t="n"/>
      <c r="AC39" s="636" t="n"/>
      <c r="AD39" s="636" t="n"/>
      <c r="AE39" s="636" t="n"/>
      <c r="AF39" s="636" t="n"/>
      <c r="AG39" s="636" t="n"/>
      <c r="AH39" s="636" t="n"/>
      <c r="AI39" s="636" t="n"/>
      <c r="AJ39" s="636" t="n"/>
      <c r="AK39" s="636" t="n"/>
    </row>
    <row r="40">
      <c r="A40" s="639" t="inlineStr">
        <is>
          <t>관양동</t>
        </is>
      </c>
      <c r="B40" s="636" t="n"/>
      <c r="C40" s="636" t="n"/>
      <c r="D40" s="639" t="n">
        <v>1977</v>
      </c>
      <c r="E40" s="637" t="inlineStr">
        <is>
          <t>한미</t>
        </is>
      </c>
      <c r="F40" s="639" t="n">
        <v>1986.05</v>
      </c>
      <c r="G40" s="639" t="n">
        <v>220</v>
      </c>
      <c r="H40" s="639">
        <f>2026-INT(F40)+1</f>
        <v/>
      </c>
      <c r="I40" s="636" t="n"/>
      <c r="J40" s="639" t="n">
        <v>74</v>
      </c>
      <c r="K40" s="639" t="n">
        <v>57</v>
      </c>
      <c r="L40" s="639" t="n">
        <v>22</v>
      </c>
      <c r="M40" s="639" t="inlineStr">
        <is>
          <t>계단식</t>
        </is>
      </c>
      <c r="N40" s="639" t="n">
        <v>2</v>
      </c>
      <c r="O40" s="639" t="n">
        <v>1</v>
      </c>
      <c r="P40" s="639" t="n">
        <v>80</v>
      </c>
      <c r="Q40" s="636" t="n"/>
      <c r="R40" s="636" t="n"/>
      <c r="S40" s="636" t="n"/>
      <c r="T40" s="636" t="n"/>
      <c r="U40" s="639" t="n"/>
      <c r="V40" s="639" t="n"/>
      <c r="W40" s="636" t="n"/>
      <c r="X40" s="636" t="n"/>
      <c r="Y40" s="636" t="n"/>
      <c r="Z40" s="636" t="n"/>
      <c r="AA40" s="636" t="n"/>
      <c r="AB40" s="636" t="n"/>
      <c r="AC40" s="636" t="n"/>
      <c r="AD40" s="636" t="n"/>
      <c r="AE40" s="636" t="n"/>
      <c r="AF40" s="636" t="n"/>
      <c r="AG40" s="636" t="n"/>
      <c r="AH40" s="636" t="n"/>
      <c r="AI40" s="636" t="n"/>
      <c r="AJ40" s="636" t="n"/>
      <c r="AK40" s="636" t="n"/>
    </row>
    <row r="41">
      <c r="A41" t="inlineStr">
        <is>
          <t>관양동</t>
        </is>
      </c>
      <c r="D41" t="n">
        <v>1978</v>
      </c>
      <c r="E41" s="638" t="inlineStr">
        <is>
          <t>현대</t>
        </is>
      </c>
      <c r="F41" t="n">
        <v>1985.04</v>
      </c>
      <c r="G41" t="n">
        <v>904</v>
      </c>
      <c r="H41">
        <f>2026-INT(F41)+1</f>
        <v/>
      </c>
      <c r="J41" t="n">
        <v>108</v>
      </c>
      <c r="K41" t="n">
        <v>84</v>
      </c>
      <c r="L41" t="n">
        <v>33</v>
      </c>
      <c r="M41" t="inlineStr">
        <is>
          <t>복도식</t>
        </is>
      </c>
      <c r="N41" t="n">
        <v>3</v>
      </c>
      <c r="O41" t="n">
        <v>1</v>
      </c>
      <c r="P41" t="n">
        <v>456</v>
      </c>
    </row>
    <row r="42">
      <c r="A42" t="inlineStr">
        <is>
          <t>관양동</t>
        </is>
      </c>
      <c r="D42" t="n">
        <v>1978</v>
      </c>
      <c r="E42" s="638" t="inlineStr">
        <is>
          <t>현대</t>
        </is>
      </c>
      <c r="F42" t="n">
        <v>1985.04</v>
      </c>
      <c r="G42" t="n">
        <v>904</v>
      </c>
      <c r="H42">
        <f>2026-INT(F42)+1</f>
        <v/>
      </c>
      <c r="J42" t="n">
        <v>144</v>
      </c>
      <c r="K42" t="n">
        <v>123</v>
      </c>
      <c r="L42" t="n">
        <v>44</v>
      </c>
      <c r="M42" t="inlineStr">
        <is>
          <t>계단식</t>
        </is>
      </c>
      <c r="N42" t="n">
        <v>4</v>
      </c>
      <c r="O42" t="n">
        <v>2</v>
      </c>
      <c r="P42" t="n">
        <v>280</v>
      </c>
    </row>
    <row r="43">
      <c r="A43" t="inlineStr">
        <is>
          <t>관양동</t>
        </is>
      </c>
      <c r="D43" t="n">
        <v>1978</v>
      </c>
      <c r="E43" s="638" t="inlineStr">
        <is>
          <t>현대</t>
        </is>
      </c>
      <c r="F43" t="n">
        <v>1985.04</v>
      </c>
      <c r="G43" t="n">
        <v>904</v>
      </c>
      <c r="H43">
        <f>2026-INT(F43)+1</f>
        <v/>
      </c>
      <c r="J43" t="n">
        <v>169</v>
      </c>
      <c r="K43" t="n">
        <v>147</v>
      </c>
      <c r="L43" t="n">
        <v>51</v>
      </c>
      <c r="M43" t="inlineStr">
        <is>
          <t>계단식</t>
        </is>
      </c>
      <c r="N43" t="n">
        <v>5</v>
      </c>
      <c r="O43" t="n">
        <v>2</v>
      </c>
      <c r="P43" t="n">
        <v>168</v>
      </c>
    </row>
    <row r="44">
      <c r="A44" s="639" t="inlineStr">
        <is>
          <t>비산동</t>
        </is>
      </c>
      <c r="B44" s="636" t="n"/>
      <c r="C44" s="636" t="n"/>
      <c r="D44" s="639" t="n">
        <v>3076</v>
      </c>
      <c r="E44" s="637" t="inlineStr">
        <is>
          <t>관악(동성,현대,청구)</t>
        </is>
      </c>
      <c r="F44" s="639" t="n">
        <v>1992.11</v>
      </c>
      <c r="G44" s="639" t="n">
        <v>1800</v>
      </c>
      <c r="H44" s="639">
        <f>2026-INT(F44)+1</f>
        <v/>
      </c>
      <c r="I44" s="636" t="n"/>
      <c r="J44" s="639" t="n">
        <v>76</v>
      </c>
      <c r="K44" s="639" t="n">
        <v>59</v>
      </c>
      <c r="L44" s="639" t="n">
        <v>23</v>
      </c>
      <c r="M44" s="639" t="inlineStr">
        <is>
          <t>복도식</t>
        </is>
      </c>
      <c r="N44" s="639" t="n">
        <v>3</v>
      </c>
      <c r="O44" s="639" t="n">
        <v>1</v>
      </c>
      <c r="P44" s="639" t="n">
        <v>360</v>
      </c>
      <c r="Q44" s="636" t="n"/>
      <c r="R44" s="636" t="n"/>
      <c r="S44" s="636" t="n"/>
      <c r="T44" s="636" t="n"/>
      <c r="U44" s="639" t="n"/>
      <c r="V44" s="639" t="n"/>
      <c r="W44" s="636" t="n"/>
      <c r="X44" s="636" t="n"/>
      <c r="Y44" s="636" t="n"/>
      <c r="Z44" s="636" t="n"/>
      <c r="AA44" s="636" t="n"/>
      <c r="AB44" s="636" t="n"/>
      <c r="AC44" s="636" t="n"/>
      <c r="AD44" s="636" t="n"/>
      <c r="AE44" s="636" t="n"/>
      <c r="AF44" s="636" t="n"/>
      <c r="AG44" s="636" t="n"/>
      <c r="AH44" s="636" t="n"/>
      <c r="AI44" s="636" t="n"/>
      <c r="AJ44" s="636" t="n"/>
      <c r="AK44" s="636" t="n"/>
    </row>
    <row r="45">
      <c r="A45" s="639" t="inlineStr">
        <is>
          <t>비산동</t>
        </is>
      </c>
      <c r="B45" s="636" t="n"/>
      <c r="C45" s="636" t="n"/>
      <c r="D45" s="639" t="n">
        <v>3076</v>
      </c>
      <c r="E45" s="637" t="inlineStr">
        <is>
          <t>관악(동성,현대,청구)</t>
        </is>
      </c>
      <c r="F45" s="639" t="n">
        <v>1992.11</v>
      </c>
      <c r="G45" s="639" t="n">
        <v>1800</v>
      </c>
      <c r="H45" s="639">
        <f>2026-INT(F45)+1</f>
        <v/>
      </c>
      <c r="I45" s="636" t="n"/>
      <c r="J45" s="639" t="n">
        <v>88</v>
      </c>
      <c r="K45" s="639" t="n">
        <v>71</v>
      </c>
      <c r="L45" s="639" t="n">
        <v>27</v>
      </c>
      <c r="M45" s="639" t="inlineStr">
        <is>
          <t>계단식</t>
        </is>
      </c>
      <c r="N45" s="639" t="n">
        <v>3</v>
      </c>
      <c r="O45" s="639" t="n">
        <v>1</v>
      </c>
      <c r="P45" s="639" t="n">
        <v>180</v>
      </c>
      <c r="Q45" s="636" t="n"/>
      <c r="R45" s="636" t="n"/>
      <c r="S45" s="636" t="n"/>
      <c r="T45" s="636" t="n"/>
      <c r="U45" s="639" t="n"/>
      <c r="V45" s="639" t="n"/>
      <c r="W45" s="636" t="n"/>
      <c r="X45" s="636" t="n"/>
      <c r="Y45" s="636" t="n"/>
      <c r="Z45" s="636" t="n"/>
      <c r="AA45" s="636" t="n"/>
      <c r="AB45" s="636" t="n"/>
      <c r="AC45" s="636" t="n"/>
      <c r="AD45" s="636" t="n"/>
      <c r="AE45" s="636" t="n"/>
      <c r="AF45" s="636" t="n"/>
      <c r="AG45" s="636" t="n"/>
      <c r="AH45" s="636" t="n"/>
      <c r="AI45" s="636" t="n"/>
      <c r="AJ45" s="636" t="n"/>
      <c r="AK45" s="636" t="n"/>
    </row>
    <row r="46">
      <c r="A46" s="639" t="inlineStr">
        <is>
          <t>비산동</t>
        </is>
      </c>
      <c r="B46" s="636" t="n"/>
      <c r="C46" s="636" t="n"/>
      <c r="D46" s="639" t="n">
        <v>3076</v>
      </c>
      <c r="E46" s="637" t="inlineStr">
        <is>
          <t>관악(동성,현대,청구)</t>
        </is>
      </c>
      <c r="F46" s="639" t="n">
        <v>1992.11</v>
      </c>
      <c r="G46" s="639" t="n">
        <v>1800</v>
      </c>
      <c r="H46" s="639">
        <f>2026-INT(F46)+1</f>
        <v/>
      </c>
      <c r="I46" s="636" t="n"/>
      <c r="J46" s="639" t="n">
        <v>105</v>
      </c>
      <c r="K46" s="639" t="n">
        <v>84</v>
      </c>
      <c r="L46" s="639" t="n">
        <v>32</v>
      </c>
      <c r="M46" s="639" t="inlineStr">
        <is>
          <t>계단식</t>
        </is>
      </c>
      <c r="N46" s="639" t="n">
        <v>3</v>
      </c>
      <c r="O46" s="639" t="n">
        <v>2</v>
      </c>
      <c r="P46" s="639" t="n">
        <v>1260</v>
      </c>
      <c r="Q46" s="636" t="n"/>
      <c r="R46" s="636" t="n"/>
      <c r="S46" s="636" t="n"/>
      <c r="T46" s="636" t="n"/>
      <c r="U46" s="639" t="n"/>
      <c r="V46" s="639" t="n"/>
      <c r="W46" s="636" t="n"/>
      <c r="X46" s="636" t="n"/>
      <c r="Y46" s="636" t="n"/>
      <c r="Z46" s="636" t="n"/>
      <c r="AA46" s="636" t="n"/>
      <c r="AB46" s="636" t="n"/>
      <c r="AC46" s="636" t="n"/>
      <c r="AD46" s="636" t="n"/>
      <c r="AE46" s="636" t="n"/>
      <c r="AF46" s="636" t="n"/>
      <c r="AG46" s="636" t="n"/>
      <c r="AH46" s="636" t="n"/>
      <c r="AI46" s="636" t="n"/>
      <c r="AJ46" s="636" t="n"/>
      <c r="AK46" s="636" t="n"/>
    </row>
    <row r="47">
      <c r="A47" t="inlineStr">
        <is>
          <t>비산동</t>
        </is>
      </c>
      <c r="D47" t="n">
        <v>1993</v>
      </c>
      <c r="E47" s="638" t="inlineStr">
        <is>
          <t>관악(부영)</t>
        </is>
      </c>
      <c r="F47" t="n">
        <v>1993.1</v>
      </c>
      <c r="G47" t="n">
        <v>796</v>
      </c>
      <c r="H47">
        <f>2026-INT(F47)+1</f>
        <v/>
      </c>
      <c r="J47" t="n">
        <v>85</v>
      </c>
      <c r="K47" t="n">
        <v>59</v>
      </c>
      <c r="L47" t="n">
        <v>26</v>
      </c>
      <c r="M47" t="inlineStr">
        <is>
          <t>복도식</t>
        </is>
      </c>
      <c r="N47" t="n">
        <v>3</v>
      </c>
      <c r="O47" t="n">
        <v>1</v>
      </c>
      <c r="P47" t="n">
        <v>264</v>
      </c>
    </row>
    <row r="48">
      <c r="A48" t="inlineStr">
        <is>
          <t>비산동</t>
        </is>
      </c>
      <c r="D48" t="n">
        <v>1993</v>
      </c>
      <c r="E48" s="638" t="inlineStr">
        <is>
          <t>관악(부영)</t>
        </is>
      </c>
      <c r="F48" t="n">
        <v>1993.1</v>
      </c>
      <c r="G48" t="n">
        <v>796</v>
      </c>
      <c r="H48">
        <f>2026-INT(F48)+1</f>
        <v/>
      </c>
      <c r="J48" t="n">
        <v>103</v>
      </c>
      <c r="K48" t="n">
        <v>84</v>
      </c>
      <c r="L48" t="n">
        <v>31</v>
      </c>
      <c r="M48" t="inlineStr">
        <is>
          <t>계단식</t>
        </is>
      </c>
      <c r="N48" t="n">
        <v>3</v>
      </c>
      <c r="O48" t="n">
        <v>2</v>
      </c>
      <c r="P48" t="n">
        <v>532</v>
      </c>
    </row>
    <row r="49">
      <c r="A49" s="636" t="inlineStr">
        <is>
          <t>비산동</t>
        </is>
      </c>
      <c r="B49" s="636" t="n"/>
      <c r="C49" s="636" t="n"/>
      <c r="D49" s="636" t="n">
        <v>1985</v>
      </c>
      <c r="E49" s="637" t="inlineStr">
        <is>
          <t>관악(성원)</t>
        </is>
      </c>
      <c r="F49" s="636" t="n">
        <v>1992.09</v>
      </c>
      <c r="G49" s="636" t="n">
        <v>790</v>
      </c>
      <c r="H49" s="636">
        <f>2026-INT(F49)+1</f>
        <v/>
      </c>
      <c r="I49" s="636" t="n"/>
      <c r="J49" s="636" t="n">
        <v>51</v>
      </c>
      <c r="K49" s="636" t="n">
        <v>33</v>
      </c>
      <c r="L49" s="636" t="n">
        <v>15</v>
      </c>
      <c r="M49" s="636" t="inlineStr">
        <is>
          <t>복도식</t>
        </is>
      </c>
      <c r="N49" s="636" t="n">
        <v>1</v>
      </c>
      <c r="O49" s="636" t="n">
        <v>1</v>
      </c>
      <c r="P49" s="636" t="n">
        <v>200</v>
      </c>
      <c r="Q49" s="636" t="n"/>
      <c r="R49" s="636" t="n"/>
      <c r="S49" s="636" t="n"/>
      <c r="T49" s="636" t="n"/>
      <c r="U49" s="636" t="n"/>
      <c r="V49" s="636" t="n"/>
      <c r="W49" s="636" t="n"/>
      <c r="X49" s="636" t="n"/>
      <c r="Y49" s="636" t="n"/>
      <c r="Z49" s="636" t="n"/>
      <c r="AA49" s="636" t="n"/>
      <c r="AB49" s="636" t="n"/>
      <c r="AC49" s="636" t="n"/>
      <c r="AD49" s="636" t="n"/>
      <c r="AE49" s="636" t="n"/>
      <c r="AF49" s="636" t="n"/>
      <c r="AG49" s="636" t="n"/>
      <c r="AH49" s="636" t="n"/>
      <c r="AI49" s="636" t="n"/>
      <c r="AJ49" s="636" t="n"/>
      <c r="AK49" s="636" t="n"/>
    </row>
    <row r="50">
      <c r="A50" s="639" t="inlineStr">
        <is>
          <t>비산동</t>
        </is>
      </c>
      <c r="B50" s="636" t="n"/>
      <c r="C50" s="636" t="n"/>
      <c r="D50" s="639" t="n">
        <v>1985</v>
      </c>
      <c r="E50" s="637" t="inlineStr">
        <is>
          <t>관악(성원)</t>
        </is>
      </c>
      <c r="F50" s="639" t="n">
        <v>1992.09</v>
      </c>
      <c r="G50" s="639" t="n">
        <v>790</v>
      </c>
      <c r="H50" s="639">
        <f>2026-INT(F50)+1</f>
        <v/>
      </c>
      <c r="I50" s="636" t="n"/>
      <c r="J50" s="639" t="n">
        <v>51</v>
      </c>
      <c r="K50" s="639" t="n">
        <v>33</v>
      </c>
      <c r="L50" s="639" t="n">
        <v>15</v>
      </c>
      <c r="M50" s="639" t="inlineStr">
        <is>
          <t>계단식</t>
        </is>
      </c>
      <c r="N50" s="639" t="n">
        <v>2</v>
      </c>
      <c r="O50" s="639" t="n">
        <v>1</v>
      </c>
      <c r="P50" s="639" t="n">
        <v>50</v>
      </c>
      <c r="Q50" s="636" t="n"/>
      <c r="R50" s="636" t="n"/>
      <c r="S50" s="636" t="n"/>
      <c r="T50" s="636" t="n"/>
      <c r="U50" s="639" t="n"/>
      <c r="V50" s="639" t="n"/>
      <c r="W50" s="636" t="n"/>
      <c r="X50" s="636" t="n"/>
      <c r="Y50" s="636" t="n"/>
      <c r="Z50" s="636" t="n"/>
      <c r="AA50" s="636" t="n"/>
      <c r="AB50" s="636" t="n"/>
      <c r="AC50" s="636" t="n"/>
      <c r="AD50" s="636" t="n"/>
      <c r="AE50" s="636" t="n"/>
      <c r="AF50" s="636" t="n"/>
      <c r="AG50" s="636" t="n"/>
      <c r="AH50" s="636" t="n"/>
      <c r="AI50" s="636" t="n"/>
      <c r="AJ50" s="636" t="n"/>
      <c r="AK50" s="636" t="n"/>
    </row>
    <row r="51">
      <c r="A51" s="639" t="inlineStr">
        <is>
          <t>비산동</t>
        </is>
      </c>
      <c r="B51" s="636" t="n"/>
      <c r="C51" s="636" t="n"/>
      <c r="D51" s="639" t="n">
        <v>1985</v>
      </c>
      <c r="E51" s="637" t="inlineStr">
        <is>
          <t>관악(성원)</t>
        </is>
      </c>
      <c r="F51" s="639" t="n">
        <v>1992.09</v>
      </c>
      <c r="G51" s="639" t="n">
        <v>790</v>
      </c>
      <c r="H51" s="639">
        <f>2026-INT(F51)+1</f>
        <v/>
      </c>
      <c r="I51" s="636" t="n"/>
      <c r="J51" s="639" t="n">
        <v>59</v>
      </c>
      <c r="K51" s="639" t="n">
        <v>40</v>
      </c>
      <c r="L51" s="639" t="n">
        <v>18</v>
      </c>
      <c r="M51" s="639" t="inlineStr">
        <is>
          <t>복도식</t>
        </is>
      </c>
      <c r="N51" s="639" t="n">
        <v>2</v>
      </c>
      <c r="O51" s="639" t="n">
        <v>1</v>
      </c>
      <c r="P51" s="639" t="n">
        <v>180</v>
      </c>
      <c r="Q51" s="636" t="n"/>
      <c r="R51" s="636" t="n"/>
      <c r="S51" s="636" t="n"/>
      <c r="T51" s="636" t="n"/>
      <c r="U51" s="639" t="n"/>
      <c r="V51" s="639" t="n"/>
      <c r="W51" s="636" t="n"/>
      <c r="X51" s="636" t="n"/>
      <c r="Y51" s="636" t="n"/>
      <c r="Z51" s="636" t="n"/>
      <c r="AA51" s="636" t="n"/>
      <c r="AB51" s="636" t="n"/>
      <c r="AC51" s="636" t="n"/>
      <c r="AD51" s="636" t="n"/>
      <c r="AE51" s="636" t="n"/>
      <c r="AF51" s="636" t="n"/>
      <c r="AG51" s="636" t="n"/>
      <c r="AH51" s="636" t="n"/>
      <c r="AI51" s="636" t="n"/>
      <c r="AJ51" s="636" t="n"/>
      <c r="AK51" s="636" t="n"/>
    </row>
    <row r="52">
      <c r="A52" s="639" t="inlineStr">
        <is>
          <t>비산동</t>
        </is>
      </c>
      <c r="B52" s="636" t="n"/>
      <c r="C52" s="636" t="n"/>
      <c r="D52" s="639" t="n">
        <v>1985</v>
      </c>
      <c r="E52" s="637" t="inlineStr">
        <is>
          <t>관악(성원)</t>
        </is>
      </c>
      <c r="F52" s="639" t="n">
        <v>1992.09</v>
      </c>
      <c r="G52" s="639" t="n">
        <v>790</v>
      </c>
      <c r="H52" s="639">
        <f>2026-INT(F52)+1</f>
        <v/>
      </c>
      <c r="I52" s="636" t="n"/>
      <c r="J52" s="639" t="n">
        <v>69</v>
      </c>
      <c r="K52" s="639" t="n">
        <v>49</v>
      </c>
      <c r="L52" s="639" t="n">
        <v>21</v>
      </c>
      <c r="M52" s="639" t="inlineStr">
        <is>
          <t>복도식</t>
        </is>
      </c>
      <c r="N52" s="639" t="n">
        <v>2</v>
      </c>
      <c r="O52" s="639" t="n">
        <v>1</v>
      </c>
      <c r="P52" s="639" t="n">
        <v>360</v>
      </c>
      <c r="Q52" s="636" t="n"/>
      <c r="R52" s="636" t="n"/>
      <c r="S52" s="636" t="n"/>
      <c r="T52" s="636" t="n"/>
      <c r="U52" s="636" t="n"/>
      <c r="V52" s="636" t="n"/>
      <c r="W52" s="636" t="n"/>
      <c r="X52" s="636" t="n"/>
      <c r="Y52" s="636" t="n"/>
      <c r="Z52" s="636" t="n"/>
      <c r="AA52" s="636" t="n"/>
      <c r="AB52" s="636" t="n"/>
      <c r="AC52" s="636" t="n"/>
      <c r="AD52" s="636" t="n"/>
      <c r="AE52" s="636" t="n"/>
      <c r="AF52" s="636" t="n"/>
      <c r="AG52" s="636" t="n"/>
      <c r="AH52" s="636" t="n"/>
      <c r="AI52" s="636" t="n"/>
      <c r="AJ52" s="636" t="n"/>
      <c r="AK52" s="636" t="n"/>
    </row>
    <row r="53">
      <c r="A53" s="458" t="inlineStr">
        <is>
          <t>비산동</t>
        </is>
      </c>
      <c r="D53" s="458" t="n">
        <v>110631</v>
      </c>
      <c r="E53" s="638" t="inlineStr">
        <is>
          <t>대광로제비앙(주상복합)</t>
        </is>
      </c>
      <c r="F53" s="458" t="n">
        <v>2017.01</v>
      </c>
      <c r="G53" s="458" t="n">
        <v>219</v>
      </c>
      <c r="H53" s="458">
        <f>2026-INT(F53)+1</f>
        <v/>
      </c>
      <c r="J53" s="458" t="n">
        <v>100</v>
      </c>
      <c r="K53" s="458" t="n">
        <v>74</v>
      </c>
      <c r="L53" s="458" t="n">
        <v>30</v>
      </c>
      <c r="M53" s="458" t="inlineStr">
        <is>
          <t>계단식</t>
        </is>
      </c>
      <c r="N53" s="458" t="n">
        <v>3</v>
      </c>
      <c r="O53" s="458" t="n">
        <v>2</v>
      </c>
      <c r="P53" s="458" t="n">
        <v>21</v>
      </c>
      <c r="U53" s="458" t="n"/>
      <c r="V53" s="458" t="n"/>
    </row>
    <row r="54">
      <c r="A54" s="458" t="inlineStr">
        <is>
          <t>비산동</t>
        </is>
      </c>
      <c r="D54" s="458" t="n">
        <v>110631</v>
      </c>
      <c r="E54" s="638" t="inlineStr">
        <is>
          <t>대광로제비앙(주상복합)</t>
        </is>
      </c>
      <c r="F54" s="458" t="n">
        <v>2017.01</v>
      </c>
      <c r="G54" s="458" t="n">
        <v>219</v>
      </c>
      <c r="H54" s="458">
        <f>2026-INT(F54)+1</f>
        <v/>
      </c>
      <c r="J54" s="458" t="n">
        <v>114</v>
      </c>
      <c r="K54" s="458" t="n">
        <v>84</v>
      </c>
      <c r="L54" s="458" t="n">
        <v>34</v>
      </c>
      <c r="M54" s="458" t="inlineStr">
        <is>
          <t>계단식</t>
        </is>
      </c>
      <c r="N54" s="458" t="n">
        <v>3</v>
      </c>
      <c r="O54" s="458" t="n">
        <v>2</v>
      </c>
      <c r="P54" s="458" t="n">
        <v>198</v>
      </c>
      <c r="U54" s="458" t="n"/>
      <c r="V54" s="458" t="n"/>
    </row>
    <row r="55">
      <c r="A55" s="636" t="inlineStr">
        <is>
          <t>비산동</t>
        </is>
      </c>
      <c r="B55" s="636" t="n"/>
      <c r="C55" s="636" t="n"/>
      <c r="D55" s="636" t="n">
        <v>3080</v>
      </c>
      <c r="E55" s="637" t="inlineStr">
        <is>
          <t>더포레스트힐</t>
        </is>
      </c>
      <c r="F55" s="636" t="n">
        <v>2003.03</v>
      </c>
      <c r="G55" s="636" t="n">
        <v>2044</v>
      </c>
      <c r="H55" s="636">
        <f>2026-INT(F55)+1</f>
        <v/>
      </c>
      <c r="I55" s="636" t="n"/>
      <c r="J55" s="636" t="n">
        <v>59</v>
      </c>
      <c r="K55" s="636" t="n">
        <v>39</v>
      </c>
      <c r="L55" s="636" t="n">
        <v>18</v>
      </c>
      <c r="M55" s="636" t="inlineStr">
        <is>
          <t>복도식</t>
        </is>
      </c>
      <c r="N55" s="636" t="n">
        <v>1</v>
      </c>
      <c r="O55" s="636" t="n">
        <v>1</v>
      </c>
      <c r="P55" s="636" t="n">
        <v>211</v>
      </c>
      <c r="Q55" s="636" t="n"/>
      <c r="R55" s="636" t="n"/>
      <c r="S55" s="636" t="n"/>
      <c r="T55" s="636" t="n"/>
      <c r="U55" s="636" t="n"/>
      <c r="V55" s="636" t="n"/>
      <c r="W55" s="636" t="n"/>
      <c r="X55" s="636" t="n"/>
      <c r="Y55" s="636" t="n"/>
      <c r="Z55" s="636" t="n"/>
      <c r="AA55" s="636" t="n"/>
      <c r="AB55" s="636" t="n"/>
      <c r="AC55" s="636" t="n"/>
      <c r="AD55" s="636" t="n"/>
      <c r="AE55" s="636" t="n"/>
      <c r="AF55" s="636" t="n"/>
      <c r="AG55" s="636" t="n"/>
      <c r="AH55" s="636" t="n"/>
      <c r="AI55" s="636" t="n"/>
      <c r="AJ55" s="636" t="n"/>
      <c r="AK55" s="636" t="n"/>
    </row>
    <row r="56">
      <c r="A56" s="636" t="inlineStr">
        <is>
          <t>비산동</t>
        </is>
      </c>
      <c r="B56" s="636" t="n"/>
      <c r="C56" s="636" t="n"/>
      <c r="D56" s="636" t="n">
        <v>3080</v>
      </c>
      <c r="E56" s="637" t="inlineStr">
        <is>
          <t>더포레스트힐</t>
        </is>
      </c>
      <c r="F56" s="636" t="n">
        <v>2003.03</v>
      </c>
      <c r="G56" s="636" t="n">
        <v>2044</v>
      </c>
      <c r="H56" s="636">
        <f>2026-INT(F56)+1</f>
        <v/>
      </c>
      <c r="I56" s="636" t="n"/>
      <c r="J56" s="636" t="n">
        <v>74</v>
      </c>
      <c r="K56" s="636" t="n">
        <v>49</v>
      </c>
      <c r="L56" s="636" t="n">
        <v>22</v>
      </c>
      <c r="M56" s="636" t="inlineStr">
        <is>
          <t>복도식</t>
        </is>
      </c>
      <c r="N56" s="636" t="n">
        <v>2</v>
      </c>
      <c r="O56" s="636" t="n">
        <v>1</v>
      </c>
      <c r="P56" s="636" t="n">
        <v>458</v>
      </c>
      <c r="Q56" s="636" t="n"/>
      <c r="R56" s="636" t="n"/>
      <c r="S56" s="636" t="n"/>
      <c r="T56" s="636" t="n"/>
      <c r="U56" s="636" t="n"/>
      <c r="V56" s="636" t="n"/>
      <c r="W56" s="636" t="n"/>
      <c r="X56" s="636" t="n"/>
      <c r="Y56" s="636" t="n"/>
      <c r="Z56" s="636" t="n"/>
      <c r="AA56" s="636" t="n"/>
      <c r="AB56" s="636" t="n"/>
      <c r="AC56" s="636" t="n"/>
      <c r="AD56" s="636" t="n"/>
      <c r="AE56" s="636" t="n"/>
      <c r="AF56" s="636" t="n"/>
      <c r="AG56" s="636" t="n"/>
      <c r="AH56" s="636" t="n"/>
      <c r="AI56" s="636" t="n"/>
      <c r="AJ56" s="636" t="n"/>
      <c r="AK56" s="636" t="n"/>
    </row>
    <row r="57">
      <c r="A57" s="636" t="inlineStr">
        <is>
          <t>비산동</t>
        </is>
      </c>
      <c r="B57" s="636" t="n"/>
      <c r="C57" s="636" t="n"/>
      <c r="D57" s="636" t="n">
        <v>3080</v>
      </c>
      <c r="E57" s="637" t="inlineStr">
        <is>
          <t>더포레스트힐</t>
        </is>
      </c>
      <c r="F57" s="636" t="n">
        <v>2003.03</v>
      </c>
      <c r="G57" s="636" t="n">
        <v>2044</v>
      </c>
      <c r="H57" s="636">
        <f>2026-INT(F57)+1</f>
        <v/>
      </c>
      <c r="I57" s="636" t="n"/>
      <c r="J57" s="636" t="n">
        <v>74</v>
      </c>
      <c r="K57" s="636" t="n">
        <v>49</v>
      </c>
      <c r="L57" s="636" t="n">
        <v>22</v>
      </c>
      <c r="M57" s="636" t="inlineStr">
        <is>
          <t>계단식</t>
        </is>
      </c>
      <c r="N57" s="636" t="n">
        <v>2</v>
      </c>
      <c r="O57" s="636" t="n">
        <v>1</v>
      </c>
      <c r="P57" s="636" t="n">
        <v>25</v>
      </c>
      <c r="Q57" s="636" t="n"/>
      <c r="R57" s="636" t="n"/>
      <c r="S57" s="636" t="n"/>
      <c r="T57" s="636" t="n"/>
      <c r="U57" s="636" t="n"/>
      <c r="V57" s="636" t="n"/>
      <c r="W57" s="636" t="n"/>
      <c r="X57" s="636" t="n"/>
      <c r="Y57" s="636" t="n"/>
      <c r="Z57" s="636" t="n"/>
      <c r="AA57" s="636" t="n"/>
      <c r="AB57" s="636" t="n"/>
      <c r="AC57" s="636" t="n"/>
      <c r="AD57" s="636" t="n"/>
      <c r="AE57" s="636" t="n"/>
      <c r="AF57" s="636" t="n"/>
      <c r="AG57" s="636" t="n"/>
      <c r="AH57" s="636" t="n"/>
      <c r="AI57" s="636" t="n"/>
      <c r="AJ57" s="636" t="n"/>
      <c r="AK57" s="636" t="n"/>
    </row>
    <row r="58">
      <c r="A58" s="636" t="inlineStr">
        <is>
          <t>비산동</t>
        </is>
      </c>
      <c r="B58" s="636" t="n"/>
      <c r="C58" s="636" t="n"/>
      <c r="D58" s="636" t="n">
        <v>3080</v>
      </c>
      <c r="E58" s="637" t="inlineStr">
        <is>
          <t>더포레스트힐</t>
        </is>
      </c>
      <c r="F58" s="636" t="n">
        <v>2003.03</v>
      </c>
      <c r="G58" s="636" t="n">
        <v>2044</v>
      </c>
      <c r="H58" s="636">
        <f>2026-INT(F58)+1</f>
        <v/>
      </c>
      <c r="I58" s="636" t="n"/>
      <c r="J58" s="636" t="n">
        <v>78</v>
      </c>
      <c r="K58" s="636" t="n">
        <v>59</v>
      </c>
      <c r="L58" s="636" t="n">
        <v>24</v>
      </c>
      <c r="M58" s="636" t="inlineStr">
        <is>
          <t>계단식</t>
        </is>
      </c>
      <c r="N58" s="636" t="n">
        <v>3</v>
      </c>
      <c r="O58" s="636" t="n">
        <v>1</v>
      </c>
      <c r="P58" s="636" t="n">
        <v>604</v>
      </c>
      <c r="Q58" s="636" t="n"/>
      <c r="R58" s="636" t="n"/>
      <c r="S58" s="636" t="n"/>
      <c r="T58" s="636" t="n"/>
      <c r="U58" s="636" t="n"/>
      <c r="V58" s="636" t="n"/>
      <c r="W58" s="636" t="n"/>
      <c r="X58" s="636" t="n"/>
      <c r="Y58" s="636" t="n"/>
      <c r="Z58" s="636" t="n"/>
      <c r="AA58" s="636" t="n"/>
      <c r="AB58" s="636" t="n"/>
      <c r="AC58" s="636" t="n"/>
      <c r="AD58" s="636" t="n"/>
      <c r="AE58" s="636" t="n"/>
      <c r="AF58" s="636" t="n"/>
      <c r="AG58" s="636" t="n"/>
      <c r="AH58" s="636" t="n"/>
      <c r="AI58" s="636" t="n"/>
      <c r="AJ58" s="636" t="n"/>
      <c r="AK58" s="636" t="n"/>
    </row>
    <row r="59">
      <c r="A59" s="636" t="inlineStr">
        <is>
          <t>비산동</t>
        </is>
      </c>
      <c r="B59" s="636" t="n"/>
      <c r="C59" s="636" t="n"/>
      <c r="D59" s="636" t="n">
        <v>3080</v>
      </c>
      <c r="E59" s="637" t="inlineStr">
        <is>
          <t>더포레스트힐</t>
        </is>
      </c>
      <c r="F59" s="636" t="n">
        <v>2003.03</v>
      </c>
      <c r="G59" s="636" t="n">
        <v>2044</v>
      </c>
      <c r="H59" s="636">
        <f>2026-INT(F59)+1</f>
        <v/>
      </c>
      <c r="I59" s="636" t="n"/>
      <c r="J59" s="636" t="n">
        <v>110</v>
      </c>
      <c r="K59" s="636" t="n">
        <v>84</v>
      </c>
      <c r="L59" s="636" t="n">
        <v>33</v>
      </c>
      <c r="M59" s="636" t="inlineStr">
        <is>
          <t>계단식</t>
        </is>
      </c>
      <c r="N59" s="636" t="n">
        <v>3</v>
      </c>
      <c r="O59" s="636" t="n">
        <v>2</v>
      </c>
      <c r="P59" s="636" t="n">
        <v>596</v>
      </c>
      <c r="Q59" s="636" t="n"/>
      <c r="R59" s="636" t="n"/>
      <c r="S59" s="636" t="n"/>
      <c r="T59" s="636" t="n"/>
      <c r="U59" s="636" t="n"/>
      <c r="V59" s="636" t="n"/>
      <c r="W59" s="636" t="n"/>
      <c r="X59" s="636" t="n"/>
      <c r="Y59" s="636" t="n"/>
      <c r="Z59" s="636" t="n"/>
      <c r="AA59" s="636" t="n"/>
      <c r="AB59" s="636" t="n"/>
      <c r="AC59" s="636" t="n"/>
      <c r="AD59" s="636" t="n"/>
      <c r="AE59" s="636" t="n"/>
      <c r="AF59" s="636" t="n"/>
      <c r="AG59" s="636" t="n"/>
      <c r="AH59" s="636" t="n"/>
      <c r="AI59" s="636" t="n"/>
      <c r="AJ59" s="636" t="n"/>
      <c r="AK59" s="636" t="n"/>
    </row>
    <row r="60">
      <c r="A60" s="636" t="inlineStr">
        <is>
          <t>비산동</t>
        </is>
      </c>
      <c r="B60" s="636" t="n"/>
      <c r="C60" s="636" t="n"/>
      <c r="D60" s="636" t="n">
        <v>3080</v>
      </c>
      <c r="E60" s="637" t="inlineStr">
        <is>
          <t>더포레스트힐</t>
        </is>
      </c>
      <c r="F60" s="636" t="n">
        <v>2003.03</v>
      </c>
      <c r="G60" s="636" t="n">
        <v>2044</v>
      </c>
      <c r="H60" s="636">
        <f>2026-INT(F60)+1</f>
        <v/>
      </c>
      <c r="I60" s="636" t="n"/>
      <c r="J60" s="636" t="n">
        <v>150</v>
      </c>
      <c r="K60" s="636" t="n">
        <v>114</v>
      </c>
      <c r="L60" s="636" t="n">
        <v>45</v>
      </c>
      <c r="M60" s="636" t="inlineStr">
        <is>
          <t>계단식</t>
        </is>
      </c>
      <c r="N60" s="636" t="n">
        <v>4</v>
      </c>
      <c r="O60" s="636" t="n">
        <v>2</v>
      </c>
      <c r="P60" s="636" t="n">
        <v>150</v>
      </c>
      <c r="Q60" s="636" t="n"/>
      <c r="R60" s="636" t="n"/>
      <c r="S60" s="636" t="n"/>
      <c r="T60" s="636" t="n"/>
      <c r="U60" s="636" t="n"/>
      <c r="V60" s="636" t="n"/>
      <c r="W60" s="636" t="n"/>
      <c r="X60" s="636" t="n"/>
      <c r="Y60" s="636" t="n"/>
      <c r="Z60" s="636" t="n"/>
      <c r="AA60" s="636" t="n"/>
      <c r="AB60" s="636" t="n"/>
      <c r="AC60" s="636" t="n"/>
      <c r="AD60" s="636" t="n"/>
      <c r="AE60" s="636" t="n"/>
      <c r="AF60" s="636" t="n"/>
      <c r="AG60" s="636" t="n"/>
      <c r="AH60" s="636" t="n"/>
      <c r="AI60" s="636" t="n"/>
      <c r="AJ60" s="636" t="n"/>
      <c r="AK60" s="636" t="n"/>
    </row>
    <row r="61">
      <c r="A61" t="inlineStr">
        <is>
          <t>비산동</t>
        </is>
      </c>
      <c r="D61" t="n">
        <v>1989</v>
      </c>
      <c r="E61" s="638" t="inlineStr">
        <is>
          <t>미륭</t>
        </is>
      </c>
      <c r="F61" t="n">
        <v>1979.09</v>
      </c>
      <c r="G61" t="n">
        <v>576</v>
      </c>
      <c r="H61">
        <f>2026-INT(F61)+1</f>
        <v/>
      </c>
      <c r="J61" t="n">
        <v>89</v>
      </c>
      <c r="K61" t="n">
        <v>82</v>
      </c>
      <c r="L61" t="n">
        <v>27</v>
      </c>
      <c r="M61" t="inlineStr">
        <is>
          <t>복도식</t>
        </is>
      </c>
      <c r="N61" t="n">
        <v>2</v>
      </c>
      <c r="O61" t="n">
        <v>1</v>
      </c>
      <c r="P61" t="n">
        <v>65</v>
      </c>
    </row>
    <row r="62">
      <c r="A62" s="458" t="inlineStr">
        <is>
          <t>비산동</t>
        </is>
      </c>
      <c r="D62" s="458" t="n">
        <v>1989</v>
      </c>
      <c r="E62" s="638" t="inlineStr">
        <is>
          <t>미륭</t>
        </is>
      </c>
      <c r="F62" s="458" t="n">
        <v>1979.09</v>
      </c>
      <c r="G62" s="458" t="n">
        <v>576</v>
      </c>
      <c r="H62" s="458">
        <f>2026-INT(F62)+1</f>
        <v/>
      </c>
      <c r="J62" s="458" t="n">
        <v>90</v>
      </c>
      <c r="K62" s="458" t="n">
        <v>83</v>
      </c>
      <c r="L62" s="458" t="n">
        <v>27</v>
      </c>
      <c r="M62" s="458" t="inlineStr">
        <is>
          <t>복도식</t>
        </is>
      </c>
      <c r="N62" s="458" t="n">
        <v>2</v>
      </c>
      <c r="O62" s="458" t="n">
        <v>1</v>
      </c>
      <c r="P62" s="458" t="n">
        <v>6</v>
      </c>
      <c r="U62" s="458" t="n"/>
      <c r="V62" s="458" t="n"/>
    </row>
    <row r="63">
      <c r="A63" s="458" t="inlineStr">
        <is>
          <t>비산동</t>
        </is>
      </c>
      <c r="D63" s="458" t="n">
        <v>1989</v>
      </c>
      <c r="E63" s="638" t="inlineStr">
        <is>
          <t>미륭</t>
        </is>
      </c>
      <c r="F63" s="458" t="n">
        <v>1979.09</v>
      </c>
      <c r="G63" s="458" t="n">
        <v>576</v>
      </c>
      <c r="H63" s="458">
        <f>2026-INT(F63)+1</f>
        <v/>
      </c>
      <c r="J63" s="458" t="n">
        <v>92</v>
      </c>
      <c r="K63" s="458" t="n">
        <v>85</v>
      </c>
      <c r="L63" s="458" t="n">
        <v>28</v>
      </c>
      <c r="M63" s="458" t="inlineStr">
        <is>
          <t>복도식</t>
        </is>
      </c>
      <c r="N63" s="458" t="n">
        <v>2</v>
      </c>
      <c r="O63" s="458" t="n">
        <v>1</v>
      </c>
      <c r="P63" s="458" t="n">
        <v>71</v>
      </c>
      <c r="U63" s="458" t="n"/>
      <c r="V63" s="458" t="n"/>
    </row>
    <row r="64">
      <c r="A64" s="458" t="inlineStr">
        <is>
          <t>비산동</t>
        </is>
      </c>
      <c r="D64" s="458" t="n">
        <v>1989</v>
      </c>
      <c r="E64" s="638" t="inlineStr">
        <is>
          <t>미륭</t>
        </is>
      </c>
      <c r="F64" s="458" t="n">
        <v>1979.09</v>
      </c>
      <c r="G64" s="458" t="n">
        <v>576</v>
      </c>
      <c r="H64" s="458">
        <f>2026-INT(F64)+1</f>
        <v/>
      </c>
      <c r="J64" s="458" t="n">
        <v>92</v>
      </c>
      <c r="K64" s="458" t="n">
        <v>67</v>
      </c>
      <c r="L64" s="458" t="n">
        <v>28</v>
      </c>
      <c r="M64" s="458" t="inlineStr">
        <is>
          <t>복도식</t>
        </is>
      </c>
      <c r="N64" s="458" t="n">
        <v>2</v>
      </c>
      <c r="O64" s="458" t="n">
        <v>1</v>
      </c>
      <c r="P64" s="458" t="n">
        <v>6</v>
      </c>
      <c r="U64" s="458" t="n"/>
      <c r="V64" s="458" t="n"/>
    </row>
    <row r="65">
      <c r="A65" t="inlineStr">
        <is>
          <t>비산동</t>
        </is>
      </c>
      <c r="D65" t="n">
        <v>1989</v>
      </c>
      <c r="E65" s="638" t="inlineStr">
        <is>
          <t>미륭</t>
        </is>
      </c>
      <c r="F65" t="n">
        <v>1979.09</v>
      </c>
      <c r="G65" t="n">
        <v>576</v>
      </c>
      <c r="H65">
        <f>2026-INT(F65)+1</f>
        <v/>
      </c>
      <c r="J65" t="n">
        <v>92</v>
      </c>
      <c r="K65" t="n">
        <v>67</v>
      </c>
      <c r="L65" t="n">
        <v>28</v>
      </c>
      <c r="M65" t="inlineStr">
        <is>
          <t>계단식</t>
        </is>
      </c>
      <c r="N65" t="n">
        <v>2</v>
      </c>
      <c r="O65" t="n">
        <v>1</v>
      </c>
      <c r="P65" t="n">
        <v>12</v>
      </c>
    </row>
    <row r="66">
      <c r="A66" t="inlineStr">
        <is>
          <t>비산동</t>
        </is>
      </c>
      <c r="D66" t="n">
        <v>1989</v>
      </c>
      <c r="E66" s="638" t="inlineStr">
        <is>
          <t>미륭</t>
        </is>
      </c>
      <c r="F66" t="n">
        <v>1979.09</v>
      </c>
      <c r="G66" t="n">
        <v>576</v>
      </c>
      <c r="H66">
        <f>2026-INT(F66)+1</f>
        <v/>
      </c>
      <c r="J66" t="n">
        <v>94</v>
      </c>
      <c r="K66" t="n">
        <v>87</v>
      </c>
      <c r="L66" t="n">
        <v>28</v>
      </c>
      <c r="M66" t="inlineStr">
        <is>
          <t>복도식</t>
        </is>
      </c>
      <c r="N66" t="n">
        <v>2</v>
      </c>
      <c r="O66" t="n">
        <v>1</v>
      </c>
      <c r="P66" t="n">
        <v>104</v>
      </c>
    </row>
    <row r="67">
      <c r="A67" t="inlineStr">
        <is>
          <t>비산동</t>
        </is>
      </c>
      <c r="D67" t="n">
        <v>1989</v>
      </c>
      <c r="E67" s="638" t="inlineStr">
        <is>
          <t>미륭</t>
        </is>
      </c>
      <c r="F67" t="n">
        <v>1979.09</v>
      </c>
      <c r="G67" t="n">
        <v>576</v>
      </c>
      <c r="H67">
        <f>2026-INT(F67)+1</f>
        <v/>
      </c>
      <c r="J67" t="n">
        <v>111</v>
      </c>
      <c r="K67" t="n">
        <v>103</v>
      </c>
      <c r="L67" t="n">
        <v>34</v>
      </c>
      <c r="M67" t="inlineStr">
        <is>
          <t>복도식</t>
        </is>
      </c>
      <c r="N67" t="n">
        <v>3</v>
      </c>
      <c r="O67" t="n">
        <v>1</v>
      </c>
      <c r="P67" t="n">
        <v>127</v>
      </c>
    </row>
    <row r="68">
      <c r="A68" t="inlineStr">
        <is>
          <t>비산동</t>
        </is>
      </c>
      <c r="D68" t="n">
        <v>1989</v>
      </c>
      <c r="E68" s="638" t="inlineStr">
        <is>
          <t>미륭</t>
        </is>
      </c>
      <c r="F68" t="n">
        <v>1979.09</v>
      </c>
      <c r="G68" t="n">
        <v>576</v>
      </c>
      <c r="H68">
        <f>2026-INT(F68)+1</f>
        <v/>
      </c>
      <c r="J68" t="n">
        <v>111</v>
      </c>
      <c r="K68" t="n">
        <v>102</v>
      </c>
      <c r="L68" t="n">
        <v>34</v>
      </c>
      <c r="M68" t="inlineStr">
        <is>
          <t>복도식</t>
        </is>
      </c>
      <c r="N68" t="n">
        <v>3</v>
      </c>
      <c r="O68" t="n">
        <v>1</v>
      </c>
      <c r="P68" t="n">
        <v>86</v>
      </c>
    </row>
    <row r="69">
      <c r="A69" s="458" t="inlineStr">
        <is>
          <t>비산동</t>
        </is>
      </c>
      <c r="D69" s="458" t="n">
        <v>1989</v>
      </c>
      <c r="E69" s="638" t="inlineStr">
        <is>
          <t>미륭</t>
        </is>
      </c>
      <c r="F69" s="458" t="n">
        <v>1979.09</v>
      </c>
      <c r="G69" s="458" t="n">
        <v>576</v>
      </c>
      <c r="H69" s="458">
        <f>2026-INT(F69)+1</f>
        <v/>
      </c>
      <c r="J69" s="458" t="n">
        <v>111</v>
      </c>
      <c r="K69" s="458" t="n">
        <v>83</v>
      </c>
      <c r="L69" s="458" t="n">
        <v>34</v>
      </c>
      <c r="M69" s="458" t="inlineStr">
        <is>
          <t>계단식</t>
        </is>
      </c>
      <c r="N69" s="458" t="n">
        <v>2</v>
      </c>
      <c r="O69" s="458" t="n">
        <v>1</v>
      </c>
      <c r="P69" s="458" t="n">
        <v>4</v>
      </c>
      <c r="U69" s="458" t="n"/>
      <c r="V69" s="458" t="n"/>
    </row>
    <row r="70">
      <c r="A70" s="458" t="inlineStr">
        <is>
          <t>비산동</t>
        </is>
      </c>
      <c r="D70" s="458" t="n">
        <v>1989</v>
      </c>
      <c r="E70" s="638" t="inlineStr">
        <is>
          <t>미륭</t>
        </is>
      </c>
      <c r="F70" s="458" t="n">
        <v>1979.09</v>
      </c>
      <c r="G70" s="458" t="n">
        <v>576</v>
      </c>
      <c r="H70" s="458">
        <f>2026-INT(F70)+1</f>
        <v/>
      </c>
      <c r="J70" s="458" t="n">
        <v>113</v>
      </c>
      <c r="K70" s="458" t="n">
        <v>104</v>
      </c>
      <c r="L70" s="458" t="n">
        <v>34</v>
      </c>
      <c r="M70" s="458" t="inlineStr">
        <is>
          <t>복도식</t>
        </is>
      </c>
      <c r="N70" s="458" t="n">
        <v>3</v>
      </c>
      <c r="O70" s="458" t="n">
        <v>1</v>
      </c>
      <c r="P70" s="458" t="n">
        <v>79</v>
      </c>
      <c r="U70" s="458" t="n"/>
      <c r="V70" s="458" t="n"/>
    </row>
    <row r="71">
      <c r="A71" t="inlineStr">
        <is>
          <t>비산동</t>
        </is>
      </c>
      <c r="D71" t="n">
        <v>1989</v>
      </c>
      <c r="E71" s="638" t="inlineStr">
        <is>
          <t>미륭</t>
        </is>
      </c>
      <c r="F71" t="n">
        <v>1979.09</v>
      </c>
      <c r="G71" t="n">
        <v>576</v>
      </c>
      <c r="H71">
        <f>2026-INT(F71)+1</f>
        <v/>
      </c>
      <c r="J71" t="n">
        <v>113</v>
      </c>
      <c r="K71" t="n">
        <v>83</v>
      </c>
      <c r="L71" t="n">
        <v>34</v>
      </c>
      <c r="M71" t="inlineStr">
        <is>
          <t>복도식</t>
        </is>
      </c>
      <c r="N71" t="n">
        <v>3</v>
      </c>
      <c r="O71" t="n">
        <v>1</v>
      </c>
      <c r="P71" t="n">
        <v>10</v>
      </c>
    </row>
    <row r="72">
      <c r="A72" s="458" t="inlineStr">
        <is>
          <t>비산동</t>
        </is>
      </c>
      <c r="D72" s="458" t="n">
        <v>1989</v>
      </c>
      <c r="E72" s="638" t="inlineStr">
        <is>
          <t>미륭</t>
        </is>
      </c>
      <c r="F72" s="458" t="n">
        <v>1979.09</v>
      </c>
      <c r="G72" s="458" t="n">
        <v>576</v>
      </c>
      <c r="H72" s="458">
        <f>2026-INT(F72)+1</f>
        <v/>
      </c>
      <c r="J72" s="458" t="n">
        <v>115</v>
      </c>
      <c r="K72" s="458" t="n">
        <v>107</v>
      </c>
      <c r="L72" s="458" t="n">
        <v>35</v>
      </c>
      <c r="M72" s="458" t="inlineStr">
        <is>
          <t>복도식</t>
        </is>
      </c>
      <c r="N72" s="458" t="n">
        <v>3</v>
      </c>
      <c r="O72" s="458" t="n">
        <v>1</v>
      </c>
      <c r="P72" s="458" t="n">
        <v>6</v>
      </c>
    </row>
    <row r="73">
      <c r="A73" s="636" t="inlineStr">
        <is>
          <t>비산동</t>
        </is>
      </c>
      <c r="B73" s="636" t="n"/>
      <c r="C73" s="636" t="n"/>
      <c r="D73" s="636" t="n">
        <v>26320</v>
      </c>
      <c r="E73" s="637" t="inlineStr">
        <is>
          <t>비산e-편한세상</t>
        </is>
      </c>
      <c r="F73" s="636" t="n">
        <v>2008.1</v>
      </c>
      <c r="G73" s="636" t="n">
        <v>486</v>
      </c>
      <c r="H73" s="636">
        <f>2026-INT(F73)+1</f>
        <v/>
      </c>
      <c r="I73" s="636" t="n"/>
      <c r="J73" s="636" t="n">
        <v>80</v>
      </c>
      <c r="K73" s="636" t="n">
        <v>63</v>
      </c>
      <c r="L73" s="636" t="n">
        <v>24</v>
      </c>
      <c r="M73" s="636" t="inlineStr">
        <is>
          <t>계단식</t>
        </is>
      </c>
      <c r="N73" s="636" t="n">
        <v>3</v>
      </c>
      <c r="O73" s="636" t="n">
        <v>2</v>
      </c>
      <c r="P73" s="636" t="n">
        <v>15</v>
      </c>
      <c r="Q73" s="636" t="n"/>
      <c r="R73" s="636" t="n"/>
      <c r="S73" s="636" t="n"/>
      <c r="T73" s="636" t="n"/>
      <c r="U73" s="636" t="n"/>
      <c r="V73" s="636" t="n"/>
      <c r="W73" s="636" t="n"/>
      <c r="X73" s="636" t="n"/>
      <c r="Y73" s="636" t="n"/>
      <c r="Z73" s="636" t="n"/>
      <c r="AA73" s="636" t="n"/>
      <c r="AB73" s="636" t="n"/>
      <c r="AC73" s="636" t="n"/>
      <c r="AD73" s="636" t="n"/>
      <c r="AE73" s="636" t="n"/>
      <c r="AF73" s="636" t="n"/>
      <c r="AG73" s="636" t="n"/>
      <c r="AH73" s="636" t="n"/>
      <c r="AI73" s="636" t="n"/>
      <c r="AJ73" s="636" t="n"/>
      <c r="AK73" s="636" t="n"/>
    </row>
    <row r="74">
      <c r="A74" s="636" t="inlineStr">
        <is>
          <t>비산동</t>
        </is>
      </c>
      <c r="B74" s="636" t="n"/>
      <c r="C74" s="636" t="n"/>
      <c r="D74" s="636" t="n">
        <v>26320</v>
      </c>
      <c r="E74" s="637" t="inlineStr">
        <is>
          <t>비산e-편한세상</t>
        </is>
      </c>
      <c r="F74" s="636" t="n">
        <v>2008.1</v>
      </c>
      <c r="G74" s="636" t="n">
        <v>486</v>
      </c>
      <c r="H74" s="636">
        <f>2026-INT(F74)+1</f>
        <v/>
      </c>
      <c r="I74" s="636" t="n"/>
      <c r="J74" s="636" t="n">
        <v>105</v>
      </c>
      <c r="K74" s="636" t="n">
        <v>84</v>
      </c>
      <c r="L74" s="636" t="n">
        <v>32</v>
      </c>
      <c r="M74" s="636" t="inlineStr">
        <is>
          <t>계단식</t>
        </is>
      </c>
      <c r="N74" s="636" t="n">
        <v>3</v>
      </c>
      <c r="O74" s="636" t="n">
        <v>2</v>
      </c>
      <c r="P74" s="636" t="n">
        <v>320</v>
      </c>
      <c r="Q74" s="636" t="n"/>
      <c r="R74" s="636" t="n"/>
      <c r="S74" s="636" t="n"/>
      <c r="T74" s="636" t="n"/>
      <c r="U74" s="636" t="n"/>
      <c r="V74" s="636" t="n"/>
      <c r="W74" s="636" t="n"/>
      <c r="X74" s="636" t="n"/>
      <c r="Y74" s="636" t="n"/>
      <c r="Z74" s="636" t="n"/>
      <c r="AA74" s="636" t="n"/>
      <c r="AB74" s="636" t="n"/>
      <c r="AC74" s="636" t="n"/>
      <c r="AD74" s="636" t="n"/>
      <c r="AE74" s="636" t="n"/>
      <c r="AF74" s="636" t="n"/>
      <c r="AG74" s="636" t="n"/>
      <c r="AH74" s="636" t="n"/>
      <c r="AI74" s="636" t="n"/>
      <c r="AJ74" s="636" t="n"/>
      <c r="AK74" s="636" t="n"/>
    </row>
    <row r="75">
      <c r="A75" s="636" t="inlineStr">
        <is>
          <t>비산동</t>
        </is>
      </c>
      <c r="B75" s="636" t="n"/>
      <c r="C75" s="636" t="n"/>
      <c r="D75" s="636" t="n">
        <v>26320</v>
      </c>
      <c r="E75" s="637" t="inlineStr">
        <is>
          <t>비산e-편한세상</t>
        </is>
      </c>
      <c r="F75" s="636" t="n">
        <v>2008.1</v>
      </c>
      <c r="G75" s="636" t="n">
        <v>486</v>
      </c>
      <c r="H75" s="636">
        <f>2026-INT(F75)+1</f>
        <v/>
      </c>
      <c r="I75" s="636" t="n"/>
      <c r="J75" s="636" t="n">
        <v>150</v>
      </c>
      <c r="K75" s="636" t="n">
        <v>125</v>
      </c>
      <c r="L75" s="636" t="n">
        <v>45</v>
      </c>
      <c r="M75" s="636" t="inlineStr">
        <is>
          <t>계단식</t>
        </is>
      </c>
      <c r="N75" s="636" t="n">
        <v>3</v>
      </c>
      <c r="O75" s="636" t="n">
        <v>2</v>
      </c>
      <c r="P75" s="636" t="n">
        <v>88</v>
      </c>
      <c r="Q75" s="636" t="n"/>
      <c r="R75" s="636" t="n"/>
      <c r="S75" s="636" t="n"/>
      <c r="T75" s="636" t="n"/>
      <c r="U75" s="636" t="n"/>
      <c r="V75" s="636" t="n"/>
      <c r="W75" s="636" t="n"/>
      <c r="X75" s="636" t="n"/>
      <c r="Y75" s="636" t="n"/>
      <c r="Z75" s="636" t="n"/>
      <c r="AA75" s="636" t="n"/>
      <c r="AB75" s="636" t="n"/>
      <c r="AC75" s="636" t="n"/>
      <c r="AD75" s="636" t="n"/>
      <c r="AE75" s="636" t="n"/>
      <c r="AF75" s="636" t="n"/>
      <c r="AG75" s="636" t="n"/>
      <c r="AH75" s="636" t="n"/>
      <c r="AI75" s="636" t="n"/>
      <c r="AJ75" s="636" t="n"/>
      <c r="AK75" s="636" t="n"/>
    </row>
    <row r="76">
      <c r="A76" s="636" t="inlineStr">
        <is>
          <t>비산동</t>
        </is>
      </c>
      <c r="B76" s="636" t="n"/>
      <c r="C76" s="636" t="n"/>
      <c r="D76" s="636" t="n">
        <v>26320</v>
      </c>
      <c r="E76" s="637" t="inlineStr">
        <is>
          <t>비산e-편한세상</t>
        </is>
      </c>
      <c r="F76" s="636" t="n">
        <v>2008.1</v>
      </c>
      <c r="G76" s="636" t="n">
        <v>486</v>
      </c>
      <c r="H76" s="636">
        <f>2026-INT(F76)+1</f>
        <v/>
      </c>
      <c r="I76" s="636" t="n"/>
      <c r="J76" s="636" t="n">
        <v>151</v>
      </c>
      <c r="K76" s="636" t="n">
        <v>126</v>
      </c>
      <c r="L76" s="636" t="n">
        <v>46</v>
      </c>
      <c r="M76" s="636" t="inlineStr">
        <is>
          <t>계단식</t>
        </is>
      </c>
      <c r="N76" s="636" t="n">
        <v>4</v>
      </c>
      <c r="O76" s="636" t="n">
        <v>2</v>
      </c>
      <c r="P76" s="636" t="n">
        <v>63</v>
      </c>
      <c r="Q76" s="636" t="n"/>
      <c r="R76" s="636" t="n"/>
      <c r="S76" s="636" t="n"/>
      <c r="T76" s="636" t="n"/>
      <c r="U76" s="636" t="n"/>
      <c r="V76" s="636" t="n"/>
      <c r="W76" s="636" t="n"/>
      <c r="X76" s="636" t="n"/>
      <c r="Y76" s="636" t="n"/>
      <c r="Z76" s="636" t="n"/>
      <c r="AA76" s="636" t="n"/>
      <c r="AB76" s="636" t="n"/>
      <c r="AC76" s="636" t="n"/>
      <c r="AD76" s="636" t="n"/>
      <c r="AE76" s="636" t="n"/>
      <c r="AF76" s="636" t="n"/>
      <c r="AG76" s="636" t="n"/>
      <c r="AH76" s="636" t="n"/>
      <c r="AI76" s="636" t="n"/>
      <c r="AJ76" s="636" t="n"/>
      <c r="AK76" s="636" t="n"/>
    </row>
    <row r="77">
      <c r="A77" t="inlineStr">
        <is>
          <t>비산동</t>
        </is>
      </c>
      <c r="D77" t="n">
        <v>3078</v>
      </c>
      <c r="E77" s="638" t="inlineStr">
        <is>
          <t>비산롯데캐슬</t>
        </is>
      </c>
      <c r="F77" t="n">
        <v>2003.09</v>
      </c>
      <c r="G77" t="n">
        <v>955</v>
      </c>
      <c r="H77">
        <f>2026-INT(F77)+1</f>
        <v/>
      </c>
      <c r="J77" t="n">
        <v>72</v>
      </c>
      <c r="K77" t="n">
        <v>56</v>
      </c>
      <c r="L77" t="n">
        <v>22</v>
      </c>
      <c r="M77" t="inlineStr">
        <is>
          <t>계단식</t>
        </is>
      </c>
      <c r="N77" t="n">
        <v>3</v>
      </c>
      <c r="O77" t="n">
        <v>1</v>
      </c>
      <c r="P77" t="n">
        <v>144</v>
      </c>
    </row>
    <row r="78">
      <c r="A78" s="458" t="inlineStr">
        <is>
          <t>비산동</t>
        </is>
      </c>
      <c r="D78" s="458" t="n">
        <v>3078</v>
      </c>
      <c r="E78" s="638" t="inlineStr">
        <is>
          <t>비산롯데캐슬</t>
        </is>
      </c>
      <c r="F78" s="458" t="n">
        <v>2003.09</v>
      </c>
      <c r="G78" s="458" t="n">
        <v>955</v>
      </c>
      <c r="H78" s="458">
        <f>2026-INT(F78)+1</f>
        <v/>
      </c>
      <c r="J78" s="458" t="n">
        <v>104</v>
      </c>
      <c r="K78" s="458" t="n">
        <v>82</v>
      </c>
      <c r="L78" s="458" t="n">
        <v>31</v>
      </c>
      <c r="M78" s="458" t="inlineStr">
        <is>
          <t>계단식</t>
        </is>
      </c>
      <c r="N78" s="458" t="n">
        <v>3</v>
      </c>
      <c r="O78" s="458" t="n">
        <v>2</v>
      </c>
      <c r="P78" s="458" t="n">
        <v>648</v>
      </c>
      <c r="U78" s="458" t="n"/>
      <c r="V78" s="458" t="n"/>
    </row>
    <row r="79">
      <c r="A79" s="458" t="inlineStr">
        <is>
          <t>비산동</t>
        </is>
      </c>
      <c r="D79" s="458" t="n">
        <v>3078</v>
      </c>
      <c r="E79" s="638" t="inlineStr">
        <is>
          <t>비산롯데캐슬</t>
        </is>
      </c>
      <c r="F79" s="458" t="n">
        <v>2003.09</v>
      </c>
      <c r="G79" s="458" t="n">
        <v>955</v>
      </c>
      <c r="H79" s="458">
        <f>2026-INT(F79)+1</f>
        <v/>
      </c>
      <c r="J79" s="458" t="n">
        <v>107</v>
      </c>
      <c r="K79" s="458" t="n">
        <v>84</v>
      </c>
      <c r="L79" s="458" t="n">
        <v>32</v>
      </c>
      <c r="M79" s="458" t="inlineStr">
        <is>
          <t>계단식</t>
        </is>
      </c>
      <c r="N79" s="458" t="n">
        <v>3</v>
      </c>
      <c r="O79" s="458" t="n">
        <v>2</v>
      </c>
      <c r="P79" s="458" t="n">
        <v>17</v>
      </c>
      <c r="U79" s="458" t="n"/>
      <c r="V79" s="458" t="n"/>
    </row>
    <row r="80">
      <c r="A80" t="inlineStr">
        <is>
          <t>비산동</t>
        </is>
      </c>
      <c r="D80" t="n">
        <v>3078</v>
      </c>
      <c r="E80" s="638" t="inlineStr">
        <is>
          <t>비산롯데캐슬</t>
        </is>
      </c>
      <c r="F80" t="n">
        <v>2003.09</v>
      </c>
      <c r="G80" t="n">
        <v>955</v>
      </c>
      <c r="H80">
        <f>2026-INT(F80)+1</f>
        <v/>
      </c>
      <c r="J80" t="n">
        <v>136</v>
      </c>
      <c r="K80" t="n">
        <v>108</v>
      </c>
      <c r="L80" t="n">
        <v>41</v>
      </c>
      <c r="M80" t="inlineStr">
        <is>
          <t>계단식</t>
        </is>
      </c>
      <c r="N80" t="n">
        <v>4</v>
      </c>
      <c r="O80" t="n">
        <v>2</v>
      </c>
      <c r="P80" t="n">
        <v>146</v>
      </c>
    </row>
    <row r="81">
      <c r="A81" s="636" t="inlineStr">
        <is>
          <t>비산동</t>
        </is>
      </c>
      <c r="B81" s="636" t="n"/>
      <c r="C81" s="636" t="n"/>
      <c r="D81" s="636" t="n">
        <v>3079</v>
      </c>
      <c r="E81" s="637" t="inlineStr">
        <is>
          <t>비산삼성래미안</t>
        </is>
      </c>
      <c r="F81" s="636" t="n">
        <v>2003.12</v>
      </c>
      <c r="G81" s="636" t="n">
        <v>3806</v>
      </c>
      <c r="H81" s="636">
        <f>2026-INT(F81)+1</f>
        <v/>
      </c>
      <c r="I81" s="636" t="n"/>
      <c r="J81" s="636" t="n">
        <v>79</v>
      </c>
      <c r="K81" s="636" t="n">
        <v>59</v>
      </c>
      <c r="L81" s="636" t="n">
        <v>24</v>
      </c>
      <c r="M81" s="636" t="inlineStr">
        <is>
          <t>계단식</t>
        </is>
      </c>
      <c r="N81" s="636" t="n">
        <v>3</v>
      </c>
      <c r="O81" s="636" t="n">
        <v>2</v>
      </c>
      <c r="P81" s="636" t="n">
        <v>574</v>
      </c>
      <c r="Q81" s="636" t="n"/>
      <c r="R81" s="636" t="n"/>
      <c r="S81" s="636" t="n"/>
      <c r="T81" s="636" t="n"/>
      <c r="U81" s="636" t="n"/>
      <c r="V81" s="636" t="n"/>
      <c r="W81" s="636" t="n"/>
      <c r="X81" s="636" t="n"/>
      <c r="Y81" s="636" t="n"/>
      <c r="Z81" s="636" t="n"/>
      <c r="AA81" s="636" t="n"/>
      <c r="AB81" s="636" t="n"/>
      <c r="AC81" s="636" t="n"/>
      <c r="AD81" s="636" t="n"/>
      <c r="AE81" s="636" t="n"/>
      <c r="AF81" s="636" t="n"/>
      <c r="AG81" s="636" t="n"/>
      <c r="AH81" s="636" t="n"/>
      <c r="AI81" s="636" t="n"/>
      <c r="AJ81" s="636" t="n"/>
      <c r="AK81" s="636" t="n"/>
    </row>
    <row r="82">
      <c r="A82" s="636" t="inlineStr">
        <is>
          <t>비산동</t>
        </is>
      </c>
      <c r="B82" s="636" t="n"/>
      <c r="C82" s="636" t="n"/>
      <c r="D82" s="636" t="n">
        <v>3079</v>
      </c>
      <c r="E82" s="637" t="inlineStr">
        <is>
          <t>비산삼성래미안</t>
        </is>
      </c>
      <c r="F82" s="636" t="n">
        <v>2003.12</v>
      </c>
      <c r="G82" s="636" t="n">
        <v>3806</v>
      </c>
      <c r="H82" s="636">
        <f>2026-INT(F82)+1</f>
        <v/>
      </c>
      <c r="I82" s="636" t="n"/>
      <c r="J82" s="636" t="n">
        <v>108</v>
      </c>
      <c r="K82" s="636" t="n">
        <v>84</v>
      </c>
      <c r="L82" s="636" t="n">
        <v>33</v>
      </c>
      <c r="M82" s="636" t="inlineStr">
        <is>
          <t>계단식</t>
        </is>
      </c>
      <c r="N82" s="636" t="n">
        <v>3</v>
      </c>
      <c r="O82" s="636" t="n">
        <v>2</v>
      </c>
      <c r="P82" s="636" t="n">
        <v>2000</v>
      </c>
      <c r="Q82" s="636" t="n"/>
      <c r="R82" s="636" t="n"/>
      <c r="S82" s="636" t="n"/>
      <c r="T82" s="636" t="n"/>
      <c r="U82" s="636" t="n"/>
      <c r="V82" s="636" t="n"/>
      <c r="W82" s="636" t="n"/>
      <c r="X82" s="636" t="n"/>
      <c r="Y82" s="636" t="n"/>
      <c r="Z82" s="636" t="n"/>
      <c r="AA82" s="636" t="n"/>
      <c r="AB82" s="636" t="n"/>
      <c r="AC82" s="636" t="n"/>
      <c r="AD82" s="636" t="n"/>
      <c r="AE82" s="636" t="n"/>
      <c r="AF82" s="636" t="n"/>
      <c r="AG82" s="636" t="n"/>
      <c r="AH82" s="636" t="n"/>
      <c r="AI82" s="636" t="n"/>
      <c r="AJ82" s="636" t="n"/>
      <c r="AK82" s="636" t="n"/>
    </row>
    <row r="83">
      <c r="A83" s="639" t="inlineStr">
        <is>
          <t>비산동</t>
        </is>
      </c>
      <c r="B83" s="636" t="n"/>
      <c r="C83" s="636" t="n"/>
      <c r="D83" s="639" t="n">
        <v>3079</v>
      </c>
      <c r="E83" s="637" t="inlineStr">
        <is>
          <t>비산삼성래미안</t>
        </is>
      </c>
      <c r="F83" s="639" t="n">
        <v>2003.12</v>
      </c>
      <c r="G83" s="639" t="n">
        <v>3806</v>
      </c>
      <c r="H83" s="639">
        <f>2026-INT(F83)+1</f>
        <v/>
      </c>
      <c r="I83" s="636" t="n"/>
      <c r="J83" s="639" t="n">
        <v>138</v>
      </c>
      <c r="K83" s="639" t="n">
        <v>114</v>
      </c>
      <c r="L83" s="639" t="n">
        <v>42</v>
      </c>
      <c r="M83" s="639" t="inlineStr">
        <is>
          <t>계단식</t>
        </is>
      </c>
      <c r="N83" s="639" t="n">
        <v>4</v>
      </c>
      <c r="O83" s="639" t="n">
        <v>2</v>
      </c>
      <c r="P83" s="639" t="n">
        <v>820</v>
      </c>
      <c r="Q83" s="636" t="n"/>
      <c r="R83" s="636" t="n"/>
      <c r="S83" s="636" t="n"/>
      <c r="T83" s="636" t="n"/>
      <c r="U83" s="639" t="n"/>
      <c r="V83" s="639" t="n"/>
      <c r="W83" s="636" t="n"/>
      <c r="X83" s="636" t="n"/>
      <c r="Y83" s="636" t="n"/>
      <c r="Z83" s="636" t="n"/>
      <c r="AA83" s="636" t="n"/>
      <c r="AB83" s="636" t="n"/>
      <c r="AC83" s="636" t="n"/>
      <c r="AD83" s="636" t="n"/>
      <c r="AE83" s="636" t="n"/>
      <c r="AF83" s="636" t="n"/>
      <c r="AG83" s="636" t="n"/>
      <c r="AH83" s="636" t="n"/>
      <c r="AI83" s="636" t="n"/>
      <c r="AJ83" s="636" t="n"/>
      <c r="AK83" s="636" t="n"/>
    </row>
    <row r="84">
      <c r="A84" s="639" t="inlineStr">
        <is>
          <t>비산동</t>
        </is>
      </c>
      <c r="B84" s="636" t="n"/>
      <c r="C84" s="636" t="n"/>
      <c r="D84" s="639" t="n">
        <v>3079</v>
      </c>
      <c r="E84" s="637" t="inlineStr">
        <is>
          <t>비산삼성래미안</t>
        </is>
      </c>
      <c r="F84" s="639" t="n">
        <v>2003.12</v>
      </c>
      <c r="G84" s="639" t="n">
        <v>3806</v>
      </c>
      <c r="H84" s="639">
        <f>2026-INT(F84)+1</f>
        <v/>
      </c>
      <c r="I84" s="636" t="n"/>
      <c r="J84" s="639" t="n">
        <v>159</v>
      </c>
      <c r="K84" s="639" t="n">
        <v>132</v>
      </c>
      <c r="L84" s="639" t="n">
        <v>48</v>
      </c>
      <c r="M84" s="639" t="inlineStr">
        <is>
          <t>계단식</t>
        </is>
      </c>
      <c r="N84" s="639" t="n">
        <v>4</v>
      </c>
      <c r="O84" s="639" t="n">
        <v>2</v>
      </c>
      <c r="P84" s="639" t="n">
        <v>108</v>
      </c>
      <c r="Q84" s="636" t="n"/>
      <c r="R84" s="636" t="n"/>
      <c r="S84" s="636" t="n"/>
      <c r="T84" s="636" t="n"/>
      <c r="U84" s="639" t="n"/>
      <c r="V84" s="639" t="n"/>
      <c r="W84" s="636" t="n"/>
      <c r="X84" s="636" t="n"/>
      <c r="Y84" s="636" t="n"/>
      <c r="Z84" s="636" t="n"/>
      <c r="AA84" s="636" t="n"/>
      <c r="AB84" s="636" t="n"/>
      <c r="AC84" s="636" t="n"/>
      <c r="AD84" s="636" t="n"/>
      <c r="AE84" s="636" t="n"/>
      <c r="AF84" s="636" t="n"/>
      <c r="AG84" s="636" t="n"/>
      <c r="AH84" s="636" t="n"/>
      <c r="AI84" s="636" t="n"/>
      <c r="AJ84" s="636" t="n"/>
      <c r="AK84" s="636" t="n"/>
    </row>
    <row r="85">
      <c r="A85" s="639" t="inlineStr">
        <is>
          <t>비산동</t>
        </is>
      </c>
      <c r="B85" s="636" t="n"/>
      <c r="C85" s="636" t="n"/>
      <c r="D85" s="639" t="n">
        <v>3079</v>
      </c>
      <c r="E85" s="637" t="inlineStr">
        <is>
          <t>비산삼성래미안</t>
        </is>
      </c>
      <c r="F85" s="639" t="n">
        <v>2003.12</v>
      </c>
      <c r="G85" s="639" t="n">
        <v>3806</v>
      </c>
      <c r="H85" s="639">
        <f>2026-INT(F85)+1</f>
        <v/>
      </c>
      <c r="I85" s="636" t="n"/>
      <c r="J85" s="639" t="n">
        <v>194</v>
      </c>
      <c r="K85" s="639" t="n">
        <v>164</v>
      </c>
      <c r="L85" s="639" t="n">
        <v>59</v>
      </c>
      <c r="M85" s="639" t="inlineStr">
        <is>
          <t>계단식</t>
        </is>
      </c>
      <c r="N85" s="639" t="n">
        <v>5</v>
      </c>
      <c r="O85" s="639" t="n">
        <v>2</v>
      </c>
      <c r="P85" s="639" t="n">
        <v>142</v>
      </c>
      <c r="Q85" s="636" t="n"/>
      <c r="R85" s="636" t="n"/>
      <c r="S85" s="636" t="n"/>
      <c r="T85" s="636" t="n"/>
      <c r="U85" s="639" t="n"/>
      <c r="V85" s="639" t="n"/>
      <c r="W85" s="636" t="n"/>
      <c r="X85" s="636" t="n"/>
      <c r="Y85" s="636" t="n"/>
      <c r="Z85" s="636" t="n"/>
      <c r="AA85" s="636" t="n"/>
      <c r="AB85" s="636" t="n"/>
      <c r="AC85" s="636" t="n"/>
      <c r="AD85" s="636" t="n"/>
      <c r="AE85" s="636" t="n"/>
      <c r="AF85" s="636" t="n"/>
      <c r="AG85" s="636" t="n"/>
      <c r="AH85" s="636" t="n"/>
      <c r="AI85" s="636" t="n"/>
      <c r="AJ85" s="636" t="n"/>
      <c r="AK85" s="636" t="n"/>
    </row>
    <row r="86">
      <c r="A86" s="636" t="inlineStr">
        <is>
          <t>비산동</t>
        </is>
      </c>
      <c r="B86" s="636" t="n"/>
      <c r="C86" s="636" t="n"/>
      <c r="D86" s="636" t="n">
        <v>3079</v>
      </c>
      <c r="E86" s="637" t="inlineStr">
        <is>
          <t>비산삼성래미안</t>
        </is>
      </c>
      <c r="F86" s="636" t="n">
        <v>2003.12</v>
      </c>
      <c r="G86" s="636" t="n">
        <v>3806</v>
      </c>
      <c r="H86" s="636">
        <f>2026-INT(F86)+1</f>
        <v/>
      </c>
      <c r="I86" s="636" t="n"/>
      <c r="J86" s="636" t="n">
        <v>213</v>
      </c>
      <c r="K86" s="636" t="n">
        <v>182</v>
      </c>
      <c r="L86" s="636" t="n">
        <v>64</v>
      </c>
      <c r="M86" s="636" t="inlineStr">
        <is>
          <t>계단식</t>
        </is>
      </c>
      <c r="N86" s="636" t="n">
        <v>5</v>
      </c>
      <c r="O86" s="636" t="n">
        <v>3</v>
      </c>
      <c r="P86" s="636" t="n">
        <v>162</v>
      </c>
      <c r="Q86" s="636" t="n"/>
      <c r="R86" s="636" t="n"/>
      <c r="S86" s="636" t="n"/>
      <c r="T86" s="636" t="n"/>
      <c r="U86" s="636" t="n"/>
      <c r="V86" s="636" t="n"/>
      <c r="W86" s="636" t="n"/>
      <c r="X86" s="636" t="n"/>
      <c r="Y86" s="636" t="n"/>
      <c r="Z86" s="636" t="n"/>
      <c r="AA86" s="636" t="n"/>
      <c r="AB86" s="636" t="n"/>
      <c r="AC86" s="636" t="n"/>
      <c r="AD86" s="636" t="n"/>
      <c r="AE86" s="636" t="n"/>
      <c r="AF86" s="636" t="n"/>
      <c r="AG86" s="636" t="n"/>
      <c r="AH86" s="636" t="n"/>
      <c r="AI86" s="636" t="n"/>
      <c r="AJ86" s="636" t="n"/>
      <c r="AK86" s="636" t="n"/>
    </row>
    <row r="87">
      <c r="A87" t="inlineStr">
        <is>
          <t>비산동</t>
        </is>
      </c>
      <c r="D87" t="n">
        <v>141825</v>
      </c>
      <c r="E87" s="638" t="inlineStr">
        <is>
          <t>비산한신더휴(주상복합)</t>
        </is>
      </c>
      <c r="F87" t="n">
        <v>2023.05</v>
      </c>
      <c r="G87" t="n">
        <v>230</v>
      </c>
      <c r="H87">
        <f>2026-INT(F87)+1</f>
        <v/>
      </c>
      <c r="J87" t="n">
        <v>67</v>
      </c>
      <c r="K87" t="n">
        <v>48</v>
      </c>
      <c r="L87" t="n">
        <v>20</v>
      </c>
      <c r="M87" t="inlineStr">
        <is>
          <t>계단식</t>
        </is>
      </c>
      <c r="N87" t="n">
        <v>2</v>
      </c>
      <c r="O87" t="n">
        <v>1</v>
      </c>
      <c r="P87" t="n">
        <v>92</v>
      </c>
    </row>
    <row r="88">
      <c r="A88" s="458" t="inlineStr">
        <is>
          <t>비산동</t>
        </is>
      </c>
      <c r="D88" s="458" t="n">
        <v>141825</v>
      </c>
      <c r="E88" s="638" t="inlineStr">
        <is>
          <t>비산한신더휴(주상복합)</t>
        </is>
      </c>
      <c r="F88" s="458" t="n">
        <v>2023.05</v>
      </c>
      <c r="G88" s="458" t="n">
        <v>230</v>
      </c>
      <c r="H88" s="458">
        <f>2026-INT(F88)+1</f>
        <v/>
      </c>
      <c r="J88" s="458" t="n">
        <v>80</v>
      </c>
      <c r="K88" s="458" t="n">
        <v>62</v>
      </c>
      <c r="L88" s="458" t="n">
        <v>24</v>
      </c>
      <c r="M88" s="458" t="inlineStr">
        <is>
          <t>계단식</t>
        </is>
      </c>
      <c r="N88" s="458" t="n">
        <v>3</v>
      </c>
      <c r="O88" s="458" t="n">
        <v>2</v>
      </c>
      <c r="P88" s="458" t="n">
        <v>92</v>
      </c>
      <c r="U88" s="458" t="n"/>
      <c r="V88" s="458" t="n"/>
    </row>
    <row r="89">
      <c r="A89" s="458" t="inlineStr">
        <is>
          <t>비산동</t>
        </is>
      </c>
      <c r="D89" s="458" t="n">
        <v>141825</v>
      </c>
      <c r="E89" s="638" t="inlineStr">
        <is>
          <t>비산한신더휴(주상복합)</t>
        </is>
      </c>
      <c r="F89" s="458" t="n">
        <v>2023.05</v>
      </c>
      <c r="G89" s="458" t="n">
        <v>230</v>
      </c>
      <c r="H89" s="458">
        <f>2026-INT(F89)+1</f>
        <v/>
      </c>
      <c r="J89" s="458" t="n">
        <v>92</v>
      </c>
      <c r="K89" s="458" t="n">
        <v>71</v>
      </c>
      <c r="L89" s="458" t="n">
        <v>28</v>
      </c>
      <c r="M89" s="458" t="inlineStr">
        <is>
          <t>계단식</t>
        </is>
      </c>
      <c r="N89" s="458" t="n">
        <v>3</v>
      </c>
      <c r="O89" s="458" t="n">
        <v>2</v>
      </c>
      <c r="P89" s="458" t="n">
        <v>46</v>
      </c>
      <c r="U89" s="458" t="n"/>
      <c r="V89" s="458" t="n"/>
    </row>
    <row r="90">
      <c r="A90" s="636" t="inlineStr">
        <is>
          <t>비산동</t>
        </is>
      </c>
      <c r="B90" s="636" t="n"/>
      <c r="C90" s="636" t="n"/>
      <c r="D90" s="636" t="n">
        <v>25725</v>
      </c>
      <c r="E90" s="637" t="inlineStr">
        <is>
          <t>비산한화꿈에그린</t>
        </is>
      </c>
      <c r="F90" s="636" t="n">
        <v>2009.11</v>
      </c>
      <c r="G90" s="636" t="n">
        <v>774</v>
      </c>
      <c r="H90" s="636">
        <f>2026-INT(F90)+1</f>
        <v/>
      </c>
      <c r="I90" s="636" t="n"/>
      <c r="J90" s="636" t="n">
        <v>83</v>
      </c>
      <c r="K90" s="636" t="n">
        <v>59</v>
      </c>
      <c r="L90" s="636" t="n">
        <v>25</v>
      </c>
      <c r="M90" s="636" t="inlineStr">
        <is>
          <t>계단식</t>
        </is>
      </c>
      <c r="N90" s="636" t="n">
        <v>3</v>
      </c>
      <c r="O90" s="636" t="n">
        <v>2</v>
      </c>
      <c r="P90" s="636" t="n">
        <v>175</v>
      </c>
      <c r="Q90" s="636" t="n"/>
      <c r="R90" s="636" t="n"/>
      <c r="S90" s="636" t="n"/>
      <c r="T90" s="636" t="n"/>
      <c r="U90" s="636" t="n"/>
      <c r="V90" s="636" t="n"/>
      <c r="W90" s="636" t="n"/>
      <c r="X90" s="636" t="n"/>
      <c r="Y90" s="636" t="n"/>
      <c r="Z90" s="636" t="n"/>
      <c r="AA90" s="636" t="n"/>
      <c r="AB90" s="636" t="n"/>
      <c r="AC90" s="636" t="n"/>
      <c r="AD90" s="636" t="n"/>
      <c r="AE90" s="636" t="n"/>
      <c r="AF90" s="636" t="n"/>
      <c r="AG90" s="636" t="n"/>
      <c r="AH90" s="636" t="n"/>
      <c r="AI90" s="636" t="n"/>
      <c r="AJ90" s="636" t="n"/>
      <c r="AK90" s="636" t="n"/>
    </row>
    <row r="91">
      <c r="A91" s="636" t="inlineStr">
        <is>
          <t>비산동</t>
        </is>
      </c>
      <c r="B91" s="636" t="n"/>
      <c r="C91" s="636" t="n"/>
      <c r="D91" s="636" t="n">
        <v>25725</v>
      </c>
      <c r="E91" s="637" t="inlineStr">
        <is>
          <t>비산한화꿈에그린</t>
        </is>
      </c>
      <c r="F91" s="636" t="n">
        <v>2009.11</v>
      </c>
      <c r="G91" s="636" t="n">
        <v>774</v>
      </c>
      <c r="H91" s="636">
        <f>2026-INT(F91)+1</f>
        <v/>
      </c>
      <c r="I91" s="636" t="n"/>
      <c r="J91" s="636" t="n">
        <v>109</v>
      </c>
      <c r="K91" s="636" t="n">
        <v>84</v>
      </c>
      <c r="L91" s="636" t="n">
        <v>33</v>
      </c>
      <c r="M91" s="636" t="inlineStr">
        <is>
          <t>계단식</t>
        </is>
      </c>
      <c r="N91" s="636" t="n">
        <v>3</v>
      </c>
      <c r="O91" s="636" t="n">
        <v>2</v>
      </c>
      <c r="P91" s="636" t="n">
        <v>379</v>
      </c>
      <c r="Q91" s="636" t="n"/>
      <c r="R91" s="636" t="n"/>
      <c r="S91" s="636" t="n"/>
      <c r="T91" s="636" t="n"/>
      <c r="U91" s="636" t="n"/>
      <c r="V91" s="636" t="n"/>
      <c r="W91" s="636" t="n"/>
      <c r="X91" s="636" t="n"/>
      <c r="Y91" s="636" t="n"/>
      <c r="Z91" s="636" t="n"/>
      <c r="AA91" s="636" t="n"/>
      <c r="AB91" s="636" t="n"/>
      <c r="AC91" s="636" t="n"/>
      <c r="AD91" s="636" t="n"/>
      <c r="AE91" s="636" t="n"/>
      <c r="AF91" s="636" t="n"/>
      <c r="AG91" s="636" t="n"/>
      <c r="AH91" s="636" t="n"/>
      <c r="AI91" s="636" t="n"/>
      <c r="AJ91" s="636" t="n"/>
      <c r="AK91" s="636" t="n"/>
    </row>
    <row r="92">
      <c r="A92" s="636" t="inlineStr">
        <is>
          <t>비산동</t>
        </is>
      </c>
      <c r="B92" s="636" t="n"/>
      <c r="C92" s="636" t="n"/>
      <c r="D92" s="636" t="n">
        <v>25725</v>
      </c>
      <c r="E92" s="637" t="inlineStr">
        <is>
          <t>비산한화꿈에그린</t>
        </is>
      </c>
      <c r="F92" s="636" t="n">
        <v>2009.11</v>
      </c>
      <c r="G92" s="636" t="n">
        <v>774</v>
      </c>
      <c r="H92" s="636">
        <f>2026-INT(F92)+1</f>
        <v/>
      </c>
      <c r="I92" s="636" t="n"/>
      <c r="J92" s="636" t="n">
        <v>141</v>
      </c>
      <c r="K92" s="636" t="n">
        <v>111</v>
      </c>
      <c r="L92" s="636" t="n">
        <v>43</v>
      </c>
      <c r="M92" s="636" t="inlineStr">
        <is>
          <t>계단식</t>
        </is>
      </c>
      <c r="N92" s="636" t="n">
        <v>4</v>
      </c>
      <c r="O92" s="636" t="n">
        <v>2</v>
      </c>
      <c r="P92" s="636" t="n">
        <v>170</v>
      </c>
      <c r="Q92" s="636" t="n"/>
      <c r="R92" s="636" t="n"/>
      <c r="S92" s="636" t="n"/>
      <c r="T92" s="636" t="n"/>
      <c r="U92" s="636" t="n"/>
      <c r="V92" s="636" t="n"/>
      <c r="W92" s="636" t="n"/>
      <c r="X92" s="636" t="n"/>
      <c r="Y92" s="636" t="n"/>
      <c r="Z92" s="636" t="n"/>
      <c r="AA92" s="636" t="n"/>
      <c r="AB92" s="636" t="n"/>
      <c r="AC92" s="636" t="n"/>
      <c r="AD92" s="636" t="n"/>
      <c r="AE92" s="636" t="n"/>
      <c r="AF92" s="636" t="n"/>
      <c r="AG92" s="636" t="n"/>
      <c r="AH92" s="636" t="n"/>
      <c r="AI92" s="636" t="n"/>
      <c r="AJ92" s="636" t="n"/>
      <c r="AK92" s="636" t="n"/>
    </row>
    <row r="93">
      <c r="A93" s="636" t="inlineStr">
        <is>
          <t>비산동</t>
        </is>
      </c>
      <c r="B93" s="636" t="n"/>
      <c r="C93" s="636" t="n"/>
      <c r="D93" s="636" t="n">
        <v>25725</v>
      </c>
      <c r="E93" s="637" t="inlineStr">
        <is>
          <t>비산한화꿈에그린</t>
        </is>
      </c>
      <c r="F93" s="636" t="n">
        <v>2009.11</v>
      </c>
      <c r="G93" s="636" t="n">
        <v>774</v>
      </c>
      <c r="H93" s="636">
        <f>2026-INT(F93)+1</f>
        <v/>
      </c>
      <c r="I93" s="636" t="n"/>
      <c r="J93" s="636" t="n">
        <v>162</v>
      </c>
      <c r="K93" s="636" t="n">
        <v>132</v>
      </c>
      <c r="L93" s="636" t="n">
        <v>49</v>
      </c>
      <c r="M93" s="636" t="inlineStr">
        <is>
          <t>계단식</t>
        </is>
      </c>
      <c r="N93" s="636" t="n">
        <v>5</v>
      </c>
      <c r="O93" s="636" t="n">
        <v>2</v>
      </c>
      <c r="P93" s="636" t="n">
        <v>50</v>
      </c>
      <c r="Q93" s="636" t="n"/>
      <c r="R93" s="636" t="n"/>
      <c r="S93" s="636" t="n"/>
      <c r="T93" s="636" t="n"/>
      <c r="U93" s="636" t="n"/>
      <c r="V93" s="636" t="n"/>
      <c r="W93" s="636" t="n"/>
      <c r="X93" s="636" t="n"/>
      <c r="Y93" s="636" t="n"/>
      <c r="Z93" s="636" t="n"/>
      <c r="AA93" s="636" t="n"/>
      <c r="AB93" s="636" t="n"/>
      <c r="AC93" s="636" t="n"/>
      <c r="AD93" s="636" t="n"/>
      <c r="AE93" s="636" t="n"/>
      <c r="AF93" s="636" t="n"/>
      <c r="AG93" s="636" t="n"/>
      <c r="AH93" s="636" t="n"/>
      <c r="AI93" s="636" t="n"/>
      <c r="AJ93" s="636" t="n"/>
      <c r="AK93" s="636" t="n"/>
    </row>
    <row r="94">
      <c r="A94" s="458" t="inlineStr">
        <is>
          <t>비산동</t>
        </is>
      </c>
      <c r="D94" s="458" t="n">
        <v>13571</v>
      </c>
      <c r="E94" s="638" t="inlineStr">
        <is>
          <t>비산힐스테이트</t>
        </is>
      </c>
      <c r="F94" s="458" t="n">
        <v>2005.11</v>
      </c>
      <c r="G94" s="458" t="n">
        <v>551</v>
      </c>
      <c r="H94" s="458">
        <f>2026-INT(F94)+1</f>
        <v/>
      </c>
      <c r="J94" s="458" t="n">
        <v>84</v>
      </c>
      <c r="K94" s="458" t="n">
        <v>59</v>
      </c>
      <c r="L94" s="458" t="n">
        <v>25</v>
      </c>
      <c r="M94" s="458" t="inlineStr">
        <is>
          <t>계단식</t>
        </is>
      </c>
      <c r="N94" s="458" t="n">
        <v>3</v>
      </c>
      <c r="O94" s="458" t="n">
        <v>2</v>
      </c>
      <c r="P94" s="458" t="n">
        <v>197</v>
      </c>
      <c r="U94" s="458" t="n"/>
      <c r="V94" s="458" t="n"/>
    </row>
    <row r="95">
      <c r="A95" s="458" t="inlineStr">
        <is>
          <t>비산동</t>
        </is>
      </c>
      <c r="D95" s="458" t="n">
        <v>13571</v>
      </c>
      <c r="E95" s="638" t="inlineStr">
        <is>
          <t>비산힐스테이트</t>
        </is>
      </c>
      <c r="F95" s="458" t="n">
        <v>2005.11</v>
      </c>
      <c r="G95" s="458" t="n">
        <v>551</v>
      </c>
      <c r="H95" s="458">
        <f>2026-INT(F95)+1</f>
        <v/>
      </c>
      <c r="J95" s="458" t="n">
        <v>104</v>
      </c>
      <c r="K95" s="458" t="n">
        <v>82</v>
      </c>
      <c r="L95" s="458" t="n">
        <v>31</v>
      </c>
      <c r="M95" s="458" t="inlineStr">
        <is>
          <t>계단식</t>
        </is>
      </c>
      <c r="N95" s="458" t="n">
        <v>3</v>
      </c>
      <c r="O95" s="458" t="n">
        <v>2</v>
      </c>
      <c r="P95" s="458" t="n">
        <v>314</v>
      </c>
      <c r="U95" s="458" t="n"/>
      <c r="V95" s="458" t="n"/>
    </row>
    <row r="96">
      <c r="A96" s="458" t="inlineStr">
        <is>
          <t>비산동</t>
        </is>
      </c>
      <c r="D96" s="458" t="n">
        <v>13571</v>
      </c>
      <c r="E96" s="638" t="inlineStr">
        <is>
          <t>비산힐스테이트</t>
        </is>
      </c>
      <c r="F96" s="458" t="n">
        <v>2005.11</v>
      </c>
      <c r="G96" s="458" t="n">
        <v>551</v>
      </c>
      <c r="H96" s="458">
        <f>2026-INT(F96)+1</f>
        <v/>
      </c>
      <c r="J96" s="458" t="n">
        <v>143</v>
      </c>
      <c r="K96" s="458" t="n">
        <v>114</v>
      </c>
      <c r="L96" s="458" t="n">
        <v>43</v>
      </c>
      <c r="M96" s="458" t="inlineStr">
        <is>
          <t>계단식</t>
        </is>
      </c>
      <c r="N96" s="458" t="n">
        <v>4</v>
      </c>
      <c r="O96" s="458" t="n">
        <v>2</v>
      </c>
      <c r="P96" s="458" t="n">
        <v>40</v>
      </c>
      <c r="U96" s="458" t="n"/>
      <c r="V96" s="458" t="n"/>
    </row>
    <row r="97">
      <c r="A97" s="636" t="inlineStr">
        <is>
          <t>비산동</t>
        </is>
      </c>
      <c r="B97" s="636" t="n"/>
      <c r="C97" s="636" t="n"/>
      <c r="D97" s="636" t="n">
        <v>22752</v>
      </c>
      <c r="E97" s="637" t="inlineStr">
        <is>
          <t>샛별한양1단지</t>
        </is>
      </c>
      <c r="F97" s="636" t="n">
        <v>1993.03</v>
      </c>
      <c r="G97" s="636" t="n">
        <v>1262</v>
      </c>
      <c r="H97" s="636">
        <f>2026-INT(F97)+1</f>
        <v/>
      </c>
      <c r="I97" s="636" t="n"/>
      <c r="J97" s="636" t="n">
        <v>46</v>
      </c>
      <c r="K97" s="636" t="n">
        <v>35</v>
      </c>
      <c r="L97" s="636" t="n">
        <v>14</v>
      </c>
      <c r="M97" s="636" t="inlineStr">
        <is>
          <t>복도식</t>
        </is>
      </c>
      <c r="N97" s="636" t="n">
        <v>2</v>
      </c>
      <c r="O97" s="636" t="n">
        <v>1</v>
      </c>
      <c r="P97" s="636" t="n">
        <v>150</v>
      </c>
      <c r="Q97" s="636" t="n"/>
      <c r="R97" s="636" t="n"/>
      <c r="S97" s="636" t="n"/>
      <c r="T97" s="636" t="n"/>
      <c r="U97" s="636" t="n"/>
      <c r="V97" s="636" t="n"/>
      <c r="W97" s="636" t="n"/>
      <c r="X97" s="636" t="n"/>
      <c r="Y97" s="636" t="n"/>
      <c r="Z97" s="636" t="n"/>
      <c r="AA97" s="636" t="n"/>
      <c r="AB97" s="636" t="n"/>
      <c r="AC97" s="636" t="n"/>
      <c r="AD97" s="636" t="n"/>
      <c r="AE97" s="636" t="n"/>
      <c r="AF97" s="636" t="n"/>
      <c r="AG97" s="636" t="n"/>
      <c r="AH97" s="636" t="n"/>
      <c r="AI97" s="636" t="n"/>
      <c r="AJ97" s="636" t="n"/>
      <c r="AK97" s="636" t="n"/>
    </row>
    <row r="98">
      <c r="A98" s="636" t="inlineStr">
        <is>
          <t>비산동</t>
        </is>
      </c>
      <c r="B98" s="636" t="n"/>
      <c r="C98" s="636" t="n"/>
      <c r="D98" s="636" t="n">
        <v>22752</v>
      </c>
      <c r="E98" s="637" t="inlineStr">
        <is>
          <t>샛별한양1단지</t>
        </is>
      </c>
      <c r="F98" s="636" t="n">
        <v>1993.03</v>
      </c>
      <c r="G98" s="636" t="n">
        <v>1262</v>
      </c>
      <c r="H98" s="636">
        <f>2026-INT(F98)+1</f>
        <v/>
      </c>
      <c r="I98" s="636" t="n"/>
      <c r="J98" s="636" t="n">
        <v>56</v>
      </c>
      <c r="K98" s="636" t="n">
        <v>41</v>
      </c>
      <c r="L98" s="636" t="n">
        <v>17</v>
      </c>
      <c r="M98" s="636" t="inlineStr">
        <is>
          <t>복도식</t>
        </is>
      </c>
      <c r="N98" s="636" t="n">
        <v>1</v>
      </c>
      <c r="O98" s="636" t="n">
        <v>1</v>
      </c>
      <c r="P98" s="636" t="n">
        <v>392</v>
      </c>
      <c r="Q98" s="636" t="n"/>
      <c r="R98" s="636" t="n"/>
      <c r="S98" s="636" t="n"/>
      <c r="T98" s="636" t="n"/>
      <c r="U98" s="636" t="n"/>
      <c r="V98" s="636" t="n"/>
      <c r="W98" s="636" t="n"/>
      <c r="X98" s="636" t="n"/>
      <c r="Y98" s="636" t="n"/>
      <c r="Z98" s="636" t="n"/>
      <c r="AA98" s="636" t="n"/>
      <c r="AB98" s="636" t="n"/>
      <c r="AC98" s="636" t="n"/>
      <c r="AD98" s="636" t="n"/>
      <c r="AE98" s="636" t="n"/>
      <c r="AF98" s="636" t="n"/>
      <c r="AG98" s="636" t="n"/>
      <c r="AH98" s="636" t="n"/>
      <c r="AI98" s="636" t="n"/>
      <c r="AJ98" s="636" t="n"/>
      <c r="AK98" s="636" t="n"/>
    </row>
    <row r="99">
      <c r="A99" s="636" t="inlineStr">
        <is>
          <t>비산동</t>
        </is>
      </c>
      <c r="B99" s="636" t="n"/>
      <c r="C99" s="636" t="n"/>
      <c r="D99" s="636" t="n">
        <v>22752</v>
      </c>
      <c r="E99" s="637" t="inlineStr">
        <is>
          <t>샛별한양1단지</t>
        </is>
      </c>
      <c r="F99" s="636" t="n">
        <v>1993.03</v>
      </c>
      <c r="G99" s="636" t="n">
        <v>1262</v>
      </c>
      <c r="H99" s="636">
        <f>2026-INT(F99)+1</f>
        <v/>
      </c>
      <c r="I99" s="636" t="n"/>
      <c r="J99" s="636" t="n">
        <v>57</v>
      </c>
      <c r="K99" s="636" t="n">
        <v>42</v>
      </c>
      <c r="L99" s="636" t="n">
        <v>17</v>
      </c>
      <c r="M99" s="636" t="inlineStr">
        <is>
          <t>복도식</t>
        </is>
      </c>
      <c r="N99" s="636" t="n">
        <v>2</v>
      </c>
      <c r="O99" s="636" t="n">
        <v>1</v>
      </c>
      <c r="P99" s="636" t="n">
        <v>720</v>
      </c>
      <c r="Q99" s="636" t="n"/>
      <c r="R99" s="636" t="n"/>
      <c r="S99" s="636" t="n"/>
      <c r="T99" s="636" t="n"/>
      <c r="U99" s="636" t="n"/>
      <c r="V99" s="636" t="n"/>
      <c r="W99" s="636" t="n"/>
      <c r="X99" s="636" t="n"/>
      <c r="Y99" s="636" t="n"/>
      <c r="Z99" s="636" t="n"/>
      <c r="AA99" s="636" t="n"/>
      <c r="AB99" s="636" t="n"/>
      <c r="AC99" s="636" t="n"/>
      <c r="AD99" s="636" t="n"/>
      <c r="AE99" s="636" t="n"/>
      <c r="AF99" s="636" t="n"/>
      <c r="AG99" s="636" t="n"/>
      <c r="AH99" s="636" t="n"/>
      <c r="AI99" s="636" t="n"/>
      <c r="AJ99" s="636" t="n"/>
      <c r="AK99" s="636" t="n"/>
    </row>
    <row r="100">
      <c r="A100" t="inlineStr">
        <is>
          <t>비산동</t>
        </is>
      </c>
      <c r="D100" t="n">
        <v>1454</v>
      </c>
      <c r="E100" s="638" t="inlineStr">
        <is>
          <t>샛별한양2,3단지</t>
        </is>
      </c>
      <c r="F100" t="n">
        <v>1993.04</v>
      </c>
      <c r="G100" t="n">
        <v>1482</v>
      </c>
      <c r="H100">
        <f>2026-INT(F100)+1</f>
        <v/>
      </c>
      <c r="J100" t="n">
        <v>54</v>
      </c>
      <c r="K100" t="n">
        <v>41</v>
      </c>
      <c r="L100" t="n">
        <v>16</v>
      </c>
      <c r="M100" t="inlineStr">
        <is>
          <t>복도식</t>
        </is>
      </c>
      <c r="N100" t="n">
        <v>2</v>
      </c>
      <c r="O100" t="n">
        <v>1</v>
      </c>
      <c r="P100" t="n">
        <v>666</v>
      </c>
    </row>
    <row r="101">
      <c r="A101" t="inlineStr">
        <is>
          <t>비산동</t>
        </is>
      </c>
      <c r="D101" t="n">
        <v>1454</v>
      </c>
      <c r="E101" s="638" t="inlineStr">
        <is>
          <t>샛별한양2,3단지</t>
        </is>
      </c>
      <c r="F101" t="n">
        <v>1993.04</v>
      </c>
      <c r="G101" t="n">
        <v>1482</v>
      </c>
      <c r="H101">
        <f>2026-INT(F101)+1</f>
        <v/>
      </c>
      <c r="J101" t="n">
        <v>78</v>
      </c>
      <c r="K101" t="n">
        <v>59</v>
      </c>
      <c r="L101" t="n">
        <v>24</v>
      </c>
      <c r="M101" t="inlineStr">
        <is>
          <t>복도식</t>
        </is>
      </c>
      <c r="N101" t="n">
        <v>3</v>
      </c>
      <c r="O101" t="n">
        <v>1</v>
      </c>
      <c r="P101" t="n">
        <v>420</v>
      </c>
    </row>
    <row r="102">
      <c r="A102" s="458" t="inlineStr">
        <is>
          <t>비산동</t>
        </is>
      </c>
      <c r="D102" s="458" t="n">
        <v>1454</v>
      </c>
      <c r="E102" s="638" t="inlineStr">
        <is>
          <t>샛별한양2,3단지</t>
        </is>
      </c>
      <c r="F102" s="458" t="n">
        <v>1993.04</v>
      </c>
      <c r="G102" s="458" t="n">
        <v>1482</v>
      </c>
      <c r="H102" s="458">
        <f>2026-INT(F102)+1</f>
        <v/>
      </c>
      <c r="J102" s="458" t="n">
        <v>103</v>
      </c>
      <c r="K102" s="458" t="n">
        <v>84</v>
      </c>
      <c r="L102" s="458" t="n">
        <v>31</v>
      </c>
      <c r="M102" s="458" t="inlineStr">
        <is>
          <t>계단식</t>
        </is>
      </c>
      <c r="N102" s="458" t="n">
        <v>3</v>
      </c>
      <c r="O102" s="458" t="n">
        <v>2</v>
      </c>
      <c r="P102" s="458" t="n">
        <v>396</v>
      </c>
      <c r="U102" s="458" t="n"/>
      <c r="V102" s="458" t="n"/>
    </row>
    <row r="103">
      <c r="A103" s="639" t="inlineStr">
        <is>
          <t>비산동</t>
        </is>
      </c>
      <c r="B103" s="636" t="n"/>
      <c r="C103" s="636" t="n"/>
      <c r="D103" s="639" t="n">
        <v>9382</v>
      </c>
      <c r="E103" s="637" t="inlineStr">
        <is>
          <t>성원</t>
        </is>
      </c>
      <c r="F103" s="639" t="n">
        <v>1995.12</v>
      </c>
      <c r="G103" s="639" t="n">
        <v>282</v>
      </c>
      <c r="H103" s="639">
        <f>2026-INT(F103)+1</f>
        <v/>
      </c>
      <c r="I103" s="636" t="n"/>
      <c r="J103" s="639" t="n">
        <v>80</v>
      </c>
      <c r="K103" s="639" t="n">
        <v>59</v>
      </c>
      <c r="L103" s="639" t="n">
        <v>24</v>
      </c>
      <c r="M103" s="639" t="inlineStr">
        <is>
          <t>복도식</t>
        </is>
      </c>
      <c r="N103" s="639" t="n">
        <v>3</v>
      </c>
      <c r="O103" s="639" t="n">
        <v>1</v>
      </c>
      <c r="P103" s="639" t="n">
        <v>144</v>
      </c>
      <c r="Q103" s="636" t="n"/>
      <c r="R103" s="636" t="n"/>
      <c r="S103" s="636" t="n"/>
      <c r="T103" s="636" t="n"/>
      <c r="U103" s="639" t="n"/>
      <c r="V103" s="639" t="n"/>
      <c r="W103" s="636" t="n"/>
      <c r="X103" s="636" t="n"/>
      <c r="Y103" s="636" t="n"/>
      <c r="Z103" s="636" t="n"/>
      <c r="AA103" s="636" t="n"/>
      <c r="AB103" s="636" t="n"/>
      <c r="AC103" s="636" t="n"/>
      <c r="AD103" s="636" t="n"/>
      <c r="AE103" s="636" t="n"/>
      <c r="AF103" s="636" t="n"/>
      <c r="AG103" s="636" t="n"/>
      <c r="AH103" s="636" t="n"/>
      <c r="AI103" s="636" t="n"/>
      <c r="AJ103" s="636" t="n"/>
      <c r="AK103" s="636" t="n"/>
    </row>
    <row r="104">
      <c r="A104" s="639" t="inlineStr">
        <is>
          <t>비산동</t>
        </is>
      </c>
      <c r="B104" s="636" t="n"/>
      <c r="C104" s="636" t="n"/>
      <c r="D104" s="639" t="n">
        <v>9382</v>
      </c>
      <c r="E104" s="637" t="inlineStr">
        <is>
          <t>성원</t>
        </is>
      </c>
      <c r="F104" s="639" t="n">
        <v>1995.12</v>
      </c>
      <c r="G104" s="639" t="n">
        <v>282</v>
      </c>
      <c r="H104" s="639">
        <f>2026-INT(F104)+1</f>
        <v/>
      </c>
      <c r="I104" s="636" t="n"/>
      <c r="J104" s="639" t="n">
        <v>114</v>
      </c>
      <c r="K104" s="639" t="n">
        <v>84</v>
      </c>
      <c r="L104" s="639" t="n">
        <v>34</v>
      </c>
      <c r="M104" s="639" t="inlineStr">
        <is>
          <t>복도식</t>
        </is>
      </c>
      <c r="N104" s="639" t="n">
        <v>3</v>
      </c>
      <c r="O104" s="639" t="n">
        <v>2</v>
      </c>
      <c r="P104" s="639" t="n">
        <v>138</v>
      </c>
      <c r="Q104" s="636" t="n"/>
      <c r="R104" s="636" t="n"/>
      <c r="S104" s="636" t="n"/>
      <c r="T104" s="636" t="n"/>
      <c r="U104" s="639" t="n"/>
      <c r="V104" s="639" t="n"/>
      <c r="W104" s="636" t="n"/>
      <c r="X104" s="636" t="n"/>
      <c r="Y104" s="636" t="n"/>
      <c r="Z104" s="636" t="n"/>
      <c r="AA104" s="636" t="n"/>
      <c r="AB104" s="636" t="n"/>
      <c r="AC104" s="636" t="n"/>
      <c r="AD104" s="636" t="n"/>
      <c r="AE104" s="636" t="n"/>
      <c r="AF104" s="636" t="n"/>
      <c r="AG104" s="636" t="n"/>
      <c r="AH104" s="636" t="n"/>
      <c r="AI104" s="636" t="n"/>
      <c r="AJ104" s="636" t="n"/>
      <c r="AK104" s="636" t="n"/>
    </row>
    <row r="105">
      <c r="A105" t="inlineStr">
        <is>
          <t>비산동</t>
        </is>
      </c>
      <c r="D105" t="n">
        <v>22957</v>
      </c>
      <c r="E105" s="638" t="inlineStr">
        <is>
          <t>안양임곡휴먼시아</t>
        </is>
      </c>
      <c r="F105" t="n">
        <v>2007.07</v>
      </c>
      <c r="G105" t="n">
        <v>492</v>
      </c>
      <c r="H105">
        <f>2026-INT(F105)+1</f>
        <v/>
      </c>
      <c r="J105" t="n">
        <v>63</v>
      </c>
      <c r="K105" t="n">
        <v>46</v>
      </c>
      <c r="L105" t="n">
        <v>19</v>
      </c>
      <c r="M105" t="inlineStr">
        <is>
          <t>복도식</t>
        </is>
      </c>
      <c r="N105" t="n">
        <v>2</v>
      </c>
      <c r="O105" t="n">
        <v>1</v>
      </c>
      <c r="P105" t="n">
        <v>76</v>
      </c>
    </row>
    <row r="106">
      <c r="A106" t="inlineStr">
        <is>
          <t>비산동</t>
        </is>
      </c>
      <c r="D106" t="n">
        <v>22957</v>
      </c>
      <c r="E106" s="638" t="inlineStr">
        <is>
          <t>안양임곡휴먼시아</t>
        </is>
      </c>
      <c r="F106" t="n">
        <v>2007.07</v>
      </c>
      <c r="G106" t="n">
        <v>492</v>
      </c>
      <c r="H106">
        <f>2026-INT(F106)+1</f>
        <v/>
      </c>
      <c r="J106" t="n">
        <v>81</v>
      </c>
      <c r="K106" t="n">
        <v>59</v>
      </c>
      <c r="L106" t="n">
        <v>25</v>
      </c>
      <c r="M106" t="inlineStr">
        <is>
          <t>계단식</t>
        </is>
      </c>
      <c r="N106" t="n">
        <v>3</v>
      </c>
      <c r="O106" t="n">
        <v>2</v>
      </c>
      <c r="P106" t="n">
        <v>256</v>
      </c>
    </row>
    <row r="107">
      <c r="A107" t="inlineStr">
        <is>
          <t>비산동</t>
        </is>
      </c>
      <c r="D107" t="n">
        <v>22957</v>
      </c>
      <c r="E107" s="638" t="inlineStr">
        <is>
          <t>안양임곡휴먼시아</t>
        </is>
      </c>
      <c r="F107" t="n">
        <v>2007.07</v>
      </c>
      <c r="G107" t="n">
        <v>492</v>
      </c>
      <c r="H107">
        <f>2026-INT(F107)+1</f>
        <v/>
      </c>
      <c r="J107" t="n">
        <v>115</v>
      </c>
      <c r="K107" t="n">
        <v>84</v>
      </c>
      <c r="L107" t="n">
        <v>35</v>
      </c>
      <c r="M107" t="inlineStr">
        <is>
          <t>계단식</t>
        </is>
      </c>
      <c r="N107" t="n">
        <v>3</v>
      </c>
      <c r="O107" t="n">
        <v>2</v>
      </c>
      <c r="P107" t="n">
        <v>121</v>
      </c>
    </row>
    <row r="108">
      <c r="A108" s="458" t="inlineStr">
        <is>
          <t>비산동</t>
        </is>
      </c>
      <c r="D108" s="458" t="n">
        <v>22957</v>
      </c>
      <c r="E108" s="638" t="inlineStr">
        <is>
          <t>안양임곡휴먼시아</t>
        </is>
      </c>
      <c r="F108" s="458" t="n">
        <v>2007.07</v>
      </c>
      <c r="G108" s="458" t="n">
        <v>492</v>
      </c>
      <c r="H108" s="458">
        <f>2026-INT(F108)+1</f>
        <v/>
      </c>
      <c r="J108" s="458" t="n">
        <v>148</v>
      </c>
      <c r="K108" s="458" t="n">
        <v>108</v>
      </c>
      <c r="L108" s="458" t="n">
        <v>45</v>
      </c>
      <c r="M108" s="458" t="inlineStr">
        <is>
          <t>계단식</t>
        </is>
      </c>
      <c r="N108" s="458" t="n">
        <v>4</v>
      </c>
      <c r="O108" s="458" t="n">
        <v>2</v>
      </c>
      <c r="P108" s="458" t="n">
        <v>39</v>
      </c>
      <c r="U108" s="458" t="n"/>
      <c r="V108" s="458" t="n"/>
    </row>
    <row r="109">
      <c r="A109" s="639" t="inlineStr">
        <is>
          <t>비산동</t>
        </is>
      </c>
      <c r="B109" s="636" t="n"/>
      <c r="C109" s="636" t="n"/>
      <c r="D109" s="639" t="n">
        <v>1467</v>
      </c>
      <c r="E109" s="637" t="inlineStr">
        <is>
          <t>은하수(벽산)</t>
        </is>
      </c>
      <c r="F109" s="639" t="n">
        <v>1992.05</v>
      </c>
      <c r="G109" s="639" t="n">
        <v>620</v>
      </c>
      <c r="H109" s="639">
        <f>2026-INT(F109)+1</f>
        <v/>
      </c>
      <c r="I109" s="636" t="n"/>
      <c r="J109" s="639" t="n">
        <v>69</v>
      </c>
      <c r="K109" s="639" t="n">
        <v>55</v>
      </c>
      <c r="L109" s="639" t="n">
        <v>21</v>
      </c>
      <c r="M109" s="639" t="inlineStr">
        <is>
          <t>복도식</t>
        </is>
      </c>
      <c r="N109" s="639" t="n">
        <v>2</v>
      </c>
      <c r="O109" s="639" t="n">
        <v>1</v>
      </c>
      <c r="P109" s="639" t="n">
        <v>68</v>
      </c>
      <c r="Q109" s="636" t="n"/>
      <c r="R109" s="636" t="n"/>
      <c r="S109" s="636" t="n"/>
      <c r="T109" s="636" t="n"/>
      <c r="U109" s="639" t="n"/>
      <c r="V109" s="639" t="n"/>
      <c r="W109" s="636" t="n"/>
      <c r="X109" s="636" t="n"/>
      <c r="Y109" s="636" t="n"/>
      <c r="Z109" s="636" t="n"/>
      <c r="AA109" s="636" t="n"/>
      <c r="AB109" s="636" t="n"/>
      <c r="AC109" s="636" t="n"/>
      <c r="AD109" s="636" t="n"/>
      <c r="AE109" s="636" t="n"/>
      <c r="AF109" s="636" t="n"/>
      <c r="AG109" s="636" t="n"/>
      <c r="AH109" s="636" t="n"/>
      <c r="AI109" s="636" t="n"/>
      <c r="AJ109" s="636" t="n"/>
      <c r="AK109" s="636" t="n"/>
    </row>
    <row r="110">
      <c r="A110" s="639" t="inlineStr">
        <is>
          <t>비산동</t>
        </is>
      </c>
      <c r="B110" s="636" t="n"/>
      <c r="C110" s="636" t="n"/>
      <c r="D110" s="639" t="n">
        <v>1467</v>
      </c>
      <c r="E110" s="637" t="inlineStr">
        <is>
          <t>은하수(벽산)</t>
        </is>
      </c>
      <c r="F110" s="639" t="n">
        <v>1992.05</v>
      </c>
      <c r="G110" s="639" t="n">
        <v>620</v>
      </c>
      <c r="H110" s="639">
        <f>2026-INT(F110)+1</f>
        <v/>
      </c>
      <c r="I110" s="636" t="n"/>
      <c r="J110" s="639" t="n">
        <v>74</v>
      </c>
      <c r="K110" s="639" t="n">
        <v>59</v>
      </c>
      <c r="L110" s="639" t="n">
        <v>22</v>
      </c>
      <c r="M110" s="639" t="inlineStr">
        <is>
          <t>복도식</t>
        </is>
      </c>
      <c r="N110" s="639" t="n">
        <v>2</v>
      </c>
      <c r="O110" s="639" t="n">
        <v>1</v>
      </c>
      <c r="P110" s="639" t="n">
        <v>68</v>
      </c>
      <c r="Q110" s="636" t="n"/>
      <c r="R110" s="636" t="n"/>
      <c r="S110" s="636" t="n"/>
      <c r="T110" s="636" t="n"/>
      <c r="U110" s="639" t="n"/>
      <c r="V110" s="639" t="n"/>
      <c r="W110" s="636" t="n"/>
      <c r="X110" s="636" t="n"/>
      <c r="Y110" s="636" t="n"/>
      <c r="Z110" s="636" t="n"/>
      <c r="AA110" s="636" t="n"/>
      <c r="AB110" s="636" t="n"/>
      <c r="AC110" s="636" t="n"/>
      <c r="AD110" s="636" t="n"/>
      <c r="AE110" s="636" t="n"/>
      <c r="AF110" s="636" t="n"/>
      <c r="AG110" s="636" t="n"/>
      <c r="AH110" s="636" t="n"/>
      <c r="AI110" s="636" t="n"/>
      <c r="AJ110" s="636" t="n"/>
      <c r="AK110" s="636" t="n"/>
    </row>
    <row r="111">
      <c r="A111" s="636" t="inlineStr">
        <is>
          <t>비산동</t>
        </is>
      </c>
      <c r="B111" s="636" t="n"/>
      <c r="C111" s="636" t="n"/>
      <c r="D111" s="636" t="n">
        <v>1467</v>
      </c>
      <c r="E111" s="637" t="inlineStr">
        <is>
          <t>은하수(벽산)</t>
        </is>
      </c>
      <c r="F111" s="636" t="n">
        <v>1992.05</v>
      </c>
      <c r="G111" s="636" t="n">
        <v>620</v>
      </c>
      <c r="H111" s="636">
        <f>2026-INT(F111)+1</f>
        <v/>
      </c>
      <c r="I111" s="636" t="n"/>
      <c r="J111" s="636" t="n">
        <v>95</v>
      </c>
      <c r="K111" s="636" t="n">
        <v>76</v>
      </c>
      <c r="L111" s="636" t="n">
        <v>29</v>
      </c>
      <c r="M111" s="636" t="inlineStr">
        <is>
          <t>계단식</t>
        </is>
      </c>
      <c r="N111" s="636" t="n">
        <v>3</v>
      </c>
      <c r="O111" s="636" t="n">
        <v>1</v>
      </c>
      <c r="P111" s="636" t="n">
        <v>136</v>
      </c>
      <c r="Q111" s="636" t="n"/>
      <c r="R111" s="636" t="n"/>
      <c r="S111" s="636" t="n"/>
      <c r="T111" s="636" t="n"/>
      <c r="U111" s="636" t="n"/>
      <c r="V111" s="636" t="n"/>
      <c r="W111" s="636" t="n"/>
      <c r="X111" s="636" t="n"/>
      <c r="Y111" s="636" t="n"/>
      <c r="Z111" s="636" t="n"/>
      <c r="AA111" s="636" t="n"/>
      <c r="AB111" s="636" t="n"/>
      <c r="AC111" s="636" t="n"/>
      <c r="AD111" s="636" t="n"/>
      <c r="AE111" s="636" t="n"/>
      <c r="AF111" s="636" t="n"/>
      <c r="AG111" s="636" t="n"/>
      <c r="AH111" s="636" t="n"/>
      <c r="AI111" s="636" t="n"/>
      <c r="AJ111" s="636" t="n"/>
      <c r="AK111" s="636" t="n"/>
    </row>
    <row r="112">
      <c r="A112" s="639" t="inlineStr">
        <is>
          <t>비산동</t>
        </is>
      </c>
      <c r="B112" s="636" t="n"/>
      <c r="C112" s="636" t="n"/>
      <c r="D112" s="639" t="n">
        <v>1467</v>
      </c>
      <c r="E112" s="637" t="inlineStr">
        <is>
          <t>은하수(벽산)</t>
        </is>
      </c>
      <c r="F112" s="639" t="n">
        <v>1992.05</v>
      </c>
      <c r="G112" s="639" t="n">
        <v>620</v>
      </c>
      <c r="H112" s="639">
        <f>2026-INT(F112)+1</f>
        <v/>
      </c>
      <c r="I112" s="636" t="n"/>
      <c r="J112" s="639" t="n">
        <v>106</v>
      </c>
      <c r="K112" s="639" t="n">
        <v>84</v>
      </c>
      <c r="L112" s="639" t="n">
        <v>32</v>
      </c>
      <c r="M112" s="639" t="inlineStr">
        <is>
          <t>계단식</t>
        </is>
      </c>
      <c r="N112" s="639" t="n">
        <v>3</v>
      </c>
      <c r="O112" s="639" t="n">
        <v>2</v>
      </c>
      <c r="P112" s="639" t="n">
        <v>348</v>
      </c>
      <c r="Q112" s="636" t="n"/>
      <c r="R112" s="636" t="n"/>
      <c r="S112" s="636" t="n"/>
      <c r="T112" s="636" t="n"/>
      <c r="U112" s="639" t="n"/>
      <c r="V112" s="639" t="n"/>
      <c r="W112" s="636" t="n"/>
      <c r="X112" s="636" t="n"/>
      <c r="Y112" s="636" t="n"/>
      <c r="Z112" s="636" t="n"/>
      <c r="AA112" s="636" t="n"/>
      <c r="AB112" s="636" t="n"/>
      <c r="AC112" s="636" t="n"/>
      <c r="AD112" s="636" t="n"/>
      <c r="AE112" s="636" t="n"/>
      <c r="AF112" s="636" t="n"/>
      <c r="AG112" s="636" t="n"/>
      <c r="AH112" s="636" t="n"/>
      <c r="AI112" s="636" t="n"/>
      <c r="AJ112" s="636" t="n"/>
      <c r="AK112" s="636" t="n"/>
    </row>
    <row r="113">
      <c r="A113" s="458" t="inlineStr">
        <is>
          <t>비산동</t>
        </is>
      </c>
      <c r="D113" s="458" t="n">
        <v>1468</v>
      </c>
      <c r="E113" s="638" t="inlineStr">
        <is>
          <t>은하수(신성)</t>
        </is>
      </c>
      <c r="F113" s="458" t="n">
        <v>1992.11</v>
      </c>
      <c r="G113" s="458" t="n">
        <v>508</v>
      </c>
      <c r="H113" s="458">
        <f>2026-INT(F113)+1</f>
        <v/>
      </c>
      <c r="J113" s="458" t="n">
        <v>74</v>
      </c>
      <c r="K113" s="458" t="n">
        <v>59</v>
      </c>
      <c r="L113" s="458" t="n">
        <v>22</v>
      </c>
      <c r="M113" s="458" t="inlineStr">
        <is>
          <t>계단식</t>
        </is>
      </c>
      <c r="N113" s="458" t="n">
        <v>3</v>
      </c>
      <c r="O113" s="458" t="n">
        <v>1</v>
      </c>
      <c r="P113" s="458" t="n">
        <v>124</v>
      </c>
      <c r="U113" s="458" t="n"/>
      <c r="V113" s="458" t="n"/>
    </row>
    <row r="114">
      <c r="A114" t="inlineStr">
        <is>
          <t>비산동</t>
        </is>
      </c>
      <c r="D114" t="n">
        <v>1468</v>
      </c>
      <c r="E114" s="638" t="inlineStr">
        <is>
          <t>은하수(신성)</t>
        </is>
      </c>
      <c r="F114" t="n">
        <v>1992.11</v>
      </c>
      <c r="G114" t="n">
        <v>508</v>
      </c>
      <c r="H114">
        <f>2026-INT(F114)+1</f>
        <v/>
      </c>
      <c r="J114" t="n">
        <v>104</v>
      </c>
      <c r="K114" t="n">
        <v>84</v>
      </c>
      <c r="L114" t="n">
        <v>31</v>
      </c>
      <c r="M114" t="inlineStr">
        <is>
          <t>계단식</t>
        </is>
      </c>
      <c r="N114" t="n">
        <v>3</v>
      </c>
      <c r="O114" t="n">
        <v>2</v>
      </c>
      <c r="P114" t="n">
        <v>384</v>
      </c>
    </row>
    <row r="115">
      <c r="A115" s="639" t="inlineStr">
        <is>
          <t>비산동</t>
        </is>
      </c>
      <c r="B115" s="636" t="n"/>
      <c r="C115" s="636" t="n"/>
      <c r="D115" s="639" t="n">
        <v>3075</v>
      </c>
      <c r="E115" s="637" t="inlineStr">
        <is>
          <t>은하수(청구)</t>
        </is>
      </c>
      <c r="F115" s="639" t="n">
        <v>1992.06</v>
      </c>
      <c r="G115" s="639" t="n">
        <v>502</v>
      </c>
      <c r="H115" s="639">
        <f>2026-INT(F115)+1</f>
        <v/>
      </c>
      <c r="I115" s="636" t="n"/>
      <c r="J115" s="639" t="n">
        <v>76</v>
      </c>
      <c r="K115" s="639" t="n">
        <v>55</v>
      </c>
      <c r="L115" s="639" t="n">
        <v>23</v>
      </c>
      <c r="M115" s="639" t="inlineStr">
        <is>
          <t>복도식</t>
        </is>
      </c>
      <c r="N115" s="639" t="n">
        <v>2</v>
      </c>
      <c r="O115" s="639" t="n">
        <v>1</v>
      </c>
      <c r="P115" s="639" t="n">
        <v>92</v>
      </c>
      <c r="Q115" s="636" t="n"/>
      <c r="R115" s="636" t="n"/>
      <c r="S115" s="636" t="n"/>
      <c r="T115" s="636" t="n"/>
      <c r="U115" s="636" t="n"/>
      <c r="V115" s="636" t="n"/>
      <c r="W115" s="636" t="n"/>
      <c r="X115" s="636" t="n"/>
      <c r="Y115" s="636" t="n"/>
      <c r="Z115" s="636" t="n"/>
      <c r="AA115" s="636" t="n"/>
      <c r="AB115" s="636" t="n"/>
      <c r="AC115" s="636" t="n"/>
      <c r="AD115" s="636" t="n"/>
      <c r="AE115" s="636" t="n"/>
      <c r="AF115" s="636" t="n"/>
      <c r="AG115" s="636" t="n"/>
      <c r="AH115" s="636" t="n"/>
      <c r="AI115" s="636" t="n"/>
      <c r="AJ115" s="636" t="n"/>
      <c r="AK115" s="636" t="n"/>
    </row>
    <row r="116">
      <c r="A116" s="639" t="inlineStr">
        <is>
          <t>비산동</t>
        </is>
      </c>
      <c r="B116" s="636" t="n"/>
      <c r="C116" s="636" t="n"/>
      <c r="D116" s="639" t="n">
        <v>3075</v>
      </c>
      <c r="E116" s="637" t="inlineStr">
        <is>
          <t>은하수(청구)</t>
        </is>
      </c>
      <c r="F116" s="639" t="n">
        <v>1992.06</v>
      </c>
      <c r="G116" s="639" t="n">
        <v>502</v>
      </c>
      <c r="H116" s="639">
        <f>2026-INT(F116)+1</f>
        <v/>
      </c>
      <c r="I116" s="636" t="n"/>
      <c r="J116" s="639" t="n">
        <v>89</v>
      </c>
      <c r="K116" s="639" t="n">
        <v>64</v>
      </c>
      <c r="L116" s="639" t="n">
        <v>27</v>
      </c>
      <c r="M116" s="639" t="inlineStr">
        <is>
          <t>복도식</t>
        </is>
      </c>
      <c r="N116" s="639" t="n">
        <v>3</v>
      </c>
      <c r="O116" s="639" t="n">
        <v>1</v>
      </c>
      <c r="P116" s="639" t="n">
        <v>46</v>
      </c>
      <c r="Q116" s="636" t="n"/>
      <c r="R116" s="636" t="n"/>
      <c r="S116" s="636" t="n"/>
      <c r="T116" s="636" t="n"/>
      <c r="U116" s="636" t="n"/>
      <c r="V116" s="636" t="n"/>
      <c r="W116" s="636" t="n"/>
      <c r="X116" s="636" t="n"/>
      <c r="Y116" s="636" t="n"/>
      <c r="Z116" s="636" t="n"/>
      <c r="AA116" s="636" t="n"/>
      <c r="AB116" s="636" t="n"/>
      <c r="AC116" s="636" t="n"/>
      <c r="AD116" s="636" t="n"/>
      <c r="AE116" s="636" t="n"/>
      <c r="AF116" s="636" t="n"/>
      <c r="AG116" s="636" t="n"/>
      <c r="AH116" s="636" t="n"/>
      <c r="AI116" s="636" t="n"/>
      <c r="AJ116" s="636" t="n"/>
      <c r="AK116" s="636" t="n"/>
    </row>
    <row r="117">
      <c r="A117" s="639" t="inlineStr">
        <is>
          <t>비산동</t>
        </is>
      </c>
      <c r="B117" s="636" t="n"/>
      <c r="C117" s="636" t="n"/>
      <c r="D117" s="639" t="n">
        <v>3075</v>
      </c>
      <c r="E117" s="637" t="inlineStr">
        <is>
          <t>은하수(청구)</t>
        </is>
      </c>
      <c r="F117" s="639" t="n">
        <v>1992.06</v>
      </c>
      <c r="G117" s="639" t="n">
        <v>502</v>
      </c>
      <c r="H117" s="639">
        <f>2026-INT(F117)+1</f>
        <v/>
      </c>
      <c r="I117" s="636" t="n"/>
      <c r="J117" s="639" t="n">
        <v>107</v>
      </c>
      <c r="K117" s="639" t="n">
        <v>84</v>
      </c>
      <c r="L117" s="639" t="n">
        <v>32</v>
      </c>
      <c r="M117" s="639" t="inlineStr">
        <is>
          <t>계단식</t>
        </is>
      </c>
      <c r="N117" s="639" t="n">
        <v>3</v>
      </c>
      <c r="O117" s="639" t="n">
        <v>2</v>
      </c>
      <c r="P117" s="639" t="n">
        <v>364</v>
      </c>
      <c r="Q117" s="636" t="n"/>
      <c r="R117" s="636" t="n"/>
      <c r="S117" s="636" t="n"/>
      <c r="T117" s="636" t="n"/>
      <c r="U117" s="636" t="n"/>
      <c r="V117" s="636" t="n"/>
      <c r="W117" s="636" t="n"/>
      <c r="X117" s="636" t="n"/>
      <c r="Y117" s="636" t="n"/>
      <c r="Z117" s="636" t="n"/>
      <c r="AA117" s="636" t="n"/>
      <c r="AB117" s="636" t="n"/>
      <c r="AC117" s="636" t="n"/>
      <c r="AD117" s="636" t="n"/>
      <c r="AE117" s="636" t="n"/>
      <c r="AF117" s="636" t="n"/>
      <c r="AG117" s="636" t="n"/>
      <c r="AH117" s="636" t="n"/>
      <c r="AI117" s="636" t="n"/>
      <c r="AJ117" s="636" t="n"/>
      <c r="AK117" s="636" t="n"/>
    </row>
    <row r="118">
      <c r="A118" s="458" t="inlineStr">
        <is>
          <t>비산동</t>
        </is>
      </c>
      <c r="D118" s="458" t="n">
        <v>1992</v>
      </c>
      <c r="E118" s="638" t="inlineStr">
        <is>
          <t>은하수,샛별5,6단지</t>
        </is>
      </c>
      <c r="F118" s="458" t="n">
        <v>1992.11</v>
      </c>
      <c r="G118" s="458" t="n">
        <v>3227</v>
      </c>
      <c r="H118" s="458">
        <f>2026-INT(F118)+1</f>
        <v/>
      </c>
      <c r="J118" s="458" t="n">
        <v>38</v>
      </c>
      <c r="K118" s="458" t="n">
        <v>28</v>
      </c>
      <c r="L118" s="458" t="n">
        <v>11</v>
      </c>
      <c r="M118" s="458" t="inlineStr">
        <is>
          <t>복도식</t>
        </is>
      </c>
      <c r="N118" s="458" t="n">
        <v>1</v>
      </c>
      <c r="O118" s="458" t="n">
        <v>1</v>
      </c>
      <c r="P118" s="458" t="n">
        <v>300</v>
      </c>
    </row>
    <row r="119">
      <c r="A119" s="458" t="inlineStr">
        <is>
          <t>비산동</t>
        </is>
      </c>
      <c r="D119" s="458" t="n">
        <v>1992</v>
      </c>
      <c r="E119" s="638" t="inlineStr">
        <is>
          <t>은하수,샛별5,6단지</t>
        </is>
      </c>
      <c r="F119" s="458" t="n">
        <v>1992.11</v>
      </c>
      <c r="G119" s="458" t="n">
        <v>3227</v>
      </c>
      <c r="H119" s="458">
        <f>2026-INT(F119)+1</f>
        <v/>
      </c>
      <c r="J119" s="458" t="n">
        <v>48</v>
      </c>
      <c r="K119" s="458" t="n">
        <v>35</v>
      </c>
      <c r="L119" s="458" t="n">
        <v>15</v>
      </c>
      <c r="M119" s="458" t="inlineStr">
        <is>
          <t>복도식</t>
        </is>
      </c>
      <c r="N119" s="458" t="n">
        <v>2</v>
      </c>
      <c r="O119" s="458" t="n">
        <v>1</v>
      </c>
      <c r="P119" s="458" t="n">
        <v>1787</v>
      </c>
    </row>
    <row r="120">
      <c r="A120" t="inlineStr">
        <is>
          <t>비산동</t>
        </is>
      </c>
      <c r="D120" t="n">
        <v>1992</v>
      </c>
      <c r="E120" s="638" t="inlineStr">
        <is>
          <t>은하수,샛별5,6단지</t>
        </is>
      </c>
      <c r="F120" t="n">
        <v>1992.11</v>
      </c>
      <c r="G120" t="n">
        <v>3227</v>
      </c>
      <c r="H120">
        <f>2026-INT(F120)+1</f>
        <v/>
      </c>
      <c r="J120" t="n">
        <v>58</v>
      </c>
      <c r="K120" t="n">
        <v>42</v>
      </c>
      <c r="L120" t="n">
        <v>18</v>
      </c>
      <c r="M120" t="inlineStr">
        <is>
          <t>복도식</t>
        </is>
      </c>
      <c r="N120" t="n">
        <v>2</v>
      </c>
      <c r="O120" t="n">
        <v>1</v>
      </c>
      <c r="P120" t="n">
        <v>600</v>
      </c>
    </row>
    <row r="121">
      <c r="A121" t="inlineStr">
        <is>
          <t>비산동</t>
        </is>
      </c>
      <c r="D121" t="n">
        <v>1992</v>
      </c>
      <c r="E121" s="638" t="inlineStr">
        <is>
          <t>은하수,샛별5,6단지</t>
        </is>
      </c>
      <c r="F121" t="n">
        <v>1992.11</v>
      </c>
      <c r="G121" t="n">
        <v>3227</v>
      </c>
      <c r="H121">
        <f>2026-INT(F121)+1</f>
        <v/>
      </c>
      <c r="J121" t="n">
        <v>70</v>
      </c>
      <c r="K121" t="n">
        <v>57</v>
      </c>
      <c r="L121" t="n">
        <v>21</v>
      </c>
      <c r="M121" t="inlineStr">
        <is>
          <t>계단식</t>
        </is>
      </c>
      <c r="N121" t="n">
        <v>3</v>
      </c>
      <c r="O121" t="n">
        <v>1</v>
      </c>
      <c r="P121" t="n">
        <v>60</v>
      </c>
    </row>
    <row r="122">
      <c r="A122" t="inlineStr">
        <is>
          <t>비산동</t>
        </is>
      </c>
      <c r="D122" t="n">
        <v>1992</v>
      </c>
      <c r="E122" s="638" t="inlineStr">
        <is>
          <t>은하수,샛별5,6단지</t>
        </is>
      </c>
      <c r="F122" t="n">
        <v>1992.11</v>
      </c>
      <c r="G122" t="n">
        <v>3227</v>
      </c>
      <c r="H122">
        <f>2026-INT(F122)+1</f>
        <v/>
      </c>
      <c r="J122" t="n">
        <v>71</v>
      </c>
      <c r="K122" t="n">
        <v>49</v>
      </c>
      <c r="L122" t="n">
        <v>21</v>
      </c>
      <c r="M122" t="inlineStr">
        <is>
          <t>복도식</t>
        </is>
      </c>
      <c r="N122" t="n">
        <v>3</v>
      </c>
      <c r="O122" t="n">
        <v>1</v>
      </c>
      <c r="P122" t="n">
        <v>480</v>
      </c>
    </row>
    <row r="123">
      <c r="A123" s="636" t="inlineStr">
        <is>
          <t>비산동</t>
        </is>
      </c>
      <c r="B123" s="636" t="n"/>
      <c r="C123" s="636" t="n"/>
      <c r="D123" s="636" t="n">
        <v>126060</v>
      </c>
      <c r="E123" s="637" t="inlineStr">
        <is>
          <t>평촌래미안푸르지오</t>
        </is>
      </c>
      <c r="F123" s="636" t="n">
        <v>2022.03</v>
      </c>
      <c r="G123" s="636" t="n">
        <v>1199</v>
      </c>
      <c r="H123" s="636">
        <f>2026-INT(F123)+1</f>
        <v/>
      </c>
      <c r="I123" s="636" t="n"/>
      <c r="J123" s="636" t="n">
        <v>85</v>
      </c>
      <c r="K123" s="636" t="n">
        <v>59</v>
      </c>
      <c r="L123" s="636" t="n">
        <v>26</v>
      </c>
      <c r="M123" s="636" t="inlineStr">
        <is>
          <t>계단식</t>
        </is>
      </c>
      <c r="N123" s="636" t="n">
        <v>3</v>
      </c>
      <c r="O123" s="636" t="n">
        <v>2</v>
      </c>
      <c r="P123" s="636" t="n">
        <v>484</v>
      </c>
      <c r="Q123" s="636" t="n"/>
      <c r="R123" s="636" t="n"/>
      <c r="S123" s="636" t="n"/>
      <c r="T123" s="636" t="n"/>
      <c r="U123" s="636" t="n"/>
      <c r="V123" s="636" t="n"/>
      <c r="W123" s="636" t="n"/>
      <c r="X123" s="636" t="n"/>
      <c r="Y123" s="636" t="n"/>
      <c r="Z123" s="636" t="n"/>
      <c r="AA123" s="636" t="n"/>
      <c r="AB123" s="636" t="n"/>
      <c r="AC123" s="636" t="n"/>
      <c r="AD123" s="636" t="n"/>
      <c r="AE123" s="636" t="n"/>
      <c r="AF123" s="636" t="n"/>
      <c r="AG123" s="636" t="n"/>
      <c r="AH123" s="636" t="n"/>
      <c r="AI123" s="636" t="n"/>
      <c r="AJ123" s="636" t="n"/>
      <c r="AK123" s="636" t="n"/>
    </row>
    <row r="124">
      <c r="A124" s="639" t="inlineStr">
        <is>
          <t>비산동</t>
        </is>
      </c>
      <c r="B124" s="636" t="n"/>
      <c r="C124" s="636" t="n"/>
      <c r="D124" s="639" t="n">
        <v>126060</v>
      </c>
      <c r="E124" s="637" t="inlineStr">
        <is>
          <t>평촌래미안푸르지오</t>
        </is>
      </c>
      <c r="F124" s="639" t="n">
        <v>2022.03</v>
      </c>
      <c r="G124" s="639" t="n">
        <v>1199</v>
      </c>
      <c r="H124" s="639">
        <f>2026-INT(F124)+1</f>
        <v/>
      </c>
      <c r="I124" s="636" t="n"/>
      <c r="J124" s="639" t="n">
        <v>94</v>
      </c>
      <c r="K124" s="639" t="n">
        <v>68</v>
      </c>
      <c r="L124" s="639" t="n">
        <v>28</v>
      </c>
      <c r="M124" s="639" t="inlineStr">
        <is>
          <t>계단식</t>
        </is>
      </c>
      <c r="N124" s="639" t="n">
        <v>3</v>
      </c>
      <c r="O124" s="639" t="n">
        <v>2</v>
      </c>
      <c r="P124" s="639" t="n">
        <v>64</v>
      </c>
      <c r="Q124" s="636" t="n"/>
      <c r="R124" s="636" t="n"/>
      <c r="S124" s="636" t="n"/>
      <c r="T124" s="636" t="n"/>
      <c r="U124" s="636" t="n"/>
      <c r="V124" s="636" t="n"/>
      <c r="W124" s="636" t="n"/>
      <c r="X124" s="636" t="n"/>
      <c r="Y124" s="636" t="n"/>
      <c r="Z124" s="636" t="n"/>
      <c r="AA124" s="636" t="n"/>
      <c r="AB124" s="636" t="n"/>
      <c r="AC124" s="636" t="n"/>
      <c r="AD124" s="636" t="n"/>
      <c r="AE124" s="636" t="n"/>
      <c r="AF124" s="636" t="n"/>
      <c r="AG124" s="636" t="n"/>
      <c r="AH124" s="636" t="n"/>
      <c r="AI124" s="636" t="n"/>
      <c r="AJ124" s="636" t="n"/>
      <c r="AK124" s="636" t="n"/>
    </row>
    <row r="125">
      <c r="A125" s="639" t="inlineStr">
        <is>
          <t>비산동</t>
        </is>
      </c>
      <c r="B125" s="636" t="n"/>
      <c r="C125" s="636" t="n"/>
      <c r="D125" s="639" t="n">
        <v>126060</v>
      </c>
      <c r="E125" s="637" t="inlineStr">
        <is>
          <t>평촌래미안푸르지오</t>
        </is>
      </c>
      <c r="F125" s="639" t="n">
        <v>2022.03</v>
      </c>
      <c r="G125" s="639" t="n">
        <v>1199</v>
      </c>
      <c r="H125" s="639">
        <f>2026-INT(F125)+1</f>
        <v/>
      </c>
      <c r="I125" s="636" t="n"/>
      <c r="J125" s="639" t="n">
        <v>115</v>
      </c>
      <c r="K125" s="639" t="n">
        <v>84</v>
      </c>
      <c r="L125" s="639" t="n">
        <v>35</v>
      </c>
      <c r="M125" s="639" t="inlineStr">
        <is>
          <t>계단식</t>
        </is>
      </c>
      <c r="N125" s="639" t="n">
        <v>3</v>
      </c>
      <c r="O125" s="639" t="n">
        <v>2</v>
      </c>
      <c r="P125" s="639" t="n">
        <v>503</v>
      </c>
      <c r="Q125" s="636" t="n"/>
      <c r="R125" s="636" t="n"/>
      <c r="S125" s="636" t="n"/>
      <c r="T125" s="636" t="n"/>
      <c r="U125" s="636" t="n"/>
      <c r="V125" s="636" t="n"/>
      <c r="W125" s="636" t="n"/>
      <c r="X125" s="636" t="n"/>
      <c r="Y125" s="636" t="n"/>
      <c r="Z125" s="636" t="n"/>
      <c r="AA125" s="636" t="n"/>
      <c r="AB125" s="636" t="n"/>
      <c r="AC125" s="636" t="n"/>
      <c r="AD125" s="636" t="n"/>
      <c r="AE125" s="636" t="n"/>
      <c r="AF125" s="636" t="n"/>
      <c r="AG125" s="636" t="n"/>
      <c r="AH125" s="636" t="n"/>
      <c r="AI125" s="636" t="n"/>
      <c r="AJ125" s="636" t="n"/>
      <c r="AK125" s="636" t="n"/>
    </row>
    <row r="126">
      <c r="A126" s="639" t="inlineStr">
        <is>
          <t>비산동</t>
        </is>
      </c>
      <c r="B126" s="636" t="n"/>
      <c r="C126" s="636" t="n"/>
      <c r="D126" s="639" t="n">
        <v>126060</v>
      </c>
      <c r="E126" s="637" t="inlineStr">
        <is>
          <t>평촌래미안푸르지오</t>
        </is>
      </c>
      <c r="F126" s="639" t="n">
        <v>2022.03</v>
      </c>
      <c r="G126" s="639" t="n">
        <v>1199</v>
      </c>
      <c r="H126" s="639">
        <f>2026-INT(F126)+1</f>
        <v/>
      </c>
      <c r="I126" s="636" t="n"/>
      <c r="J126" s="639" t="n">
        <v>128</v>
      </c>
      <c r="K126" s="639" t="n">
        <v>97</v>
      </c>
      <c r="L126" s="639" t="n">
        <v>39</v>
      </c>
      <c r="M126" s="639" t="inlineStr">
        <is>
          <t>계단식</t>
        </is>
      </c>
      <c r="N126" s="639" t="n">
        <v>3</v>
      </c>
      <c r="O126" s="639" t="n">
        <v>2</v>
      </c>
      <c r="P126" s="639" t="n">
        <v>74</v>
      </c>
      <c r="Q126" s="636" t="n"/>
      <c r="R126" s="636" t="n"/>
      <c r="S126" s="636" t="n"/>
      <c r="T126" s="636" t="n"/>
      <c r="U126" s="636" t="n"/>
      <c r="V126" s="636" t="n"/>
      <c r="W126" s="636" t="n"/>
      <c r="X126" s="636" t="n"/>
      <c r="Y126" s="636" t="n"/>
      <c r="Z126" s="636" t="n"/>
      <c r="AA126" s="636" t="n"/>
      <c r="AB126" s="636" t="n"/>
      <c r="AC126" s="636" t="n"/>
      <c r="AD126" s="636" t="n"/>
      <c r="AE126" s="636" t="n"/>
      <c r="AF126" s="636" t="n"/>
      <c r="AG126" s="636" t="n"/>
      <c r="AH126" s="636" t="n"/>
      <c r="AI126" s="636" t="n"/>
      <c r="AJ126" s="636" t="n"/>
      <c r="AK126" s="636" t="n"/>
    </row>
    <row r="127">
      <c r="A127" s="636" t="inlineStr">
        <is>
          <t>비산동</t>
        </is>
      </c>
      <c r="B127" s="636" t="n"/>
      <c r="C127" s="636" t="n"/>
      <c r="D127" s="636" t="n">
        <v>126060</v>
      </c>
      <c r="E127" s="637" t="inlineStr">
        <is>
          <t>평촌래미안푸르지오</t>
        </is>
      </c>
      <c r="F127" s="636" t="n">
        <v>2022.03</v>
      </c>
      <c r="G127" s="636" t="n">
        <v>1199</v>
      </c>
      <c r="H127" s="636">
        <f>2026-INT(F127)+1</f>
        <v/>
      </c>
      <c r="I127" s="636" t="n"/>
      <c r="J127" s="636" t="n">
        <v>138</v>
      </c>
      <c r="K127" s="636" t="n">
        <v>105</v>
      </c>
      <c r="L127" s="636" t="n">
        <v>42</v>
      </c>
      <c r="M127" s="636" t="inlineStr">
        <is>
          <t>계단식</t>
        </is>
      </c>
      <c r="N127" s="636" t="n">
        <v>3</v>
      </c>
      <c r="O127" s="636" t="n">
        <v>2</v>
      </c>
      <c r="P127" s="636" t="n">
        <v>74</v>
      </c>
      <c r="Q127" s="636" t="n"/>
      <c r="R127" s="636" t="n"/>
      <c r="S127" s="636" t="n"/>
      <c r="T127" s="636" t="n"/>
      <c r="U127" s="636" t="n"/>
      <c r="V127" s="636" t="n"/>
      <c r="W127" s="636" t="n"/>
      <c r="X127" s="636" t="n"/>
      <c r="Y127" s="636" t="n"/>
      <c r="Z127" s="636" t="n"/>
      <c r="AA127" s="636" t="n"/>
      <c r="AB127" s="636" t="n"/>
      <c r="AC127" s="636" t="n"/>
      <c r="AD127" s="636" t="n"/>
      <c r="AE127" s="636" t="n"/>
      <c r="AF127" s="636" t="n"/>
      <c r="AG127" s="636" t="n"/>
      <c r="AH127" s="636" t="n"/>
      <c r="AI127" s="636" t="n"/>
      <c r="AJ127" s="636" t="n"/>
      <c r="AK127" s="636" t="n"/>
    </row>
    <row r="128">
      <c r="A128" t="inlineStr">
        <is>
          <t>비산동</t>
        </is>
      </c>
      <c r="D128" t="n">
        <v>144023</v>
      </c>
      <c r="E128" s="638" t="inlineStr">
        <is>
          <t>평촌엘프라우드</t>
        </is>
      </c>
      <c r="F128" t="n">
        <v>2024.06</v>
      </c>
      <c r="G128" t="n">
        <v>2739</v>
      </c>
      <c r="H128">
        <f>2026-INT(F128)+1</f>
        <v/>
      </c>
      <c r="J128" t="n">
        <v>34</v>
      </c>
      <c r="K128" t="n">
        <v>22</v>
      </c>
      <c r="L128" t="n">
        <v>10</v>
      </c>
      <c r="M128" t="inlineStr">
        <is>
          <t>계단식</t>
        </is>
      </c>
      <c r="N128" t="n">
        <v>1</v>
      </c>
      <c r="O128" t="n">
        <v>1</v>
      </c>
      <c r="P128" t="n">
        <v>102</v>
      </c>
    </row>
    <row r="129">
      <c r="A129" t="inlineStr">
        <is>
          <t>비산동</t>
        </is>
      </c>
      <c r="D129" t="n">
        <v>144023</v>
      </c>
      <c r="E129" s="638" t="inlineStr">
        <is>
          <t>평촌엘프라우드</t>
        </is>
      </c>
      <c r="F129" t="n">
        <v>2024.06</v>
      </c>
      <c r="G129" t="n">
        <v>2739</v>
      </c>
      <c r="H129">
        <f>2026-INT(F129)+1</f>
        <v/>
      </c>
      <c r="J129" t="n">
        <v>59</v>
      </c>
      <c r="K129" t="n">
        <v>39</v>
      </c>
      <c r="L129" t="n">
        <v>18</v>
      </c>
      <c r="M129" t="inlineStr">
        <is>
          <t>계단식</t>
        </is>
      </c>
      <c r="N129" t="n">
        <v>2</v>
      </c>
      <c r="O129" t="n">
        <v>1</v>
      </c>
      <c r="P129" t="n">
        <v>104</v>
      </c>
    </row>
    <row r="130">
      <c r="A130" t="inlineStr">
        <is>
          <t>비산동</t>
        </is>
      </c>
      <c r="D130" t="n">
        <v>144023</v>
      </c>
      <c r="E130" s="638" t="inlineStr">
        <is>
          <t>평촌엘프라우드</t>
        </is>
      </c>
      <c r="F130" t="n">
        <v>2024.06</v>
      </c>
      <c r="G130" t="n">
        <v>2739</v>
      </c>
      <c r="H130">
        <f>2026-INT(F130)+1</f>
        <v/>
      </c>
      <c r="J130" t="n">
        <v>69</v>
      </c>
      <c r="K130" t="n">
        <v>49</v>
      </c>
      <c r="L130" t="n">
        <v>21</v>
      </c>
      <c r="M130" t="inlineStr">
        <is>
          <t>계단식</t>
        </is>
      </c>
      <c r="N130" t="n">
        <v>3</v>
      </c>
      <c r="O130" t="n">
        <v>1</v>
      </c>
      <c r="P130" t="n">
        <v>98</v>
      </c>
    </row>
    <row r="131">
      <c r="A131" t="inlineStr">
        <is>
          <t>비산동</t>
        </is>
      </c>
      <c r="D131" t="n">
        <v>144023</v>
      </c>
      <c r="E131" s="638" t="inlineStr">
        <is>
          <t>평촌엘프라우드</t>
        </is>
      </c>
      <c r="F131" t="n">
        <v>2024.06</v>
      </c>
      <c r="G131" t="n">
        <v>2739</v>
      </c>
      <c r="H131">
        <f>2026-INT(F131)+1</f>
        <v/>
      </c>
      <c r="J131" t="n">
        <v>81</v>
      </c>
      <c r="K131" t="n">
        <v>59</v>
      </c>
      <c r="L131" t="n">
        <v>25</v>
      </c>
      <c r="M131" t="inlineStr">
        <is>
          <t>계단식</t>
        </is>
      </c>
      <c r="N131" t="n">
        <v>3</v>
      </c>
      <c r="O131" t="n">
        <v>2</v>
      </c>
      <c r="P131" t="n">
        <v>1359</v>
      </c>
    </row>
    <row r="132">
      <c r="A132" t="inlineStr">
        <is>
          <t>비산동</t>
        </is>
      </c>
      <c r="D132" t="n">
        <v>144023</v>
      </c>
      <c r="E132" s="638" t="inlineStr">
        <is>
          <t>평촌엘프라우드</t>
        </is>
      </c>
      <c r="F132" t="n">
        <v>2024.06</v>
      </c>
      <c r="G132" t="n">
        <v>2739</v>
      </c>
      <c r="H132">
        <f>2026-INT(F132)+1</f>
        <v/>
      </c>
      <c r="J132" t="n">
        <v>96</v>
      </c>
      <c r="K132" t="n">
        <v>74</v>
      </c>
      <c r="L132" t="n">
        <v>29</v>
      </c>
      <c r="M132" t="inlineStr">
        <is>
          <t>계단식</t>
        </is>
      </c>
      <c r="N132" t="n">
        <v>3</v>
      </c>
      <c r="O132" t="n">
        <v>2</v>
      </c>
      <c r="P132" t="n">
        <v>110</v>
      </c>
    </row>
    <row r="133">
      <c r="A133" t="inlineStr">
        <is>
          <t>비산동</t>
        </is>
      </c>
      <c r="D133" t="n">
        <v>144023</v>
      </c>
      <c r="E133" s="638" t="inlineStr">
        <is>
          <t>평촌엘프라우드</t>
        </is>
      </c>
      <c r="F133" t="n">
        <v>2024.06</v>
      </c>
      <c r="G133" t="n">
        <v>2739</v>
      </c>
      <c r="H133">
        <f>2026-INT(F133)+1</f>
        <v/>
      </c>
      <c r="J133" t="n">
        <v>109</v>
      </c>
      <c r="K133" t="n">
        <v>84</v>
      </c>
      <c r="L133" t="n">
        <v>33</v>
      </c>
      <c r="M133" t="inlineStr">
        <is>
          <t>계단식</t>
        </is>
      </c>
      <c r="N133" t="n">
        <v>4</v>
      </c>
      <c r="O133" t="n">
        <v>2</v>
      </c>
      <c r="P133" t="n">
        <v>324</v>
      </c>
    </row>
    <row r="134">
      <c r="A134" t="inlineStr">
        <is>
          <t>비산동</t>
        </is>
      </c>
      <c r="D134" t="n">
        <v>144023</v>
      </c>
      <c r="E134" s="638" t="inlineStr">
        <is>
          <t>평촌엘프라우드</t>
        </is>
      </c>
      <c r="F134" t="n">
        <v>2024.06</v>
      </c>
      <c r="G134" t="n">
        <v>2739</v>
      </c>
      <c r="H134">
        <f>2026-INT(F134)+1</f>
        <v/>
      </c>
      <c r="J134" t="n">
        <v>110</v>
      </c>
      <c r="K134" t="n">
        <v>84</v>
      </c>
      <c r="L134" t="n">
        <v>33</v>
      </c>
      <c r="M134" t="inlineStr">
        <is>
          <t>계단식</t>
        </is>
      </c>
      <c r="N134" t="n">
        <v>3</v>
      </c>
      <c r="O134" t="n">
        <v>2</v>
      </c>
      <c r="P134" t="n">
        <v>497</v>
      </c>
    </row>
    <row r="135">
      <c r="A135" t="inlineStr">
        <is>
          <t>비산동</t>
        </is>
      </c>
      <c r="D135" t="n">
        <v>144023</v>
      </c>
      <c r="E135" s="638" t="inlineStr">
        <is>
          <t>평촌엘프라우드</t>
        </is>
      </c>
      <c r="F135" t="n">
        <v>2024.06</v>
      </c>
      <c r="G135" t="n">
        <v>2739</v>
      </c>
      <c r="H135">
        <f>2026-INT(F135)+1</f>
        <v/>
      </c>
      <c r="J135" t="n">
        <v>149</v>
      </c>
      <c r="K135" t="n">
        <v>110</v>
      </c>
      <c r="L135" t="n">
        <v>45</v>
      </c>
      <c r="M135" t="inlineStr">
        <is>
          <t>계단식</t>
        </is>
      </c>
      <c r="N135" t="n">
        <v>3</v>
      </c>
      <c r="O135" t="n">
        <v>2</v>
      </c>
      <c r="P135" t="n">
        <v>12</v>
      </c>
    </row>
    <row r="136">
      <c r="A136" s="639" t="inlineStr">
        <is>
          <t>비산동</t>
        </is>
      </c>
      <c r="B136" s="636" t="n"/>
      <c r="C136" s="636" t="n"/>
      <c r="D136" s="639" t="n">
        <v>124780</v>
      </c>
      <c r="E136" s="637" t="inlineStr">
        <is>
          <t>평촌자이아이파크</t>
        </is>
      </c>
      <c r="F136" s="639" t="n">
        <v>2021.12</v>
      </c>
      <c r="G136" s="639" t="n">
        <v>2737</v>
      </c>
      <c r="H136" s="639">
        <f>2026-INT(F136)+1</f>
        <v/>
      </c>
      <c r="I136" s="636" t="n"/>
      <c r="J136" s="639" t="n">
        <v>59</v>
      </c>
      <c r="K136" s="639" t="n">
        <v>39</v>
      </c>
      <c r="L136" s="639" t="n">
        <v>18</v>
      </c>
      <c r="M136" s="639" t="inlineStr">
        <is>
          <t>복도식</t>
        </is>
      </c>
      <c r="N136" s="639" t="n">
        <v>1</v>
      </c>
      <c r="O136" s="639" t="n">
        <v>1</v>
      </c>
      <c r="P136" s="639" t="n">
        <v>204</v>
      </c>
      <c r="Q136" s="636" t="n"/>
      <c r="R136" s="636" t="n"/>
      <c r="S136" s="636" t="n"/>
      <c r="T136" s="636" t="n"/>
      <c r="U136" s="639" t="n"/>
      <c r="V136" s="639" t="n"/>
      <c r="W136" s="636" t="n"/>
      <c r="X136" s="636" t="n"/>
      <c r="Y136" s="636" t="n"/>
      <c r="Z136" s="636" t="n"/>
      <c r="AA136" s="636" t="n"/>
      <c r="AB136" s="636" t="n"/>
      <c r="AC136" s="636" t="n"/>
      <c r="AD136" s="636" t="n"/>
      <c r="AE136" s="636" t="n"/>
      <c r="AF136" s="636" t="n"/>
      <c r="AG136" s="636" t="n"/>
      <c r="AH136" s="636" t="n"/>
      <c r="AI136" s="636" t="n"/>
      <c r="AJ136" s="636" t="n"/>
      <c r="AK136" s="636" t="n"/>
    </row>
    <row r="137">
      <c r="A137" s="639" t="inlineStr">
        <is>
          <t>비산동</t>
        </is>
      </c>
      <c r="B137" s="636" t="n"/>
      <c r="C137" s="636" t="n"/>
      <c r="D137" s="639" t="n">
        <v>124780</v>
      </c>
      <c r="E137" s="637" t="inlineStr">
        <is>
          <t>평촌자이아이파크</t>
        </is>
      </c>
      <c r="F137" s="639" t="n">
        <v>2021.12</v>
      </c>
      <c r="G137" s="639" t="n">
        <v>2737</v>
      </c>
      <c r="H137" s="639">
        <f>2026-INT(F137)+1</f>
        <v/>
      </c>
      <c r="I137" s="636" t="n"/>
      <c r="J137" s="639" t="n">
        <v>68</v>
      </c>
      <c r="K137" s="639" t="n">
        <v>45</v>
      </c>
      <c r="L137" s="639" t="n">
        <v>21</v>
      </c>
      <c r="M137" s="639" t="inlineStr">
        <is>
          <t>복도식</t>
        </is>
      </c>
      <c r="N137" s="639" t="n">
        <v>2</v>
      </c>
      <c r="O137" s="639" t="n">
        <v>1</v>
      </c>
      <c r="P137" s="639" t="n">
        <v>113</v>
      </c>
      <c r="Q137" s="636" t="n"/>
      <c r="R137" s="636" t="n"/>
      <c r="S137" s="636" t="n"/>
      <c r="T137" s="636" t="n"/>
      <c r="U137" s="639" t="n"/>
      <c r="V137" s="639" t="n"/>
      <c r="W137" s="636" t="n"/>
      <c r="X137" s="636" t="n"/>
      <c r="Y137" s="636" t="n"/>
      <c r="Z137" s="636" t="n"/>
      <c r="AA137" s="636" t="n"/>
      <c r="AB137" s="636" t="n"/>
      <c r="AC137" s="636" t="n"/>
      <c r="AD137" s="636" t="n"/>
      <c r="AE137" s="636" t="n"/>
      <c r="AF137" s="636" t="n"/>
      <c r="AG137" s="636" t="n"/>
      <c r="AH137" s="636" t="n"/>
      <c r="AI137" s="636" t="n"/>
      <c r="AJ137" s="636" t="n"/>
      <c r="AK137" s="636" t="n"/>
    </row>
    <row r="138">
      <c r="A138" s="639" t="inlineStr">
        <is>
          <t>비산동</t>
        </is>
      </c>
      <c r="B138" s="636" t="n"/>
      <c r="C138" s="636" t="n"/>
      <c r="D138" s="639" t="n">
        <v>124780</v>
      </c>
      <c r="E138" s="637" t="inlineStr">
        <is>
          <t>평촌자이아이파크</t>
        </is>
      </c>
      <c r="F138" s="639" t="n">
        <v>2021.12</v>
      </c>
      <c r="G138" s="639" t="n">
        <v>2737</v>
      </c>
      <c r="H138" s="639">
        <f>2026-INT(F138)+1</f>
        <v/>
      </c>
      <c r="I138" s="636" t="n"/>
      <c r="J138" s="639" t="n">
        <v>69</v>
      </c>
      <c r="K138" s="639" t="n">
        <v>49</v>
      </c>
      <c r="L138" s="639" t="n">
        <v>21</v>
      </c>
      <c r="M138" s="639" t="inlineStr">
        <is>
          <t>계단식</t>
        </is>
      </c>
      <c r="N138" s="639" t="n">
        <v>2</v>
      </c>
      <c r="O138" s="639" t="n">
        <v>1</v>
      </c>
      <c r="P138" s="639" t="n">
        <v>300</v>
      </c>
      <c r="Q138" s="636" t="n"/>
      <c r="R138" s="636" t="n"/>
      <c r="S138" s="636" t="n"/>
      <c r="T138" s="636" t="n"/>
      <c r="U138" s="639" t="n"/>
      <c r="V138" s="639" t="n"/>
      <c r="W138" s="636" t="n"/>
      <c r="X138" s="636" t="n"/>
      <c r="Y138" s="636" t="n"/>
      <c r="Z138" s="636" t="n"/>
      <c r="AA138" s="636" t="n"/>
      <c r="AB138" s="636" t="n"/>
      <c r="AC138" s="636" t="n"/>
      <c r="AD138" s="636" t="n"/>
      <c r="AE138" s="636" t="n"/>
      <c r="AF138" s="636" t="n"/>
      <c r="AG138" s="636" t="n"/>
      <c r="AH138" s="636" t="n"/>
      <c r="AI138" s="636" t="n"/>
      <c r="AJ138" s="636" t="n"/>
      <c r="AK138" s="636" t="n"/>
    </row>
    <row r="139">
      <c r="A139" s="639" t="inlineStr">
        <is>
          <t>비산동</t>
        </is>
      </c>
      <c r="B139" s="636" t="n"/>
      <c r="C139" s="636" t="n"/>
      <c r="D139" s="639" t="n">
        <v>124780</v>
      </c>
      <c r="E139" s="637" t="inlineStr">
        <is>
          <t>평촌자이아이파크</t>
        </is>
      </c>
      <c r="F139" s="639" t="n">
        <v>2021.12</v>
      </c>
      <c r="G139" s="639" t="n">
        <v>2737</v>
      </c>
      <c r="H139" s="639">
        <f>2026-INT(F139)+1</f>
        <v/>
      </c>
      <c r="I139" s="636" t="n"/>
      <c r="J139" s="639" t="n">
        <v>83</v>
      </c>
      <c r="K139" s="639" t="n">
        <v>59</v>
      </c>
      <c r="L139" s="639" t="n">
        <v>25</v>
      </c>
      <c r="M139" s="639" t="inlineStr">
        <is>
          <t>계단식</t>
        </is>
      </c>
      <c r="N139" s="639" t="n">
        <v>3</v>
      </c>
      <c r="O139" s="639" t="n">
        <v>2</v>
      </c>
      <c r="P139" s="639" t="n">
        <v>874</v>
      </c>
      <c r="Q139" s="636" t="n"/>
      <c r="R139" s="636" t="n"/>
      <c r="S139" s="636" t="n"/>
      <c r="T139" s="636" t="n"/>
      <c r="U139" s="639" t="n"/>
      <c r="V139" s="639" t="n"/>
      <c r="W139" s="636" t="n"/>
      <c r="X139" s="636" t="n"/>
      <c r="Y139" s="636" t="n"/>
      <c r="Z139" s="636" t="n"/>
      <c r="AA139" s="636" t="n"/>
      <c r="AB139" s="636" t="n"/>
      <c r="AC139" s="636" t="n"/>
      <c r="AD139" s="636" t="n"/>
      <c r="AE139" s="636" t="n"/>
      <c r="AF139" s="636" t="n"/>
      <c r="AG139" s="636" t="n"/>
      <c r="AH139" s="636" t="n"/>
      <c r="AI139" s="636" t="n"/>
      <c r="AJ139" s="636" t="n"/>
      <c r="AK139" s="636" t="n"/>
    </row>
    <row r="140">
      <c r="A140" s="636" t="inlineStr">
        <is>
          <t>비산동</t>
        </is>
      </c>
      <c r="B140" s="636" t="n"/>
      <c r="C140" s="636" t="n"/>
      <c r="D140" s="636" t="n">
        <v>124780</v>
      </c>
      <c r="E140" s="637" t="inlineStr">
        <is>
          <t>평촌자이아이파크</t>
        </is>
      </c>
      <c r="F140" s="636" t="n">
        <v>2021.12</v>
      </c>
      <c r="G140" s="636" t="n">
        <v>2737</v>
      </c>
      <c r="H140" s="636">
        <f>2026-INT(F140)+1</f>
        <v/>
      </c>
      <c r="I140" s="636" t="n"/>
      <c r="J140" s="636" t="n">
        <v>99</v>
      </c>
      <c r="K140" s="636" t="n">
        <v>75</v>
      </c>
      <c r="L140" s="636" t="n">
        <v>30</v>
      </c>
      <c r="M140" s="636" t="inlineStr">
        <is>
          <t>계단식</t>
        </is>
      </c>
      <c r="N140" s="636" t="n">
        <v>3</v>
      </c>
      <c r="O140" s="636" t="n">
        <v>2</v>
      </c>
      <c r="P140" s="636" t="n">
        <v>384</v>
      </c>
      <c r="Q140" s="636" t="n"/>
      <c r="R140" s="636" t="n"/>
      <c r="S140" s="636" t="n"/>
      <c r="T140" s="636" t="n"/>
      <c r="U140" s="636" t="n"/>
      <c r="V140" s="636" t="n"/>
      <c r="W140" s="636" t="n"/>
      <c r="X140" s="636" t="n"/>
      <c r="Y140" s="636" t="n"/>
      <c r="Z140" s="636" t="n"/>
      <c r="AA140" s="636" t="n"/>
      <c r="AB140" s="636" t="n"/>
      <c r="AC140" s="636" t="n"/>
      <c r="AD140" s="636" t="n"/>
      <c r="AE140" s="636" t="n"/>
      <c r="AF140" s="636" t="n"/>
      <c r="AG140" s="636" t="n"/>
      <c r="AH140" s="636" t="n"/>
      <c r="AI140" s="636" t="n"/>
      <c r="AJ140" s="636" t="n"/>
      <c r="AK140" s="636" t="n"/>
    </row>
    <row r="141">
      <c r="A141" s="636" t="inlineStr">
        <is>
          <t>비산동</t>
        </is>
      </c>
      <c r="B141" s="636" t="n"/>
      <c r="C141" s="636" t="n"/>
      <c r="D141" s="636" t="n">
        <v>124780</v>
      </c>
      <c r="E141" s="637" t="inlineStr">
        <is>
          <t>평촌자이아이파크</t>
        </is>
      </c>
      <c r="F141" s="636" t="n">
        <v>2021.12</v>
      </c>
      <c r="G141" s="636" t="n">
        <v>2737</v>
      </c>
      <c r="H141" s="636">
        <f>2026-INT(F141)+1</f>
        <v/>
      </c>
      <c r="I141" s="636" t="n"/>
      <c r="J141" s="636" t="n">
        <v>112</v>
      </c>
      <c r="K141" s="636" t="n">
        <v>84</v>
      </c>
      <c r="L141" s="636" t="n">
        <v>34</v>
      </c>
      <c r="M141" s="636" t="inlineStr">
        <is>
          <t>계단식</t>
        </is>
      </c>
      <c r="N141" s="636" t="n">
        <v>4</v>
      </c>
      <c r="O141" s="636" t="n">
        <v>2</v>
      </c>
      <c r="P141" s="636" t="n">
        <v>430</v>
      </c>
      <c r="Q141" s="636" t="n"/>
      <c r="R141" s="636" t="n"/>
      <c r="S141" s="636" t="n"/>
      <c r="T141" s="636" t="n"/>
      <c r="U141" s="636" t="n"/>
      <c r="V141" s="636" t="n"/>
      <c r="W141" s="636" t="n"/>
      <c r="X141" s="636" t="n"/>
      <c r="Y141" s="636" t="n"/>
      <c r="Z141" s="636" t="n"/>
      <c r="AA141" s="636" t="n"/>
      <c r="AB141" s="636" t="n"/>
      <c r="AC141" s="636" t="n"/>
      <c r="AD141" s="636" t="n"/>
      <c r="AE141" s="636" t="n"/>
      <c r="AF141" s="636" t="n"/>
      <c r="AG141" s="636" t="n"/>
      <c r="AH141" s="636" t="n"/>
      <c r="AI141" s="636" t="n"/>
      <c r="AJ141" s="636" t="n"/>
      <c r="AK141" s="636" t="n"/>
    </row>
    <row r="142">
      <c r="A142" s="636" t="inlineStr">
        <is>
          <t>비산동</t>
        </is>
      </c>
      <c r="B142" s="636" t="n"/>
      <c r="C142" s="636" t="n"/>
      <c r="D142" s="636" t="n">
        <v>124780</v>
      </c>
      <c r="E142" s="637" t="inlineStr">
        <is>
          <t>평촌자이아이파크</t>
        </is>
      </c>
      <c r="F142" s="636" t="n">
        <v>2021.12</v>
      </c>
      <c r="G142" s="636" t="n">
        <v>2737</v>
      </c>
      <c r="H142" s="636">
        <f>2026-INT(F142)+1</f>
        <v/>
      </c>
      <c r="I142" s="636" t="n"/>
      <c r="J142" s="636" t="n">
        <v>112</v>
      </c>
      <c r="K142" s="636" t="n">
        <v>84</v>
      </c>
      <c r="L142" s="636" t="n">
        <v>34</v>
      </c>
      <c r="M142" s="636" t="inlineStr">
        <is>
          <t>계단식</t>
        </is>
      </c>
      <c r="N142" s="636" t="n">
        <v>3</v>
      </c>
      <c r="O142" s="636" t="n">
        <v>2</v>
      </c>
      <c r="P142" s="636" t="n">
        <v>189</v>
      </c>
      <c r="Q142" s="636" t="n"/>
      <c r="R142" s="636" t="n"/>
      <c r="S142" s="636" t="n"/>
      <c r="T142" s="636" t="n"/>
      <c r="U142" s="636" t="n"/>
      <c r="V142" s="636" t="n"/>
      <c r="W142" s="636" t="n"/>
      <c r="X142" s="636" t="n"/>
      <c r="Y142" s="636" t="n"/>
      <c r="Z142" s="636" t="n"/>
      <c r="AA142" s="636" t="n"/>
      <c r="AB142" s="636" t="n"/>
      <c r="AC142" s="636" t="n"/>
      <c r="AD142" s="636" t="n"/>
      <c r="AE142" s="636" t="n"/>
      <c r="AF142" s="636" t="n"/>
      <c r="AG142" s="636" t="n"/>
      <c r="AH142" s="636" t="n"/>
      <c r="AI142" s="636" t="n"/>
      <c r="AJ142" s="636" t="n"/>
      <c r="AK142" s="636" t="n"/>
    </row>
    <row r="143">
      <c r="A143" s="636" t="inlineStr">
        <is>
          <t>비산동</t>
        </is>
      </c>
      <c r="B143" s="636" t="n"/>
      <c r="C143" s="636" t="n"/>
      <c r="D143" s="636" t="n">
        <v>124780</v>
      </c>
      <c r="E143" s="637" t="inlineStr">
        <is>
          <t>평촌자이아이파크</t>
        </is>
      </c>
      <c r="F143" s="636" t="n">
        <v>2021.12</v>
      </c>
      <c r="G143" s="636" t="n">
        <v>2737</v>
      </c>
      <c r="H143" s="636">
        <f>2026-INT(F143)+1</f>
        <v/>
      </c>
      <c r="I143" s="636" t="n"/>
      <c r="J143" s="636" t="n">
        <v>131</v>
      </c>
      <c r="K143" s="636" t="n">
        <v>102</v>
      </c>
      <c r="L143" s="636" t="n">
        <v>40</v>
      </c>
      <c r="M143" s="636" t="inlineStr">
        <is>
          <t>계단식</t>
        </is>
      </c>
      <c r="N143" s="636" t="n">
        <v>4</v>
      </c>
      <c r="O143" s="636" t="n">
        <v>2</v>
      </c>
      <c r="P143" s="636" t="n">
        <v>102</v>
      </c>
      <c r="Q143" s="636" t="n"/>
      <c r="R143" s="636" t="n"/>
      <c r="S143" s="636" t="n"/>
      <c r="T143" s="636" t="n"/>
      <c r="U143" s="636" t="n"/>
      <c r="V143" s="636" t="n"/>
      <c r="W143" s="636" t="n"/>
      <c r="X143" s="636" t="n"/>
      <c r="Y143" s="636" t="n"/>
      <c r="Z143" s="636" t="n"/>
      <c r="AA143" s="636" t="n"/>
      <c r="AB143" s="636" t="n"/>
      <c r="AC143" s="636" t="n"/>
      <c r="AD143" s="636" t="n"/>
      <c r="AE143" s="636" t="n"/>
      <c r="AF143" s="636" t="n"/>
      <c r="AG143" s="636" t="n"/>
      <c r="AH143" s="636" t="n"/>
      <c r="AI143" s="636" t="n"/>
      <c r="AJ143" s="636" t="n"/>
      <c r="AK143" s="636" t="n"/>
    </row>
    <row r="144">
      <c r="A144" t="inlineStr">
        <is>
          <t>비산동</t>
        </is>
      </c>
      <c r="D144" t="n">
        <v>126337</v>
      </c>
      <c r="E144" s="638" t="inlineStr">
        <is>
          <t>한양수자인평촌리버뷰</t>
        </is>
      </c>
      <c r="F144" t="n">
        <v>2021.11</v>
      </c>
      <c r="G144" t="n">
        <v>304</v>
      </c>
      <c r="H144">
        <f>2026-INT(F144)+1</f>
        <v/>
      </c>
      <c r="J144" t="n">
        <v>63</v>
      </c>
      <c r="K144" t="n">
        <v>47</v>
      </c>
      <c r="L144" t="n">
        <v>19</v>
      </c>
      <c r="M144" t="inlineStr">
        <is>
          <t>계단식</t>
        </is>
      </c>
      <c r="N144" t="n">
        <v>2</v>
      </c>
      <c r="O144" t="n">
        <v>1</v>
      </c>
      <c r="P144" t="n">
        <v>30</v>
      </c>
    </row>
    <row r="145">
      <c r="A145" t="inlineStr">
        <is>
          <t>비산동</t>
        </is>
      </c>
      <c r="D145" t="n">
        <v>126337</v>
      </c>
      <c r="E145" s="638" t="inlineStr">
        <is>
          <t>한양수자인평촌리버뷰</t>
        </is>
      </c>
      <c r="F145" t="n">
        <v>2021.11</v>
      </c>
      <c r="G145" t="n">
        <v>304</v>
      </c>
      <c r="H145">
        <f>2026-INT(F145)+1</f>
        <v/>
      </c>
      <c r="J145" t="n">
        <v>73</v>
      </c>
      <c r="K145" t="n">
        <v>51</v>
      </c>
      <c r="L145" t="n">
        <v>22</v>
      </c>
      <c r="M145" t="inlineStr">
        <is>
          <t>계단식</t>
        </is>
      </c>
      <c r="N145" t="n">
        <v>2</v>
      </c>
      <c r="O145" t="n">
        <v>2</v>
      </c>
      <c r="P145" t="n">
        <v>181</v>
      </c>
    </row>
    <row r="146">
      <c r="A146" t="inlineStr">
        <is>
          <t>비산동</t>
        </is>
      </c>
      <c r="D146" t="n">
        <v>126337</v>
      </c>
      <c r="E146" s="638" t="inlineStr">
        <is>
          <t>한양수자인평촌리버뷰</t>
        </is>
      </c>
      <c r="F146" t="n">
        <v>2021.11</v>
      </c>
      <c r="G146" t="n">
        <v>304</v>
      </c>
      <c r="H146">
        <f>2026-INT(F146)+1</f>
        <v/>
      </c>
      <c r="J146" t="n">
        <v>82</v>
      </c>
      <c r="K146" t="n">
        <v>59</v>
      </c>
      <c r="L146" t="n">
        <v>25</v>
      </c>
      <c r="M146" t="inlineStr">
        <is>
          <t>계단식</t>
        </is>
      </c>
      <c r="N146" t="n">
        <v>3</v>
      </c>
      <c r="O146" t="n">
        <v>2</v>
      </c>
      <c r="P146" t="n">
        <v>93</v>
      </c>
    </row>
    <row r="147">
      <c r="A147" s="636" t="inlineStr">
        <is>
          <t>비산동</t>
        </is>
      </c>
      <c r="B147" s="636" t="n"/>
      <c r="C147" s="636" t="n"/>
      <c r="D147" s="636" t="n">
        <v>127903</v>
      </c>
      <c r="E147" s="637" t="inlineStr">
        <is>
          <t>힐스테이트비산파크뷰</t>
        </is>
      </c>
      <c r="F147" s="636" t="n">
        <v>2022.04</v>
      </c>
      <c r="G147" s="636" t="n">
        <v>303</v>
      </c>
      <c r="H147" s="636">
        <f>2026-INT(F147)+1</f>
        <v/>
      </c>
      <c r="I147" s="636" t="n"/>
      <c r="J147" s="636" t="n">
        <v>84</v>
      </c>
      <c r="K147" s="636" t="n">
        <v>59</v>
      </c>
      <c r="L147" s="636" t="n">
        <v>25</v>
      </c>
      <c r="M147" s="636" t="inlineStr">
        <is>
          <t>계단식</t>
        </is>
      </c>
      <c r="N147" s="636" t="n">
        <v>3</v>
      </c>
      <c r="O147" s="636" t="n">
        <v>2</v>
      </c>
      <c r="P147" s="636" t="n">
        <v>153</v>
      </c>
      <c r="Q147" s="636" t="n"/>
      <c r="R147" s="636" t="n"/>
      <c r="S147" s="636" t="n"/>
      <c r="T147" s="636" t="n"/>
      <c r="U147" s="636" t="n"/>
      <c r="V147" s="636" t="n"/>
      <c r="W147" s="636" t="n"/>
      <c r="X147" s="636" t="n"/>
      <c r="Y147" s="636" t="n"/>
      <c r="Z147" s="636" t="n"/>
      <c r="AA147" s="636" t="n"/>
      <c r="AB147" s="636" t="n"/>
      <c r="AC147" s="636" t="n"/>
      <c r="AD147" s="636" t="n"/>
      <c r="AE147" s="636" t="n"/>
      <c r="AF147" s="636" t="n"/>
      <c r="AG147" s="636" t="n"/>
      <c r="AH147" s="636" t="n"/>
      <c r="AI147" s="636" t="n"/>
      <c r="AJ147" s="636" t="n"/>
      <c r="AK147" s="636" t="n"/>
    </row>
    <row r="148">
      <c r="A148" s="636" t="inlineStr">
        <is>
          <t>비산동</t>
        </is>
      </c>
      <c r="B148" s="636" t="n"/>
      <c r="C148" s="636" t="n"/>
      <c r="D148" s="636" t="n">
        <v>127903</v>
      </c>
      <c r="E148" s="637" t="inlineStr">
        <is>
          <t>힐스테이트비산파크뷰</t>
        </is>
      </c>
      <c r="F148" s="636" t="n">
        <v>2022.04</v>
      </c>
      <c r="G148" s="636" t="n">
        <v>303</v>
      </c>
      <c r="H148" s="636">
        <f>2026-INT(F148)+1</f>
        <v/>
      </c>
      <c r="I148" s="636" t="n"/>
      <c r="J148" s="636" t="n">
        <v>107</v>
      </c>
      <c r="K148" s="636" t="n">
        <v>76</v>
      </c>
      <c r="L148" s="636" t="n">
        <v>32</v>
      </c>
      <c r="M148" s="636" t="inlineStr">
        <is>
          <t>계단식</t>
        </is>
      </c>
      <c r="N148" s="636" t="n">
        <v>3</v>
      </c>
      <c r="O148" s="636" t="n">
        <v>2</v>
      </c>
      <c r="P148" s="636" t="n">
        <v>150</v>
      </c>
      <c r="Q148" s="636" t="n"/>
      <c r="R148" s="636" t="n"/>
      <c r="S148" s="636" t="n"/>
      <c r="T148" s="636" t="n"/>
      <c r="U148" s="636" t="n"/>
      <c r="V148" s="636" t="n"/>
      <c r="W148" s="636" t="n"/>
      <c r="X148" s="636" t="n"/>
      <c r="Y148" s="636" t="n"/>
      <c r="Z148" s="636" t="n"/>
      <c r="AA148" s="636" t="n"/>
      <c r="AB148" s="636" t="n"/>
      <c r="AC148" s="636" t="n"/>
      <c r="AD148" s="636" t="n"/>
      <c r="AE148" s="636" t="n"/>
      <c r="AF148" s="636" t="n"/>
      <c r="AG148" s="636" t="n"/>
      <c r="AH148" s="636" t="n"/>
      <c r="AI148" s="636" t="n"/>
      <c r="AJ148" s="636" t="n"/>
      <c r="AK148" s="636" t="n"/>
    </row>
    <row r="149">
      <c r="A149" s="458" t="inlineStr">
        <is>
          <t>평촌동</t>
        </is>
      </c>
      <c r="D149" s="458" t="n">
        <v>8626</v>
      </c>
      <c r="E149" s="638" t="inlineStr">
        <is>
          <t>귀인마을현대홈타운</t>
        </is>
      </c>
      <c r="F149" s="458" t="n">
        <v>2002.06</v>
      </c>
      <c r="G149" s="458" t="n">
        <v>967</v>
      </c>
      <c r="H149" s="458">
        <f>2026-INT(F149)+1</f>
        <v/>
      </c>
      <c r="J149" s="458" t="n">
        <v>81</v>
      </c>
      <c r="K149" s="458" t="n">
        <v>56</v>
      </c>
      <c r="L149" s="458" t="n">
        <v>25</v>
      </c>
      <c r="M149" s="458" t="inlineStr">
        <is>
          <t>계단식</t>
        </is>
      </c>
      <c r="N149" s="458" t="n">
        <v>3</v>
      </c>
      <c r="O149" s="458" t="n">
        <v>1</v>
      </c>
      <c r="P149" s="458" t="n">
        <v>182</v>
      </c>
      <c r="U149" s="458" t="n"/>
      <c r="V149" s="458" t="n"/>
    </row>
    <row r="150">
      <c r="A150" s="458" t="inlineStr">
        <is>
          <t>평촌동</t>
        </is>
      </c>
      <c r="D150" s="458" t="n">
        <v>8626</v>
      </c>
      <c r="E150" s="638" t="inlineStr">
        <is>
          <t>귀인마을현대홈타운</t>
        </is>
      </c>
      <c r="F150" s="458" t="n">
        <v>2002.06</v>
      </c>
      <c r="G150" s="458" t="n">
        <v>967</v>
      </c>
      <c r="H150" s="458">
        <f>2026-INT(F150)+1</f>
        <v/>
      </c>
      <c r="J150" s="458" t="n">
        <v>92</v>
      </c>
      <c r="K150" s="458" t="n">
        <v>65</v>
      </c>
      <c r="L150" s="458" t="n">
        <v>28</v>
      </c>
      <c r="M150" s="458" t="inlineStr">
        <is>
          <t>계단식</t>
        </is>
      </c>
      <c r="N150" s="458" t="n">
        <v>3</v>
      </c>
      <c r="O150" s="458" t="n">
        <v>2</v>
      </c>
      <c r="P150" s="458" t="n">
        <v>25</v>
      </c>
      <c r="U150" s="458" t="n"/>
      <c r="V150" s="458" t="n"/>
    </row>
    <row r="151">
      <c r="A151" s="458" t="inlineStr">
        <is>
          <t>평촌동</t>
        </is>
      </c>
      <c r="D151" s="458" t="n">
        <v>8626</v>
      </c>
      <c r="E151" s="638" t="inlineStr">
        <is>
          <t>귀인마을현대홈타운</t>
        </is>
      </c>
      <c r="F151" s="458" t="n">
        <v>2002.06</v>
      </c>
      <c r="G151" s="458" t="n">
        <v>967</v>
      </c>
      <c r="H151" s="458">
        <f>2026-INT(F151)+1</f>
        <v/>
      </c>
      <c r="J151" s="458" t="n">
        <v>109</v>
      </c>
      <c r="K151" s="458" t="n">
        <v>80</v>
      </c>
      <c r="L151" s="458" t="n">
        <v>33</v>
      </c>
      <c r="M151" s="458" t="inlineStr">
        <is>
          <t>계단식</t>
        </is>
      </c>
      <c r="N151" s="458" t="n">
        <v>3</v>
      </c>
      <c r="O151" s="458" t="n">
        <v>2</v>
      </c>
      <c r="P151" s="458" t="n">
        <v>760</v>
      </c>
      <c r="U151" s="458" t="n"/>
      <c r="V151" s="458" t="n"/>
    </row>
    <row r="152">
      <c r="A152" s="639" t="inlineStr">
        <is>
          <t>평촌동</t>
        </is>
      </c>
      <c r="B152" s="636" t="n"/>
      <c r="C152" s="636" t="n"/>
      <c r="D152" s="639" t="n">
        <v>1446</v>
      </c>
      <c r="E152" s="637" t="inlineStr">
        <is>
          <t>꿈건영3단지</t>
        </is>
      </c>
      <c r="F152" s="639" t="n">
        <v>1994.04</v>
      </c>
      <c r="G152" s="639" t="n">
        <v>386</v>
      </c>
      <c r="H152" s="639">
        <f>2026-INT(F152)+1</f>
        <v/>
      </c>
      <c r="I152" s="636" t="n"/>
      <c r="J152" s="639" t="n">
        <v>123</v>
      </c>
      <c r="K152" s="639" t="n">
        <v>102</v>
      </c>
      <c r="L152" s="639" t="n">
        <v>37</v>
      </c>
      <c r="M152" s="639" t="inlineStr">
        <is>
          <t>계단식</t>
        </is>
      </c>
      <c r="N152" s="639" t="n">
        <v>4</v>
      </c>
      <c r="O152" s="639" t="n">
        <v>2</v>
      </c>
      <c r="P152" s="639" t="n">
        <v>264</v>
      </c>
      <c r="Q152" s="636" t="n"/>
      <c r="R152" s="636" t="n"/>
      <c r="S152" s="636" t="n"/>
      <c r="T152" s="636" t="n"/>
      <c r="U152" s="639" t="n"/>
      <c r="V152" s="639" t="n"/>
      <c r="W152" s="636" t="n"/>
      <c r="X152" s="636" t="n"/>
      <c r="Y152" s="636" t="n"/>
      <c r="Z152" s="636" t="n"/>
      <c r="AA152" s="636" t="n"/>
      <c r="AB152" s="636" t="n"/>
      <c r="AC152" s="636" t="n"/>
      <c r="AD152" s="636" t="n"/>
      <c r="AE152" s="636" t="n"/>
      <c r="AF152" s="636" t="n"/>
      <c r="AG152" s="636" t="n"/>
      <c r="AH152" s="636" t="n"/>
      <c r="AI152" s="636" t="n"/>
      <c r="AJ152" s="636" t="n"/>
      <c r="AK152" s="636" t="n"/>
    </row>
    <row r="153">
      <c r="A153" s="639" t="inlineStr">
        <is>
          <t>평촌동</t>
        </is>
      </c>
      <c r="B153" s="636" t="n"/>
      <c r="C153" s="636" t="n"/>
      <c r="D153" s="639" t="n">
        <v>1446</v>
      </c>
      <c r="E153" s="637" t="inlineStr">
        <is>
          <t>꿈건영3단지</t>
        </is>
      </c>
      <c r="F153" s="639" t="n">
        <v>1994.04</v>
      </c>
      <c r="G153" s="639" t="n">
        <v>386</v>
      </c>
      <c r="H153" s="639">
        <f>2026-INT(F153)+1</f>
        <v/>
      </c>
      <c r="I153" s="636" t="n"/>
      <c r="J153" s="639" t="n">
        <v>157</v>
      </c>
      <c r="K153" s="639" t="n">
        <v>133</v>
      </c>
      <c r="L153" s="639" t="n">
        <v>47</v>
      </c>
      <c r="M153" s="639" t="inlineStr">
        <is>
          <t>계단식</t>
        </is>
      </c>
      <c r="N153" s="639" t="n">
        <v>4</v>
      </c>
      <c r="O153" s="639" t="n">
        <v>2</v>
      </c>
      <c r="P153" s="639" t="n">
        <v>74</v>
      </c>
      <c r="Q153" s="636" t="n"/>
      <c r="R153" s="636" t="n"/>
      <c r="S153" s="636" t="n"/>
      <c r="T153" s="636" t="n"/>
      <c r="U153" s="639" t="n"/>
      <c r="V153" s="639" t="n"/>
      <c r="W153" s="636" t="n"/>
      <c r="X153" s="636" t="n"/>
      <c r="Y153" s="636" t="n"/>
      <c r="Z153" s="636" t="n"/>
      <c r="AA153" s="636" t="n"/>
      <c r="AB153" s="636" t="n"/>
      <c r="AC153" s="636" t="n"/>
      <c r="AD153" s="636" t="n"/>
      <c r="AE153" s="636" t="n"/>
      <c r="AF153" s="636" t="n"/>
      <c r="AG153" s="636" t="n"/>
      <c r="AH153" s="636" t="n"/>
      <c r="AI153" s="636" t="n"/>
      <c r="AJ153" s="636" t="n"/>
      <c r="AK153" s="636" t="n"/>
    </row>
    <row r="154">
      <c r="A154" s="639" t="inlineStr">
        <is>
          <t>평촌동</t>
        </is>
      </c>
      <c r="B154" s="636" t="n"/>
      <c r="C154" s="636" t="n"/>
      <c r="D154" s="639" t="n">
        <v>1446</v>
      </c>
      <c r="E154" s="637" t="inlineStr">
        <is>
          <t>꿈건영3단지</t>
        </is>
      </c>
      <c r="F154" s="639" t="n">
        <v>1994.04</v>
      </c>
      <c r="G154" s="639" t="n">
        <v>386</v>
      </c>
      <c r="H154" s="639">
        <f>2026-INT(F154)+1</f>
        <v/>
      </c>
      <c r="I154" s="636" t="n"/>
      <c r="J154" s="639" t="n">
        <v>167</v>
      </c>
      <c r="K154" s="639" t="n">
        <v>145</v>
      </c>
      <c r="L154" s="639" t="n">
        <v>51</v>
      </c>
      <c r="M154" s="639" t="inlineStr">
        <is>
          <t>계단식</t>
        </is>
      </c>
      <c r="N154" s="639" t="n">
        <v>5</v>
      </c>
      <c r="O154" s="639" t="n">
        <v>2</v>
      </c>
      <c r="P154" s="639" t="n">
        <v>48</v>
      </c>
      <c r="Q154" s="636" t="n"/>
      <c r="R154" s="636" t="n"/>
      <c r="S154" s="636" t="n"/>
      <c r="T154" s="636" t="n"/>
      <c r="U154" s="639" t="n"/>
      <c r="V154" s="639" t="n"/>
      <c r="W154" s="636" t="n"/>
      <c r="X154" s="636" t="n"/>
      <c r="Y154" s="636" t="n"/>
      <c r="Z154" s="636" t="n"/>
      <c r="AA154" s="636" t="n"/>
      <c r="AB154" s="636" t="n"/>
      <c r="AC154" s="636" t="n"/>
      <c r="AD154" s="636" t="n"/>
      <c r="AE154" s="636" t="n"/>
      <c r="AF154" s="636" t="n"/>
      <c r="AG154" s="636" t="n"/>
      <c r="AH154" s="636" t="n"/>
      <c r="AI154" s="636" t="n"/>
      <c r="AJ154" s="636" t="n"/>
      <c r="AK154" s="636" t="n"/>
    </row>
    <row r="155">
      <c r="A155" t="inlineStr">
        <is>
          <t>평촌동</t>
        </is>
      </c>
      <c r="D155" t="n">
        <v>1448</v>
      </c>
      <c r="E155" s="638" t="inlineStr">
        <is>
          <t>꿈금호</t>
        </is>
      </c>
      <c r="F155" t="n">
        <v>1993.09</v>
      </c>
      <c r="G155" t="n">
        <v>250</v>
      </c>
      <c r="H155">
        <f>2026-INT(F155)+1</f>
        <v/>
      </c>
      <c r="J155" t="n">
        <v>123</v>
      </c>
      <c r="K155" t="n">
        <v>101</v>
      </c>
      <c r="L155" t="n">
        <v>37</v>
      </c>
      <c r="M155" t="inlineStr">
        <is>
          <t>계단식</t>
        </is>
      </c>
      <c r="N155" t="n">
        <v>4</v>
      </c>
      <c r="O155" t="n">
        <v>2</v>
      </c>
      <c r="P155" t="n">
        <v>90</v>
      </c>
    </row>
    <row r="156">
      <c r="A156" t="inlineStr">
        <is>
          <t>평촌동</t>
        </is>
      </c>
      <c r="D156" t="n">
        <v>1448</v>
      </c>
      <c r="E156" s="638" t="inlineStr">
        <is>
          <t>꿈금호</t>
        </is>
      </c>
      <c r="F156" t="n">
        <v>1993.09</v>
      </c>
      <c r="G156" t="n">
        <v>250</v>
      </c>
      <c r="H156">
        <f>2026-INT(F156)+1</f>
        <v/>
      </c>
      <c r="J156" t="n">
        <v>157</v>
      </c>
      <c r="K156" t="n">
        <v>133</v>
      </c>
      <c r="L156" t="n">
        <v>47</v>
      </c>
      <c r="M156" t="inlineStr">
        <is>
          <t>계단식</t>
        </is>
      </c>
      <c r="N156" t="n">
        <v>4</v>
      </c>
      <c r="O156" t="n">
        <v>2</v>
      </c>
      <c r="P156" t="n">
        <v>160</v>
      </c>
    </row>
    <row r="157">
      <c r="A157" s="636" t="inlineStr">
        <is>
          <t>평촌동</t>
        </is>
      </c>
      <c r="B157" s="636" t="n"/>
      <c r="C157" s="636" t="n"/>
      <c r="D157" s="636" t="n">
        <v>1449</v>
      </c>
      <c r="E157" s="637" t="inlineStr">
        <is>
          <t>꿈동아</t>
        </is>
      </c>
      <c r="F157" s="636" t="n">
        <v>1994.04</v>
      </c>
      <c r="G157" s="636" t="n">
        <v>372</v>
      </c>
      <c r="H157" s="636">
        <f>2026-INT(F157)+1</f>
        <v/>
      </c>
      <c r="I157" s="636" t="n"/>
      <c r="J157" s="636" t="n">
        <v>126</v>
      </c>
      <c r="K157" s="636" t="n">
        <v>101</v>
      </c>
      <c r="L157" s="636" t="n">
        <v>38</v>
      </c>
      <c r="M157" s="636" t="inlineStr">
        <is>
          <t>계단식</t>
        </is>
      </c>
      <c r="N157" s="636" t="n">
        <v>4</v>
      </c>
      <c r="O157" s="636" t="n">
        <v>2</v>
      </c>
      <c r="P157" s="636" t="n">
        <v>170</v>
      </c>
      <c r="Q157" s="636" t="n"/>
      <c r="R157" s="636" t="n"/>
      <c r="S157" s="636" t="n"/>
      <c r="T157" s="636" t="n"/>
      <c r="U157" s="636" t="n"/>
      <c r="V157" s="636" t="n"/>
      <c r="W157" s="636" t="n"/>
      <c r="X157" s="636" t="n"/>
      <c r="Y157" s="636" t="n"/>
      <c r="Z157" s="636" t="n"/>
      <c r="AA157" s="636" t="n"/>
      <c r="AB157" s="636" t="n"/>
      <c r="AC157" s="636" t="n"/>
      <c r="AD157" s="636" t="n"/>
      <c r="AE157" s="636" t="n"/>
      <c r="AF157" s="636" t="n"/>
      <c r="AG157" s="636" t="n"/>
      <c r="AH157" s="636" t="n"/>
      <c r="AI157" s="636" t="n"/>
      <c r="AJ157" s="636" t="n"/>
      <c r="AK157" s="636" t="n"/>
    </row>
    <row r="158">
      <c r="A158" s="636" t="inlineStr">
        <is>
          <t>평촌동</t>
        </is>
      </c>
      <c r="B158" s="636" t="n"/>
      <c r="C158" s="636" t="n"/>
      <c r="D158" s="636" t="n">
        <v>1449</v>
      </c>
      <c r="E158" s="637" t="inlineStr">
        <is>
          <t>꿈동아</t>
        </is>
      </c>
      <c r="F158" s="636" t="n">
        <v>1994.04</v>
      </c>
      <c r="G158" s="636" t="n">
        <v>372</v>
      </c>
      <c r="H158" s="636">
        <f>2026-INT(F158)+1</f>
        <v/>
      </c>
      <c r="I158" s="636" t="n"/>
      <c r="J158" s="636" t="n">
        <v>157</v>
      </c>
      <c r="K158" s="636" t="n">
        <v>130</v>
      </c>
      <c r="L158" s="636" t="n">
        <v>47</v>
      </c>
      <c r="M158" s="636" t="inlineStr">
        <is>
          <t>계단식</t>
        </is>
      </c>
      <c r="N158" s="636" t="n">
        <v>4</v>
      </c>
      <c r="O158" s="636" t="n">
        <v>2</v>
      </c>
      <c r="P158" s="636" t="n">
        <v>202</v>
      </c>
      <c r="Q158" s="636" t="n"/>
      <c r="R158" s="636" t="n"/>
      <c r="S158" s="636" t="n"/>
      <c r="T158" s="636" t="n"/>
      <c r="U158" s="636" t="n"/>
      <c r="V158" s="636" t="n"/>
      <c r="W158" s="636" t="n"/>
      <c r="X158" s="636" t="n"/>
      <c r="Y158" s="636" t="n"/>
      <c r="Z158" s="636" t="n"/>
      <c r="AA158" s="636" t="n"/>
      <c r="AB158" s="636" t="n"/>
      <c r="AC158" s="636" t="n"/>
      <c r="AD158" s="636" t="n"/>
      <c r="AE158" s="636" t="n"/>
      <c r="AF158" s="636" t="n"/>
      <c r="AG158" s="636" t="n"/>
      <c r="AH158" s="636" t="n"/>
      <c r="AI158" s="636" t="n"/>
      <c r="AJ158" s="636" t="n"/>
      <c r="AK158" s="636" t="n"/>
    </row>
    <row r="159">
      <c r="A159" s="458" t="inlineStr">
        <is>
          <t>평촌동</t>
        </is>
      </c>
      <c r="D159" s="458" t="n">
        <v>1450</v>
      </c>
      <c r="E159" s="638" t="inlineStr">
        <is>
          <t>꿈라이프</t>
        </is>
      </c>
      <c r="F159" s="458" t="n">
        <v>1992.09</v>
      </c>
      <c r="G159" s="458" t="n">
        <v>548</v>
      </c>
      <c r="H159" s="458">
        <f>2026-INT(F159)+1</f>
        <v/>
      </c>
      <c r="J159" s="458" t="n">
        <v>107</v>
      </c>
      <c r="K159" s="458" t="n">
        <v>85</v>
      </c>
      <c r="L159" s="458" t="n">
        <v>32</v>
      </c>
      <c r="M159" s="458" t="inlineStr">
        <is>
          <t>계단식</t>
        </is>
      </c>
      <c r="N159" s="458" t="n">
        <v>3</v>
      </c>
      <c r="O159" s="458" t="n">
        <v>2</v>
      </c>
      <c r="P159" s="458" t="n">
        <v>50</v>
      </c>
      <c r="U159" s="458" t="n"/>
      <c r="V159" s="458" t="n"/>
    </row>
    <row r="160">
      <c r="A160" s="458" t="inlineStr">
        <is>
          <t>평촌동</t>
        </is>
      </c>
      <c r="D160" s="458" t="n">
        <v>1450</v>
      </c>
      <c r="E160" s="638" t="inlineStr">
        <is>
          <t>꿈라이프</t>
        </is>
      </c>
      <c r="F160" s="458" t="n">
        <v>1992.09</v>
      </c>
      <c r="G160" s="458" t="n">
        <v>548</v>
      </c>
      <c r="H160" s="458">
        <f>2026-INT(F160)+1</f>
        <v/>
      </c>
      <c r="J160" s="458" t="n">
        <v>107</v>
      </c>
      <c r="K160" s="458" t="n">
        <v>84</v>
      </c>
      <c r="L160" s="458" t="n">
        <v>32</v>
      </c>
      <c r="M160" s="458" t="inlineStr">
        <is>
          <t>계단식</t>
        </is>
      </c>
      <c r="N160" s="458" t="n">
        <v>3</v>
      </c>
      <c r="O160" s="458" t="n">
        <v>2</v>
      </c>
      <c r="P160" s="458" t="n">
        <v>48</v>
      </c>
      <c r="U160" s="458" t="n"/>
      <c r="V160" s="458" t="n"/>
    </row>
    <row r="161">
      <c r="A161" t="inlineStr">
        <is>
          <t>평촌동</t>
        </is>
      </c>
      <c r="D161" t="n">
        <v>1450</v>
      </c>
      <c r="E161" s="638" t="inlineStr">
        <is>
          <t>꿈라이프</t>
        </is>
      </c>
      <c r="F161" t="n">
        <v>1992.09</v>
      </c>
      <c r="G161" t="n">
        <v>548</v>
      </c>
      <c r="H161">
        <f>2026-INT(F161)+1</f>
        <v/>
      </c>
      <c r="J161" t="n">
        <v>128</v>
      </c>
      <c r="K161" t="n">
        <v>110</v>
      </c>
      <c r="L161" t="n">
        <v>39</v>
      </c>
      <c r="M161" t="inlineStr">
        <is>
          <t>계단식</t>
        </is>
      </c>
      <c r="N161" t="n">
        <v>4</v>
      </c>
      <c r="O161" t="n">
        <v>2</v>
      </c>
      <c r="P161" t="n">
        <v>390</v>
      </c>
    </row>
    <row r="162">
      <c r="A162" s="458" t="inlineStr">
        <is>
          <t>평촌동</t>
        </is>
      </c>
      <c r="D162" s="458" t="n">
        <v>1450</v>
      </c>
      <c r="E162" s="638" t="inlineStr">
        <is>
          <t>꿈라이프</t>
        </is>
      </c>
      <c r="F162" s="458" t="n">
        <v>1992.09</v>
      </c>
      <c r="G162" s="458" t="n">
        <v>548</v>
      </c>
      <c r="H162" s="458">
        <f>2026-INT(F162)+1</f>
        <v/>
      </c>
      <c r="J162" s="458" t="n">
        <v>177</v>
      </c>
      <c r="K162" s="458" t="n">
        <v>154</v>
      </c>
      <c r="L162" s="458" t="n">
        <v>54</v>
      </c>
      <c r="M162" s="458" t="inlineStr">
        <is>
          <t>계단식</t>
        </is>
      </c>
      <c r="N162" s="458" t="n">
        <v>5</v>
      </c>
      <c r="O162" s="458" t="n">
        <v>2</v>
      </c>
      <c r="P162" s="458" t="n">
        <v>60</v>
      </c>
      <c r="U162" s="458" t="n"/>
      <c r="V162" s="458" t="n"/>
    </row>
    <row r="163">
      <c r="A163" s="639" t="inlineStr">
        <is>
          <t>평촌동</t>
        </is>
      </c>
      <c r="B163" s="636" t="n"/>
      <c r="C163" s="636" t="n"/>
      <c r="D163" s="639" t="n">
        <v>1451</v>
      </c>
      <c r="E163" s="637" t="inlineStr">
        <is>
          <t>꿈우성</t>
        </is>
      </c>
      <c r="F163" s="639" t="n">
        <v>1993.11</v>
      </c>
      <c r="G163" s="639" t="n">
        <v>422</v>
      </c>
      <c r="H163" s="639">
        <f>2026-INT(F163)+1</f>
        <v/>
      </c>
      <c r="I163" s="636" t="n"/>
      <c r="J163" s="639" t="n">
        <v>121</v>
      </c>
      <c r="K163" s="639" t="n">
        <v>101</v>
      </c>
      <c r="L163" s="639" t="n">
        <v>37</v>
      </c>
      <c r="M163" s="639" t="inlineStr">
        <is>
          <t>계단식</t>
        </is>
      </c>
      <c r="N163" s="639" t="n">
        <v>3</v>
      </c>
      <c r="O163" s="639" t="n">
        <v>2</v>
      </c>
      <c r="P163" s="639" t="n">
        <v>132</v>
      </c>
      <c r="Q163" s="636" t="n"/>
      <c r="R163" s="636" t="n"/>
      <c r="S163" s="636" t="n"/>
      <c r="T163" s="636" t="n"/>
      <c r="U163" s="639" t="n"/>
      <c r="V163" s="639" t="n"/>
      <c r="W163" s="636" t="n"/>
      <c r="X163" s="636" t="n"/>
      <c r="Y163" s="636" t="n"/>
      <c r="Z163" s="636" t="n"/>
      <c r="AA163" s="636" t="n"/>
      <c r="AB163" s="636" t="n"/>
      <c r="AC163" s="636" t="n"/>
      <c r="AD163" s="636" t="n"/>
      <c r="AE163" s="636" t="n"/>
      <c r="AF163" s="636" t="n"/>
      <c r="AG163" s="636" t="n"/>
      <c r="AH163" s="636" t="n"/>
      <c r="AI163" s="636" t="n"/>
      <c r="AJ163" s="636" t="n"/>
      <c r="AK163" s="636" t="n"/>
    </row>
    <row r="164">
      <c r="A164" s="639" t="inlineStr">
        <is>
          <t>평촌동</t>
        </is>
      </c>
      <c r="B164" s="636" t="n"/>
      <c r="C164" s="636" t="n"/>
      <c r="D164" s="639" t="n">
        <v>1451</v>
      </c>
      <c r="E164" s="637" t="inlineStr">
        <is>
          <t>꿈우성</t>
        </is>
      </c>
      <c r="F164" s="639" t="n">
        <v>1993.11</v>
      </c>
      <c r="G164" s="639" t="n">
        <v>422</v>
      </c>
      <c r="H164" s="639">
        <f>2026-INT(F164)+1</f>
        <v/>
      </c>
      <c r="I164" s="636" t="n"/>
      <c r="J164" s="639" t="n">
        <v>155</v>
      </c>
      <c r="K164" s="639" t="n">
        <v>132</v>
      </c>
      <c r="L164" s="639" t="n">
        <v>47</v>
      </c>
      <c r="M164" s="639" t="inlineStr">
        <is>
          <t>계단식</t>
        </is>
      </c>
      <c r="N164" s="639" t="n">
        <v>4</v>
      </c>
      <c r="O164" s="639" t="n">
        <v>2</v>
      </c>
      <c r="P164" s="639" t="n">
        <v>204</v>
      </c>
      <c r="Q164" s="636" t="n"/>
      <c r="R164" s="636" t="n"/>
      <c r="S164" s="636" t="n"/>
      <c r="T164" s="636" t="n"/>
      <c r="U164" s="639" t="n"/>
      <c r="V164" s="639" t="n"/>
      <c r="W164" s="636" t="n"/>
      <c r="X164" s="636" t="n"/>
      <c r="Y164" s="636" t="n"/>
      <c r="Z164" s="636" t="n"/>
      <c r="AA164" s="636" t="n"/>
      <c r="AB164" s="636" t="n"/>
      <c r="AC164" s="636" t="n"/>
      <c r="AD164" s="636" t="n"/>
      <c r="AE164" s="636" t="n"/>
      <c r="AF164" s="636" t="n"/>
      <c r="AG164" s="636" t="n"/>
      <c r="AH164" s="636" t="n"/>
      <c r="AI164" s="636" t="n"/>
      <c r="AJ164" s="636" t="n"/>
      <c r="AK164" s="636" t="n"/>
    </row>
    <row r="165">
      <c r="A165" s="639" t="inlineStr">
        <is>
          <t>평촌동</t>
        </is>
      </c>
      <c r="B165" s="636" t="n"/>
      <c r="C165" s="636" t="n"/>
      <c r="D165" s="639" t="n">
        <v>1451</v>
      </c>
      <c r="E165" s="637" t="inlineStr">
        <is>
          <t>꿈우성</t>
        </is>
      </c>
      <c r="F165" s="639" t="n">
        <v>1993.11</v>
      </c>
      <c r="G165" s="639" t="n">
        <v>422</v>
      </c>
      <c r="H165" s="639">
        <f>2026-INT(F165)+1</f>
        <v/>
      </c>
      <c r="I165" s="636" t="n"/>
      <c r="J165" s="639" t="n">
        <v>184</v>
      </c>
      <c r="K165" s="639" t="n">
        <v>158</v>
      </c>
      <c r="L165" s="639" t="n">
        <v>56</v>
      </c>
      <c r="M165" s="639" t="inlineStr">
        <is>
          <t>계단식</t>
        </is>
      </c>
      <c r="N165" s="639" t="n">
        <v>4</v>
      </c>
      <c r="O165" s="639" t="n">
        <v>2</v>
      </c>
      <c r="P165" s="639" t="n">
        <v>86</v>
      </c>
      <c r="Q165" s="636" t="n"/>
      <c r="R165" s="636" t="n"/>
      <c r="S165" s="636" t="n"/>
      <c r="T165" s="636" t="n"/>
      <c r="U165" s="639" t="n"/>
      <c r="V165" s="639" t="n"/>
      <c r="W165" s="636" t="n"/>
      <c r="X165" s="636" t="n"/>
      <c r="Y165" s="636" t="n"/>
      <c r="Z165" s="636" t="n"/>
      <c r="AA165" s="636" t="n"/>
      <c r="AB165" s="636" t="n"/>
      <c r="AC165" s="636" t="n"/>
      <c r="AD165" s="636" t="n"/>
      <c r="AE165" s="636" t="n"/>
      <c r="AF165" s="636" t="n"/>
      <c r="AG165" s="636" t="n"/>
      <c r="AH165" s="636" t="n"/>
      <c r="AI165" s="636" t="n"/>
      <c r="AJ165" s="636" t="n"/>
      <c r="AK165" s="636" t="n"/>
    </row>
    <row r="166">
      <c r="A166" t="inlineStr">
        <is>
          <t>평촌동</t>
        </is>
      </c>
      <c r="D166" t="n">
        <v>1452</v>
      </c>
      <c r="E166" s="638" t="inlineStr">
        <is>
          <t>꿈한신</t>
        </is>
      </c>
      <c r="F166" t="n">
        <v>1993.08</v>
      </c>
      <c r="G166" t="n">
        <v>566</v>
      </c>
      <c r="H166">
        <f>2026-INT(F166)+1</f>
        <v/>
      </c>
      <c r="J166" t="n">
        <v>119</v>
      </c>
      <c r="K166" t="n">
        <v>96</v>
      </c>
      <c r="L166" t="n">
        <v>36</v>
      </c>
      <c r="M166" t="inlineStr">
        <is>
          <t>계단식</t>
        </is>
      </c>
      <c r="N166" t="n">
        <v>3</v>
      </c>
      <c r="O166" t="n">
        <v>2</v>
      </c>
      <c r="P166" t="n">
        <v>410</v>
      </c>
    </row>
    <row r="167">
      <c r="A167" t="inlineStr">
        <is>
          <t>평촌동</t>
        </is>
      </c>
      <c r="D167" t="n">
        <v>1452</v>
      </c>
      <c r="E167" s="638" t="inlineStr">
        <is>
          <t>꿈한신</t>
        </is>
      </c>
      <c r="F167" t="n">
        <v>1993.08</v>
      </c>
      <c r="G167" t="n">
        <v>566</v>
      </c>
      <c r="H167">
        <f>2026-INT(F167)+1</f>
        <v/>
      </c>
      <c r="J167" t="n">
        <v>145</v>
      </c>
      <c r="K167" t="n">
        <v>117</v>
      </c>
      <c r="L167" t="n">
        <v>44</v>
      </c>
      <c r="M167" t="inlineStr">
        <is>
          <t>계단식</t>
        </is>
      </c>
      <c r="N167" t="n">
        <v>4</v>
      </c>
      <c r="O167" t="n">
        <v>2</v>
      </c>
      <c r="P167" t="n">
        <v>96</v>
      </c>
    </row>
    <row r="168">
      <c r="A168" t="inlineStr">
        <is>
          <t>평촌동</t>
        </is>
      </c>
      <c r="D168" t="n">
        <v>1452</v>
      </c>
      <c r="E168" s="638" t="inlineStr">
        <is>
          <t>꿈한신</t>
        </is>
      </c>
      <c r="F168" t="n">
        <v>1993.08</v>
      </c>
      <c r="G168" t="n">
        <v>566</v>
      </c>
      <c r="H168">
        <f>2026-INT(F168)+1</f>
        <v/>
      </c>
      <c r="J168" t="n">
        <v>201</v>
      </c>
      <c r="K168" t="n">
        <v>172</v>
      </c>
      <c r="L168" t="n">
        <v>61</v>
      </c>
      <c r="M168" t="inlineStr">
        <is>
          <t>계단식</t>
        </is>
      </c>
      <c r="N168" t="n">
        <v>6</v>
      </c>
      <c r="O168" t="n">
        <v>2</v>
      </c>
      <c r="P168" t="n">
        <v>60</v>
      </c>
    </row>
    <row r="169">
      <c r="A169" s="639" t="inlineStr">
        <is>
          <t>평촌동</t>
        </is>
      </c>
      <c r="B169" s="636" t="n"/>
      <c r="C169" s="636" t="n"/>
      <c r="D169" s="639" t="n">
        <v>1453</v>
      </c>
      <c r="E169" s="637" t="inlineStr">
        <is>
          <t>꿈현대</t>
        </is>
      </c>
      <c r="F169" s="639" t="n">
        <v>1993.11</v>
      </c>
      <c r="G169" s="639" t="n">
        <v>386</v>
      </c>
      <c r="H169" s="639">
        <f>2026-INT(F169)+1</f>
        <v/>
      </c>
      <c r="I169" s="636" t="n"/>
      <c r="J169" s="639" t="n">
        <v>120</v>
      </c>
      <c r="K169" s="639" t="n">
        <v>101</v>
      </c>
      <c r="L169" s="639" t="n">
        <v>36</v>
      </c>
      <c r="M169" s="639" t="inlineStr">
        <is>
          <t>계단식</t>
        </is>
      </c>
      <c r="N169" s="639" t="n">
        <v>4</v>
      </c>
      <c r="O169" s="639" t="n">
        <v>2</v>
      </c>
      <c r="P169" s="639" t="n">
        <v>216</v>
      </c>
      <c r="Q169" s="636" t="n"/>
      <c r="R169" s="636" t="n"/>
      <c r="S169" s="636" t="n"/>
      <c r="T169" s="636" t="n"/>
      <c r="U169" s="636" t="n"/>
      <c r="V169" s="636" t="n"/>
      <c r="W169" s="636" t="n"/>
      <c r="X169" s="636" t="n"/>
      <c r="Y169" s="636" t="n"/>
      <c r="Z169" s="636" t="n"/>
      <c r="AA169" s="636" t="n"/>
      <c r="AB169" s="636" t="n"/>
      <c r="AC169" s="636" t="n"/>
      <c r="AD169" s="636" t="n"/>
      <c r="AE169" s="636" t="n"/>
      <c r="AF169" s="636" t="n"/>
      <c r="AG169" s="636" t="n"/>
      <c r="AH169" s="636" t="n"/>
      <c r="AI169" s="636" t="n"/>
      <c r="AJ169" s="636" t="n"/>
      <c r="AK169" s="636" t="n"/>
    </row>
    <row r="170">
      <c r="A170" s="639" t="inlineStr">
        <is>
          <t>평촌동</t>
        </is>
      </c>
      <c r="B170" s="636" t="n"/>
      <c r="C170" s="636" t="n"/>
      <c r="D170" s="639" t="n">
        <v>1453</v>
      </c>
      <c r="E170" s="637" t="inlineStr">
        <is>
          <t>꿈현대</t>
        </is>
      </c>
      <c r="F170" s="639" t="n">
        <v>1993.11</v>
      </c>
      <c r="G170" s="639" t="n">
        <v>386</v>
      </c>
      <c r="H170" s="639">
        <f>2026-INT(F170)+1</f>
        <v/>
      </c>
      <c r="I170" s="636" t="n"/>
      <c r="J170" s="639" t="n">
        <v>157</v>
      </c>
      <c r="K170" s="639" t="n">
        <v>134</v>
      </c>
      <c r="L170" s="639" t="n">
        <v>47</v>
      </c>
      <c r="M170" s="639" t="inlineStr">
        <is>
          <t>계단식</t>
        </is>
      </c>
      <c r="N170" s="639" t="n">
        <v>4</v>
      </c>
      <c r="O170" s="639" t="n">
        <v>2</v>
      </c>
      <c r="P170" s="639" t="n">
        <v>120</v>
      </c>
      <c r="Q170" s="636" t="n"/>
      <c r="R170" s="636" t="n"/>
      <c r="S170" s="636" t="n"/>
      <c r="T170" s="636" t="n"/>
      <c r="U170" s="636" t="n"/>
      <c r="V170" s="636" t="n"/>
      <c r="W170" s="636" t="n"/>
      <c r="X170" s="636" t="n"/>
      <c r="Y170" s="636" t="n"/>
      <c r="Z170" s="636" t="n"/>
      <c r="AA170" s="636" t="n"/>
      <c r="AB170" s="636" t="n"/>
      <c r="AC170" s="636" t="n"/>
      <c r="AD170" s="636" t="n"/>
      <c r="AE170" s="636" t="n"/>
      <c r="AF170" s="636" t="n"/>
      <c r="AG170" s="636" t="n"/>
      <c r="AH170" s="636" t="n"/>
      <c r="AI170" s="636" t="n"/>
      <c r="AJ170" s="636" t="n"/>
      <c r="AK170" s="636" t="n"/>
    </row>
    <row r="171">
      <c r="A171" s="639" t="inlineStr">
        <is>
          <t>평촌동</t>
        </is>
      </c>
      <c r="B171" s="636" t="n"/>
      <c r="C171" s="636" t="n"/>
      <c r="D171" s="639" t="n">
        <v>1453</v>
      </c>
      <c r="E171" s="637" t="inlineStr">
        <is>
          <t>꿈현대</t>
        </is>
      </c>
      <c r="F171" s="639" t="n">
        <v>1993.11</v>
      </c>
      <c r="G171" s="639" t="n">
        <v>386</v>
      </c>
      <c r="H171" s="639">
        <f>2026-INT(F171)+1</f>
        <v/>
      </c>
      <c r="I171" s="636" t="n"/>
      <c r="J171" s="639" t="n">
        <v>217</v>
      </c>
      <c r="K171" s="639" t="n">
        <v>183</v>
      </c>
      <c r="L171" s="639" t="n">
        <v>66</v>
      </c>
      <c r="M171" s="639" t="inlineStr">
        <is>
          <t>계단식</t>
        </is>
      </c>
      <c r="N171" s="639" t="n">
        <v>5</v>
      </c>
      <c r="O171" s="639" t="n">
        <v>2</v>
      </c>
      <c r="P171" s="639" t="n">
        <v>50</v>
      </c>
      <c r="Q171" s="636" t="n"/>
      <c r="R171" s="636" t="n"/>
      <c r="S171" s="636" t="n"/>
      <c r="T171" s="636" t="n"/>
      <c r="U171" s="636" t="n"/>
      <c r="V171" s="636" t="n"/>
      <c r="W171" s="636" t="n"/>
      <c r="X171" s="636" t="n"/>
      <c r="Y171" s="636" t="n"/>
      <c r="Z171" s="636" t="n"/>
      <c r="AA171" s="636" t="n"/>
      <c r="AB171" s="636" t="n"/>
      <c r="AC171" s="636" t="n"/>
      <c r="AD171" s="636" t="n"/>
      <c r="AE171" s="636" t="n"/>
      <c r="AF171" s="636" t="n"/>
      <c r="AG171" s="636" t="n"/>
      <c r="AH171" s="636" t="n"/>
      <c r="AI171" s="636" t="n"/>
      <c r="AJ171" s="636" t="n"/>
      <c r="AK171" s="636" t="n"/>
    </row>
    <row r="172">
      <c r="A172" s="458" t="inlineStr">
        <is>
          <t>평촌동</t>
        </is>
      </c>
      <c r="D172" s="458" t="n">
        <v>8193</v>
      </c>
      <c r="E172" s="638" t="inlineStr">
        <is>
          <t>래미안인덕원더포인트</t>
        </is>
      </c>
      <c r="F172" s="458" t="n">
        <v>2000.05</v>
      </c>
      <c r="G172" s="458" t="n">
        <v>535</v>
      </c>
      <c r="H172" s="458">
        <f>2026-INT(F172)+1</f>
        <v/>
      </c>
      <c r="J172" s="458" t="n">
        <v>81</v>
      </c>
      <c r="K172" s="458" t="n">
        <v>59</v>
      </c>
      <c r="L172" s="458" t="n">
        <v>25</v>
      </c>
      <c r="M172" s="458" t="inlineStr">
        <is>
          <t>계단식</t>
        </is>
      </c>
      <c r="N172" s="458" t="n">
        <v>3</v>
      </c>
      <c r="O172" s="458" t="n">
        <v>1</v>
      </c>
      <c r="P172" s="458" t="n">
        <v>134</v>
      </c>
    </row>
    <row r="173">
      <c r="A173" s="458" t="inlineStr">
        <is>
          <t>평촌동</t>
        </is>
      </c>
      <c r="D173" s="458" t="n">
        <v>8193</v>
      </c>
      <c r="E173" s="638" t="inlineStr">
        <is>
          <t>래미안인덕원더포인트</t>
        </is>
      </c>
      <c r="F173" s="458" t="n">
        <v>2000.05</v>
      </c>
      <c r="G173" s="458" t="n">
        <v>535</v>
      </c>
      <c r="H173" s="458">
        <f>2026-INT(F173)+1</f>
        <v/>
      </c>
      <c r="J173" s="458" t="n">
        <v>109</v>
      </c>
      <c r="K173" s="458" t="n">
        <v>84</v>
      </c>
      <c r="L173" s="458" t="n">
        <v>33</v>
      </c>
      <c r="M173" s="458" t="inlineStr">
        <is>
          <t>계단식</t>
        </is>
      </c>
      <c r="N173" s="458" t="n">
        <v>3</v>
      </c>
      <c r="O173" s="458" t="n">
        <v>2</v>
      </c>
      <c r="P173" s="458" t="n">
        <v>401</v>
      </c>
    </row>
    <row r="174">
      <c r="A174" s="639" t="inlineStr">
        <is>
          <t>평촌동</t>
        </is>
      </c>
      <c r="B174" s="636" t="n"/>
      <c r="C174" s="636" t="n"/>
      <c r="D174" s="639" t="n">
        <v>2805</v>
      </c>
      <c r="E174" s="637" t="inlineStr">
        <is>
          <t>영풍</t>
        </is>
      </c>
      <c r="F174" s="639" t="n">
        <v>2000.04</v>
      </c>
      <c r="G174" s="639" t="n">
        <v>230</v>
      </c>
      <c r="H174" s="639">
        <f>2026-INT(F174)+1</f>
        <v/>
      </c>
      <c r="I174" s="636" t="n"/>
      <c r="J174" s="639" t="n">
        <v>47</v>
      </c>
      <c r="K174" s="639" t="n">
        <v>36</v>
      </c>
      <c r="L174" s="639" t="n">
        <v>14</v>
      </c>
      <c r="M174" s="639" t="inlineStr">
        <is>
          <t>복도식</t>
        </is>
      </c>
      <c r="N174" s="639" t="n">
        <v>1</v>
      </c>
      <c r="O174" s="639" t="n">
        <v>1</v>
      </c>
      <c r="P174" s="639" t="n">
        <v>48</v>
      </c>
      <c r="Q174" s="636" t="n"/>
      <c r="R174" s="636" t="n"/>
      <c r="S174" s="636" t="n"/>
      <c r="T174" s="636" t="n"/>
      <c r="U174" s="636" t="n"/>
      <c r="V174" s="636" t="n"/>
      <c r="W174" s="636" t="n"/>
      <c r="X174" s="636" t="n"/>
      <c r="Y174" s="636" t="n"/>
      <c r="Z174" s="636" t="n"/>
      <c r="AA174" s="636" t="n"/>
      <c r="AB174" s="636" t="n"/>
      <c r="AC174" s="636" t="n"/>
      <c r="AD174" s="636" t="n"/>
      <c r="AE174" s="636" t="n"/>
      <c r="AF174" s="636" t="n"/>
      <c r="AG174" s="636" t="n"/>
      <c r="AH174" s="636" t="n"/>
      <c r="AI174" s="636" t="n"/>
      <c r="AJ174" s="636" t="n"/>
      <c r="AK174" s="636" t="n"/>
    </row>
    <row r="175">
      <c r="A175" s="636" t="inlineStr">
        <is>
          <t>평촌동</t>
        </is>
      </c>
      <c r="B175" s="636" t="n"/>
      <c r="C175" s="636" t="n"/>
      <c r="D175" s="636" t="n">
        <v>2805</v>
      </c>
      <c r="E175" s="637" t="inlineStr">
        <is>
          <t>영풍</t>
        </is>
      </c>
      <c r="F175" s="636" t="n">
        <v>2000.04</v>
      </c>
      <c r="G175" s="636" t="n">
        <v>230</v>
      </c>
      <c r="H175" s="636">
        <f>2026-INT(F175)+1</f>
        <v/>
      </c>
      <c r="I175" s="636" t="n"/>
      <c r="J175" s="636" t="n">
        <v>109</v>
      </c>
      <c r="K175" s="636" t="n">
        <v>84</v>
      </c>
      <c r="L175" s="636" t="n">
        <v>33</v>
      </c>
      <c r="M175" s="636" t="inlineStr">
        <is>
          <t>계단식</t>
        </is>
      </c>
      <c r="N175" s="636" t="n">
        <v>3</v>
      </c>
      <c r="O175" s="636" t="n">
        <v>2</v>
      </c>
      <c r="P175" s="636" t="n">
        <v>182</v>
      </c>
      <c r="Q175" s="636" t="n"/>
      <c r="R175" s="636" t="n"/>
      <c r="S175" s="636" t="n"/>
      <c r="T175" s="636" t="n"/>
      <c r="U175" s="636" t="n"/>
      <c r="V175" s="636" t="n"/>
      <c r="W175" s="636" t="n"/>
      <c r="X175" s="636" t="n"/>
      <c r="Y175" s="636" t="n"/>
      <c r="Z175" s="636" t="n"/>
      <c r="AA175" s="636" t="n"/>
      <c r="AB175" s="636" t="n"/>
      <c r="AC175" s="636" t="n"/>
      <c r="AD175" s="636" t="n"/>
      <c r="AE175" s="636" t="n"/>
      <c r="AF175" s="636" t="n"/>
      <c r="AG175" s="636" t="n"/>
      <c r="AH175" s="636" t="n"/>
      <c r="AI175" s="636" t="n"/>
      <c r="AJ175" s="636" t="n"/>
      <c r="AK175" s="636" t="n"/>
    </row>
    <row r="176">
      <c r="A176" t="inlineStr">
        <is>
          <t>평촌동</t>
        </is>
      </c>
      <c r="D176" t="n">
        <v>8194</v>
      </c>
      <c r="E176" s="638" t="inlineStr">
        <is>
          <t>인덕원대림2차</t>
        </is>
      </c>
      <c r="F176" t="n">
        <v>2004.11</v>
      </c>
      <c r="G176" t="n">
        <v>862</v>
      </c>
      <c r="H176">
        <f>2026-INT(F176)+1</f>
        <v/>
      </c>
      <c r="J176" t="n">
        <v>79</v>
      </c>
      <c r="K176" t="n">
        <v>59</v>
      </c>
      <c r="L176" t="n">
        <v>24</v>
      </c>
      <c r="M176" t="inlineStr">
        <is>
          <t>계단식</t>
        </is>
      </c>
      <c r="N176" t="n">
        <v>3</v>
      </c>
      <c r="O176" t="n">
        <v>2</v>
      </c>
      <c r="P176" t="n">
        <v>157</v>
      </c>
    </row>
    <row r="177">
      <c r="A177" s="458" t="inlineStr">
        <is>
          <t>평촌동</t>
        </is>
      </c>
      <c r="D177" s="458" t="n">
        <v>8194</v>
      </c>
      <c r="E177" s="638" t="inlineStr">
        <is>
          <t>인덕원대림2차</t>
        </is>
      </c>
      <c r="F177" s="458" t="n">
        <v>2004.11</v>
      </c>
      <c r="G177" s="458" t="n">
        <v>862</v>
      </c>
      <c r="H177" s="458">
        <f>2026-INT(F177)+1</f>
        <v/>
      </c>
      <c r="J177" s="458" t="n">
        <v>107</v>
      </c>
      <c r="K177" s="458" t="n">
        <v>84</v>
      </c>
      <c r="L177" s="458" t="n">
        <v>32</v>
      </c>
      <c r="M177" s="458" t="inlineStr">
        <is>
          <t>계단식</t>
        </is>
      </c>
      <c r="N177" s="458" t="n">
        <v>3</v>
      </c>
      <c r="O177" s="458" t="n">
        <v>2</v>
      </c>
      <c r="P177" s="458" t="n">
        <v>705</v>
      </c>
      <c r="U177" s="458" t="n"/>
      <c r="V177" s="458" t="n"/>
    </row>
    <row r="178">
      <c r="A178" s="639" t="inlineStr">
        <is>
          <t>평촌동</t>
        </is>
      </c>
      <c r="B178" s="636" t="n"/>
      <c r="C178" s="636" t="n"/>
      <c r="D178" s="639" t="n">
        <v>8205</v>
      </c>
      <c r="E178" s="637" t="inlineStr">
        <is>
          <t>인덕원센트럴푸르지오</t>
        </is>
      </c>
      <c r="F178" s="639" t="n">
        <v>2001.04</v>
      </c>
      <c r="G178" s="639" t="n">
        <v>1996</v>
      </c>
      <c r="H178" s="639">
        <f>2026-INT(F178)+1</f>
        <v/>
      </c>
      <c r="I178" s="636" t="n"/>
      <c r="J178" s="639" t="n">
        <v>81</v>
      </c>
      <c r="K178" s="639" t="n">
        <v>59</v>
      </c>
      <c r="L178" s="639" t="n">
        <v>25</v>
      </c>
      <c r="M178" s="639" t="inlineStr">
        <is>
          <t>계단식</t>
        </is>
      </c>
      <c r="N178" s="639" t="n">
        <v>3</v>
      </c>
      <c r="O178" s="639" t="n">
        <v>2</v>
      </c>
      <c r="P178" s="639" t="n">
        <v>236</v>
      </c>
      <c r="Q178" s="636" t="n"/>
      <c r="R178" s="636" t="n"/>
      <c r="S178" s="636" t="n"/>
      <c r="T178" s="636" t="n"/>
      <c r="U178" s="639" t="n"/>
      <c r="V178" s="639" t="n"/>
      <c r="W178" s="636" t="n"/>
      <c r="X178" s="636" t="n"/>
      <c r="Y178" s="636" t="n"/>
      <c r="Z178" s="636" t="n"/>
      <c r="AA178" s="636" t="n"/>
      <c r="AB178" s="636" t="n"/>
      <c r="AC178" s="636" t="n"/>
      <c r="AD178" s="636" t="n"/>
      <c r="AE178" s="636" t="n"/>
      <c r="AF178" s="636" t="n"/>
      <c r="AG178" s="636" t="n"/>
      <c r="AH178" s="636" t="n"/>
      <c r="AI178" s="636" t="n"/>
      <c r="AJ178" s="636" t="n"/>
      <c r="AK178" s="636" t="n"/>
    </row>
    <row r="179">
      <c r="A179" s="639" t="inlineStr">
        <is>
          <t>평촌동</t>
        </is>
      </c>
      <c r="B179" s="636" t="n"/>
      <c r="C179" s="636" t="n"/>
      <c r="D179" s="639" t="n">
        <v>8205</v>
      </c>
      <c r="E179" s="637" t="inlineStr">
        <is>
          <t>인덕원센트럴푸르지오</t>
        </is>
      </c>
      <c r="F179" s="639" t="n">
        <v>2001.04</v>
      </c>
      <c r="G179" s="639" t="n">
        <v>1996</v>
      </c>
      <c r="H179" s="639">
        <f>2026-INT(F179)+1</f>
        <v/>
      </c>
      <c r="I179" s="636" t="n"/>
      <c r="J179" s="639" t="n">
        <v>81</v>
      </c>
      <c r="K179" s="639" t="n">
        <v>60</v>
      </c>
      <c r="L179" s="639" t="n">
        <v>25</v>
      </c>
      <c r="M179" s="639" t="inlineStr">
        <is>
          <t>계단식</t>
        </is>
      </c>
      <c r="N179" s="639" t="n">
        <v>2</v>
      </c>
      <c r="O179" s="639" t="n">
        <v>1</v>
      </c>
      <c r="P179" s="639" t="n">
        <v>168</v>
      </c>
      <c r="Q179" s="636" t="n"/>
      <c r="R179" s="636" t="n"/>
      <c r="S179" s="636" t="n"/>
      <c r="T179" s="636" t="n"/>
      <c r="U179" s="639" t="n"/>
      <c r="V179" s="639" t="n"/>
      <c r="W179" s="636" t="n"/>
      <c r="X179" s="636" t="n"/>
      <c r="Y179" s="636" t="n"/>
      <c r="Z179" s="636" t="n"/>
      <c r="AA179" s="636" t="n"/>
      <c r="AB179" s="636" t="n"/>
      <c r="AC179" s="636" t="n"/>
      <c r="AD179" s="636" t="n"/>
      <c r="AE179" s="636" t="n"/>
      <c r="AF179" s="636" t="n"/>
      <c r="AG179" s="636" t="n"/>
      <c r="AH179" s="636" t="n"/>
      <c r="AI179" s="636" t="n"/>
      <c r="AJ179" s="636" t="n"/>
      <c r="AK179" s="636" t="n"/>
    </row>
    <row r="180">
      <c r="A180" s="639" t="inlineStr">
        <is>
          <t>평촌동</t>
        </is>
      </c>
      <c r="B180" s="636" t="n"/>
      <c r="C180" s="636" t="n"/>
      <c r="D180" s="639" t="n">
        <v>8205</v>
      </c>
      <c r="E180" s="637" t="inlineStr">
        <is>
          <t>인덕원센트럴푸르지오</t>
        </is>
      </c>
      <c r="F180" s="639" t="n">
        <v>2001.04</v>
      </c>
      <c r="G180" s="639" t="n">
        <v>1996</v>
      </c>
      <c r="H180" s="639">
        <f>2026-INT(F180)+1</f>
        <v/>
      </c>
      <c r="I180" s="636" t="n"/>
      <c r="J180" s="639" t="n">
        <v>108</v>
      </c>
      <c r="K180" s="639" t="n">
        <v>84</v>
      </c>
      <c r="L180" s="639" t="n">
        <v>33</v>
      </c>
      <c r="M180" s="639" t="inlineStr">
        <is>
          <t>계단식</t>
        </is>
      </c>
      <c r="N180" s="639" t="n">
        <v>3</v>
      </c>
      <c r="O180" s="639" t="n">
        <v>2</v>
      </c>
      <c r="P180" s="639" t="n">
        <v>1592</v>
      </c>
      <c r="Q180" s="636" t="n"/>
      <c r="R180" s="636" t="n"/>
      <c r="S180" s="636" t="n"/>
      <c r="T180" s="636" t="n"/>
      <c r="U180" s="639" t="n"/>
      <c r="V180" s="639" t="n"/>
      <c r="W180" s="636" t="n"/>
      <c r="X180" s="636" t="n"/>
      <c r="Y180" s="636" t="n"/>
      <c r="Z180" s="636" t="n"/>
      <c r="AA180" s="636" t="n"/>
      <c r="AB180" s="636" t="n"/>
      <c r="AC180" s="636" t="n"/>
      <c r="AD180" s="636" t="n"/>
      <c r="AE180" s="636" t="n"/>
      <c r="AF180" s="636" t="n"/>
      <c r="AG180" s="636" t="n"/>
      <c r="AH180" s="636" t="n"/>
      <c r="AI180" s="636" t="n"/>
      <c r="AJ180" s="636" t="n"/>
      <c r="AK180" s="636" t="n"/>
    </row>
    <row r="181">
      <c r="A181" t="inlineStr">
        <is>
          <t>평촌동</t>
        </is>
      </c>
      <c r="D181" t="n">
        <v>1479</v>
      </c>
      <c r="E181" s="638" t="inlineStr">
        <is>
          <t>초원1단지성원</t>
        </is>
      </c>
      <c r="F181" t="n">
        <v>1992.08</v>
      </c>
      <c r="G181" t="n">
        <v>368</v>
      </c>
      <c r="H181">
        <f>2026-INT(F181)+1</f>
        <v/>
      </c>
      <c r="J181" t="n">
        <v>75</v>
      </c>
      <c r="K181" t="n">
        <v>59</v>
      </c>
      <c r="L181" t="n">
        <v>23</v>
      </c>
      <c r="M181" t="inlineStr">
        <is>
          <t>계단식</t>
        </is>
      </c>
      <c r="N181" t="n">
        <v>3</v>
      </c>
      <c r="O181" t="n">
        <v>1</v>
      </c>
      <c r="P181" t="n">
        <v>120</v>
      </c>
    </row>
    <row r="182">
      <c r="A182" t="inlineStr">
        <is>
          <t>평촌동</t>
        </is>
      </c>
      <c r="D182" t="n">
        <v>1479</v>
      </c>
      <c r="E182" s="638" t="inlineStr">
        <is>
          <t>초원1단지성원</t>
        </is>
      </c>
      <c r="F182" t="n">
        <v>1992.08</v>
      </c>
      <c r="G182" t="n">
        <v>368</v>
      </c>
      <c r="H182">
        <f>2026-INT(F182)+1</f>
        <v/>
      </c>
      <c r="J182" t="n">
        <v>102</v>
      </c>
      <c r="K182" t="n">
        <v>84</v>
      </c>
      <c r="L182" t="n">
        <v>31</v>
      </c>
      <c r="M182" t="inlineStr">
        <is>
          <t>계단식</t>
        </is>
      </c>
      <c r="N182" t="n">
        <v>3</v>
      </c>
      <c r="O182" t="n">
        <v>2</v>
      </c>
      <c r="P182" t="n">
        <v>248</v>
      </c>
    </row>
    <row r="183">
      <c r="A183" s="636" t="inlineStr">
        <is>
          <t>평촌동</t>
        </is>
      </c>
      <c r="B183" s="636" t="n"/>
      <c r="C183" s="636" t="n"/>
      <c r="D183" s="636" t="n">
        <v>1483</v>
      </c>
      <c r="E183" s="637" t="inlineStr">
        <is>
          <t>초원2단지대림</t>
        </is>
      </c>
      <c r="F183" s="636" t="n">
        <v>1993.11</v>
      </c>
      <c r="G183" s="636" t="n">
        <v>1035</v>
      </c>
      <c r="H183" s="636">
        <f>2026-INT(F183)+1</f>
        <v/>
      </c>
      <c r="I183" s="636" t="n"/>
      <c r="J183" s="636" t="n">
        <v>81</v>
      </c>
      <c r="K183" s="636" t="n">
        <v>59</v>
      </c>
      <c r="L183" s="636" t="n">
        <v>25</v>
      </c>
      <c r="M183" s="636" t="inlineStr">
        <is>
          <t>복도식</t>
        </is>
      </c>
      <c r="N183" s="636" t="n">
        <v>3</v>
      </c>
      <c r="O183" s="636" t="n">
        <v>1</v>
      </c>
      <c r="P183" s="636" t="n">
        <v>344</v>
      </c>
      <c r="Q183" s="636" t="n"/>
      <c r="R183" s="636" t="n"/>
      <c r="S183" s="636" t="n"/>
      <c r="T183" s="636" t="n"/>
      <c r="U183" s="636" t="n"/>
      <c r="V183" s="636" t="n"/>
      <c r="W183" s="636" t="n"/>
      <c r="X183" s="636" t="n"/>
      <c r="Y183" s="636" t="n"/>
      <c r="Z183" s="636" t="n"/>
      <c r="AA183" s="636" t="n"/>
      <c r="AB183" s="636" t="n"/>
      <c r="AC183" s="636" t="n"/>
      <c r="AD183" s="636" t="n"/>
      <c r="AE183" s="636" t="n"/>
      <c r="AF183" s="636" t="n"/>
      <c r="AG183" s="636" t="n"/>
      <c r="AH183" s="636" t="n"/>
      <c r="AI183" s="636" t="n"/>
      <c r="AJ183" s="636" t="n"/>
      <c r="AK183" s="636" t="n"/>
    </row>
    <row r="184">
      <c r="A184" s="639" t="inlineStr">
        <is>
          <t>평촌동</t>
        </is>
      </c>
      <c r="B184" s="636" t="n"/>
      <c r="C184" s="636" t="n"/>
      <c r="D184" s="639" t="n">
        <v>1483</v>
      </c>
      <c r="E184" s="637" t="inlineStr">
        <is>
          <t>초원2단지대림</t>
        </is>
      </c>
      <c r="F184" s="639" t="n">
        <v>1993.11</v>
      </c>
      <c r="G184" s="639" t="n">
        <v>1035</v>
      </c>
      <c r="H184" s="639">
        <f>2026-INT(F184)+1</f>
        <v/>
      </c>
      <c r="I184" s="636" t="n"/>
      <c r="J184" s="639" t="n">
        <v>106</v>
      </c>
      <c r="K184" s="639" t="n">
        <v>84</v>
      </c>
      <c r="L184" s="639" t="n">
        <v>32</v>
      </c>
      <c r="M184" s="639" t="inlineStr">
        <is>
          <t>계단식</t>
        </is>
      </c>
      <c r="N184" s="639" t="n">
        <v>3</v>
      </c>
      <c r="O184" s="639" t="n">
        <v>2</v>
      </c>
      <c r="P184" s="639" t="n">
        <v>691</v>
      </c>
      <c r="Q184" s="636" t="n"/>
      <c r="R184" s="636" t="n"/>
      <c r="S184" s="636" t="n"/>
      <c r="T184" s="636" t="n"/>
      <c r="U184" s="639" t="n"/>
      <c r="V184" s="639" t="n"/>
      <c r="W184" s="636" t="n"/>
      <c r="X184" s="636" t="n"/>
      <c r="Y184" s="636" t="n"/>
      <c r="Z184" s="636" t="n"/>
      <c r="AA184" s="636" t="n"/>
      <c r="AB184" s="636" t="n"/>
      <c r="AC184" s="636" t="n"/>
      <c r="AD184" s="636" t="n"/>
      <c r="AE184" s="636" t="n"/>
      <c r="AF184" s="636" t="n"/>
      <c r="AG184" s="636" t="n"/>
      <c r="AH184" s="636" t="n"/>
      <c r="AI184" s="636" t="n"/>
      <c r="AJ184" s="636" t="n"/>
      <c r="AK184" s="636" t="n"/>
    </row>
    <row r="185">
      <c r="A185" s="458" t="inlineStr">
        <is>
          <t>평촌동</t>
        </is>
      </c>
      <c r="D185" s="458" t="n">
        <v>1477</v>
      </c>
      <c r="E185" s="638" t="inlineStr">
        <is>
          <t>초원3단지대원</t>
        </is>
      </c>
      <c r="F185" s="458" t="n">
        <v>1993.07</v>
      </c>
      <c r="G185" s="458" t="n">
        <v>752</v>
      </c>
      <c r="H185" s="458">
        <f>2026-INT(F185)+1</f>
        <v/>
      </c>
      <c r="J185" s="458" t="n">
        <v>76</v>
      </c>
      <c r="K185" s="458" t="n">
        <v>59</v>
      </c>
      <c r="L185" s="458" t="n">
        <v>23</v>
      </c>
      <c r="M185" s="458" t="inlineStr">
        <is>
          <t>계단식</t>
        </is>
      </c>
      <c r="N185" s="458" t="n">
        <v>3</v>
      </c>
      <c r="O185" s="458" t="n">
        <v>1</v>
      </c>
      <c r="P185" s="458" t="n">
        <v>270</v>
      </c>
    </row>
    <row r="186">
      <c r="A186" s="458" t="inlineStr">
        <is>
          <t>평촌동</t>
        </is>
      </c>
      <c r="D186" s="458" t="n">
        <v>1477</v>
      </c>
      <c r="E186" s="638" t="inlineStr">
        <is>
          <t>초원3단지대원</t>
        </is>
      </c>
      <c r="F186" s="458" t="n">
        <v>1993.07</v>
      </c>
      <c r="G186" s="458" t="n">
        <v>752</v>
      </c>
      <c r="H186" s="458">
        <f>2026-INT(F186)+1</f>
        <v/>
      </c>
      <c r="J186" s="458" t="n">
        <v>103</v>
      </c>
      <c r="K186" s="458" t="n">
        <v>84</v>
      </c>
      <c r="L186" s="458" t="n">
        <v>31</v>
      </c>
      <c r="M186" s="458" t="inlineStr">
        <is>
          <t>계단식</t>
        </is>
      </c>
      <c r="N186" s="458" t="n">
        <v>3</v>
      </c>
      <c r="O186" s="458" t="n">
        <v>2</v>
      </c>
      <c r="P186" s="458" t="n">
        <v>482</v>
      </c>
    </row>
    <row r="187">
      <c r="A187" s="639" t="inlineStr">
        <is>
          <t>평촌동</t>
        </is>
      </c>
      <c r="B187" s="636" t="n"/>
      <c r="C187" s="636" t="n"/>
      <c r="D187" s="639" t="n">
        <v>1478</v>
      </c>
      <c r="E187" s="637" t="inlineStr">
        <is>
          <t>초원5단지LG</t>
        </is>
      </c>
      <c r="F187" s="639" t="n">
        <v>1993.1</v>
      </c>
      <c r="G187" s="639" t="n">
        <v>656</v>
      </c>
      <c r="H187" s="639">
        <f>2026-INT(F187)+1</f>
        <v/>
      </c>
      <c r="I187" s="636" t="n"/>
      <c r="J187" s="639" t="n">
        <v>77</v>
      </c>
      <c r="K187" s="639" t="n">
        <v>59</v>
      </c>
      <c r="L187" s="639" t="n">
        <v>23</v>
      </c>
      <c r="M187" s="639" t="inlineStr">
        <is>
          <t>계단식</t>
        </is>
      </c>
      <c r="N187" s="639" t="n">
        <v>3</v>
      </c>
      <c r="O187" s="639" t="n">
        <v>1</v>
      </c>
      <c r="P187" s="639" t="n">
        <v>210</v>
      </c>
      <c r="Q187" s="636" t="n"/>
      <c r="R187" s="636" t="n"/>
      <c r="S187" s="636" t="n"/>
      <c r="T187" s="636" t="n"/>
      <c r="U187" s="636" t="n"/>
      <c r="V187" s="636" t="n"/>
      <c r="W187" s="636" t="n"/>
      <c r="X187" s="636" t="n"/>
      <c r="Y187" s="636" t="n"/>
      <c r="Z187" s="636" t="n"/>
      <c r="AA187" s="636" t="n"/>
      <c r="AB187" s="636" t="n"/>
      <c r="AC187" s="636" t="n"/>
      <c r="AD187" s="636" t="n"/>
      <c r="AE187" s="636" t="n"/>
      <c r="AF187" s="636" t="n"/>
      <c r="AG187" s="636" t="n"/>
      <c r="AH187" s="636" t="n"/>
      <c r="AI187" s="636" t="n"/>
      <c r="AJ187" s="636" t="n"/>
      <c r="AK187" s="636" t="n"/>
    </row>
    <row r="188">
      <c r="A188" s="636" t="inlineStr">
        <is>
          <t>평촌동</t>
        </is>
      </c>
      <c r="B188" s="636" t="n"/>
      <c r="C188" s="636" t="n"/>
      <c r="D188" s="636" t="n">
        <v>1478</v>
      </c>
      <c r="E188" s="637" t="inlineStr">
        <is>
          <t>초원5단지LG</t>
        </is>
      </c>
      <c r="F188" s="636" t="n">
        <v>1993.1</v>
      </c>
      <c r="G188" s="636" t="n">
        <v>656</v>
      </c>
      <c r="H188" s="636">
        <f>2026-INT(F188)+1</f>
        <v/>
      </c>
      <c r="I188" s="636" t="n"/>
      <c r="J188" s="636" t="n">
        <v>106</v>
      </c>
      <c r="K188" s="636" t="n">
        <v>84</v>
      </c>
      <c r="L188" s="636" t="n">
        <v>32</v>
      </c>
      <c r="M188" s="636" t="inlineStr">
        <is>
          <t>계단식</t>
        </is>
      </c>
      <c r="N188" s="636" t="n">
        <v>3</v>
      </c>
      <c r="O188" s="636" t="n">
        <v>2</v>
      </c>
      <c r="P188" s="636" t="n">
        <v>446</v>
      </c>
      <c r="Q188" s="636" t="n"/>
      <c r="R188" s="636" t="n"/>
      <c r="S188" s="636" t="n"/>
      <c r="T188" s="636" t="n"/>
      <c r="U188" s="636" t="n"/>
      <c r="V188" s="636" t="n"/>
      <c r="W188" s="636" t="n"/>
      <c r="X188" s="636" t="n"/>
      <c r="Y188" s="636" t="n"/>
      <c r="Z188" s="636" t="n"/>
      <c r="AA188" s="636" t="n"/>
      <c r="AB188" s="636" t="n"/>
      <c r="AC188" s="636" t="n"/>
      <c r="AD188" s="636" t="n"/>
      <c r="AE188" s="636" t="n"/>
      <c r="AF188" s="636" t="n"/>
      <c r="AG188" s="636" t="n"/>
      <c r="AH188" s="636" t="n"/>
      <c r="AI188" s="636" t="n"/>
      <c r="AJ188" s="636" t="n"/>
      <c r="AK188" s="636" t="n"/>
    </row>
    <row r="189">
      <c r="A189" t="inlineStr">
        <is>
          <t>평촌동</t>
        </is>
      </c>
      <c r="D189" t="n">
        <v>8481</v>
      </c>
      <c r="E189" s="638" t="inlineStr">
        <is>
          <t>초원6단지한양</t>
        </is>
      </c>
      <c r="F189" t="n">
        <v>1993.11</v>
      </c>
      <c r="G189" t="n">
        <v>870</v>
      </c>
      <c r="H189">
        <f>2026-INT(F189)+1</f>
        <v/>
      </c>
      <c r="J189" t="n">
        <v>77</v>
      </c>
      <c r="K189" t="n">
        <v>59</v>
      </c>
      <c r="L189" t="n">
        <v>23</v>
      </c>
      <c r="M189" t="inlineStr">
        <is>
          <t>복도식</t>
        </is>
      </c>
      <c r="N189" t="n">
        <v>3</v>
      </c>
      <c r="O189" t="n">
        <v>1</v>
      </c>
      <c r="P189" t="n">
        <v>260</v>
      </c>
    </row>
    <row r="190">
      <c r="A190" t="inlineStr">
        <is>
          <t>평촌동</t>
        </is>
      </c>
      <c r="D190" t="n">
        <v>8481</v>
      </c>
      <c r="E190" s="638" t="inlineStr">
        <is>
          <t>초원6단지한양</t>
        </is>
      </c>
      <c r="F190" t="n">
        <v>1993.11</v>
      </c>
      <c r="G190" t="n">
        <v>870</v>
      </c>
      <c r="H190">
        <f>2026-INT(F190)+1</f>
        <v/>
      </c>
      <c r="J190" t="n">
        <v>97</v>
      </c>
      <c r="K190" t="n">
        <v>79</v>
      </c>
      <c r="L190" t="n">
        <v>29</v>
      </c>
      <c r="M190" t="inlineStr">
        <is>
          <t>계단식</t>
        </is>
      </c>
      <c r="N190" t="n">
        <v>3</v>
      </c>
      <c r="O190" t="n">
        <v>2</v>
      </c>
      <c r="P190" t="n">
        <v>17</v>
      </c>
    </row>
    <row r="191">
      <c r="A191" t="inlineStr">
        <is>
          <t>평촌동</t>
        </is>
      </c>
      <c r="D191" t="n">
        <v>8481</v>
      </c>
      <c r="E191" s="638" t="inlineStr">
        <is>
          <t>초원6단지한양</t>
        </is>
      </c>
      <c r="F191" t="n">
        <v>1993.11</v>
      </c>
      <c r="G191" t="n">
        <v>870</v>
      </c>
      <c r="H191">
        <f>2026-INT(F191)+1</f>
        <v/>
      </c>
      <c r="J191" t="n">
        <v>105</v>
      </c>
      <c r="K191" t="n">
        <v>84</v>
      </c>
      <c r="L191" t="n">
        <v>32</v>
      </c>
      <c r="M191" t="inlineStr">
        <is>
          <t>계단식</t>
        </is>
      </c>
      <c r="N191" t="n">
        <v>3</v>
      </c>
      <c r="O191" t="n">
        <v>2</v>
      </c>
      <c r="P191" t="n">
        <v>593</v>
      </c>
    </row>
    <row r="192">
      <c r="A192" s="636" t="inlineStr">
        <is>
          <t>평촌동</t>
        </is>
      </c>
      <c r="B192" s="636" t="n"/>
      <c r="C192" s="636" t="n"/>
      <c r="D192" s="636" t="n">
        <v>2595</v>
      </c>
      <c r="E192" s="637" t="inlineStr">
        <is>
          <t>초원7단지부영</t>
        </is>
      </c>
      <c r="F192" s="636" t="n">
        <v>1992.1</v>
      </c>
      <c r="G192" s="636" t="n">
        <v>1743</v>
      </c>
      <c r="H192" s="636">
        <f>2026-INT(F192)+1</f>
        <v/>
      </c>
      <c r="I192" s="636" t="n"/>
      <c r="J192" s="636" t="n">
        <v>51</v>
      </c>
      <c r="K192" s="636" t="n">
        <v>37</v>
      </c>
      <c r="L192" s="636" t="n">
        <v>15</v>
      </c>
      <c r="M192" s="636" t="inlineStr">
        <is>
          <t>복도식</t>
        </is>
      </c>
      <c r="N192" s="636" t="n">
        <v>2</v>
      </c>
      <c r="O192" s="636" t="n">
        <v>1</v>
      </c>
      <c r="P192" s="636" t="n">
        <v>768</v>
      </c>
      <c r="Q192" s="636" t="n"/>
      <c r="R192" s="636" t="n"/>
      <c r="S192" s="636" t="n"/>
      <c r="T192" s="636" t="n"/>
      <c r="U192" s="636" t="n"/>
      <c r="V192" s="636" t="n"/>
      <c r="W192" s="636" t="n"/>
      <c r="X192" s="636" t="n"/>
      <c r="Y192" s="636" t="n"/>
      <c r="Z192" s="636" t="n"/>
      <c r="AA192" s="636" t="n"/>
      <c r="AB192" s="636" t="n"/>
      <c r="AC192" s="636" t="n"/>
      <c r="AD192" s="636" t="n"/>
      <c r="AE192" s="636" t="n"/>
      <c r="AF192" s="636" t="n"/>
      <c r="AG192" s="636" t="n"/>
      <c r="AH192" s="636" t="n"/>
      <c r="AI192" s="636" t="n"/>
      <c r="AJ192" s="636" t="n"/>
      <c r="AK192" s="636" t="n"/>
    </row>
    <row r="193">
      <c r="A193" s="639" t="inlineStr">
        <is>
          <t>평촌동</t>
        </is>
      </c>
      <c r="B193" s="636" t="n"/>
      <c r="C193" s="636" t="n"/>
      <c r="D193" s="639" t="n">
        <v>2595</v>
      </c>
      <c r="E193" s="637" t="inlineStr">
        <is>
          <t>초원7단지부영</t>
        </is>
      </c>
      <c r="F193" s="639" t="n">
        <v>1992.1</v>
      </c>
      <c r="G193" s="639" t="n">
        <v>1743</v>
      </c>
      <c r="H193" s="639">
        <f>2026-INT(F193)+1</f>
        <v/>
      </c>
      <c r="I193" s="636" t="n"/>
      <c r="J193" s="639" t="n">
        <v>68</v>
      </c>
      <c r="K193" s="639" t="n">
        <v>50</v>
      </c>
      <c r="L193" s="639" t="n">
        <v>21</v>
      </c>
      <c r="M193" s="639" t="inlineStr">
        <is>
          <t>복도식</t>
        </is>
      </c>
      <c r="N193" s="639" t="n">
        <v>3</v>
      </c>
      <c r="O193" s="639" t="n">
        <v>1</v>
      </c>
      <c r="P193" s="639" t="n">
        <v>525</v>
      </c>
      <c r="Q193" s="636" t="n"/>
      <c r="R193" s="636" t="n"/>
      <c r="S193" s="636" t="n"/>
      <c r="T193" s="636" t="n"/>
      <c r="U193" s="639" t="n"/>
      <c r="V193" s="639" t="n"/>
      <c r="W193" s="636" t="n"/>
      <c r="X193" s="636" t="n"/>
      <c r="Y193" s="636" t="n"/>
      <c r="Z193" s="636" t="n"/>
      <c r="AA193" s="636" t="n"/>
      <c r="AB193" s="636" t="n"/>
      <c r="AC193" s="636" t="n"/>
      <c r="AD193" s="636" t="n"/>
      <c r="AE193" s="636" t="n"/>
      <c r="AF193" s="636" t="n"/>
      <c r="AG193" s="636" t="n"/>
      <c r="AH193" s="636" t="n"/>
      <c r="AI193" s="636" t="n"/>
      <c r="AJ193" s="636" t="n"/>
      <c r="AK193" s="636" t="n"/>
    </row>
    <row r="194">
      <c r="A194" s="639" t="inlineStr">
        <is>
          <t>평촌동</t>
        </is>
      </c>
      <c r="B194" s="636" t="n"/>
      <c r="C194" s="636" t="n"/>
      <c r="D194" s="639" t="n">
        <v>2595</v>
      </c>
      <c r="E194" s="637" t="inlineStr">
        <is>
          <t>초원7단지부영</t>
        </is>
      </c>
      <c r="F194" s="639" t="n">
        <v>1992.1</v>
      </c>
      <c r="G194" s="639" t="n">
        <v>1743</v>
      </c>
      <c r="H194" s="639">
        <f>2026-INT(F194)+1</f>
        <v/>
      </c>
      <c r="I194" s="636" t="n"/>
      <c r="J194" s="639" t="n">
        <v>81</v>
      </c>
      <c r="K194" s="639" t="n">
        <v>60</v>
      </c>
      <c r="L194" s="639" t="n">
        <v>25</v>
      </c>
      <c r="M194" s="639" t="inlineStr">
        <is>
          <t>복도식</t>
        </is>
      </c>
      <c r="N194" s="639" t="n">
        <v>3</v>
      </c>
      <c r="O194" s="639" t="n">
        <v>1</v>
      </c>
      <c r="P194" s="639" t="n">
        <v>450</v>
      </c>
      <c r="Q194" s="636" t="n"/>
      <c r="R194" s="636" t="n"/>
      <c r="S194" s="636" t="n"/>
      <c r="T194" s="636" t="n"/>
      <c r="U194" s="639" t="n"/>
      <c r="V194" s="639" t="n"/>
      <c r="W194" s="636" t="n"/>
      <c r="X194" s="636" t="n"/>
      <c r="Y194" s="636" t="n"/>
      <c r="Z194" s="636" t="n"/>
      <c r="AA194" s="636" t="n"/>
      <c r="AB194" s="636" t="n"/>
      <c r="AC194" s="636" t="n"/>
      <c r="AD194" s="636" t="n"/>
      <c r="AE194" s="636" t="n"/>
      <c r="AF194" s="636" t="n"/>
      <c r="AG194" s="636" t="n"/>
      <c r="AH194" s="636" t="n"/>
      <c r="AI194" s="636" t="n"/>
      <c r="AJ194" s="636" t="n"/>
      <c r="AK194" s="636" t="n"/>
    </row>
    <row r="195">
      <c r="A195" s="458" t="inlineStr">
        <is>
          <t>평촌동</t>
        </is>
      </c>
      <c r="D195" s="458" t="n">
        <v>8775</v>
      </c>
      <c r="E195" s="638" t="inlineStr">
        <is>
          <t>초원8단지세경</t>
        </is>
      </c>
      <c r="F195" s="458" t="n">
        <v>1996.07</v>
      </c>
      <c r="G195" s="458" t="n">
        <v>709</v>
      </c>
      <c r="H195" s="458">
        <f>2026-INT(F195)+1</f>
        <v/>
      </c>
      <c r="J195" s="458" t="n">
        <v>64</v>
      </c>
      <c r="K195" s="458" t="n">
        <v>49</v>
      </c>
      <c r="L195" s="458" t="n">
        <v>19</v>
      </c>
      <c r="M195" s="458" t="inlineStr">
        <is>
          <t>복도식</t>
        </is>
      </c>
      <c r="N195" s="458" t="n">
        <v>2</v>
      </c>
      <c r="O195" s="458" t="n">
        <v>1</v>
      </c>
      <c r="P195" s="458" t="n">
        <v>709</v>
      </c>
      <c r="U195" s="458" t="n"/>
      <c r="V195" s="458" t="n"/>
    </row>
    <row r="196">
      <c r="A196" s="639" t="inlineStr">
        <is>
          <t>평촌동</t>
        </is>
      </c>
      <c r="B196" s="636" t="n"/>
      <c r="C196" s="636" t="n"/>
      <c r="D196" s="639" t="n">
        <v>26459</v>
      </c>
      <c r="E196" s="637" t="inlineStr">
        <is>
          <t>평촌e-편한세상</t>
        </is>
      </c>
      <c r="F196" s="639" t="n">
        <v>2010.06</v>
      </c>
      <c r="G196" s="639" t="n">
        <v>220</v>
      </c>
      <c r="H196" s="639">
        <f>2026-INT(F196)+1</f>
        <v/>
      </c>
      <c r="I196" s="636" t="n"/>
      <c r="J196" s="639" t="n">
        <v>157</v>
      </c>
      <c r="K196" s="639" t="n">
        <v>130</v>
      </c>
      <c r="L196" s="639" t="n">
        <v>47</v>
      </c>
      <c r="M196" s="639" t="inlineStr">
        <is>
          <t>계단식</t>
        </is>
      </c>
      <c r="N196" s="639" t="n">
        <v>4</v>
      </c>
      <c r="O196" s="639" t="n">
        <v>2</v>
      </c>
      <c r="P196" s="639" t="n">
        <v>92</v>
      </c>
      <c r="Q196" s="636" t="n"/>
      <c r="R196" s="636" t="n"/>
      <c r="S196" s="636" t="n"/>
      <c r="T196" s="636" t="n"/>
      <c r="U196" s="639" t="n"/>
      <c r="V196" s="639" t="n"/>
      <c r="W196" s="636" t="n"/>
      <c r="X196" s="636" t="n"/>
      <c r="Y196" s="636" t="n"/>
      <c r="Z196" s="636" t="n"/>
      <c r="AA196" s="636" t="n"/>
      <c r="AB196" s="636" t="n"/>
      <c r="AC196" s="636" t="n"/>
      <c r="AD196" s="636" t="n"/>
      <c r="AE196" s="636" t="n"/>
      <c r="AF196" s="636" t="n"/>
      <c r="AG196" s="636" t="n"/>
      <c r="AH196" s="636" t="n"/>
      <c r="AI196" s="636" t="n"/>
      <c r="AJ196" s="636" t="n"/>
      <c r="AK196" s="636" t="n"/>
    </row>
    <row r="197">
      <c r="A197" s="639" t="inlineStr">
        <is>
          <t>평촌동</t>
        </is>
      </c>
      <c r="B197" s="636" t="n"/>
      <c r="C197" s="636" t="n"/>
      <c r="D197" s="639" t="n">
        <v>26459</v>
      </c>
      <c r="E197" s="637" t="inlineStr">
        <is>
          <t>평촌e-편한세상</t>
        </is>
      </c>
      <c r="F197" s="639" t="n">
        <v>2010.06</v>
      </c>
      <c r="G197" s="639" t="n">
        <v>220</v>
      </c>
      <c r="H197" s="639">
        <f>2026-INT(F197)+1</f>
        <v/>
      </c>
      <c r="I197" s="636" t="n"/>
      <c r="J197" s="639" t="n">
        <v>186</v>
      </c>
      <c r="K197" s="639" t="n">
        <v>152</v>
      </c>
      <c r="L197" s="639" t="n">
        <v>56</v>
      </c>
      <c r="M197" s="639" t="inlineStr">
        <is>
          <t>계단식</t>
        </is>
      </c>
      <c r="N197" s="639" t="n">
        <v>4</v>
      </c>
      <c r="O197" s="639" t="n">
        <v>2</v>
      </c>
      <c r="P197" s="639" t="n">
        <v>13</v>
      </c>
      <c r="Q197" s="636" t="n"/>
      <c r="R197" s="636" t="n"/>
      <c r="S197" s="636" t="n"/>
      <c r="T197" s="636" t="n"/>
      <c r="U197" s="639" t="n"/>
      <c r="V197" s="639" t="n"/>
      <c r="W197" s="636" t="n"/>
      <c r="X197" s="636" t="n"/>
      <c r="Y197" s="636" t="n"/>
      <c r="Z197" s="636" t="n"/>
      <c r="AA197" s="636" t="n"/>
      <c r="AB197" s="636" t="n"/>
      <c r="AC197" s="636" t="n"/>
      <c r="AD197" s="636" t="n"/>
      <c r="AE197" s="636" t="n"/>
      <c r="AF197" s="636" t="n"/>
      <c r="AG197" s="636" t="n"/>
      <c r="AH197" s="636" t="n"/>
      <c r="AI197" s="636" t="n"/>
      <c r="AJ197" s="636" t="n"/>
      <c r="AK197" s="636" t="n"/>
    </row>
    <row r="198">
      <c r="A198" s="639" t="inlineStr">
        <is>
          <t>평촌동</t>
        </is>
      </c>
      <c r="B198" s="636" t="n"/>
      <c r="C198" s="636" t="n"/>
      <c r="D198" s="639" t="n">
        <v>26459</v>
      </c>
      <c r="E198" s="637" t="inlineStr">
        <is>
          <t>평촌e-편한세상</t>
        </is>
      </c>
      <c r="F198" s="639" t="n">
        <v>2010.06</v>
      </c>
      <c r="G198" s="639" t="n">
        <v>220</v>
      </c>
      <c r="H198" s="639">
        <f>2026-INT(F198)+1</f>
        <v/>
      </c>
      <c r="I198" s="636" t="n"/>
      <c r="J198" s="639" t="n">
        <v>187</v>
      </c>
      <c r="K198" s="639" t="n">
        <v>157</v>
      </c>
      <c r="L198" s="639" t="n">
        <v>57</v>
      </c>
      <c r="M198" s="639" t="inlineStr">
        <is>
          <t>계단식</t>
        </is>
      </c>
      <c r="N198" s="639" t="n">
        <v>4</v>
      </c>
      <c r="O198" s="639" t="n">
        <v>2</v>
      </c>
      <c r="P198" s="639" t="n">
        <v>100</v>
      </c>
      <c r="Q198" s="636" t="n"/>
      <c r="R198" s="636" t="n"/>
      <c r="S198" s="636" t="n"/>
      <c r="T198" s="636" t="n"/>
      <c r="U198" s="639" t="n"/>
      <c r="V198" s="639" t="n"/>
      <c r="W198" s="636" t="n"/>
      <c r="X198" s="636" t="n"/>
      <c r="Y198" s="636" t="n"/>
      <c r="Z198" s="636" t="n"/>
      <c r="AA198" s="636" t="n"/>
      <c r="AB198" s="636" t="n"/>
      <c r="AC198" s="636" t="n"/>
      <c r="AD198" s="636" t="n"/>
      <c r="AE198" s="636" t="n"/>
      <c r="AF198" s="636" t="n"/>
      <c r="AG198" s="636" t="n"/>
      <c r="AH198" s="636" t="n"/>
      <c r="AI198" s="636" t="n"/>
      <c r="AJ198" s="636" t="n"/>
      <c r="AK198" s="636" t="n"/>
    </row>
    <row r="199">
      <c r="A199" s="639" t="inlineStr">
        <is>
          <t>평촌동</t>
        </is>
      </c>
      <c r="B199" s="636" t="n"/>
      <c r="C199" s="636" t="n"/>
      <c r="D199" s="639" t="n">
        <v>26459</v>
      </c>
      <c r="E199" s="637" t="inlineStr">
        <is>
          <t>평촌e-편한세상</t>
        </is>
      </c>
      <c r="F199" s="639" t="n">
        <v>2010.06</v>
      </c>
      <c r="G199" s="639" t="n">
        <v>220</v>
      </c>
      <c r="H199" s="639">
        <f>2026-INT(F199)+1</f>
        <v/>
      </c>
      <c r="I199" s="636" t="n"/>
      <c r="J199" s="639" t="n">
        <v>187</v>
      </c>
      <c r="K199" s="639" t="n">
        <v>151</v>
      </c>
      <c r="L199" s="639" t="n">
        <v>57</v>
      </c>
      <c r="M199" s="639" t="inlineStr">
        <is>
          <t>계단식</t>
        </is>
      </c>
      <c r="N199" s="639" t="n">
        <v>4</v>
      </c>
      <c r="O199" s="639" t="n">
        <v>2</v>
      </c>
      <c r="P199" s="639" t="n">
        <v>15</v>
      </c>
      <c r="Q199" s="636" t="n"/>
      <c r="R199" s="636" t="n"/>
      <c r="S199" s="636" t="n"/>
      <c r="T199" s="636" t="n"/>
      <c r="U199" s="639" t="n"/>
      <c r="V199" s="639" t="n"/>
      <c r="W199" s="636" t="n"/>
      <c r="X199" s="636" t="n"/>
      <c r="Y199" s="636" t="n"/>
      <c r="Z199" s="636" t="n"/>
      <c r="AA199" s="636" t="n"/>
      <c r="AB199" s="636" t="n"/>
      <c r="AC199" s="636" t="n"/>
      <c r="AD199" s="636" t="n"/>
      <c r="AE199" s="636" t="n"/>
      <c r="AF199" s="636" t="n"/>
      <c r="AG199" s="636" t="n"/>
      <c r="AH199" s="636" t="n"/>
      <c r="AI199" s="636" t="n"/>
      <c r="AJ199" s="636" t="n"/>
      <c r="AK199" s="636" t="n"/>
    </row>
    <row r="200">
      <c r="A200" t="inlineStr">
        <is>
          <t>평촌동</t>
        </is>
      </c>
      <c r="D200" t="n">
        <v>1480</v>
      </c>
      <c r="E200" s="638" t="inlineStr">
        <is>
          <t>향촌롯데</t>
        </is>
      </c>
      <c r="F200" t="n">
        <v>1993.03</v>
      </c>
      <c r="G200" t="n">
        <v>530</v>
      </c>
      <c r="H200">
        <f>2026-INT(F200)+1</f>
        <v/>
      </c>
      <c r="J200" t="n">
        <v>77</v>
      </c>
      <c r="K200" t="n">
        <v>59</v>
      </c>
      <c r="L200" t="n">
        <v>23</v>
      </c>
      <c r="M200" t="inlineStr">
        <is>
          <t>계단식</t>
        </is>
      </c>
      <c r="N200" t="n">
        <v>2</v>
      </c>
      <c r="O200" t="n">
        <v>1</v>
      </c>
      <c r="P200" t="n">
        <v>188</v>
      </c>
    </row>
    <row r="201">
      <c r="A201" t="inlineStr">
        <is>
          <t>평촌동</t>
        </is>
      </c>
      <c r="D201" t="n">
        <v>1480</v>
      </c>
      <c r="E201" s="638" t="inlineStr">
        <is>
          <t>향촌롯데</t>
        </is>
      </c>
      <c r="F201" t="n">
        <v>1993.03</v>
      </c>
      <c r="G201" t="n">
        <v>530</v>
      </c>
      <c r="H201">
        <f>2026-INT(F201)+1</f>
        <v/>
      </c>
      <c r="J201" t="n">
        <v>80</v>
      </c>
      <c r="K201" t="n">
        <v>62</v>
      </c>
      <c r="L201" t="n">
        <v>24</v>
      </c>
      <c r="M201" t="inlineStr">
        <is>
          <t>계단식</t>
        </is>
      </c>
      <c r="N201" t="n">
        <v>2</v>
      </c>
      <c r="O201" t="n">
        <v>1</v>
      </c>
      <c r="P201" t="n">
        <v>2</v>
      </c>
    </row>
    <row r="202">
      <c r="A202" t="inlineStr">
        <is>
          <t>평촌동</t>
        </is>
      </c>
      <c r="D202" t="n">
        <v>1480</v>
      </c>
      <c r="E202" s="638" t="inlineStr">
        <is>
          <t>향촌롯데</t>
        </is>
      </c>
      <c r="F202" t="n">
        <v>1993.03</v>
      </c>
      <c r="G202" t="n">
        <v>530</v>
      </c>
      <c r="H202">
        <f>2026-INT(F202)+1</f>
        <v/>
      </c>
      <c r="J202" t="n">
        <v>110</v>
      </c>
      <c r="K202" t="n">
        <v>84</v>
      </c>
      <c r="L202" t="n">
        <v>33</v>
      </c>
      <c r="M202" t="inlineStr">
        <is>
          <t>계단식</t>
        </is>
      </c>
      <c r="N202" t="n">
        <v>3</v>
      </c>
      <c r="O202" t="n">
        <v>2</v>
      </c>
      <c r="P202" t="n">
        <v>340</v>
      </c>
    </row>
    <row r="203">
      <c r="A203" s="636" t="inlineStr">
        <is>
          <t>평촌동</t>
        </is>
      </c>
      <c r="B203" s="636" t="n"/>
      <c r="C203" s="636" t="n"/>
      <c r="D203" s="636" t="n">
        <v>1481</v>
      </c>
      <c r="E203" s="637" t="inlineStr">
        <is>
          <t>향촌현대4차</t>
        </is>
      </c>
      <c r="F203" s="636" t="n">
        <v>1992.11</v>
      </c>
      <c r="G203" s="636" t="n">
        <v>552</v>
      </c>
      <c r="H203" s="636">
        <f>2026-INT(F203)+1</f>
        <v/>
      </c>
      <c r="I203" s="636" t="n"/>
      <c r="J203" s="636" t="n">
        <v>78</v>
      </c>
      <c r="K203" s="636" t="n">
        <v>59</v>
      </c>
      <c r="L203" s="636" t="n">
        <v>24</v>
      </c>
      <c r="M203" s="636" t="inlineStr">
        <is>
          <t>계단식</t>
        </is>
      </c>
      <c r="N203" s="636" t="n">
        <v>3</v>
      </c>
      <c r="O203" s="636" t="n">
        <v>1</v>
      </c>
      <c r="P203" s="636" t="n">
        <v>188</v>
      </c>
      <c r="Q203" s="636" t="n"/>
      <c r="R203" s="636" t="n"/>
      <c r="S203" s="636" t="n"/>
      <c r="T203" s="636" t="n"/>
      <c r="U203" s="636" t="n"/>
      <c r="V203" s="636" t="n"/>
      <c r="W203" s="636" t="n"/>
      <c r="X203" s="636" t="n"/>
      <c r="Y203" s="636" t="n"/>
      <c r="Z203" s="636" t="n"/>
      <c r="AA203" s="636" t="n"/>
      <c r="AB203" s="636" t="n"/>
      <c r="AC203" s="636" t="n"/>
      <c r="AD203" s="636" t="n"/>
      <c r="AE203" s="636" t="n"/>
      <c r="AF203" s="636" t="n"/>
      <c r="AG203" s="636" t="n"/>
      <c r="AH203" s="636" t="n"/>
      <c r="AI203" s="636" t="n"/>
      <c r="AJ203" s="636" t="n"/>
      <c r="AK203" s="636" t="n"/>
    </row>
    <row r="204">
      <c r="A204" s="636" t="inlineStr">
        <is>
          <t>평촌동</t>
        </is>
      </c>
      <c r="B204" s="636" t="n"/>
      <c r="C204" s="636" t="n"/>
      <c r="D204" s="636" t="n">
        <v>1481</v>
      </c>
      <c r="E204" s="637" t="inlineStr">
        <is>
          <t>향촌현대4차</t>
        </is>
      </c>
      <c r="F204" s="636" t="n">
        <v>1992.11</v>
      </c>
      <c r="G204" s="636" t="n">
        <v>552</v>
      </c>
      <c r="H204" s="636">
        <f>2026-INT(F204)+1</f>
        <v/>
      </c>
      <c r="I204" s="636" t="n"/>
      <c r="J204" s="636" t="n">
        <v>106</v>
      </c>
      <c r="K204" s="636" t="n">
        <v>84</v>
      </c>
      <c r="L204" s="636" t="n">
        <v>32</v>
      </c>
      <c r="M204" s="636" t="inlineStr">
        <is>
          <t>계단식</t>
        </is>
      </c>
      <c r="N204" s="636" t="n">
        <v>3</v>
      </c>
      <c r="O204" s="636" t="n">
        <v>2</v>
      </c>
      <c r="P204" s="636" t="n">
        <v>364</v>
      </c>
      <c r="Q204" s="636" t="n"/>
      <c r="R204" s="636" t="n"/>
      <c r="S204" s="636" t="n"/>
      <c r="T204" s="636" t="n"/>
      <c r="U204" s="636" t="n"/>
      <c r="V204" s="636" t="n"/>
      <c r="W204" s="636" t="n"/>
      <c r="X204" s="636" t="n"/>
      <c r="Y204" s="636" t="n"/>
      <c r="Z204" s="636" t="n"/>
      <c r="AA204" s="636" t="n"/>
      <c r="AB204" s="636" t="n"/>
      <c r="AC204" s="636" t="n"/>
      <c r="AD204" s="636" t="n"/>
      <c r="AE204" s="636" t="n"/>
      <c r="AF204" s="636" t="n"/>
      <c r="AG204" s="636" t="n"/>
      <c r="AH204" s="636" t="n"/>
      <c r="AI204" s="636" t="n"/>
      <c r="AJ204" s="636" t="n"/>
      <c r="AK204" s="636" t="n"/>
    </row>
    <row r="205">
      <c r="A205" t="inlineStr">
        <is>
          <t>평촌동</t>
        </is>
      </c>
      <c r="D205" t="n">
        <v>1482</v>
      </c>
      <c r="E205" s="638" t="inlineStr">
        <is>
          <t>향촌현대5차</t>
        </is>
      </c>
      <c r="F205" t="n">
        <v>1993.04</v>
      </c>
      <c r="G205" t="n">
        <v>780</v>
      </c>
      <c r="H205">
        <f>2026-INT(F205)+1</f>
        <v/>
      </c>
      <c r="J205" t="n">
        <v>75</v>
      </c>
      <c r="K205" t="n">
        <v>59</v>
      </c>
      <c r="L205" t="n">
        <v>23</v>
      </c>
      <c r="M205" t="inlineStr">
        <is>
          <t>계단식</t>
        </is>
      </c>
      <c r="N205" t="n">
        <v>3</v>
      </c>
      <c r="O205" t="n">
        <v>1</v>
      </c>
      <c r="P205" t="n">
        <v>270</v>
      </c>
    </row>
    <row r="206">
      <c r="A206" s="458" t="inlineStr">
        <is>
          <t>평촌동</t>
        </is>
      </c>
      <c r="D206" s="458" t="n">
        <v>1482</v>
      </c>
      <c r="E206" s="638" t="inlineStr">
        <is>
          <t>향촌현대5차</t>
        </is>
      </c>
      <c r="F206" s="458" t="n">
        <v>1993.04</v>
      </c>
      <c r="G206" s="458" t="n">
        <v>780</v>
      </c>
      <c r="H206" s="458">
        <f>2026-INT(F206)+1</f>
        <v/>
      </c>
      <c r="J206" s="458" t="n">
        <v>105</v>
      </c>
      <c r="K206" s="458" t="n">
        <v>84</v>
      </c>
      <c r="L206" s="458" t="n">
        <v>32</v>
      </c>
      <c r="M206" s="458" t="inlineStr">
        <is>
          <t>계단식</t>
        </is>
      </c>
      <c r="N206" s="458" t="n">
        <v>3</v>
      </c>
      <c r="O206" s="458" t="n">
        <v>2</v>
      </c>
      <c r="P206" s="458" t="n">
        <v>510</v>
      </c>
      <c r="U206" s="458" t="n"/>
      <c r="V206" s="458" t="n"/>
    </row>
    <row r="207">
      <c r="A207" s="639" t="inlineStr">
        <is>
          <t>평촌동</t>
        </is>
      </c>
      <c r="B207" s="636" t="n"/>
      <c r="C207" s="636" t="n"/>
      <c r="D207" s="639" t="n">
        <v>171438</v>
      </c>
      <c r="E207" s="637" t="inlineStr">
        <is>
          <t>힐스테이트인덕원역베르텍스</t>
        </is>
      </c>
      <c r="F207" s="639" t="n">
        <v>2024.11</v>
      </c>
      <c r="G207" s="639" t="n">
        <v>472</v>
      </c>
      <c r="H207" s="639">
        <f>2026-INT(F207)+1</f>
        <v/>
      </c>
      <c r="I207" s="636" t="n"/>
      <c r="J207" s="639" t="n">
        <v>84</v>
      </c>
      <c r="K207" s="639" t="n">
        <v>63</v>
      </c>
      <c r="L207" s="639" t="n">
        <v>25</v>
      </c>
      <c r="M207" s="639" t="inlineStr">
        <is>
          <t>계단식</t>
        </is>
      </c>
      <c r="N207" s="639" t="n">
        <v>3</v>
      </c>
      <c r="O207" s="639" t="n">
        <v>2</v>
      </c>
      <c r="P207" s="639" t="n">
        <v>266</v>
      </c>
      <c r="Q207" s="636" t="n"/>
      <c r="R207" s="636" t="n"/>
      <c r="S207" s="636" t="n"/>
      <c r="T207" s="636" t="n"/>
      <c r="U207" s="639" t="n"/>
      <c r="V207" s="639" t="n"/>
      <c r="W207" s="636" t="n"/>
      <c r="X207" s="636" t="n"/>
      <c r="Y207" s="636" t="n"/>
      <c r="Z207" s="636" t="n"/>
      <c r="AA207" s="636" t="n"/>
      <c r="AB207" s="636" t="n"/>
      <c r="AC207" s="636" t="n"/>
      <c r="AD207" s="636" t="n"/>
      <c r="AE207" s="636" t="n"/>
      <c r="AF207" s="636" t="n"/>
      <c r="AG207" s="636" t="n"/>
      <c r="AH207" s="636" t="n"/>
      <c r="AI207" s="636" t="n"/>
      <c r="AJ207" s="636" t="n"/>
      <c r="AK207" s="636" t="n"/>
    </row>
    <row r="208">
      <c r="A208" s="639" t="inlineStr">
        <is>
          <t>평촌동</t>
        </is>
      </c>
      <c r="B208" s="636" t="n"/>
      <c r="C208" s="636" t="n"/>
      <c r="D208" s="639" t="n">
        <v>171438</v>
      </c>
      <c r="E208" s="637" t="inlineStr">
        <is>
          <t>힐스테이트인덕원역베르텍스</t>
        </is>
      </c>
      <c r="F208" s="639" t="n">
        <v>2024.11</v>
      </c>
      <c r="G208" s="639" t="n">
        <v>472</v>
      </c>
      <c r="H208" s="639">
        <f>2026-INT(F208)+1</f>
        <v/>
      </c>
      <c r="I208" s="636" t="n"/>
      <c r="J208" s="639" t="n">
        <v>111</v>
      </c>
      <c r="K208" s="639" t="n">
        <v>84</v>
      </c>
      <c r="L208" s="639" t="n">
        <v>34</v>
      </c>
      <c r="M208" s="639" t="inlineStr">
        <is>
          <t>계단식</t>
        </is>
      </c>
      <c r="N208" s="639" t="n">
        <v>3</v>
      </c>
      <c r="O208" s="639" t="n">
        <v>2</v>
      </c>
      <c r="P208" s="639" t="n">
        <v>206</v>
      </c>
      <c r="Q208" s="636" t="n"/>
      <c r="R208" s="636" t="n"/>
      <c r="S208" s="636" t="n"/>
      <c r="T208" s="636" t="n"/>
      <c r="U208" s="639" t="n"/>
      <c r="V208" s="639" t="n"/>
      <c r="W208" s="636" t="n"/>
      <c r="X208" s="636" t="n"/>
      <c r="Y208" s="636" t="n"/>
      <c r="Z208" s="636" t="n"/>
      <c r="AA208" s="636" t="n"/>
      <c r="AB208" s="636" t="n"/>
      <c r="AC208" s="636" t="n"/>
      <c r="AD208" s="636" t="n"/>
      <c r="AE208" s="636" t="n"/>
      <c r="AF208" s="636" t="n"/>
      <c r="AG208" s="636" t="n"/>
      <c r="AH208" s="636" t="n"/>
      <c r="AI208" s="636" t="n"/>
      <c r="AJ208" s="636" t="n"/>
      <c r="AK208" s="636" t="n"/>
    </row>
    <row r="209">
      <c r="A209" s="458" t="inlineStr">
        <is>
          <t>호계동</t>
        </is>
      </c>
      <c r="D209" s="458" t="n">
        <v>107639</v>
      </c>
      <c r="E209" s="638" t="inlineStr">
        <is>
          <t>금정역호계푸르지오</t>
        </is>
      </c>
      <c r="F209" s="458" t="n">
        <v>2015.08</v>
      </c>
      <c r="G209" s="458" t="n">
        <v>410</v>
      </c>
      <c r="H209" s="458">
        <f>2026-INT(F209)+1</f>
        <v/>
      </c>
      <c r="J209" s="458" t="n">
        <v>80</v>
      </c>
      <c r="K209" s="458" t="n">
        <v>59</v>
      </c>
      <c r="L209" s="458" t="n">
        <v>24</v>
      </c>
      <c r="M209" s="458" t="inlineStr">
        <is>
          <t>계단식</t>
        </is>
      </c>
      <c r="N209" s="458" t="n">
        <v>3</v>
      </c>
      <c r="O209" s="458" t="n">
        <v>2</v>
      </c>
      <c r="P209" s="458" t="n">
        <v>225</v>
      </c>
      <c r="U209" s="458" t="n"/>
      <c r="V209" s="458" t="n"/>
    </row>
    <row r="210">
      <c r="A210" t="inlineStr">
        <is>
          <t>호계동</t>
        </is>
      </c>
      <c r="D210" t="n">
        <v>107639</v>
      </c>
      <c r="E210" s="638" t="inlineStr">
        <is>
          <t>금정역호계푸르지오</t>
        </is>
      </c>
      <c r="F210" t="n">
        <v>2015.08</v>
      </c>
      <c r="G210" t="n">
        <v>410</v>
      </c>
      <c r="H210">
        <f>2026-INT(F210)+1</f>
        <v/>
      </c>
      <c r="J210" t="n">
        <v>98</v>
      </c>
      <c r="K210" t="n">
        <v>74</v>
      </c>
      <c r="L210" t="n">
        <v>30</v>
      </c>
      <c r="M210" t="inlineStr">
        <is>
          <t>계단식</t>
        </is>
      </c>
      <c r="N210" t="n">
        <v>3</v>
      </c>
      <c r="O210" t="n">
        <v>2</v>
      </c>
      <c r="P210" t="n">
        <v>76</v>
      </c>
    </row>
    <row r="211">
      <c r="A211" t="inlineStr">
        <is>
          <t>호계동</t>
        </is>
      </c>
      <c r="D211" t="n">
        <v>107639</v>
      </c>
      <c r="E211" s="638" t="inlineStr">
        <is>
          <t>금정역호계푸르지오</t>
        </is>
      </c>
      <c r="F211" t="n">
        <v>2015.08</v>
      </c>
      <c r="G211" t="n">
        <v>410</v>
      </c>
      <c r="H211">
        <f>2026-INT(F211)+1</f>
        <v/>
      </c>
      <c r="J211" t="n">
        <v>101</v>
      </c>
      <c r="K211" t="n">
        <v>79</v>
      </c>
      <c r="L211" t="n">
        <v>31</v>
      </c>
      <c r="M211" t="inlineStr">
        <is>
          <t>계단식</t>
        </is>
      </c>
      <c r="N211" t="n">
        <v>3</v>
      </c>
      <c r="O211" t="n">
        <v>2</v>
      </c>
      <c r="P211" t="n">
        <v>2</v>
      </c>
    </row>
    <row r="212">
      <c r="A212" t="inlineStr">
        <is>
          <t>호계동</t>
        </is>
      </c>
      <c r="D212" t="n">
        <v>107639</v>
      </c>
      <c r="E212" s="638" t="inlineStr">
        <is>
          <t>금정역호계푸르지오</t>
        </is>
      </c>
      <c r="F212" t="n">
        <v>2015.08</v>
      </c>
      <c r="G212" t="n">
        <v>410</v>
      </c>
      <c r="H212">
        <f>2026-INT(F212)+1</f>
        <v/>
      </c>
      <c r="J212" t="n">
        <v>108</v>
      </c>
      <c r="K212" t="n">
        <v>84</v>
      </c>
      <c r="L212" t="n">
        <v>33</v>
      </c>
      <c r="M212" t="inlineStr">
        <is>
          <t>계단식</t>
        </is>
      </c>
      <c r="N212" t="n">
        <v>3</v>
      </c>
      <c r="O212" t="n">
        <v>2</v>
      </c>
      <c r="P212" t="n">
        <v>107</v>
      </c>
    </row>
    <row r="213">
      <c r="A213" s="636" t="inlineStr">
        <is>
          <t>호계동</t>
        </is>
      </c>
      <c r="B213" s="636" t="n"/>
      <c r="C213" s="636" t="n"/>
      <c r="D213" s="636" t="n">
        <v>1457</v>
      </c>
      <c r="E213" s="637" t="inlineStr">
        <is>
          <t>목련1단지</t>
        </is>
      </c>
      <c r="F213" s="636" t="n">
        <v>1992.11</v>
      </c>
      <c r="G213" s="636" t="n">
        <v>480</v>
      </c>
      <c r="H213" s="636">
        <f>2026-INT(F213)+1</f>
        <v/>
      </c>
      <c r="I213" s="636" t="n"/>
      <c r="J213" s="636" t="n">
        <v>117</v>
      </c>
      <c r="K213" s="636" t="n">
        <v>98</v>
      </c>
      <c r="L213" s="636" t="n">
        <v>35</v>
      </c>
      <c r="M213" s="636" t="inlineStr">
        <is>
          <t>계단식</t>
        </is>
      </c>
      <c r="N213" s="636" t="n">
        <v>3</v>
      </c>
      <c r="O213" s="636" t="n">
        <v>2</v>
      </c>
      <c r="P213" s="636" t="n">
        <v>124</v>
      </c>
      <c r="Q213" s="636" t="n"/>
      <c r="R213" s="636" t="n"/>
      <c r="S213" s="636" t="n"/>
      <c r="T213" s="636" t="n"/>
      <c r="U213" s="636" t="n"/>
      <c r="V213" s="636" t="n"/>
      <c r="W213" s="636" t="n"/>
      <c r="X213" s="636" t="n"/>
      <c r="Y213" s="636" t="n"/>
      <c r="Z213" s="636" t="n"/>
      <c r="AA213" s="636" t="n"/>
      <c r="AB213" s="636" t="n"/>
      <c r="AC213" s="636" t="n"/>
      <c r="AD213" s="636" t="n"/>
      <c r="AE213" s="636" t="n"/>
      <c r="AF213" s="636" t="n"/>
      <c r="AG213" s="636" t="n"/>
      <c r="AH213" s="636" t="n"/>
      <c r="AI213" s="636" t="n"/>
      <c r="AJ213" s="636" t="n"/>
      <c r="AK213" s="636" t="n"/>
    </row>
    <row r="214">
      <c r="A214" s="636" t="inlineStr">
        <is>
          <t>호계동</t>
        </is>
      </c>
      <c r="B214" s="636" t="n"/>
      <c r="C214" s="636" t="n"/>
      <c r="D214" s="636" t="n">
        <v>1457</v>
      </c>
      <c r="E214" s="637" t="inlineStr">
        <is>
          <t>목련1단지</t>
        </is>
      </c>
      <c r="F214" s="636" t="n">
        <v>1992.11</v>
      </c>
      <c r="G214" s="636" t="n">
        <v>480</v>
      </c>
      <c r="H214" s="636">
        <f>2026-INT(F214)+1</f>
        <v/>
      </c>
      <c r="I214" s="636" t="n"/>
      <c r="J214" s="636" t="n">
        <v>141</v>
      </c>
      <c r="K214" s="636" t="n">
        <v>122</v>
      </c>
      <c r="L214" s="636" t="n">
        <v>43</v>
      </c>
      <c r="M214" s="636" t="inlineStr">
        <is>
          <t>계단식</t>
        </is>
      </c>
      <c r="N214" s="636" t="n">
        <v>4</v>
      </c>
      <c r="O214" s="636" t="n">
        <v>2</v>
      </c>
      <c r="P214" s="636" t="n">
        <v>182</v>
      </c>
      <c r="Q214" s="636" t="n"/>
      <c r="R214" s="636" t="n"/>
      <c r="S214" s="636" t="n"/>
      <c r="T214" s="636" t="n"/>
      <c r="U214" s="636" t="n"/>
      <c r="V214" s="636" t="n"/>
      <c r="W214" s="636" t="n"/>
      <c r="X214" s="636" t="n"/>
      <c r="Y214" s="636" t="n"/>
      <c r="Z214" s="636" t="n"/>
      <c r="AA214" s="636" t="n"/>
      <c r="AB214" s="636" t="n"/>
      <c r="AC214" s="636" t="n"/>
      <c r="AD214" s="636" t="n"/>
      <c r="AE214" s="636" t="n"/>
      <c r="AF214" s="636" t="n"/>
      <c r="AG214" s="636" t="n"/>
      <c r="AH214" s="636" t="n"/>
      <c r="AI214" s="636" t="n"/>
      <c r="AJ214" s="636" t="n"/>
      <c r="AK214" s="636" t="n"/>
    </row>
    <row r="215">
      <c r="A215" s="636" t="inlineStr">
        <is>
          <t>호계동</t>
        </is>
      </c>
      <c r="B215" s="636" t="n"/>
      <c r="C215" s="636" t="n"/>
      <c r="D215" s="636" t="n">
        <v>1457</v>
      </c>
      <c r="E215" s="637" t="inlineStr">
        <is>
          <t>목련1단지</t>
        </is>
      </c>
      <c r="F215" s="636" t="n">
        <v>1992.11</v>
      </c>
      <c r="G215" s="636" t="n">
        <v>480</v>
      </c>
      <c r="H215" s="636">
        <f>2026-INT(F215)+1</f>
        <v/>
      </c>
      <c r="I215" s="636" t="n"/>
      <c r="J215" s="636" t="n">
        <v>156</v>
      </c>
      <c r="K215" s="636" t="n">
        <v>134</v>
      </c>
      <c r="L215" s="636" t="n">
        <v>47</v>
      </c>
      <c r="M215" s="636" t="inlineStr">
        <is>
          <t>계단식</t>
        </is>
      </c>
      <c r="N215" s="636" t="n">
        <v>4</v>
      </c>
      <c r="O215" s="636" t="n">
        <v>2</v>
      </c>
      <c r="P215" s="636" t="n">
        <v>100</v>
      </c>
      <c r="Q215" s="636" t="n"/>
      <c r="R215" s="636" t="n"/>
      <c r="S215" s="636" t="n"/>
      <c r="T215" s="636" t="n"/>
      <c r="U215" s="636" t="n"/>
      <c r="V215" s="636" t="n"/>
      <c r="W215" s="636" t="n"/>
      <c r="X215" s="636" t="n"/>
      <c r="Y215" s="636" t="n"/>
      <c r="Z215" s="636" t="n"/>
      <c r="AA215" s="636" t="n"/>
      <c r="AB215" s="636" t="n"/>
      <c r="AC215" s="636" t="n"/>
      <c r="AD215" s="636" t="n"/>
      <c r="AE215" s="636" t="n"/>
      <c r="AF215" s="636" t="n"/>
      <c r="AG215" s="636" t="n"/>
      <c r="AH215" s="636" t="n"/>
      <c r="AI215" s="636" t="n"/>
      <c r="AJ215" s="636" t="n"/>
      <c r="AK215" s="636" t="n"/>
    </row>
    <row r="216">
      <c r="A216" s="639" t="inlineStr">
        <is>
          <t>호계동</t>
        </is>
      </c>
      <c r="B216" s="636" t="n"/>
      <c r="C216" s="636" t="n"/>
      <c r="D216" s="639" t="n">
        <v>1457</v>
      </c>
      <c r="E216" s="637" t="inlineStr">
        <is>
          <t>목련1단지</t>
        </is>
      </c>
      <c r="F216" s="639" t="n">
        <v>1992.11</v>
      </c>
      <c r="G216" s="639" t="n">
        <v>480</v>
      </c>
      <c r="H216" s="639">
        <f>2026-INT(F216)+1</f>
        <v/>
      </c>
      <c r="I216" s="636" t="n"/>
      <c r="J216" s="639" t="n">
        <v>173</v>
      </c>
      <c r="K216" s="639" t="n">
        <v>152</v>
      </c>
      <c r="L216" s="639" t="n">
        <v>52</v>
      </c>
      <c r="M216" s="639" t="inlineStr">
        <is>
          <t>계단식</t>
        </is>
      </c>
      <c r="N216" s="639" t="n">
        <v>5</v>
      </c>
      <c r="O216" s="639" t="n">
        <v>2</v>
      </c>
      <c r="P216" s="639" t="n">
        <v>10</v>
      </c>
      <c r="Q216" s="636" t="n"/>
      <c r="R216" s="636" t="n"/>
      <c r="S216" s="636" t="n"/>
      <c r="T216" s="636" t="n"/>
      <c r="U216" s="636" t="n"/>
      <c r="V216" s="636" t="n"/>
      <c r="W216" s="636" t="n"/>
      <c r="X216" s="636" t="n"/>
      <c r="Y216" s="636" t="n"/>
      <c r="Z216" s="636" t="n"/>
      <c r="AA216" s="636" t="n"/>
      <c r="AB216" s="636" t="n"/>
      <c r="AC216" s="636" t="n"/>
      <c r="AD216" s="636" t="n"/>
      <c r="AE216" s="636" t="n"/>
      <c r="AF216" s="636" t="n"/>
      <c r="AG216" s="636" t="n"/>
      <c r="AH216" s="636" t="n"/>
      <c r="AI216" s="636" t="n"/>
      <c r="AJ216" s="636" t="n"/>
      <c r="AK216" s="636" t="n"/>
    </row>
    <row r="217">
      <c r="A217" s="639" t="inlineStr">
        <is>
          <t>호계동</t>
        </is>
      </c>
      <c r="B217" s="636" t="n"/>
      <c r="C217" s="636" t="n"/>
      <c r="D217" s="639" t="n">
        <v>1457</v>
      </c>
      <c r="E217" s="637" t="inlineStr">
        <is>
          <t>목련1단지</t>
        </is>
      </c>
      <c r="F217" s="639" t="n">
        <v>1992.11</v>
      </c>
      <c r="G217" s="639" t="n">
        <v>480</v>
      </c>
      <c r="H217" s="639">
        <f>2026-INT(F217)+1</f>
        <v/>
      </c>
      <c r="I217" s="636" t="n"/>
      <c r="J217" s="639" t="n">
        <v>176</v>
      </c>
      <c r="K217" s="639" t="n">
        <v>152</v>
      </c>
      <c r="L217" s="639" t="n">
        <v>53</v>
      </c>
      <c r="M217" s="639" t="inlineStr">
        <is>
          <t>계단식</t>
        </is>
      </c>
      <c r="N217" s="639" t="n">
        <v>4</v>
      </c>
      <c r="O217" s="639" t="n">
        <v>2</v>
      </c>
      <c r="P217" s="639" t="n">
        <v>50</v>
      </c>
      <c r="Q217" s="636" t="n"/>
      <c r="R217" s="636" t="n"/>
      <c r="S217" s="636" t="n"/>
      <c r="T217" s="636" t="n"/>
      <c r="U217" s="636" t="n"/>
      <c r="V217" s="636" t="n"/>
      <c r="W217" s="636" t="n"/>
      <c r="X217" s="636" t="n"/>
      <c r="Y217" s="636" t="n"/>
      <c r="Z217" s="636" t="n"/>
      <c r="AA217" s="636" t="n"/>
      <c r="AB217" s="636" t="n"/>
      <c r="AC217" s="636" t="n"/>
      <c r="AD217" s="636" t="n"/>
      <c r="AE217" s="636" t="n"/>
      <c r="AF217" s="636" t="n"/>
      <c r="AG217" s="636" t="n"/>
      <c r="AH217" s="636" t="n"/>
      <c r="AI217" s="636" t="n"/>
      <c r="AJ217" s="636" t="n"/>
      <c r="AK217" s="636" t="n"/>
    </row>
    <row r="218">
      <c r="A218" s="639" t="inlineStr">
        <is>
          <t>호계동</t>
        </is>
      </c>
      <c r="B218" s="636" t="n"/>
      <c r="C218" s="636" t="n"/>
      <c r="D218" s="639" t="n">
        <v>1457</v>
      </c>
      <c r="E218" s="637" t="inlineStr">
        <is>
          <t>목련1단지</t>
        </is>
      </c>
      <c r="F218" s="639" t="n">
        <v>1992.11</v>
      </c>
      <c r="G218" s="639" t="n">
        <v>480</v>
      </c>
      <c r="H218" s="639">
        <f>2026-INT(F218)+1</f>
        <v/>
      </c>
      <c r="I218" s="636" t="n"/>
      <c r="J218" s="639" t="n">
        <v>194</v>
      </c>
      <c r="K218" s="639" t="n">
        <v>172</v>
      </c>
      <c r="L218" s="639" t="n">
        <v>59</v>
      </c>
      <c r="M218" s="639" t="inlineStr">
        <is>
          <t>계단식</t>
        </is>
      </c>
      <c r="N218" s="639" t="n">
        <v>6</v>
      </c>
      <c r="O218" s="639" t="n">
        <v>3</v>
      </c>
      <c r="P218" s="639" t="n">
        <v>14</v>
      </c>
      <c r="Q218" s="636" t="n"/>
      <c r="R218" s="636" t="n"/>
      <c r="S218" s="636" t="n"/>
      <c r="T218" s="636" t="n"/>
      <c r="U218" s="636" t="n"/>
      <c r="V218" s="636" t="n"/>
      <c r="W218" s="636" t="n"/>
      <c r="X218" s="636" t="n"/>
      <c r="Y218" s="636" t="n"/>
      <c r="Z218" s="636" t="n"/>
      <c r="AA218" s="636" t="n"/>
      <c r="AB218" s="636" t="n"/>
      <c r="AC218" s="636" t="n"/>
      <c r="AD218" s="636" t="n"/>
      <c r="AE218" s="636" t="n"/>
      <c r="AF218" s="636" t="n"/>
      <c r="AG218" s="636" t="n"/>
      <c r="AH218" s="636" t="n"/>
      <c r="AI218" s="636" t="n"/>
      <c r="AJ218" s="636" t="n"/>
      <c r="AK218" s="636" t="n"/>
    </row>
    <row r="219">
      <c r="A219" t="inlineStr">
        <is>
          <t>호계동</t>
        </is>
      </c>
      <c r="D219" t="n">
        <v>3015</v>
      </c>
      <c r="E219" s="638" t="inlineStr">
        <is>
          <t>목련2단지</t>
        </is>
      </c>
      <c r="F219" t="n">
        <v>1992.03</v>
      </c>
      <c r="G219" t="n">
        <v>994</v>
      </c>
      <c r="H219">
        <f>2026-INT(F219)+1</f>
        <v/>
      </c>
      <c r="J219" t="n">
        <v>46</v>
      </c>
      <c r="K219" t="n">
        <v>34</v>
      </c>
      <c r="L219" t="n">
        <v>14</v>
      </c>
      <c r="M219" t="inlineStr">
        <is>
          <t>복도식</t>
        </is>
      </c>
      <c r="N219" t="n">
        <v>1</v>
      </c>
      <c r="O219" t="n">
        <v>1</v>
      </c>
      <c r="P219" t="n">
        <v>384</v>
      </c>
    </row>
    <row r="220">
      <c r="A220" t="inlineStr">
        <is>
          <t>호계동</t>
        </is>
      </c>
      <c r="D220" t="n">
        <v>3015</v>
      </c>
      <c r="E220" s="638" t="inlineStr">
        <is>
          <t>목련2단지</t>
        </is>
      </c>
      <c r="F220" t="n">
        <v>1992.03</v>
      </c>
      <c r="G220" t="n">
        <v>994</v>
      </c>
      <c r="H220">
        <f>2026-INT(F220)+1</f>
        <v/>
      </c>
      <c r="J220" t="n">
        <v>77</v>
      </c>
      <c r="K220" t="n">
        <v>58</v>
      </c>
      <c r="L220" t="n">
        <v>23</v>
      </c>
      <c r="M220" t="inlineStr">
        <is>
          <t>복도식</t>
        </is>
      </c>
      <c r="N220" t="n">
        <v>2</v>
      </c>
      <c r="O220" t="n">
        <v>1</v>
      </c>
      <c r="P220" t="n">
        <v>610</v>
      </c>
    </row>
    <row r="221">
      <c r="A221" s="636" t="inlineStr">
        <is>
          <t>호계동</t>
        </is>
      </c>
      <c r="B221" s="636" t="n"/>
      <c r="C221" s="636" t="n"/>
      <c r="D221" s="636" t="n">
        <v>3022</v>
      </c>
      <c r="E221" s="637" t="inlineStr">
        <is>
          <t>목련3단지</t>
        </is>
      </c>
      <c r="F221" s="636" t="n">
        <v>1992.07</v>
      </c>
      <c r="G221" s="636" t="n">
        <v>902</v>
      </c>
      <c r="H221" s="636">
        <f>2026-INT(F221)+1</f>
        <v/>
      </c>
      <c r="I221" s="636" t="n"/>
      <c r="J221" s="636" t="n">
        <v>56</v>
      </c>
      <c r="K221" s="636" t="n">
        <v>41</v>
      </c>
      <c r="L221" s="636" t="n">
        <v>17</v>
      </c>
      <c r="M221" s="636" t="inlineStr">
        <is>
          <t>복도식</t>
        </is>
      </c>
      <c r="N221" s="636" t="n">
        <v>1</v>
      </c>
      <c r="O221" s="636" t="n">
        <v>1</v>
      </c>
      <c r="P221" s="636" t="n">
        <v>98</v>
      </c>
      <c r="Q221" s="636" t="n"/>
      <c r="R221" s="636" t="n"/>
      <c r="S221" s="636" t="n"/>
      <c r="T221" s="636" t="n"/>
      <c r="U221" s="636" t="n"/>
      <c r="V221" s="636" t="n"/>
      <c r="W221" s="636" t="n"/>
      <c r="X221" s="636" t="n"/>
      <c r="Y221" s="636" t="n"/>
      <c r="Z221" s="636" t="n"/>
      <c r="AA221" s="636" t="n"/>
      <c r="AB221" s="636" t="n"/>
      <c r="AC221" s="636" t="n"/>
      <c r="AD221" s="636" t="n"/>
      <c r="AE221" s="636" t="n"/>
      <c r="AF221" s="636" t="n"/>
      <c r="AG221" s="636" t="n"/>
      <c r="AH221" s="636" t="n"/>
      <c r="AI221" s="636" t="n"/>
      <c r="AJ221" s="636" t="n"/>
      <c r="AK221" s="636" t="n"/>
    </row>
    <row r="222">
      <c r="A222" s="636" t="inlineStr">
        <is>
          <t>호계동</t>
        </is>
      </c>
      <c r="B222" s="636" t="n"/>
      <c r="C222" s="636" t="n"/>
      <c r="D222" s="636" t="n">
        <v>3022</v>
      </c>
      <c r="E222" s="637" t="inlineStr">
        <is>
          <t>목련3단지</t>
        </is>
      </c>
      <c r="F222" s="636" t="n">
        <v>1992.07</v>
      </c>
      <c r="G222" s="636" t="n">
        <v>902</v>
      </c>
      <c r="H222" s="636">
        <f>2026-INT(F222)+1</f>
        <v/>
      </c>
      <c r="I222" s="636" t="n"/>
      <c r="J222" s="636" t="n">
        <v>68</v>
      </c>
      <c r="K222" s="636" t="n">
        <v>50</v>
      </c>
      <c r="L222" s="636" t="n">
        <v>21</v>
      </c>
      <c r="M222" s="636" t="inlineStr">
        <is>
          <t>복도식</t>
        </is>
      </c>
      <c r="N222" s="636" t="n">
        <v>2</v>
      </c>
      <c r="O222" s="636" t="n">
        <v>1</v>
      </c>
      <c r="P222" s="636" t="n">
        <v>294</v>
      </c>
      <c r="Q222" s="636" t="n"/>
      <c r="R222" s="636" t="n"/>
      <c r="S222" s="636" t="n"/>
      <c r="T222" s="636" t="n"/>
      <c r="U222" s="636" t="n"/>
      <c r="V222" s="636" t="n"/>
      <c r="W222" s="636" t="n"/>
      <c r="X222" s="636" t="n"/>
      <c r="Y222" s="636" t="n"/>
      <c r="Z222" s="636" t="n"/>
      <c r="AA222" s="636" t="n"/>
      <c r="AB222" s="636" t="n"/>
      <c r="AC222" s="636" t="n"/>
      <c r="AD222" s="636" t="n"/>
      <c r="AE222" s="636" t="n"/>
      <c r="AF222" s="636" t="n"/>
      <c r="AG222" s="636" t="n"/>
      <c r="AH222" s="636" t="n"/>
      <c r="AI222" s="636" t="n"/>
      <c r="AJ222" s="636" t="n"/>
      <c r="AK222" s="636" t="n"/>
    </row>
    <row r="223">
      <c r="A223" s="636" t="inlineStr">
        <is>
          <t>호계동</t>
        </is>
      </c>
      <c r="B223" s="636" t="n"/>
      <c r="C223" s="636" t="n"/>
      <c r="D223" s="636" t="n">
        <v>3022</v>
      </c>
      <c r="E223" s="637" t="inlineStr">
        <is>
          <t>목련3단지</t>
        </is>
      </c>
      <c r="F223" s="636" t="n">
        <v>1992.07</v>
      </c>
      <c r="G223" s="636" t="n">
        <v>902</v>
      </c>
      <c r="H223" s="636">
        <f>2026-INT(F223)+1</f>
        <v/>
      </c>
      <c r="I223" s="636" t="n"/>
      <c r="J223" s="636" t="n">
        <v>74</v>
      </c>
      <c r="K223" s="636" t="n">
        <v>56</v>
      </c>
      <c r="L223" s="636" t="n">
        <v>22</v>
      </c>
      <c r="M223" s="636" t="inlineStr">
        <is>
          <t>복도식</t>
        </is>
      </c>
      <c r="N223" s="636" t="n">
        <v>2</v>
      </c>
      <c r="O223" s="636" t="n">
        <v>1</v>
      </c>
      <c r="P223" s="636" t="n">
        <v>510</v>
      </c>
      <c r="Q223" s="636" t="n"/>
      <c r="R223" s="636" t="n"/>
      <c r="S223" s="636" t="n"/>
      <c r="T223" s="636" t="n"/>
      <c r="U223" s="636" t="n"/>
      <c r="V223" s="636" t="n"/>
      <c r="W223" s="636" t="n"/>
      <c r="X223" s="636" t="n"/>
      <c r="Y223" s="636" t="n"/>
      <c r="Z223" s="636" t="n"/>
      <c r="AA223" s="636" t="n"/>
      <c r="AB223" s="636" t="n"/>
      <c r="AC223" s="636" t="n"/>
      <c r="AD223" s="636" t="n"/>
      <c r="AE223" s="636" t="n"/>
      <c r="AF223" s="636" t="n"/>
      <c r="AG223" s="636" t="n"/>
      <c r="AH223" s="636" t="n"/>
      <c r="AI223" s="636" t="n"/>
      <c r="AJ223" s="636" t="n"/>
      <c r="AK223" s="636" t="n"/>
    </row>
    <row r="224">
      <c r="A224" s="458" t="inlineStr">
        <is>
          <t>호계동</t>
        </is>
      </c>
      <c r="D224" s="458" t="n">
        <v>3023</v>
      </c>
      <c r="E224" s="638" t="inlineStr">
        <is>
          <t>목련5단지</t>
        </is>
      </c>
      <c r="F224" s="458" t="n">
        <v>1993.03</v>
      </c>
      <c r="G224" s="458" t="n">
        <v>683</v>
      </c>
      <c r="H224" s="458">
        <f>2026-INT(F224)+1</f>
        <v/>
      </c>
      <c r="J224" s="458" t="n">
        <v>54</v>
      </c>
      <c r="K224" s="458" t="n">
        <v>41</v>
      </c>
      <c r="L224" s="458" t="n">
        <v>16</v>
      </c>
      <c r="M224" s="458" t="inlineStr">
        <is>
          <t>복도식</t>
        </is>
      </c>
      <c r="N224" s="458" t="n">
        <v>1</v>
      </c>
      <c r="O224" s="458" t="n">
        <v>1</v>
      </c>
      <c r="P224" s="458" t="n">
        <v>523</v>
      </c>
      <c r="U224" s="458" t="n"/>
      <c r="V224" s="458" t="n"/>
    </row>
    <row r="225">
      <c r="A225" s="458" t="inlineStr">
        <is>
          <t>호계동</t>
        </is>
      </c>
      <c r="D225" s="458" t="n">
        <v>3023</v>
      </c>
      <c r="E225" s="638" t="inlineStr">
        <is>
          <t>목련5단지</t>
        </is>
      </c>
      <c r="F225" s="458" t="n">
        <v>1993.03</v>
      </c>
      <c r="G225" s="458" t="n">
        <v>683</v>
      </c>
      <c r="H225" s="458">
        <f>2026-INT(F225)+1</f>
        <v/>
      </c>
      <c r="J225" s="458" t="n">
        <v>76</v>
      </c>
      <c r="K225" s="458" t="n">
        <v>58</v>
      </c>
      <c r="L225" s="458" t="n">
        <v>23</v>
      </c>
      <c r="M225" s="458" t="inlineStr">
        <is>
          <t>복도식</t>
        </is>
      </c>
      <c r="N225" s="458" t="n">
        <v>2</v>
      </c>
      <c r="O225" s="458" t="n">
        <v>1</v>
      </c>
      <c r="P225" s="458" t="n">
        <v>80</v>
      </c>
      <c r="U225" s="458" t="n"/>
      <c r="V225" s="458" t="n"/>
    </row>
    <row r="226">
      <c r="A226" s="458" t="inlineStr">
        <is>
          <t>호계동</t>
        </is>
      </c>
      <c r="D226" s="458" t="n">
        <v>3023</v>
      </c>
      <c r="E226" s="638" t="inlineStr">
        <is>
          <t>목련5단지</t>
        </is>
      </c>
      <c r="F226" s="458" t="n">
        <v>1993.03</v>
      </c>
      <c r="G226" s="458" t="n">
        <v>683</v>
      </c>
      <c r="H226" s="458">
        <f>2026-INT(F226)+1</f>
        <v/>
      </c>
      <c r="J226" s="458" t="n">
        <v>78</v>
      </c>
      <c r="K226" s="458" t="n">
        <v>60</v>
      </c>
      <c r="L226" s="458" t="n">
        <v>24</v>
      </c>
      <c r="M226" s="458" t="inlineStr">
        <is>
          <t>복도식</t>
        </is>
      </c>
      <c r="N226" s="458" t="n">
        <v>2</v>
      </c>
      <c r="O226" s="458" t="n">
        <v>1</v>
      </c>
      <c r="P226" s="458" t="n">
        <v>80</v>
      </c>
      <c r="U226" s="458" t="n"/>
    </row>
    <row r="227">
      <c r="A227" s="639" t="inlineStr">
        <is>
          <t>호계동</t>
        </is>
      </c>
      <c r="B227" s="636" t="n"/>
      <c r="C227" s="636" t="n"/>
      <c r="D227" s="639" t="n">
        <v>1456</v>
      </c>
      <c r="E227" s="637" t="inlineStr">
        <is>
          <t>목련6단지</t>
        </is>
      </c>
      <c r="F227" s="639" t="n">
        <v>1993.07</v>
      </c>
      <c r="G227" s="639" t="n">
        <v>440</v>
      </c>
      <c r="H227" s="639">
        <f>2026-INT(F227)+1</f>
        <v/>
      </c>
      <c r="I227" s="636" t="n"/>
      <c r="J227" s="639" t="n">
        <v>123</v>
      </c>
      <c r="K227" s="639" t="n">
        <v>101</v>
      </c>
      <c r="L227" s="639" t="n">
        <v>37</v>
      </c>
      <c r="M227" s="639" t="inlineStr">
        <is>
          <t>계단식</t>
        </is>
      </c>
      <c r="N227" s="639" t="n">
        <v>4</v>
      </c>
      <c r="O227" s="639" t="n">
        <v>2</v>
      </c>
      <c r="P227" s="639" t="n">
        <v>224</v>
      </c>
      <c r="Q227" s="636" t="n"/>
      <c r="R227" s="636" t="n"/>
      <c r="S227" s="636" t="n"/>
      <c r="T227" s="636" t="n"/>
      <c r="U227" s="639" t="n"/>
      <c r="V227" s="639" t="n"/>
      <c r="W227" s="636" t="n"/>
      <c r="X227" s="636" t="n"/>
      <c r="Y227" s="636" t="n"/>
      <c r="Z227" s="636" t="n"/>
      <c r="AA227" s="636" t="n"/>
      <c r="AB227" s="636" t="n"/>
      <c r="AC227" s="636" t="n"/>
      <c r="AD227" s="636" t="n"/>
      <c r="AE227" s="636" t="n"/>
      <c r="AF227" s="636" t="n"/>
      <c r="AG227" s="636" t="n"/>
      <c r="AH227" s="636" t="n"/>
      <c r="AI227" s="636" t="n"/>
      <c r="AJ227" s="636" t="n"/>
      <c r="AK227" s="636" t="n"/>
    </row>
    <row r="228">
      <c r="A228" s="639" t="inlineStr">
        <is>
          <t>호계동</t>
        </is>
      </c>
      <c r="B228" s="636" t="n"/>
      <c r="C228" s="636" t="n"/>
      <c r="D228" s="639" t="n">
        <v>1456</v>
      </c>
      <c r="E228" s="637" t="inlineStr">
        <is>
          <t>목련6단지</t>
        </is>
      </c>
      <c r="F228" s="639" t="n">
        <v>1993.07</v>
      </c>
      <c r="G228" s="639" t="n">
        <v>440</v>
      </c>
      <c r="H228" s="639">
        <f>2026-INT(F228)+1</f>
        <v/>
      </c>
      <c r="I228" s="636" t="n"/>
      <c r="J228" s="639" t="n">
        <v>158</v>
      </c>
      <c r="K228" s="639" t="n">
        <v>131</v>
      </c>
      <c r="L228" s="639" t="n">
        <v>48</v>
      </c>
      <c r="M228" s="639" t="inlineStr">
        <is>
          <t>계단식</t>
        </is>
      </c>
      <c r="N228" s="639" t="n">
        <v>4</v>
      </c>
      <c r="O228" s="639" t="n">
        <v>2</v>
      </c>
      <c r="P228" s="639" t="n">
        <v>140</v>
      </c>
      <c r="Q228" s="636" t="n"/>
      <c r="R228" s="636" t="n"/>
      <c r="S228" s="636" t="n"/>
      <c r="T228" s="636" t="n"/>
      <c r="U228" s="639" t="n"/>
      <c r="V228" s="639" t="n"/>
      <c r="W228" s="636" t="n"/>
      <c r="X228" s="636" t="n"/>
      <c r="Y228" s="636" t="n"/>
      <c r="Z228" s="636" t="n"/>
      <c r="AA228" s="636" t="n"/>
      <c r="AB228" s="636" t="n"/>
      <c r="AC228" s="636" t="n"/>
      <c r="AD228" s="636" t="n"/>
      <c r="AE228" s="636" t="n"/>
      <c r="AF228" s="636" t="n"/>
      <c r="AG228" s="636" t="n"/>
      <c r="AH228" s="636" t="n"/>
      <c r="AI228" s="636" t="n"/>
      <c r="AJ228" s="636" t="n"/>
      <c r="AK228" s="636" t="n"/>
    </row>
    <row r="229">
      <c r="A229" s="636" t="inlineStr">
        <is>
          <t>호계동</t>
        </is>
      </c>
      <c r="B229" s="636" t="n"/>
      <c r="C229" s="636" t="n"/>
      <c r="D229" s="636" t="n">
        <v>1456</v>
      </c>
      <c r="E229" s="637" t="inlineStr">
        <is>
          <t>목련6단지</t>
        </is>
      </c>
      <c r="F229" s="636" t="n">
        <v>1993.07</v>
      </c>
      <c r="G229" s="636" t="n">
        <v>440</v>
      </c>
      <c r="H229" s="636">
        <f>2026-INT(F229)+1</f>
        <v/>
      </c>
      <c r="I229" s="636" t="n"/>
      <c r="J229" s="636" t="n">
        <v>193</v>
      </c>
      <c r="K229" s="636" t="n">
        <v>161</v>
      </c>
      <c r="L229" s="636" t="n">
        <v>58</v>
      </c>
      <c r="M229" s="636" t="inlineStr">
        <is>
          <t>계단식</t>
        </is>
      </c>
      <c r="N229" s="636" t="n">
        <v>5</v>
      </c>
      <c r="O229" s="636" t="n">
        <v>2</v>
      </c>
      <c r="P229" s="636" t="n">
        <v>76</v>
      </c>
      <c r="Q229" s="636" t="n"/>
      <c r="R229" s="636" t="n"/>
      <c r="S229" s="636" t="n"/>
      <c r="T229" s="636" t="n"/>
      <c r="U229" s="636" t="n"/>
      <c r="V229" s="636" t="n"/>
      <c r="W229" s="636" t="n"/>
      <c r="X229" s="636" t="n"/>
      <c r="Y229" s="636" t="n"/>
      <c r="Z229" s="636" t="n"/>
      <c r="AA229" s="636" t="n"/>
      <c r="AB229" s="636" t="n"/>
      <c r="AC229" s="636" t="n"/>
      <c r="AD229" s="636" t="n"/>
      <c r="AE229" s="636" t="n"/>
      <c r="AF229" s="636" t="n"/>
      <c r="AG229" s="636" t="n"/>
      <c r="AH229" s="636" t="n"/>
      <c r="AI229" s="636" t="n"/>
      <c r="AJ229" s="636" t="n"/>
      <c r="AK229" s="636" t="n"/>
    </row>
    <row r="230">
      <c r="A230" t="inlineStr">
        <is>
          <t>호계동</t>
        </is>
      </c>
      <c r="D230" t="n">
        <v>1459</v>
      </c>
      <c r="E230" s="638" t="inlineStr">
        <is>
          <t>목련7단지</t>
        </is>
      </c>
      <c r="F230" t="n">
        <v>1992.09</v>
      </c>
      <c r="G230" t="n">
        <v>466</v>
      </c>
      <c r="H230">
        <f>2026-INT(F230)+1</f>
        <v/>
      </c>
      <c r="J230" t="n">
        <v>122</v>
      </c>
      <c r="K230" t="n">
        <v>101</v>
      </c>
      <c r="L230" t="n">
        <v>37</v>
      </c>
      <c r="M230" t="inlineStr">
        <is>
          <t>계단식</t>
        </is>
      </c>
      <c r="N230" t="n">
        <v>4</v>
      </c>
      <c r="O230" t="n">
        <v>2</v>
      </c>
      <c r="P230" t="n">
        <v>100</v>
      </c>
    </row>
    <row r="231">
      <c r="A231" t="inlineStr">
        <is>
          <t>호계동</t>
        </is>
      </c>
      <c r="D231" t="n">
        <v>1459</v>
      </c>
      <c r="E231" s="638" t="inlineStr">
        <is>
          <t>목련7단지</t>
        </is>
      </c>
      <c r="F231" t="n">
        <v>1992.09</v>
      </c>
      <c r="G231" t="n">
        <v>466</v>
      </c>
      <c r="H231">
        <f>2026-INT(F231)+1</f>
        <v/>
      </c>
      <c r="J231" t="n">
        <v>155</v>
      </c>
      <c r="K231" t="n">
        <v>133</v>
      </c>
      <c r="L231" t="n">
        <v>47</v>
      </c>
      <c r="M231" t="inlineStr">
        <is>
          <t>계단식</t>
        </is>
      </c>
      <c r="N231" t="n">
        <v>4</v>
      </c>
      <c r="O231" t="n">
        <v>2</v>
      </c>
      <c r="P231" t="n">
        <v>240</v>
      </c>
    </row>
    <row r="232">
      <c r="A232" t="inlineStr">
        <is>
          <t>호계동</t>
        </is>
      </c>
      <c r="D232" t="n">
        <v>1459</v>
      </c>
      <c r="E232" s="638" t="inlineStr">
        <is>
          <t>목련7단지</t>
        </is>
      </c>
      <c r="F232" t="n">
        <v>1992.09</v>
      </c>
      <c r="G232" t="n">
        <v>466</v>
      </c>
      <c r="H232">
        <f>2026-INT(F232)+1</f>
        <v/>
      </c>
      <c r="J232" t="n">
        <v>187</v>
      </c>
      <c r="K232" t="n">
        <v>158</v>
      </c>
      <c r="L232" t="n">
        <v>57</v>
      </c>
      <c r="M232" t="inlineStr">
        <is>
          <t>계단식</t>
        </is>
      </c>
      <c r="N232" t="n">
        <v>4</v>
      </c>
      <c r="O232" t="n">
        <v>2</v>
      </c>
      <c r="P232" t="n">
        <v>126</v>
      </c>
    </row>
    <row r="233">
      <c r="A233" s="639" t="inlineStr">
        <is>
          <t>호계동</t>
        </is>
      </c>
      <c r="B233" s="636" t="n"/>
      <c r="C233" s="636" t="n"/>
      <c r="D233" s="639" t="n">
        <v>3016</v>
      </c>
      <c r="E233" s="637" t="inlineStr">
        <is>
          <t>목련8단지</t>
        </is>
      </c>
      <c r="F233" s="639" t="n">
        <v>1992.1</v>
      </c>
      <c r="G233" s="639" t="n">
        <v>516</v>
      </c>
      <c r="H233" s="639">
        <f>2026-INT(F233)+1</f>
        <v/>
      </c>
      <c r="I233" s="636" t="n"/>
      <c r="J233" s="639" t="n">
        <v>119</v>
      </c>
      <c r="K233" s="639" t="n">
        <v>99</v>
      </c>
      <c r="L233" s="639" t="n">
        <v>36</v>
      </c>
      <c r="M233" s="639" t="inlineStr">
        <is>
          <t>계단식</t>
        </is>
      </c>
      <c r="N233" s="639" t="n">
        <v>3</v>
      </c>
      <c r="O233" s="639" t="n">
        <v>2</v>
      </c>
      <c r="P233" s="639" t="n">
        <v>180</v>
      </c>
      <c r="Q233" s="636" t="n"/>
      <c r="R233" s="636" t="n"/>
      <c r="S233" s="636" t="n"/>
      <c r="T233" s="636" t="n"/>
      <c r="U233" s="639" t="n"/>
      <c r="V233" s="639" t="n"/>
      <c r="W233" s="636" t="n"/>
      <c r="X233" s="636" t="n"/>
      <c r="Y233" s="636" t="n"/>
      <c r="Z233" s="636" t="n"/>
      <c r="AA233" s="636" t="n"/>
      <c r="AB233" s="636" t="n"/>
      <c r="AC233" s="636" t="n"/>
      <c r="AD233" s="636" t="n"/>
      <c r="AE233" s="636" t="n"/>
      <c r="AF233" s="636" t="n"/>
      <c r="AG233" s="636" t="n"/>
      <c r="AH233" s="636" t="n"/>
      <c r="AI233" s="636" t="n"/>
      <c r="AJ233" s="636" t="n"/>
      <c r="AK233" s="636" t="n"/>
    </row>
    <row r="234">
      <c r="A234" s="639" t="inlineStr">
        <is>
          <t>호계동</t>
        </is>
      </c>
      <c r="B234" s="636" t="n"/>
      <c r="C234" s="636" t="n"/>
      <c r="D234" s="639" t="n">
        <v>3016</v>
      </c>
      <c r="E234" s="637" t="inlineStr">
        <is>
          <t>목련8단지</t>
        </is>
      </c>
      <c r="F234" s="639" t="n">
        <v>1992.1</v>
      </c>
      <c r="G234" s="639" t="n">
        <v>516</v>
      </c>
      <c r="H234" s="639">
        <f>2026-INT(F234)+1</f>
        <v/>
      </c>
      <c r="I234" s="636" t="n"/>
      <c r="J234" s="639" t="n">
        <v>151</v>
      </c>
      <c r="K234" s="639" t="n">
        <v>127</v>
      </c>
      <c r="L234" s="639" t="n">
        <v>46</v>
      </c>
      <c r="M234" s="639" t="inlineStr">
        <is>
          <t>계단식</t>
        </is>
      </c>
      <c r="N234" s="639" t="n">
        <v>4</v>
      </c>
      <c r="O234" s="639" t="n">
        <v>2</v>
      </c>
      <c r="P234" s="639" t="n">
        <v>256</v>
      </c>
      <c r="Q234" s="636" t="n"/>
      <c r="R234" s="636" t="n"/>
      <c r="S234" s="636" t="n"/>
      <c r="T234" s="636" t="n"/>
      <c r="U234" s="639" t="n"/>
      <c r="V234" s="639" t="n"/>
      <c r="W234" s="636" t="n"/>
      <c r="X234" s="636" t="n"/>
      <c r="Y234" s="636" t="n"/>
      <c r="Z234" s="636" t="n"/>
      <c r="AA234" s="636" t="n"/>
      <c r="AB234" s="636" t="n"/>
      <c r="AC234" s="636" t="n"/>
      <c r="AD234" s="636" t="n"/>
      <c r="AE234" s="636" t="n"/>
      <c r="AF234" s="636" t="n"/>
      <c r="AG234" s="636" t="n"/>
      <c r="AH234" s="636" t="n"/>
      <c r="AI234" s="636" t="n"/>
      <c r="AJ234" s="636" t="n"/>
      <c r="AK234" s="636" t="n"/>
    </row>
    <row r="235">
      <c r="A235" s="639" t="inlineStr">
        <is>
          <t>호계동</t>
        </is>
      </c>
      <c r="B235" s="636" t="n"/>
      <c r="C235" s="636" t="n"/>
      <c r="D235" s="639" t="n">
        <v>3016</v>
      </c>
      <c r="E235" s="637" t="inlineStr">
        <is>
          <t>목련8단지</t>
        </is>
      </c>
      <c r="F235" s="639" t="n">
        <v>1992.1</v>
      </c>
      <c r="G235" s="639" t="n">
        <v>516</v>
      </c>
      <c r="H235" s="639">
        <f>2026-INT(F235)+1</f>
        <v/>
      </c>
      <c r="I235" s="636" t="n"/>
      <c r="J235" s="639" t="n">
        <v>195</v>
      </c>
      <c r="K235" s="639" t="n">
        <v>164</v>
      </c>
      <c r="L235" s="639" t="n">
        <v>59</v>
      </c>
      <c r="M235" s="639" t="inlineStr">
        <is>
          <t>계단식</t>
        </is>
      </c>
      <c r="N235" s="639" t="n">
        <v>5</v>
      </c>
      <c r="O235" s="639" t="n">
        <v>2</v>
      </c>
      <c r="P235" s="639" t="n">
        <v>80</v>
      </c>
      <c r="Q235" s="636" t="n"/>
      <c r="R235" s="636" t="n"/>
      <c r="S235" s="636" t="n"/>
      <c r="T235" s="636" t="n"/>
      <c r="U235" s="639" t="n"/>
      <c r="V235" s="639" t="n"/>
      <c r="W235" s="636" t="n"/>
      <c r="X235" s="636" t="n"/>
      <c r="Y235" s="636" t="n"/>
      <c r="Z235" s="636" t="n"/>
      <c r="AA235" s="636" t="n"/>
      <c r="AB235" s="636" t="n"/>
      <c r="AC235" s="636" t="n"/>
      <c r="AD235" s="636" t="n"/>
      <c r="AE235" s="636" t="n"/>
      <c r="AF235" s="636" t="n"/>
      <c r="AG235" s="636" t="n"/>
      <c r="AH235" s="636" t="n"/>
      <c r="AI235" s="636" t="n"/>
      <c r="AJ235" s="636" t="n"/>
      <c r="AK235" s="636" t="n"/>
    </row>
    <row r="236">
      <c r="A236" s="458" t="inlineStr">
        <is>
          <t>호계동</t>
        </is>
      </c>
      <c r="D236" s="458" t="n">
        <v>1458</v>
      </c>
      <c r="E236" s="638" t="inlineStr">
        <is>
          <t>목련9단지</t>
        </is>
      </c>
      <c r="F236" s="458" t="n">
        <v>1994.07</v>
      </c>
      <c r="G236" s="458" t="n">
        <v>578</v>
      </c>
      <c r="H236" s="458">
        <f>2026-INT(F236)+1</f>
        <v/>
      </c>
      <c r="J236" s="458" t="n">
        <v>120</v>
      </c>
      <c r="K236" s="458" t="n">
        <v>100</v>
      </c>
      <c r="L236" s="458" t="n">
        <v>36</v>
      </c>
      <c r="M236" s="458" t="inlineStr">
        <is>
          <t>계단식</t>
        </is>
      </c>
      <c r="N236" s="458" t="n">
        <v>3</v>
      </c>
      <c r="O236" s="458" t="n">
        <v>2</v>
      </c>
      <c r="P236" s="458" t="n">
        <v>222</v>
      </c>
      <c r="U236" s="458" t="n"/>
      <c r="V236" s="458" t="n"/>
    </row>
    <row r="237">
      <c r="A237" t="inlineStr">
        <is>
          <t>호계동</t>
        </is>
      </c>
      <c r="D237" t="n">
        <v>1458</v>
      </c>
      <c r="E237" s="638" t="inlineStr">
        <is>
          <t>목련9단지</t>
        </is>
      </c>
      <c r="F237" t="n">
        <v>1994.07</v>
      </c>
      <c r="G237" t="n">
        <v>578</v>
      </c>
      <c r="H237">
        <f>2026-INT(F237)+1</f>
        <v/>
      </c>
      <c r="J237" t="n">
        <v>151</v>
      </c>
      <c r="K237" t="n">
        <v>128</v>
      </c>
      <c r="L237" t="n">
        <v>46</v>
      </c>
      <c r="M237" t="inlineStr">
        <is>
          <t>계단식</t>
        </is>
      </c>
      <c r="N237" t="n">
        <v>4</v>
      </c>
      <c r="O237" t="n">
        <v>2</v>
      </c>
      <c r="P237" t="n">
        <v>306</v>
      </c>
    </row>
    <row r="238">
      <c r="A238" t="inlineStr">
        <is>
          <t>호계동</t>
        </is>
      </c>
      <c r="D238" t="n">
        <v>1458</v>
      </c>
      <c r="E238" s="638" t="inlineStr">
        <is>
          <t>목련9단지</t>
        </is>
      </c>
      <c r="F238" t="n">
        <v>1994.07</v>
      </c>
      <c r="G238" t="n">
        <v>578</v>
      </c>
      <c r="H238">
        <f>2026-INT(F238)+1</f>
        <v/>
      </c>
      <c r="J238" t="n">
        <v>176</v>
      </c>
      <c r="K238" t="n">
        <v>150</v>
      </c>
      <c r="L238" t="n">
        <v>53</v>
      </c>
      <c r="M238" t="inlineStr">
        <is>
          <t>계단식</t>
        </is>
      </c>
      <c r="N238" t="n">
        <v>4</v>
      </c>
      <c r="O238" t="n">
        <v>2</v>
      </c>
      <c r="P238" t="n">
        <v>50</v>
      </c>
    </row>
    <row r="239">
      <c r="A239" s="636" t="inlineStr">
        <is>
          <t>호계동</t>
        </is>
      </c>
      <c r="B239" s="636" t="n"/>
      <c r="C239" s="636" t="n"/>
      <c r="D239" s="636" t="n">
        <v>1470</v>
      </c>
      <c r="E239" s="637" t="inlineStr">
        <is>
          <t>무궁화건영</t>
        </is>
      </c>
      <c r="F239" s="636" t="n">
        <v>1992.09</v>
      </c>
      <c r="G239" s="636" t="n">
        <v>468</v>
      </c>
      <c r="H239" s="636">
        <f>2026-INT(F239)+1</f>
        <v/>
      </c>
      <c r="I239" s="636" t="n"/>
      <c r="J239" s="636" t="n">
        <v>66</v>
      </c>
      <c r="K239" s="636" t="n">
        <v>53</v>
      </c>
      <c r="L239" s="636" t="n">
        <v>20</v>
      </c>
      <c r="M239" s="636" t="inlineStr">
        <is>
          <t>복도식</t>
        </is>
      </c>
      <c r="N239" s="636" t="n">
        <v>2</v>
      </c>
      <c r="O239" s="636" t="n">
        <v>1</v>
      </c>
      <c r="P239" s="636" t="n">
        <v>112</v>
      </c>
      <c r="Q239" s="636" t="n"/>
      <c r="R239" s="636" t="n"/>
      <c r="S239" s="636" t="n"/>
      <c r="T239" s="636" t="n"/>
      <c r="U239" s="636" t="n"/>
      <c r="V239" s="636" t="n"/>
      <c r="W239" s="636" t="n"/>
      <c r="X239" s="636" t="n"/>
      <c r="Y239" s="636" t="n"/>
      <c r="Z239" s="636" t="n"/>
      <c r="AA239" s="636" t="n"/>
      <c r="AB239" s="636" t="n"/>
      <c r="AC239" s="636" t="n"/>
      <c r="AD239" s="636" t="n"/>
      <c r="AE239" s="636" t="n"/>
      <c r="AF239" s="636" t="n"/>
      <c r="AG239" s="636" t="n"/>
      <c r="AH239" s="636" t="n"/>
      <c r="AI239" s="636" t="n"/>
      <c r="AJ239" s="636" t="n"/>
      <c r="AK239" s="636" t="n"/>
    </row>
    <row r="240">
      <c r="A240" s="636" t="inlineStr">
        <is>
          <t>호계동</t>
        </is>
      </c>
      <c r="B240" s="636" t="n"/>
      <c r="C240" s="636" t="n"/>
      <c r="D240" s="636" t="n">
        <v>1470</v>
      </c>
      <c r="E240" s="637" t="inlineStr">
        <is>
          <t>무궁화건영</t>
        </is>
      </c>
      <c r="F240" s="636" t="n">
        <v>1992.09</v>
      </c>
      <c r="G240" s="636" t="n">
        <v>468</v>
      </c>
      <c r="H240" s="636">
        <f>2026-INT(F240)+1</f>
        <v/>
      </c>
      <c r="I240" s="636" t="n"/>
      <c r="J240" s="636" t="n">
        <v>95</v>
      </c>
      <c r="K240" s="636" t="n">
        <v>76</v>
      </c>
      <c r="L240" s="636" t="n">
        <v>29</v>
      </c>
      <c r="M240" s="636" t="inlineStr">
        <is>
          <t>계단식</t>
        </is>
      </c>
      <c r="N240" s="636" t="n">
        <v>3</v>
      </c>
      <c r="O240" s="636" t="n">
        <v>2</v>
      </c>
      <c r="P240" s="636" t="n">
        <v>56</v>
      </c>
      <c r="Q240" s="636" t="n"/>
      <c r="R240" s="636" t="n"/>
      <c r="S240" s="636" t="n"/>
      <c r="T240" s="636" t="n"/>
      <c r="U240" s="636" t="n"/>
      <c r="V240" s="636" t="n"/>
      <c r="W240" s="636" t="n"/>
      <c r="X240" s="636" t="n"/>
      <c r="Y240" s="636" t="n"/>
      <c r="Z240" s="636" t="n"/>
      <c r="AA240" s="636" t="n"/>
      <c r="AB240" s="636" t="n"/>
      <c r="AC240" s="636" t="n"/>
      <c r="AD240" s="636" t="n"/>
      <c r="AE240" s="636" t="n"/>
      <c r="AF240" s="636" t="n"/>
      <c r="AG240" s="636" t="n"/>
      <c r="AH240" s="636" t="n"/>
      <c r="AI240" s="636" t="n"/>
      <c r="AJ240" s="636" t="n"/>
      <c r="AK240" s="636" t="n"/>
    </row>
    <row r="241">
      <c r="A241" s="636" t="inlineStr">
        <is>
          <t>호계동</t>
        </is>
      </c>
      <c r="B241" s="636" t="n"/>
      <c r="C241" s="636" t="n"/>
      <c r="D241" s="636" t="n">
        <v>1470</v>
      </c>
      <c r="E241" s="637" t="inlineStr">
        <is>
          <t>무궁화건영</t>
        </is>
      </c>
      <c r="F241" s="636" t="n">
        <v>1992.09</v>
      </c>
      <c r="G241" s="636" t="n">
        <v>468</v>
      </c>
      <c r="H241" s="636">
        <f>2026-INT(F241)+1</f>
        <v/>
      </c>
      <c r="I241" s="636" t="n"/>
      <c r="J241" s="636" t="n">
        <v>102</v>
      </c>
      <c r="K241" s="636" t="n">
        <v>84</v>
      </c>
      <c r="L241" s="636" t="n">
        <v>31</v>
      </c>
      <c r="M241" s="636" t="inlineStr">
        <is>
          <t>계단식</t>
        </is>
      </c>
      <c r="N241" s="636" t="n">
        <v>3</v>
      </c>
      <c r="O241" s="636" t="n">
        <v>2</v>
      </c>
      <c r="P241" s="636" t="n">
        <v>300</v>
      </c>
      <c r="Q241" s="636" t="n"/>
      <c r="R241" s="636" t="n"/>
      <c r="S241" s="636" t="n"/>
      <c r="T241" s="636" t="n"/>
      <c r="U241" s="636" t="n"/>
      <c r="V241" s="636" t="n"/>
      <c r="W241" s="636" t="n"/>
      <c r="X241" s="636" t="n"/>
      <c r="Y241" s="636" t="n"/>
      <c r="Z241" s="636" t="n"/>
      <c r="AA241" s="636" t="n"/>
      <c r="AB241" s="636" t="n"/>
      <c r="AC241" s="636" t="n"/>
      <c r="AD241" s="636" t="n"/>
      <c r="AE241" s="636" t="n"/>
      <c r="AF241" s="636" t="n"/>
      <c r="AG241" s="636" t="n"/>
      <c r="AH241" s="636" t="n"/>
      <c r="AI241" s="636" t="n"/>
      <c r="AJ241" s="636" t="n"/>
      <c r="AK241" s="636" t="n"/>
    </row>
    <row r="242">
      <c r="A242" t="inlineStr">
        <is>
          <t>호계동</t>
        </is>
      </c>
      <c r="D242" t="n">
        <v>1471</v>
      </c>
      <c r="E242" s="638" t="inlineStr">
        <is>
          <t>무궁화경남</t>
        </is>
      </c>
      <c r="F242" t="n">
        <v>1994.08</v>
      </c>
      <c r="G242" t="n">
        <v>590</v>
      </c>
      <c r="H242">
        <f>2026-INT(F242)+1</f>
        <v/>
      </c>
      <c r="J242" t="n">
        <v>81</v>
      </c>
      <c r="K242" t="n">
        <v>59</v>
      </c>
      <c r="L242" t="n">
        <v>25</v>
      </c>
      <c r="M242" t="inlineStr">
        <is>
          <t>복도식</t>
        </is>
      </c>
      <c r="N242" t="n">
        <v>3</v>
      </c>
      <c r="O242" t="n">
        <v>1</v>
      </c>
      <c r="P242" t="n">
        <v>210</v>
      </c>
    </row>
    <row r="243">
      <c r="A243" t="inlineStr">
        <is>
          <t>호계동</t>
        </is>
      </c>
      <c r="D243" t="n">
        <v>1471</v>
      </c>
      <c r="E243" s="638" t="inlineStr">
        <is>
          <t>무궁화경남</t>
        </is>
      </c>
      <c r="F243" t="n">
        <v>1994.08</v>
      </c>
      <c r="G243" t="n">
        <v>590</v>
      </c>
      <c r="H243">
        <f>2026-INT(F243)+1</f>
        <v/>
      </c>
      <c r="J243" t="n">
        <v>106</v>
      </c>
      <c r="K243" t="n">
        <v>84</v>
      </c>
      <c r="L243" t="n">
        <v>32</v>
      </c>
      <c r="M243" t="inlineStr">
        <is>
          <t>계단식</t>
        </is>
      </c>
      <c r="N243" t="n">
        <v>3</v>
      </c>
      <c r="O243" t="n">
        <v>2</v>
      </c>
      <c r="P243" t="n">
        <v>280</v>
      </c>
    </row>
    <row r="244">
      <c r="A244" t="inlineStr">
        <is>
          <t>호계동</t>
        </is>
      </c>
      <c r="D244" t="n">
        <v>1471</v>
      </c>
      <c r="E244" s="638" t="inlineStr">
        <is>
          <t>무궁화경남</t>
        </is>
      </c>
      <c r="F244" t="n">
        <v>1994.08</v>
      </c>
      <c r="G244" t="n">
        <v>590</v>
      </c>
      <c r="H244">
        <f>2026-INT(F244)+1</f>
        <v/>
      </c>
      <c r="J244" t="n">
        <v>106</v>
      </c>
      <c r="K244" t="n">
        <v>85</v>
      </c>
      <c r="L244" t="n">
        <v>32</v>
      </c>
      <c r="M244" t="inlineStr">
        <is>
          <t>계단식</t>
        </is>
      </c>
      <c r="N244" t="n">
        <v>3</v>
      </c>
      <c r="O244" t="n">
        <v>2</v>
      </c>
      <c r="P244" t="n">
        <v>100</v>
      </c>
    </row>
    <row r="245">
      <c r="A245" s="639" t="inlineStr">
        <is>
          <t>호계동</t>
        </is>
      </c>
      <c r="B245" s="636" t="n"/>
      <c r="C245" s="636" t="n"/>
      <c r="D245" s="639" t="n">
        <v>1472</v>
      </c>
      <c r="E245" s="637" t="inlineStr">
        <is>
          <t>무궁화금호</t>
        </is>
      </c>
      <c r="F245" s="639" t="n">
        <v>1992.08</v>
      </c>
      <c r="G245" s="639" t="n">
        <v>438</v>
      </c>
      <c r="H245" s="639">
        <f>2026-INT(F245)+1</f>
        <v/>
      </c>
      <c r="I245" s="636" t="n"/>
      <c r="J245" s="639" t="n">
        <v>74</v>
      </c>
      <c r="K245" s="639" t="n">
        <v>59</v>
      </c>
      <c r="L245" s="639" t="n">
        <v>22</v>
      </c>
      <c r="M245" s="639" t="inlineStr">
        <is>
          <t>계단식</t>
        </is>
      </c>
      <c r="N245" s="639" t="n">
        <v>3</v>
      </c>
      <c r="O245" s="639" t="n">
        <v>1</v>
      </c>
      <c r="P245" s="639" t="n">
        <v>90</v>
      </c>
      <c r="Q245" s="636" t="n"/>
      <c r="R245" s="636" t="n"/>
      <c r="S245" s="636" t="n"/>
      <c r="T245" s="636" t="n"/>
      <c r="U245" s="639" t="n"/>
      <c r="V245" s="639" t="n"/>
      <c r="W245" s="636" t="n"/>
      <c r="X245" s="636" t="n"/>
      <c r="Y245" s="636" t="n"/>
      <c r="Z245" s="636" t="n"/>
      <c r="AA245" s="636" t="n"/>
      <c r="AB245" s="636" t="n"/>
      <c r="AC245" s="636" t="n"/>
      <c r="AD245" s="636" t="n"/>
      <c r="AE245" s="636" t="n"/>
      <c r="AF245" s="636" t="n"/>
      <c r="AG245" s="636" t="n"/>
      <c r="AH245" s="636" t="n"/>
      <c r="AI245" s="636" t="n"/>
      <c r="AJ245" s="636" t="n"/>
      <c r="AK245" s="636" t="n"/>
    </row>
    <row r="246">
      <c r="A246" s="636" t="inlineStr">
        <is>
          <t>호계동</t>
        </is>
      </c>
      <c r="B246" s="636" t="n"/>
      <c r="C246" s="636" t="n"/>
      <c r="D246" s="636" t="n">
        <v>1472</v>
      </c>
      <c r="E246" s="637" t="inlineStr">
        <is>
          <t>무궁화금호</t>
        </is>
      </c>
      <c r="F246" s="636" t="n">
        <v>1992.08</v>
      </c>
      <c r="G246" s="636" t="n">
        <v>438</v>
      </c>
      <c r="H246" s="636">
        <f>2026-INT(F246)+1</f>
        <v/>
      </c>
      <c r="I246" s="636" t="n"/>
      <c r="J246" s="636" t="n">
        <v>88</v>
      </c>
      <c r="K246" s="636" t="n">
        <v>72</v>
      </c>
      <c r="L246" s="636" t="n">
        <v>27</v>
      </c>
      <c r="M246" s="636" t="inlineStr">
        <is>
          <t>계단식</t>
        </is>
      </c>
      <c r="N246" s="636" t="n">
        <v>3</v>
      </c>
      <c r="O246" s="636" t="n">
        <v>2</v>
      </c>
      <c r="P246" s="636" t="n">
        <v>60</v>
      </c>
      <c r="Q246" s="636" t="n"/>
      <c r="R246" s="636" t="n"/>
      <c r="S246" s="636" t="n"/>
      <c r="T246" s="636" t="n"/>
      <c r="U246" s="636" t="n"/>
      <c r="V246" s="636" t="n"/>
      <c r="W246" s="636" t="n"/>
      <c r="X246" s="636" t="n"/>
      <c r="Y246" s="636" t="n"/>
      <c r="Z246" s="636" t="n"/>
      <c r="AA246" s="636" t="n"/>
      <c r="AB246" s="636" t="n"/>
      <c r="AC246" s="636" t="n"/>
      <c r="AD246" s="636" t="n"/>
      <c r="AE246" s="636" t="n"/>
      <c r="AF246" s="636" t="n"/>
      <c r="AG246" s="636" t="n"/>
      <c r="AH246" s="636" t="n"/>
      <c r="AI246" s="636" t="n"/>
      <c r="AJ246" s="636" t="n"/>
      <c r="AK246" s="636" t="n"/>
    </row>
    <row r="247">
      <c r="A247" s="636" t="inlineStr">
        <is>
          <t>호계동</t>
        </is>
      </c>
      <c r="B247" s="636" t="n"/>
      <c r="C247" s="636" t="n"/>
      <c r="D247" s="636" t="n">
        <v>1472</v>
      </c>
      <c r="E247" s="637" t="inlineStr">
        <is>
          <t>무궁화금호</t>
        </is>
      </c>
      <c r="F247" s="636" t="n">
        <v>1992.08</v>
      </c>
      <c r="G247" s="636" t="n">
        <v>438</v>
      </c>
      <c r="H247" s="636">
        <f>2026-INT(F247)+1</f>
        <v/>
      </c>
      <c r="I247" s="636" t="n"/>
      <c r="J247" s="636" t="n">
        <v>103</v>
      </c>
      <c r="K247" s="636" t="n">
        <v>84</v>
      </c>
      <c r="L247" s="636" t="n">
        <v>31</v>
      </c>
      <c r="M247" s="636" t="inlineStr">
        <is>
          <t>계단식</t>
        </is>
      </c>
      <c r="N247" s="636" t="n">
        <v>3</v>
      </c>
      <c r="O247" s="636" t="n">
        <v>2</v>
      </c>
      <c r="P247" s="636" t="n">
        <v>288</v>
      </c>
      <c r="Q247" s="636" t="n"/>
      <c r="R247" s="636" t="n"/>
      <c r="S247" s="636" t="n"/>
      <c r="T247" s="636" t="n"/>
      <c r="U247" s="636" t="n"/>
      <c r="V247" s="636" t="n"/>
      <c r="W247" s="636" t="n"/>
      <c r="X247" s="636" t="n"/>
      <c r="Y247" s="636" t="n"/>
      <c r="Z247" s="636" t="n"/>
      <c r="AA247" s="636" t="n"/>
      <c r="AB247" s="636" t="n"/>
      <c r="AC247" s="636" t="n"/>
      <c r="AD247" s="636" t="n"/>
      <c r="AE247" s="636" t="n"/>
      <c r="AF247" s="636" t="n"/>
      <c r="AG247" s="636" t="n"/>
      <c r="AH247" s="636" t="n"/>
      <c r="AI247" s="636" t="n"/>
      <c r="AJ247" s="636" t="n"/>
      <c r="AK247" s="636" t="n"/>
    </row>
    <row r="248">
      <c r="A248" s="458" t="inlineStr">
        <is>
          <t>호계동</t>
        </is>
      </c>
      <c r="D248" s="458" t="n">
        <v>1473</v>
      </c>
      <c r="E248" s="638" t="inlineStr">
        <is>
          <t>무궁화진흥</t>
        </is>
      </c>
      <c r="F248" s="458" t="n">
        <v>1992.09</v>
      </c>
      <c r="G248" s="458" t="n">
        <v>321</v>
      </c>
      <c r="H248" s="458">
        <f>2026-INT(F248)+1</f>
        <v/>
      </c>
      <c r="J248" s="458" t="n">
        <v>74</v>
      </c>
      <c r="K248" s="458" t="n">
        <v>56</v>
      </c>
      <c r="L248" s="458" t="n">
        <v>22</v>
      </c>
      <c r="M248" s="458" t="inlineStr">
        <is>
          <t>복도식</t>
        </is>
      </c>
      <c r="N248" s="458" t="n">
        <v>2</v>
      </c>
      <c r="O248" s="458" t="n">
        <v>1</v>
      </c>
      <c r="P248" s="458" t="n">
        <v>75</v>
      </c>
      <c r="U248" s="458" t="n"/>
      <c r="V248" s="458" t="n"/>
    </row>
    <row r="249">
      <c r="A249" s="458" t="inlineStr">
        <is>
          <t>호계동</t>
        </is>
      </c>
      <c r="D249" s="458" t="n">
        <v>1473</v>
      </c>
      <c r="E249" s="638" t="inlineStr">
        <is>
          <t>무궁화진흥</t>
        </is>
      </c>
      <c r="F249" s="458" t="n">
        <v>1992.09</v>
      </c>
      <c r="G249" s="458" t="n">
        <v>321</v>
      </c>
      <c r="H249" s="458">
        <f>2026-INT(F249)+1</f>
        <v/>
      </c>
      <c r="J249" s="458" t="n">
        <v>103</v>
      </c>
      <c r="K249" s="458" t="n">
        <v>84</v>
      </c>
      <c r="L249" s="458" t="n">
        <v>31</v>
      </c>
      <c r="M249" s="458" t="inlineStr">
        <is>
          <t>계단식</t>
        </is>
      </c>
      <c r="N249" s="458" t="n">
        <v>3</v>
      </c>
      <c r="O249" s="458" t="n">
        <v>2</v>
      </c>
      <c r="P249" s="458" t="n">
        <v>246</v>
      </c>
      <c r="U249" s="458" t="n"/>
      <c r="V249" s="458" t="n"/>
    </row>
    <row r="250">
      <c r="A250" s="639" t="inlineStr">
        <is>
          <t>호계동</t>
        </is>
      </c>
      <c r="B250" s="636" t="n"/>
      <c r="C250" s="636" t="n"/>
      <c r="D250" s="639" t="n">
        <v>1474</v>
      </c>
      <c r="E250" s="637" t="inlineStr">
        <is>
          <t>무궁화코오롱</t>
        </is>
      </c>
      <c r="F250" s="639" t="n">
        <v>1992.09</v>
      </c>
      <c r="G250" s="639" t="n">
        <v>458</v>
      </c>
      <c r="H250" s="639">
        <f>2026-INT(F250)+1</f>
        <v/>
      </c>
      <c r="I250" s="636" t="n"/>
      <c r="J250" s="639" t="n">
        <v>82</v>
      </c>
      <c r="K250" s="639" t="n">
        <v>59</v>
      </c>
      <c r="L250" s="639" t="n">
        <v>25</v>
      </c>
      <c r="M250" s="639" t="inlineStr">
        <is>
          <t>복도식</t>
        </is>
      </c>
      <c r="N250" s="639" t="n">
        <v>3</v>
      </c>
      <c r="O250" s="639" t="n">
        <v>1</v>
      </c>
      <c r="P250" s="639" t="n">
        <v>78</v>
      </c>
      <c r="Q250" s="636" t="n"/>
      <c r="R250" s="636" t="n"/>
      <c r="S250" s="636" t="n"/>
      <c r="T250" s="636" t="n"/>
      <c r="U250" s="639" t="n"/>
      <c r="V250" s="639" t="n"/>
      <c r="W250" s="636" t="n"/>
      <c r="X250" s="636" t="n"/>
      <c r="Y250" s="636" t="n"/>
      <c r="Z250" s="636" t="n"/>
      <c r="AA250" s="636" t="n"/>
      <c r="AB250" s="636" t="n"/>
      <c r="AC250" s="636" t="n"/>
      <c r="AD250" s="636" t="n"/>
      <c r="AE250" s="636" t="n"/>
      <c r="AF250" s="636" t="n"/>
      <c r="AG250" s="636" t="n"/>
      <c r="AH250" s="636" t="n"/>
      <c r="AI250" s="636" t="n"/>
      <c r="AJ250" s="636" t="n"/>
      <c r="AK250" s="636" t="n"/>
    </row>
    <row r="251">
      <c r="A251" s="639" t="inlineStr">
        <is>
          <t>호계동</t>
        </is>
      </c>
      <c r="B251" s="636" t="n"/>
      <c r="C251" s="636" t="n"/>
      <c r="D251" s="639" t="n">
        <v>1474</v>
      </c>
      <c r="E251" s="637" t="inlineStr">
        <is>
          <t>무궁화코오롱</t>
        </is>
      </c>
      <c r="F251" s="639" t="n">
        <v>1992.09</v>
      </c>
      <c r="G251" s="639" t="n">
        <v>458</v>
      </c>
      <c r="H251" s="639">
        <f>2026-INT(F251)+1</f>
        <v/>
      </c>
      <c r="I251" s="636" t="n"/>
      <c r="J251" s="639" t="n">
        <v>93</v>
      </c>
      <c r="K251" s="639" t="n">
        <v>76</v>
      </c>
      <c r="L251" s="639" t="n">
        <v>28</v>
      </c>
      <c r="M251" s="639" t="inlineStr">
        <is>
          <t>계단식</t>
        </is>
      </c>
      <c r="N251" s="639" t="n">
        <v>3</v>
      </c>
      <c r="O251" s="639" t="n">
        <v>2</v>
      </c>
      <c r="P251" s="639" t="n">
        <v>84</v>
      </c>
      <c r="Q251" s="636" t="n"/>
      <c r="R251" s="636" t="n"/>
      <c r="S251" s="636" t="n"/>
      <c r="T251" s="636" t="n"/>
      <c r="U251" s="639" t="n"/>
      <c r="V251" s="639" t="n"/>
      <c r="W251" s="636" t="n"/>
      <c r="X251" s="636" t="n"/>
      <c r="Y251" s="636" t="n"/>
      <c r="Z251" s="636" t="n"/>
      <c r="AA251" s="636" t="n"/>
      <c r="AB251" s="636" t="n"/>
      <c r="AC251" s="636" t="n"/>
      <c r="AD251" s="636" t="n"/>
      <c r="AE251" s="636" t="n"/>
      <c r="AF251" s="636" t="n"/>
      <c r="AG251" s="636" t="n"/>
      <c r="AH251" s="636" t="n"/>
      <c r="AI251" s="636" t="n"/>
      <c r="AJ251" s="636" t="n"/>
      <c r="AK251" s="636" t="n"/>
    </row>
    <row r="252">
      <c r="A252" s="636" t="inlineStr">
        <is>
          <t>호계동</t>
        </is>
      </c>
      <c r="B252" s="636" t="n"/>
      <c r="C252" s="636" t="n"/>
      <c r="D252" s="636" t="n">
        <v>1474</v>
      </c>
      <c r="E252" s="637" t="inlineStr">
        <is>
          <t>무궁화코오롱</t>
        </is>
      </c>
      <c r="F252" s="636" t="n">
        <v>1992.09</v>
      </c>
      <c r="G252" s="636" t="n">
        <v>458</v>
      </c>
      <c r="H252" s="636">
        <f>2026-INT(F252)+1</f>
        <v/>
      </c>
      <c r="I252" s="636" t="n"/>
      <c r="J252" s="636" t="n">
        <v>109</v>
      </c>
      <c r="K252" s="636" t="n">
        <v>84</v>
      </c>
      <c r="L252" s="636" t="n">
        <v>33</v>
      </c>
      <c r="M252" s="636" t="inlineStr">
        <is>
          <t>계단식</t>
        </is>
      </c>
      <c r="N252" s="636" t="n">
        <v>3</v>
      </c>
      <c r="O252" s="636" t="n">
        <v>2</v>
      </c>
      <c r="P252" s="636" t="n">
        <v>296</v>
      </c>
      <c r="Q252" s="636" t="n"/>
      <c r="R252" s="636" t="n"/>
      <c r="S252" s="636" t="n"/>
      <c r="T252" s="636" t="n"/>
      <c r="U252" s="636" t="n"/>
      <c r="V252" s="636" t="n"/>
      <c r="W252" s="636" t="n"/>
      <c r="X252" s="636" t="n"/>
      <c r="Y252" s="636" t="n"/>
      <c r="Z252" s="636" t="n"/>
      <c r="AA252" s="636" t="n"/>
      <c r="AB252" s="636" t="n"/>
      <c r="AC252" s="636" t="n"/>
      <c r="AD252" s="636" t="n"/>
      <c r="AE252" s="636" t="n"/>
      <c r="AF252" s="636" t="n"/>
      <c r="AG252" s="636" t="n"/>
      <c r="AH252" s="636" t="n"/>
      <c r="AI252" s="636" t="n"/>
      <c r="AJ252" s="636" t="n"/>
      <c r="AK252" s="636" t="n"/>
    </row>
    <row r="253">
      <c r="A253" t="inlineStr">
        <is>
          <t>호계동</t>
        </is>
      </c>
      <c r="D253" t="n">
        <v>1476</v>
      </c>
      <c r="E253" s="638" t="inlineStr">
        <is>
          <t>무궁화태영</t>
        </is>
      </c>
      <c r="F253" t="n">
        <v>1992.08</v>
      </c>
      <c r="G253" t="n">
        <v>654</v>
      </c>
      <c r="H253">
        <f>2026-INT(F253)+1</f>
        <v/>
      </c>
      <c r="J253" t="n">
        <v>80</v>
      </c>
      <c r="K253" t="n">
        <v>59</v>
      </c>
      <c r="L253" t="n">
        <v>24</v>
      </c>
      <c r="M253" t="inlineStr">
        <is>
          <t>복도식</t>
        </is>
      </c>
      <c r="N253" t="n">
        <v>3</v>
      </c>
      <c r="O253" t="n">
        <v>1</v>
      </c>
      <c r="P253" t="n">
        <v>150</v>
      </c>
    </row>
    <row r="254">
      <c r="A254" s="458" t="inlineStr">
        <is>
          <t>호계동</t>
        </is>
      </c>
      <c r="D254" s="458" t="n">
        <v>1476</v>
      </c>
      <c r="E254" s="638" t="inlineStr">
        <is>
          <t>무궁화태영</t>
        </is>
      </c>
      <c r="F254" s="458" t="n">
        <v>1992.08</v>
      </c>
      <c r="G254" s="458" t="n">
        <v>654</v>
      </c>
      <c r="H254" s="458">
        <f>2026-INT(F254)+1</f>
        <v/>
      </c>
      <c r="J254" s="458" t="n">
        <v>93</v>
      </c>
      <c r="K254" s="458" t="n">
        <v>76</v>
      </c>
      <c r="L254" s="458" t="n">
        <v>28</v>
      </c>
      <c r="M254" s="458" t="inlineStr">
        <is>
          <t>계단식</t>
        </is>
      </c>
      <c r="N254" s="458" t="n">
        <v>3</v>
      </c>
      <c r="O254" s="458" t="n">
        <v>1</v>
      </c>
      <c r="P254" s="458" t="n">
        <v>144</v>
      </c>
      <c r="U254" s="458" t="n"/>
      <c r="V254" s="458" t="n"/>
    </row>
    <row r="255">
      <c r="A255" s="458" t="inlineStr">
        <is>
          <t>호계동</t>
        </is>
      </c>
      <c r="D255" s="458" t="n">
        <v>1476</v>
      </c>
      <c r="E255" s="638" t="inlineStr">
        <is>
          <t>무궁화태영</t>
        </is>
      </c>
      <c r="F255" s="458" t="n">
        <v>1992.08</v>
      </c>
      <c r="G255" s="458" t="n">
        <v>654</v>
      </c>
      <c r="H255" s="458">
        <f>2026-INT(F255)+1</f>
        <v/>
      </c>
      <c r="J255" s="458" t="n">
        <v>104</v>
      </c>
      <c r="K255" s="458" t="n">
        <v>84</v>
      </c>
      <c r="L255" s="458" t="n">
        <v>31</v>
      </c>
      <c r="M255" s="458" t="inlineStr">
        <is>
          <t>계단식</t>
        </is>
      </c>
      <c r="N255" s="458" t="n">
        <v>3</v>
      </c>
      <c r="O255" s="458" t="n">
        <v>2</v>
      </c>
      <c r="P255" s="458" t="n">
        <v>360</v>
      </c>
      <c r="U255" s="458" t="n"/>
      <c r="V255" s="458" t="n"/>
    </row>
    <row r="256">
      <c r="A256" s="636" t="inlineStr">
        <is>
          <t>호계동</t>
        </is>
      </c>
      <c r="B256" s="636" t="n"/>
      <c r="C256" s="636" t="n"/>
      <c r="D256" s="636" t="n">
        <v>19492</v>
      </c>
      <c r="E256" s="637" t="inlineStr">
        <is>
          <t>무궁화효성,한양</t>
        </is>
      </c>
      <c r="F256" s="636" t="n">
        <v>1992.12</v>
      </c>
      <c r="G256" s="636" t="n">
        <v>800</v>
      </c>
      <c r="H256" s="636">
        <f>2026-INT(F256)+1</f>
        <v/>
      </c>
      <c r="I256" s="636" t="n"/>
      <c r="J256" s="636" t="n">
        <v>78</v>
      </c>
      <c r="K256" s="636" t="n">
        <v>59</v>
      </c>
      <c r="L256" s="636" t="n">
        <v>24</v>
      </c>
      <c r="M256" s="636" t="inlineStr">
        <is>
          <t>복도식</t>
        </is>
      </c>
      <c r="N256" s="636" t="n">
        <v>3</v>
      </c>
      <c r="O256" s="636" t="n">
        <v>1</v>
      </c>
      <c r="P256" s="636" t="n">
        <v>200</v>
      </c>
      <c r="Q256" s="636" t="n"/>
      <c r="R256" s="636" t="n"/>
      <c r="S256" s="636" t="n"/>
      <c r="T256" s="636" t="n"/>
      <c r="U256" s="636" t="n"/>
      <c r="V256" s="636" t="n"/>
      <c r="W256" s="636" t="n"/>
      <c r="X256" s="636" t="n"/>
      <c r="Y256" s="636" t="n"/>
      <c r="Z256" s="636" t="n"/>
      <c r="AA256" s="636" t="n"/>
      <c r="AB256" s="636" t="n"/>
      <c r="AC256" s="636" t="n"/>
      <c r="AD256" s="636" t="n"/>
      <c r="AE256" s="636" t="n"/>
      <c r="AF256" s="636" t="n"/>
      <c r="AG256" s="636" t="n"/>
      <c r="AH256" s="636" t="n"/>
      <c r="AI256" s="636" t="n"/>
      <c r="AJ256" s="636" t="n"/>
      <c r="AK256" s="636" t="n"/>
    </row>
    <row r="257">
      <c r="A257" s="636" t="inlineStr">
        <is>
          <t>호계동</t>
        </is>
      </c>
      <c r="B257" s="636" t="n"/>
      <c r="C257" s="636" t="n"/>
      <c r="D257" s="636" t="n">
        <v>19492</v>
      </c>
      <c r="E257" s="637" t="inlineStr">
        <is>
          <t>무궁화효성,한양</t>
        </is>
      </c>
      <c r="F257" s="636" t="n">
        <v>1992.12</v>
      </c>
      <c r="G257" s="636" t="n">
        <v>800</v>
      </c>
      <c r="H257" s="636">
        <f>2026-INT(F257)+1</f>
        <v/>
      </c>
      <c r="I257" s="636" t="n"/>
      <c r="J257" s="636" t="n">
        <v>100</v>
      </c>
      <c r="K257" s="636" t="n">
        <v>79</v>
      </c>
      <c r="L257" s="636" t="n">
        <v>30</v>
      </c>
      <c r="M257" s="636" t="inlineStr">
        <is>
          <t>계단식</t>
        </is>
      </c>
      <c r="N257" s="636" t="n">
        <v>3</v>
      </c>
      <c r="O257" s="636" t="n">
        <v>2</v>
      </c>
      <c r="P257" s="636" t="n">
        <v>8</v>
      </c>
      <c r="Q257" s="636" t="n"/>
      <c r="R257" s="636" t="n"/>
      <c r="S257" s="636" t="n"/>
      <c r="T257" s="636" t="n"/>
      <c r="U257" s="636" t="n"/>
      <c r="V257" s="636" t="n"/>
      <c r="W257" s="636" t="n"/>
      <c r="X257" s="636" t="n"/>
      <c r="Y257" s="636" t="n"/>
      <c r="Z257" s="636" t="n"/>
      <c r="AA257" s="636" t="n"/>
      <c r="AB257" s="636" t="n"/>
      <c r="AC257" s="636" t="n"/>
      <c r="AD257" s="636" t="n"/>
      <c r="AE257" s="636" t="n"/>
      <c r="AF257" s="636" t="n"/>
      <c r="AG257" s="636" t="n"/>
      <c r="AH257" s="636" t="n"/>
      <c r="AI257" s="636" t="n"/>
      <c r="AJ257" s="636" t="n"/>
      <c r="AK257" s="636" t="n"/>
    </row>
    <row r="258">
      <c r="A258" s="636" t="inlineStr">
        <is>
          <t>호계동</t>
        </is>
      </c>
      <c r="B258" s="636" t="n"/>
      <c r="C258" s="636" t="n"/>
      <c r="D258" s="636" t="n">
        <v>19492</v>
      </c>
      <c r="E258" s="637" t="inlineStr">
        <is>
          <t>무궁화효성,한양</t>
        </is>
      </c>
      <c r="F258" s="636" t="n">
        <v>1992.12</v>
      </c>
      <c r="G258" s="636" t="n">
        <v>800</v>
      </c>
      <c r="H258" s="636">
        <f>2026-INT(F258)+1</f>
        <v/>
      </c>
      <c r="I258" s="636" t="n"/>
      <c r="J258" s="636" t="n">
        <v>107</v>
      </c>
      <c r="K258" s="636" t="n">
        <v>84</v>
      </c>
      <c r="L258" s="636" t="n">
        <v>32</v>
      </c>
      <c r="M258" s="636" t="inlineStr">
        <is>
          <t>계단식</t>
        </is>
      </c>
      <c r="N258" s="636" t="n">
        <v>3</v>
      </c>
      <c r="O258" s="636" t="n">
        <v>2</v>
      </c>
      <c r="P258" s="636" t="n">
        <v>592</v>
      </c>
      <c r="Q258" s="636" t="n"/>
      <c r="R258" s="636" t="n"/>
      <c r="S258" s="636" t="n"/>
      <c r="T258" s="636" t="n"/>
      <c r="U258" s="636" t="n"/>
      <c r="V258" s="636" t="n"/>
      <c r="W258" s="636" t="n"/>
      <c r="X258" s="636" t="n"/>
      <c r="Y258" s="636" t="n"/>
      <c r="Z258" s="636" t="n"/>
      <c r="AA258" s="636" t="n"/>
      <c r="AB258" s="636" t="n"/>
      <c r="AC258" s="636" t="n"/>
      <c r="AD258" s="636" t="n"/>
      <c r="AE258" s="636" t="n"/>
      <c r="AF258" s="636" t="n"/>
      <c r="AG258" s="636" t="n"/>
      <c r="AH258" s="636" t="n"/>
      <c r="AI258" s="636" t="n"/>
      <c r="AJ258" s="636" t="n"/>
      <c r="AK258" s="636" t="n"/>
    </row>
    <row r="259">
      <c r="A259" s="458" t="inlineStr">
        <is>
          <t>호계동</t>
        </is>
      </c>
      <c r="D259" s="458" t="n">
        <v>2046</v>
      </c>
      <c r="E259" s="638" t="inlineStr">
        <is>
          <t>삼익(주상복합)</t>
        </is>
      </c>
      <c r="F259" s="458" t="n">
        <v>1996.1</v>
      </c>
      <c r="G259" s="458" t="n">
        <v>261</v>
      </c>
      <c r="H259" s="458">
        <f>2026-INT(F259)+1</f>
        <v/>
      </c>
      <c r="J259" s="458" t="n">
        <v>81</v>
      </c>
      <c r="K259" s="458" t="n">
        <v>59</v>
      </c>
      <c r="L259" s="458" t="n">
        <v>25</v>
      </c>
      <c r="M259" s="458" t="inlineStr">
        <is>
          <t>계단식</t>
        </is>
      </c>
      <c r="N259" s="458" t="n">
        <v>2</v>
      </c>
      <c r="O259" s="458" t="n">
        <v>1</v>
      </c>
      <c r="P259" s="458" t="n">
        <v>110</v>
      </c>
    </row>
    <row r="260">
      <c r="A260" s="458" t="inlineStr">
        <is>
          <t>호계동</t>
        </is>
      </c>
      <c r="D260" s="458" t="n">
        <v>2046</v>
      </c>
      <c r="E260" s="638" t="inlineStr">
        <is>
          <t>삼익(주상복합)</t>
        </is>
      </c>
      <c r="F260" s="458" t="n">
        <v>1996.1</v>
      </c>
      <c r="G260" s="458" t="n">
        <v>261</v>
      </c>
      <c r="H260" s="458">
        <f>2026-INT(F260)+1</f>
        <v/>
      </c>
      <c r="J260" s="458" t="n">
        <v>97</v>
      </c>
      <c r="K260" s="458" t="n">
        <v>71</v>
      </c>
      <c r="L260" s="458" t="n">
        <v>29</v>
      </c>
      <c r="M260" s="458" t="inlineStr">
        <is>
          <t>계단식</t>
        </is>
      </c>
      <c r="N260" s="458" t="n">
        <v>3</v>
      </c>
      <c r="O260" s="458" t="n">
        <v>1</v>
      </c>
      <c r="P260" s="458" t="n">
        <v>91</v>
      </c>
    </row>
    <row r="261">
      <c r="A261" t="inlineStr">
        <is>
          <t>호계동</t>
        </is>
      </c>
      <c r="D261" t="n">
        <v>2046</v>
      </c>
      <c r="E261" s="638" t="inlineStr">
        <is>
          <t>삼익(주상복합)</t>
        </is>
      </c>
      <c r="F261" t="n">
        <v>1996.1</v>
      </c>
      <c r="G261" t="n">
        <v>261</v>
      </c>
      <c r="H261">
        <f>2026-INT(F261)+1</f>
        <v/>
      </c>
      <c r="J261" t="n">
        <v>115</v>
      </c>
      <c r="K261" t="n">
        <v>84</v>
      </c>
      <c r="L261" t="n">
        <v>35</v>
      </c>
      <c r="M261" t="inlineStr">
        <is>
          <t>계단식</t>
        </is>
      </c>
      <c r="N261" t="n">
        <v>3</v>
      </c>
      <c r="O261" t="n">
        <v>2</v>
      </c>
      <c r="P261" t="n">
        <v>60</v>
      </c>
    </row>
    <row r="262">
      <c r="A262" s="636" t="inlineStr">
        <is>
          <t>호계동</t>
        </is>
      </c>
      <c r="B262" s="636" t="n"/>
      <c r="C262" s="636" t="n"/>
      <c r="D262" s="636" t="n">
        <v>1441</v>
      </c>
      <c r="E262" s="637" t="inlineStr">
        <is>
          <t>샘대우한양</t>
        </is>
      </c>
      <c r="F262" s="636" t="n">
        <v>1993.11</v>
      </c>
      <c r="G262" s="636" t="n">
        <v>1072</v>
      </c>
      <c r="H262" s="636">
        <f>2026-INT(F262)+1</f>
        <v/>
      </c>
      <c r="I262" s="636" t="n"/>
      <c r="J262" s="636" t="n">
        <v>101</v>
      </c>
      <c r="K262" s="636" t="n">
        <v>82</v>
      </c>
      <c r="L262" s="636" t="n">
        <v>31</v>
      </c>
      <c r="M262" s="636" t="inlineStr">
        <is>
          <t>계단식</t>
        </is>
      </c>
      <c r="N262" s="636" t="n">
        <v>3</v>
      </c>
      <c r="O262" s="636" t="n">
        <v>2</v>
      </c>
      <c r="P262" s="636" t="n">
        <v>5</v>
      </c>
      <c r="Q262" s="636" t="n"/>
      <c r="R262" s="636" t="n"/>
      <c r="S262" s="636" t="n"/>
      <c r="T262" s="636" t="n"/>
      <c r="U262" s="636" t="n"/>
      <c r="V262" s="636" t="n"/>
      <c r="W262" s="636" t="n"/>
      <c r="X262" s="636" t="n"/>
      <c r="Y262" s="636" t="n"/>
      <c r="Z262" s="636" t="n"/>
      <c r="AA262" s="636" t="n"/>
      <c r="AB262" s="636" t="n"/>
      <c r="AC262" s="636" t="n"/>
      <c r="AD262" s="636" t="n"/>
      <c r="AE262" s="636" t="n"/>
      <c r="AF262" s="636" t="n"/>
      <c r="AG262" s="636" t="n"/>
      <c r="AH262" s="636" t="n"/>
      <c r="AI262" s="636" t="n"/>
      <c r="AJ262" s="636" t="n"/>
      <c r="AK262" s="636" t="n"/>
    </row>
    <row r="263">
      <c r="A263" s="636" t="inlineStr">
        <is>
          <t>호계동</t>
        </is>
      </c>
      <c r="B263" s="636" t="n"/>
      <c r="C263" s="636" t="n"/>
      <c r="D263" s="636" t="n">
        <v>1441</v>
      </c>
      <c r="E263" s="637" t="inlineStr">
        <is>
          <t>샘대우한양</t>
        </is>
      </c>
      <c r="F263" s="636" t="n">
        <v>1993.11</v>
      </c>
      <c r="G263" s="636" t="n">
        <v>1072</v>
      </c>
      <c r="H263" s="636">
        <f>2026-INT(F263)+1</f>
        <v/>
      </c>
      <c r="I263" s="636" t="n"/>
      <c r="J263" s="636" t="n">
        <v>108</v>
      </c>
      <c r="K263" s="636" t="n">
        <v>88</v>
      </c>
      <c r="L263" s="636" t="n">
        <v>33</v>
      </c>
      <c r="M263" s="636" t="inlineStr">
        <is>
          <t>계단식</t>
        </is>
      </c>
      <c r="N263" s="636" t="n">
        <v>3</v>
      </c>
      <c r="O263" s="636" t="n">
        <v>2</v>
      </c>
      <c r="P263" s="636" t="n">
        <v>187</v>
      </c>
      <c r="Q263" s="636" t="n"/>
      <c r="R263" s="636" t="n"/>
      <c r="S263" s="636" t="n"/>
      <c r="T263" s="636" t="n"/>
      <c r="U263" s="636" t="n"/>
      <c r="V263" s="636" t="n"/>
      <c r="W263" s="636" t="n"/>
      <c r="X263" s="636" t="n"/>
      <c r="Y263" s="636" t="n"/>
      <c r="Z263" s="636" t="n"/>
      <c r="AA263" s="636" t="n"/>
      <c r="AB263" s="636" t="n"/>
      <c r="AC263" s="636" t="n"/>
      <c r="AD263" s="636" t="n"/>
      <c r="AE263" s="636" t="n"/>
      <c r="AF263" s="636" t="n"/>
      <c r="AG263" s="636" t="n"/>
      <c r="AH263" s="636" t="n"/>
      <c r="AI263" s="636" t="n"/>
      <c r="AJ263" s="636" t="n"/>
      <c r="AK263" s="636" t="n"/>
    </row>
    <row r="264">
      <c r="A264" s="636" t="inlineStr">
        <is>
          <t>호계동</t>
        </is>
      </c>
      <c r="B264" s="636" t="n"/>
      <c r="C264" s="636" t="n"/>
      <c r="D264" s="636" t="n">
        <v>1441</v>
      </c>
      <c r="E264" s="637" t="inlineStr">
        <is>
          <t>샘대우한양</t>
        </is>
      </c>
      <c r="F264" s="636" t="n">
        <v>1993.11</v>
      </c>
      <c r="G264" s="636" t="n">
        <v>1072</v>
      </c>
      <c r="H264" s="636">
        <f>2026-INT(F264)+1</f>
        <v/>
      </c>
      <c r="I264" s="636" t="n"/>
      <c r="J264" s="636" t="n">
        <v>110</v>
      </c>
      <c r="K264" s="636" t="n">
        <v>91</v>
      </c>
      <c r="L264" s="636" t="n">
        <v>33</v>
      </c>
      <c r="M264" s="636" t="inlineStr">
        <is>
          <t>계단식</t>
        </is>
      </c>
      <c r="N264" s="636" t="n">
        <v>3</v>
      </c>
      <c r="O264" s="636" t="n">
        <v>2</v>
      </c>
      <c r="P264" s="636" t="n">
        <v>7</v>
      </c>
      <c r="Q264" s="636" t="n"/>
      <c r="R264" s="636" t="n"/>
      <c r="S264" s="636" t="n"/>
      <c r="T264" s="636" t="n"/>
      <c r="U264" s="636" t="n"/>
      <c r="V264" s="636" t="n"/>
      <c r="W264" s="636" t="n"/>
      <c r="X264" s="636" t="n"/>
      <c r="Y264" s="636" t="n"/>
      <c r="Z264" s="636" t="n"/>
      <c r="AA264" s="636" t="n"/>
      <c r="AB264" s="636" t="n"/>
      <c r="AC264" s="636" t="n"/>
      <c r="AD264" s="636" t="n"/>
      <c r="AE264" s="636" t="n"/>
      <c r="AF264" s="636" t="n"/>
      <c r="AG264" s="636" t="n"/>
      <c r="AH264" s="636" t="n"/>
      <c r="AI264" s="636" t="n"/>
      <c r="AJ264" s="636" t="n"/>
      <c r="AK264" s="636" t="n"/>
    </row>
    <row r="265">
      <c r="A265" s="639" t="inlineStr">
        <is>
          <t>호계동</t>
        </is>
      </c>
      <c r="B265" s="636" t="n"/>
      <c r="C265" s="636" t="n"/>
      <c r="D265" s="639" t="n">
        <v>1441</v>
      </c>
      <c r="E265" s="637" t="inlineStr">
        <is>
          <t>샘대우한양</t>
        </is>
      </c>
      <c r="F265" s="639" t="n">
        <v>1993.11</v>
      </c>
      <c r="G265" s="639" t="n">
        <v>1072</v>
      </c>
      <c r="H265" s="639">
        <f>2026-INT(F265)+1</f>
        <v/>
      </c>
      <c r="I265" s="636" t="n"/>
      <c r="J265" s="639" t="n">
        <v>123</v>
      </c>
      <c r="K265" s="639" t="n">
        <v>101</v>
      </c>
      <c r="L265" s="639" t="n">
        <v>37</v>
      </c>
      <c r="M265" s="639" t="inlineStr">
        <is>
          <t>계단식</t>
        </is>
      </c>
      <c r="N265" s="639" t="n">
        <v>4</v>
      </c>
      <c r="O265" s="639" t="n">
        <v>2</v>
      </c>
      <c r="P265" s="639" t="n">
        <v>413</v>
      </c>
      <c r="Q265" s="636" t="n"/>
      <c r="R265" s="636" t="n"/>
      <c r="S265" s="636" t="n"/>
      <c r="T265" s="636" t="n"/>
      <c r="U265" s="639" t="n"/>
      <c r="V265" s="639" t="n"/>
      <c r="W265" s="636" t="n"/>
      <c r="X265" s="636" t="n"/>
      <c r="Y265" s="636" t="n"/>
      <c r="Z265" s="636" t="n"/>
      <c r="AA265" s="636" t="n"/>
      <c r="AB265" s="636" t="n"/>
      <c r="AC265" s="636" t="n"/>
      <c r="AD265" s="636" t="n"/>
      <c r="AE265" s="636" t="n"/>
      <c r="AF265" s="636" t="n"/>
      <c r="AG265" s="636" t="n"/>
      <c r="AH265" s="636" t="n"/>
      <c r="AI265" s="636" t="n"/>
      <c r="AJ265" s="636" t="n"/>
      <c r="AK265" s="636" t="n"/>
    </row>
    <row r="266">
      <c r="A266" s="639" t="inlineStr">
        <is>
          <t>호계동</t>
        </is>
      </c>
      <c r="B266" s="636" t="n"/>
      <c r="C266" s="636" t="n"/>
      <c r="D266" s="639" t="n">
        <v>1441</v>
      </c>
      <c r="E266" s="637" t="inlineStr">
        <is>
          <t>샘대우한양</t>
        </is>
      </c>
      <c r="F266" s="639" t="n">
        <v>1993.11</v>
      </c>
      <c r="G266" s="639" t="n">
        <v>1072</v>
      </c>
      <c r="H266" s="639">
        <f>2026-INT(F266)+1</f>
        <v/>
      </c>
      <c r="I266" s="636" t="n"/>
      <c r="J266" s="639" t="n">
        <v>145</v>
      </c>
      <c r="K266" s="639" t="n">
        <v>120</v>
      </c>
      <c r="L266" s="639" t="n">
        <v>44</v>
      </c>
      <c r="M266" s="639" t="inlineStr">
        <is>
          <t>계단식</t>
        </is>
      </c>
      <c r="N266" s="639" t="n">
        <v>4</v>
      </c>
      <c r="O266" s="639" t="n">
        <v>2</v>
      </c>
      <c r="P266" s="639" t="n">
        <v>3</v>
      </c>
      <c r="Q266" s="636" t="n"/>
      <c r="R266" s="636" t="n"/>
      <c r="S266" s="636" t="n"/>
      <c r="T266" s="636" t="n"/>
      <c r="U266" s="639" t="n"/>
      <c r="V266" s="639" t="n"/>
      <c r="W266" s="636" t="n"/>
      <c r="X266" s="636" t="n"/>
      <c r="Y266" s="636" t="n"/>
      <c r="Z266" s="636" t="n"/>
      <c r="AA266" s="636" t="n"/>
      <c r="AB266" s="636" t="n"/>
      <c r="AC266" s="636" t="n"/>
      <c r="AD266" s="636" t="n"/>
      <c r="AE266" s="636" t="n"/>
      <c r="AF266" s="636" t="n"/>
      <c r="AG266" s="636" t="n"/>
      <c r="AH266" s="636" t="n"/>
      <c r="AI266" s="636" t="n"/>
      <c r="AJ266" s="636" t="n"/>
      <c r="AK266" s="636" t="n"/>
    </row>
    <row r="267">
      <c r="A267" s="636" t="inlineStr">
        <is>
          <t>호계동</t>
        </is>
      </c>
      <c r="B267" s="636" t="n"/>
      <c r="C267" s="636" t="n"/>
      <c r="D267" s="636" t="n">
        <v>1441</v>
      </c>
      <c r="E267" s="637" t="inlineStr">
        <is>
          <t>샘대우한양</t>
        </is>
      </c>
      <c r="F267" s="636" t="n">
        <v>1993.11</v>
      </c>
      <c r="G267" s="636" t="n">
        <v>1072</v>
      </c>
      <c r="H267" s="636">
        <f>2026-INT(F267)+1</f>
        <v/>
      </c>
      <c r="I267" s="636" t="n"/>
      <c r="J267" s="636" t="n">
        <v>162</v>
      </c>
      <c r="K267" s="636" t="n">
        <v>134</v>
      </c>
      <c r="L267" s="636" t="n">
        <v>49</v>
      </c>
      <c r="M267" s="636" t="inlineStr">
        <is>
          <t>계단식</t>
        </is>
      </c>
      <c r="N267" s="636" t="n">
        <v>4</v>
      </c>
      <c r="O267" s="636" t="n">
        <v>2</v>
      </c>
      <c r="P267" s="636" t="n">
        <v>269</v>
      </c>
      <c r="Q267" s="636" t="n"/>
      <c r="R267" s="636" t="n"/>
      <c r="S267" s="636" t="n"/>
      <c r="T267" s="636" t="n"/>
      <c r="U267" s="636" t="n"/>
      <c r="V267" s="636" t="n"/>
      <c r="W267" s="636" t="n"/>
      <c r="X267" s="636" t="n"/>
      <c r="Y267" s="636" t="n"/>
      <c r="Z267" s="636" t="n"/>
      <c r="AA267" s="636" t="n"/>
      <c r="AB267" s="636" t="n"/>
      <c r="AC267" s="636" t="n"/>
      <c r="AD267" s="636" t="n"/>
      <c r="AE267" s="636" t="n"/>
      <c r="AF267" s="636" t="n"/>
      <c r="AG267" s="636" t="n"/>
      <c r="AH267" s="636" t="n"/>
      <c r="AI267" s="636" t="n"/>
      <c r="AJ267" s="636" t="n"/>
      <c r="AK267" s="636" t="n"/>
    </row>
    <row r="268">
      <c r="A268" s="636" t="inlineStr">
        <is>
          <t>호계동</t>
        </is>
      </c>
      <c r="B268" s="636" t="n"/>
      <c r="C268" s="636" t="n"/>
      <c r="D268" s="636" t="n">
        <v>1441</v>
      </c>
      <c r="E268" s="637" t="inlineStr">
        <is>
          <t>샘대우한양</t>
        </is>
      </c>
      <c r="F268" s="636" t="n">
        <v>1993.11</v>
      </c>
      <c r="G268" s="636" t="n">
        <v>1072</v>
      </c>
      <c r="H268" s="636">
        <f>2026-INT(F268)+1</f>
        <v/>
      </c>
      <c r="I268" s="636" t="n"/>
      <c r="J268" s="636" t="n">
        <v>177</v>
      </c>
      <c r="K268" s="636" t="n">
        <v>147</v>
      </c>
      <c r="L268" s="636" t="n">
        <v>54</v>
      </c>
      <c r="M268" s="636" t="inlineStr">
        <is>
          <t>계단식</t>
        </is>
      </c>
      <c r="N268" s="636" t="n">
        <v>4</v>
      </c>
      <c r="O268" s="636" t="n">
        <v>2</v>
      </c>
      <c r="P268" s="636" t="n">
        <v>2</v>
      </c>
      <c r="Q268" s="636" t="n"/>
      <c r="R268" s="636" t="n"/>
      <c r="S268" s="636" t="n"/>
      <c r="T268" s="636" t="n"/>
      <c r="U268" s="636" t="n"/>
      <c r="V268" s="636" t="n"/>
      <c r="W268" s="636" t="n"/>
      <c r="X268" s="636" t="n"/>
      <c r="Y268" s="636" t="n"/>
      <c r="Z268" s="636" t="n"/>
      <c r="AA268" s="636" t="n"/>
      <c r="AB268" s="636" t="n"/>
      <c r="AC268" s="636" t="n"/>
      <c r="AD268" s="636" t="n"/>
      <c r="AE268" s="636" t="n"/>
      <c r="AF268" s="636" t="n"/>
      <c r="AG268" s="636" t="n"/>
      <c r="AH268" s="636" t="n"/>
      <c r="AI268" s="636" t="n"/>
      <c r="AJ268" s="636" t="n"/>
      <c r="AK268" s="636" t="n"/>
    </row>
    <row r="269">
      <c r="A269" s="636" t="inlineStr">
        <is>
          <t>호계동</t>
        </is>
      </c>
      <c r="B269" s="636" t="n"/>
      <c r="C269" s="636" t="n"/>
      <c r="D269" s="636" t="n">
        <v>1441</v>
      </c>
      <c r="E269" s="637" t="inlineStr">
        <is>
          <t>샘대우한양</t>
        </is>
      </c>
      <c r="F269" s="636" t="n">
        <v>1993.11</v>
      </c>
      <c r="G269" s="636" t="n">
        <v>1072</v>
      </c>
      <c r="H269" s="636">
        <f>2026-INT(F269)+1</f>
        <v/>
      </c>
      <c r="I269" s="636" t="n"/>
      <c r="J269" s="636" t="n">
        <v>198</v>
      </c>
      <c r="K269" s="636" t="n">
        <v>164</v>
      </c>
      <c r="L269" s="636" t="n">
        <v>60</v>
      </c>
      <c r="M269" s="636" t="inlineStr">
        <is>
          <t>계단식</t>
        </is>
      </c>
      <c r="N269" s="636" t="n">
        <v>5</v>
      </c>
      <c r="O269" s="636" t="n">
        <v>2</v>
      </c>
      <c r="P269" s="636" t="n">
        <v>186</v>
      </c>
      <c r="Q269" s="636" t="n"/>
      <c r="R269" s="636" t="n"/>
      <c r="S269" s="636" t="n"/>
      <c r="T269" s="636" t="n"/>
      <c r="U269" s="636" t="n"/>
      <c r="V269" s="636" t="n"/>
      <c r="W269" s="636" t="n"/>
      <c r="X269" s="636" t="n"/>
      <c r="Y269" s="636" t="n"/>
      <c r="Z269" s="636" t="n"/>
      <c r="AA269" s="636" t="n"/>
      <c r="AB269" s="636" t="n"/>
      <c r="AC269" s="636" t="n"/>
      <c r="AD269" s="636" t="n"/>
      <c r="AE269" s="636" t="n"/>
      <c r="AF269" s="636" t="n"/>
      <c r="AG269" s="636" t="n"/>
      <c r="AH269" s="636" t="n"/>
      <c r="AI269" s="636" t="n"/>
      <c r="AJ269" s="636" t="n"/>
      <c r="AK269" s="636" t="n"/>
    </row>
    <row r="270">
      <c r="A270" s="458" t="inlineStr">
        <is>
          <t>호계동</t>
        </is>
      </c>
      <c r="D270" s="458" t="n">
        <v>1444</v>
      </c>
      <c r="E270" s="638" t="inlineStr">
        <is>
          <t>샘마을임광</t>
        </is>
      </c>
      <c r="F270" s="458" t="n">
        <v>1992.12</v>
      </c>
      <c r="G270" s="458" t="n">
        <v>390</v>
      </c>
      <c r="H270" s="458">
        <f>2026-INT(F270)+1</f>
        <v/>
      </c>
      <c r="J270" s="458" t="n">
        <v>110</v>
      </c>
      <c r="K270" s="458" t="n">
        <v>91</v>
      </c>
      <c r="L270" s="458" t="n">
        <v>33</v>
      </c>
      <c r="M270" s="458" t="inlineStr">
        <is>
          <t>계단식</t>
        </is>
      </c>
      <c r="N270" s="458" t="n">
        <v>3</v>
      </c>
      <c r="O270" s="458" t="n">
        <v>2</v>
      </c>
      <c r="P270" s="458" t="n">
        <v>114</v>
      </c>
      <c r="U270" s="458" t="n"/>
      <c r="V270" s="458" t="n"/>
    </row>
    <row r="271">
      <c r="A271" s="458" t="inlineStr">
        <is>
          <t>호계동</t>
        </is>
      </c>
      <c r="D271" s="458" t="n">
        <v>1444</v>
      </c>
      <c r="E271" s="638" t="inlineStr">
        <is>
          <t>샘마을임광</t>
        </is>
      </c>
      <c r="F271" s="458" t="n">
        <v>1992.12</v>
      </c>
      <c r="G271" s="458" t="n">
        <v>390</v>
      </c>
      <c r="H271" s="458">
        <f>2026-INT(F271)+1</f>
        <v/>
      </c>
      <c r="J271" s="458" t="n">
        <v>138</v>
      </c>
      <c r="K271" s="458" t="n">
        <v>118</v>
      </c>
      <c r="L271" s="458" t="n">
        <v>42</v>
      </c>
      <c r="M271" s="458" t="inlineStr">
        <is>
          <t>계단식</t>
        </is>
      </c>
      <c r="N271" s="458" t="n">
        <v>4</v>
      </c>
      <c r="O271" s="458" t="n">
        <v>2</v>
      </c>
      <c r="P271" s="458" t="n">
        <v>180</v>
      </c>
      <c r="U271" s="458" t="n"/>
      <c r="V271" s="458" t="n"/>
    </row>
    <row r="272">
      <c r="A272" s="458" t="inlineStr">
        <is>
          <t>호계동</t>
        </is>
      </c>
      <c r="D272" s="458" t="n">
        <v>1444</v>
      </c>
      <c r="E272" s="638" t="inlineStr">
        <is>
          <t>샘마을임광</t>
        </is>
      </c>
      <c r="F272" s="458" t="n">
        <v>1992.12</v>
      </c>
      <c r="G272" s="458" t="n">
        <v>390</v>
      </c>
      <c r="H272" s="458">
        <f>2026-INT(F272)+1</f>
        <v/>
      </c>
      <c r="J272" s="458" t="n">
        <v>191</v>
      </c>
      <c r="K272" s="458" t="n">
        <v>165</v>
      </c>
      <c r="L272" s="458" t="n">
        <v>58</v>
      </c>
      <c r="M272" s="458" t="inlineStr">
        <is>
          <t>계단식</t>
        </is>
      </c>
      <c r="N272" s="458" t="n">
        <v>5</v>
      </c>
      <c r="O272" s="458" t="n">
        <v>2</v>
      </c>
      <c r="P272" s="458" t="n">
        <v>96</v>
      </c>
      <c r="U272" s="458" t="n"/>
      <c r="V272" s="458" t="n"/>
    </row>
    <row r="273">
      <c r="A273" s="639" t="inlineStr">
        <is>
          <t>호계동</t>
        </is>
      </c>
      <c r="B273" s="636" t="n"/>
      <c r="C273" s="636" t="n"/>
      <c r="D273" s="639" t="n">
        <v>1442</v>
      </c>
      <c r="E273" s="637" t="inlineStr">
        <is>
          <t>샘쌍용</t>
        </is>
      </c>
      <c r="F273" s="639" t="n">
        <v>1992.09</v>
      </c>
      <c r="G273" s="639" t="n">
        <v>384</v>
      </c>
      <c r="H273" s="639">
        <f>2026-INT(F273)+1</f>
        <v/>
      </c>
      <c r="I273" s="636" t="n"/>
      <c r="J273" s="639" t="n">
        <v>122</v>
      </c>
      <c r="K273" s="639" t="n">
        <v>101</v>
      </c>
      <c r="L273" s="639" t="n">
        <v>37</v>
      </c>
      <c r="M273" s="639" t="inlineStr">
        <is>
          <t>계단식</t>
        </is>
      </c>
      <c r="N273" s="639" t="n">
        <v>4</v>
      </c>
      <c r="O273" s="639" t="n">
        <v>2</v>
      </c>
      <c r="P273" s="639" t="n">
        <v>120</v>
      </c>
      <c r="Q273" s="636" t="n"/>
      <c r="R273" s="636" t="n"/>
      <c r="S273" s="636" t="n"/>
      <c r="T273" s="636" t="n"/>
      <c r="U273" s="639" t="n"/>
      <c r="V273" s="636" t="n"/>
      <c r="W273" s="636" t="n"/>
      <c r="X273" s="636" t="n"/>
      <c r="Y273" s="636" t="n"/>
      <c r="Z273" s="636" t="n"/>
      <c r="AA273" s="636" t="n"/>
      <c r="AB273" s="636" t="n"/>
      <c r="AC273" s="636" t="n"/>
      <c r="AD273" s="636" t="n"/>
      <c r="AE273" s="636" t="n"/>
      <c r="AF273" s="636" t="n"/>
      <c r="AG273" s="636" t="n"/>
      <c r="AH273" s="636" t="n"/>
      <c r="AI273" s="636" t="n"/>
      <c r="AJ273" s="636" t="n"/>
      <c r="AK273" s="636" t="n"/>
    </row>
    <row r="274">
      <c r="A274" s="639" t="inlineStr">
        <is>
          <t>호계동</t>
        </is>
      </c>
      <c r="B274" s="636" t="n"/>
      <c r="C274" s="636" t="n"/>
      <c r="D274" s="639" t="n">
        <v>1442</v>
      </c>
      <c r="E274" s="637" t="inlineStr">
        <is>
          <t>샘쌍용</t>
        </is>
      </c>
      <c r="F274" s="639" t="n">
        <v>1992.09</v>
      </c>
      <c r="G274" s="639" t="n">
        <v>384</v>
      </c>
      <c r="H274" s="639">
        <f>2026-INT(F274)+1</f>
        <v/>
      </c>
      <c r="I274" s="636" t="n"/>
      <c r="J274" s="639" t="n">
        <v>158</v>
      </c>
      <c r="K274" s="639" t="n">
        <v>132</v>
      </c>
      <c r="L274" s="639" t="n">
        <v>48</v>
      </c>
      <c r="M274" s="639" t="inlineStr">
        <is>
          <t>계단식</t>
        </is>
      </c>
      <c r="N274" s="639" t="n">
        <v>4</v>
      </c>
      <c r="O274" s="639" t="n">
        <v>2</v>
      </c>
      <c r="P274" s="639" t="n">
        <v>256</v>
      </c>
      <c r="Q274" s="636" t="n"/>
      <c r="R274" s="636" t="n"/>
      <c r="S274" s="636" t="n"/>
      <c r="T274" s="636" t="n"/>
      <c r="U274" s="639" t="n"/>
      <c r="V274" s="636" t="n"/>
      <c r="W274" s="636" t="n"/>
      <c r="X274" s="636" t="n"/>
      <c r="Y274" s="636" t="n"/>
      <c r="Z274" s="636" t="n"/>
      <c r="AA274" s="636" t="n"/>
      <c r="AB274" s="636" t="n"/>
      <c r="AC274" s="636" t="n"/>
      <c r="AD274" s="636" t="n"/>
      <c r="AE274" s="636" t="n"/>
      <c r="AF274" s="636" t="n"/>
      <c r="AG274" s="636" t="n"/>
      <c r="AH274" s="636" t="n"/>
      <c r="AI274" s="636" t="n"/>
      <c r="AJ274" s="636" t="n"/>
      <c r="AK274" s="636" t="n"/>
    </row>
    <row r="275">
      <c r="A275" s="639" t="inlineStr">
        <is>
          <t>호계동</t>
        </is>
      </c>
      <c r="B275" s="636" t="n"/>
      <c r="C275" s="636" t="n"/>
      <c r="D275" s="639" t="n">
        <v>1442</v>
      </c>
      <c r="E275" s="637" t="inlineStr">
        <is>
          <t>샘쌍용</t>
        </is>
      </c>
      <c r="F275" s="639" t="n">
        <v>1992.09</v>
      </c>
      <c r="G275" s="639" t="n">
        <v>384</v>
      </c>
      <c r="H275" s="639">
        <f>2026-INT(F275)+1</f>
        <v/>
      </c>
      <c r="I275" s="636" t="n"/>
      <c r="J275" s="639" t="n">
        <v>205</v>
      </c>
      <c r="K275" s="639" t="n">
        <v>175</v>
      </c>
      <c r="L275" s="639" t="n">
        <v>62</v>
      </c>
      <c r="M275" s="639" t="inlineStr">
        <is>
          <t>계단식</t>
        </is>
      </c>
      <c r="N275" s="639" t="n">
        <v>4</v>
      </c>
      <c r="O275" s="639" t="n">
        <v>2</v>
      </c>
      <c r="P275" s="639" t="n">
        <v>8</v>
      </c>
      <c r="Q275" s="636" t="n"/>
      <c r="R275" s="636" t="n"/>
      <c r="S275" s="636" t="n"/>
      <c r="T275" s="636" t="n"/>
      <c r="U275" s="639" t="n"/>
      <c r="V275" s="636" t="n"/>
      <c r="W275" s="636" t="n"/>
      <c r="X275" s="636" t="n"/>
      <c r="Y275" s="636" t="n"/>
      <c r="Z275" s="636" t="n"/>
      <c r="AA275" s="636" t="n"/>
      <c r="AB275" s="636" t="n"/>
      <c r="AC275" s="636" t="n"/>
      <c r="AD275" s="636" t="n"/>
      <c r="AE275" s="636" t="n"/>
      <c r="AF275" s="636" t="n"/>
      <c r="AG275" s="636" t="n"/>
      <c r="AH275" s="636" t="n"/>
      <c r="AI275" s="636" t="n"/>
      <c r="AJ275" s="636" t="n"/>
      <c r="AK275" s="636" t="n"/>
    </row>
    <row r="276">
      <c r="A276" s="458" t="inlineStr">
        <is>
          <t>호계동</t>
        </is>
      </c>
      <c r="D276" s="458" t="n">
        <v>1443</v>
      </c>
      <c r="E276" s="638" t="inlineStr">
        <is>
          <t>샘우방</t>
        </is>
      </c>
      <c r="F276" s="458" t="n">
        <v>1992.12</v>
      </c>
      <c r="G276" s="458" t="n">
        <v>488</v>
      </c>
      <c r="H276" s="458">
        <f>2026-INT(F276)+1</f>
        <v/>
      </c>
      <c r="J276" s="458" t="n">
        <v>121</v>
      </c>
      <c r="K276" s="458" t="n">
        <v>101</v>
      </c>
      <c r="L276" s="458" t="n">
        <v>37</v>
      </c>
      <c r="M276" s="458" t="inlineStr">
        <is>
          <t>계단식</t>
        </is>
      </c>
      <c r="N276" s="458" t="n">
        <v>4</v>
      </c>
      <c r="O276" s="458" t="n">
        <v>2</v>
      </c>
      <c r="P276" s="458" t="n">
        <v>209</v>
      </c>
      <c r="V276" s="458" t="n"/>
    </row>
    <row r="277">
      <c r="A277" s="458" t="inlineStr">
        <is>
          <t>호계동</t>
        </is>
      </c>
      <c r="D277" s="458" t="n">
        <v>1443</v>
      </c>
      <c r="E277" s="638" t="inlineStr">
        <is>
          <t>샘우방</t>
        </is>
      </c>
      <c r="F277" s="458" t="n">
        <v>1992.12</v>
      </c>
      <c r="G277" s="458" t="n">
        <v>488</v>
      </c>
      <c r="H277" s="458">
        <f>2026-INT(F277)+1</f>
        <v/>
      </c>
      <c r="J277" s="458" t="n">
        <v>160</v>
      </c>
      <c r="K277" s="458" t="n">
        <v>133</v>
      </c>
      <c r="L277" s="458" t="n">
        <v>48</v>
      </c>
      <c r="M277" s="458" t="inlineStr">
        <is>
          <t>계단식</t>
        </is>
      </c>
      <c r="N277" s="458" t="n">
        <v>4</v>
      </c>
      <c r="O277" s="458" t="n">
        <v>2</v>
      </c>
      <c r="P277" s="458" t="n">
        <v>279</v>
      </c>
      <c r="V277" s="458" t="n"/>
    </row>
    <row r="278">
      <c r="A278" s="636" t="inlineStr">
        <is>
          <t>호계동</t>
        </is>
      </c>
      <c r="B278" s="636" t="n"/>
      <c r="C278" s="636" t="n"/>
      <c r="D278" s="636" t="n">
        <v>175697</v>
      </c>
      <c r="E278" s="637" t="inlineStr">
        <is>
          <t>아크로베스티뉴</t>
        </is>
      </c>
      <c r="F278" s="636" t="n">
        <v>2025.03</v>
      </c>
      <c r="G278" s="636" t="n">
        <v>1011</v>
      </c>
      <c r="H278" s="636">
        <f>2026-INT(F278)+1</f>
        <v/>
      </c>
      <c r="I278" s="636" t="n"/>
      <c r="J278" s="636" t="n">
        <v>60</v>
      </c>
      <c r="K278" s="636" t="n">
        <v>39</v>
      </c>
      <c r="L278" s="636" t="n">
        <v>18</v>
      </c>
      <c r="M278" s="636" t="inlineStr">
        <is>
          <t>계단식</t>
        </is>
      </c>
      <c r="N278" s="636" t="n">
        <v>1</v>
      </c>
      <c r="O278" s="636" t="n">
        <v>1</v>
      </c>
      <c r="P278" s="636" t="n">
        <v>10</v>
      </c>
      <c r="Q278" s="636" t="n"/>
      <c r="R278" s="636" t="n"/>
      <c r="S278" s="636" t="n"/>
      <c r="T278" s="636" t="n"/>
      <c r="U278" s="636" t="n"/>
      <c r="V278" s="636" t="n"/>
      <c r="W278" s="636" t="n"/>
      <c r="X278" s="636" t="n"/>
      <c r="Y278" s="636" t="n"/>
      <c r="Z278" s="636" t="n"/>
      <c r="AA278" s="636" t="n"/>
      <c r="AB278" s="636" t="n"/>
      <c r="AC278" s="636" t="n"/>
      <c r="AD278" s="636" t="n"/>
      <c r="AE278" s="636" t="n"/>
      <c r="AF278" s="636" t="n"/>
      <c r="AG278" s="636" t="n"/>
      <c r="AH278" s="636" t="n"/>
      <c r="AI278" s="636" t="n"/>
      <c r="AJ278" s="636" t="n"/>
      <c r="AK278" s="636" t="n"/>
    </row>
    <row r="279">
      <c r="A279" s="636" t="inlineStr">
        <is>
          <t>호계동</t>
        </is>
      </c>
      <c r="B279" s="636" t="n"/>
      <c r="C279" s="636" t="n"/>
      <c r="D279" s="636" t="n">
        <v>175697</v>
      </c>
      <c r="E279" s="637" t="inlineStr">
        <is>
          <t>아크로베스티뉴</t>
        </is>
      </c>
      <c r="F279" s="636" t="n">
        <v>2025.03</v>
      </c>
      <c r="G279" s="636" t="n">
        <v>1011</v>
      </c>
      <c r="H279" s="636">
        <f>2026-INT(F279)+1</f>
        <v/>
      </c>
      <c r="I279" s="636" t="n"/>
      <c r="J279" s="636" t="n">
        <v>86</v>
      </c>
      <c r="K279" s="636" t="n">
        <v>59</v>
      </c>
      <c r="L279" s="636" t="n">
        <v>26</v>
      </c>
      <c r="M279" s="636" t="inlineStr">
        <is>
          <t>계단식</t>
        </is>
      </c>
      <c r="N279" s="636" t="n">
        <v>3</v>
      </c>
      <c r="O279" s="636" t="n">
        <v>2</v>
      </c>
      <c r="P279" s="636" t="n">
        <v>416</v>
      </c>
      <c r="Q279" s="636" t="n"/>
      <c r="R279" s="636" t="n"/>
      <c r="S279" s="636" t="n"/>
      <c r="T279" s="636" t="n"/>
      <c r="U279" s="636" t="n"/>
      <c r="V279" s="636" t="n"/>
      <c r="W279" s="636" t="n"/>
      <c r="X279" s="636" t="n"/>
      <c r="Y279" s="636" t="n"/>
      <c r="Z279" s="636" t="n"/>
      <c r="AA279" s="636" t="n"/>
      <c r="AB279" s="636" t="n"/>
      <c r="AC279" s="636" t="n"/>
      <c r="AD279" s="636" t="n"/>
      <c r="AE279" s="636" t="n"/>
      <c r="AF279" s="636" t="n"/>
      <c r="AG279" s="636" t="n"/>
      <c r="AH279" s="636" t="n"/>
      <c r="AI279" s="636" t="n"/>
      <c r="AJ279" s="636" t="n"/>
      <c r="AK279" s="636" t="n"/>
    </row>
    <row r="280">
      <c r="A280" s="636" t="inlineStr">
        <is>
          <t>호계동</t>
        </is>
      </c>
      <c r="B280" s="636" t="n"/>
      <c r="C280" s="636" t="n"/>
      <c r="D280" s="636" t="n">
        <v>175697</v>
      </c>
      <c r="E280" s="637" t="inlineStr">
        <is>
          <t>아크로베스티뉴</t>
        </is>
      </c>
      <c r="F280" s="636" t="n">
        <v>2025.03</v>
      </c>
      <c r="G280" s="636" t="n">
        <v>1011</v>
      </c>
      <c r="H280" s="636">
        <f>2026-INT(F280)+1</f>
        <v/>
      </c>
      <c r="I280" s="636" t="n"/>
      <c r="J280" s="636" t="n">
        <v>103</v>
      </c>
      <c r="K280" s="636" t="n">
        <v>74</v>
      </c>
      <c r="L280" s="636" t="n">
        <v>31</v>
      </c>
      <c r="M280" s="636" t="inlineStr">
        <is>
          <t>계단식</t>
        </is>
      </c>
      <c r="N280" s="636" t="n">
        <v>3</v>
      </c>
      <c r="O280" s="636" t="n">
        <v>2</v>
      </c>
      <c r="P280" s="636" t="n">
        <v>113</v>
      </c>
      <c r="Q280" s="636" t="n"/>
      <c r="R280" s="636" t="n"/>
      <c r="S280" s="636" t="n"/>
      <c r="T280" s="636" t="n"/>
      <c r="U280" s="636" t="n"/>
      <c r="V280" s="636" t="n"/>
      <c r="W280" s="636" t="n"/>
      <c r="X280" s="636" t="n"/>
      <c r="Y280" s="636" t="n"/>
      <c r="Z280" s="636" t="n"/>
      <c r="AA280" s="636" t="n"/>
      <c r="AB280" s="636" t="n"/>
      <c r="AC280" s="636" t="n"/>
      <c r="AD280" s="636" t="n"/>
      <c r="AE280" s="636" t="n"/>
      <c r="AF280" s="636" t="n"/>
      <c r="AG280" s="636" t="n"/>
      <c r="AH280" s="636" t="n"/>
      <c r="AI280" s="636" t="n"/>
      <c r="AJ280" s="636" t="n"/>
      <c r="AK280" s="636" t="n"/>
    </row>
    <row r="281">
      <c r="A281" s="636" t="inlineStr">
        <is>
          <t>호계동</t>
        </is>
      </c>
      <c r="B281" s="636" t="n"/>
      <c r="C281" s="636" t="n"/>
      <c r="D281" s="636" t="n">
        <v>175697</v>
      </c>
      <c r="E281" s="637" t="inlineStr">
        <is>
          <t>아크로베스티뉴</t>
        </is>
      </c>
      <c r="F281" s="636" t="n">
        <v>2025.03</v>
      </c>
      <c r="G281" s="636" t="n">
        <v>1011</v>
      </c>
      <c r="H281" s="636">
        <f>2026-INT(F281)+1</f>
        <v/>
      </c>
      <c r="I281" s="636" t="n"/>
      <c r="J281" s="636" t="n">
        <v>114</v>
      </c>
      <c r="K281" s="636" t="n">
        <v>84</v>
      </c>
      <c r="L281" s="636" t="n">
        <v>34</v>
      </c>
      <c r="M281" s="636" t="inlineStr">
        <is>
          <t>계단식</t>
        </is>
      </c>
      <c r="N281" s="636" t="n">
        <v>3</v>
      </c>
      <c r="O281" s="636" t="n">
        <v>2</v>
      </c>
      <c r="P281" s="636" t="n">
        <v>41</v>
      </c>
      <c r="Q281" s="636" t="n"/>
      <c r="R281" s="636" t="n"/>
      <c r="S281" s="636" t="n"/>
      <c r="T281" s="636" t="n"/>
      <c r="U281" s="636" t="n"/>
      <c r="V281" s="636" t="n"/>
      <c r="W281" s="636" t="n"/>
      <c r="X281" s="636" t="n"/>
      <c r="Y281" s="636" t="n"/>
      <c r="Z281" s="636" t="n"/>
      <c r="AA281" s="636" t="n"/>
      <c r="AB281" s="636" t="n"/>
      <c r="AC281" s="636" t="n"/>
      <c r="AD281" s="636" t="n"/>
      <c r="AE281" s="636" t="n"/>
      <c r="AF281" s="636" t="n"/>
      <c r="AG281" s="636" t="n"/>
      <c r="AH281" s="636" t="n"/>
      <c r="AI281" s="636" t="n"/>
      <c r="AJ281" s="636" t="n"/>
      <c r="AK281" s="636" t="n"/>
    </row>
    <row r="282">
      <c r="A282" t="inlineStr">
        <is>
          <t>호계동</t>
        </is>
      </c>
      <c r="D282" t="n">
        <v>115703</v>
      </c>
      <c r="E282" s="638" t="inlineStr">
        <is>
          <t>평촌대성유니드</t>
        </is>
      </c>
      <c r="F282" t="n">
        <v>2019.04</v>
      </c>
      <c r="G282" t="n">
        <v>203</v>
      </c>
      <c r="H282">
        <f>2026-INT(F282)+1</f>
        <v/>
      </c>
      <c r="J282" t="n">
        <v>65</v>
      </c>
      <c r="K282" t="n">
        <v>45</v>
      </c>
      <c r="L282" t="n">
        <v>20</v>
      </c>
      <c r="M282" t="inlineStr">
        <is>
          <t>계단식</t>
        </is>
      </c>
      <c r="N282" t="n">
        <v>2</v>
      </c>
      <c r="O282" t="n">
        <v>1</v>
      </c>
      <c r="P282" t="n">
        <v>72</v>
      </c>
    </row>
    <row r="283">
      <c r="A283" t="inlineStr">
        <is>
          <t>호계동</t>
        </is>
      </c>
      <c r="D283" t="n">
        <v>115703</v>
      </c>
      <c r="E283" s="638" t="inlineStr">
        <is>
          <t>평촌대성유니드</t>
        </is>
      </c>
      <c r="F283" t="n">
        <v>2019.04</v>
      </c>
      <c r="G283" t="n">
        <v>203</v>
      </c>
      <c r="H283">
        <f>2026-INT(F283)+1</f>
        <v/>
      </c>
      <c r="J283" t="n">
        <v>84</v>
      </c>
      <c r="K283" t="n">
        <v>59</v>
      </c>
      <c r="L283" t="n">
        <v>25</v>
      </c>
      <c r="M283" t="inlineStr">
        <is>
          <t>계단식</t>
        </is>
      </c>
      <c r="N283" t="n">
        <v>3</v>
      </c>
      <c r="O283" t="n">
        <v>2</v>
      </c>
      <c r="P283" t="n">
        <v>131</v>
      </c>
    </row>
    <row r="284">
      <c r="A284" s="636" t="inlineStr">
        <is>
          <t>호계동</t>
        </is>
      </c>
      <c r="B284" s="636" t="n"/>
      <c r="C284" s="636" t="n"/>
      <c r="D284" s="636" t="n">
        <v>113297</v>
      </c>
      <c r="E284" s="637" t="inlineStr">
        <is>
          <t>평촌더샵아이파크</t>
        </is>
      </c>
      <c r="F284" s="636" t="n">
        <v>2019.03</v>
      </c>
      <c r="G284" s="636" t="n">
        <v>1174</v>
      </c>
      <c r="H284" s="636">
        <f>2026-INT(F284)+1</f>
        <v/>
      </c>
      <c r="I284" s="636" t="n"/>
      <c r="J284" s="636" t="n">
        <v>82</v>
      </c>
      <c r="K284" s="636" t="n">
        <v>59</v>
      </c>
      <c r="L284" s="636" t="n">
        <v>25</v>
      </c>
      <c r="M284" s="636" t="inlineStr">
        <is>
          <t>계단식</t>
        </is>
      </c>
      <c r="N284" s="636" t="n">
        <v>3</v>
      </c>
      <c r="O284" s="636" t="n">
        <v>2</v>
      </c>
      <c r="P284" s="636" t="n">
        <v>417</v>
      </c>
      <c r="Q284" s="636" t="n"/>
      <c r="R284" s="636" t="n"/>
      <c r="S284" s="636" t="n"/>
      <c r="T284" s="636" t="n"/>
      <c r="U284" s="636" t="n"/>
      <c r="V284" s="636" t="n"/>
      <c r="W284" s="636" t="n"/>
      <c r="X284" s="636" t="n"/>
      <c r="Y284" s="636" t="n"/>
      <c r="Z284" s="636" t="n"/>
      <c r="AA284" s="636" t="n"/>
      <c r="AB284" s="636" t="n"/>
      <c r="AC284" s="636" t="n"/>
      <c r="AD284" s="636" t="n"/>
      <c r="AE284" s="636" t="n"/>
      <c r="AF284" s="636" t="n"/>
      <c r="AG284" s="636" t="n"/>
      <c r="AH284" s="636" t="n"/>
      <c r="AI284" s="636" t="n"/>
      <c r="AJ284" s="636" t="n"/>
      <c r="AK284" s="636" t="n"/>
    </row>
    <row r="285">
      <c r="A285" s="639" t="inlineStr">
        <is>
          <t>호계동</t>
        </is>
      </c>
      <c r="B285" s="636" t="n"/>
      <c r="C285" s="636" t="n"/>
      <c r="D285" s="639" t="n">
        <v>113297</v>
      </c>
      <c r="E285" s="637" t="inlineStr">
        <is>
          <t>평촌더샵아이파크</t>
        </is>
      </c>
      <c r="F285" s="639" t="n">
        <v>2019.03</v>
      </c>
      <c r="G285" s="639" t="n">
        <v>1174</v>
      </c>
      <c r="H285" s="639">
        <f>2026-INT(F285)+1</f>
        <v/>
      </c>
      <c r="I285" s="636" t="n"/>
      <c r="J285" s="639" t="n">
        <v>100</v>
      </c>
      <c r="K285" s="639" t="n">
        <v>74</v>
      </c>
      <c r="L285" s="639" t="n">
        <v>30</v>
      </c>
      <c r="M285" s="639" t="inlineStr">
        <is>
          <t>계단식</t>
        </is>
      </c>
      <c r="N285" s="639" t="n">
        <v>3</v>
      </c>
      <c r="O285" s="639" t="n">
        <v>2</v>
      </c>
      <c r="P285" s="639" t="n">
        <v>205</v>
      </c>
      <c r="Q285" s="636" t="n"/>
      <c r="R285" s="636" t="n"/>
      <c r="S285" s="636" t="n"/>
      <c r="T285" s="636" t="n"/>
      <c r="U285" s="639" t="n"/>
      <c r="V285" s="639" t="n"/>
      <c r="W285" s="636" t="n"/>
      <c r="X285" s="636" t="n"/>
      <c r="Y285" s="636" t="n"/>
      <c r="Z285" s="636" t="n"/>
      <c r="AA285" s="636" t="n"/>
      <c r="AB285" s="636" t="n"/>
      <c r="AC285" s="636" t="n"/>
      <c r="AD285" s="636" t="n"/>
      <c r="AE285" s="636" t="n"/>
      <c r="AF285" s="636" t="n"/>
      <c r="AG285" s="636" t="n"/>
      <c r="AH285" s="636" t="n"/>
      <c r="AI285" s="636" t="n"/>
      <c r="AJ285" s="636" t="n"/>
      <c r="AK285" s="636" t="n"/>
    </row>
    <row r="286">
      <c r="A286" s="639" t="inlineStr">
        <is>
          <t>호계동</t>
        </is>
      </c>
      <c r="B286" s="636" t="n"/>
      <c r="C286" s="636" t="n"/>
      <c r="D286" s="639" t="n">
        <v>113297</v>
      </c>
      <c r="E286" s="637" t="inlineStr">
        <is>
          <t>평촌더샵아이파크</t>
        </is>
      </c>
      <c r="F286" s="639" t="n">
        <v>2019.03</v>
      </c>
      <c r="G286" s="639" t="n">
        <v>1174</v>
      </c>
      <c r="H286" s="639">
        <f>2026-INT(F286)+1</f>
        <v/>
      </c>
      <c r="I286" s="636" t="n"/>
      <c r="J286" s="639" t="n">
        <v>112</v>
      </c>
      <c r="K286" s="639" t="n">
        <v>84</v>
      </c>
      <c r="L286" s="639" t="n">
        <v>34</v>
      </c>
      <c r="M286" s="639" t="inlineStr">
        <is>
          <t>계단식</t>
        </is>
      </c>
      <c r="N286" s="639" t="n">
        <v>3</v>
      </c>
      <c r="O286" s="639" t="n">
        <v>2</v>
      </c>
      <c r="P286" s="639" t="n">
        <v>483</v>
      </c>
      <c r="Q286" s="636" t="n"/>
      <c r="R286" s="636" t="n"/>
      <c r="S286" s="636" t="n"/>
      <c r="T286" s="636" t="n"/>
      <c r="U286" s="639" t="n"/>
      <c r="V286" s="639" t="n"/>
      <c r="W286" s="636" t="n"/>
      <c r="X286" s="636" t="n"/>
      <c r="Y286" s="636" t="n"/>
      <c r="Z286" s="636" t="n"/>
      <c r="AA286" s="636" t="n"/>
      <c r="AB286" s="636" t="n"/>
      <c r="AC286" s="636" t="n"/>
      <c r="AD286" s="636" t="n"/>
      <c r="AE286" s="636" t="n"/>
      <c r="AF286" s="636" t="n"/>
      <c r="AG286" s="636" t="n"/>
      <c r="AH286" s="636" t="n"/>
      <c r="AI286" s="636" t="n"/>
      <c r="AJ286" s="636" t="n"/>
      <c r="AK286" s="636" t="n"/>
    </row>
    <row r="287">
      <c r="A287" s="639" t="inlineStr">
        <is>
          <t>호계동</t>
        </is>
      </c>
      <c r="B287" s="636" t="n"/>
      <c r="C287" s="636" t="n"/>
      <c r="D287" s="639" t="n">
        <v>113297</v>
      </c>
      <c r="E287" s="637" t="inlineStr">
        <is>
          <t>평촌더샵아이파크</t>
        </is>
      </c>
      <c r="F287" s="639" t="n">
        <v>2019.03</v>
      </c>
      <c r="G287" s="639" t="n">
        <v>1174</v>
      </c>
      <c r="H287" s="639">
        <f>2026-INT(F287)+1</f>
        <v/>
      </c>
      <c r="I287" s="636" t="n"/>
      <c r="J287" s="639" t="n">
        <v>142</v>
      </c>
      <c r="K287" s="639" t="n">
        <v>114</v>
      </c>
      <c r="L287" s="639" t="n">
        <v>43</v>
      </c>
      <c r="M287" s="639" t="inlineStr">
        <is>
          <t>계단식</t>
        </is>
      </c>
      <c r="N287" s="639" t="n">
        <v>4</v>
      </c>
      <c r="O287" s="639" t="n">
        <v>2</v>
      </c>
      <c r="P287" s="639" t="n">
        <v>33</v>
      </c>
      <c r="Q287" s="636" t="n"/>
      <c r="R287" s="636" t="n"/>
      <c r="S287" s="636" t="n"/>
      <c r="T287" s="636" t="n"/>
      <c r="U287" s="639" t="n"/>
      <c r="V287" s="639" t="n"/>
      <c r="W287" s="636" t="n"/>
      <c r="X287" s="636" t="n"/>
      <c r="Y287" s="636" t="n"/>
      <c r="Z287" s="636" t="n"/>
      <c r="AA287" s="636" t="n"/>
      <c r="AB287" s="636" t="n"/>
      <c r="AC287" s="636" t="n"/>
      <c r="AD287" s="636" t="n"/>
      <c r="AE287" s="636" t="n"/>
      <c r="AF287" s="636" t="n"/>
      <c r="AG287" s="636" t="n"/>
      <c r="AH287" s="636" t="n"/>
      <c r="AI287" s="636" t="n"/>
      <c r="AJ287" s="636" t="n"/>
      <c r="AK287" s="636" t="n"/>
    </row>
    <row r="288">
      <c r="A288" s="458" t="inlineStr">
        <is>
          <t>호계동</t>
        </is>
      </c>
      <c r="D288" s="458" t="n">
        <v>152005</v>
      </c>
      <c r="E288" s="638" t="inlineStr">
        <is>
          <t>평촌두산위브더프라임</t>
        </is>
      </c>
      <c r="F288" s="458" t="n">
        <v>2025.12</v>
      </c>
      <c r="G288" s="458" t="n">
        <v>456</v>
      </c>
      <c r="H288" s="458">
        <f>2026-INT(F288)+1</f>
        <v/>
      </c>
      <c r="J288" s="458" t="n">
        <v>71</v>
      </c>
      <c r="K288" s="458" t="n">
        <v>49</v>
      </c>
      <c r="L288" s="458" t="n">
        <v>21</v>
      </c>
      <c r="M288" s="458" t="inlineStr">
        <is>
          <t>계단식</t>
        </is>
      </c>
      <c r="N288" s="458" t="n">
        <v>2</v>
      </c>
      <c r="O288" s="458" t="n">
        <v>2</v>
      </c>
      <c r="P288" s="458" t="n">
        <v>88</v>
      </c>
      <c r="U288" s="458" t="n"/>
      <c r="V288" s="458" t="n"/>
    </row>
    <row r="289">
      <c r="A289" t="inlineStr">
        <is>
          <t>호계동</t>
        </is>
      </c>
      <c r="D289" t="n">
        <v>152005</v>
      </c>
      <c r="E289" s="638" t="inlineStr">
        <is>
          <t>평촌두산위브더프라임</t>
        </is>
      </c>
      <c r="F289" t="n">
        <v>2025.12</v>
      </c>
      <c r="G289" t="n">
        <v>456</v>
      </c>
      <c r="H289">
        <f>2026-INT(F289)+1</f>
        <v/>
      </c>
      <c r="J289" t="n">
        <v>82</v>
      </c>
      <c r="K289" t="n">
        <v>59</v>
      </c>
      <c r="L289" t="n">
        <v>25</v>
      </c>
      <c r="M289" t="inlineStr">
        <is>
          <t>계단식</t>
        </is>
      </c>
      <c r="N289" t="n">
        <v>3</v>
      </c>
      <c r="O289" t="n">
        <v>2</v>
      </c>
      <c r="P289" t="n">
        <v>287</v>
      </c>
    </row>
    <row r="290">
      <c r="A290" t="inlineStr">
        <is>
          <t>호계동</t>
        </is>
      </c>
      <c r="D290" t="n">
        <v>152005</v>
      </c>
      <c r="E290" s="638" t="inlineStr">
        <is>
          <t>평촌두산위브더프라임</t>
        </is>
      </c>
      <c r="F290" t="n">
        <v>2025.12</v>
      </c>
      <c r="G290" t="n">
        <v>456</v>
      </c>
      <c r="H290">
        <f>2026-INT(F290)+1</f>
        <v/>
      </c>
      <c r="J290" t="n">
        <v>109</v>
      </c>
      <c r="K290" t="n">
        <v>84</v>
      </c>
      <c r="L290" t="n">
        <v>33</v>
      </c>
      <c r="M290" t="inlineStr">
        <is>
          <t>계단식</t>
        </is>
      </c>
      <c r="N290" t="n">
        <v>4</v>
      </c>
      <c r="O290" t="n">
        <v>2</v>
      </c>
      <c r="P290" t="n">
        <v>62</v>
      </c>
    </row>
    <row r="291">
      <c r="A291" s="639" t="inlineStr">
        <is>
          <t>호계동</t>
        </is>
      </c>
      <c r="B291" s="636" t="n"/>
      <c r="C291" s="636" t="n"/>
      <c r="D291" s="639" t="n">
        <v>123900</v>
      </c>
      <c r="E291" s="637" t="inlineStr">
        <is>
          <t>평촌두산위브리버뷰</t>
        </is>
      </c>
      <c r="F291" s="639" t="n">
        <v>2022.05</v>
      </c>
      <c r="G291" s="639" t="n">
        <v>855</v>
      </c>
      <c r="H291" s="639">
        <f>2026-INT(F291)+1</f>
        <v/>
      </c>
      <c r="I291" s="636" t="n"/>
      <c r="J291" s="639" t="n">
        <v>57</v>
      </c>
      <c r="K291" s="639" t="n">
        <v>36</v>
      </c>
      <c r="L291" s="639" t="n">
        <v>17</v>
      </c>
      <c r="M291" s="639" t="inlineStr">
        <is>
          <t>계단식</t>
        </is>
      </c>
      <c r="N291" s="639" t="n">
        <v>2</v>
      </c>
      <c r="O291" s="639" t="n">
        <v>1</v>
      </c>
      <c r="P291" s="639" t="n">
        <v>43</v>
      </c>
      <c r="Q291" s="636" t="n"/>
      <c r="R291" s="636" t="n"/>
      <c r="S291" s="636" t="n"/>
      <c r="T291" s="636" t="n"/>
      <c r="U291" s="639" t="n"/>
      <c r="V291" s="639" t="n"/>
      <c r="W291" s="636" t="n"/>
      <c r="X291" s="636" t="n"/>
      <c r="Y291" s="636" t="n"/>
      <c r="Z291" s="636" t="n"/>
      <c r="AA291" s="636" t="n"/>
      <c r="AB291" s="636" t="n"/>
      <c r="AC291" s="636" t="n"/>
      <c r="AD291" s="636" t="n"/>
      <c r="AE291" s="636" t="n"/>
      <c r="AF291" s="636" t="n"/>
      <c r="AG291" s="636" t="n"/>
      <c r="AH291" s="636" t="n"/>
      <c r="AI291" s="636" t="n"/>
      <c r="AJ291" s="636" t="n"/>
      <c r="AK291" s="636" t="n"/>
    </row>
    <row r="292">
      <c r="A292" s="639" t="inlineStr">
        <is>
          <t>호계동</t>
        </is>
      </c>
      <c r="B292" s="636" t="n"/>
      <c r="C292" s="636" t="n"/>
      <c r="D292" s="639" t="n">
        <v>123900</v>
      </c>
      <c r="E292" s="637" t="inlineStr">
        <is>
          <t>평촌두산위브리버뷰</t>
        </is>
      </c>
      <c r="F292" s="639" t="n">
        <v>2022.05</v>
      </c>
      <c r="G292" s="639" t="n">
        <v>855</v>
      </c>
      <c r="H292" s="639">
        <f>2026-INT(F292)+1</f>
        <v/>
      </c>
      <c r="I292" s="636" t="n"/>
      <c r="J292" s="639" t="n">
        <v>66</v>
      </c>
      <c r="K292" s="639" t="n">
        <v>43</v>
      </c>
      <c r="L292" s="639" t="n">
        <v>20</v>
      </c>
      <c r="M292" s="639" t="inlineStr">
        <is>
          <t>계단식</t>
        </is>
      </c>
      <c r="N292" s="639" t="n">
        <v>2</v>
      </c>
      <c r="O292" s="639" t="n">
        <v>1</v>
      </c>
      <c r="P292" s="639" t="n">
        <v>44</v>
      </c>
      <c r="Q292" s="636" t="n"/>
      <c r="R292" s="636" t="n"/>
      <c r="S292" s="636" t="n"/>
      <c r="T292" s="636" t="n"/>
      <c r="U292" s="639" t="n"/>
      <c r="V292" s="639" t="n"/>
      <c r="W292" s="636" t="n"/>
      <c r="X292" s="636" t="n"/>
      <c r="Y292" s="636" t="n"/>
      <c r="Z292" s="636" t="n"/>
      <c r="AA292" s="636" t="n"/>
      <c r="AB292" s="636" t="n"/>
      <c r="AC292" s="636" t="n"/>
      <c r="AD292" s="636" t="n"/>
      <c r="AE292" s="636" t="n"/>
      <c r="AF292" s="636" t="n"/>
      <c r="AG292" s="636" t="n"/>
      <c r="AH292" s="636" t="n"/>
      <c r="AI292" s="636" t="n"/>
      <c r="AJ292" s="636" t="n"/>
      <c r="AK292" s="636" t="n"/>
    </row>
    <row r="293">
      <c r="A293" s="639" t="inlineStr">
        <is>
          <t>호계동</t>
        </is>
      </c>
      <c r="B293" s="636" t="n"/>
      <c r="C293" s="636" t="n"/>
      <c r="D293" s="639" t="n">
        <v>123900</v>
      </c>
      <c r="E293" s="637" t="inlineStr">
        <is>
          <t>평촌두산위브리버뷰</t>
        </is>
      </c>
      <c r="F293" s="639" t="n">
        <v>2022.05</v>
      </c>
      <c r="G293" s="639" t="n">
        <v>855</v>
      </c>
      <c r="H293" s="639">
        <f>2026-INT(F293)+1</f>
        <v/>
      </c>
      <c r="I293" s="636" t="n"/>
      <c r="J293" s="639" t="n">
        <v>80</v>
      </c>
      <c r="K293" s="639" t="n">
        <v>59</v>
      </c>
      <c r="L293" s="639" t="n">
        <v>24</v>
      </c>
      <c r="M293" s="639" t="inlineStr">
        <is>
          <t>계단식</t>
        </is>
      </c>
      <c r="N293" s="639" t="n">
        <v>3</v>
      </c>
      <c r="O293" s="639" t="n">
        <v>2</v>
      </c>
      <c r="P293" s="639" t="n">
        <v>207</v>
      </c>
      <c r="Q293" s="636" t="n"/>
      <c r="R293" s="636" t="n"/>
      <c r="S293" s="636" t="n"/>
      <c r="T293" s="636" t="n"/>
      <c r="U293" s="636" t="n"/>
      <c r="V293" s="639" t="n"/>
      <c r="W293" s="636" t="n"/>
      <c r="X293" s="636" t="n"/>
      <c r="Y293" s="636" t="n"/>
      <c r="Z293" s="636" t="n"/>
      <c r="AA293" s="636" t="n"/>
      <c r="AB293" s="636" t="n"/>
      <c r="AC293" s="636" t="n"/>
      <c r="AD293" s="636" t="n"/>
      <c r="AE293" s="636" t="n"/>
      <c r="AF293" s="636" t="n"/>
      <c r="AG293" s="636" t="n"/>
      <c r="AH293" s="636" t="n"/>
      <c r="AI293" s="636" t="n"/>
      <c r="AJ293" s="636" t="n"/>
      <c r="AK293" s="636" t="n"/>
    </row>
    <row r="294">
      <c r="A294" s="639" t="inlineStr">
        <is>
          <t>호계동</t>
        </is>
      </c>
      <c r="B294" s="636" t="n"/>
      <c r="C294" s="636" t="n"/>
      <c r="D294" s="639" t="n">
        <v>123900</v>
      </c>
      <c r="E294" s="637" t="inlineStr">
        <is>
          <t>평촌두산위브리버뷰</t>
        </is>
      </c>
      <c r="F294" s="639" t="n">
        <v>2022.05</v>
      </c>
      <c r="G294" s="639" t="n">
        <v>855</v>
      </c>
      <c r="H294" s="639">
        <f>2026-INT(F294)+1</f>
        <v/>
      </c>
      <c r="I294" s="636" t="n"/>
      <c r="J294" s="639" t="n">
        <v>93</v>
      </c>
      <c r="K294" s="639" t="n">
        <v>70</v>
      </c>
      <c r="L294" s="639" t="n">
        <v>28</v>
      </c>
      <c r="M294" s="639" t="inlineStr">
        <is>
          <t>계단식</t>
        </is>
      </c>
      <c r="N294" s="639" t="n">
        <v>3</v>
      </c>
      <c r="O294" s="639" t="n">
        <v>2</v>
      </c>
      <c r="P294" s="639" t="n">
        <v>157</v>
      </c>
      <c r="Q294" s="636" t="n"/>
      <c r="R294" s="636" t="n"/>
      <c r="S294" s="636" t="n"/>
      <c r="T294" s="636" t="n"/>
      <c r="U294" s="639" t="n"/>
      <c r="V294" s="639" t="n"/>
      <c r="W294" s="636" t="n"/>
      <c r="X294" s="636" t="n"/>
      <c r="Y294" s="636" t="n"/>
      <c r="Z294" s="636" t="n"/>
      <c r="AA294" s="636" t="n"/>
      <c r="AB294" s="636" t="n"/>
      <c r="AC294" s="636" t="n"/>
      <c r="AD294" s="636" t="n"/>
      <c r="AE294" s="636" t="n"/>
      <c r="AF294" s="636" t="n"/>
      <c r="AG294" s="636" t="n"/>
      <c r="AH294" s="636" t="n"/>
      <c r="AI294" s="636" t="n"/>
      <c r="AJ294" s="636" t="n"/>
      <c r="AK294" s="636" t="n"/>
    </row>
    <row r="295">
      <c r="A295" s="639" t="inlineStr">
        <is>
          <t>호계동</t>
        </is>
      </c>
      <c r="B295" s="636" t="n"/>
      <c r="C295" s="636" t="n"/>
      <c r="D295" s="639" t="n">
        <v>123900</v>
      </c>
      <c r="E295" s="637" t="inlineStr">
        <is>
          <t>평촌두산위브리버뷰</t>
        </is>
      </c>
      <c r="F295" s="639" t="n">
        <v>2022.05</v>
      </c>
      <c r="G295" s="639" t="n">
        <v>855</v>
      </c>
      <c r="H295" s="639">
        <f>2026-INT(F295)+1</f>
        <v/>
      </c>
      <c r="I295" s="636" t="n"/>
      <c r="J295" s="639" t="n">
        <v>102</v>
      </c>
      <c r="K295" s="639" t="n">
        <v>70</v>
      </c>
      <c r="L295" s="639" t="n">
        <v>31</v>
      </c>
      <c r="M295" s="639" t="inlineStr">
        <is>
          <t>계단식</t>
        </is>
      </c>
      <c r="N295" s="639" t="n">
        <v>4</v>
      </c>
      <c r="O295" s="639" t="n">
        <v>2</v>
      </c>
      <c r="P295" s="639" t="n">
        <v>71</v>
      </c>
      <c r="Q295" s="636" t="n"/>
      <c r="R295" s="636" t="n"/>
      <c r="S295" s="636" t="n"/>
      <c r="T295" s="636" t="n"/>
      <c r="U295" s="636" t="n"/>
      <c r="V295" s="639" t="n"/>
      <c r="W295" s="636" t="n"/>
      <c r="X295" s="636" t="n"/>
      <c r="Y295" s="636" t="n"/>
      <c r="Z295" s="636" t="n"/>
      <c r="AA295" s="636" t="n"/>
      <c r="AB295" s="636" t="n"/>
      <c r="AC295" s="636" t="n"/>
      <c r="AD295" s="636" t="n"/>
      <c r="AE295" s="636" t="n"/>
      <c r="AF295" s="636" t="n"/>
      <c r="AG295" s="636" t="n"/>
      <c r="AH295" s="636" t="n"/>
      <c r="AI295" s="636" t="n"/>
      <c r="AJ295" s="636" t="n"/>
      <c r="AK295" s="636" t="n"/>
    </row>
    <row r="296">
      <c r="A296" s="636" t="inlineStr">
        <is>
          <t>호계동</t>
        </is>
      </c>
      <c r="B296" s="636" t="n"/>
      <c r="C296" s="636" t="n"/>
      <c r="D296" s="636" t="n">
        <v>123900</v>
      </c>
      <c r="E296" s="637" t="inlineStr">
        <is>
          <t>평촌두산위브리버뷰</t>
        </is>
      </c>
      <c r="F296" s="636" t="n">
        <v>2022.05</v>
      </c>
      <c r="G296" s="636" t="n">
        <v>855</v>
      </c>
      <c r="H296" s="636">
        <f>2026-INT(F296)+1</f>
        <v/>
      </c>
      <c r="I296" s="636" t="n"/>
      <c r="J296" s="636" t="n">
        <v>111</v>
      </c>
      <c r="K296" s="636" t="n">
        <v>84</v>
      </c>
      <c r="L296" s="636" t="n">
        <v>34</v>
      </c>
      <c r="M296" s="636" t="inlineStr">
        <is>
          <t>계단식</t>
        </is>
      </c>
      <c r="N296" s="636" t="n">
        <v>3</v>
      </c>
      <c r="O296" s="636" t="n">
        <v>2</v>
      </c>
      <c r="P296" s="636" t="n">
        <v>271</v>
      </c>
      <c r="Q296" s="636" t="n"/>
      <c r="R296" s="636" t="n"/>
      <c r="S296" s="636" t="n"/>
      <c r="T296" s="636" t="n"/>
      <c r="U296" s="636" t="n"/>
      <c r="V296" s="636" t="n"/>
      <c r="W296" s="636" t="n"/>
      <c r="X296" s="636" t="n"/>
      <c r="Y296" s="636" t="n"/>
      <c r="Z296" s="636" t="n"/>
      <c r="AA296" s="636" t="n"/>
      <c r="AB296" s="636" t="n"/>
      <c r="AC296" s="636" t="n"/>
      <c r="AD296" s="636" t="n"/>
      <c r="AE296" s="636" t="n"/>
      <c r="AF296" s="636" t="n"/>
      <c r="AG296" s="636" t="n"/>
      <c r="AH296" s="636" t="n"/>
      <c r="AI296" s="636" t="n"/>
      <c r="AJ296" s="636" t="n"/>
      <c r="AK296" s="636" t="n"/>
    </row>
    <row r="297">
      <c r="A297" t="inlineStr">
        <is>
          <t>호계동</t>
        </is>
      </c>
      <c r="D297" t="n">
        <v>154917</v>
      </c>
      <c r="E297" s="638" t="inlineStr">
        <is>
          <t>평촌센텀퍼스트</t>
        </is>
      </c>
      <c r="F297" t="n">
        <v>2023.11</v>
      </c>
      <c r="G297" t="n">
        <v>2886</v>
      </c>
      <c r="H297">
        <f>2026-INT(F297)+1</f>
        <v/>
      </c>
      <c r="J297" t="n">
        <v>56</v>
      </c>
      <c r="K297" t="n">
        <v>36</v>
      </c>
      <c r="L297" t="n">
        <v>17</v>
      </c>
      <c r="M297" t="inlineStr">
        <is>
          <t>계단식</t>
        </is>
      </c>
      <c r="N297" t="n">
        <v>1</v>
      </c>
      <c r="O297" t="n">
        <v>1</v>
      </c>
      <c r="P297" t="n">
        <v>31</v>
      </c>
    </row>
    <row r="298">
      <c r="A298" s="458" t="inlineStr">
        <is>
          <t>호계동</t>
        </is>
      </c>
      <c r="D298" s="458" t="n">
        <v>154917</v>
      </c>
      <c r="E298" s="638" t="inlineStr">
        <is>
          <t>평촌센텀퍼스트</t>
        </is>
      </c>
      <c r="F298" s="458" t="n">
        <v>2023.11</v>
      </c>
      <c r="G298" s="458" t="n">
        <v>2886</v>
      </c>
      <c r="H298" s="458">
        <f>2026-INT(F298)+1</f>
        <v/>
      </c>
      <c r="J298" s="458" t="n">
        <v>67</v>
      </c>
      <c r="K298" s="458" t="n">
        <v>46</v>
      </c>
      <c r="L298" s="458" t="n">
        <v>20</v>
      </c>
      <c r="M298" s="458" t="inlineStr">
        <is>
          <t>계단식</t>
        </is>
      </c>
      <c r="N298" s="458" t="n">
        <v>2</v>
      </c>
      <c r="O298" s="458" t="n">
        <v>1</v>
      </c>
      <c r="P298" s="458" t="n">
        <v>112</v>
      </c>
    </row>
    <row r="299">
      <c r="A299" s="458" t="inlineStr">
        <is>
          <t>호계동</t>
        </is>
      </c>
      <c r="D299" s="458" t="n">
        <v>154917</v>
      </c>
      <c r="E299" s="638" t="inlineStr">
        <is>
          <t>평촌센텀퍼스트</t>
        </is>
      </c>
      <c r="F299" s="458" t="n">
        <v>2023.11</v>
      </c>
      <c r="G299" s="458" t="n">
        <v>2886</v>
      </c>
      <c r="H299" s="458">
        <f>2026-INT(F299)+1</f>
        <v/>
      </c>
      <c r="J299" s="458" t="n">
        <v>82</v>
      </c>
      <c r="K299" s="458" t="n">
        <v>59</v>
      </c>
      <c r="L299" s="458" t="n">
        <v>25</v>
      </c>
      <c r="M299" s="458" t="inlineStr">
        <is>
          <t>계단식</t>
        </is>
      </c>
      <c r="N299" s="458" t="n">
        <v>3</v>
      </c>
      <c r="O299" s="458" t="n">
        <v>2</v>
      </c>
      <c r="P299" s="458" t="n">
        <v>1128</v>
      </c>
    </row>
    <row r="300">
      <c r="A300" s="458" t="inlineStr">
        <is>
          <t>호계동</t>
        </is>
      </c>
      <c r="D300" s="458" t="n">
        <v>154917</v>
      </c>
      <c r="E300" s="638" t="inlineStr">
        <is>
          <t>평촌센텀퍼스트</t>
        </is>
      </c>
      <c r="F300" s="458" t="n">
        <v>2023.11</v>
      </c>
      <c r="G300" s="458" t="n">
        <v>2886</v>
      </c>
      <c r="H300" s="458">
        <f>2026-INT(F300)+1</f>
        <v/>
      </c>
      <c r="J300" s="458" t="n">
        <v>97</v>
      </c>
      <c r="K300" s="458" t="n">
        <v>72</v>
      </c>
      <c r="L300" s="458" t="n">
        <v>29</v>
      </c>
      <c r="M300" s="458" t="inlineStr">
        <is>
          <t>계단식</t>
        </is>
      </c>
      <c r="N300" s="458" t="n">
        <v>3</v>
      </c>
      <c r="O300" s="458" t="n">
        <v>2</v>
      </c>
      <c r="P300" s="458" t="n">
        <v>267</v>
      </c>
    </row>
    <row r="301">
      <c r="A301" s="458" t="inlineStr">
        <is>
          <t>호계동</t>
        </is>
      </c>
      <c r="D301" s="458" t="n">
        <v>154917</v>
      </c>
      <c r="E301" s="638" t="inlineStr">
        <is>
          <t>평촌센텀퍼스트</t>
        </is>
      </c>
      <c r="F301" s="458" t="n">
        <v>2023.11</v>
      </c>
      <c r="G301" s="458" t="n">
        <v>2886</v>
      </c>
      <c r="H301" s="458">
        <f>2026-INT(F301)+1</f>
        <v/>
      </c>
      <c r="J301" s="458" t="n">
        <v>110</v>
      </c>
      <c r="K301" s="458" t="n">
        <v>84</v>
      </c>
      <c r="L301" s="458" t="n">
        <v>33</v>
      </c>
      <c r="M301" s="458" t="inlineStr">
        <is>
          <t>계단식</t>
        </is>
      </c>
      <c r="N301" s="458" t="n">
        <v>3</v>
      </c>
      <c r="O301" s="458" t="n">
        <v>2</v>
      </c>
      <c r="P301" s="458" t="n">
        <v>932</v>
      </c>
    </row>
    <row r="302">
      <c r="A302" t="inlineStr">
        <is>
          <t>호계동</t>
        </is>
      </c>
      <c r="D302" t="n">
        <v>154917</v>
      </c>
      <c r="E302" s="638" t="inlineStr">
        <is>
          <t>평촌센텀퍼스트</t>
        </is>
      </c>
      <c r="F302" t="n">
        <v>2023.11</v>
      </c>
      <c r="G302" t="n">
        <v>2886</v>
      </c>
      <c r="H302">
        <f>2026-INT(F302)+1</f>
        <v/>
      </c>
      <c r="J302" t="n">
        <v>126</v>
      </c>
      <c r="K302" t="n">
        <v>99</v>
      </c>
      <c r="L302" t="n">
        <v>38</v>
      </c>
      <c r="M302" t="inlineStr">
        <is>
          <t>계단식</t>
        </is>
      </c>
      <c r="N302" t="n">
        <v>3</v>
      </c>
      <c r="O302" t="n">
        <v>2</v>
      </c>
      <c r="P302" t="n">
        <v>90</v>
      </c>
    </row>
    <row r="303">
      <c r="A303" s="636" t="inlineStr">
        <is>
          <t>호계동</t>
        </is>
      </c>
      <c r="B303" s="636" t="n"/>
      <c r="C303" s="636" t="n"/>
      <c r="D303" s="636" t="n">
        <v>122682</v>
      </c>
      <c r="E303" s="637" t="inlineStr">
        <is>
          <t>평촌어바인퍼스트</t>
        </is>
      </c>
      <c r="F303" s="636" t="n">
        <v>2021.04</v>
      </c>
      <c r="G303" s="636" t="n">
        <v>3850</v>
      </c>
      <c r="H303" s="636">
        <f>2026-INT(F303)+1</f>
        <v/>
      </c>
      <c r="I303" s="636" t="n"/>
      <c r="J303" s="636" t="n">
        <v>57</v>
      </c>
      <c r="K303" s="636" t="n">
        <v>39</v>
      </c>
      <c r="L303" s="636" t="n">
        <v>17</v>
      </c>
      <c r="M303" s="636" t="inlineStr">
        <is>
          <t>계단식</t>
        </is>
      </c>
      <c r="N303" s="636" t="n">
        <v>1</v>
      </c>
      <c r="O303" s="636" t="n">
        <v>1</v>
      </c>
      <c r="P303" s="636" t="n">
        <v>475</v>
      </c>
      <c r="Q303" s="636" t="n"/>
      <c r="R303" s="636" t="n"/>
      <c r="S303" s="636" t="n"/>
      <c r="T303" s="636" t="n"/>
      <c r="U303" s="636" t="n"/>
      <c r="V303" s="636" t="n"/>
      <c r="W303" s="636" t="n"/>
      <c r="X303" s="636" t="n"/>
      <c r="Y303" s="636" t="n"/>
      <c r="Z303" s="636" t="n"/>
      <c r="AA303" s="636" t="n"/>
      <c r="AB303" s="636" t="n"/>
      <c r="AC303" s="636" t="n"/>
      <c r="AD303" s="636" t="n"/>
      <c r="AE303" s="636" t="n"/>
      <c r="AF303" s="636" t="n"/>
      <c r="AG303" s="636" t="n"/>
      <c r="AH303" s="636" t="n"/>
      <c r="AI303" s="636" t="n"/>
      <c r="AJ303" s="636" t="n"/>
      <c r="AK303" s="636" t="n"/>
    </row>
    <row r="304">
      <c r="A304" s="636" t="inlineStr">
        <is>
          <t>호계동</t>
        </is>
      </c>
      <c r="B304" s="636" t="n"/>
      <c r="C304" s="636" t="n"/>
      <c r="D304" s="636" t="n">
        <v>122682</v>
      </c>
      <c r="E304" s="637" t="inlineStr">
        <is>
          <t>평촌어바인퍼스트</t>
        </is>
      </c>
      <c r="F304" s="636" t="n">
        <v>2021.04</v>
      </c>
      <c r="G304" s="636" t="n">
        <v>3850</v>
      </c>
      <c r="H304" s="636">
        <f>2026-INT(F304)+1</f>
        <v/>
      </c>
      <c r="I304" s="636" t="n"/>
      <c r="J304" s="636" t="n">
        <v>67</v>
      </c>
      <c r="K304" s="636" t="n">
        <v>46</v>
      </c>
      <c r="L304" s="636" t="n">
        <v>20</v>
      </c>
      <c r="M304" s="636" t="inlineStr">
        <is>
          <t>계단식</t>
        </is>
      </c>
      <c r="N304" s="636" t="n">
        <v>2</v>
      </c>
      <c r="O304" s="636" t="n">
        <v>1</v>
      </c>
      <c r="P304" s="636" t="n">
        <v>157</v>
      </c>
      <c r="Q304" s="636" t="n"/>
      <c r="R304" s="636" t="n"/>
      <c r="S304" s="636" t="n"/>
      <c r="T304" s="636" t="n"/>
      <c r="U304" s="636" t="n"/>
      <c r="V304" s="636" t="n"/>
      <c r="W304" s="636" t="n"/>
      <c r="X304" s="636" t="n"/>
      <c r="Y304" s="636" t="n"/>
      <c r="Z304" s="636" t="n"/>
      <c r="AA304" s="636" t="n"/>
      <c r="AB304" s="636" t="n"/>
      <c r="AC304" s="636" t="n"/>
      <c r="AD304" s="636" t="n"/>
      <c r="AE304" s="636" t="n"/>
      <c r="AF304" s="636" t="n"/>
      <c r="AG304" s="636" t="n"/>
      <c r="AH304" s="636" t="n"/>
      <c r="AI304" s="636" t="n"/>
      <c r="AJ304" s="636" t="n"/>
      <c r="AK304" s="636" t="n"/>
    </row>
    <row r="305">
      <c r="A305" s="636" t="inlineStr">
        <is>
          <t>호계동</t>
        </is>
      </c>
      <c r="B305" s="636" t="n"/>
      <c r="C305" s="636" t="n"/>
      <c r="D305" s="636" t="n">
        <v>122682</v>
      </c>
      <c r="E305" s="637" t="inlineStr">
        <is>
          <t>평촌어바인퍼스트</t>
        </is>
      </c>
      <c r="F305" s="636" t="n">
        <v>2021.04</v>
      </c>
      <c r="G305" s="636" t="n">
        <v>3850</v>
      </c>
      <c r="H305" s="636">
        <f>2026-INT(F305)+1</f>
        <v/>
      </c>
      <c r="I305" s="636" t="n"/>
      <c r="J305" s="636" t="n">
        <v>85</v>
      </c>
      <c r="K305" s="636" t="n">
        <v>59</v>
      </c>
      <c r="L305" s="636" t="n">
        <v>26</v>
      </c>
      <c r="M305" s="636" t="inlineStr">
        <is>
          <t>계단식</t>
        </is>
      </c>
      <c r="N305" s="636" t="n">
        <v>3</v>
      </c>
      <c r="O305" s="636" t="n">
        <v>2</v>
      </c>
      <c r="P305" s="636" t="n">
        <v>1861</v>
      </c>
      <c r="Q305" s="636" t="n"/>
      <c r="R305" s="636" t="n"/>
      <c r="S305" s="636" t="n"/>
      <c r="T305" s="636" t="n"/>
      <c r="U305" s="636" t="n"/>
      <c r="V305" s="636" t="n"/>
      <c r="W305" s="636" t="n"/>
      <c r="X305" s="636" t="n"/>
      <c r="Y305" s="636" t="n"/>
      <c r="Z305" s="636" t="n"/>
      <c r="AA305" s="636" t="n"/>
      <c r="AB305" s="636" t="n"/>
      <c r="AC305" s="636" t="n"/>
      <c r="AD305" s="636" t="n"/>
      <c r="AE305" s="636" t="n"/>
      <c r="AF305" s="636" t="n"/>
      <c r="AG305" s="636" t="n"/>
      <c r="AH305" s="636" t="n"/>
      <c r="AI305" s="636" t="n"/>
      <c r="AJ305" s="636" t="n"/>
      <c r="AK305" s="636" t="n"/>
    </row>
    <row r="306">
      <c r="A306" s="636" t="inlineStr">
        <is>
          <t>호계동</t>
        </is>
      </c>
      <c r="B306" s="636" t="n"/>
      <c r="C306" s="636" t="n"/>
      <c r="D306" s="636" t="n">
        <v>122682</v>
      </c>
      <c r="E306" s="637" t="inlineStr">
        <is>
          <t>평촌어바인퍼스트</t>
        </is>
      </c>
      <c r="F306" s="636" t="n">
        <v>2021.04</v>
      </c>
      <c r="G306" s="636" t="n">
        <v>3850</v>
      </c>
      <c r="H306" s="636">
        <f>2026-INT(F306)+1</f>
        <v/>
      </c>
      <c r="I306" s="636" t="n"/>
      <c r="J306" s="636" t="n">
        <v>101</v>
      </c>
      <c r="K306" s="636" t="n">
        <v>74</v>
      </c>
      <c r="L306" s="636" t="n">
        <v>31</v>
      </c>
      <c r="M306" s="636" t="inlineStr">
        <is>
          <t>계단식</t>
        </is>
      </c>
      <c r="N306" s="636" t="n">
        <v>3</v>
      </c>
      <c r="O306" s="636" t="n">
        <v>2</v>
      </c>
      <c r="P306" s="636" t="n">
        <v>111</v>
      </c>
      <c r="Q306" s="636" t="n"/>
      <c r="R306" s="636" t="n"/>
      <c r="S306" s="636" t="n"/>
      <c r="T306" s="636" t="n"/>
      <c r="U306" s="636" t="n"/>
      <c r="V306" s="636" t="n"/>
      <c r="W306" s="636" t="n"/>
      <c r="X306" s="636" t="n"/>
      <c r="Y306" s="636" t="n"/>
      <c r="Z306" s="636" t="n"/>
      <c r="AA306" s="636" t="n"/>
      <c r="AB306" s="636" t="n"/>
      <c r="AC306" s="636" t="n"/>
      <c r="AD306" s="636" t="n"/>
      <c r="AE306" s="636" t="n"/>
      <c r="AF306" s="636" t="n"/>
      <c r="AG306" s="636" t="n"/>
      <c r="AH306" s="636" t="n"/>
      <c r="AI306" s="636" t="n"/>
      <c r="AJ306" s="636" t="n"/>
      <c r="AK306" s="636" t="n"/>
    </row>
    <row r="307">
      <c r="A307" s="636" t="inlineStr">
        <is>
          <t>호계동</t>
        </is>
      </c>
      <c r="B307" s="636" t="n"/>
      <c r="C307" s="636" t="n"/>
      <c r="D307" s="636" t="n">
        <v>122682</v>
      </c>
      <c r="E307" s="637" t="inlineStr">
        <is>
          <t>평촌어바인퍼스트</t>
        </is>
      </c>
      <c r="F307" s="636" t="n">
        <v>2021.04</v>
      </c>
      <c r="G307" s="636" t="n">
        <v>3850</v>
      </c>
      <c r="H307" s="636">
        <f>2026-INT(F307)+1</f>
        <v/>
      </c>
      <c r="I307" s="636" t="n"/>
      <c r="J307" s="636" t="n">
        <v>114</v>
      </c>
      <c r="K307" s="636" t="n">
        <v>84</v>
      </c>
      <c r="L307" s="636" t="n">
        <v>34</v>
      </c>
      <c r="M307" s="636" t="inlineStr">
        <is>
          <t>계단식</t>
        </is>
      </c>
      <c r="N307" s="636" t="n">
        <v>3</v>
      </c>
      <c r="O307" s="636" t="n">
        <v>2</v>
      </c>
      <c r="P307" s="636" t="n">
        <v>1057</v>
      </c>
      <c r="Q307" s="636" t="n"/>
      <c r="R307" s="636" t="n"/>
      <c r="S307" s="636" t="n"/>
      <c r="T307" s="636" t="n"/>
      <c r="U307" s="636" t="n"/>
      <c r="V307" s="636" t="n"/>
      <c r="W307" s="636" t="n"/>
      <c r="X307" s="636" t="n"/>
      <c r="Y307" s="636" t="n"/>
      <c r="Z307" s="636" t="n"/>
      <c r="AA307" s="636" t="n"/>
      <c r="AB307" s="636" t="n"/>
      <c r="AC307" s="636" t="n"/>
      <c r="AD307" s="636" t="n"/>
      <c r="AE307" s="636" t="n"/>
      <c r="AF307" s="636" t="n"/>
      <c r="AG307" s="636" t="n"/>
      <c r="AH307" s="636" t="n"/>
      <c r="AI307" s="636" t="n"/>
      <c r="AJ307" s="636" t="n"/>
      <c r="AK307" s="636" t="n"/>
    </row>
    <row r="308">
      <c r="A308" t="inlineStr">
        <is>
          <t>호계동</t>
        </is>
      </c>
      <c r="D308" t="n">
        <v>148980</v>
      </c>
      <c r="E308" s="638" t="inlineStr">
        <is>
          <t>평촌어바인퍼스트더샵</t>
        </is>
      </c>
      <c r="F308" t="n">
        <v>2024.09</v>
      </c>
      <c r="G308" t="n">
        <v>304</v>
      </c>
      <c r="H308">
        <f>2026-INT(F308)+1</f>
        <v/>
      </c>
      <c r="J308" t="n">
        <v>84</v>
      </c>
      <c r="K308" t="n">
        <v>59</v>
      </c>
      <c r="L308" t="n">
        <v>25</v>
      </c>
      <c r="M308" t="inlineStr">
        <is>
          <t>계단식</t>
        </is>
      </c>
      <c r="N308" t="n">
        <v>3</v>
      </c>
      <c r="O308" t="n">
        <v>2</v>
      </c>
      <c r="P308" t="n">
        <v>16</v>
      </c>
    </row>
    <row r="309">
      <c r="A309" t="inlineStr">
        <is>
          <t>호계동</t>
        </is>
      </c>
      <c r="D309" t="n">
        <v>148980</v>
      </c>
      <c r="E309" s="638" t="inlineStr">
        <is>
          <t>평촌어바인퍼스트더샵</t>
        </is>
      </c>
      <c r="F309" t="n">
        <v>2024.09</v>
      </c>
      <c r="G309" t="n">
        <v>304</v>
      </c>
      <c r="H309">
        <f>2026-INT(F309)+1</f>
        <v/>
      </c>
      <c r="J309" t="n">
        <v>136</v>
      </c>
      <c r="K309" t="n">
        <v>103</v>
      </c>
      <c r="L309" t="n">
        <v>41</v>
      </c>
      <c r="M309" t="inlineStr">
        <is>
          <t>계단식</t>
        </is>
      </c>
      <c r="N309" t="n">
        <v>3</v>
      </c>
      <c r="O309" t="n">
        <v>2</v>
      </c>
      <c r="P309" t="n">
        <v>148</v>
      </c>
    </row>
    <row r="310">
      <c r="A310" s="636" t="inlineStr">
        <is>
          <t>호계동</t>
        </is>
      </c>
      <c r="B310" s="636" t="n"/>
      <c r="C310" s="636" t="n"/>
      <c r="D310" s="636" t="n">
        <v>111921</v>
      </c>
      <c r="E310" s="637" t="inlineStr">
        <is>
          <t>평촌트루엘파크</t>
        </is>
      </c>
      <c r="F310" s="636" t="n">
        <v>2018.03</v>
      </c>
      <c r="G310" s="636" t="n">
        <v>200</v>
      </c>
      <c r="H310" s="636">
        <f>2026-INT(F310)+1</f>
        <v/>
      </c>
      <c r="I310" s="636" t="n"/>
      <c r="J310" s="636" t="n">
        <v>85</v>
      </c>
      <c r="K310" s="636" t="n">
        <v>59</v>
      </c>
      <c r="L310" s="636" t="n">
        <v>26</v>
      </c>
      <c r="M310" s="636" t="inlineStr">
        <is>
          <t>계단식</t>
        </is>
      </c>
      <c r="N310" s="636" t="n">
        <v>3</v>
      </c>
      <c r="O310" s="636" t="n">
        <v>2</v>
      </c>
      <c r="P310" s="636" t="n">
        <v>116</v>
      </c>
      <c r="Q310" s="636" t="n"/>
      <c r="R310" s="636" t="n"/>
      <c r="S310" s="636" t="n"/>
      <c r="T310" s="636" t="n"/>
      <c r="U310" s="636" t="n"/>
      <c r="V310" s="636" t="n"/>
      <c r="W310" s="636" t="n"/>
      <c r="X310" s="636" t="n"/>
      <c r="Y310" s="636" t="n"/>
      <c r="Z310" s="636" t="n"/>
      <c r="AA310" s="636" t="n"/>
      <c r="AB310" s="636" t="n"/>
      <c r="AC310" s="636" t="n"/>
      <c r="AD310" s="636" t="n"/>
      <c r="AE310" s="636" t="n"/>
      <c r="AF310" s="636" t="n"/>
      <c r="AG310" s="636" t="n"/>
      <c r="AH310" s="636" t="n"/>
      <c r="AI310" s="636" t="n"/>
      <c r="AJ310" s="636" t="n"/>
      <c r="AK310" s="636" t="n"/>
    </row>
    <row r="311">
      <c r="A311" s="636" t="inlineStr">
        <is>
          <t>호계동</t>
        </is>
      </c>
      <c r="B311" s="636" t="n"/>
      <c r="C311" s="636" t="n"/>
      <c r="D311" s="636" t="n">
        <v>111921</v>
      </c>
      <c r="E311" s="637" t="inlineStr">
        <is>
          <t>평촌트루엘파크</t>
        </is>
      </c>
      <c r="F311" s="636" t="n">
        <v>2018.03</v>
      </c>
      <c r="G311" s="636" t="n">
        <v>200</v>
      </c>
      <c r="H311" s="636">
        <f>2026-INT(F311)+1</f>
        <v/>
      </c>
      <c r="I311" s="636" t="n"/>
      <c r="J311" s="636" t="n">
        <v>99</v>
      </c>
      <c r="K311" s="636" t="n">
        <v>73</v>
      </c>
      <c r="L311" s="636" t="n">
        <v>30</v>
      </c>
      <c r="M311" s="636" t="inlineStr">
        <is>
          <t>계단식</t>
        </is>
      </c>
      <c r="N311" s="636" t="n">
        <v>3</v>
      </c>
      <c r="O311" s="636" t="n">
        <v>2</v>
      </c>
      <c r="P311" s="636" t="n">
        <v>44</v>
      </c>
      <c r="Q311" s="636" t="n"/>
      <c r="R311" s="636" t="n"/>
      <c r="S311" s="636" t="n"/>
      <c r="T311" s="636" t="n"/>
      <c r="U311" s="636" t="n"/>
      <c r="V311" s="636" t="n"/>
      <c r="W311" s="636" t="n"/>
      <c r="X311" s="636" t="n"/>
      <c r="Y311" s="636" t="n"/>
      <c r="Z311" s="636" t="n"/>
      <c r="AA311" s="636" t="n"/>
      <c r="AB311" s="636" t="n"/>
      <c r="AC311" s="636" t="n"/>
      <c r="AD311" s="636" t="n"/>
      <c r="AE311" s="636" t="n"/>
      <c r="AF311" s="636" t="n"/>
      <c r="AG311" s="636" t="n"/>
      <c r="AH311" s="636" t="n"/>
      <c r="AI311" s="636" t="n"/>
      <c r="AJ311" s="636" t="n"/>
      <c r="AK311" s="636" t="n"/>
    </row>
    <row r="312">
      <c r="A312" s="636" t="inlineStr">
        <is>
          <t>호계동</t>
        </is>
      </c>
      <c r="B312" s="636" t="n"/>
      <c r="C312" s="636" t="n"/>
      <c r="D312" s="636" t="n">
        <v>111921</v>
      </c>
      <c r="E312" s="637" t="inlineStr">
        <is>
          <t>평촌트루엘파크</t>
        </is>
      </c>
      <c r="F312" s="636" t="n">
        <v>2018.03</v>
      </c>
      <c r="G312" s="636" t="n">
        <v>200</v>
      </c>
      <c r="H312" s="636">
        <f>2026-INT(F312)+1</f>
        <v/>
      </c>
      <c r="I312" s="636" t="n"/>
      <c r="J312" s="636" t="n">
        <v>109</v>
      </c>
      <c r="K312" s="636" t="n">
        <v>81</v>
      </c>
      <c r="L312" s="636" t="n">
        <v>33</v>
      </c>
      <c r="M312" s="636" t="inlineStr">
        <is>
          <t>계단식</t>
        </is>
      </c>
      <c r="N312" s="636" t="n">
        <v>3</v>
      </c>
      <c r="O312" s="636" t="n">
        <v>2</v>
      </c>
      <c r="P312" s="636" t="n">
        <v>20</v>
      </c>
      <c r="Q312" s="636" t="n"/>
      <c r="R312" s="636" t="n"/>
      <c r="S312" s="636" t="n"/>
      <c r="T312" s="636" t="n"/>
      <c r="U312" s="636" t="n"/>
      <c r="V312" s="636" t="n"/>
      <c r="W312" s="636" t="n"/>
      <c r="X312" s="636" t="n"/>
      <c r="Y312" s="636" t="n"/>
      <c r="Z312" s="636" t="n"/>
      <c r="AA312" s="636" t="n"/>
      <c r="AB312" s="636" t="n"/>
      <c r="AC312" s="636" t="n"/>
      <c r="AD312" s="636" t="n"/>
      <c r="AE312" s="636" t="n"/>
      <c r="AF312" s="636" t="n"/>
      <c r="AG312" s="636" t="n"/>
      <c r="AH312" s="636" t="n"/>
      <c r="AI312" s="636" t="n"/>
      <c r="AJ312" s="636" t="n"/>
      <c r="AK312" s="636" t="n"/>
    </row>
    <row r="313">
      <c r="A313" s="636" t="inlineStr">
        <is>
          <t>호계동</t>
        </is>
      </c>
      <c r="B313" s="636" t="n"/>
      <c r="C313" s="636" t="n"/>
      <c r="D313" s="636" t="n">
        <v>111921</v>
      </c>
      <c r="E313" s="637" t="inlineStr">
        <is>
          <t>평촌트루엘파크</t>
        </is>
      </c>
      <c r="F313" s="636" t="n">
        <v>2018.03</v>
      </c>
      <c r="G313" s="636" t="n">
        <v>200</v>
      </c>
      <c r="H313" s="636">
        <f>2026-INT(F313)+1</f>
        <v/>
      </c>
      <c r="I313" s="636" t="n"/>
      <c r="J313" s="636" t="n">
        <v>109</v>
      </c>
      <c r="K313" s="636" t="n">
        <v>82</v>
      </c>
      <c r="L313" s="636" t="n">
        <v>33</v>
      </c>
      <c r="M313" s="636" t="inlineStr">
        <is>
          <t>계단식</t>
        </is>
      </c>
      <c r="N313" s="636" t="n">
        <v>3</v>
      </c>
      <c r="O313" s="636" t="n">
        <v>2</v>
      </c>
      <c r="P313" s="636" t="n">
        <v>20</v>
      </c>
      <c r="Q313" s="636" t="n"/>
      <c r="R313" s="636" t="n"/>
      <c r="S313" s="636" t="n"/>
      <c r="T313" s="636" t="n"/>
      <c r="U313" s="636" t="n"/>
      <c r="V313" s="636" t="n"/>
      <c r="W313" s="636" t="n"/>
      <c r="X313" s="636" t="n"/>
      <c r="Y313" s="636" t="n"/>
      <c r="Z313" s="636" t="n"/>
      <c r="AA313" s="636" t="n"/>
      <c r="AB313" s="636" t="n"/>
      <c r="AC313" s="636" t="n"/>
      <c r="AD313" s="636" t="n"/>
      <c r="AE313" s="636" t="n"/>
      <c r="AF313" s="636" t="n"/>
      <c r="AG313" s="636" t="n"/>
      <c r="AH313" s="636" t="n"/>
      <c r="AI313" s="636" t="n"/>
      <c r="AJ313" s="636" t="n"/>
      <c r="AK313" s="636" t="n"/>
    </row>
    <row r="314">
      <c r="A314" t="inlineStr">
        <is>
          <t>호계동</t>
        </is>
      </c>
      <c r="D314" t="n">
        <v>142558</v>
      </c>
      <c r="E314" s="638" t="inlineStr">
        <is>
          <t>평촌트리지아</t>
        </is>
      </c>
      <c r="F314" t="n">
        <v>2024.08</v>
      </c>
      <c r="G314" t="n">
        <v>2417</v>
      </c>
      <c r="H314">
        <f>2026-INT(F314)+1</f>
        <v/>
      </c>
      <c r="J314" t="n">
        <v>63</v>
      </c>
      <c r="K314" t="n">
        <v>36</v>
      </c>
      <c r="L314" t="n">
        <v>19</v>
      </c>
      <c r="M314" t="inlineStr">
        <is>
          <t>계단식</t>
        </is>
      </c>
      <c r="N314" t="n">
        <v>1</v>
      </c>
      <c r="O314" t="n">
        <v>1</v>
      </c>
      <c r="P314" t="n">
        <v>134</v>
      </c>
    </row>
    <row r="315">
      <c r="A315" t="inlineStr">
        <is>
          <t>호계동</t>
        </is>
      </c>
      <c r="D315" t="n">
        <v>142558</v>
      </c>
      <c r="E315" s="638" t="inlineStr">
        <is>
          <t>평촌트리지아</t>
        </is>
      </c>
      <c r="F315" t="n">
        <v>2024.08</v>
      </c>
      <c r="G315" t="n">
        <v>2417</v>
      </c>
      <c r="H315">
        <f>2026-INT(F315)+1</f>
        <v/>
      </c>
      <c r="J315" t="n">
        <v>73</v>
      </c>
      <c r="K315" t="n">
        <v>42</v>
      </c>
      <c r="L315" t="n">
        <v>22</v>
      </c>
      <c r="M315" t="inlineStr">
        <is>
          <t>계단식</t>
        </is>
      </c>
      <c r="N315" t="n">
        <v>1</v>
      </c>
      <c r="O315" t="n">
        <v>1</v>
      </c>
      <c r="P315" t="n">
        <v>62</v>
      </c>
    </row>
    <row r="316">
      <c r="A316" t="inlineStr">
        <is>
          <t>호계동</t>
        </is>
      </c>
      <c r="D316" t="n">
        <v>142558</v>
      </c>
      <c r="E316" s="638" t="inlineStr">
        <is>
          <t>평촌트리지아</t>
        </is>
      </c>
      <c r="F316" t="n">
        <v>2024.08</v>
      </c>
      <c r="G316" t="n">
        <v>2417</v>
      </c>
      <c r="H316">
        <f>2026-INT(F316)+1</f>
        <v/>
      </c>
      <c r="J316" t="n">
        <v>83</v>
      </c>
      <c r="K316" t="n">
        <v>59</v>
      </c>
      <c r="L316" t="n">
        <v>25</v>
      </c>
      <c r="M316" t="inlineStr">
        <is>
          <t>계단식</t>
        </is>
      </c>
      <c r="N316" t="n">
        <v>3</v>
      </c>
      <c r="O316" t="n">
        <v>2</v>
      </c>
      <c r="P316" t="n">
        <v>1212</v>
      </c>
    </row>
    <row r="317">
      <c r="A317" t="inlineStr">
        <is>
          <t>호계동</t>
        </is>
      </c>
      <c r="D317" t="n">
        <v>142558</v>
      </c>
      <c r="E317" s="638" t="inlineStr">
        <is>
          <t>평촌트리지아</t>
        </is>
      </c>
      <c r="F317" t="n">
        <v>2024.08</v>
      </c>
      <c r="G317" t="n">
        <v>2417</v>
      </c>
      <c r="H317">
        <f>2026-INT(F317)+1</f>
        <v/>
      </c>
      <c r="J317" t="n">
        <v>101</v>
      </c>
      <c r="K317" t="n">
        <v>74</v>
      </c>
      <c r="L317" t="n">
        <v>31</v>
      </c>
      <c r="M317" t="inlineStr">
        <is>
          <t>계단식</t>
        </is>
      </c>
      <c r="N317" t="n">
        <v>3</v>
      </c>
      <c r="O317" t="n">
        <v>2</v>
      </c>
      <c r="P317" t="n">
        <v>509</v>
      </c>
    </row>
    <row r="318">
      <c r="A318" t="inlineStr">
        <is>
          <t>호계동</t>
        </is>
      </c>
      <c r="D318" t="n">
        <v>142558</v>
      </c>
      <c r="E318" s="638" t="inlineStr">
        <is>
          <t>평촌트리지아</t>
        </is>
      </c>
      <c r="F318" t="n">
        <v>2024.08</v>
      </c>
      <c r="G318" t="n">
        <v>2417</v>
      </c>
      <c r="H318">
        <f>2026-INT(F318)+1</f>
        <v/>
      </c>
      <c r="J318" t="n">
        <v>110</v>
      </c>
      <c r="K318" t="n">
        <v>84</v>
      </c>
      <c r="L318" t="n">
        <v>33</v>
      </c>
      <c r="M318" t="inlineStr">
        <is>
          <t>계단식</t>
        </is>
      </c>
      <c r="N318" t="n">
        <v>3</v>
      </c>
      <c r="O318" t="n">
        <v>2</v>
      </c>
      <c r="P318" t="n">
        <v>500</v>
      </c>
    </row>
    <row r="319">
      <c r="A319" s="636" t="inlineStr">
        <is>
          <t>호계동</t>
        </is>
      </c>
      <c r="B319" s="636" t="n"/>
      <c r="C319" s="636" t="n"/>
      <c r="D319" s="636" t="n">
        <v>2026</v>
      </c>
      <c r="E319" s="637" t="inlineStr">
        <is>
          <t>푸른마을삼성</t>
        </is>
      </c>
      <c r="F319" s="636" t="n">
        <v>1999.01</v>
      </c>
      <c r="G319" s="636" t="n">
        <v>231</v>
      </c>
      <c r="H319" s="636">
        <f>2026-INT(F319)+1</f>
        <v/>
      </c>
      <c r="I319" s="636" t="n"/>
      <c r="J319" s="636" t="n">
        <v>83</v>
      </c>
      <c r="K319" s="636" t="n">
        <v>59</v>
      </c>
      <c r="L319" s="636" t="n">
        <v>25</v>
      </c>
      <c r="M319" s="636" t="inlineStr">
        <is>
          <t>복도식</t>
        </is>
      </c>
      <c r="N319" s="636" t="n">
        <v>3</v>
      </c>
      <c r="O319" s="636" t="n">
        <v>1</v>
      </c>
      <c r="P319" s="636" t="n">
        <v>115</v>
      </c>
      <c r="Q319" s="636" t="n"/>
      <c r="R319" s="636" t="n"/>
      <c r="S319" s="636" t="n"/>
      <c r="T319" s="636" t="n"/>
      <c r="U319" s="636" t="n"/>
      <c r="V319" s="636" t="n"/>
      <c r="W319" s="636" t="n"/>
      <c r="X319" s="636" t="n"/>
      <c r="Y319" s="636" t="n"/>
      <c r="Z319" s="636" t="n"/>
      <c r="AA319" s="636" t="n"/>
      <c r="AB319" s="636" t="n"/>
      <c r="AC319" s="636" t="n"/>
      <c r="AD319" s="636" t="n"/>
      <c r="AE319" s="636" t="n"/>
      <c r="AF319" s="636" t="n"/>
      <c r="AG319" s="636" t="n"/>
      <c r="AH319" s="636" t="n"/>
      <c r="AI319" s="636" t="n"/>
      <c r="AJ319" s="636" t="n"/>
      <c r="AK319" s="636" t="n"/>
    </row>
    <row r="320">
      <c r="A320" s="636" t="inlineStr">
        <is>
          <t>호계동</t>
        </is>
      </c>
      <c r="B320" s="636" t="n"/>
      <c r="C320" s="636" t="n"/>
      <c r="D320" s="636" t="n">
        <v>2026</v>
      </c>
      <c r="E320" s="637" t="inlineStr">
        <is>
          <t>푸른마을삼성</t>
        </is>
      </c>
      <c r="F320" s="636" t="n">
        <v>1999.01</v>
      </c>
      <c r="G320" s="636" t="n">
        <v>231</v>
      </c>
      <c r="H320" s="636">
        <f>2026-INT(F320)+1</f>
        <v/>
      </c>
      <c r="I320" s="636" t="n"/>
      <c r="J320" s="636" t="n">
        <v>107</v>
      </c>
      <c r="K320" s="636" t="n">
        <v>84</v>
      </c>
      <c r="L320" s="636" t="n">
        <v>32</v>
      </c>
      <c r="M320" s="636" t="inlineStr">
        <is>
          <t>계단식</t>
        </is>
      </c>
      <c r="N320" s="636" t="n">
        <v>3</v>
      </c>
      <c r="O320" s="636" t="n">
        <v>2</v>
      </c>
      <c r="P320" s="636" t="n">
        <v>116</v>
      </c>
      <c r="Q320" s="636" t="n"/>
      <c r="R320" s="636" t="n"/>
      <c r="S320" s="636" t="n"/>
      <c r="T320" s="636" t="n"/>
      <c r="U320" s="636" t="n"/>
      <c r="V320" s="636" t="n"/>
      <c r="W320" s="636" t="n"/>
      <c r="X320" s="636" t="n"/>
      <c r="Y320" s="636" t="n"/>
      <c r="Z320" s="636" t="n"/>
      <c r="AA320" s="636" t="n"/>
      <c r="AB320" s="636" t="n"/>
      <c r="AC320" s="636" t="n"/>
      <c r="AD320" s="636" t="n"/>
      <c r="AE320" s="636" t="n"/>
      <c r="AF320" s="636" t="n"/>
      <c r="AG320" s="636" t="n"/>
      <c r="AH320" s="636" t="n"/>
      <c r="AI320" s="636" t="n"/>
      <c r="AJ320" s="636" t="n"/>
      <c r="AK320" s="636" t="n"/>
    </row>
    <row r="321">
      <c r="A321" t="inlineStr">
        <is>
          <t>호계동</t>
        </is>
      </c>
      <c r="D321" t="n">
        <v>2042</v>
      </c>
      <c r="E321" s="638" t="inlineStr">
        <is>
          <t>한마음1단지</t>
        </is>
      </c>
      <c r="F321" t="n">
        <v>1999.07</v>
      </c>
      <c r="G321" t="n">
        <v>644</v>
      </c>
      <c r="H321">
        <f>2026-INT(F321)+1</f>
        <v/>
      </c>
      <c r="J321" t="n">
        <v>80</v>
      </c>
      <c r="K321" t="n">
        <v>59</v>
      </c>
      <c r="L321" t="n">
        <v>24</v>
      </c>
      <c r="M321" t="inlineStr">
        <is>
          <t>계단식</t>
        </is>
      </c>
      <c r="N321" t="n">
        <v>3</v>
      </c>
      <c r="O321" t="n">
        <v>1</v>
      </c>
      <c r="P321" t="n">
        <v>324</v>
      </c>
    </row>
    <row r="322">
      <c r="A322" t="inlineStr">
        <is>
          <t>호계동</t>
        </is>
      </c>
      <c r="D322" t="n">
        <v>2042</v>
      </c>
      <c r="E322" s="638" t="inlineStr">
        <is>
          <t>한마음1단지</t>
        </is>
      </c>
      <c r="F322" t="n">
        <v>1999.07</v>
      </c>
      <c r="G322" t="n">
        <v>644</v>
      </c>
      <c r="H322">
        <f>2026-INT(F322)+1</f>
        <v/>
      </c>
      <c r="J322" t="n">
        <v>107</v>
      </c>
      <c r="K322" t="n">
        <v>84</v>
      </c>
      <c r="L322" t="n">
        <v>32</v>
      </c>
      <c r="M322" t="inlineStr">
        <is>
          <t>계단식</t>
        </is>
      </c>
      <c r="N322" t="n">
        <v>3</v>
      </c>
      <c r="O322" t="n">
        <v>2</v>
      </c>
      <c r="P322" t="n">
        <v>320</v>
      </c>
    </row>
    <row r="323">
      <c r="A323" s="636" t="inlineStr">
        <is>
          <t>호계동</t>
        </is>
      </c>
      <c r="B323" s="636" t="n"/>
      <c r="C323" s="636" t="n"/>
      <c r="D323" s="636" t="n">
        <v>3083</v>
      </c>
      <c r="E323" s="637" t="inlineStr">
        <is>
          <t>한마음2단지</t>
        </is>
      </c>
      <c r="F323" s="636" t="n">
        <v>2003.04</v>
      </c>
      <c r="G323" s="636" t="n">
        <v>426</v>
      </c>
      <c r="H323" s="636">
        <f>2026-INT(F323)+1</f>
        <v/>
      </c>
      <c r="I323" s="636" t="n"/>
      <c r="J323" s="636" t="n">
        <v>74</v>
      </c>
      <c r="K323" s="636" t="n">
        <v>55</v>
      </c>
      <c r="L323" s="636" t="n">
        <v>22</v>
      </c>
      <c r="M323" s="636" t="inlineStr">
        <is>
          <t>계단식</t>
        </is>
      </c>
      <c r="N323" s="636" t="n">
        <v>3</v>
      </c>
      <c r="O323" s="636" t="n">
        <v>1</v>
      </c>
      <c r="P323" s="636" t="n">
        <v>150</v>
      </c>
      <c r="Q323" s="636" t="n"/>
      <c r="R323" s="636" t="n"/>
      <c r="S323" s="636" t="n"/>
      <c r="T323" s="636" t="n"/>
      <c r="U323" s="636" t="n"/>
      <c r="V323" s="636" t="n"/>
      <c r="W323" s="636" t="n"/>
      <c r="X323" s="636" t="n"/>
      <c r="Y323" s="636" t="n"/>
      <c r="Z323" s="636" t="n"/>
      <c r="AA323" s="636" t="n"/>
      <c r="AB323" s="636" t="n"/>
      <c r="AC323" s="636" t="n"/>
      <c r="AD323" s="636" t="n"/>
      <c r="AE323" s="636" t="n"/>
      <c r="AF323" s="636" t="n"/>
      <c r="AG323" s="636" t="n"/>
      <c r="AH323" s="636" t="n"/>
      <c r="AI323" s="636" t="n"/>
      <c r="AJ323" s="636" t="n"/>
      <c r="AK323" s="636" t="n"/>
    </row>
    <row r="324">
      <c r="A324" s="636" t="inlineStr">
        <is>
          <t>호계동</t>
        </is>
      </c>
      <c r="B324" s="636" t="n"/>
      <c r="C324" s="636" t="n"/>
      <c r="D324" s="636" t="n">
        <v>3083</v>
      </c>
      <c r="E324" s="637" t="inlineStr">
        <is>
          <t>한마음2단지</t>
        </is>
      </c>
      <c r="F324" s="636" t="n">
        <v>2003.04</v>
      </c>
      <c r="G324" s="636" t="n">
        <v>426</v>
      </c>
      <c r="H324" s="636">
        <f>2026-INT(F324)+1</f>
        <v/>
      </c>
      <c r="I324" s="636" t="n"/>
      <c r="J324" s="636" t="n">
        <v>98</v>
      </c>
      <c r="K324" s="636" t="n">
        <v>79</v>
      </c>
      <c r="L324" s="636" t="n">
        <v>30</v>
      </c>
      <c r="M324" s="636" t="inlineStr">
        <is>
          <t>계단식</t>
        </is>
      </c>
      <c r="N324" s="636" t="n">
        <v>3</v>
      </c>
      <c r="O324" s="636" t="n">
        <v>2</v>
      </c>
      <c r="P324" s="636" t="n">
        <v>238</v>
      </c>
      <c r="Q324" s="636" t="n"/>
      <c r="R324" s="636" t="n"/>
      <c r="S324" s="636" t="n"/>
      <c r="T324" s="636" t="n"/>
      <c r="U324" s="636" t="n"/>
      <c r="V324" s="636" t="n"/>
      <c r="W324" s="636" t="n"/>
      <c r="X324" s="636" t="n"/>
      <c r="Y324" s="636" t="n"/>
      <c r="Z324" s="636" t="n"/>
      <c r="AA324" s="636" t="n"/>
      <c r="AB324" s="636" t="n"/>
      <c r="AC324" s="636" t="n"/>
      <c r="AD324" s="636" t="n"/>
      <c r="AE324" s="636" t="n"/>
      <c r="AF324" s="636" t="n"/>
      <c r="AG324" s="636" t="n"/>
      <c r="AH324" s="636" t="n"/>
      <c r="AI324" s="636" t="n"/>
      <c r="AJ324" s="636" t="n"/>
      <c r="AK324" s="636" t="n"/>
    </row>
    <row r="325">
      <c r="A325" s="636" t="inlineStr">
        <is>
          <t>호계동</t>
        </is>
      </c>
      <c r="B325" s="636" t="n"/>
      <c r="C325" s="636" t="n"/>
      <c r="D325" s="636" t="n">
        <v>3083</v>
      </c>
      <c r="E325" s="637" t="inlineStr">
        <is>
          <t>한마음2단지</t>
        </is>
      </c>
      <c r="F325" s="636" t="n">
        <v>2003.04</v>
      </c>
      <c r="G325" s="636" t="n">
        <v>426</v>
      </c>
      <c r="H325" s="636">
        <f>2026-INT(F325)+1</f>
        <v/>
      </c>
      <c r="I325" s="636" t="n"/>
      <c r="J325" s="636" t="n">
        <v>129</v>
      </c>
      <c r="K325" s="636" t="n">
        <v>107</v>
      </c>
      <c r="L325" s="636" t="n">
        <v>39</v>
      </c>
      <c r="M325" s="636" t="inlineStr">
        <is>
          <t>계단식</t>
        </is>
      </c>
      <c r="N325" s="636" t="n">
        <v>4</v>
      </c>
      <c r="O325" s="636" t="n">
        <v>2</v>
      </c>
      <c r="P325" s="636" t="n">
        <v>38</v>
      </c>
      <c r="Q325" s="636" t="n"/>
      <c r="R325" s="636" t="n"/>
      <c r="S325" s="636" t="n"/>
      <c r="T325" s="636" t="n"/>
      <c r="U325" s="636" t="n"/>
      <c r="V325" s="636" t="n"/>
      <c r="W325" s="636" t="n"/>
      <c r="X325" s="636" t="n"/>
      <c r="Y325" s="636" t="n"/>
      <c r="Z325" s="636" t="n"/>
      <c r="AA325" s="636" t="n"/>
      <c r="AB325" s="636" t="n"/>
      <c r="AC325" s="636" t="n"/>
      <c r="AD325" s="636" t="n"/>
      <c r="AE325" s="636" t="n"/>
      <c r="AF325" s="636" t="n"/>
      <c r="AG325" s="636" t="n"/>
      <c r="AH325" s="636" t="n"/>
      <c r="AI325" s="636" t="n"/>
      <c r="AJ325" s="636" t="n"/>
      <c r="AK325" s="636" t="n"/>
    </row>
    <row r="326">
      <c r="A326" t="inlineStr">
        <is>
          <t>호계동</t>
        </is>
      </c>
      <c r="D326" t="n">
        <v>8036</v>
      </c>
      <c r="E326" s="638" t="inlineStr">
        <is>
          <t>호계e-편한세상</t>
        </is>
      </c>
      <c r="F326" t="n">
        <v>2003.12</v>
      </c>
      <c r="G326" t="n">
        <v>1752</v>
      </c>
      <c r="H326">
        <f>2026-INT(F326)+1</f>
        <v/>
      </c>
      <c r="J326" t="n">
        <v>81</v>
      </c>
      <c r="K326" t="n">
        <v>59</v>
      </c>
      <c r="L326" t="n">
        <v>25</v>
      </c>
      <c r="M326" t="inlineStr">
        <is>
          <t>계단식</t>
        </is>
      </c>
      <c r="N326" t="n">
        <v>2</v>
      </c>
      <c r="O326" t="n">
        <v>1</v>
      </c>
      <c r="P326" t="n">
        <v>50</v>
      </c>
    </row>
    <row r="327">
      <c r="A327" t="inlineStr">
        <is>
          <t>호계동</t>
        </is>
      </c>
      <c r="D327" t="n">
        <v>8036</v>
      </c>
      <c r="E327" s="638" t="inlineStr">
        <is>
          <t>호계e-편한세상</t>
        </is>
      </c>
      <c r="F327" t="n">
        <v>2003.12</v>
      </c>
      <c r="G327" t="n">
        <v>1752</v>
      </c>
      <c r="H327">
        <f>2026-INT(F327)+1</f>
        <v/>
      </c>
      <c r="J327" t="n">
        <v>82</v>
      </c>
      <c r="K327" t="n">
        <v>59</v>
      </c>
      <c r="L327" t="n">
        <v>25</v>
      </c>
      <c r="M327" t="inlineStr">
        <is>
          <t>계단식</t>
        </is>
      </c>
      <c r="N327" t="n">
        <v>3</v>
      </c>
      <c r="O327" t="n">
        <v>2</v>
      </c>
      <c r="P327" t="n">
        <v>130</v>
      </c>
    </row>
    <row r="328">
      <c r="A328" t="inlineStr">
        <is>
          <t>호계동</t>
        </is>
      </c>
      <c r="D328" t="n">
        <v>8036</v>
      </c>
      <c r="E328" s="638" t="inlineStr">
        <is>
          <t>호계e-편한세상</t>
        </is>
      </c>
      <c r="F328" t="n">
        <v>2003.12</v>
      </c>
      <c r="G328" t="n">
        <v>1752</v>
      </c>
      <c r="H328">
        <f>2026-INT(F328)+1</f>
        <v/>
      </c>
      <c r="J328" t="n">
        <v>107</v>
      </c>
      <c r="K328" t="n">
        <v>84</v>
      </c>
      <c r="L328" t="n">
        <v>32</v>
      </c>
      <c r="M328" t="inlineStr">
        <is>
          <t>계단식</t>
        </is>
      </c>
      <c r="N328" t="n">
        <v>3</v>
      </c>
      <c r="O328" t="n">
        <v>2</v>
      </c>
      <c r="P328" t="n">
        <v>1165</v>
      </c>
    </row>
    <row r="329">
      <c r="A329" t="inlineStr">
        <is>
          <t>호계동</t>
        </is>
      </c>
      <c r="D329" t="n">
        <v>8036</v>
      </c>
      <c r="E329" s="638" t="inlineStr">
        <is>
          <t>호계e-편한세상</t>
        </is>
      </c>
      <c r="F329" t="n">
        <v>2003.12</v>
      </c>
      <c r="G329" t="n">
        <v>1752</v>
      </c>
      <c r="H329">
        <f>2026-INT(F329)+1</f>
        <v/>
      </c>
      <c r="J329" t="n">
        <v>122</v>
      </c>
      <c r="K329" t="n">
        <v>97</v>
      </c>
      <c r="L329" t="n">
        <v>37</v>
      </c>
      <c r="M329" t="inlineStr">
        <is>
          <t>계단식</t>
        </is>
      </c>
      <c r="N329" t="n">
        <v>3</v>
      </c>
      <c r="O329" t="n">
        <v>2</v>
      </c>
      <c r="P329" t="n">
        <v>89</v>
      </c>
    </row>
    <row r="330">
      <c r="A330" t="inlineStr">
        <is>
          <t>호계동</t>
        </is>
      </c>
      <c r="D330" t="n">
        <v>8036</v>
      </c>
      <c r="E330" s="638" t="inlineStr">
        <is>
          <t>호계e-편한세상</t>
        </is>
      </c>
      <c r="F330" t="n">
        <v>2003.12</v>
      </c>
      <c r="G330" t="n">
        <v>1752</v>
      </c>
      <c r="H330">
        <f>2026-INT(F330)+1</f>
        <v/>
      </c>
      <c r="J330" t="n">
        <v>143</v>
      </c>
      <c r="K330" t="n">
        <v>116</v>
      </c>
      <c r="L330" t="n">
        <v>43</v>
      </c>
      <c r="M330" t="inlineStr">
        <is>
          <t>계단식</t>
        </is>
      </c>
      <c r="N330" t="n">
        <v>4</v>
      </c>
      <c r="O330" t="n">
        <v>2</v>
      </c>
      <c r="P330" t="n">
        <v>210</v>
      </c>
    </row>
    <row r="331">
      <c r="A331" t="inlineStr">
        <is>
          <t>호계동</t>
        </is>
      </c>
      <c r="D331" t="n">
        <v>8036</v>
      </c>
      <c r="E331" s="638" t="inlineStr">
        <is>
          <t>호계e-편한세상</t>
        </is>
      </c>
      <c r="F331" t="n">
        <v>2003.12</v>
      </c>
      <c r="G331" t="n">
        <v>1752</v>
      </c>
      <c r="H331">
        <f>2026-INT(F331)+1</f>
        <v/>
      </c>
      <c r="J331" t="n">
        <v>171</v>
      </c>
      <c r="K331" t="n">
        <v>143</v>
      </c>
      <c r="L331" t="n">
        <v>52</v>
      </c>
      <c r="M331" t="inlineStr">
        <is>
          <t>계단식</t>
        </is>
      </c>
      <c r="N331" t="n">
        <v>4</v>
      </c>
      <c r="O331" t="n">
        <v>2</v>
      </c>
      <c r="P331" t="n">
        <v>108</v>
      </c>
    </row>
    <row r="332">
      <c r="A332" s="636" t="inlineStr">
        <is>
          <t>호계동</t>
        </is>
      </c>
      <c r="B332" s="636" t="n"/>
      <c r="C332" s="636" t="n"/>
      <c r="D332" s="636" t="n">
        <v>2033</v>
      </c>
      <c r="E332" s="637" t="inlineStr">
        <is>
          <t>호계럭키</t>
        </is>
      </c>
      <c r="F332" s="636" t="n">
        <v>1992.12</v>
      </c>
      <c r="G332" s="636" t="n">
        <v>794</v>
      </c>
      <c r="H332" s="636">
        <f>2026-INT(F332)+1</f>
        <v/>
      </c>
      <c r="I332" s="636" t="n"/>
      <c r="J332" s="636" t="n">
        <v>100</v>
      </c>
      <c r="K332" s="636" t="n">
        <v>84</v>
      </c>
      <c r="L332" s="636" t="n">
        <v>30</v>
      </c>
      <c r="M332" s="636" t="inlineStr">
        <is>
          <t>계단식</t>
        </is>
      </c>
      <c r="N332" s="636" t="n">
        <v>3</v>
      </c>
      <c r="O332" s="636" t="n">
        <v>2</v>
      </c>
      <c r="P332" s="636" t="n">
        <v>554</v>
      </c>
      <c r="Q332" s="636" t="n"/>
      <c r="R332" s="636" t="n"/>
      <c r="S332" s="636" t="n"/>
      <c r="T332" s="636" t="n"/>
      <c r="U332" s="636" t="n"/>
      <c r="V332" s="636" t="n"/>
      <c r="W332" s="636" t="n"/>
      <c r="X332" s="636" t="n"/>
      <c r="Y332" s="636" t="n"/>
      <c r="Z332" s="636" t="n"/>
      <c r="AA332" s="636" t="n"/>
      <c r="AB332" s="636" t="n"/>
      <c r="AC332" s="636" t="n"/>
      <c r="AD332" s="636" t="n"/>
      <c r="AE332" s="636" t="n"/>
      <c r="AF332" s="636" t="n"/>
      <c r="AG332" s="636" t="n"/>
      <c r="AH332" s="636" t="n"/>
      <c r="AI332" s="636" t="n"/>
      <c r="AJ332" s="636" t="n"/>
      <c r="AK332" s="636" t="n"/>
    </row>
    <row r="333">
      <c r="A333" s="636" t="inlineStr">
        <is>
          <t>호계동</t>
        </is>
      </c>
      <c r="B333" s="636" t="n"/>
      <c r="C333" s="636" t="n"/>
      <c r="D333" s="636" t="n">
        <v>2033</v>
      </c>
      <c r="E333" s="637" t="inlineStr">
        <is>
          <t>호계럭키</t>
        </is>
      </c>
      <c r="F333" s="636" t="n">
        <v>1992.12</v>
      </c>
      <c r="G333" s="636" t="n">
        <v>794</v>
      </c>
      <c r="H333" s="636">
        <f>2026-INT(F333)+1</f>
        <v/>
      </c>
      <c r="I333" s="636" t="n"/>
      <c r="J333" s="636" t="n">
        <v>148</v>
      </c>
      <c r="K333" s="636" t="n">
        <v>127</v>
      </c>
      <c r="L333" s="636" t="n">
        <v>45</v>
      </c>
      <c r="M333" s="636" t="inlineStr">
        <is>
          <t>계단식</t>
        </is>
      </c>
      <c r="N333" s="636" t="n">
        <v>4</v>
      </c>
      <c r="O333" s="636" t="n">
        <v>2</v>
      </c>
      <c r="P333" s="636" t="n">
        <v>240</v>
      </c>
      <c r="Q333" s="636" t="n"/>
      <c r="R333" s="636" t="n"/>
      <c r="S333" s="636" t="n"/>
      <c r="T333" s="636" t="n"/>
      <c r="U333" s="636" t="n"/>
      <c r="V333" s="636" t="n"/>
      <c r="W333" s="636" t="n"/>
      <c r="X333" s="636" t="n"/>
      <c r="Y333" s="636" t="n"/>
      <c r="Z333" s="636" t="n"/>
      <c r="AA333" s="636" t="n"/>
      <c r="AB333" s="636" t="n"/>
      <c r="AC333" s="636" t="n"/>
      <c r="AD333" s="636" t="n"/>
      <c r="AE333" s="636" t="n"/>
      <c r="AF333" s="636" t="n"/>
      <c r="AG333" s="636" t="n"/>
      <c r="AH333" s="636" t="n"/>
      <c r="AI333" s="636" t="n"/>
      <c r="AJ333" s="636" t="n"/>
      <c r="AK333" s="636" t="n"/>
    </row>
    <row r="334">
      <c r="A334" t="inlineStr">
        <is>
          <t>호계동</t>
        </is>
      </c>
      <c r="D334" t="n">
        <v>10147</v>
      </c>
      <c r="E334" s="638" t="inlineStr">
        <is>
          <t>호계신도브래뉴</t>
        </is>
      </c>
      <c r="F334" t="n">
        <v>2004.1</v>
      </c>
      <c r="G334" t="n">
        <v>203</v>
      </c>
      <c r="H334">
        <f>2026-INT(F334)+1</f>
        <v/>
      </c>
      <c r="J334" t="n">
        <v>84</v>
      </c>
      <c r="K334" t="n">
        <v>66</v>
      </c>
      <c r="L334" t="n">
        <v>25</v>
      </c>
      <c r="M334" t="inlineStr">
        <is>
          <t>계단식</t>
        </is>
      </c>
      <c r="N334" t="n">
        <v>3</v>
      </c>
      <c r="O334" t="n">
        <v>2</v>
      </c>
      <c r="P334" t="n">
        <v>36</v>
      </c>
    </row>
    <row r="335">
      <c r="A335" t="inlineStr">
        <is>
          <t>호계동</t>
        </is>
      </c>
      <c r="D335" t="n">
        <v>10147</v>
      </c>
      <c r="E335" s="638" t="inlineStr">
        <is>
          <t>호계신도브래뉴</t>
        </is>
      </c>
      <c r="F335" t="n">
        <v>2004.1</v>
      </c>
      <c r="G335" t="n">
        <v>203</v>
      </c>
      <c r="H335">
        <f>2026-INT(F335)+1</f>
        <v/>
      </c>
      <c r="J335" t="n">
        <v>84</v>
      </c>
      <c r="K335" t="n">
        <v>66</v>
      </c>
      <c r="L335" t="n">
        <v>25</v>
      </c>
      <c r="M335" t="inlineStr">
        <is>
          <t>계단식</t>
        </is>
      </c>
      <c r="N335" t="n">
        <v>3</v>
      </c>
      <c r="O335" t="n">
        <v>1</v>
      </c>
      <c r="P335" t="n">
        <v>30</v>
      </c>
    </row>
    <row r="336">
      <c r="A336" t="inlineStr">
        <is>
          <t>호계동</t>
        </is>
      </c>
      <c r="D336" t="n">
        <v>10147</v>
      </c>
      <c r="E336" s="638" t="inlineStr">
        <is>
          <t>호계신도브래뉴</t>
        </is>
      </c>
      <c r="F336" t="n">
        <v>2004.1</v>
      </c>
      <c r="G336" t="n">
        <v>203</v>
      </c>
      <c r="H336">
        <f>2026-INT(F336)+1</f>
        <v/>
      </c>
      <c r="J336" t="n">
        <v>107</v>
      </c>
      <c r="K336" t="n">
        <v>84</v>
      </c>
      <c r="L336" t="n">
        <v>32</v>
      </c>
      <c r="M336" t="inlineStr">
        <is>
          <t>계단식</t>
        </is>
      </c>
      <c r="N336" t="n">
        <v>3</v>
      </c>
      <c r="O336" t="n">
        <v>2</v>
      </c>
      <c r="P336" t="n">
        <v>97</v>
      </c>
    </row>
    <row r="337">
      <c r="A337" t="inlineStr">
        <is>
          <t>호계동</t>
        </is>
      </c>
      <c r="D337" t="n">
        <v>10147</v>
      </c>
      <c r="E337" s="638" t="inlineStr">
        <is>
          <t>호계신도브래뉴</t>
        </is>
      </c>
      <c r="F337" t="n">
        <v>2004.1</v>
      </c>
      <c r="G337" t="n">
        <v>203</v>
      </c>
      <c r="H337">
        <f>2026-INT(F337)+1</f>
        <v/>
      </c>
      <c r="J337" t="n">
        <v>109</v>
      </c>
      <c r="K337" t="n">
        <v>83</v>
      </c>
      <c r="L337" t="n">
        <v>33</v>
      </c>
      <c r="M337" t="inlineStr">
        <is>
          <t>계단식</t>
        </is>
      </c>
      <c r="N337" t="n">
        <v>3</v>
      </c>
      <c r="O337" t="n">
        <v>2</v>
      </c>
      <c r="P337" t="n">
        <v>40</v>
      </c>
    </row>
    <row r="338">
      <c r="A338" s="636" t="inlineStr">
        <is>
          <t>호계동</t>
        </is>
      </c>
      <c r="B338" s="636" t="n"/>
      <c r="C338" s="636" t="n"/>
      <c r="D338" s="636" t="n">
        <v>10509</v>
      </c>
      <c r="E338" s="637" t="inlineStr">
        <is>
          <t>호계신성미소지움</t>
        </is>
      </c>
      <c r="F338" s="636" t="n">
        <v>2004.12</v>
      </c>
      <c r="G338" s="636" t="n">
        <v>361</v>
      </c>
      <c r="H338" s="636">
        <f>2026-INT(F338)+1</f>
        <v/>
      </c>
      <c r="I338" s="636" t="n"/>
      <c r="J338" s="636" t="n">
        <v>80</v>
      </c>
      <c r="K338" s="636" t="n">
        <v>59</v>
      </c>
      <c r="L338" s="636" t="n">
        <v>24</v>
      </c>
      <c r="M338" s="636" t="inlineStr">
        <is>
          <t>계단식</t>
        </is>
      </c>
      <c r="N338" s="636" t="n">
        <v>3</v>
      </c>
      <c r="O338" s="636" t="n">
        <v>1</v>
      </c>
      <c r="P338" s="636" t="n">
        <v>100</v>
      </c>
      <c r="Q338" s="636" t="n"/>
      <c r="R338" s="636" t="n"/>
      <c r="S338" s="636" t="n"/>
      <c r="T338" s="636" t="n"/>
      <c r="U338" s="636" t="n"/>
      <c r="V338" s="636" t="n"/>
      <c r="W338" s="636" t="n"/>
      <c r="X338" s="636" t="n"/>
      <c r="Y338" s="636" t="n"/>
      <c r="Z338" s="636" t="n"/>
      <c r="AA338" s="636" t="n"/>
      <c r="AB338" s="636" t="n"/>
      <c r="AC338" s="636" t="n"/>
      <c r="AD338" s="636" t="n"/>
      <c r="AE338" s="636" t="n"/>
      <c r="AF338" s="636" t="n"/>
      <c r="AG338" s="636" t="n"/>
      <c r="AH338" s="636" t="n"/>
      <c r="AI338" s="636" t="n"/>
      <c r="AJ338" s="636" t="n"/>
      <c r="AK338" s="636" t="n"/>
    </row>
    <row r="339">
      <c r="A339" s="636" t="inlineStr">
        <is>
          <t>호계동</t>
        </is>
      </c>
      <c r="B339" s="636" t="n"/>
      <c r="C339" s="636" t="n"/>
      <c r="D339" s="636" t="n">
        <v>10509</v>
      </c>
      <c r="E339" s="637" t="inlineStr">
        <is>
          <t>호계신성미소지움</t>
        </is>
      </c>
      <c r="F339" s="636" t="n">
        <v>2004.12</v>
      </c>
      <c r="G339" s="636" t="n">
        <v>361</v>
      </c>
      <c r="H339" s="636">
        <f>2026-INT(F339)+1</f>
        <v/>
      </c>
      <c r="I339" s="636" t="n"/>
      <c r="J339" s="636" t="n">
        <v>95</v>
      </c>
      <c r="K339" s="636" t="n">
        <v>75</v>
      </c>
      <c r="L339" s="636" t="n">
        <v>29</v>
      </c>
      <c r="M339" s="636" t="inlineStr">
        <is>
          <t>계단식</t>
        </is>
      </c>
      <c r="N339" s="636" t="n">
        <v>3</v>
      </c>
      <c r="O339" s="636" t="n">
        <v>2</v>
      </c>
      <c r="P339" s="636" t="n">
        <v>42</v>
      </c>
      <c r="Q339" s="636" t="n"/>
      <c r="R339" s="636" t="n"/>
      <c r="S339" s="636" t="n"/>
      <c r="T339" s="636" t="n"/>
      <c r="U339" s="636" t="n"/>
      <c r="V339" s="636" t="n"/>
      <c r="W339" s="636" t="n"/>
      <c r="X339" s="636" t="n"/>
      <c r="Y339" s="636" t="n"/>
      <c r="Z339" s="636" t="n"/>
      <c r="AA339" s="636" t="n"/>
      <c r="AB339" s="636" t="n"/>
      <c r="AC339" s="636" t="n"/>
      <c r="AD339" s="636" t="n"/>
      <c r="AE339" s="636" t="n"/>
      <c r="AF339" s="636" t="n"/>
      <c r="AG339" s="636" t="n"/>
      <c r="AH339" s="636" t="n"/>
      <c r="AI339" s="636" t="n"/>
      <c r="AJ339" s="636" t="n"/>
      <c r="AK339" s="636" t="n"/>
    </row>
    <row r="340">
      <c r="A340" s="636" t="inlineStr">
        <is>
          <t>호계동</t>
        </is>
      </c>
      <c r="B340" s="636" t="n"/>
      <c r="C340" s="636" t="n"/>
      <c r="D340" s="636" t="n">
        <v>10509</v>
      </c>
      <c r="E340" s="637" t="inlineStr">
        <is>
          <t>호계신성미소지움</t>
        </is>
      </c>
      <c r="F340" s="636" t="n">
        <v>2004.12</v>
      </c>
      <c r="G340" s="636" t="n">
        <v>361</v>
      </c>
      <c r="H340" s="636">
        <f>2026-INT(F340)+1</f>
        <v/>
      </c>
      <c r="I340" s="636" t="n"/>
      <c r="J340" s="636" t="n">
        <v>106</v>
      </c>
      <c r="K340" s="636" t="n">
        <v>84</v>
      </c>
      <c r="L340" s="636" t="n">
        <v>32</v>
      </c>
      <c r="M340" s="636" t="inlineStr">
        <is>
          <t>계단식</t>
        </is>
      </c>
      <c r="N340" s="636" t="n">
        <v>3</v>
      </c>
      <c r="O340" s="636" t="n">
        <v>2</v>
      </c>
      <c r="P340" s="636" t="n">
        <v>205</v>
      </c>
      <c r="Q340" s="636" t="n"/>
      <c r="R340" s="636" t="n"/>
      <c r="S340" s="636" t="n"/>
      <c r="T340" s="636" t="n"/>
      <c r="U340" s="636" t="n"/>
      <c r="V340" s="636" t="n"/>
      <c r="W340" s="636" t="n"/>
      <c r="X340" s="636" t="n"/>
      <c r="Y340" s="636" t="n"/>
      <c r="Z340" s="636" t="n"/>
      <c r="AA340" s="636" t="n"/>
      <c r="AB340" s="636" t="n"/>
      <c r="AC340" s="636" t="n"/>
      <c r="AD340" s="636" t="n"/>
      <c r="AE340" s="636" t="n"/>
      <c r="AF340" s="636" t="n"/>
      <c r="AG340" s="636" t="n"/>
      <c r="AH340" s="636" t="n"/>
      <c r="AI340" s="636" t="n"/>
      <c r="AJ340" s="636" t="n"/>
      <c r="AK340" s="636" t="n"/>
    </row>
    <row r="341">
      <c r="A341" s="636" t="inlineStr">
        <is>
          <t>호계동</t>
        </is>
      </c>
      <c r="B341" s="636" t="n"/>
      <c r="C341" s="636" t="n"/>
      <c r="D341" s="636" t="n">
        <v>10509</v>
      </c>
      <c r="E341" s="637" t="inlineStr">
        <is>
          <t>호계신성미소지움</t>
        </is>
      </c>
      <c r="F341" s="636" t="n">
        <v>2004.12</v>
      </c>
      <c r="G341" s="636" t="n">
        <v>361</v>
      </c>
      <c r="H341" s="636">
        <f>2026-INT(F341)+1</f>
        <v/>
      </c>
      <c r="I341" s="636" t="n"/>
      <c r="J341" s="636" t="n">
        <v>128</v>
      </c>
      <c r="K341" s="636" t="n">
        <v>103</v>
      </c>
      <c r="L341" s="636" t="n">
        <v>39</v>
      </c>
      <c r="M341" s="636" t="inlineStr">
        <is>
          <t>계단식</t>
        </is>
      </c>
      <c r="N341" s="636" t="n">
        <v>3</v>
      </c>
      <c r="O341" s="636" t="n">
        <v>2</v>
      </c>
      <c r="P341" s="636" t="n">
        <v>14</v>
      </c>
      <c r="Q341" s="636" t="n"/>
      <c r="R341" s="636" t="n"/>
      <c r="S341" s="636" t="n"/>
      <c r="T341" s="636" t="n"/>
      <c r="U341" s="636" t="n"/>
      <c r="V341" s="636" t="n"/>
      <c r="W341" s="636" t="n"/>
      <c r="X341" s="636" t="n"/>
      <c r="Y341" s="636" t="n"/>
      <c r="Z341" s="636" t="n"/>
      <c r="AA341" s="636" t="n"/>
      <c r="AB341" s="636" t="n"/>
      <c r="AC341" s="636" t="n"/>
      <c r="AD341" s="636" t="n"/>
      <c r="AE341" s="636" t="n"/>
      <c r="AF341" s="636" t="n"/>
      <c r="AG341" s="636" t="n"/>
      <c r="AH341" s="636" t="n"/>
      <c r="AI341" s="636" t="n"/>
      <c r="AJ341" s="636" t="n"/>
      <c r="AK341" s="636" t="n"/>
    </row>
    <row r="342">
      <c r="A342" t="inlineStr">
        <is>
          <t>호계동</t>
        </is>
      </c>
      <c r="D342" t="n">
        <v>19530</v>
      </c>
      <c r="E342" s="638" t="inlineStr">
        <is>
          <t>호계아크로리버(주상복합)</t>
        </is>
      </c>
      <c r="F342" t="n">
        <v>2007.03</v>
      </c>
      <c r="G342" t="n">
        <v>210</v>
      </c>
      <c r="H342">
        <f>2026-INT(F342)+1</f>
        <v/>
      </c>
      <c r="J342" t="n">
        <v>115</v>
      </c>
      <c r="K342" t="n">
        <v>84</v>
      </c>
      <c r="L342" t="n">
        <v>35</v>
      </c>
      <c r="M342" t="inlineStr">
        <is>
          <t>계단식</t>
        </is>
      </c>
      <c r="N342" t="n">
        <v>3</v>
      </c>
      <c r="O342" t="n">
        <v>2</v>
      </c>
      <c r="P342" t="n">
        <v>91</v>
      </c>
    </row>
    <row r="343">
      <c r="A343" t="inlineStr">
        <is>
          <t>호계동</t>
        </is>
      </c>
      <c r="D343" t="n">
        <v>19530</v>
      </c>
      <c r="E343" s="638" t="inlineStr">
        <is>
          <t>호계아크로리버(주상복합)</t>
        </is>
      </c>
      <c r="F343" t="n">
        <v>2007.03</v>
      </c>
      <c r="G343" t="n">
        <v>210</v>
      </c>
      <c r="H343">
        <f>2026-INT(F343)+1</f>
        <v/>
      </c>
      <c r="J343" t="n">
        <v>140</v>
      </c>
      <c r="K343" t="n">
        <v>104</v>
      </c>
      <c r="L343" t="n">
        <v>42</v>
      </c>
      <c r="M343" t="inlineStr">
        <is>
          <t>계단식</t>
        </is>
      </c>
      <c r="N343" t="n">
        <v>3</v>
      </c>
      <c r="O343" t="n">
        <v>2</v>
      </c>
      <c r="P343" t="n">
        <v>18</v>
      </c>
    </row>
    <row r="344">
      <c r="A344" t="inlineStr">
        <is>
          <t>호계동</t>
        </is>
      </c>
      <c r="D344" t="n">
        <v>19530</v>
      </c>
      <c r="E344" s="638" t="inlineStr">
        <is>
          <t>호계아크로리버(주상복합)</t>
        </is>
      </c>
      <c r="F344" t="n">
        <v>2007.03</v>
      </c>
      <c r="G344" t="n">
        <v>210</v>
      </c>
      <c r="H344">
        <f>2026-INT(F344)+1</f>
        <v/>
      </c>
      <c r="J344" t="n">
        <v>163</v>
      </c>
      <c r="K344" t="n">
        <v>122</v>
      </c>
      <c r="L344" t="n">
        <v>49</v>
      </c>
      <c r="M344" t="inlineStr">
        <is>
          <t>계단식</t>
        </is>
      </c>
      <c r="N344" t="n">
        <v>3</v>
      </c>
      <c r="O344" t="n">
        <v>2</v>
      </c>
      <c r="P344" t="n">
        <v>82</v>
      </c>
    </row>
    <row r="345">
      <c r="A345" t="inlineStr">
        <is>
          <t>호계동</t>
        </is>
      </c>
      <c r="D345" t="n">
        <v>19530</v>
      </c>
      <c r="E345" s="638" t="inlineStr">
        <is>
          <t>호계아크로리버(주상복합)</t>
        </is>
      </c>
      <c r="F345" t="n">
        <v>2007.03</v>
      </c>
      <c r="G345" t="n">
        <v>210</v>
      </c>
      <c r="H345">
        <f>2026-INT(F345)+1</f>
        <v/>
      </c>
      <c r="J345" t="n">
        <v>181</v>
      </c>
      <c r="K345" t="n">
        <v>134</v>
      </c>
      <c r="L345" t="n">
        <v>55</v>
      </c>
      <c r="M345" t="inlineStr">
        <is>
          <t>계단식</t>
        </is>
      </c>
      <c r="N345" t="n">
        <v>3</v>
      </c>
      <c r="O345" t="n">
        <v>2</v>
      </c>
      <c r="P345" t="n">
        <v>19</v>
      </c>
    </row>
    <row r="346">
      <c r="A346" s="636" t="inlineStr">
        <is>
          <t>호계동</t>
        </is>
      </c>
      <c r="B346" s="636" t="n"/>
      <c r="C346" s="636" t="n"/>
      <c r="D346" s="636" t="n">
        <v>3032</v>
      </c>
      <c r="E346" s="637" t="inlineStr">
        <is>
          <t>호계현대</t>
        </is>
      </c>
      <c r="F346" s="636" t="n">
        <v>1999.12</v>
      </c>
      <c r="G346" s="636" t="n">
        <v>212</v>
      </c>
      <c r="H346" s="636">
        <f>2026-INT(F346)+1</f>
        <v/>
      </c>
      <c r="I346" s="636" t="n"/>
      <c r="J346" s="636" t="n">
        <v>78</v>
      </c>
      <c r="K346" s="636" t="n">
        <v>59</v>
      </c>
      <c r="L346" s="636" t="n">
        <v>24</v>
      </c>
      <c r="M346" s="636" t="inlineStr">
        <is>
          <t>계단식</t>
        </is>
      </c>
      <c r="N346" s="636" t="n">
        <v>3</v>
      </c>
      <c r="O346" s="636" t="n">
        <v>1</v>
      </c>
      <c r="P346" s="636" t="n">
        <v>90</v>
      </c>
      <c r="Q346" s="636" t="n"/>
      <c r="R346" s="636" t="n"/>
      <c r="S346" s="636" t="n"/>
      <c r="T346" s="636" t="n"/>
      <c r="U346" s="636" t="n"/>
      <c r="V346" s="636" t="n"/>
      <c r="W346" s="636" t="n"/>
      <c r="X346" s="636" t="n"/>
      <c r="Y346" s="636" t="n"/>
      <c r="Z346" s="636" t="n"/>
      <c r="AA346" s="636" t="n"/>
      <c r="AB346" s="636" t="n"/>
      <c r="AC346" s="636" t="n"/>
      <c r="AD346" s="636" t="n"/>
      <c r="AE346" s="636" t="n"/>
      <c r="AF346" s="636" t="n"/>
      <c r="AG346" s="636" t="n"/>
      <c r="AH346" s="636" t="n"/>
      <c r="AI346" s="636" t="n"/>
      <c r="AJ346" s="636" t="n"/>
      <c r="AK346" s="636" t="n"/>
    </row>
    <row r="347">
      <c r="A347" s="636" t="inlineStr">
        <is>
          <t>호계동</t>
        </is>
      </c>
      <c r="B347" s="636" t="n"/>
      <c r="C347" s="636" t="n"/>
      <c r="D347" s="636" t="n">
        <v>3032</v>
      </c>
      <c r="E347" s="637" t="inlineStr">
        <is>
          <t>호계현대</t>
        </is>
      </c>
      <c r="F347" s="636" t="n">
        <v>1999.12</v>
      </c>
      <c r="G347" s="636" t="n">
        <v>212</v>
      </c>
      <c r="H347" s="636">
        <f>2026-INT(F347)+1</f>
        <v/>
      </c>
      <c r="I347" s="636" t="n"/>
      <c r="J347" s="636" t="n">
        <v>97</v>
      </c>
      <c r="K347" s="636" t="n">
        <v>74</v>
      </c>
      <c r="L347" s="636" t="n">
        <v>29</v>
      </c>
      <c r="M347" s="636" t="inlineStr">
        <is>
          <t>계단식</t>
        </is>
      </c>
      <c r="N347" s="636" t="n">
        <v>3</v>
      </c>
      <c r="O347" s="636" t="n">
        <v>2</v>
      </c>
      <c r="P347" s="636" t="n">
        <v>18</v>
      </c>
      <c r="Q347" s="636" t="n"/>
      <c r="R347" s="636" t="n"/>
      <c r="S347" s="636" t="n"/>
      <c r="T347" s="636" t="n"/>
      <c r="U347" s="636" t="n"/>
      <c r="V347" s="636" t="n"/>
      <c r="W347" s="636" t="n"/>
      <c r="X347" s="636" t="n"/>
      <c r="Y347" s="636" t="n"/>
      <c r="Z347" s="636" t="n"/>
      <c r="AA347" s="636" t="n"/>
      <c r="AB347" s="636" t="n"/>
      <c r="AC347" s="636" t="n"/>
      <c r="AD347" s="636" t="n"/>
      <c r="AE347" s="636" t="n"/>
      <c r="AF347" s="636" t="n"/>
      <c r="AG347" s="636" t="n"/>
      <c r="AH347" s="636" t="n"/>
      <c r="AI347" s="636" t="n"/>
      <c r="AJ347" s="636" t="n"/>
      <c r="AK347" s="636" t="n"/>
    </row>
    <row r="348">
      <c r="A348" s="636" t="inlineStr">
        <is>
          <t>호계동</t>
        </is>
      </c>
      <c r="B348" s="636" t="n"/>
      <c r="C348" s="636" t="n"/>
      <c r="D348" s="636" t="n">
        <v>3032</v>
      </c>
      <c r="E348" s="637" t="inlineStr">
        <is>
          <t>호계현대</t>
        </is>
      </c>
      <c r="F348" s="636" t="n">
        <v>1999.12</v>
      </c>
      <c r="G348" s="636" t="n">
        <v>212</v>
      </c>
      <c r="H348" s="636">
        <f>2026-INT(F348)+1</f>
        <v/>
      </c>
      <c r="I348" s="636" t="n"/>
      <c r="J348" s="636" t="n">
        <v>111</v>
      </c>
      <c r="K348" s="636" t="n">
        <v>84</v>
      </c>
      <c r="L348" s="636" t="n">
        <v>34</v>
      </c>
      <c r="M348" s="636" t="inlineStr">
        <is>
          <t>계단식</t>
        </is>
      </c>
      <c r="N348" s="636" t="n">
        <v>3</v>
      </c>
      <c r="O348" s="636" t="n">
        <v>2</v>
      </c>
      <c r="P348" s="636" t="n">
        <v>104</v>
      </c>
      <c r="Q348" s="636" t="n"/>
      <c r="R348" s="636" t="n"/>
      <c r="S348" s="636" t="n"/>
      <c r="T348" s="636" t="n"/>
      <c r="U348" s="636" t="n"/>
      <c r="V348" s="636" t="n"/>
      <c r="W348" s="636" t="n"/>
      <c r="X348" s="636" t="n"/>
      <c r="Y348" s="636" t="n"/>
      <c r="Z348" s="636" t="n"/>
      <c r="AA348" s="636" t="n"/>
      <c r="AB348" s="636" t="n"/>
      <c r="AC348" s="636" t="n"/>
      <c r="AD348" s="636" t="n"/>
      <c r="AE348" s="636" t="n"/>
      <c r="AF348" s="636" t="n"/>
      <c r="AG348" s="636" t="n"/>
      <c r="AH348" s="636" t="n"/>
      <c r="AI348" s="636" t="n"/>
      <c r="AJ348" s="636" t="n"/>
      <c r="AK348" s="636" t="n"/>
    </row>
    <row r="349">
      <c r="A349" t="inlineStr">
        <is>
          <t>호계동</t>
        </is>
      </c>
      <c r="D349" t="n">
        <v>3081</v>
      </c>
      <c r="E349" s="638" t="inlineStr">
        <is>
          <t>호계현대홈타운1차</t>
        </is>
      </c>
      <c r="F349" t="n">
        <v>2002.11</v>
      </c>
      <c r="G349" t="n">
        <v>604</v>
      </c>
      <c r="H349">
        <f>2026-INT(F349)+1</f>
        <v/>
      </c>
      <c r="J349" t="n">
        <v>88</v>
      </c>
      <c r="K349" t="n">
        <v>59</v>
      </c>
      <c r="L349" t="n">
        <v>27</v>
      </c>
      <c r="M349" t="inlineStr">
        <is>
          <t>계단식</t>
        </is>
      </c>
      <c r="N349" t="n">
        <v>3</v>
      </c>
      <c r="O349" t="n">
        <v>2</v>
      </c>
      <c r="P349" t="n">
        <v>55</v>
      </c>
    </row>
    <row r="350">
      <c r="A350" t="inlineStr">
        <is>
          <t>호계동</t>
        </is>
      </c>
      <c r="D350" t="n">
        <v>3081</v>
      </c>
      <c r="E350" s="638" t="inlineStr">
        <is>
          <t>호계현대홈타운1차</t>
        </is>
      </c>
      <c r="F350" t="n">
        <v>2002.11</v>
      </c>
      <c r="G350" t="n">
        <v>604</v>
      </c>
      <c r="H350">
        <f>2026-INT(F350)+1</f>
        <v/>
      </c>
      <c r="J350" t="n">
        <v>118</v>
      </c>
      <c r="K350" t="n">
        <v>74</v>
      </c>
      <c r="L350" t="n">
        <v>36</v>
      </c>
      <c r="M350" t="inlineStr">
        <is>
          <t>계단식</t>
        </is>
      </c>
      <c r="N350" t="n">
        <v>3</v>
      </c>
      <c r="O350" t="n">
        <v>2</v>
      </c>
      <c r="P350" t="n">
        <v>18</v>
      </c>
    </row>
    <row r="351">
      <c r="A351" t="inlineStr">
        <is>
          <t>호계동</t>
        </is>
      </c>
      <c r="D351" t="n">
        <v>3081</v>
      </c>
      <c r="E351" s="638" t="inlineStr">
        <is>
          <t>호계현대홈타운1차</t>
        </is>
      </c>
      <c r="F351" t="n">
        <v>2002.11</v>
      </c>
      <c r="G351" t="n">
        <v>604</v>
      </c>
      <c r="H351">
        <f>2026-INT(F351)+1</f>
        <v/>
      </c>
      <c r="J351" t="n">
        <v>120</v>
      </c>
      <c r="K351" t="n">
        <v>84</v>
      </c>
      <c r="L351" t="n">
        <v>36</v>
      </c>
      <c r="M351" t="inlineStr">
        <is>
          <t>계단식</t>
        </is>
      </c>
      <c r="N351" t="n">
        <v>3</v>
      </c>
      <c r="O351" t="n">
        <v>2</v>
      </c>
      <c r="P351" t="n">
        <v>393</v>
      </c>
    </row>
    <row r="352">
      <c r="A352" t="inlineStr">
        <is>
          <t>호계동</t>
        </is>
      </c>
      <c r="D352" t="n">
        <v>3081</v>
      </c>
      <c r="E352" s="638" t="inlineStr">
        <is>
          <t>호계현대홈타운1차</t>
        </is>
      </c>
      <c r="F352" t="n">
        <v>2002.11</v>
      </c>
      <c r="G352" t="n">
        <v>604</v>
      </c>
      <c r="H352">
        <f>2026-INT(F352)+1</f>
        <v/>
      </c>
      <c r="J352" t="n">
        <v>155</v>
      </c>
      <c r="K352" t="n">
        <v>113</v>
      </c>
      <c r="L352" t="n">
        <v>47</v>
      </c>
      <c r="M352" t="inlineStr">
        <is>
          <t>계단식</t>
        </is>
      </c>
      <c r="N352" t="n">
        <v>4</v>
      </c>
      <c r="O352" t="n">
        <v>2</v>
      </c>
      <c r="P352" t="n">
        <v>138</v>
      </c>
    </row>
    <row r="353">
      <c r="A353" s="636" t="inlineStr">
        <is>
          <t>호계동</t>
        </is>
      </c>
      <c r="B353" s="636" t="n"/>
      <c r="C353" s="636" t="n"/>
      <c r="D353" s="636" t="n">
        <v>3082</v>
      </c>
      <c r="E353" s="637" t="inlineStr">
        <is>
          <t>호계현대홈타운2차</t>
        </is>
      </c>
      <c r="F353" s="636" t="n">
        <v>2003.11</v>
      </c>
      <c r="G353" s="636" t="n">
        <v>1977</v>
      </c>
      <c r="H353" s="636">
        <f>2026-INT(F353)+1</f>
        <v/>
      </c>
      <c r="I353" s="636" t="n"/>
      <c r="J353" s="636" t="n">
        <v>82</v>
      </c>
      <c r="K353" s="636" t="n">
        <v>59</v>
      </c>
      <c r="L353" s="636" t="n">
        <v>25</v>
      </c>
      <c r="M353" s="636" t="inlineStr">
        <is>
          <t>계단식</t>
        </is>
      </c>
      <c r="N353" s="636" t="n">
        <v>3</v>
      </c>
      <c r="O353" s="636" t="n">
        <v>2</v>
      </c>
      <c r="P353" s="636" t="n">
        <v>264</v>
      </c>
      <c r="Q353" s="636" t="n"/>
      <c r="R353" s="636" t="n"/>
      <c r="S353" s="636" t="n"/>
      <c r="T353" s="636" t="n"/>
      <c r="U353" s="636" t="n"/>
      <c r="V353" s="636" t="n"/>
      <c r="W353" s="636" t="n"/>
      <c r="X353" s="636" t="n"/>
      <c r="Y353" s="636" t="n"/>
      <c r="Z353" s="636" t="n"/>
      <c r="AA353" s="636" t="n"/>
      <c r="AB353" s="636" t="n"/>
      <c r="AC353" s="636" t="n"/>
      <c r="AD353" s="636" t="n"/>
      <c r="AE353" s="636" t="n"/>
      <c r="AF353" s="636" t="n"/>
      <c r="AG353" s="636" t="n"/>
      <c r="AH353" s="636" t="n"/>
      <c r="AI353" s="636" t="n"/>
      <c r="AJ353" s="636" t="n"/>
      <c r="AK353" s="636" t="n"/>
    </row>
    <row r="354">
      <c r="A354" s="636" t="inlineStr">
        <is>
          <t>호계동</t>
        </is>
      </c>
      <c r="B354" s="636" t="n"/>
      <c r="C354" s="636" t="n"/>
      <c r="D354" s="636" t="n">
        <v>3082</v>
      </c>
      <c r="E354" s="637" t="inlineStr">
        <is>
          <t>호계현대홈타운2차</t>
        </is>
      </c>
      <c r="F354" s="636" t="n">
        <v>2003.11</v>
      </c>
      <c r="G354" s="636" t="n">
        <v>1977</v>
      </c>
      <c r="H354" s="636">
        <f>2026-INT(F354)+1</f>
        <v/>
      </c>
      <c r="I354" s="636" t="n"/>
      <c r="J354" s="636" t="n">
        <v>107</v>
      </c>
      <c r="K354" s="636" t="n">
        <v>84</v>
      </c>
      <c r="L354" s="636" t="n">
        <v>32</v>
      </c>
      <c r="M354" s="636" t="inlineStr">
        <is>
          <t>계단식</t>
        </is>
      </c>
      <c r="N354" s="636" t="n">
        <v>3</v>
      </c>
      <c r="O354" s="636" t="n">
        <v>2</v>
      </c>
      <c r="P354" s="636" t="n">
        <v>1194</v>
      </c>
      <c r="Q354" s="636" t="n"/>
      <c r="R354" s="636" t="n"/>
      <c r="S354" s="636" t="n"/>
      <c r="T354" s="636" t="n"/>
      <c r="U354" s="636" t="n"/>
      <c r="V354" s="636" t="n"/>
      <c r="W354" s="636" t="n"/>
      <c r="X354" s="636" t="n"/>
      <c r="Y354" s="636" t="n"/>
      <c r="Z354" s="636" t="n"/>
      <c r="AA354" s="636" t="n"/>
      <c r="AB354" s="636" t="n"/>
      <c r="AC354" s="636" t="n"/>
      <c r="AD354" s="636" t="n"/>
      <c r="AE354" s="636" t="n"/>
      <c r="AF354" s="636" t="n"/>
      <c r="AG354" s="636" t="n"/>
      <c r="AH354" s="636" t="n"/>
      <c r="AI354" s="636" t="n"/>
      <c r="AJ354" s="636" t="n"/>
      <c r="AK354" s="636" t="n"/>
    </row>
    <row r="355">
      <c r="A355" s="636" t="inlineStr">
        <is>
          <t>호계동</t>
        </is>
      </c>
      <c r="B355" s="636" t="n"/>
      <c r="C355" s="636" t="n"/>
      <c r="D355" s="636" t="n">
        <v>3082</v>
      </c>
      <c r="E355" s="637" t="inlineStr">
        <is>
          <t>호계현대홈타운2차</t>
        </is>
      </c>
      <c r="F355" s="636" t="n">
        <v>2003.11</v>
      </c>
      <c r="G355" s="636" t="n">
        <v>1977</v>
      </c>
      <c r="H355" s="636">
        <f>2026-INT(F355)+1</f>
        <v/>
      </c>
      <c r="I355" s="636" t="n"/>
      <c r="J355" s="636" t="n">
        <v>126</v>
      </c>
      <c r="K355" s="636" t="n">
        <v>98</v>
      </c>
      <c r="L355" s="636" t="n">
        <v>38</v>
      </c>
      <c r="M355" s="636" t="inlineStr">
        <is>
          <t>계단식</t>
        </is>
      </c>
      <c r="N355" s="636" t="n">
        <v>4</v>
      </c>
      <c r="O355" s="636" t="n">
        <v>2</v>
      </c>
      <c r="P355" s="636" t="n">
        <v>108</v>
      </c>
      <c r="Q355" s="636" t="n"/>
      <c r="R355" s="636" t="n"/>
      <c r="S355" s="636" t="n"/>
      <c r="T355" s="636" t="n"/>
      <c r="U355" s="636" t="n"/>
      <c r="V355" s="636" t="n"/>
      <c r="W355" s="636" t="n"/>
      <c r="X355" s="636" t="n"/>
      <c r="Y355" s="636" t="n"/>
      <c r="Z355" s="636" t="n"/>
      <c r="AA355" s="636" t="n"/>
      <c r="AB355" s="636" t="n"/>
      <c r="AC355" s="636" t="n"/>
      <c r="AD355" s="636" t="n"/>
      <c r="AE355" s="636" t="n"/>
      <c r="AF355" s="636" t="n"/>
      <c r="AG355" s="636" t="n"/>
      <c r="AH355" s="636" t="n"/>
      <c r="AI355" s="636" t="n"/>
      <c r="AJ355" s="636" t="n"/>
      <c r="AK355" s="636" t="n"/>
    </row>
    <row r="356">
      <c r="A356" s="636" t="inlineStr">
        <is>
          <t>호계동</t>
        </is>
      </c>
      <c r="B356" s="636" t="n"/>
      <c r="C356" s="636" t="n"/>
      <c r="D356" s="636" t="n">
        <v>3082</v>
      </c>
      <c r="E356" s="637" t="inlineStr">
        <is>
          <t>호계현대홈타운2차</t>
        </is>
      </c>
      <c r="F356" s="636" t="n">
        <v>2003.11</v>
      </c>
      <c r="G356" s="636" t="n">
        <v>1977</v>
      </c>
      <c r="H356" s="636">
        <f>2026-INT(F356)+1</f>
        <v/>
      </c>
      <c r="I356" s="636" t="n"/>
      <c r="J356" s="636" t="n">
        <v>144</v>
      </c>
      <c r="K356" s="636" t="n">
        <v>115</v>
      </c>
      <c r="L356" s="636" t="n">
        <v>44</v>
      </c>
      <c r="M356" s="636" t="inlineStr">
        <is>
          <t>계단식</t>
        </is>
      </c>
      <c r="N356" s="636" t="n">
        <v>4</v>
      </c>
      <c r="O356" s="636" t="n">
        <v>2</v>
      </c>
      <c r="P356" s="636" t="n">
        <v>303</v>
      </c>
      <c r="Q356" s="636" t="n"/>
      <c r="R356" s="636" t="n"/>
      <c r="S356" s="636" t="n"/>
      <c r="T356" s="636" t="n"/>
      <c r="U356" s="636" t="n"/>
      <c r="V356" s="636" t="n"/>
      <c r="W356" s="636" t="n"/>
      <c r="X356" s="636" t="n"/>
      <c r="Y356" s="636" t="n"/>
      <c r="Z356" s="636" t="n"/>
      <c r="AA356" s="636" t="n"/>
      <c r="AB356" s="636" t="n"/>
      <c r="AC356" s="636" t="n"/>
      <c r="AD356" s="636" t="n"/>
      <c r="AE356" s="636" t="n"/>
      <c r="AF356" s="636" t="n"/>
      <c r="AG356" s="636" t="n"/>
      <c r="AH356" s="636" t="n"/>
      <c r="AI356" s="636" t="n"/>
      <c r="AJ356" s="636" t="n"/>
      <c r="AK356" s="636" t="n"/>
    </row>
    <row r="357">
      <c r="A357" s="636" t="inlineStr">
        <is>
          <t>호계동</t>
        </is>
      </c>
      <c r="B357" s="636" t="n"/>
      <c r="C357" s="636" t="n"/>
      <c r="D357" s="636" t="n">
        <v>3082</v>
      </c>
      <c r="E357" s="637" t="inlineStr">
        <is>
          <t>호계현대홈타운2차</t>
        </is>
      </c>
      <c r="F357" s="636" t="n">
        <v>2003.11</v>
      </c>
      <c r="G357" s="636" t="n">
        <v>1977</v>
      </c>
      <c r="H357" s="636">
        <f>2026-INT(F357)+1</f>
        <v/>
      </c>
      <c r="I357" s="636" t="n"/>
      <c r="J357" s="636" t="n">
        <v>172</v>
      </c>
      <c r="K357" s="636" t="n">
        <v>142</v>
      </c>
      <c r="L357" s="636" t="n">
        <v>52</v>
      </c>
      <c r="M357" s="636" t="inlineStr">
        <is>
          <t>계단식</t>
        </is>
      </c>
      <c r="N357" s="636" t="n">
        <v>4</v>
      </c>
      <c r="O357" s="636" t="n">
        <v>2</v>
      </c>
      <c r="P357" s="636" t="n">
        <v>108</v>
      </c>
      <c r="Q357" s="636" t="n"/>
      <c r="R357" s="636" t="n"/>
      <c r="S357" s="636" t="n"/>
      <c r="T357" s="636" t="n"/>
      <c r="U357" s="636" t="n"/>
      <c r="V357" s="636" t="n"/>
      <c r="W357" s="636" t="n"/>
      <c r="X357" s="636" t="n"/>
      <c r="Y357" s="636" t="n"/>
      <c r="Z357" s="636" t="n"/>
      <c r="AA357" s="636" t="n"/>
      <c r="AB357" s="636" t="n"/>
      <c r="AC357" s="636" t="n"/>
      <c r="AD357" s="636" t="n"/>
      <c r="AE357" s="636" t="n"/>
      <c r="AF357" s="636" t="n"/>
      <c r="AG357" s="636" t="n"/>
      <c r="AH357" s="636" t="n"/>
      <c r="AI357" s="636" t="n"/>
      <c r="AJ357" s="636" t="n"/>
      <c r="AK357" s="636" t="n"/>
    </row>
    <row r="358">
      <c r="A358" t="inlineStr">
        <is>
          <t>호계동</t>
        </is>
      </c>
      <c r="D358" t="n">
        <v>8800</v>
      </c>
      <c r="E358" s="638" t="inlineStr">
        <is>
          <t>호계효성</t>
        </is>
      </c>
      <c r="F358" t="n">
        <v>2000.1</v>
      </c>
      <c r="G358" t="n">
        <v>370</v>
      </c>
      <c r="H358">
        <f>2026-INT(F358)+1</f>
        <v/>
      </c>
      <c r="J358" t="n">
        <v>83</v>
      </c>
      <c r="K358" t="n">
        <v>59</v>
      </c>
      <c r="L358" t="n">
        <v>25</v>
      </c>
      <c r="M358" t="inlineStr">
        <is>
          <t>복도식</t>
        </is>
      </c>
      <c r="N358" t="n">
        <v>2</v>
      </c>
      <c r="O358" t="n">
        <v>1</v>
      </c>
      <c r="P358" t="n">
        <v>102</v>
      </c>
    </row>
    <row r="359">
      <c r="A359" t="inlineStr">
        <is>
          <t>호계동</t>
        </is>
      </c>
      <c r="D359" t="n">
        <v>8800</v>
      </c>
      <c r="E359" s="638" t="inlineStr">
        <is>
          <t>호계효성</t>
        </is>
      </c>
      <c r="F359" t="n">
        <v>2000.1</v>
      </c>
      <c r="G359" t="n">
        <v>370</v>
      </c>
      <c r="H359">
        <f>2026-INT(F359)+1</f>
        <v/>
      </c>
      <c r="J359" t="n">
        <v>108</v>
      </c>
      <c r="K359" t="n">
        <v>84</v>
      </c>
      <c r="L359" t="n">
        <v>33</v>
      </c>
      <c r="M359" t="inlineStr">
        <is>
          <t>계단식</t>
        </is>
      </c>
      <c r="N359" t="n">
        <v>3</v>
      </c>
      <c r="O359" t="n">
        <v>2</v>
      </c>
      <c r="P359" t="n">
        <v>226</v>
      </c>
    </row>
    <row r="360">
      <c r="A360" t="inlineStr">
        <is>
          <t>호계동</t>
        </is>
      </c>
      <c r="D360" t="n">
        <v>8800</v>
      </c>
      <c r="E360" s="638" t="inlineStr">
        <is>
          <t>호계효성</t>
        </is>
      </c>
      <c r="F360" t="n">
        <v>2000.1</v>
      </c>
      <c r="G360" t="n">
        <v>370</v>
      </c>
      <c r="H360">
        <f>2026-INT(F360)+1</f>
        <v/>
      </c>
      <c r="J360" t="n">
        <v>154</v>
      </c>
      <c r="K360" t="n">
        <v>126</v>
      </c>
      <c r="L360" t="n">
        <v>47</v>
      </c>
      <c r="M360" t="inlineStr">
        <is>
          <t>계단식</t>
        </is>
      </c>
      <c r="N360" t="n">
        <v>4</v>
      </c>
      <c r="O360" t="n">
        <v>2</v>
      </c>
      <c r="P360" t="n">
        <v>42</v>
      </c>
    </row>
  </sheetData>
  <mergeCells count="2">
    <mergeCell ref="B3:C3"/>
    <mergeCell ref="AH3:AL3"/>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 xmlns:r="http://schemas.openxmlformats.org/officeDocument/2006/relationships" ref="E236" r:id="rId232"/>
    <hyperlink xmlns:r="http://schemas.openxmlformats.org/officeDocument/2006/relationships" ref="E237" r:id="rId233"/>
    <hyperlink xmlns:r="http://schemas.openxmlformats.org/officeDocument/2006/relationships" ref="E238" r:id="rId234"/>
    <hyperlink xmlns:r="http://schemas.openxmlformats.org/officeDocument/2006/relationships" ref="E239" r:id="rId235"/>
    <hyperlink xmlns:r="http://schemas.openxmlformats.org/officeDocument/2006/relationships" ref="E240" r:id="rId236"/>
    <hyperlink xmlns:r="http://schemas.openxmlformats.org/officeDocument/2006/relationships" ref="E241" r:id="rId237"/>
    <hyperlink xmlns:r="http://schemas.openxmlformats.org/officeDocument/2006/relationships" ref="E242" r:id="rId238"/>
    <hyperlink xmlns:r="http://schemas.openxmlformats.org/officeDocument/2006/relationships" ref="E243" r:id="rId239"/>
    <hyperlink xmlns:r="http://schemas.openxmlformats.org/officeDocument/2006/relationships" ref="E244" r:id="rId240"/>
    <hyperlink xmlns:r="http://schemas.openxmlformats.org/officeDocument/2006/relationships" ref="E245" r:id="rId241"/>
    <hyperlink xmlns:r="http://schemas.openxmlformats.org/officeDocument/2006/relationships" ref="E246" r:id="rId242"/>
    <hyperlink xmlns:r="http://schemas.openxmlformats.org/officeDocument/2006/relationships" ref="E247" r:id="rId243"/>
    <hyperlink xmlns:r="http://schemas.openxmlformats.org/officeDocument/2006/relationships" ref="E248" r:id="rId244"/>
    <hyperlink xmlns:r="http://schemas.openxmlformats.org/officeDocument/2006/relationships" ref="E249" r:id="rId245"/>
    <hyperlink xmlns:r="http://schemas.openxmlformats.org/officeDocument/2006/relationships" ref="E250" r:id="rId246"/>
    <hyperlink xmlns:r="http://schemas.openxmlformats.org/officeDocument/2006/relationships" ref="E251" r:id="rId247"/>
    <hyperlink xmlns:r="http://schemas.openxmlformats.org/officeDocument/2006/relationships" ref="E252" r:id="rId248"/>
    <hyperlink xmlns:r="http://schemas.openxmlformats.org/officeDocument/2006/relationships" ref="E253" r:id="rId249"/>
    <hyperlink xmlns:r="http://schemas.openxmlformats.org/officeDocument/2006/relationships" ref="E254" r:id="rId250"/>
    <hyperlink xmlns:r="http://schemas.openxmlformats.org/officeDocument/2006/relationships" ref="E255" r:id="rId251"/>
    <hyperlink xmlns:r="http://schemas.openxmlformats.org/officeDocument/2006/relationships" ref="E256" r:id="rId252"/>
    <hyperlink xmlns:r="http://schemas.openxmlformats.org/officeDocument/2006/relationships" ref="E257" r:id="rId253"/>
    <hyperlink xmlns:r="http://schemas.openxmlformats.org/officeDocument/2006/relationships" ref="E258" r:id="rId254"/>
    <hyperlink xmlns:r="http://schemas.openxmlformats.org/officeDocument/2006/relationships" ref="E259" r:id="rId255"/>
    <hyperlink xmlns:r="http://schemas.openxmlformats.org/officeDocument/2006/relationships" ref="E260" r:id="rId256"/>
    <hyperlink xmlns:r="http://schemas.openxmlformats.org/officeDocument/2006/relationships" ref="E261" r:id="rId257"/>
    <hyperlink xmlns:r="http://schemas.openxmlformats.org/officeDocument/2006/relationships" ref="E262" r:id="rId258"/>
    <hyperlink xmlns:r="http://schemas.openxmlformats.org/officeDocument/2006/relationships" ref="E263" r:id="rId259"/>
    <hyperlink xmlns:r="http://schemas.openxmlformats.org/officeDocument/2006/relationships" ref="E264" r:id="rId260"/>
    <hyperlink xmlns:r="http://schemas.openxmlformats.org/officeDocument/2006/relationships" ref="E265" r:id="rId261"/>
    <hyperlink xmlns:r="http://schemas.openxmlformats.org/officeDocument/2006/relationships" ref="E266" r:id="rId262"/>
    <hyperlink xmlns:r="http://schemas.openxmlformats.org/officeDocument/2006/relationships" ref="E267" r:id="rId263"/>
    <hyperlink xmlns:r="http://schemas.openxmlformats.org/officeDocument/2006/relationships" ref="E268" r:id="rId264"/>
    <hyperlink xmlns:r="http://schemas.openxmlformats.org/officeDocument/2006/relationships" ref="E269" r:id="rId265"/>
    <hyperlink xmlns:r="http://schemas.openxmlformats.org/officeDocument/2006/relationships" ref="E270" r:id="rId266"/>
    <hyperlink xmlns:r="http://schemas.openxmlformats.org/officeDocument/2006/relationships" ref="E271" r:id="rId267"/>
    <hyperlink xmlns:r="http://schemas.openxmlformats.org/officeDocument/2006/relationships" ref="E272" r:id="rId268"/>
    <hyperlink xmlns:r="http://schemas.openxmlformats.org/officeDocument/2006/relationships" ref="E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E276" r:id="rId272"/>
    <hyperlink xmlns:r="http://schemas.openxmlformats.org/officeDocument/2006/relationships" ref="E277" r:id="rId273"/>
    <hyperlink xmlns:r="http://schemas.openxmlformats.org/officeDocument/2006/relationships" ref="E278" r:id="rId274"/>
    <hyperlink xmlns:r="http://schemas.openxmlformats.org/officeDocument/2006/relationships" ref="E279" r:id="rId275"/>
    <hyperlink xmlns:r="http://schemas.openxmlformats.org/officeDocument/2006/relationships" ref="E280" r:id="rId276"/>
    <hyperlink xmlns:r="http://schemas.openxmlformats.org/officeDocument/2006/relationships" ref="E281" r:id="rId277"/>
    <hyperlink xmlns:r="http://schemas.openxmlformats.org/officeDocument/2006/relationships" ref="E282" r:id="rId278"/>
    <hyperlink xmlns:r="http://schemas.openxmlformats.org/officeDocument/2006/relationships" ref="E283" r:id="rId279"/>
    <hyperlink xmlns:r="http://schemas.openxmlformats.org/officeDocument/2006/relationships" ref="E284" r:id="rId280"/>
    <hyperlink xmlns:r="http://schemas.openxmlformats.org/officeDocument/2006/relationships" ref="E285" r:id="rId281"/>
    <hyperlink xmlns:r="http://schemas.openxmlformats.org/officeDocument/2006/relationships" ref="E286" r:id="rId282"/>
    <hyperlink xmlns:r="http://schemas.openxmlformats.org/officeDocument/2006/relationships" ref="E287" r:id="rId283"/>
    <hyperlink xmlns:r="http://schemas.openxmlformats.org/officeDocument/2006/relationships" ref="E288" r:id="rId284"/>
    <hyperlink xmlns:r="http://schemas.openxmlformats.org/officeDocument/2006/relationships" ref="E289" r:id="rId285"/>
    <hyperlink xmlns:r="http://schemas.openxmlformats.org/officeDocument/2006/relationships" ref="E290" r:id="rId286"/>
    <hyperlink xmlns:r="http://schemas.openxmlformats.org/officeDocument/2006/relationships" ref="E291" r:id="rId287"/>
    <hyperlink xmlns:r="http://schemas.openxmlformats.org/officeDocument/2006/relationships" ref="E292" r:id="rId288"/>
    <hyperlink xmlns:r="http://schemas.openxmlformats.org/officeDocument/2006/relationships" ref="E293" r:id="rId289"/>
    <hyperlink xmlns:r="http://schemas.openxmlformats.org/officeDocument/2006/relationships" ref="E294" r:id="rId290"/>
    <hyperlink xmlns:r="http://schemas.openxmlformats.org/officeDocument/2006/relationships" ref="E295" r:id="rId291"/>
    <hyperlink xmlns:r="http://schemas.openxmlformats.org/officeDocument/2006/relationships" ref="E296" r:id="rId292"/>
    <hyperlink xmlns:r="http://schemas.openxmlformats.org/officeDocument/2006/relationships" ref="E297" r:id="rId293"/>
    <hyperlink xmlns:r="http://schemas.openxmlformats.org/officeDocument/2006/relationships" ref="E298" r:id="rId294"/>
    <hyperlink xmlns:r="http://schemas.openxmlformats.org/officeDocument/2006/relationships" ref="E299" r:id="rId295"/>
    <hyperlink xmlns:r="http://schemas.openxmlformats.org/officeDocument/2006/relationships" ref="E300" r:id="rId296"/>
    <hyperlink xmlns:r="http://schemas.openxmlformats.org/officeDocument/2006/relationships" ref="E301" r:id="rId297"/>
    <hyperlink xmlns:r="http://schemas.openxmlformats.org/officeDocument/2006/relationships" ref="E302" r:id="rId298"/>
    <hyperlink xmlns:r="http://schemas.openxmlformats.org/officeDocument/2006/relationships" ref="E303" r:id="rId299"/>
    <hyperlink xmlns:r="http://schemas.openxmlformats.org/officeDocument/2006/relationships" ref="E304" r:id="rId300"/>
    <hyperlink xmlns:r="http://schemas.openxmlformats.org/officeDocument/2006/relationships" ref="E305" r:id="rId301"/>
    <hyperlink xmlns:r="http://schemas.openxmlformats.org/officeDocument/2006/relationships" ref="E306" r:id="rId302"/>
    <hyperlink xmlns:r="http://schemas.openxmlformats.org/officeDocument/2006/relationships" ref="E307" r:id="rId303"/>
    <hyperlink xmlns:r="http://schemas.openxmlformats.org/officeDocument/2006/relationships" ref="E308" r:id="rId304"/>
    <hyperlink xmlns:r="http://schemas.openxmlformats.org/officeDocument/2006/relationships" ref="E309" r:id="rId305"/>
    <hyperlink xmlns:r="http://schemas.openxmlformats.org/officeDocument/2006/relationships" ref="E310" r:id="rId306"/>
    <hyperlink xmlns:r="http://schemas.openxmlformats.org/officeDocument/2006/relationships" ref="E311" r:id="rId307"/>
    <hyperlink xmlns:r="http://schemas.openxmlformats.org/officeDocument/2006/relationships" ref="E312" r:id="rId308"/>
    <hyperlink xmlns:r="http://schemas.openxmlformats.org/officeDocument/2006/relationships" ref="E313" r:id="rId309"/>
    <hyperlink xmlns:r="http://schemas.openxmlformats.org/officeDocument/2006/relationships" ref="E314" r:id="rId310"/>
    <hyperlink xmlns:r="http://schemas.openxmlformats.org/officeDocument/2006/relationships" ref="E315" r:id="rId311"/>
    <hyperlink xmlns:r="http://schemas.openxmlformats.org/officeDocument/2006/relationships" ref="E316" r:id="rId312"/>
    <hyperlink xmlns:r="http://schemas.openxmlformats.org/officeDocument/2006/relationships" ref="E317" r:id="rId313"/>
    <hyperlink xmlns:r="http://schemas.openxmlformats.org/officeDocument/2006/relationships" ref="E318" r:id="rId314"/>
    <hyperlink xmlns:r="http://schemas.openxmlformats.org/officeDocument/2006/relationships" ref="E319" r:id="rId315"/>
    <hyperlink xmlns:r="http://schemas.openxmlformats.org/officeDocument/2006/relationships" ref="E320" r:id="rId316"/>
    <hyperlink xmlns:r="http://schemas.openxmlformats.org/officeDocument/2006/relationships" ref="E321" r:id="rId317"/>
    <hyperlink xmlns:r="http://schemas.openxmlformats.org/officeDocument/2006/relationships" ref="E322" r:id="rId318"/>
    <hyperlink xmlns:r="http://schemas.openxmlformats.org/officeDocument/2006/relationships" ref="E323" r:id="rId319"/>
    <hyperlink xmlns:r="http://schemas.openxmlformats.org/officeDocument/2006/relationships" ref="E324" r:id="rId320"/>
    <hyperlink xmlns:r="http://schemas.openxmlformats.org/officeDocument/2006/relationships" ref="E325" r:id="rId321"/>
    <hyperlink xmlns:r="http://schemas.openxmlformats.org/officeDocument/2006/relationships" ref="E326" r:id="rId322"/>
    <hyperlink xmlns:r="http://schemas.openxmlformats.org/officeDocument/2006/relationships" ref="E327" r:id="rId323"/>
    <hyperlink xmlns:r="http://schemas.openxmlformats.org/officeDocument/2006/relationships" ref="E328" r:id="rId324"/>
    <hyperlink xmlns:r="http://schemas.openxmlformats.org/officeDocument/2006/relationships" ref="E329" r:id="rId325"/>
    <hyperlink xmlns:r="http://schemas.openxmlformats.org/officeDocument/2006/relationships" ref="E330" r:id="rId326"/>
    <hyperlink xmlns:r="http://schemas.openxmlformats.org/officeDocument/2006/relationships" ref="E331" r:id="rId327"/>
    <hyperlink xmlns:r="http://schemas.openxmlformats.org/officeDocument/2006/relationships" ref="E332" r:id="rId328"/>
    <hyperlink xmlns:r="http://schemas.openxmlformats.org/officeDocument/2006/relationships" ref="E333"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7" r:id="rId343"/>
    <hyperlink xmlns:r="http://schemas.openxmlformats.org/officeDocument/2006/relationships" ref="E348" r:id="rId344"/>
    <hyperlink xmlns:r="http://schemas.openxmlformats.org/officeDocument/2006/relationships" ref="E349" r:id="rId345"/>
    <hyperlink xmlns:r="http://schemas.openxmlformats.org/officeDocument/2006/relationships" ref="E350" r:id="rId346"/>
    <hyperlink xmlns:r="http://schemas.openxmlformats.org/officeDocument/2006/relationships" ref="E351" r:id="rId347"/>
    <hyperlink xmlns:r="http://schemas.openxmlformats.org/officeDocument/2006/relationships" ref="E352" r:id="rId348"/>
    <hyperlink xmlns:r="http://schemas.openxmlformats.org/officeDocument/2006/relationships" ref="E353" r:id="rId349"/>
    <hyperlink xmlns:r="http://schemas.openxmlformats.org/officeDocument/2006/relationships" ref="E354" r:id="rId350"/>
    <hyperlink xmlns:r="http://schemas.openxmlformats.org/officeDocument/2006/relationships" ref="E355" r:id="rId351"/>
    <hyperlink xmlns:r="http://schemas.openxmlformats.org/officeDocument/2006/relationships" ref="E356" r:id="rId352"/>
    <hyperlink xmlns:r="http://schemas.openxmlformats.org/officeDocument/2006/relationships" ref="E357" r:id="rId353"/>
    <hyperlink xmlns:r="http://schemas.openxmlformats.org/officeDocument/2006/relationships" ref="E358" r:id="rId354"/>
    <hyperlink xmlns:r="http://schemas.openxmlformats.org/officeDocument/2006/relationships" ref="E359" r:id="rId355"/>
    <hyperlink xmlns:r="http://schemas.openxmlformats.org/officeDocument/2006/relationships" ref="E360" r:id="rId3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뽀오뇨</dc:creator>
  <dcterms:created xmlns:dcterms="http://purl.org/dc/terms/" xmlns:xsi="http://www.w3.org/2001/XMLSchema-instance" xsi:type="dcterms:W3CDTF">2026-04-14T14:46:35Z</dcterms:created>
  <dcterms:modified xmlns:dcterms="http://purl.org/dc/terms/" xmlns:xsi="http://www.w3.org/2001/XMLSchema-instance" xsi:type="dcterms:W3CDTF">2026-05-07T00:53:34Z</dcterms:modified>
  <cp:lastModifiedBy>HANNA HONG</cp:lastModifiedBy>
</cp:coreProperties>
</file>
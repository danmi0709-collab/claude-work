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1520" yWindow="1520" windowWidth="14400" windowHeight="7270" tabRatio="600" firstSheet="1" activeTab="1" autoFilterDateGrouping="1"/>
  </bookViews>
  <sheets>
    <sheet name="임장지" sheetId="1" state="visible" r:id="rId1"/>
    <sheet name="대전동구" sheetId="2" state="visible" r:id="rId2"/>
    <sheet name="천안동남구" sheetId="3" state="visible" r:id="rId3"/>
    <sheet name="부산 남구" sheetId="4" state="visible" r:id="rId4"/>
    <sheet name="부산수영구" sheetId="5" state="visible" r:id="rId5"/>
    <sheet name="창원성산구" sheetId="6" state="visible" r:id="rId6"/>
  </sheets>
  <definedNames>
    <definedName name="_xlnm._FilterDatabase" localSheetId="1" hidden="1">'대전동구'!$A$4:$AV$4</definedName>
    <definedName name="_xlnm._FilterDatabase" localSheetId="2" hidden="1">'천안동남구'!$A$4:$AY$4</definedName>
    <definedName name="_xlnm._FilterDatabase" localSheetId="3" hidden="1">'부산 남구'!$A$4:$AY$4</definedName>
    <definedName name="_xlnm._FilterDatabase" localSheetId="4" hidden="1">'부산수영구'!$A$4:$AR$4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_-* #,##0_-;\-* #,##0_-;_-* &quot;-&quot;_-;_-@_-"/>
  </numFmts>
  <fonts count="28">
    <font>
      <name val="이사만루체 Light"/>
      <charset val="129"/>
      <family val="2"/>
      <color theme="1"/>
      <sz val="11"/>
    </font>
    <font>
      <name val="이사만루체 Light"/>
      <charset val="129"/>
      <family val="2"/>
      <color theme="1"/>
      <sz val="11"/>
    </font>
    <font>
      <name val="이사만루체 Light"/>
      <charset val="129"/>
      <family val="2"/>
      <sz val="8"/>
    </font>
    <font>
      <name val="이사만루체 Light"/>
      <charset val="129"/>
      <family val="2"/>
      <color rgb="FF0070C0"/>
      <sz val="11"/>
    </font>
    <font>
      <name val="이사만루체 Light"/>
      <charset val="129"/>
      <family val="3"/>
      <color rgb="FFFF0000"/>
      <sz val="11"/>
    </font>
    <font>
      <name val="이사만루체 Light"/>
      <charset val="129"/>
      <family val="3"/>
      <color rgb="FF0000FF"/>
      <sz val="11"/>
    </font>
    <font>
      <name val="이사만루체 Light"/>
      <charset val="129"/>
      <family val="3"/>
      <color theme="1"/>
      <sz val="11"/>
    </font>
    <font>
      <name val="Pretendard"/>
      <family val="2"/>
      <b val="1"/>
      <color rgb="FF091227"/>
      <sz val="16"/>
    </font>
    <font>
      <name val="맑은 고딕"/>
      <charset val="129"/>
      <family val="2"/>
      <color theme="1"/>
      <sz val="11"/>
    </font>
    <font>
      <name val="굴림"/>
      <charset val="129"/>
      <family val="2"/>
      <color theme="1"/>
      <sz val="11"/>
    </font>
    <font>
      <name val="이사만루체 Light"/>
      <charset val="129"/>
      <family val="2"/>
      <color theme="0"/>
      <sz val="11"/>
    </font>
    <font>
      <name val="굴림"/>
      <charset val="129"/>
      <family val="2"/>
      <color theme="0"/>
      <sz val="11"/>
    </font>
    <font>
      <name val="이사만루체 Light"/>
      <charset val="129"/>
      <family val="3"/>
      <color theme="0"/>
      <sz val="11"/>
    </font>
    <font>
      <name val="맑은 고딕"/>
      <family val="2"/>
      <color theme="1"/>
      <sz val="11"/>
      <scheme val="minor"/>
    </font>
    <font>
      <name val="이사만루체 Light"/>
      <charset val="129"/>
      <family val="2"/>
      <sz val="11"/>
    </font>
    <font>
      <name val="이사만루체 Light"/>
      <charset val="129"/>
      <family val="3"/>
      <sz val="11"/>
    </font>
    <font>
      <name val="Arial"/>
      <family val="2"/>
      <color theme="1"/>
      <sz val="12"/>
    </font>
    <font>
      <name val="이사만루체 Light"/>
      <charset val="129"/>
      <family val="2"/>
      <sz val="10"/>
    </font>
    <font>
      <name val="이사만루체 Light"/>
      <charset val="129"/>
      <family val="2"/>
      <color theme="1"/>
      <sz val="10"/>
    </font>
    <font>
      <name val="Arial"/>
      <family val="2"/>
      <color theme="1"/>
      <sz val="10"/>
    </font>
    <font>
      <name val="Malgun Gothic"/>
      <charset val="129"/>
      <family val="2"/>
      <color theme="1"/>
      <sz val="11"/>
    </font>
    <font>
      <name val="이사만루체 Light"/>
      <charset val="129"/>
      <family val="2"/>
      <color theme="10"/>
      <sz val="11"/>
      <u val="single"/>
    </font>
    <font>
      <name val="이사만루체 Light"/>
      <charset val="129"/>
      <family val="3"/>
      <color rgb="FF0563C1"/>
      <sz val="11"/>
      <u val="single"/>
    </font>
    <font>
      <name val="맑은 고딕"/>
      <charset val="129"/>
      <family val="2"/>
      <sz val="11"/>
    </font>
    <font>
      <name val="이사만루체 Light"/>
      <charset val="129"/>
      <family val="3"/>
      <color rgb="FF0563C1"/>
      <sz val="11"/>
      <u val="single"/>
    </font>
    <font>
      <name val="이사만루체 Light"/>
      <charset val="129"/>
      <family val="3"/>
      <color rgb="FF0563C1"/>
      <sz val="11"/>
      <u val="single"/>
    </font>
    <font>
      <name val="Arial"/>
      <family val="2"/>
      <color rgb="FF0563C1"/>
      <sz val="12"/>
      <u val="single"/>
    </font>
    <font>
      <color rgb="000563C1"/>
      <u val="single"/>
    </font>
  </fonts>
  <fills count="13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00D9D9D9"/>
        <bgColor rgb="00D9D9D9"/>
      </patternFill>
    </fill>
  </fills>
  <borders count="52">
    <border>
      <left/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2"/>
      </left>
      <right style="thin">
        <color theme="2"/>
      </right>
      <top style="thin">
        <color theme="2"/>
      </top>
      <bottom style="thin">
        <color theme="2"/>
      </bottom>
      <diagonal/>
    </border>
    <border>
      <left/>
      <right/>
      <top style="thin">
        <color theme="2"/>
      </top>
      <bottom/>
      <diagonal/>
    </border>
    <border>
      <left/>
      <right style="thin">
        <color theme="2"/>
      </right>
      <top style="thin">
        <color theme="2"/>
      </top>
      <bottom/>
      <diagonal/>
    </border>
    <border>
      <left style="thin">
        <color theme="2"/>
      </left>
      <right/>
      <top/>
      <bottom/>
      <diagonal/>
    </border>
    <border>
      <left/>
      <right style="thin">
        <color theme="2"/>
      </right>
      <top/>
      <bottom/>
      <diagonal/>
    </border>
    <border>
      <left style="thin">
        <color theme="2"/>
      </left>
      <right/>
      <top/>
      <bottom style="thin">
        <color theme="2"/>
      </bottom>
      <diagonal/>
    </border>
    <border>
      <left/>
      <right style="thin">
        <color indexed="64"/>
      </right>
      <top/>
      <bottom style="thin">
        <color theme="2"/>
      </bottom>
      <diagonal/>
    </border>
    <border>
      <left/>
      <right/>
      <top/>
      <bottom style="thin">
        <color theme="2"/>
      </bottom>
      <diagonal/>
    </border>
    <border>
      <left style="thin">
        <color indexed="64"/>
      </left>
      <right/>
      <top/>
      <bottom style="thin">
        <color theme="2"/>
      </bottom>
      <diagonal/>
    </border>
    <border>
      <left/>
      <right style="thin">
        <color theme="2"/>
      </right>
      <top/>
      <bottom style="thin">
        <color theme="2"/>
      </bottom>
      <diagonal/>
    </border>
    <border>
      <left style="thin">
        <color indexed="64"/>
      </left>
      <right style="thin">
        <color indexed="64"/>
      </right>
      <top style="thin">
        <color theme="2"/>
      </top>
      <bottom style="thin">
        <color theme="2"/>
      </bottom>
      <diagonal/>
    </border>
    <border>
      <left style="thin">
        <color indexed="64"/>
      </left>
      <right style="thin">
        <color theme="2"/>
      </right>
      <top style="thin">
        <color theme="2"/>
      </top>
      <bottom style="thin">
        <color theme="2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theme="2"/>
      </top>
      <bottom style="thin">
        <color theme="2"/>
      </bottom>
      <diagonal/>
    </border>
    <border>
      <left style="thin">
        <color indexed="64"/>
      </left>
      <right style="thin">
        <color indexed="64"/>
      </right>
      <top style="thin">
        <color theme="2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5">
    <xf numFmtId="0" fontId="1" fillId="0" borderId="0" applyAlignment="1">
      <alignment vertical="center"/>
    </xf>
    <xf numFmtId="41" fontId="1" fillId="0" borderId="0" applyAlignment="1">
      <alignment vertical="center"/>
    </xf>
    <xf numFmtId="9" fontId="1" fillId="0" borderId="0" applyAlignment="1">
      <alignment vertical="center"/>
    </xf>
    <xf numFmtId="0" fontId="13" fillId="0" borderId="0"/>
    <xf numFmtId="0" fontId="21" fillId="0" borderId="0" applyAlignment="1">
      <alignment vertical="center"/>
    </xf>
  </cellStyleXfs>
  <cellXfs count="533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 indent="1"/>
    </xf>
    <xf numFmtId="0" fontId="0" fillId="0" borderId="3" applyAlignment="1" pivotButton="0" quotePrefix="0" xfId="0">
      <alignment horizontal="right" vertical="center"/>
    </xf>
    <xf numFmtId="0" fontId="0" fillId="0" borderId="4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3" fillId="0" borderId="6" applyAlignment="1" pivotButton="0" quotePrefix="0" xfId="0">
      <alignment horizontal="center" vertical="center"/>
    </xf>
    <xf numFmtId="9" fontId="3" fillId="0" borderId="6" applyAlignment="1" pivotButton="0" quotePrefix="0" xfId="2">
      <alignment horizontal="center" vertical="center"/>
    </xf>
    <xf numFmtId="9" fontId="3" fillId="0" borderId="5" applyAlignment="1" pivotButton="0" quotePrefix="0" xfId="2">
      <alignment horizontal="center" vertical="center"/>
    </xf>
    <xf numFmtId="0" fontId="0" fillId="0" borderId="3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3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0" fillId="5" borderId="0" applyAlignment="1" pivotButton="0" quotePrefix="0" xfId="0">
      <alignment horizontal="center" vertical="center"/>
    </xf>
    <xf numFmtId="0" fontId="10" fillId="6" borderId="0" applyAlignment="1" pivotButton="0" quotePrefix="0" xfId="0">
      <alignment horizontal="center" vertical="center"/>
    </xf>
    <xf numFmtId="0" fontId="11" fillId="6" borderId="0" applyAlignment="1" pivotButton="0" quotePrefix="0" xfId="0">
      <alignment horizontal="center" vertical="center"/>
    </xf>
    <xf numFmtId="0" fontId="9" fillId="5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9" fontId="3" fillId="0" borderId="0" applyAlignment="1" pivotButton="0" quotePrefix="0" xfId="2">
      <alignment horizontal="center" vertical="center"/>
    </xf>
    <xf numFmtId="9" fontId="3" fillId="0" borderId="7" applyAlignment="1" pivotButton="0" quotePrefix="0" xfId="2">
      <alignment horizontal="center" vertical="center"/>
    </xf>
    <xf numFmtId="9" fontId="0" fillId="0" borderId="12" applyAlignment="1" pivotButton="0" quotePrefix="0" xfId="2">
      <alignment vertical="center"/>
    </xf>
    <xf numFmtId="9" fontId="0" fillId="0" borderId="13" applyAlignment="1" pivotButton="0" quotePrefix="0" xfId="2">
      <alignment vertical="center"/>
    </xf>
    <xf numFmtId="9" fontId="0" fillId="0" borderId="15" applyAlignment="1" pivotButton="0" quotePrefix="0" xfId="2">
      <alignment vertical="center"/>
    </xf>
    <xf numFmtId="0" fontId="0" fillId="0" borderId="18" applyAlignment="1" pivotButton="0" quotePrefix="0" xfId="0">
      <alignment horizontal="center" vertical="center"/>
    </xf>
    <xf numFmtId="0" fontId="0" fillId="0" borderId="18" applyAlignment="1" pivotButton="0" quotePrefix="0" xfId="0">
      <alignment vertical="center"/>
    </xf>
    <xf numFmtId="0" fontId="0" fillId="0" borderId="19" applyAlignment="1" pivotButton="0" quotePrefix="0" xfId="0">
      <alignment vertical="center"/>
    </xf>
    <xf numFmtId="0" fontId="0" fillId="0" borderId="12" applyAlignment="1" pivotButton="0" quotePrefix="0" xfId="0">
      <alignment vertical="center"/>
    </xf>
    <xf numFmtId="0" fontId="6" fillId="5" borderId="21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6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center" vertical="center"/>
    </xf>
    <xf numFmtId="9" fontId="0" fillId="0" borderId="21" applyAlignment="1" pivotButton="0" quotePrefix="0" xfId="2">
      <alignment vertical="center"/>
    </xf>
    <xf numFmtId="3" fontId="0" fillId="0" borderId="22" applyAlignment="1" pivotButton="0" quotePrefix="0" xfId="2">
      <alignment vertical="center"/>
    </xf>
    <xf numFmtId="0" fontId="16" fillId="0" borderId="23" applyAlignment="1" pivotButton="0" quotePrefix="0" xfId="0">
      <alignment horizontal="center" vertical="center" wrapText="1"/>
    </xf>
    <xf numFmtId="0" fontId="16" fillId="0" borderId="8" applyAlignment="1" pivotButton="0" quotePrefix="0" xfId="0">
      <alignment horizontal="center" vertical="center" wrapText="1"/>
    </xf>
    <xf numFmtId="0" fontId="16" fillId="0" borderId="24" applyAlignment="1" pivotButton="0" quotePrefix="0" xfId="0">
      <alignment horizontal="center" vertical="center" wrapText="1"/>
    </xf>
    <xf numFmtId="0" fontId="16" fillId="0" borderId="25" applyAlignment="1" pivotButton="0" quotePrefix="0" xfId="0">
      <alignment horizontal="center" vertical="center" wrapText="1"/>
    </xf>
    <xf numFmtId="0" fontId="16" fillId="0" borderId="9" applyAlignment="1" pivotButton="0" quotePrefix="0" xfId="0">
      <alignment horizontal="center" vertical="center" wrapText="1"/>
    </xf>
    <xf numFmtId="0" fontId="16" fillId="8" borderId="27" applyAlignment="1" pivotButton="0" quotePrefix="0" xfId="0">
      <alignment horizontal="center" vertical="center" wrapText="1"/>
    </xf>
    <xf numFmtId="0" fontId="16" fillId="8" borderId="23" applyAlignment="1" pivotButton="0" quotePrefix="0" xfId="0">
      <alignment horizontal="center" vertical="center" wrapText="1"/>
    </xf>
    <xf numFmtId="0" fontId="16" fillId="8" borderId="8" applyAlignment="1" pivotButton="0" quotePrefix="0" xfId="0">
      <alignment horizontal="center" vertical="center" wrapText="1"/>
    </xf>
    <xf numFmtId="0" fontId="16" fillId="0" borderId="27" applyAlignment="1" pivotButton="0" quotePrefix="0" xfId="0">
      <alignment horizontal="center" vertical="center" wrapText="1"/>
    </xf>
    <xf numFmtId="0" fontId="16" fillId="0" borderId="28" applyAlignment="1" pivotButton="0" quotePrefix="0" xfId="0">
      <alignment horizontal="center" vertical="center" wrapText="1"/>
    </xf>
    <xf numFmtId="0" fontId="16" fillId="0" borderId="10" applyAlignment="1" pivotButton="0" quotePrefix="0" xfId="0">
      <alignment horizontal="center" vertical="center" wrapText="1"/>
    </xf>
    <xf numFmtId="0" fontId="16" fillId="0" borderId="30" applyAlignment="1" pivotButton="0" quotePrefix="0" xfId="0">
      <alignment horizontal="center" vertical="center" wrapText="1"/>
    </xf>
    <xf numFmtId="0" fontId="16" fillId="0" borderId="29" applyAlignment="1" pivotButton="0" quotePrefix="0" xfId="0">
      <alignment horizontal="center" vertical="center" wrapText="1"/>
    </xf>
    <xf numFmtId="0" fontId="16" fillId="0" borderId="23" applyAlignment="1" pivotButton="0" quotePrefix="0" xfId="0">
      <alignment vertical="center" wrapText="1"/>
    </xf>
    <xf numFmtId="0" fontId="16" fillId="0" borderId="8" applyAlignment="1" pivotButton="0" quotePrefix="0" xfId="0">
      <alignment vertical="center" wrapText="1"/>
    </xf>
    <xf numFmtId="0" fontId="16" fillId="0" borderId="33" applyAlignment="1" pivotButton="0" quotePrefix="0" xfId="0">
      <alignment horizontal="center" vertical="center" wrapText="1"/>
    </xf>
    <xf numFmtId="0" fontId="16" fillId="0" borderId="34" applyAlignment="1" pivotButton="0" quotePrefix="0" xfId="0">
      <alignment horizontal="center" vertical="center" wrapText="1"/>
    </xf>
    <xf numFmtId="0" fontId="18" fillId="7" borderId="0" applyAlignment="1" pivotButton="0" quotePrefix="0" xfId="0">
      <alignment horizontal="center" vertical="center"/>
    </xf>
    <xf numFmtId="0" fontId="19" fillId="0" borderId="23" applyAlignment="1" pivotButton="0" quotePrefix="0" xfId="0">
      <alignment horizontal="center" vertical="center" wrapText="1"/>
    </xf>
    <xf numFmtId="0" fontId="19" fillId="0" borderId="8" applyAlignment="1" pivotButton="0" quotePrefix="0" xfId="0">
      <alignment horizontal="center" vertical="center" wrapText="1"/>
    </xf>
    <xf numFmtId="0" fontId="19" fillId="0" borderId="24" applyAlignment="1" pivotButton="0" quotePrefix="0" xfId="0">
      <alignment horizontal="center" vertical="center" wrapText="1"/>
    </xf>
    <xf numFmtId="0" fontId="19" fillId="0" borderId="25" applyAlignment="1" pivotButton="0" quotePrefix="0" xfId="0">
      <alignment horizontal="center" vertical="center" wrapText="1"/>
    </xf>
    <xf numFmtId="0" fontId="19" fillId="0" borderId="9" applyAlignment="1" pivotButton="0" quotePrefix="0" xfId="0">
      <alignment horizontal="center" vertical="center" wrapText="1"/>
    </xf>
    <xf numFmtId="0" fontId="19" fillId="8" borderId="8" applyAlignment="1" pivotButton="0" quotePrefix="0" xfId="0">
      <alignment horizontal="center" vertical="center" wrapText="1"/>
    </xf>
    <xf numFmtId="0" fontId="19" fillId="8" borderId="23" applyAlignment="1" pivotButton="0" quotePrefix="0" xfId="0">
      <alignment horizontal="center" vertical="center" wrapText="1"/>
    </xf>
    <xf numFmtId="0" fontId="4" fillId="0" borderId="14" applyAlignment="1" pivotButton="0" quotePrefix="0" xfId="0">
      <alignment horizontal="center" vertical="center"/>
    </xf>
    <xf numFmtId="0" fontId="4" fillId="0" borderId="7" applyAlignment="1" pivotButton="0" quotePrefix="0" xfId="0">
      <alignment horizontal="center" vertical="center"/>
    </xf>
    <xf numFmtId="0" fontId="16" fillId="0" borderId="24" applyAlignment="1" pivotButton="0" quotePrefix="0" xfId="0">
      <alignment vertical="center" wrapText="1"/>
    </xf>
    <xf numFmtId="0" fontId="20" fillId="7" borderId="0" applyAlignment="1" pivotButton="0" quotePrefix="0" xfId="0">
      <alignment horizontal="center" vertical="center"/>
    </xf>
    <xf numFmtId="0" fontId="0" fillId="0" borderId="42" applyAlignment="1" pivotButton="0" quotePrefix="0" xfId="0">
      <alignment horizontal="center" vertical="center"/>
    </xf>
    <xf numFmtId="0" fontId="6" fillId="0" borderId="42" applyAlignment="1" pivotButton="0" quotePrefix="0" xfId="0">
      <alignment horizontal="center" vertical="center"/>
    </xf>
    <xf numFmtId="9" fontId="15" fillId="7" borderId="43" applyAlignment="1" pivotButton="0" quotePrefix="0" xfId="2">
      <alignment horizontal="center" vertical="center"/>
    </xf>
    <xf numFmtId="0" fontId="0" fillId="2" borderId="2" applyAlignment="1" pivotButton="0" quotePrefix="0" xfId="0">
      <alignment horizontal="center" vertical="center"/>
    </xf>
    <xf numFmtId="0" fontId="0" fillId="3" borderId="2" applyAlignment="1" pivotButton="0" quotePrefix="0" xfId="0">
      <alignment vertical="center"/>
    </xf>
    <xf numFmtId="0" fontId="0" fillId="10" borderId="3" applyAlignment="1" pivotButton="0" quotePrefix="0" xfId="0">
      <alignment horizontal="center" vertical="center"/>
    </xf>
    <xf numFmtId="0" fontId="0" fillId="10" borderId="7" applyAlignment="1" pivotButton="0" quotePrefix="0" xfId="0">
      <alignment horizontal="center" vertical="center"/>
    </xf>
    <xf numFmtId="0" fontId="0" fillId="10" borderId="42" applyAlignment="1" pivotButton="0" quotePrefix="0" xfId="0">
      <alignment horizontal="center" vertical="center"/>
    </xf>
    <xf numFmtId="0" fontId="0" fillId="10" borderId="21" applyAlignment="1" pivotButton="0" quotePrefix="0" xfId="0">
      <alignment horizontal="center" vertical="center"/>
    </xf>
    <xf numFmtId="9" fontId="0" fillId="10" borderId="21" applyAlignment="1" pivotButton="0" quotePrefix="0" xfId="2">
      <alignment vertical="center"/>
    </xf>
    <xf numFmtId="3" fontId="0" fillId="10" borderId="22" applyAlignment="1" pivotButton="0" quotePrefix="0" xfId="2">
      <alignment vertical="center"/>
    </xf>
    <xf numFmtId="9" fontId="0" fillId="10" borderId="15" applyAlignment="1" pivotButton="0" quotePrefix="0" xfId="2">
      <alignment vertical="center"/>
    </xf>
    <xf numFmtId="0" fontId="0" fillId="10" borderId="0" applyAlignment="1" pivotButton="0" quotePrefix="0" xfId="0">
      <alignment horizontal="left" vertical="center" indent="1"/>
    </xf>
    <xf numFmtId="0" fontId="5" fillId="10" borderId="0" applyAlignment="1" pivotButton="0" quotePrefix="0" xfId="0">
      <alignment horizontal="left" vertical="center"/>
    </xf>
    <xf numFmtId="0" fontId="6" fillId="10" borderId="0" applyAlignment="1" pivotButton="0" quotePrefix="0" xfId="0">
      <alignment horizontal="left" vertical="center"/>
    </xf>
    <xf numFmtId="0" fontId="7" fillId="10" borderId="0" applyAlignment="1" pivotButton="0" quotePrefix="0" xfId="0">
      <alignment horizontal="left" vertical="center"/>
    </xf>
    <xf numFmtId="0" fontId="7" fillId="10" borderId="0" applyAlignment="1" pivotButton="0" quotePrefix="0" xfId="0">
      <alignment horizontal="left" vertical="center" wrapText="1"/>
    </xf>
    <xf numFmtId="0" fontId="0" fillId="0" borderId="27" applyAlignment="1" pivotButton="0" quotePrefix="0" xfId="0">
      <alignment vertical="center"/>
    </xf>
    <xf numFmtId="0" fontId="16" fillId="0" borderId="0" applyAlignment="1" pivotButton="0" quotePrefix="0" xfId="0">
      <alignment horizontal="center" vertical="center" wrapText="1"/>
    </xf>
    <xf numFmtId="0" fontId="0" fillId="10" borderId="3" pivotButton="0" quotePrefix="0" xfId="0"/>
    <xf numFmtId="0" fontId="0" fillId="10" borderId="7" pivotButton="0" quotePrefix="0" xfId="0"/>
    <xf numFmtId="0" fontId="0" fillId="0" borderId="7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 wrapText="1"/>
    </xf>
    <xf numFmtId="0" fontId="0" fillId="0" borderId="25" applyAlignment="1" pivotButton="0" quotePrefix="0" xfId="0">
      <alignment vertical="center"/>
    </xf>
    <xf numFmtId="0" fontId="0" fillId="0" borderId="21" applyAlignment="1" pivotButton="0" quotePrefix="0" xfId="0">
      <alignment vertical="center"/>
    </xf>
    <xf numFmtId="0" fontId="12" fillId="6" borderId="0" applyAlignment="1" pivotButton="0" quotePrefix="0" xfId="0">
      <alignment horizontal="center" vertical="center"/>
    </xf>
    <xf numFmtId="0" fontId="0" fillId="0" borderId="23" applyAlignment="1" pivotButton="0" quotePrefix="0" xfId="0">
      <alignment vertical="center"/>
    </xf>
    <xf numFmtId="0" fontId="0" fillId="10" borderId="8" pivotButton="0" quotePrefix="0" xfId="0"/>
    <xf numFmtId="0" fontId="19" fillId="0" borderId="0" applyAlignment="1" pivotButton="0" quotePrefix="0" xfId="0">
      <alignment horizontal="center" vertical="center" wrapText="1"/>
    </xf>
    <xf numFmtId="0" fontId="0" fillId="10" borderId="42" pivotButton="0" quotePrefix="0" xfId="0"/>
    <xf numFmtId="0" fontId="0" fillId="10" borderId="21" pivotButton="0" quotePrefix="0" xfId="0"/>
    <xf numFmtId="0" fontId="0" fillId="10" borderId="22" pivotButton="0" quotePrefix="0" xfId="0"/>
    <xf numFmtId="0" fontId="0" fillId="10" borderId="15" pivotButton="0" quotePrefix="0" xfId="0"/>
    <xf numFmtId="0" fontId="8" fillId="10" borderId="8" pivotButton="0" quotePrefix="0" xfId="0"/>
    <xf numFmtId="0" fontId="22" fillId="0" borderId="0" pivotButton="0" quotePrefix="0" xfId="4"/>
    <xf numFmtId="0" fontId="14" fillId="7" borderId="8" applyAlignment="1" pivotButton="0" quotePrefix="0" xfId="0">
      <alignment horizontal="center" vertical="center"/>
    </xf>
    <xf numFmtId="0" fontId="0" fillId="10" borderId="23" applyAlignment="1" pivotButton="0" quotePrefix="0" xfId="0">
      <alignment vertical="center"/>
    </xf>
    <xf numFmtId="0" fontId="23" fillId="7" borderId="8" applyAlignment="1" pivotButton="0" quotePrefix="0" xfId="0">
      <alignment horizontal="center" vertical="center"/>
    </xf>
    <xf numFmtId="0" fontId="8" fillId="7" borderId="8" applyAlignment="1" pivotButton="0" quotePrefix="0" xfId="0">
      <alignment horizontal="center" vertical="center"/>
    </xf>
    <xf numFmtId="0" fontId="0" fillId="0" borderId="21" pivotButton="0" quotePrefix="0" xfId="0"/>
    <xf numFmtId="0" fontId="0" fillId="0" borderId="22" pivotButton="0" quotePrefix="0" xfId="0"/>
    <xf numFmtId="0" fontId="0" fillId="10" borderId="3" applyAlignment="1" pivotButton="0" quotePrefix="0" xfId="0">
      <alignment vertical="center"/>
    </xf>
    <xf numFmtId="0" fontId="0" fillId="10" borderId="3" applyAlignment="1" pivotButton="0" quotePrefix="0" xfId="0">
      <alignment horizontal="right" vertical="center"/>
    </xf>
    <xf numFmtId="0" fontId="0" fillId="0" borderId="3" pivotButton="0" quotePrefix="0" xfId="0"/>
    <xf numFmtId="0" fontId="24" fillId="0" borderId="0" pivotButton="0" quotePrefix="0" xfId="0"/>
    <xf numFmtId="0" fontId="25" fillId="0" borderId="0" pivotButton="0" quotePrefix="0" xfId="0"/>
    <xf numFmtId="0" fontId="25" fillId="10" borderId="0" pivotButton="0" quotePrefix="0" xfId="0"/>
    <xf numFmtId="0" fontId="0" fillId="7" borderId="0" applyAlignment="1" pivotButton="0" quotePrefix="0" xfId="0">
      <alignment horizontal="center" vertical="center"/>
    </xf>
    <xf numFmtId="0" fontId="14" fillId="7" borderId="44" applyAlignment="1" pivotButton="0" quotePrefix="0" xfId="0">
      <alignment horizontal="center" vertical="center"/>
    </xf>
    <xf numFmtId="0" fontId="14" fillId="7" borderId="45" applyAlignment="1" pivotButton="0" quotePrefix="0" xfId="0">
      <alignment horizontal="center" vertical="center"/>
    </xf>
    <xf numFmtId="0" fontId="14" fillId="7" borderId="46" applyAlignment="1" pivotButton="0" quotePrefix="0" xfId="0">
      <alignment horizontal="center" vertical="center"/>
    </xf>
    <xf numFmtId="0" fontId="14" fillId="7" borderId="47" applyAlignment="1" pivotButton="0" quotePrefix="0" xfId="0">
      <alignment horizontal="center" vertical="center"/>
    </xf>
    <xf numFmtId="0" fontId="14" fillId="7" borderId="48" applyAlignment="1" pivotButton="0" quotePrefix="0" xfId="0">
      <alignment horizontal="center" vertical="center"/>
    </xf>
    <xf numFmtId="9" fontId="8" fillId="0" borderId="12" applyAlignment="1" pivotButton="0" quotePrefix="0" xfId="2">
      <alignment vertical="center"/>
    </xf>
    <xf numFmtId="0" fontId="0" fillId="10" borderId="27" applyAlignment="1" pivotButton="0" quotePrefix="0" xfId="0">
      <alignment vertical="center"/>
    </xf>
    <xf numFmtId="0" fontId="22" fillId="10" borderId="11" pivotButton="0" quotePrefix="0" xfId="0"/>
    <xf numFmtId="0" fontId="0" fillId="10" borderId="25" applyAlignment="1" pivotButton="0" quotePrefix="0" xfId="0">
      <alignment vertical="center"/>
    </xf>
    <xf numFmtId="0" fontId="0" fillId="10" borderId="21" applyAlignment="1" pivotButton="0" quotePrefix="0" xfId="0">
      <alignment vertical="center"/>
    </xf>
    <xf numFmtId="0" fontId="0" fillId="10" borderId="23" pivotButton="0" quotePrefix="0" xfId="0"/>
    <xf numFmtId="0" fontId="0" fillId="0" borderId="22" applyAlignment="1" pivotButton="0" quotePrefix="0" xfId="0">
      <alignment vertical="center"/>
    </xf>
    <xf numFmtId="0" fontId="0" fillId="10" borderId="12" pivotButton="0" quotePrefix="0" xfId="0"/>
    <xf numFmtId="0" fontId="0" fillId="0" borderId="15" applyAlignment="1" pivotButton="0" quotePrefix="0" xfId="0">
      <alignment vertical="center"/>
    </xf>
    <xf numFmtId="0" fontId="0" fillId="10" borderId="13" pivotButton="0" quotePrefix="0" xfId="0"/>
    <xf numFmtId="0" fontId="0" fillId="10" borderId="0" applyAlignment="1" pivotButton="0" quotePrefix="0" xfId="0">
      <alignment vertical="center"/>
    </xf>
    <xf numFmtId="0" fontId="0" fillId="10" borderId="0" pivotButton="0" quotePrefix="0" xfId="0"/>
    <xf numFmtId="0" fontId="0" fillId="10" borderId="0" applyAlignment="1" pivotButton="0" quotePrefix="0" xfId="0">
      <alignment horizontal="center" vertical="center"/>
    </xf>
    <xf numFmtId="0" fontId="22" fillId="10" borderId="0" pivotButton="0" quotePrefix="0" xfId="0"/>
    <xf numFmtId="0" fontId="14" fillId="7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8" fillId="10" borderId="0" pivotButton="0" quotePrefix="0" xfId="0"/>
    <xf numFmtId="0" fontId="0" fillId="0" borderId="0" pivotButton="0" quotePrefix="0" xfId="0"/>
    <xf numFmtId="9" fontId="0" fillId="0" borderId="0" applyAlignment="1" pivotButton="0" quotePrefix="0" xfId="2">
      <alignment vertical="center"/>
    </xf>
    <xf numFmtId="0" fontId="0" fillId="10" borderId="0" applyAlignment="1" pivotButton="0" quotePrefix="0" xfId="0">
      <alignment horizontal="right" vertical="center"/>
    </xf>
    <xf numFmtId="0" fontId="0" fillId="10" borderId="25" pivotButton="0" quotePrefix="0" xfId="0"/>
    <xf numFmtId="0" fontId="0" fillId="10" borderId="38" pivotButton="0" quotePrefix="0" xfId="0"/>
    <xf numFmtId="0" fontId="6" fillId="10" borderId="0" applyAlignment="1" pivotButton="0" quotePrefix="0" xfId="0">
      <alignment horizontal="center" vertical="center"/>
    </xf>
    <xf numFmtId="9" fontId="0" fillId="10" borderId="0" applyAlignment="1" pivotButton="0" quotePrefix="0" xfId="2">
      <alignment vertical="center"/>
    </xf>
    <xf numFmtId="3" fontId="0" fillId="10" borderId="0" applyAlignment="1" pivotButton="0" quotePrefix="0" xfId="2">
      <alignment vertical="center"/>
    </xf>
    <xf numFmtId="3" fontId="0" fillId="0" borderId="0" applyAlignment="1" pivotButton="0" quotePrefix="0" xfId="2">
      <alignment vertical="center"/>
    </xf>
    <xf numFmtId="0" fontId="22" fillId="0" borderId="11" pivotButton="0" quotePrefix="0" xfId="0"/>
    <xf numFmtId="9" fontId="1" fillId="0" borderId="0" applyAlignment="1" pivotButton="0" quotePrefix="0" xfId="2">
      <alignment vertical="center"/>
    </xf>
    <xf numFmtId="0" fontId="22" fillId="0" borderId="0" pivotButton="0" quotePrefix="0" xfId="0"/>
    <xf numFmtId="0" fontId="17" fillId="7" borderId="25" applyAlignment="1" pivotButton="0" quotePrefix="0" xfId="0">
      <alignment horizontal="center" vertical="center"/>
    </xf>
    <xf numFmtId="0" fontId="14" fillId="7" borderId="25" applyAlignment="1" pivotButton="0" quotePrefix="0" xfId="0">
      <alignment horizontal="center" vertical="center"/>
    </xf>
    <xf numFmtId="0" fontId="0" fillId="0" borderId="12" pivotButton="0" quotePrefix="0" xfId="0"/>
    <xf numFmtId="0" fontId="24" fillId="10" borderId="0" pivotButton="0" quotePrefix="0" xfId="0"/>
    <xf numFmtId="0" fontId="17" fillId="7" borderId="0" applyAlignment="1" pivotButton="0" quotePrefix="0" xfId="0">
      <alignment horizontal="center" vertical="center"/>
    </xf>
    <xf numFmtId="0" fontId="14" fillId="7" borderId="0" applyAlignment="1" pivotButton="0" quotePrefix="0" xfId="0">
      <alignment horizontal="right" vertical="center"/>
    </xf>
    <xf numFmtId="0" fontId="0" fillId="0" borderId="2" applyAlignment="1" pivotButton="0" quotePrefix="0" xfId="0">
      <alignment horizontal="right"/>
    </xf>
    <xf numFmtId="0" fontId="0" fillId="7" borderId="0" applyAlignment="1" pivotButton="0" quotePrefix="0" xfId="0">
      <alignment horizontal="right" vertical="center"/>
    </xf>
    <xf numFmtId="0" fontId="0" fillId="10" borderId="25" applyAlignment="1" pivotButton="0" quotePrefix="0" xfId="0">
      <alignment horizontal="right"/>
    </xf>
    <xf numFmtId="0" fontId="0" fillId="10" borderId="0" applyAlignment="1" pivotButton="0" quotePrefix="0" xfId="0">
      <alignment horizontal="right"/>
    </xf>
    <xf numFmtId="0" fontId="8" fillId="10" borderId="23" applyAlignment="1" pivotButton="0" quotePrefix="0" xfId="0">
      <alignment vertical="center"/>
    </xf>
    <xf numFmtId="9" fontId="0" fillId="0" borderId="20" applyAlignment="1" pivotButton="0" quotePrefix="0" xfId="2">
      <alignment vertical="center"/>
    </xf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16" fillId="0" borderId="31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6" fillId="0" borderId="18" applyAlignment="1" pivotButton="0" quotePrefix="0" xfId="0">
      <alignment horizontal="center" vertical="center"/>
    </xf>
    <xf numFmtId="0" fontId="0" fillId="0" borderId="0" applyAlignment="1" pivotButton="0" quotePrefix="0" xfId="0">
      <alignment horizontal="right" vertical="center"/>
    </xf>
    <xf numFmtId="164" fontId="0" fillId="0" borderId="0" applyAlignment="1" pivotButton="0" quotePrefix="0" xfId="1">
      <alignment vertical="center"/>
    </xf>
    <xf numFmtId="0" fontId="1" fillId="0" borderId="8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9" fontId="1" fillId="0" borderId="0" applyAlignment="1" pivotButton="0" quotePrefix="0" xfId="0">
      <alignment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center" vertical="center"/>
    </xf>
    <xf numFmtId="0" fontId="1" fillId="0" borderId="3" applyAlignment="1" pivotButton="0" quotePrefix="0" xfId="0">
      <alignment horizontal="center" vertical="center"/>
    </xf>
    <xf numFmtId="0" fontId="1" fillId="0" borderId="7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/>
    </xf>
    <xf numFmtId="164" fontId="16" fillId="0" borderId="23" applyAlignment="1" pivotButton="0" quotePrefix="0" xfId="1">
      <alignment horizontal="center" vertical="center" wrapText="1"/>
    </xf>
    <xf numFmtId="164" fontId="16" fillId="0" borderId="23" applyAlignment="1" pivotButton="0" quotePrefix="0" xfId="1">
      <alignment vertical="center" wrapText="1"/>
    </xf>
    <xf numFmtId="164" fontId="15" fillId="7" borderId="21" applyAlignment="1" pivotButton="0" quotePrefix="0" xfId="0">
      <alignment horizontal="center" vertical="center"/>
    </xf>
    <xf numFmtId="9" fontId="15" fillId="7" borderId="21" applyAlignment="1" pivotButton="0" quotePrefix="0" xfId="2">
      <alignment horizontal="center" vertical="center"/>
    </xf>
    <xf numFmtId="164" fontId="16" fillId="0" borderId="35" applyAlignment="1" pivotButton="0" quotePrefix="0" xfId="1">
      <alignment vertical="center" wrapText="1"/>
    </xf>
    <xf numFmtId="0" fontId="1" fillId="0" borderId="21" applyAlignment="1" pivotButton="0" quotePrefix="0" xfId="0">
      <alignment horizontal="center" vertical="center"/>
    </xf>
    <xf numFmtId="164" fontId="1" fillId="0" borderId="21" applyAlignment="1" pivotButton="0" quotePrefix="0" xfId="1">
      <alignment vertical="center"/>
    </xf>
    <xf numFmtId="9" fontId="1" fillId="0" borderId="21" applyAlignment="1" pivotButton="0" quotePrefix="0" xfId="2">
      <alignment vertical="center"/>
    </xf>
    <xf numFmtId="3" fontId="1" fillId="0" borderId="22" applyAlignment="1" pivotButton="0" quotePrefix="0" xfId="2">
      <alignment vertical="center"/>
    </xf>
    <xf numFmtId="0" fontId="1" fillId="0" borderId="12" applyAlignment="1" pivotButton="0" quotePrefix="0" xfId="0">
      <alignment vertical="center"/>
    </xf>
    <xf numFmtId="9" fontId="1" fillId="0" borderId="12" applyAlignment="1" pivotButton="0" quotePrefix="0" xfId="2">
      <alignment vertical="center"/>
    </xf>
    <xf numFmtId="0" fontId="1" fillId="0" borderId="14" applyAlignment="1" pivotButton="0" quotePrefix="0" xfId="0">
      <alignment horizontal="center" vertical="center"/>
    </xf>
    <xf numFmtId="164" fontId="16" fillId="0" borderId="8" applyAlignment="1" pivotButton="0" quotePrefix="0" xfId="1">
      <alignment horizontal="center" vertical="center" wrapText="1"/>
    </xf>
    <xf numFmtId="164" fontId="16" fillId="0" borderId="8" applyAlignment="1" pivotButton="0" quotePrefix="0" xfId="1">
      <alignment vertical="center" wrapText="1"/>
    </xf>
    <xf numFmtId="164" fontId="16" fillId="0" borderId="36" applyAlignment="1" pivotButton="0" quotePrefix="0" xfId="1">
      <alignment vertical="center" wrapText="1"/>
    </xf>
    <xf numFmtId="0" fontId="1" fillId="0" borderId="0" applyAlignment="1" pivotButton="0" quotePrefix="0" xfId="1">
      <alignment vertical="center"/>
    </xf>
    <xf numFmtId="9" fontId="1" fillId="0" borderId="15" applyAlignment="1" pivotButton="0" quotePrefix="0" xfId="2">
      <alignment vertical="center"/>
    </xf>
    <xf numFmtId="164" fontId="16" fillId="0" borderId="24" applyAlignment="1" pivotButton="0" quotePrefix="0" xfId="1">
      <alignment horizontal="center" vertical="center" wrapText="1"/>
    </xf>
    <xf numFmtId="164" fontId="16" fillId="0" borderId="24" applyAlignment="1" pivotButton="0" quotePrefix="0" xfId="1">
      <alignment vertical="center" wrapText="1"/>
    </xf>
    <xf numFmtId="164" fontId="16" fillId="0" borderId="37" applyAlignment="1" pivotButton="0" quotePrefix="0" xfId="1">
      <alignment vertical="center" wrapText="1"/>
    </xf>
    <xf numFmtId="164" fontId="1" fillId="0" borderId="0" applyAlignment="1" pivotButton="0" quotePrefix="0" xfId="1">
      <alignment vertical="center"/>
    </xf>
    <xf numFmtId="164" fontId="1" fillId="0" borderId="0" applyAlignment="1" pivotButton="0" quotePrefix="0" xfId="0">
      <alignment vertical="center"/>
    </xf>
    <xf numFmtId="164" fontId="16" fillId="0" borderId="25" applyAlignment="1" pivotButton="0" quotePrefix="0" xfId="1">
      <alignment horizontal="center" vertical="center" wrapText="1"/>
    </xf>
    <xf numFmtId="164" fontId="16" fillId="0" borderId="25" applyAlignment="1" pivotButton="0" quotePrefix="0" xfId="1">
      <alignment vertical="center" wrapText="1"/>
    </xf>
    <xf numFmtId="164" fontId="16" fillId="0" borderId="9" applyAlignment="1" pivotButton="0" quotePrefix="0" xfId="1">
      <alignment horizontal="center" vertical="center" wrapText="1"/>
    </xf>
    <xf numFmtId="164" fontId="16" fillId="0" borderId="9" applyAlignment="1" pivotButton="0" quotePrefix="0" xfId="1">
      <alignment vertical="center" wrapText="1"/>
    </xf>
    <xf numFmtId="164" fontId="16" fillId="0" borderId="39" applyAlignment="1" pivotButton="0" quotePrefix="0" xfId="1">
      <alignment vertical="center" wrapText="1"/>
    </xf>
    <xf numFmtId="0" fontId="1" fillId="0" borderId="0" applyAlignment="1" pivotButton="0" quotePrefix="0" xfId="0">
      <alignment horizontal="left" vertical="center" indent="1"/>
    </xf>
    <xf numFmtId="164" fontId="16" fillId="8" borderId="23" applyAlignment="1" pivotButton="0" quotePrefix="0" xfId="1">
      <alignment horizontal="center" vertical="center" wrapText="1"/>
    </xf>
    <xf numFmtId="164" fontId="16" fillId="8" borderId="23" applyAlignment="1" pivotButton="0" quotePrefix="0" xfId="1">
      <alignment vertical="center" wrapText="1"/>
    </xf>
    <xf numFmtId="164" fontId="16" fillId="8" borderId="35" applyAlignment="1" pivotButton="0" quotePrefix="0" xfId="1">
      <alignment vertical="center" wrapText="1"/>
    </xf>
    <xf numFmtId="164" fontId="16" fillId="8" borderId="8" applyAlignment="1" pivotButton="0" quotePrefix="0" xfId="1">
      <alignment horizontal="center" vertical="center" wrapText="1"/>
    </xf>
    <xf numFmtId="164" fontId="16" fillId="8" borderId="8" applyAlignment="1" pivotButton="0" quotePrefix="0" xfId="1">
      <alignment vertical="center" wrapText="1"/>
    </xf>
    <xf numFmtId="164" fontId="16" fillId="8" borderId="36" applyAlignment="1" pivotButton="0" quotePrefix="0" xfId="1">
      <alignment vertical="center" wrapText="1"/>
    </xf>
    <xf numFmtId="0" fontId="1" fillId="0" borderId="16" applyAlignment="1" pivotButton="0" quotePrefix="0" xfId="0">
      <alignment horizontal="center" vertical="center"/>
    </xf>
    <xf numFmtId="0" fontId="1" fillId="0" borderId="17" applyAlignment="1" pivotButton="0" quotePrefix="0" xfId="0">
      <alignment horizontal="center" vertical="center"/>
    </xf>
    <xf numFmtId="0" fontId="1" fillId="0" borderId="18" applyAlignment="1" pivotButton="0" quotePrefix="0" xfId="0">
      <alignment horizontal="center" vertical="center"/>
    </xf>
    <xf numFmtId="9" fontId="1" fillId="0" borderId="18" applyAlignment="1" pivotButton="0" quotePrefix="0" xfId="2">
      <alignment vertical="center"/>
    </xf>
    <xf numFmtId="9" fontId="1" fillId="0" borderId="20" applyAlignment="1" pivotButton="0" quotePrefix="0" xfId="2">
      <alignment vertical="center"/>
    </xf>
    <xf numFmtId="164" fontId="16" fillId="9" borderId="25" applyAlignment="1" pivotButton="0" quotePrefix="0" xfId="1">
      <alignment horizontal="center" vertical="center" wrapText="1"/>
    </xf>
    <xf numFmtId="164" fontId="16" fillId="9" borderId="25" applyAlignment="1" pivotButton="0" quotePrefix="0" xfId="1">
      <alignment vertical="center" wrapText="1"/>
    </xf>
    <xf numFmtId="164" fontId="15" fillId="7" borderId="43" applyAlignment="1" pivotButton="0" quotePrefix="0" xfId="0">
      <alignment horizontal="center" vertical="center"/>
    </xf>
    <xf numFmtId="164" fontId="16" fillId="9" borderId="38" applyAlignment="1" pivotButton="0" quotePrefix="0" xfId="1">
      <alignment vertical="center" wrapText="1"/>
    </xf>
    <xf numFmtId="164" fontId="0" fillId="0" borderId="21" applyAlignment="1" pivotButton="0" quotePrefix="0" xfId="1">
      <alignment vertical="center"/>
    </xf>
    <xf numFmtId="164" fontId="16" fillId="10" borderId="8" applyAlignment="1" pivotButton="0" quotePrefix="0" xfId="1">
      <alignment horizontal="center" vertical="center" wrapText="1"/>
    </xf>
    <xf numFmtId="164" fontId="16" fillId="10" borderId="8" applyAlignment="1" pivotButton="0" quotePrefix="0" xfId="1">
      <alignment vertical="center" wrapText="1"/>
    </xf>
    <xf numFmtId="164" fontId="0" fillId="10" borderId="21" applyAlignment="1" pivotButton="0" quotePrefix="0" xfId="1">
      <alignment vertical="center"/>
    </xf>
    <xf numFmtId="164" fontId="16" fillId="9" borderId="8" applyAlignment="1" pivotButton="0" quotePrefix="0" xfId="1">
      <alignment horizontal="center" vertical="center" wrapText="1"/>
    </xf>
    <xf numFmtId="164" fontId="16" fillId="9" borderId="8" applyAlignment="1" pivotButton="0" quotePrefix="0" xfId="1">
      <alignment vertical="center" wrapText="1"/>
    </xf>
    <xf numFmtId="164" fontId="16" fillId="9" borderId="0" applyAlignment="1" pivotButton="0" quotePrefix="0" xfId="1">
      <alignment horizontal="center" vertical="center" wrapText="1"/>
    </xf>
    <xf numFmtId="164" fontId="16" fillId="9" borderId="0" applyAlignment="1" pivotButton="0" quotePrefix="0" xfId="1">
      <alignment vertical="center" wrapText="1"/>
    </xf>
    <xf numFmtId="164" fontId="0" fillId="10" borderId="0" applyAlignment="1" pivotButton="0" quotePrefix="0" xfId="1">
      <alignment vertical="center"/>
    </xf>
    <xf numFmtId="164" fontId="8" fillId="10" borderId="8" applyAlignment="1" pivotButton="0" quotePrefix="0" xfId="1">
      <alignment vertical="center" wrapText="1"/>
    </xf>
    <xf numFmtId="164" fontId="8" fillId="9" borderId="8" applyAlignment="1" pivotButton="0" quotePrefix="0" xfId="1">
      <alignment vertical="center" wrapText="1"/>
    </xf>
    <xf numFmtId="164" fontId="16" fillId="10" borderId="30" applyAlignment="1" pivotButton="0" quotePrefix="0" xfId="1">
      <alignment horizontal="center" vertical="center" wrapText="1"/>
    </xf>
    <xf numFmtId="164" fontId="8" fillId="10" borderId="30" applyAlignment="1" pivotButton="0" quotePrefix="0" xfId="1">
      <alignment vertical="center" wrapText="1"/>
    </xf>
    <xf numFmtId="164" fontId="16" fillId="10" borderId="30" applyAlignment="1" pivotButton="0" quotePrefix="0" xfId="1">
      <alignment vertical="center" wrapText="1"/>
    </xf>
    <xf numFmtId="164" fontId="16" fillId="10" borderId="41" applyAlignment="1" pivotButton="0" quotePrefix="0" xfId="1">
      <alignment vertical="center" wrapText="1"/>
    </xf>
    <xf numFmtId="164" fontId="16" fillId="10" borderId="36" applyAlignment="1" pivotButton="0" quotePrefix="0" xfId="1">
      <alignment vertical="center" wrapText="1"/>
    </xf>
    <xf numFmtId="164" fontId="16" fillId="9" borderId="24" applyAlignment="1" pivotButton="0" quotePrefix="0" xfId="1">
      <alignment horizontal="center" vertical="center" wrapText="1"/>
    </xf>
    <xf numFmtId="164" fontId="16" fillId="9" borderId="24" applyAlignment="1" pivotButton="0" quotePrefix="0" xfId="1">
      <alignment vertical="center" wrapText="1"/>
    </xf>
    <xf numFmtId="164" fontId="16" fillId="9" borderId="37" applyAlignment="1" pivotButton="0" quotePrefix="0" xfId="1">
      <alignment vertical="center" wrapText="1"/>
    </xf>
    <xf numFmtId="164" fontId="16" fillId="9" borderId="23" applyAlignment="1" pivotButton="0" quotePrefix="0" xfId="1">
      <alignment horizontal="center" vertical="center" wrapText="1"/>
    </xf>
    <xf numFmtId="164" fontId="16" fillId="9" borderId="23" applyAlignment="1" pivotButton="0" quotePrefix="0" xfId="1">
      <alignment vertical="center" wrapText="1"/>
    </xf>
    <xf numFmtId="164" fontId="16" fillId="9" borderId="35" applyAlignment="1" pivotButton="0" quotePrefix="0" xfId="1">
      <alignment vertical="center" wrapText="1"/>
    </xf>
    <xf numFmtId="164" fontId="8" fillId="9" borderId="24" applyAlignment="1" pivotButton="0" quotePrefix="0" xfId="1">
      <alignment vertical="center" wrapText="1"/>
    </xf>
    <xf numFmtId="164" fontId="16" fillId="10" borderId="23" applyAlignment="1" pivotButton="0" quotePrefix="0" xfId="1">
      <alignment vertical="center" wrapText="1"/>
    </xf>
    <xf numFmtId="164" fontId="16" fillId="10" borderId="35" applyAlignment="1" pivotButton="0" quotePrefix="0" xfId="1">
      <alignment vertical="center" wrapText="1"/>
    </xf>
    <xf numFmtId="164" fontId="16" fillId="10" borderId="9" applyAlignment="1" pivotButton="0" quotePrefix="0" xfId="1">
      <alignment horizontal="center" vertical="center" wrapText="1"/>
    </xf>
    <xf numFmtId="164" fontId="8" fillId="10" borderId="9" applyAlignment="1" pivotButton="0" quotePrefix="0" xfId="1">
      <alignment vertical="center" wrapText="1"/>
    </xf>
    <xf numFmtId="164" fontId="16" fillId="10" borderId="9" applyAlignment="1" pivotButton="0" quotePrefix="0" xfId="1">
      <alignment vertical="center" wrapText="1"/>
    </xf>
    <xf numFmtId="164" fontId="16" fillId="10" borderId="39" applyAlignment="1" pivotButton="0" quotePrefix="0" xfId="1">
      <alignment vertical="center" wrapText="1"/>
    </xf>
    <xf numFmtId="164" fontId="16" fillId="10" borderId="23" applyAlignment="1" pivotButton="0" quotePrefix="0" xfId="1">
      <alignment horizontal="center" vertical="center" wrapText="1"/>
    </xf>
    <xf numFmtId="164" fontId="8" fillId="10" borderId="23" applyAlignment="1" pivotButton="0" quotePrefix="0" xfId="1">
      <alignment vertical="center" wrapText="1"/>
    </xf>
    <xf numFmtId="164" fontId="16" fillId="9" borderId="36" applyAlignment="1" pivotButton="0" quotePrefix="0" xfId="1">
      <alignment vertical="center" wrapText="1"/>
    </xf>
    <xf numFmtId="164" fontId="16" fillId="10" borderId="24" applyAlignment="1" pivotButton="0" quotePrefix="0" xfId="1">
      <alignment horizontal="center" vertical="center" wrapText="1"/>
    </xf>
    <xf numFmtId="164" fontId="8" fillId="10" borderId="24" applyAlignment="1" pivotButton="0" quotePrefix="0" xfId="1">
      <alignment vertical="center" wrapText="1"/>
    </xf>
    <xf numFmtId="164" fontId="16" fillId="10" borderId="24" applyAlignment="1" pivotButton="0" quotePrefix="0" xfId="1">
      <alignment vertical="center" wrapText="1"/>
    </xf>
    <xf numFmtId="164" fontId="16" fillId="10" borderId="37" applyAlignment="1" pivotButton="0" quotePrefix="0" xfId="1">
      <alignment vertical="center" wrapText="1"/>
    </xf>
    <xf numFmtId="164" fontId="8" fillId="9" borderId="23" applyAlignment="1" pivotButton="0" quotePrefix="0" xfId="1">
      <alignment vertical="center" wrapText="1"/>
    </xf>
    <xf numFmtId="164" fontId="8" fillId="9" borderId="0" applyAlignment="1" pivotButton="0" quotePrefix="0" xfId="1">
      <alignment vertical="center" wrapText="1"/>
    </xf>
    <xf numFmtId="164" fontId="16" fillId="0" borderId="0" applyAlignment="1" pivotButton="0" quotePrefix="0" xfId="1">
      <alignment horizontal="center" vertical="center" wrapText="1"/>
    </xf>
    <xf numFmtId="164" fontId="8" fillId="0" borderId="0" applyAlignment="1" pivotButton="0" quotePrefix="0" xfId="1">
      <alignment vertical="center" wrapText="1"/>
    </xf>
    <xf numFmtId="164" fontId="16" fillId="0" borderId="0" applyAlignment="1" pivotButton="0" quotePrefix="0" xfId="1">
      <alignment vertical="center" wrapText="1"/>
    </xf>
    <xf numFmtId="164" fontId="16" fillId="10" borderId="0" applyAlignment="1" pivotButton="0" quotePrefix="0" xfId="1">
      <alignment horizontal="center" vertical="center" wrapText="1"/>
    </xf>
    <xf numFmtId="164" fontId="8" fillId="10" borderId="0" applyAlignment="1" pivotButton="0" quotePrefix="0" xfId="1">
      <alignment vertical="center" wrapText="1"/>
    </xf>
    <xf numFmtId="164" fontId="16" fillId="10" borderId="0" applyAlignment="1" pivotButton="0" quotePrefix="0" xfId="1">
      <alignment vertical="center" wrapText="1"/>
    </xf>
    <xf numFmtId="164" fontId="16" fillId="9" borderId="0" applyAlignment="1" pivotButton="0" quotePrefix="0" xfId="1">
      <alignment horizontal="right" vertical="center" wrapText="1"/>
    </xf>
    <xf numFmtId="0" fontId="16" fillId="11" borderId="27" applyAlignment="1" pivotButton="0" quotePrefix="0" xfId="0">
      <alignment horizontal="center" vertical="center" wrapText="1"/>
    </xf>
    <xf numFmtId="0" fontId="1" fillId="11" borderId="8" applyAlignment="1" pivotButton="0" quotePrefix="0" xfId="0">
      <alignment horizontal="center" vertical="center"/>
    </xf>
    <xf numFmtId="0" fontId="6" fillId="11" borderId="21" applyAlignment="1" pivotButton="0" quotePrefix="0" xfId="0">
      <alignment horizontal="center" vertical="center"/>
    </xf>
    <xf numFmtId="0" fontId="16" fillId="11" borderId="25" applyAlignment="1" pivotButton="0" quotePrefix="0" xfId="0">
      <alignment horizontal="center" vertical="center" wrapText="1"/>
    </xf>
    <xf numFmtId="0" fontId="12" fillId="11" borderId="21" applyAlignment="1" pivotButton="0" quotePrefix="0" xfId="0">
      <alignment horizontal="center" vertical="center"/>
    </xf>
    <xf numFmtId="0" fontId="16" fillId="11" borderId="23" applyAlignment="1" pivotButton="0" quotePrefix="0" xfId="0">
      <alignment horizontal="center" vertical="center" wrapText="1"/>
    </xf>
    <xf numFmtId="164" fontId="16" fillId="11" borderId="23" applyAlignment="1" pivotButton="0" quotePrefix="0" xfId="1">
      <alignment horizontal="center" vertical="center" wrapText="1"/>
    </xf>
    <xf numFmtId="164" fontId="16" fillId="11" borderId="23" applyAlignment="1" pivotButton="0" quotePrefix="0" xfId="1">
      <alignment vertical="center" wrapText="1"/>
    </xf>
    <xf numFmtId="164" fontId="15" fillId="11" borderId="21" applyAlignment="1" pivotButton="0" quotePrefix="0" xfId="0">
      <alignment horizontal="center" vertical="center"/>
    </xf>
    <xf numFmtId="9" fontId="15" fillId="11" borderId="21" applyAlignment="1" pivotButton="0" quotePrefix="0" xfId="2">
      <alignment horizontal="center" vertical="center"/>
    </xf>
    <xf numFmtId="164" fontId="16" fillId="11" borderId="35" applyAlignment="1" pivotButton="0" quotePrefix="0" xfId="1">
      <alignment vertical="center" wrapText="1"/>
    </xf>
    <xf numFmtId="0" fontId="19" fillId="11" borderId="23" applyAlignment="1" pivotButton="0" quotePrefix="0" xfId="0">
      <alignment horizontal="center" vertical="center" wrapText="1"/>
    </xf>
    <xf numFmtId="0" fontId="1" fillId="11" borderId="21" applyAlignment="1" pivotButton="0" quotePrefix="0" xfId="0">
      <alignment horizontal="center" vertical="center"/>
    </xf>
    <xf numFmtId="164" fontId="1" fillId="11" borderId="21" applyAlignment="1" pivotButton="0" quotePrefix="0" xfId="1">
      <alignment vertical="center"/>
    </xf>
    <xf numFmtId="9" fontId="1" fillId="11" borderId="21" applyAlignment="1" pivotButton="0" quotePrefix="0" xfId="2">
      <alignment vertical="center"/>
    </xf>
    <xf numFmtId="3" fontId="1" fillId="11" borderId="22" applyAlignment="1" pivotButton="0" quotePrefix="0" xfId="2">
      <alignment vertical="center"/>
    </xf>
    <xf numFmtId="0" fontId="1" fillId="11" borderId="12" applyAlignment="1" pivotButton="0" quotePrefix="0" xfId="0">
      <alignment vertical="center"/>
    </xf>
    <xf numFmtId="9" fontId="1" fillId="11" borderId="12" applyAlignment="1" pivotButton="0" quotePrefix="0" xfId="2">
      <alignment vertical="center"/>
    </xf>
    <xf numFmtId="9" fontId="1" fillId="11" borderId="13" applyAlignment="1" pivotButton="0" quotePrefix="0" xfId="2">
      <alignment vertical="center"/>
    </xf>
    <xf numFmtId="0" fontId="1" fillId="11" borderId="14" applyAlignment="1" pivotButton="0" quotePrefix="0" xfId="0">
      <alignment horizontal="center" vertical="center"/>
    </xf>
    <xf numFmtId="0" fontId="1" fillId="11" borderId="0" applyAlignment="1" pivotButton="0" quotePrefix="0" xfId="0">
      <alignment horizontal="center" vertical="center"/>
    </xf>
    <xf numFmtId="0" fontId="16" fillId="11" borderId="8" applyAlignment="1" pivotButton="0" quotePrefix="0" xfId="0">
      <alignment horizontal="center" vertical="center" wrapText="1"/>
    </xf>
    <xf numFmtId="164" fontId="16" fillId="11" borderId="8" applyAlignment="1" pivotButton="0" quotePrefix="0" xfId="1">
      <alignment horizontal="center" vertical="center" wrapText="1"/>
    </xf>
    <xf numFmtId="164" fontId="16" fillId="11" borderId="8" applyAlignment="1" pivotButton="0" quotePrefix="0" xfId="1">
      <alignment vertical="center" wrapText="1"/>
    </xf>
    <xf numFmtId="164" fontId="16" fillId="11" borderId="36" applyAlignment="1" pivotButton="0" quotePrefix="0" xfId="1">
      <alignment vertical="center" wrapText="1"/>
    </xf>
    <xf numFmtId="0" fontId="19" fillId="11" borderId="8" applyAlignment="1" pivotButton="0" quotePrefix="0" xfId="0">
      <alignment horizontal="center" vertical="center" wrapText="1"/>
    </xf>
    <xf numFmtId="0" fontId="1" fillId="11" borderId="0" applyAlignment="1" pivotButton="0" quotePrefix="0" xfId="0">
      <alignment vertical="center"/>
    </xf>
    <xf numFmtId="0" fontId="1" fillId="11" borderId="0" applyAlignment="1" pivotButton="0" quotePrefix="0" xfId="1">
      <alignment vertical="center"/>
    </xf>
    <xf numFmtId="9" fontId="8" fillId="11" borderId="12" applyAlignment="1" pivotButton="0" quotePrefix="0" xfId="2">
      <alignment vertical="center"/>
    </xf>
    <xf numFmtId="9" fontId="1" fillId="11" borderId="15" applyAlignment="1" pivotButton="0" quotePrefix="0" xfId="2">
      <alignment vertical="center"/>
    </xf>
    <xf numFmtId="0" fontId="16" fillId="11" borderId="24" applyAlignment="1" pivotButton="0" quotePrefix="0" xfId="0">
      <alignment horizontal="center" vertical="center" wrapText="1"/>
    </xf>
    <xf numFmtId="164" fontId="16" fillId="11" borderId="24" applyAlignment="1" pivotButton="0" quotePrefix="0" xfId="1">
      <alignment horizontal="center" vertical="center" wrapText="1"/>
    </xf>
    <xf numFmtId="164" fontId="16" fillId="11" borderId="24" applyAlignment="1" pivotButton="0" quotePrefix="0" xfId="1">
      <alignment vertical="center" wrapText="1"/>
    </xf>
    <xf numFmtId="164" fontId="16" fillId="11" borderId="37" applyAlignment="1" pivotButton="0" quotePrefix="0" xfId="1">
      <alignment vertical="center" wrapText="1"/>
    </xf>
    <xf numFmtId="0" fontId="19" fillId="11" borderId="24" applyAlignment="1" pivotButton="0" quotePrefix="0" xfId="0">
      <alignment horizontal="center" vertical="center" wrapText="1"/>
    </xf>
    <xf numFmtId="0" fontId="16" fillId="11" borderId="29" applyAlignment="1" pivotButton="0" quotePrefix="0" xfId="0">
      <alignment horizontal="center" vertical="center" wrapText="1"/>
    </xf>
    <xf numFmtId="164" fontId="16" fillId="11" borderId="37" applyAlignment="1" pivotButton="0" quotePrefix="0" xfId="1">
      <alignment horizontal="center" vertical="center" wrapText="1"/>
    </xf>
    <xf numFmtId="164" fontId="1" fillId="11" borderId="0" applyAlignment="1" pivotButton="0" quotePrefix="0" xfId="1">
      <alignment vertical="center"/>
    </xf>
    <xf numFmtId="164" fontId="1" fillId="11" borderId="0" applyAlignment="1" pivotButton="0" quotePrefix="0" xfId="0">
      <alignment vertical="center"/>
    </xf>
    <xf numFmtId="0" fontId="16" fillId="11" borderId="31" applyAlignment="1" pivotButton="0" quotePrefix="0" xfId="0">
      <alignment horizontal="center" vertical="center" wrapText="1"/>
    </xf>
    <xf numFmtId="0" fontId="16" fillId="11" borderId="9" applyAlignment="1" pivotButton="0" quotePrefix="0" xfId="0">
      <alignment horizontal="center" vertical="center" wrapText="1"/>
    </xf>
    <xf numFmtId="164" fontId="16" fillId="11" borderId="9" applyAlignment="1" pivotButton="0" quotePrefix="0" xfId="1">
      <alignment horizontal="center" vertical="center" wrapText="1"/>
    </xf>
    <xf numFmtId="164" fontId="16" fillId="11" borderId="9" applyAlignment="1" pivotButton="0" quotePrefix="0" xfId="1">
      <alignment vertical="center" wrapText="1"/>
    </xf>
    <xf numFmtId="164" fontId="16" fillId="11" borderId="39" applyAlignment="1" pivotButton="0" quotePrefix="0" xfId="1">
      <alignment vertical="center" wrapText="1"/>
    </xf>
    <xf numFmtId="0" fontId="19" fillId="11" borderId="9" applyAlignment="1" pivotButton="0" quotePrefix="0" xfId="0">
      <alignment horizontal="center" vertical="center" wrapText="1"/>
    </xf>
    <xf numFmtId="164" fontId="16" fillId="11" borderId="25" applyAlignment="1" pivotButton="0" quotePrefix="0" xfId="1">
      <alignment horizontal="center" vertical="center" wrapText="1"/>
    </xf>
    <xf numFmtId="164" fontId="16" fillId="11" borderId="25" applyAlignment="1" pivotButton="0" quotePrefix="0" xfId="1">
      <alignment vertical="center" wrapText="1"/>
    </xf>
    <xf numFmtId="0" fontId="19" fillId="11" borderId="25" applyAlignment="1" pivotButton="0" quotePrefix="0" xfId="0">
      <alignment horizontal="center" vertical="center" wrapText="1"/>
    </xf>
    <xf numFmtId="0" fontId="1" fillId="11" borderId="7" applyAlignment="1" pivotButton="0" quotePrefix="0" xfId="0">
      <alignment horizontal="center" vertical="center"/>
    </xf>
    <xf numFmtId="0" fontId="0" fillId="11" borderId="12" applyAlignment="1" pivotButton="0" quotePrefix="0" xfId="0">
      <alignment vertical="center"/>
    </xf>
    <xf numFmtId="0" fontId="16" fillId="11" borderId="23" applyAlignment="1" pivotButton="0" quotePrefix="0" xfId="0">
      <alignment vertical="center" wrapText="1"/>
    </xf>
    <xf numFmtId="0" fontId="6" fillId="11" borderId="0" applyAlignment="1" pivotButton="0" quotePrefix="0" xfId="0">
      <alignment horizontal="center" vertical="center"/>
    </xf>
    <xf numFmtId="0" fontId="16" fillId="11" borderId="8" applyAlignment="1" pivotButton="0" quotePrefix="0" xfId="0">
      <alignment vertical="center" wrapText="1"/>
    </xf>
    <xf numFmtId="0" fontId="4" fillId="11" borderId="7" applyAlignment="1" pivotButton="0" quotePrefix="0" xfId="0">
      <alignment horizontal="center" vertical="center"/>
    </xf>
    <xf numFmtId="0" fontId="4" fillId="11" borderId="14" applyAlignment="1" pivotButton="0" quotePrefix="0" xfId="0">
      <alignment horizontal="center" vertical="center"/>
    </xf>
    <xf numFmtId="164" fontId="16" fillId="11" borderId="29" applyAlignment="1" pivotButton="0" quotePrefix="0" xfId="1">
      <alignment horizontal="center" vertical="center" wrapText="1"/>
    </xf>
    <xf numFmtId="164" fontId="16" fillId="11" borderId="29" applyAlignment="1" pivotButton="0" quotePrefix="0" xfId="1">
      <alignment vertical="center" wrapText="1"/>
    </xf>
    <xf numFmtId="0" fontId="19" fillId="11" borderId="29" applyAlignment="1" pivotButton="0" quotePrefix="0" xfId="0">
      <alignment horizontal="center" vertical="center" wrapText="1"/>
    </xf>
    <xf numFmtId="0" fontId="1" fillId="11" borderId="3" applyAlignment="1" pivotButton="0" quotePrefix="0" xfId="0">
      <alignment horizontal="center" vertical="center"/>
    </xf>
    <xf numFmtId="9" fontId="0" fillId="11" borderId="15" applyAlignment="1" pivotButton="0" quotePrefix="0" xfId="2">
      <alignment vertical="center"/>
    </xf>
    <xf numFmtId="0" fontId="26" fillId="11" borderId="11" applyAlignment="1" pivotButton="0" quotePrefix="0" xfId="0">
      <alignment horizontal="left" vertical="center" wrapText="1"/>
    </xf>
    <xf numFmtId="0" fontId="26" fillId="0" borderId="11" applyAlignment="1" pivotButton="0" quotePrefix="0" xfId="0">
      <alignment horizontal="left" vertical="center" wrapText="1"/>
    </xf>
    <xf numFmtId="0" fontId="26" fillId="8" borderId="11" applyAlignment="1" pivotButton="0" quotePrefix="0" xfId="0">
      <alignment horizontal="left" vertical="center" wrapText="1"/>
    </xf>
    <xf numFmtId="0" fontId="1" fillId="11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16" fillId="11" borderId="32" applyAlignment="1" pivotButton="0" quotePrefix="0" xfId="0">
      <alignment horizontal="center" vertical="center" wrapText="1"/>
    </xf>
    <xf numFmtId="0" fontId="16" fillId="11" borderId="25" applyAlignment="1" pivotButton="0" quotePrefix="0" xfId="0">
      <alignment vertical="center" wrapText="1"/>
    </xf>
    <xf numFmtId="164" fontId="16" fillId="11" borderId="38" applyAlignment="1" pivotButton="0" quotePrefix="0" xfId="1">
      <alignment vertical="center" wrapText="1"/>
    </xf>
    <xf numFmtId="0" fontId="6" fillId="11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0" fillId="11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164" fontId="16" fillId="0" borderId="0" applyAlignment="1" pivotButton="0" quotePrefix="0" xfId="1">
      <alignment horizontal="center" vertical="center" wrapText="1"/>
    </xf>
    <xf numFmtId="0" fontId="1" fillId="0" borderId="0" applyAlignment="1" pivotButton="0" quotePrefix="0" xfId="1">
      <alignment vertical="center"/>
    </xf>
    <xf numFmtId="0" fontId="1" fillId="11" borderId="49" applyAlignment="1" pivotButton="0" quotePrefix="0" xfId="1">
      <alignment vertical="center"/>
    </xf>
    <xf numFmtId="0" fontId="1" fillId="11" borderId="50" applyAlignment="1" pivotButton="0" quotePrefix="0" xfId="1">
      <alignment vertical="center"/>
    </xf>
    <xf numFmtId="164" fontId="16" fillId="11" borderId="0" applyAlignment="1" pivotButton="0" quotePrefix="0" xfId="1">
      <alignment horizontal="center" vertical="center" wrapText="1"/>
    </xf>
    <xf numFmtId="164" fontId="1" fillId="11" borderId="50" applyAlignment="1" pivotButton="0" quotePrefix="0" xfId="1">
      <alignment vertical="center"/>
    </xf>
    <xf numFmtId="164" fontId="16" fillId="8" borderId="0" applyAlignment="1" pivotButton="0" quotePrefix="0" xfId="1">
      <alignment horizontal="center" vertical="center" wrapText="1"/>
    </xf>
    <xf numFmtId="0" fontId="1" fillId="11" borderId="0" applyAlignment="1" pivotButton="0" quotePrefix="0" xfId="1">
      <alignment vertical="center"/>
    </xf>
    <xf numFmtId="164" fontId="0" fillId="0" borderId="0" applyAlignment="1" pivotButton="0" quotePrefix="0" xfId="0">
      <alignment vertical="center"/>
    </xf>
    <xf numFmtId="164" fontId="1" fillId="0" borderId="12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164" fontId="0" fillId="11" borderId="0" applyAlignment="1" pivotButton="0" quotePrefix="0" xfId="0">
      <alignment vertical="center"/>
    </xf>
    <xf numFmtId="164" fontId="1" fillId="11" borderId="12" applyAlignment="1" pivotButton="0" quotePrefix="0" xfId="0">
      <alignment vertical="center"/>
    </xf>
    <xf numFmtId="0" fontId="1" fillId="11" borderId="0" applyAlignment="1" pivotButton="0" quotePrefix="0" xfId="0">
      <alignment vertical="center"/>
    </xf>
    <xf numFmtId="9" fontId="8" fillId="0" borderId="0" applyAlignment="1" pivotButton="0" quotePrefix="0" xfId="2">
      <alignment vertical="center"/>
    </xf>
    <xf numFmtId="9" fontId="8" fillId="11" borderId="0" applyAlignment="1" pivotButton="0" quotePrefix="0" xfId="2">
      <alignment vertical="center"/>
    </xf>
    <xf numFmtId="9" fontId="1" fillId="11" borderId="0" applyAlignment="1" pivotButton="0" quotePrefix="0" xfId="2">
      <alignment vertical="center"/>
    </xf>
    <xf numFmtId="0" fontId="0" fillId="0" borderId="0" applyAlignment="1" pivotButton="0" quotePrefix="0" xfId="0">
      <alignment horizontal="right" vertical="center"/>
    </xf>
    <xf numFmtId="0" fontId="1" fillId="0" borderId="3" applyAlignment="1" pivotButton="0" quotePrefix="0" xfId="0">
      <alignment horizontal="right" vertical="center"/>
    </xf>
    <xf numFmtId="164" fontId="1" fillId="11" borderId="49" applyAlignment="1" pivotButton="0" quotePrefix="0" xfId="1">
      <alignment vertical="center"/>
    </xf>
    <xf numFmtId="164" fontId="1" fillId="0" borderId="18" applyAlignment="1" pivotButton="0" quotePrefix="0" xfId="1">
      <alignment vertical="center"/>
    </xf>
    <xf numFmtId="164" fontId="1" fillId="0" borderId="18" applyAlignment="1" pivotButton="0" quotePrefix="0" xfId="0">
      <alignment vertical="center"/>
    </xf>
    <xf numFmtId="9" fontId="1" fillId="0" borderId="0" applyAlignment="1" pivotButton="0" quotePrefix="0" xfId="2">
      <alignment vertical="center"/>
    </xf>
    <xf numFmtId="0" fontId="1" fillId="0" borderId="0" applyAlignment="1" pivotButton="0" quotePrefix="0" xfId="0">
      <alignment horizontal="right" vertical="center"/>
    </xf>
    <xf numFmtId="0" fontId="0" fillId="3" borderId="2" applyAlignment="1" pivotButton="0" quotePrefix="0" xfId="0">
      <alignment horizontal="center" vertical="center"/>
    </xf>
    <xf numFmtId="0" fontId="0" fillId="0" borderId="2" pivotButton="0" quotePrefix="0" xfId="0"/>
    <xf numFmtId="0" fontId="0" fillId="2" borderId="9" applyAlignment="1" pivotButton="0" quotePrefix="0" xfId="0">
      <alignment horizontal="center" vertical="center"/>
    </xf>
    <xf numFmtId="0" fontId="0" fillId="0" borderId="1" pivotButton="0" quotePrefix="0" xfId="0"/>
    <xf numFmtId="0" fontId="0" fillId="4" borderId="9" applyAlignment="1" pivotButton="0" quotePrefix="0" xfId="0">
      <alignment horizontal="center" vertical="center"/>
    </xf>
    <xf numFmtId="0" fontId="1" fillId="4" borderId="9" applyAlignment="1" pivotButton="0" quotePrefix="0" xfId="0">
      <alignment horizontal="center" vertical="center"/>
    </xf>
    <xf numFmtId="0" fontId="1" fillId="2" borderId="9" applyAlignment="1" pivotButton="0" quotePrefix="0" xfId="0">
      <alignment horizontal="center" vertical="center"/>
    </xf>
    <xf numFmtId="0" fontId="1" fillId="3" borderId="2" applyAlignment="1" pivotButton="0" quotePrefix="0" xfId="0">
      <alignment horizontal="center" vertical="center"/>
    </xf>
    <xf numFmtId="0" fontId="4" fillId="11" borderId="8" applyAlignment="1" pivotButton="0" quotePrefix="0" xfId="0">
      <alignment horizontal="center" vertical="center"/>
    </xf>
    <xf numFmtId="0" fontId="8" fillId="0" borderId="7" applyAlignment="1" pivotButton="0" quotePrefix="0" xfId="0">
      <alignment horizontal="center" vertical="center"/>
    </xf>
    <xf numFmtId="0" fontId="16" fillId="0" borderId="32" applyAlignment="1" pivotButton="0" quotePrefix="0" xfId="0">
      <alignment horizontal="center" vertical="center" wrapText="1"/>
    </xf>
    <xf numFmtId="0" fontId="16" fillId="8" borderId="24" applyAlignment="1" pivotButton="0" quotePrefix="0" xfId="0">
      <alignment horizontal="center" vertical="center" wrapText="1"/>
    </xf>
    <xf numFmtId="0" fontId="16" fillId="11" borderId="26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  <xf numFmtId="0" fontId="16" fillId="11" borderId="10" applyAlignment="1" pivotButton="0" quotePrefix="0" xfId="0">
      <alignment horizontal="center" vertical="center" wrapText="1"/>
    </xf>
    <xf numFmtId="0" fontId="16" fillId="11" borderId="33" applyAlignment="1" pivotButton="0" quotePrefix="0" xfId="0">
      <alignment horizontal="center" vertical="center" wrapText="1"/>
    </xf>
    <xf numFmtId="0" fontId="16" fillId="8" borderId="9" applyAlignment="1" pivotButton="0" quotePrefix="0" xfId="0">
      <alignment horizontal="center" vertical="center" wrapText="1"/>
    </xf>
    <xf numFmtId="164" fontId="16" fillId="8" borderId="24" applyAlignment="1" pivotButton="0" quotePrefix="0" xfId="1">
      <alignment horizontal="center" vertical="center" wrapText="1"/>
    </xf>
    <xf numFmtId="164" fontId="16" fillId="11" borderId="26" applyAlignment="1" pivotButton="0" quotePrefix="0" xfId="1">
      <alignment horizontal="center" vertical="center" wrapText="1"/>
    </xf>
    <xf numFmtId="164" fontId="16" fillId="8" borderId="9" applyAlignment="1" pivotButton="0" quotePrefix="0" xfId="1">
      <alignment horizontal="center" vertical="center" wrapText="1"/>
    </xf>
    <xf numFmtId="164" fontId="16" fillId="8" borderId="24" applyAlignment="1" pivotButton="0" quotePrefix="0" xfId="1">
      <alignment vertical="center" wrapText="1"/>
    </xf>
    <xf numFmtId="164" fontId="16" fillId="11" borderId="26" applyAlignment="1" pivotButton="0" quotePrefix="0" xfId="1">
      <alignment vertical="center" wrapText="1"/>
    </xf>
    <xf numFmtId="164" fontId="16" fillId="8" borderId="9" applyAlignment="1" pivotButton="0" quotePrefix="0" xfId="1">
      <alignment vertical="center" wrapText="1"/>
    </xf>
    <xf numFmtId="164" fontId="16" fillId="8" borderId="37" applyAlignment="1" pivotButton="0" quotePrefix="0" xfId="1">
      <alignment vertical="center" wrapText="1"/>
    </xf>
    <xf numFmtId="164" fontId="16" fillId="0" borderId="38" applyAlignment="1" pivotButton="0" quotePrefix="0" xfId="1">
      <alignment vertical="center" wrapText="1"/>
    </xf>
    <xf numFmtId="164" fontId="16" fillId="11" borderId="40" applyAlignment="1" pivotButton="0" quotePrefix="0" xfId="1">
      <alignment vertical="center" wrapText="1"/>
    </xf>
    <xf numFmtId="0" fontId="19" fillId="8" borderId="24" applyAlignment="1" pivotButton="0" quotePrefix="0" xfId="0">
      <alignment horizontal="center" vertical="center" wrapText="1"/>
    </xf>
    <xf numFmtId="0" fontId="19" fillId="11" borderId="26" applyAlignment="1" pivotButton="0" quotePrefix="0" xfId="0">
      <alignment horizontal="center" vertical="center" wrapText="1"/>
    </xf>
    <xf numFmtId="0" fontId="19" fillId="8" borderId="9" applyAlignment="1" pivotButton="0" quotePrefix="0" xfId="0">
      <alignment horizontal="center" vertical="center" wrapText="1"/>
    </xf>
    <xf numFmtId="0" fontId="0" fillId="11" borderId="21" pivotButton="0" quotePrefix="0" xfId="0"/>
    <xf numFmtId="0" fontId="0" fillId="11" borderId="21" applyAlignment="1" pivotButton="0" quotePrefix="0" xfId="0">
      <alignment vertical="center"/>
    </xf>
    <xf numFmtId="0" fontId="1" fillId="0" borderId="19" applyAlignment="1" pivotButton="0" quotePrefix="0" xfId="0">
      <alignment vertical="center"/>
    </xf>
    <xf numFmtId="164" fontId="1" fillId="11" borderId="12" applyAlignment="1" pivotButton="0" quotePrefix="0" xfId="1">
      <alignment vertical="center"/>
    </xf>
    <xf numFmtId="0" fontId="1" fillId="0" borderId="49" applyAlignment="1" pivotButton="0" quotePrefix="0" xfId="1">
      <alignment vertical="center"/>
    </xf>
    <xf numFmtId="164" fontId="1" fillId="0" borderId="50" applyAlignment="1" pivotButton="0" quotePrefix="0" xfId="1">
      <alignment vertical="center"/>
    </xf>
    <xf numFmtId="164" fontId="1" fillId="11" borderId="0" applyAlignment="1" pivotButton="0" quotePrefix="0" xfId="1">
      <alignment vertical="center"/>
    </xf>
    <xf numFmtId="0" fontId="1" fillId="0" borderId="51" applyAlignment="1" pivotButton="0" quotePrefix="0" xfId="1">
      <alignment vertical="center"/>
    </xf>
    <xf numFmtId="164" fontId="1" fillId="0" borderId="0" applyAlignment="1" pivotButton="0" quotePrefix="0" xfId="1">
      <alignment vertical="center"/>
    </xf>
    <xf numFmtId="164" fontId="1" fillId="11" borderId="51" applyAlignment="1" pivotButton="0" quotePrefix="0" xfId="1">
      <alignment vertical="center"/>
    </xf>
    <xf numFmtId="164" fontId="1" fillId="11" borderId="0" applyAlignment="1" pivotButton="0" quotePrefix="0" xfId="0">
      <alignment vertical="center"/>
    </xf>
    <xf numFmtId="164" fontId="1" fillId="0" borderId="0" applyAlignment="1" pivotButton="0" quotePrefix="0" xfId="0">
      <alignment vertical="center"/>
    </xf>
    <xf numFmtId="164" fontId="0" fillId="0" borderId="0" applyAlignment="1" pivotButton="0" quotePrefix="0" xfId="1">
      <alignment vertical="center"/>
    </xf>
    <xf numFmtId="164" fontId="16" fillId="11" borderId="23" applyAlignment="1" pivotButton="0" quotePrefix="0" xfId="1">
      <alignment horizontal="center" vertical="center" wrapText="1"/>
    </xf>
    <xf numFmtId="164" fontId="16" fillId="11" borderId="23" applyAlignment="1" pivotButton="0" quotePrefix="0" xfId="1">
      <alignment vertical="center" wrapText="1"/>
    </xf>
    <xf numFmtId="164" fontId="15" fillId="11" borderId="21" applyAlignment="1" pivotButton="0" quotePrefix="0" xfId="0">
      <alignment horizontal="center" vertical="center"/>
    </xf>
    <xf numFmtId="164" fontId="16" fillId="11" borderId="35" applyAlignment="1" pivotButton="0" quotePrefix="0" xfId="1">
      <alignment vertical="center" wrapText="1"/>
    </xf>
    <xf numFmtId="164" fontId="1" fillId="11" borderId="21" applyAlignment="1" pivotButton="0" quotePrefix="0" xfId="1">
      <alignment vertical="center"/>
    </xf>
    <xf numFmtId="164" fontId="1" fillId="11" borderId="12" applyAlignment="1" pivotButton="0" quotePrefix="0" xfId="1">
      <alignment vertical="center"/>
    </xf>
    <xf numFmtId="164" fontId="1" fillId="11" borderId="12" applyAlignment="1" pivotButton="0" quotePrefix="0" xfId="0">
      <alignment vertical="center"/>
    </xf>
    <xf numFmtId="164" fontId="16" fillId="11" borderId="8" applyAlignment="1" pivotButton="0" quotePrefix="0" xfId="1">
      <alignment horizontal="center" vertical="center" wrapText="1"/>
    </xf>
    <xf numFmtId="164" fontId="16" fillId="11" borderId="8" applyAlignment="1" pivotButton="0" quotePrefix="0" xfId="1">
      <alignment vertical="center" wrapText="1"/>
    </xf>
    <xf numFmtId="164" fontId="16" fillId="11" borderId="36" applyAlignment="1" pivotButton="0" quotePrefix="0" xfId="1">
      <alignment vertical="center" wrapText="1"/>
    </xf>
    <xf numFmtId="164" fontId="1" fillId="11" borderId="0" applyAlignment="1" pivotButton="0" quotePrefix="0" xfId="1">
      <alignment vertical="center"/>
    </xf>
    <xf numFmtId="164" fontId="1" fillId="11" borderId="0" applyAlignment="1" pivotButton="0" quotePrefix="0" xfId="0">
      <alignment vertical="center"/>
    </xf>
    <xf numFmtId="164" fontId="16" fillId="0" borderId="24" applyAlignment="1" pivotButton="0" quotePrefix="0" xfId="1">
      <alignment horizontal="center" vertical="center" wrapText="1"/>
    </xf>
    <xf numFmtId="164" fontId="16" fillId="0" borderId="24" applyAlignment="1" pivotButton="0" quotePrefix="0" xfId="1">
      <alignment vertical="center" wrapText="1"/>
    </xf>
    <xf numFmtId="164" fontId="15" fillId="7" borderId="21" applyAlignment="1" pivotButton="0" quotePrefix="0" xfId="0">
      <alignment horizontal="center" vertical="center"/>
    </xf>
    <xf numFmtId="164" fontId="16" fillId="0" borderId="37" applyAlignment="1" pivotButton="0" quotePrefix="0" xfId="1">
      <alignment vertical="center" wrapText="1"/>
    </xf>
    <xf numFmtId="164" fontId="1" fillId="0" borderId="21" applyAlignment="1" pivotButton="0" quotePrefix="0" xfId="1">
      <alignment vertical="center"/>
    </xf>
    <xf numFmtId="164" fontId="16" fillId="0" borderId="23" applyAlignment="1" pivotButton="0" quotePrefix="0" xfId="1">
      <alignment horizontal="center" vertical="center" wrapText="1"/>
    </xf>
    <xf numFmtId="164" fontId="16" fillId="0" borderId="23" applyAlignment="1" pivotButton="0" quotePrefix="0" xfId="1">
      <alignment vertical="center" wrapText="1"/>
    </xf>
    <xf numFmtId="164" fontId="16" fillId="0" borderId="35" applyAlignment="1" pivotButton="0" quotePrefix="0" xfId="1">
      <alignment vertical="center" wrapText="1"/>
    </xf>
    <xf numFmtId="164" fontId="16" fillId="0" borderId="8" applyAlignment="1" pivotButton="0" quotePrefix="0" xfId="1">
      <alignment horizontal="center" vertical="center" wrapText="1"/>
    </xf>
    <xf numFmtId="164" fontId="16" fillId="0" borderId="8" applyAlignment="1" pivotButton="0" quotePrefix="0" xfId="1">
      <alignment vertical="center" wrapText="1"/>
    </xf>
    <xf numFmtId="164" fontId="16" fillId="0" borderId="36" applyAlignment="1" pivotButton="0" quotePrefix="0" xfId="1">
      <alignment vertical="center" wrapText="1"/>
    </xf>
    <xf numFmtId="164" fontId="16" fillId="11" borderId="24" applyAlignment="1" pivotButton="0" quotePrefix="0" xfId="1">
      <alignment horizontal="center" vertical="center" wrapText="1"/>
    </xf>
    <xf numFmtId="164" fontId="16" fillId="11" borderId="24" applyAlignment="1" pivotButton="0" quotePrefix="0" xfId="1">
      <alignment vertical="center" wrapText="1"/>
    </xf>
    <xf numFmtId="164" fontId="16" fillId="11" borderId="37" applyAlignment="1" pivotButton="0" quotePrefix="0" xfId="1">
      <alignment vertical="center" wrapText="1"/>
    </xf>
    <xf numFmtId="164" fontId="16" fillId="0" borderId="0" applyAlignment="1" pivotButton="0" quotePrefix="0" xfId="1">
      <alignment horizontal="center" vertical="center" wrapText="1"/>
    </xf>
    <xf numFmtId="164" fontId="0" fillId="0" borderId="0" applyAlignment="1" pivotButton="0" quotePrefix="0" xfId="0">
      <alignment vertical="center"/>
    </xf>
    <xf numFmtId="164" fontId="16" fillId="0" borderId="25" applyAlignment="1" pivotButton="0" quotePrefix="0" xfId="1">
      <alignment horizontal="center" vertical="center" wrapText="1"/>
    </xf>
    <xf numFmtId="164" fontId="16" fillId="0" borderId="25" applyAlignment="1" pivotButton="0" quotePrefix="0" xfId="1">
      <alignment vertical="center" wrapText="1"/>
    </xf>
    <xf numFmtId="164" fontId="16" fillId="0" borderId="38" applyAlignment="1" pivotButton="0" quotePrefix="0" xfId="1">
      <alignment vertical="center" wrapText="1"/>
    </xf>
    <xf numFmtId="164" fontId="16" fillId="8" borderId="0" applyAlignment="1" pivotButton="0" quotePrefix="0" xfId="1">
      <alignment horizontal="center" vertical="center" wrapText="1"/>
    </xf>
    <xf numFmtId="164" fontId="16" fillId="11" borderId="0" applyAlignment="1" pivotButton="0" quotePrefix="0" xfId="1">
      <alignment horizontal="center" vertical="center" wrapText="1"/>
    </xf>
    <xf numFmtId="164" fontId="0" fillId="11" borderId="0" applyAlignment="1" pivotButton="0" quotePrefix="0" xfId="0">
      <alignment vertical="center"/>
    </xf>
    <xf numFmtId="164" fontId="16" fillId="11" borderId="9" applyAlignment="1" pivotButton="0" quotePrefix="0" xfId="1">
      <alignment horizontal="center" vertical="center" wrapText="1"/>
    </xf>
    <xf numFmtId="164" fontId="16" fillId="11" borderId="9" applyAlignment="1" pivotButton="0" quotePrefix="0" xfId="1">
      <alignment vertical="center" wrapText="1"/>
    </xf>
    <xf numFmtId="164" fontId="16" fillId="11" borderId="39" applyAlignment="1" pivotButton="0" quotePrefix="0" xfId="1">
      <alignment vertical="center" wrapText="1"/>
    </xf>
    <xf numFmtId="164" fontId="16" fillId="11" borderId="26" applyAlignment="1" pivotButton="0" quotePrefix="0" xfId="1">
      <alignment horizontal="center" vertical="center" wrapText="1"/>
    </xf>
    <xf numFmtId="164" fontId="16" fillId="11" borderId="26" applyAlignment="1" pivotButton="0" quotePrefix="0" xfId="1">
      <alignment vertical="center" wrapText="1"/>
    </xf>
    <xf numFmtId="164" fontId="16" fillId="11" borderId="40" applyAlignment="1" pivotButton="0" quotePrefix="0" xfId="1">
      <alignment vertical="center" wrapText="1"/>
    </xf>
    <xf numFmtId="164" fontId="16" fillId="11" borderId="25" applyAlignment="1" pivotButton="0" quotePrefix="0" xfId="1">
      <alignment horizontal="center" vertical="center" wrapText="1"/>
    </xf>
    <xf numFmtId="164" fontId="16" fillId="11" borderId="25" applyAlignment="1" pivotButton="0" quotePrefix="0" xfId="1">
      <alignment vertical="center" wrapText="1"/>
    </xf>
    <xf numFmtId="164" fontId="16" fillId="11" borderId="38" applyAlignment="1" pivotButton="0" quotePrefix="0" xfId="1">
      <alignment vertical="center" wrapText="1"/>
    </xf>
    <xf numFmtId="164" fontId="16" fillId="0" borderId="9" applyAlignment="1" pivotButton="0" quotePrefix="0" xfId="1">
      <alignment horizontal="center" vertical="center" wrapText="1"/>
    </xf>
    <xf numFmtId="164" fontId="16" fillId="0" borderId="9" applyAlignment="1" pivotButton="0" quotePrefix="0" xfId="1">
      <alignment vertical="center" wrapText="1"/>
    </xf>
    <xf numFmtId="164" fontId="16" fillId="0" borderId="39" applyAlignment="1" pivotButton="0" quotePrefix="0" xfId="1">
      <alignment vertical="center" wrapText="1"/>
    </xf>
    <xf numFmtId="164" fontId="16" fillId="8" borderId="8" applyAlignment="1" pivotButton="0" quotePrefix="0" xfId="1">
      <alignment horizontal="center" vertical="center" wrapText="1"/>
    </xf>
    <xf numFmtId="164" fontId="16" fillId="8" borderId="8" applyAlignment="1" pivotButton="0" quotePrefix="0" xfId="1">
      <alignment vertical="center" wrapText="1"/>
    </xf>
    <xf numFmtId="164" fontId="16" fillId="8" borderId="36" applyAlignment="1" pivotButton="0" quotePrefix="0" xfId="1">
      <alignment vertical="center" wrapText="1"/>
    </xf>
    <xf numFmtId="164" fontId="16" fillId="8" borderId="24" applyAlignment="1" pivotButton="0" quotePrefix="0" xfId="1">
      <alignment horizontal="center" vertical="center" wrapText="1"/>
    </xf>
    <xf numFmtId="164" fontId="16" fillId="8" borderId="24" applyAlignment="1" pivotButton="0" quotePrefix="0" xfId="1">
      <alignment vertical="center" wrapText="1"/>
    </xf>
    <xf numFmtId="164" fontId="16" fillId="8" borderId="37" applyAlignment="1" pivotButton="0" quotePrefix="0" xfId="1">
      <alignment vertical="center" wrapText="1"/>
    </xf>
    <xf numFmtId="164" fontId="16" fillId="8" borderId="23" applyAlignment="1" pivotButton="0" quotePrefix="0" xfId="1">
      <alignment horizontal="center" vertical="center" wrapText="1"/>
    </xf>
    <xf numFmtId="164" fontId="16" fillId="8" borderId="23" applyAlignment="1" pivotButton="0" quotePrefix="0" xfId="1">
      <alignment vertical="center" wrapText="1"/>
    </xf>
    <xf numFmtId="164" fontId="16" fillId="8" borderId="35" applyAlignment="1" pivotButton="0" quotePrefix="0" xfId="1">
      <alignment vertical="center" wrapText="1"/>
    </xf>
    <xf numFmtId="164" fontId="16" fillId="8" borderId="9" applyAlignment="1" pivotButton="0" quotePrefix="0" xfId="1">
      <alignment horizontal="center" vertical="center" wrapText="1"/>
    </xf>
    <xf numFmtId="164" fontId="16" fillId="8" borderId="9" applyAlignment="1" pivotButton="0" quotePrefix="0" xfId="1">
      <alignment vertical="center" wrapText="1"/>
    </xf>
    <xf numFmtId="164" fontId="16" fillId="11" borderId="29" applyAlignment="1" pivotButton="0" quotePrefix="0" xfId="1">
      <alignment horizontal="center" vertical="center" wrapText="1"/>
    </xf>
    <xf numFmtId="164" fontId="16" fillId="11" borderId="29" applyAlignment="1" pivotButton="0" quotePrefix="0" xfId="1">
      <alignment vertical="center" wrapText="1"/>
    </xf>
    <xf numFmtId="164" fontId="1" fillId="0" borderId="0" applyAlignment="1" pivotButton="0" quotePrefix="0" xfId="1">
      <alignment vertical="center"/>
    </xf>
    <xf numFmtId="164" fontId="1" fillId="0" borderId="0" applyAlignment="1" pivotButton="0" quotePrefix="0" xfId="0">
      <alignment vertical="center"/>
    </xf>
    <xf numFmtId="164" fontId="1" fillId="0" borderId="50" applyAlignment="1" pivotButton="0" quotePrefix="0" xfId="1">
      <alignment vertical="center"/>
    </xf>
    <xf numFmtId="164" fontId="1" fillId="0" borderId="12" applyAlignment="1" pivotButton="0" quotePrefix="0" xfId="0">
      <alignment vertical="center"/>
    </xf>
    <xf numFmtId="164" fontId="1" fillId="0" borderId="18" applyAlignment="1" pivotButton="0" quotePrefix="0" xfId="1">
      <alignment vertical="center"/>
    </xf>
    <xf numFmtId="164" fontId="1" fillId="0" borderId="18" applyAlignment="1" pivotButton="0" quotePrefix="0" xfId="0">
      <alignment vertical="center"/>
    </xf>
    <xf numFmtId="164" fontId="16" fillId="11" borderId="37" applyAlignment="1" pivotButton="0" quotePrefix="0" xfId="1">
      <alignment horizontal="center" vertical="center" wrapText="1"/>
    </xf>
    <xf numFmtId="164" fontId="1" fillId="11" borderId="51" applyAlignment="1" pivotButton="0" quotePrefix="0" xfId="1">
      <alignment vertical="center"/>
    </xf>
    <xf numFmtId="164" fontId="1" fillId="11" borderId="49" applyAlignment="1" pivotButton="0" quotePrefix="0" xfId="1">
      <alignment vertical="center"/>
    </xf>
    <xf numFmtId="164" fontId="1" fillId="11" borderId="50" applyAlignment="1" pivotButton="0" quotePrefix="0" xfId="1">
      <alignment vertical="center"/>
    </xf>
    <xf numFmtId="164" fontId="16" fillId="9" borderId="25" applyAlignment="1" pivotButton="0" quotePrefix="0" xfId="1">
      <alignment horizontal="center" vertical="center" wrapText="1"/>
    </xf>
    <xf numFmtId="164" fontId="16" fillId="9" borderId="25" applyAlignment="1" pivotButton="0" quotePrefix="0" xfId="1">
      <alignment vertical="center" wrapText="1"/>
    </xf>
    <xf numFmtId="164" fontId="15" fillId="7" borderId="43" applyAlignment="1" pivotButton="0" quotePrefix="0" xfId="0">
      <alignment horizontal="center" vertical="center"/>
    </xf>
    <xf numFmtId="164" fontId="16" fillId="9" borderId="38" applyAlignment="1" pivotButton="0" quotePrefix="0" xfId="1">
      <alignment vertical="center" wrapText="1"/>
    </xf>
    <xf numFmtId="164" fontId="0" fillId="0" borderId="21" applyAlignment="1" pivotButton="0" quotePrefix="0" xfId="1">
      <alignment vertical="center"/>
    </xf>
    <xf numFmtId="164" fontId="16" fillId="10" borderId="8" applyAlignment="1" pivotButton="0" quotePrefix="0" xfId="1">
      <alignment horizontal="center" vertical="center" wrapText="1"/>
    </xf>
    <xf numFmtId="164" fontId="16" fillId="10" borderId="8" applyAlignment="1" pivotButton="0" quotePrefix="0" xfId="1">
      <alignment vertical="center" wrapText="1"/>
    </xf>
    <xf numFmtId="164" fontId="0" fillId="10" borderId="21" applyAlignment="1" pivotButton="0" quotePrefix="0" xfId="1">
      <alignment vertical="center"/>
    </xf>
    <xf numFmtId="164" fontId="16" fillId="9" borderId="8" applyAlignment="1" pivotButton="0" quotePrefix="0" xfId="1">
      <alignment horizontal="center" vertical="center" wrapText="1"/>
    </xf>
    <xf numFmtId="164" fontId="16" fillId="9" borderId="8" applyAlignment="1" pivotButton="0" quotePrefix="0" xfId="1">
      <alignment vertical="center" wrapText="1"/>
    </xf>
    <xf numFmtId="164" fontId="16" fillId="9" borderId="0" applyAlignment="1" pivotButton="0" quotePrefix="0" xfId="1">
      <alignment horizontal="center" vertical="center" wrapText="1"/>
    </xf>
    <xf numFmtId="164" fontId="16" fillId="9" borderId="0" applyAlignment="1" pivotButton="0" quotePrefix="0" xfId="1">
      <alignment vertical="center" wrapText="1"/>
    </xf>
    <xf numFmtId="164" fontId="0" fillId="10" borderId="0" applyAlignment="1" pivotButton="0" quotePrefix="0" xfId="1">
      <alignment vertical="center"/>
    </xf>
    <xf numFmtId="164" fontId="8" fillId="10" borderId="8" applyAlignment="1" pivotButton="0" quotePrefix="0" xfId="1">
      <alignment vertical="center" wrapText="1"/>
    </xf>
    <xf numFmtId="164" fontId="8" fillId="9" borderId="8" applyAlignment="1" pivotButton="0" quotePrefix="0" xfId="1">
      <alignment vertical="center" wrapText="1"/>
    </xf>
    <xf numFmtId="164" fontId="16" fillId="10" borderId="30" applyAlignment="1" pivotButton="0" quotePrefix="0" xfId="1">
      <alignment horizontal="center" vertical="center" wrapText="1"/>
    </xf>
    <xf numFmtId="164" fontId="8" fillId="10" borderId="30" applyAlignment="1" pivotButton="0" quotePrefix="0" xfId="1">
      <alignment vertical="center" wrapText="1"/>
    </xf>
    <xf numFmtId="164" fontId="16" fillId="10" borderId="30" applyAlignment="1" pivotButton="0" quotePrefix="0" xfId="1">
      <alignment vertical="center" wrapText="1"/>
    </xf>
    <xf numFmtId="164" fontId="16" fillId="10" borderId="41" applyAlignment="1" pivotButton="0" quotePrefix="0" xfId="1">
      <alignment vertical="center" wrapText="1"/>
    </xf>
    <xf numFmtId="164" fontId="16" fillId="10" borderId="36" applyAlignment="1" pivotButton="0" quotePrefix="0" xfId="1">
      <alignment vertical="center" wrapText="1"/>
    </xf>
    <xf numFmtId="164" fontId="16" fillId="9" borderId="24" applyAlignment="1" pivotButton="0" quotePrefix="0" xfId="1">
      <alignment horizontal="center" vertical="center" wrapText="1"/>
    </xf>
    <xf numFmtId="164" fontId="16" fillId="9" borderId="24" applyAlignment="1" pivotButton="0" quotePrefix="0" xfId="1">
      <alignment vertical="center" wrapText="1"/>
    </xf>
    <xf numFmtId="164" fontId="16" fillId="9" borderId="37" applyAlignment="1" pivotButton="0" quotePrefix="0" xfId="1">
      <alignment vertical="center" wrapText="1"/>
    </xf>
    <xf numFmtId="164" fontId="16" fillId="9" borderId="23" applyAlignment="1" pivotButton="0" quotePrefix="0" xfId="1">
      <alignment horizontal="center" vertical="center" wrapText="1"/>
    </xf>
    <xf numFmtId="164" fontId="16" fillId="9" borderId="23" applyAlignment="1" pivotButton="0" quotePrefix="0" xfId="1">
      <alignment vertical="center" wrapText="1"/>
    </xf>
    <xf numFmtId="164" fontId="16" fillId="9" borderId="35" applyAlignment="1" pivotButton="0" quotePrefix="0" xfId="1">
      <alignment vertical="center" wrapText="1"/>
    </xf>
    <xf numFmtId="164" fontId="8" fillId="9" borderId="24" applyAlignment="1" pivotButton="0" quotePrefix="0" xfId="1">
      <alignment vertical="center" wrapText="1"/>
    </xf>
    <xf numFmtId="164" fontId="16" fillId="10" borderId="23" applyAlignment="1" pivotButton="0" quotePrefix="0" xfId="1">
      <alignment vertical="center" wrapText="1"/>
    </xf>
    <xf numFmtId="164" fontId="16" fillId="10" borderId="35" applyAlignment="1" pivotButton="0" quotePrefix="0" xfId="1">
      <alignment vertical="center" wrapText="1"/>
    </xf>
    <xf numFmtId="164" fontId="16" fillId="10" borderId="9" applyAlignment="1" pivotButton="0" quotePrefix="0" xfId="1">
      <alignment horizontal="center" vertical="center" wrapText="1"/>
    </xf>
    <xf numFmtId="164" fontId="8" fillId="10" borderId="9" applyAlignment="1" pivotButton="0" quotePrefix="0" xfId="1">
      <alignment vertical="center" wrapText="1"/>
    </xf>
    <xf numFmtId="164" fontId="16" fillId="10" borderId="9" applyAlignment="1" pivotButton="0" quotePrefix="0" xfId="1">
      <alignment vertical="center" wrapText="1"/>
    </xf>
    <xf numFmtId="164" fontId="16" fillId="10" borderId="39" applyAlignment="1" pivotButton="0" quotePrefix="0" xfId="1">
      <alignment vertical="center" wrapText="1"/>
    </xf>
    <xf numFmtId="164" fontId="16" fillId="10" borderId="23" applyAlignment="1" pivotButton="0" quotePrefix="0" xfId="1">
      <alignment horizontal="center" vertical="center" wrapText="1"/>
    </xf>
    <xf numFmtId="164" fontId="8" fillId="10" borderId="23" applyAlignment="1" pivotButton="0" quotePrefix="0" xfId="1">
      <alignment vertical="center" wrapText="1"/>
    </xf>
    <xf numFmtId="164" fontId="16" fillId="9" borderId="36" applyAlignment="1" pivotButton="0" quotePrefix="0" xfId="1">
      <alignment vertical="center" wrapText="1"/>
    </xf>
    <xf numFmtId="164" fontId="16" fillId="10" borderId="24" applyAlignment="1" pivotButton="0" quotePrefix="0" xfId="1">
      <alignment horizontal="center" vertical="center" wrapText="1"/>
    </xf>
    <xf numFmtId="164" fontId="8" fillId="10" borderId="24" applyAlignment="1" pivotButton="0" quotePrefix="0" xfId="1">
      <alignment vertical="center" wrapText="1"/>
    </xf>
    <xf numFmtId="164" fontId="16" fillId="10" borderId="24" applyAlignment="1" pivotButton="0" quotePrefix="0" xfId="1">
      <alignment vertical="center" wrapText="1"/>
    </xf>
    <xf numFmtId="164" fontId="16" fillId="10" borderId="37" applyAlignment="1" pivotButton="0" quotePrefix="0" xfId="1">
      <alignment vertical="center" wrapText="1"/>
    </xf>
    <xf numFmtId="164" fontId="8" fillId="9" borderId="23" applyAlignment="1" pivotButton="0" quotePrefix="0" xfId="1">
      <alignment vertical="center" wrapText="1"/>
    </xf>
    <xf numFmtId="164" fontId="8" fillId="9" borderId="0" applyAlignment="1" pivotButton="0" quotePrefix="0" xfId="1">
      <alignment vertical="center" wrapText="1"/>
    </xf>
    <xf numFmtId="164" fontId="8" fillId="0" borderId="0" applyAlignment="1" pivotButton="0" quotePrefix="0" xfId="1">
      <alignment vertical="center" wrapText="1"/>
    </xf>
    <xf numFmtId="164" fontId="16" fillId="0" borderId="0" applyAlignment="1" pivotButton="0" quotePrefix="0" xfId="1">
      <alignment vertical="center" wrapText="1"/>
    </xf>
    <xf numFmtId="164" fontId="16" fillId="10" borderId="0" applyAlignment="1" pivotButton="0" quotePrefix="0" xfId="1">
      <alignment horizontal="center" vertical="center" wrapText="1"/>
    </xf>
    <xf numFmtId="164" fontId="8" fillId="10" borderId="0" applyAlignment="1" pivotButton="0" quotePrefix="0" xfId="1">
      <alignment vertical="center" wrapText="1"/>
    </xf>
    <xf numFmtId="164" fontId="16" fillId="10" borderId="0" applyAlignment="1" pivotButton="0" quotePrefix="0" xfId="1">
      <alignment vertical="center" wrapText="1"/>
    </xf>
    <xf numFmtId="164" fontId="16" fillId="9" borderId="0" applyAlignment="1" pivotButton="0" quotePrefix="0" xfId="1">
      <alignment horizontal="right" vertical="center" wrapText="1"/>
    </xf>
    <xf numFmtId="0" fontId="1" fillId="2" borderId="2" applyAlignment="1" pivotButton="0" quotePrefix="0" xfId="0">
      <alignment horizontal="center" vertical="center"/>
    </xf>
    <xf numFmtId="0" fontId="1" fillId="3" borderId="2" applyAlignment="1" pivotButton="0" quotePrefix="0" xfId="0">
      <alignment vertical="center"/>
    </xf>
    <xf numFmtId="0" fontId="1" fillId="0" borderId="2" pivotButton="0" quotePrefix="0" xfId="0"/>
    <xf numFmtId="0" fontId="1" fillId="0" borderId="2" applyAlignment="1" pivotButton="0" quotePrefix="0" xfId="0">
      <alignment horizontal="right"/>
    </xf>
    <xf numFmtId="0" fontId="1" fillId="7" borderId="0" applyAlignment="1" pivotButton="0" quotePrefix="0" xfId="0">
      <alignment horizontal="right" vertical="center"/>
    </xf>
    <xf numFmtId="9" fontId="3" fillId="0" borderId="0" applyAlignment="1" pivotButton="0" quotePrefix="0" xfId="0">
      <alignment horizontal="center" vertical="center"/>
    </xf>
    <xf numFmtId="9" fontId="3" fillId="0" borderId="7" applyAlignment="1" pivotButton="0" quotePrefix="0" xfId="0">
      <alignment horizontal="center" vertical="center"/>
    </xf>
    <xf numFmtId="0" fontId="0" fillId="12" borderId="0" pivotButton="0" quotePrefix="0" xfId="0"/>
    <xf numFmtId="0" fontId="27" fillId="12" borderId="0" pivotButton="0" quotePrefix="0" xfId="0"/>
    <xf numFmtId="0" fontId="27" fillId="0" borderId="0" pivotButton="0" quotePrefix="0" xfId="0"/>
  </cellXfs>
  <cellStyles count="5">
    <cellStyle name="표준" xfId="0" builtinId="0"/>
    <cellStyle name="쉼표 [0]" xfId="1" builtinId="6"/>
    <cellStyle name="백분율" xfId="2" builtinId="5"/>
    <cellStyle name="표준 6" xfId="3"/>
    <cellStyle name="하이퍼링크" xfId="4" builtinId="8"/>
  </cellStyles>
  <dxfs count="374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한나</author>
  </authors>
  <commentList>
    <comment ref="D134" authorId="0" shapeId="0">
      <text>
        <t xml:space="preserve">한나:
</t>
      </text>
    </comment>
  </commentList>
</comments>
</file>

<file path=xl/comments/comment2.xml><?xml version="1.0" encoding="utf-8"?>
<comments xmlns="http://schemas.openxmlformats.org/spreadsheetml/2006/main">
  <authors>
    <author>한나</author>
  </authors>
  <commentList>
    <comment ref="E199" authorId="0" shapeId="0">
      <text>
        <t xml:space="preserve">한나:
</t>
      </text>
    </comment>
  </commentList>
</comment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new.land.naver.com/complexes/168463?ms=2AfAQG,3zprE6,17&amp;a=APT:ABYG:JGC&amp;b=A1:B1&amp;e=RETAIL&amp;h=34&amp;i=132&amp;l=198&amp;ad=true" TargetMode="External" Id="rId1" /><Relationship Type="http://schemas.openxmlformats.org/officeDocument/2006/relationships/hyperlink" Target="https://new.land.naver.com/complexes/168463?ms=2AfAQG,3zprE6,17&amp;a=APT:ABYG:JGC&amp;b=A1:B1&amp;e=RETAIL&amp;h=34&amp;i=132&amp;l=198&amp;ad=true" TargetMode="External" Id="rId2" /><Relationship Type="http://schemas.openxmlformats.org/officeDocument/2006/relationships/hyperlink" Target="https://new.land.naver.com/complexes/168463?ms=2AfAQG,3zprE6,17&amp;a=APT:ABYG:JGC&amp;b=A1:B1&amp;e=RETAIL&amp;h=34&amp;i=132&amp;l=198&amp;ad=true" TargetMode="External" Id="rId3" /><Relationship Type="http://schemas.openxmlformats.org/officeDocument/2006/relationships/hyperlink" Target="https://new.land.naver.com/complexes/168463?ms=2AfAQG,3zprE6,17&amp;a=APT:ABYG:JGC&amp;b=A1:B1&amp;e=RETAIL&amp;h=34&amp;i=132&amp;l=198&amp;ad=true" TargetMode="External" Id="rId4" /><Relationship Type="http://schemas.openxmlformats.org/officeDocument/2006/relationships/hyperlink" Target="https://new.land.naver.com/complexes/101822?ms=2AfAQG,3zprE6,17&amp;a=APT:ABYG:JGC&amp;b=A1:B1&amp;e=RETAIL&amp;h=34&amp;i=132&amp;l=198&amp;ad=true" TargetMode="External" Id="rId5" /><Relationship Type="http://schemas.openxmlformats.org/officeDocument/2006/relationships/hyperlink" Target="https://new.land.naver.com/complexes/101822?ms=2AfAQG,3zprE6,17&amp;a=APT:ABYG:JGC&amp;b=A1:B1&amp;e=RETAIL&amp;h=34&amp;i=132&amp;l=198&amp;ad=true" TargetMode="External" Id="rId6" /><Relationship Type="http://schemas.openxmlformats.org/officeDocument/2006/relationships/hyperlink" Target="https://new.land.naver.com/complexes/101822?ms=2AfAQG,3zprE6,17&amp;a=APT:ABYG:JGC&amp;b=A1:B1&amp;e=RETAIL&amp;h=34&amp;i=132&amp;l=198&amp;ad=true" TargetMode="External" Id="rId7" /><Relationship Type="http://schemas.openxmlformats.org/officeDocument/2006/relationships/hyperlink" Target="https://new.land.naver.com/complexes/12930?ms=2AfAQG,3zprE6,17&amp;a=APT:ABYG:JGC&amp;b=A1:B1&amp;e=RETAIL&amp;h=34&amp;i=132&amp;l=198&amp;ad=true" TargetMode="External" Id="rId8" /><Relationship Type="http://schemas.openxmlformats.org/officeDocument/2006/relationships/hyperlink" Target="https://new.land.naver.com/complexes/12930?ms=2AfAQG,3zprE6,17&amp;a=APT:ABYG:JGC&amp;b=A1:B1&amp;e=RETAIL&amp;h=34&amp;i=132&amp;l=198&amp;ad=true" TargetMode="External" Id="rId9" /><Relationship Type="http://schemas.openxmlformats.org/officeDocument/2006/relationships/hyperlink" Target="https://new.land.naver.com/complexes/12930?ms=2AfAQG,3zprE6,17&amp;a=APT:ABYG:JGC&amp;b=A1:B1&amp;e=RETAIL&amp;h=34&amp;i=132&amp;l=198&amp;ad=true" TargetMode="External" Id="rId10" /><Relationship Type="http://schemas.openxmlformats.org/officeDocument/2006/relationships/hyperlink" Target="https://new.land.naver.com/complexes/12930?ms=2AfAQG,3zprE6,17&amp;a=APT:ABYG:JGC&amp;b=A1:B1&amp;e=RETAIL&amp;h=34&amp;i=132&amp;l=198&amp;ad=true" TargetMode="External" Id="rId11" /><Relationship Type="http://schemas.openxmlformats.org/officeDocument/2006/relationships/hyperlink" Target="https://new.land.naver.com/complexes/5730?ms=2AfAQG,3zprE6,17&amp;a=APT:ABYG:JGC&amp;b=A1:B1&amp;e=RETAIL&amp;h=34&amp;i=132&amp;l=198&amp;ad=true" TargetMode="External" Id="rId12" /><Relationship Type="http://schemas.openxmlformats.org/officeDocument/2006/relationships/hyperlink" Target="https://new.land.naver.com/complexes/5730?ms=2AfAQG,3zprE6,17&amp;a=APT:ABYG:JGC&amp;b=A1:B1&amp;e=RETAIL&amp;h=34&amp;i=132&amp;l=198&amp;ad=true" TargetMode="External" Id="rId13" /><Relationship Type="http://schemas.openxmlformats.org/officeDocument/2006/relationships/hyperlink" Target="https://new.land.naver.com/complexes/5730?ms=2AfAQG,3zprE6,17&amp;a=APT:ABYG:JGC&amp;b=A1:B1&amp;e=RETAIL&amp;h=34&amp;i=132&amp;l=198&amp;ad=true" TargetMode="External" Id="rId14" /><Relationship Type="http://schemas.openxmlformats.org/officeDocument/2006/relationships/hyperlink" Target="https://new.land.naver.com/complexes/5730?ms=2AfAQG,3zprE6,17&amp;a=APT:ABYG:JGC&amp;b=A1:B1&amp;e=RETAIL&amp;h=34&amp;i=132&amp;l=198&amp;ad=true" TargetMode="External" Id="rId15" /><Relationship Type="http://schemas.openxmlformats.org/officeDocument/2006/relationships/hyperlink" Target="https://new.land.naver.com/complexes/5730?ms=2AfAQG,3zprE6,17&amp;a=APT:ABYG:JGC&amp;b=A1:B1&amp;e=RETAIL&amp;h=34&amp;i=132&amp;l=198&amp;ad=true" TargetMode="External" Id="rId16" /><Relationship Type="http://schemas.openxmlformats.org/officeDocument/2006/relationships/hyperlink" Target="https://new.land.naver.com/complexes/5730?ms=2AfAQG,3zprE6,17&amp;a=APT:ABYG:JGC&amp;b=A1:B1&amp;e=RETAIL&amp;h=34&amp;i=132&amp;l=198&amp;ad=true" TargetMode="External" Id="rId17" /><Relationship Type="http://schemas.openxmlformats.org/officeDocument/2006/relationships/hyperlink" Target="https://new.land.naver.com/complexes/5718?ms=2AfAQG,3zprE6,17&amp;a=APT:ABYG:JGC&amp;b=A1:B1&amp;e=RETAIL&amp;h=34&amp;i=132&amp;l=198&amp;ad=true" TargetMode="External" Id="rId18" /><Relationship Type="http://schemas.openxmlformats.org/officeDocument/2006/relationships/hyperlink" Target="https://new.land.naver.com/complexes/5718?ms=2AfAQG,3zprE6,17&amp;a=APT:ABYG:JGC&amp;b=A1:B1&amp;e=RETAIL&amp;h=34&amp;i=132&amp;l=198&amp;ad=true" TargetMode="External" Id="rId19" /><Relationship Type="http://schemas.openxmlformats.org/officeDocument/2006/relationships/hyperlink" Target="https://new.land.naver.com/complexes/5718?ms=2AfAQG,3zprE6,17&amp;a=APT:ABYG:JGC&amp;b=A1:B1&amp;e=RETAIL&amp;h=34&amp;i=132&amp;l=198&amp;ad=true" TargetMode="External" Id="rId20" /><Relationship Type="http://schemas.openxmlformats.org/officeDocument/2006/relationships/hyperlink" Target="https://new.land.naver.com/complexes/5718?ms=2AfAQG,3zprE6,17&amp;a=APT:ABYG:JGC&amp;b=A1:B1&amp;e=RETAIL&amp;h=34&amp;i=132&amp;l=198&amp;ad=true" TargetMode="External" Id="rId21" /><Relationship Type="http://schemas.openxmlformats.org/officeDocument/2006/relationships/hyperlink" Target="https://new.land.naver.com/complexes/131686?ms=2AfAQG,3zprE6,17&amp;a=APT:ABYG:JGC&amp;b=A1:B1&amp;e=RETAIL&amp;h=34&amp;i=132&amp;l=198&amp;ad=true" TargetMode="External" Id="rId22" /><Relationship Type="http://schemas.openxmlformats.org/officeDocument/2006/relationships/hyperlink" Target="https://new.land.naver.com/complexes/131686?ms=2AfAQG,3zprE6,17&amp;a=APT:ABYG:JGC&amp;b=A1:B1&amp;e=RETAIL&amp;h=34&amp;i=132&amp;l=198&amp;ad=true" TargetMode="External" Id="rId23" /><Relationship Type="http://schemas.openxmlformats.org/officeDocument/2006/relationships/hyperlink" Target="https://new.land.naver.com/complexes/131686?ms=2AfAQG,3zprE6,17&amp;a=APT:ABYG:JGC&amp;b=A1:B1&amp;e=RETAIL&amp;h=34&amp;i=132&amp;l=198&amp;ad=true" TargetMode="External" Id="rId24" /><Relationship Type="http://schemas.openxmlformats.org/officeDocument/2006/relationships/hyperlink" Target="https://new.land.naver.com/complexes/5646?ms=2AfAQG,3zprE6,17&amp;a=APT:ABYG:JGC&amp;b=A1:B1&amp;e=RETAIL&amp;h=34&amp;i=132&amp;l=198&amp;ad=true" TargetMode="External" Id="rId25" /><Relationship Type="http://schemas.openxmlformats.org/officeDocument/2006/relationships/hyperlink" Target="https://new.land.naver.com/complexes/5646?ms=2AfAQG,3zprE6,17&amp;a=APT:ABYG:JGC&amp;b=A1:B1&amp;e=RETAIL&amp;h=34&amp;i=132&amp;l=198&amp;ad=true" TargetMode="External" Id="rId26" /><Relationship Type="http://schemas.openxmlformats.org/officeDocument/2006/relationships/hyperlink" Target="https://new.land.naver.com/complexes/5646?ms=2AfAQG,3zprE6,17&amp;a=APT:ABYG:JGC&amp;b=A1:B1&amp;e=RETAIL&amp;h=34&amp;i=132&amp;l=198&amp;ad=true" TargetMode="External" Id="rId27" /><Relationship Type="http://schemas.openxmlformats.org/officeDocument/2006/relationships/hyperlink" Target="https://new.land.naver.com/complexes/5646?ms=2AfAQG,3zprE6,17&amp;a=APT:ABYG:JGC&amp;b=A1:B1&amp;e=RETAIL&amp;h=34&amp;i=132&amp;l=198&amp;ad=true" TargetMode="External" Id="rId28" /><Relationship Type="http://schemas.openxmlformats.org/officeDocument/2006/relationships/hyperlink" Target="https://new.land.naver.com/complexes/5646?ms=2AfAQG,3zprE6,17&amp;a=APT:ABYG:JGC&amp;b=A1:B1&amp;e=RETAIL&amp;h=34&amp;i=132&amp;l=198&amp;ad=true" TargetMode="External" Id="rId29" /><Relationship Type="http://schemas.openxmlformats.org/officeDocument/2006/relationships/hyperlink" Target="https://new.land.naver.com/complexes/15501?ms=2AfAQG,3zprE6,17&amp;a=APT:ABYG:JGC&amp;b=A1:B1&amp;e=RETAIL&amp;h=34&amp;i=132&amp;l=198&amp;ad=true" TargetMode="External" Id="rId30" /><Relationship Type="http://schemas.openxmlformats.org/officeDocument/2006/relationships/hyperlink" Target="https://new.land.naver.com/complexes/15501?ms=2AfAQG,3zprE6,17&amp;a=APT:ABYG:JGC&amp;b=A1:B1&amp;e=RETAIL&amp;h=34&amp;i=132&amp;l=198&amp;ad=true" TargetMode="External" Id="rId31" /><Relationship Type="http://schemas.openxmlformats.org/officeDocument/2006/relationships/hyperlink" Target="https://new.land.naver.com/complexes/15501?ms=2AfAQG,3zprE6,17&amp;a=APT:ABYG:JGC&amp;b=A1:B1&amp;e=RETAIL&amp;h=34&amp;i=132&amp;l=198&amp;ad=true" TargetMode="External" Id="rId32" /><Relationship Type="http://schemas.openxmlformats.org/officeDocument/2006/relationships/hyperlink" Target="https://new.land.naver.com/complexes/15501?ms=2AfAQG,3zprE6,17&amp;a=APT:ABYG:JGC&amp;b=A1:B1&amp;e=RETAIL&amp;h=34&amp;i=132&amp;l=198&amp;ad=true" TargetMode="External" Id="rId33" /><Relationship Type="http://schemas.openxmlformats.org/officeDocument/2006/relationships/hyperlink" Target="https://new.land.naver.com/complexes/5710?ms=2AfAQG,3zprE6,17&amp;a=APT:ABYG:JGC&amp;b=A1:B1&amp;e=RETAIL&amp;h=34&amp;i=132&amp;l=198&amp;ad=true" TargetMode="External" Id="rId34" /><Relationship Type="http://schemas.openxmlformats.org/officeDocument/2006/relationships/hyperlink" Target="https://new.land.naver.com/complexes/5710?ms=2AfAQG,3zprE6,17&amp;a=APT:ABYG:JGC&amp;b=A1:B1&amp;e=RETAIL&amp;h=34&amp;i=132&amp;l=198&amp;ad=true" TargetMode="External" Id="rId35" /><Relationship Type="http://schemas.openxmlformats.org/officeDocument/2006/relationships/hyperlink" Target="https://new.land.naver.com/complexes/5710?ms=2AfAQG,3zprE6,17&amp;a=APT:ABYG:JGC&amp;b=A1:B1&amp;e=RETAIL&amp;h=34&amp;i=132&amp;l=198&amp;ad=true" TargetMode="External" Id="rId36" /><Relationship Type="http://schemas.openxmlformats.org/officeDocument/2006/relationships/hyperlink" Target="https://new.land.naver.com/complexes/5710?ms=2AfAQG,3zprE6,17&amp;a=APT:ABYG:JGC&amp;b=A1:B1&amp;e=RETAIL&amp;h=34&amp;i=132&amp;l=198&amp;ad=true" TargetMode="External" Id="rId37" /><Relationship Type="http://schemas.openxmlformats.org/officeDocument/2006/relationships/hyperlink" Target="https://new.land.naver.com/complexes/17579?ms=2AfAQG,3zprE6,17&amp;a=APT:ABYG:JGC&amp;b=A1:B1&amp;e=RETAIL&amp;h=34&amp;i=132&amp;l=198&amp;ad=true" TargetMode="External" Id="rId38" /><Relationship Type="http://schemas.openxmlformats.org/officeDocument/2006/relationships/hyperlink" Target="https://new.land.naver.com/complexes/17579?ms=2AfAQG,3zprE6,17&amp;a=APT:ABYG:JGC&amp;b=A1:B1&amp;e=RETAIL&amp;h=34&amp;i=132&amp;l=198&amp;ad=true" TargetMode="External" Id="rId39" /><Relationship Type="http://schemas.openxmlformats.org/officeDocument/2006/relationships/hyperlink" Target="https://new.land.naver.com/complexes/17579?ms=2AfAQG,3zprE6,17&amp;a=APT:ABYG:JGC&amp;b=A1:B1&amp;e=RETAIL&amp;h=34&amp;i=132&amp;l=198&amp;ad=true" TargetMode="External" Id="rId40" /><Relationship Type="http://schemas.openxmlformats.org/officeDocument/2006/relationships/hyperlink" Target="https://new.land.naver.com/complexes/103468?ms=2AfAQG,3zprE6,17&amp;a=APT:ABYG:JGC&amp;b=A1:B1&amp;e=RETAIL&amp;h=34&amp;i=132&amp;l=198&amp;ad=true" TargetMode="External" Id="rId41" /><Relationship Type="http://schemas.openxmlformats.org/officeDocument/2006/relationships/hyperlink" Target="https://new.land.naver.com/complexes/103468?ms=2AfAQG,3zprE6,17&amp;a=APT:ABYG:JGC&amp;b=A1:B1&amp;e=RETAIL&amp;h=34&amp;i=132&amp;l=198&amp;ad=true" TargetMode="External" Id="rId42" /><Relationship Type="http://schemas.openxmlformats.org/officeDocument/2006/relationships/hyperlink" Target="https://new.land.naver.com/complexes/103468?ms=2AfAQG,3zprE6,17&amp;a=APT:ABYG:JGC&amp;b=A1:B1&amp;e=RETAIL&amp;h=34&amp;i=132&amp;l=198&amp;ad=true" TargetMode="External" Id="rId43" /><Relationship Type="http://schemas.openxmlformats.org/officeDocument/2006/relationships/hyperlink" Target="https://new.land.naver.com/complexes/103468?ms=2AfAQG,3zprE6,17&amp;a=APT:ABYG:JGC&amp;b=A1:B1&amp;e=RETAIL&amp;h=34&amp;i=132&amp;l=198&amp;ad=true" TargetMode="External" Id="rId44" /><Relationship Type="http://schemas.openxmlformats.org/officeDocument/2006/relationships/hyperlink" Target="https://new.land.naver.com/complexes/17013?ms=2AfAQG,3zprE6,17&amp;a=APT:ABYG:JGC&amp;b=A1:B1&amp;e=RETAIL&amp;h=34&amp;i=132&amp;l=198&amp;ad=true" TargetMode="External" Id="rId45" /><Relationship Type="http://schemas.openxmlformats.org/officeDocument/2006/relationships/hyperlink" Target="https://new.land.naver.com/complexes/17013?ms=2AfAQG,3zprE6,17&amp;a=APT:ABYG:JGC&amp;b=A1:B1&amp;e=RETAIL&amp;h=34&amp;i=132&amp;l=198&amp;ad=true" TargetMode="External" Id="rId46" /><Relationship Type="http://schemas.openxmlformats.org/officeDocument/2006/relationships/hyperlink" Target="https://new.land.naver.com/complexes/17013?ms=2AfAQG,3zprE6,17&amp;a=APT:ABYG:JGC&amp;b=A1:B1&amp;e=RETAIL&amp;h=34&amp;i=132&amp;l=198&amp;ad=true" TargetMode="External" Id="rId47" /><Relationship Type="http://schemas.openxmlformats.org/officeDocument/2006/relationships/hyperlink" Target="https://new.land.naver.com/complexes/17013?ms=2AfAQG,3zprE6,17&amp;a=APT:ABYG:JGC&amp;b=A1:B1&amp;e=RETAIL&amp;h=34&amp;i=132&amp;l=198&amp;ad=true" TargetMode="External" Id="rId48" /><Relationship Type="http://schemas.openxmlformats.org/officeDocument/2006/relationships/hyperlink" Target="https://new.land.naver.com/complexes/17013?ms=2AfAQG,3zprE6,17&amp;a=APT:ABYG:JGC&amp;b=A1:B1&amp;e=RETAIL&amp;h=34&amp;i=132&amp;l=198&amp;ad=true" TargetMode="External" Id="rId49" /><Relationship Type="http://schemas.openxmlformats.org/officeDocument/2006/relationships/hyperlink" Target="https://new.land.naver.com/complexes/17013?ms=2AfAQG,3zprE6,17&amp;a=APT:ABYG:JGC&amp;b=A1:B1&amp;e=RETAIL&amp;h=34&amp;i=132&amp;l=198&amp;ad=true" TargetMode="External" Id="rId50" /><Relationship Type="http://schemas.openxmlformats.org/officeDocument/2006/relationships/hyperlink" Target="https://new.land.naver.com/complexes/17013?ms=2AfAQG,3zprE6,17&amp;a=APT:ABYG:JGC&amp;b=A1:B1&amp;e=RETAIL&amp;h=34&amp;i=132&amp;l=198&amp;ad=true" TargetMode="External" Id="rId51" /><Relationship Type="http://schemas.openxmlformats.org/officeDocument/2006/relationships/hyperlink" Target="https://new.land.naver.com/complexes/23829?ms=2AfAQG,3zprE6,17&amp;a=APT:ABYG:JGC&amp;b=A1:B1&amp;e=RETAIL&amp;h=34&amp;i=132&amp;l=198&amp;ad=true" TargetMode="External" Id="rId52" /><Relationship Type="http://schemas.openxmlformats.org/officeDocument/2006/relationships/hyperlink" Target="https://new.land.naver.com/complexes/23829?ms=2AfAQG,3zprE6,17&amp;a=APT:ABYG:JGC&amp;b=A1:B1&amp;e=RETAIL&amp;h=34&amp;i=132&amp;l=198&amp;ad=true" TargetMode="External" Id="rId53" /><Relationship Type="http://schemas.openxmlformats.org/officeDocument/2006/relationships/hyperlink" Target="https://new.land.naver.com/complexes/5657?ms=2AfAQG,3zprE6,17&amp;a=APT:ABYG:JGC&amp;b=A1:B1&amp;e=RETAIL&amp;h=34&amp;i=132&amp;l=198&amp;ad=true" TargetMode="External" Id="rId54" /><Relationship Type="http://schemas.openxmlformats.org/officeDocument/2006/relationships/hyperlink" Target="https://new.land.naver.com/complexes/5657?ms=2AfAQG,3zprE6,17&amp;a=APT:ABYG:JGC&amp;b=A1:B1&amp;e=RETAIL&amp;h=34&amp;i=132&amp;l=198&amp;ad=true" TargetMode="External" Id="rId55" /><Relationship Type="http://schemas.openxmlformats.org/officeDocument/2006/relationships/hyperlink" Target="https://new.land.naver.com/complexes/5650?ms=2AfAQG,3zprE6,17&amp;a=APT:ABYG:JGC&amp;b=A1:B1&amp;e=RETAIL&amp;h=34&amp;i=132&amp;l=198&amp;ad=true" TargetMode="External" Id="rId56" /><Relationship Type="http://schemas.openxmlformats.org/officeDocument/2006/relationships/hyperlink" Target="https://new.land.naver.com/complexes/5650?ms=2AfAQG,3zprE6,17&amp;a=APT:ABYG:JGC&amp;b=A1:B1&amp;e=RETAIL&amp;h=34&amp;i=132&amp;l=198&amp;ad=true" TargetMode="External" Id="rId57" /><Relationship Type="http://schemas.openxmlformats.org/officeDocument/2006/relationships/hyperlink" Target="https://new.land.naver.com/complexes/5650?ms=2AfAQG,3zprE6,17&amp;a=APT:ABYG:JGC&amp;b=A1:B1&amp;e=RETAIL&amp;h=34&amp;i=132&amp;l=198&amp;ad=true" TargetMode="External" Id="rId58" /><Relationship Type="http://schemas.openxmlformats.org/officeDocument/2006/relationships/hyperlink" Target="https://new.land.naver.com/complexes/5650?ms=2AfAQG,3zprE6,17&amp;a=APT:ABYG:JGC&amp;b=A1:B1&amp;e=RETAIL&amp;h=34&amp;i=132&amp;l=198&amp;ad=true" TargetMode="External" Id="rId59" /><Relationship Type="http://schemas.openxmlformats.org/officeDocument/2006/relationships/hyperlink" Target="https://new.land.naver.com/complexes/5650?ms=2AfAQG,3zprE6,17&amp;a=APT:ABYG:JGC&amp;b=A1:B1&amp;e=RETAIL&amp;h=34&amp;i=132&amp;l=198&amp;ad=true" TargetMode="External" Id="rId60" /><Relationship Type="http://schemas.openxmlformats.org/officeDocument/2006/relationships/hyperlink" Target="https://new.land.naver.com/complexes/5650?ms=2AfAQG,3zprE6,17&amp;a=APT:ABYG:JGC&amp;b=A1:B1&amp;e=RETAIL&amp;h=34&amp;i=132&amp;l=198&amp;ad=true" TargetMode="External" Id="rId61" /><Relationship Type="http://schemas.openxmlformats.org/officeDocument/2006/relationships/hyperlink" Target="https://new.land.naver.com/complexes/5650?ms=2AfAQG,3zprE6,17&amp;a=APT:ABYG:JGC&amp;b=A1:B1&amp;e=RETAIL&amp;h=34&amp;i=132&amp;l=198&amp;ad=true" TargetMode="External" Id="rId62" /><Relationship Type="http://schemas.openxmlformats.org/officeDocument/2006/relationships/hyperlink" Target="https://new.land.naver.com/complexes/5661?ms=2AfAQG,3zprE6,17&amp;a=APT:ABYG:JGC&amp;b=A1:B1&amp;e=RETAIL&amp;h=34&amp;i=132&amp;l=198&amp;ad=true" TargetMode="External" Id="rId63" /><Relationship Type="http://schemas.openxmlformats.org/officeDocument/2006/relationships/hyperlink" Target="https://new.land.naver.com/complexes/5661?ms=2AfAQG,3zprE6,17&amp;a=APT:ABYG:JGC&amp;b=A1:B1&amp;e=RETAIL&amp;h=34&amp;i=132&amp;l=198&amp;ad=true" TargetMode="External" Id="rId64" /><Relationship Type="http://schemas.openxmlformats.org/officeDocument/2006/relationships/hyperlink" Target="https://new.land.naver.com/complexes/5661?ms=2AfAQG,3zprE6,17&amp;a=APT:ABYG:JGC&amp;b=A1:B1&amp;e=RETAIL&amp;h=34&amp;i=132&amp;l=198&amp;ad=true" TargetMode="External" Id="rId65" /><Relationship Type="http://schemas.openxmlformats.org/officeDocument/2006/relationships/hyperlink" Target="https://new.land.naver.com/complexes/5661?ms=2AfAQG,3zprE6,17&amp;a=APT:ABYG:JGC&amp;b=A1:B1&amp;e=RETAIL&amp;h=34&amp;i=132&amp;l=198&amp;ad=true" TargetMode="External" Id="rId66" /><Relationship Type="http://schemas.openxmlformats.org/officeDocument/2006/relationships/hyperlink" Target="https://new.land.naver.com/complexes/5681?ms=2AfAQG,3zprE6,17&amp;a=APT:ABYG:JGC&amp;b=A1:B1&amp;e=RETAIL&amp;h=34&amp;i=132&amp;l=198&amp;ad=true" TargetMode="External" Id="rId67" /><Relationship Type="http://schemas.openxmlformats.org/officeDocument/2006/relationships/hyperlink" Target="https://new.land.naver.com/complexes/5681?ms=2AfAQG,3zprE6,17&amp;a=APT:ABYG:JGC&amp;b=A1:B1&amp;e=RETAIL&amp;h=34&amp;i=132&amp;l=198&amp;ad=true" TargetMode="External" Id="rId68" /><Relationship Type="http://schemas.openxmlformats.org/officeDocument/2006/relationships/hyperlink" Target="https://new.land.naver.com/complexes/5681?ms=2AfAQG,3zprE6,17&amp;a=APT:ABYG:JGC&amp;b=A1:B1&amp;e=RETAIL&amp;h=34&amp;i=132&amp;l=198&amp;ad=true" TargetMode="External" Id="rId69" /><Relationship Type="http://schemas.openxmlformats.org/officeDocument/2006/relationships/hyperlink" Target="https://new.land.naver.com/complexes/5681?ms=2AfAQG,3zprE6,17&amp;a=APT:ABYG:JGC&amp;b=A1:B1&amp;e=RETAIL&amp;h=34&amp;i=132&amp;l=198&amp;ad=true" TargetMode="External" Id="rId70" /><Relationship Type="http://schemas.openxmlformats.org/officeDocument/2006/relationships/hyperlink" Target="https://new.land.naver.com/complexes/5681?ms=2AfAQG,3zprE6,17&amp;a=APT:ABYG:JGC&amp;b=A1:B1&amp;e=RETAIL&amp;h=34&amp;i=132&amp;l=198&amp;ad=true" TargetMode="External" Id="rId71" /><Relationship Type="http://schemas.openxmlformats.org/officeDocument/2006/relationships/hyperlink" Target="https://new.land.naver.com/complexes/5681?ms=2AfAQG,3zprE6,17&amp;a=APT:ABYG:JGC&amp;b=A1:B1&amp;e=RETAIL&amp;h=34&amp;i=132&amp;l=198&amp;ad=true" TargetMode="External" Id="rId72" /><Relationship Type="http://schemas.openxmlformats.org/officeDocument/2006/relationships/hyperlink" Target="https://new.land.naver.com/complexes/5659?ms=2AfAQG,3zprE6,17&amp;a=APT:ABYG:JGC&amp;b=A1:B1&amp;e=RETAIL&amp;h=34&amp;i=132&amp;l=198&amp;ad=true" TargetMode="External" Id="rId73" /><Relationship Type="http://schemas.openxmlformats.org/officeDocument/2006/relationships/hyperlink" Target="https://new.land.naver.com/complexes/5659?ms=2AfAQG,3zprE6,17&amp;a=APT:ABYG:JGC&amp;b=A1:B1&amp;e=RETAIL&amp;h=34&amp;i=132&amp;l=198&amp;ad=true" TargetMode="External" Id="rId74" /><Relationship Type="http://schemas.openxmlformats.org/officeDocument/2006/relationships/hyperlink" Target="https://new.land.naver.com/complexes/5659?ms=2AfAQG,3zprE6,17&amp;a=APT:ABYG:JGC&amp;b=A1:B1&amp;e=RETAIL&amp;h=34&amp;i=132&amp;l=198&amp;ad=true" TargetMode="External" Id="rId75" /><Relationship Type="http://schemas.openxmlformats.org/officeDocument/2006/relationships/hyperlink" Target="https://new.land.naver.com/complexes/5659?ms=2AfAQG,3zprE6,17&amp;a=APT:ABYG:JGC&amp;b=A1:B1&amp;e=RETAIL&amp;h=34&amp;i=132&amp;l=198&amp;ad=true" TargetMode="External" Id="rId76" /><Relationship Type="http://schemas.openxmlformats.org/officeDocument/2006/relationships/hyperlink" Target="https://new.land.naver.com/complexes/5672?ms=2AfAQG,3zprE6,17&amp;a=APT:ABYG:JGC&amp;b=A1:B1&amp;e=RETAIL&amp;h=34&amp;i=132&amp;l=198&amp;ad=true" TargetMode="External" Id="rId77" /><Relationship Type="http://schemas.openxmlformats.org/officeDocument/2006/relationships/hyperlink" Target="https://new.land.naver.com/complexes/5672?ms=2AfAQG,3zprE6,17&amp;a=APT:ABYG:JGC&amp;b=A1:B1&amp;e=RETAIL&amp;h=34&amp;i=132&amp;l=198&amp;ad=true" TargetMode="External" Id="rId78" /><Relationship Type="http://schemas.openxmlformats.org/officeDocument/2006/relationships/hyperlink" Target="https://new.land.naver.com/complexes/5672?ms=2AfAQG,3zprE6,17&amp;a=APT:ABYG:JGC&amp;b=A1:B1&amp;e=RETAIL&amp;h=34&amp;i=132&amp;l=198&amp;ad=true" TargetMode="External" Id="rId79" /><Relationship Type="http://schemas.openxmlformats.org/officeDocument/2006/relationships/hyperlink" Target="https://new.land.naver.com/complexes/5672?ms=2AfAQG,3zprE6,17&amp;a=APT:ABYG:JGC&amp;b=A1:B1&amp;e=RETAIL&amp;h=34&amp;i=132&amp;l=198&amp;ad=true" TargetMode="External" Id="rId80" /><Relationship Type="http://schemas.openxmlformats.org/officeDocument/2006/relationships/hyperlink" Target="https://new.land.naver.com/complexes/115235?ms=2AfAQG,3zprE6,17&amp;a=APT:ABYG:JGC&amp;b=A1:B1&amp;e=RETAIL&amp;h=34&amp;i=132&amp;l=198&amp;ad=true" TargetMode="External" Id="rId81" /><Relationship Type="http://schemas.openxmlformats.org/officeDocument/2006/relationships/hyperlink" Target="https://new.land.naver.com/complexes/115235?ms=2AfAQG,3zprE6,17&amp;a=APT:ABYG:JGC&amp;b=A1:B1&amp;e=RETAIL&amp;h=34&amp;i=132&amp;l=198&amp;ad=true" TargetMode="External" Id="rId82" /><Relationship Type="http://schemas.openxmlformats.org/officeDocument/2006/relationships/hyperlink" Target="https://new.land.naver.com/complexes/115235?ms=2AfAQG,3zprE6,17&amp;a=APT:ABYG:JGC&amp;b=A1:B1&amp;e=RETAIL&amp;h=34&amp;i=132&amp;l=198&amp;ad=true" TargetMode="External" Id="rId83" /><Relationship Type="http://schemas.openxmlformats.org/officeDocument/2006/relationships/hyperlink" Target="https://new.land.naver.com/complexes/115235?ms=2AfAQG,3zprE6,17&amp;a=APT:ABYG:JGC&amp;b=A1:B1&amp;e=RETAIL&amp;h=34&amp;i=132&amp;l=198&amp;ad=true" TargetMode="External" Id="rId84" /><Relationship Type="http://schemas.openxmlformats.org/officeDocument/2006/relationships/hyperlink" Target="https://new.land.naver.com/complexes/115287?ms=2AfAQG,3zprE6,17&amp;a=APT:ABYG:JGC&amp;b=A1:B1&amp;e=RETAIL&amp;h=34&amp;i=132&amp;l=198&amp;ad=true" TargetMode="External" Id="rId85" /><Relationship Type="http://schemas.openxmlformats.org/officeDocument/2006/relationships/hyperlink" Target="https://new.land.naver.com/complexes/115287?ms=2AfAQG,3zprE6,17&amp;a=APT:ABYG:JGC&amp;b=A1:B1&amp;e=RETAIL&amp;h=34&amp;i=132&amp;l=198&amp;ad=true" TargetMode="External" Id="rId86" /><Relationship Type="http://schemas.openxmlformats.org/officeDocument/2006/relationships/hyperlink" Target="https://new.land.naver.com/complexes/115287?ms=2AfAQG,3zprE6,17&amp;a=APT:ABYG:JGC&amp;b=A1:B1&amp;e=RETAIL&amp;h=34&amp;i=132&amp;l=198&amp;ad=true" TargetMode="External" Id="rId87" /><Relationship Type="http://schemas.openxmlformats.org/officeDocument/2006/relationships/hyperlink" Target="https://new.land.naver.com/complexes/144177?ms=2AfAQG,3zprE6,17&amp;a=APT:ABYG:JGC&amp;b=A1:B1&amp;e=RETAIL&amp;h=34&amp;i=132&amp;l=198&amp;ad=true" TargetMode="External" Id="rId88" /><Relationship Type="http://schemas.openxmlformats.org/officeDocument/2006/relationships/hyperlink" Target="https://new.land.naver.com/complexes/144177?ms=2AfAQG,3zprE6,17&amp;a=APT:ABYG:JGC&amp;b=A1:B1&amp;e=RETAIL&amp;h=34&amp;i=132&amp;l=198&amp;ad=true" TargetMode="External" Id="rId89" /><Relationship Type="http://schemas.openxmlformats.org/officeDocument/2006/relationships/hyperlink" Target="https://new.land.naver.com/complexes/144177?ms=2AfAQG,3zprE6,17&amp;a=APT:ABYG:JGC&amp;b=A1:B1&amp;e=RETAIL&amp;h=34&amp;i=132&amp;l=198&amp;ad=true" TargetMode="External" Id="rId90" /><Relationship Type="http://schemas.openxmlformats.org/officeDocument/2006/relationships/hyperlink" Target="https://new.land.naver.com/complexes/109057?ms=2AfAQG,3zprE6,17&amp;a=APT:ABYG:JGC&amp;b=A1:B1&amp;e=RETAIL&amp;h=34&amp;i=132&amp;l=198&amp;ad=true" TargetMode="External" Id="rId91" /><Relationship Type="http://schemas.openxmlformats.org/officeDocument/2006/relationships/hyperlink" Target="https://new.land.naver.com/complexes/109057?ms=2AfAQG,3zprE6,17&amp;a=APT:ABYG:JGC&amp;b=A1:B1&amp;e=RETAIL&amp;h=34&amp;i=132&amp;l=198&amp;ad=true" TargetMode="External" Id="rId92" /><Relationship Type="http://schemas.openxmlformats.org/officeDocument/2006/relationships/hyperlink" Target="https://new.land.naver.com/complexes/109057?ms=2AfAQG,3zprE6,17&amp;a=APT:ABYG:JGC&amp;b=A1:B1&amp;e=RETAIL&amp;h=34&amp;i=132&amp;l=198&amp;ad=true" TargetMode="External" Id="rId93" /><Relationship Type="http://schemas.openxmlformats.org/officeDocument/2006/relationships/hyperlink" Target="https://new.land.naver.com/complexes/109057?ms=2AfAQG,3zprE6,17&amp;a=APT:ABYG:JGC&amp;b=A1:B1&amp;e=RETAIL&amp;h=34&amp;i=132&amp;l=198&amp;ad=true" TargetMode="External" Id="rId94" /><Relationship Type="http://schemas.openxmlformats.org/officeDocument/2006/relationships/hyperlink" Target="https://new.land.naver.com/complexes/27353?ms=2AfAQG,3zprE6,17&amp;a=APT:ABYG:JGC&amp;b=A1:B1&amp;e=RETAIL&amp;h=34&amp;i=132&amp;l=198&amp;ad=true" TargetMode="External" Id="rId95" /><Relationship Type="http://schemas.openxmlformats.org/officeDocument/2006/relationships/hyperlink" Target="https://new.land.naver.com/complexes/22434?ms=2AfAQG,3zprE6,17&amp;a=APT:ABYG:JGC&amp;b=A1:B1&amp;e=RETAIL&amp;h=34&amp;i=132&amp;l=198&amp;ad=true" TargetMode="External" Id="rId96" /><Relationship Type="http://schemas.openxmlformats.org/officeDocument/2006/relationships/hyperlink" Target="https://new.land.naver.com/complexes/19383?ms=2AfAQG,3zprE6,17&amp;a=APT:ABYG:JGC&amp;b=A1:B1&amp;e=RETAIL&amp;h=34&amp;i=132&amp;l=198&amp;ad=true" TargetMode="External" Id="rId97" /><Relationship Type="http://schemas.openxmlformats.org/officeDocument/2006/relationships/hyperlink" Target="https://new.land.naver.com/complexes/19383?ms=2AfAQG,3zprE6,17&amp;a=APT:ABYG:JGC&amp;b=A1:B1&amp;e=RETAIL&amp;h=34&amp;i=132&amp;l=198&amp;ad=true" TargetMode="External" Id="rId98" /><Relationship Type="http://schemas.openxmlformats.org/officeDocument/2006/relationships/hyperlink" Target="https://new.land.naver.com/complexes/19383?ms=2AfAQG,3zprE6,17&amp;a=APT:ABYG:JGC&amp;b=A1:B1&amp;e=RETAIL&amp;h=34&amp;i=132&amp;l=198&amp;ad=true" TargetMode="External" Id="rId99" /><Relationship Type="http://schemas.openxmlformats.org/officeDocument/2006/relationships/hyperlink" Target="https://new.land.naver.com/complexes/19583?ms=2AfAQG,3zprE6,17&amp;a=APT:ABYG:JGC&amp;b=A1:B1&amp;e=RETAIL&amp;h=34&amp;i=132&amp;l=198&amp;ad=true" TargetMode="External" Id="rId100" /><Relationship Type="http://schemas.openxmlformats.org/officeDocument/2006/relationships/hyperlink" Target="https://new.land.naver.com/complexes/19583?ms=2AfAQG,3zprE6,17&amp;a=APT:ABYG:JGC&amp;b=A1:B1&amp;e=RETAIL&amp;h=34&amp;i=132&amp;l=198&amp;ad=true" TargetMode="External" Id="rId101" /><Relationship Type="http://schemas.openxmlformats.org/officeDocument/2006/relationships/hyperlink" Target="https://new.land.naver.com/complexes/19583?ms=2AfAQG,3zprE6,17&amp;a=APT:ABYG:JGC&amp;b=A1:B1&amp;e=RETAIL&amp;h=34&amp;i=132&amp;l=198&amp;ad=true" TargetMode="External" Id="rId102" /><Relationship Type="http://schemas.openxmlformats.org/officeDocument/2006/relationships/hyperlink" Target="https://new.land.naver.com/complexes/24171?ms=2AfAQG,3zprE6,17&amp;a=APT:ABYG:JGC&amp;b=A1:B1&amp;e=RETAIL&amp;h=34&amp;i=132&amp;l=198&amp;ad=true" TargetMode="External" Id="rId103" /><Relationship Type="http://schemas.openxmlformats.org/officeDocument/2006/relationships/hyperlink" Target="https://new.land.naver.com/complexes/104970?ms=2AfAQG,3zprE6,17&amp;a=APT:ABYG:JGC&amp;b=A1:B1&amp;e=RETAIL&amp;h=34&amp;i=132&amp;l=198&amp;ad=true" TargetMode="External" Id="rId104" /><Relationship Type="http://schemas.openxmlformats.org/officeDocument/2006/relationships/hyperlink" Target="https://new.land.naver.com/complexes/104970?ms=2AfAQG,3zprE6,17&amp;a=APT:ABYG:JGC&amp;b=A1:B1&amp;e=RETAIL&amp;h=34&amp;i=132&amp;l=198&amp;ad=true" TargetMode="External" Id="rId105" /><Relationship Type="http://schemas.openxmlformats.org/officeDocument/2006/relationships/hyperlink" Target="https://new.land.naver.com/complexes/104970?ms=2AfAQG,3zprE6,17&amp;a=APT:ABYG:JGC&amp;b=A1:B1&amp;e=RETAIL&amp;h=34&amp;i=132&amp;l=198&amp;ad=true" TargetMode="External" Id="rId106" /><Relationship Type="http://schemas.openxmlformats.org/officeDocument/2006/relationships/hyperlink" Target="https://new.land.naver.com/complexes/12800?ms=2AfAQG,3zprE6,17&amp;a=APT:ABYG:JGC&amp;b=A1:B1&amp;e=RETAIL&amp;h=34&amp;i=132&amp;l=198&amp;ad=true" TargetMode="External" Id="rId107" /><Relationship Type="http://schemas.openxmlformats.org/officeDocument/2006/relationships/hyperlink" Target="https://new.land.naver.com/complexes/12800?ms=2AfAQG,3zprE6,17&amp;a=APT:ABYG:JGC&amp;b=A1:B1&amp;e=RETAIL&amp;h=34&amp;i=132&amp;l=198&amp;ad=true" TargetMode="External" Id="rId108" /><Relationship Type="http://schemas.openxmlformats.org/officeDocument/2006/relationships/hyperlink" Target="https://new.land.naver.com/complexes/12800?ms=2AfAQG,3zprE6,17&amp;a=APT:ABYG:JGC&amp;b=A1:B1&amp;e=RETAIL&amp;h=34&amp;i=132&amp;l=198&amp;ad=true" TargetMode="External" Id="rId109" /><Relationship Type="http://schemas.openxmlformats.org/officeDocument/2006/relationships/hyperlink" Target="https://new.land.naver.com/complexes/12800?ms=2AfAQG,3zprE6,17&amp;a=APT:ABYG:JGC&amp;b=A1:B1&amp;e=RETAIL&amp;h=34&amp;i=132&amp;l=198&amp;ad=true" TargetMode="External" Id="rId110" /><Relationship Type="http://schemas.openxmlformats.org/officeDocument/2006/relationships/hyperlink" Target="https://new.land.naver.com/complexes/12800?ms=2AfAQG,3zprE6,17&amp;a=APT:ABYG:JGC&amp;b=A1:B1&amp;e=RETAIL&amp;h=34&amp;i=132&amp;l=198&amp;ad=true" TargetMode="External" Id="rId111" /><Relationship Type="http://schemas.openxmlformats.org/officeDocument/2006/relationships/hyperlink" Target="https://new.land.naver.com/complexes/26064?ms=2AfAQG,3zprE6,17&amp;a=APT:ABYG:JGC&amp;b=A1:B1&amp;e=RETAIL&amp;h=34&amp;i=132&amp;l=198&amp;ad=true" TargetMode="External" Id="rId112" /><Relationship Type="http://schemas.openxmlformats.org/officeDocument/2006/relationships/hyperlink" Target="https://new.land.naver.com/complexes/26064?ms=2AfAQG,3zprE6,17&amp;a=APT:ABYG:JGC&amp;b=A1:B1&amp;e=RETAIL&amp;h=34&amp;i=132&amp;l=198&amp;ad=true" TargetMode="External" Id="rId113" /><Relationship Type="http://schemas.openxmlformats.org/officeDocument/2006/relationships/hyperlink" Target="https://new.land.naver.com/complexes/19734?ms=2AfAQG,3zprE6,17&amp;a=APT:ABYG:JGC&amp;b=A1:B1&amp;e=RETAIL&amp;h=34&amp;i=132&amp;l=198&amp;ad=true" TargetMode="External" Id="rId114" /><Relationship Type="http://schemas.openxmlformats.org/officeDocument/2006/relationships/hyperlink" Target="https://new.land.naver.com/complexes/19734?ms=2AfAQG,3zprE6,17&amp;a=APT:ABYG:JGC&amp;b=A1:B1&amp;e=RETAIL&amp;h=34&amp;i=132&amp;l=198&amp;ad=true" TargetMode="External" Id="rId115" /><Relationship Type="http://schemas.openxmlformats.org/officeDocument/2006/relationships/hyperlink" Target="https://new.land.naver.com/complexes/19734?ms=2AfAQG,3zprE6,17&amp;a=APT:ABYG:JGC&amp;b=A1:B1&amp;e=RETAIL&amp;h=34&amp;i=132&amp;l=198&amp;ad=true" TargetMode="External" Id="rId116" /><Relationship Type="http://schemas.openxmlformats.org/officeDocument/2006/relationships/hyperlink" Target="https://new.land.naver.com/complexes/19734?ms=2AfAQG,3zprE6,17&amp;a=APT:ABYG:JGC&amp;b=A1:B1&amp;e=RETAIL&amp;h=34&amp;i=132&amp;l=198&amp;ad=true" TargetMode="External" Id="rId117" /><Relationship Type="http://schemas.openxmlformats.org/officeDocument/2006/relationships/hyperlink" Target="https://new.land.naver.com/complexes/103233?ms=2AfAQG,3zprE6,17&amp;a=APT:ABYG:JGC&amp;b=A1:B1&amp;e=RETAIL&amp;h=34&amp;i=132&amp;l=198&amp;ad=true" TargetMode="External" Id="rId118" /><Relationship Type="http://schemas.openxmlformats.org/officeDocument/2006/relationships/hyperlink" Target="https://new.land.naver.com/complexes/103233?ms=2AfAQG,3zprE6,17&amp;a=APT:ABYG:JGC&amp;b=A1:B1&amp;e=RETAIL&amp;h=34&amp;i=132&amp;l=198&amp;ad=true" TargetMode="External" Id="rId119" /><Relationship Type="http://schemas.openxmlformats.org/officeDocument/2006/relationships/hyperlink" Target="https://new.land.naver.com/complexes/103233?ms=2AfAQG,3zprE6,17&amp;a=APT:ABYG:JGC&amp;b=A1:B1&amp;e=RETAIL&amp;h=34&amp;i=132&amp;l=198&amp;ad=true" TargetMode="External" Id="rId120" /><Relationship Type="http://schemas.openxmlformats.org/officeDocument/2006/relationships/hyperlink" Target="https://new.land.naver.com/complexes/18746?ms=2AfAQG,3zprE6,17&amp;a=APT:ABYG:JGC&amp;b=A1:B1&amp;e=RETAIL&amp;h=34&amp;i=132&amp;l=198&amp;ad=true" TargetMode="External" Id="rId121" /><Relationship Type="http://schemas.openxmlformats.org/officeDocument/2006/relationships/hyperlink" Target="https://new.land.naver.com/complexes/18746?ms=2AfAQG,3zprE6,17&amp;a=APT:ABYG:JGC&amp;b=A1:B1&amp;e=RETAIL&amp;h=34&amp;i=132&amp;l=198&amp;ad=true" TargetMode="External" Id="rId122" /><Relationship Type="http://schemas.openxmlformats.org/officeDocument/2006/relationships/hyperlink" Target="https://new.land.naver.com/complexes/18746?ms=2AfAQG,3zprE6,17&amp;a=APT:ABYG:JGC&amp;b=A1:B1&amp;e=RETAIL&amp;h=34&amp;i=132&amp;l=198&amp;ad=true" TargetMode="External" Id="rId123" /><Relationship Type="http://schemas.openxmlformats.org/officeDocument/2006/relationships/hyperlink" Target="https://new.land.naver.com/complexes/127001?ms=2AfAQG,3zprE6,17&amp;a=APT:ABYG:JGC&amp;b=A1:B1&amp;e=RETAIL&amp;h=34&amp;i=132&amp;l=198&amp;ad=true" TargetMode="External" Id="rId124" /><Relationship Type="http://schemas.openxmlformats.org/officeDocument/2006/relationships/hyperlink" Target="https://new.land.naver.com/complexes/127001?ms=2AfAQG,3zprE6,17&amp;a=APT:ABYG:JGC&amp;b=A1:B1&amp;e=RETAIL&amp;h=34&amp;i=132&amp;l=198&amp;ad=true" TargetMode="External" Id="rId125" /><Relationship Type="http://schemas.openxmlformats.org/officeDocument/2006/relationships/hyperlink" Target="https://new.land.naver.com/complexes/127001?ms=2AfAQG,3zprE6,17&amp;a=APT:ABYG:JGC&amp;b=A1:B1&amp;e=RETAIL&amp;h=34&amp;i=132&amp;l=198&amp;ad=true" TargetMode="External" Id="rId126" /><Relationship Type="http://schemas.openxmlformats.org/officeDocument/2006/relationships/hyperlink" Target="https://new.land.naver.com/complexes/127001?ms=2AfAQG,3zprE6,17&amp;a=APT:ABYG:JGC&amp;b=A1:B1&amp;e=RETAIL&amp;h=34&amp;i=132&amp;l=198&amp;ad=true" TargetMode="External" Id="rId127" /><Relationship Type="http://schemas.openxmlformats.org/officeDocument/2006/relationships/hyperlink" Target="https://new.land.naver.com/complexes/127001?ms=2AfAQG,3zprE6,17&amp;a=APT:ABYG:JGC&amp;b=A1:B1&amp;e=RETAIL&amp;h=34&amp;i=132&amp;l=198&amp;ad=true" TargetMode="External" Id="rId128" /><Relationship Type="http://schemas.openxmlformats.org/officeDocument/2006/relationships/hyperlink" Target="https://new.land.naver.com/complexes/101062?ms=2AfAQG,3zprE6,17&amp;a=APT:ABYG:JGC&amp;b=A1:B1&amp;e=RETAIL&amp;h=34&amp;i=132&amp;l=198&amp;ad=true" TargetMode="External" Id="rId129" /><Relationship Type="http://schemas.openxmlformats.org/officeDocument/2006/relationships/hyperlink" Target="https://new.land.naver.com/complexes/101062?ms=2AfAQG,3zprE6,17&amp;a=APT:ABYG:JGC&amp;b=A1:B1&amp;e=RETAIL&amp;h=34&amp;i=132&amp;l=198&amp;ad=true" TargetMode="External" Id="rId130" /><Relationship Type="http://schemas.openxmlformats.org/officeDocument/2006/relationships/hyperlink" Target="https://new.land.naver.com/complexes/5698?ms=2AfAQG,3zprE6,17&amp;a=APT:ABYG:JGC&amp;b=A1:B1&amp;e=RETAIL&amp;h=34&amp;i=132&amp;l=198&amp;ad=true" TargetMode="External" Id="rId131" /><Relationship Type="http://schemas.openxmlformats.org/officeDocument/2006/relationships/hyperlink" Target="https://new.land.naver.com/complexes/5698?ms=2AfAQG,3zprE6,17&amp;a=APT:ABYG:JGC&amp;b=A1:B1&amp;e=RETAIL&amp;h=34&amp;i=132&amp;l=198&amp;ad=true" TargetMode="External" Id="rId132" /><Relationship Type="http://schemas.openxmlformats.org/officeDocument/2006/relationships/hyperlink" Target="https://new.land.naver.com/complexes/5698?ms=2AfAQG,3zprE6,17&amp;a=APT:ABYG:JGC&amp;b=A1:B1&amp;e=RETAIL&amp;h=34&amp;i=132&amp;l=198&amp;ad=true" TargetMode="External" Id="rId133" /><Relationship Type="http://schemas.openxmlformats.org/officeDocument/2006/relationships/hyperlink" Target="https://new.land.naver.com/complexes/5698?ms=2AfAQG,3zprE6,17&amp;a=APT:ABYG:JGC&amp;b=A1:B1&amp;e=RETAIL&amp;h=34&amp;i=132&amp;l=198&amp;ad=true" TargetMode="External" Id="rId134" /><Relationship Type="http://schemas.openxmlformats.org/officeDocument/2006/relationships/hyperlink" Target="https://new.land.naver.com/complexes/103235?ms=2AfAQG,3zprE6,17&amp;a=APT:ABYG:JGC&amp;b=A1:B1&amp;e=RETAIL&amp;h=34&amp;i=132&amp;l=198&amp;ad=true" TargetMode="External" Id="rId135" /><Relationship Type="http://schemas.openxmlformats.org/officeDocument/2006/relationships/hyperlink" Target="https://new.land.naver.com/complexes/103235?ms=2AfAQG,3zprE6,17&amp;a=APT:ABYG:JGC&amp;b=A1:B1&amp;e=RETAIL&amp;h=34&amp;i=132&amp;l=198&amp;ad=true" TargetMode="External" Id="rId136" /><Relationship Type="http://schemas.openxmlformats.org/officeDocument/2006/relationships/hyperlink" Target="https://new.land.naver.com/complexes/103235?ms=2AfAQG,3zprE6,17&amp;a=APT:ABYG:JGC&amp;b=A1:B1&amp;e=RETAIL&amp;h=34&amp;i=132&amp;l=198&amp;ad=true" TargetMode="External" Id="rId137" /><Relationship Type="http://schemas.openxmlformats.org/officeDocument/2006/relationships/hyperlink" Target="https://new.land.naver.com/complexes/17019?ms=2AfAQG,3zprE6,17&amp;a=APT:ABYG:JGC&amp;b=A1:B1&amp;e=RETAIL&amp;h=34&amp;i=132&amp;l=198&amp;ad=true" TargetMode="External" Id="rId138" /><Relationship Type="http://schemas.openxmlformats.org/officeDocument/2006/relationships/hyperlink" Target="https://new.land.naver.com/complexes/17019?ms=2AfAQG,3zprE6,17&amp;a=APT:ABYG:JGC&amp;b=A1:B1&amp;e=RETAIL&amp;h=34&amp;i=132&amp;l=198&amp;ad=true" TargetMode="External" Id="rId139" /><Relationship Type="http://schemas.openxmlformats.org/officeDocument/2006/relationships/hyperlink" Target="https://new.land.naver.com/complexes/17019?ms=2AfAQG,3zprE6,17&amp;a=APT:ABYG:JGC&amp;b=A1:B1&amp;e=RETAIL&amp;h=34&amp;i=132&amp;l=198&amp;ad=true" TargetMode="External" Id="rId140" /><Relationship Type="http://schemas.openxmlformats.org/officeDocument/2006/relationships/hyperlink" Target="https://new.land.naver.com/complexes/17019?ms=2AfAQG,3zprE6,17&amp;a=APT:ABYG:JGC&amp;b=A1:B1&amp;e=RETAIL&amp;h=34&amp;i=132&amp;l=198&amp;ad=true" TargetMode="External" Id="rId141" /><Relationship Type="http://schemas.openxmlformats.org/officeDocument/2006/relationships/hyperlink" Target="https://new.land.naver.com/complexes/17019?ms=2AfAQG,3zprE6,17&amp;a=APT:ABYG:JGC&amp;b=A1:B1&amp;e=RETAIL&amp;h=34&amp;i=132&amp;l=198&amp;ad=true" TargetMode="External" Id="rId142" /><Relationship Type="http://schemas.openxmlformats.org/officeDocument/2006/relationships/hyperlink" Target="https://new.land.naver.com/complexes/27418?ms=2AfAQG,3zprE6,17&amp;a=APT:ABYG:JGC&amp;b=A1:B1&amp;e=RETAIL&amp;h=34&amp;i=132&amp;l=198&amp;ad=true" TargetMode="External" Id="rId143" /><Relationship Type="http://schemas.openxmlformats.org/officeDocument/2006/relationships/hyperlink" Target="https://new.land.naver.com/complexes/27418?ms=2AfAQG,3zprE6,17&amp;a=APT:ABYG:JGC&amp;b=A1:B1&amp;e=RETAIL&amp;h=34&amp;i=132&amp;l=198&amp;ad=true" TargetMode="External" Id="rId144" /><Relationship Type="http://schemas.openxmlformats.org/officeDocument/2006/relationships/hyperlink" Target="https://new.land.naver.com/complexes/27418?ms=2AfAQG,3zprE6,17&amp;a=APT:ABYG:JGC&amp;b=A1:B1&amp;e=RETAIL&amp;h=34&amp;i=132&amp;l=198&amp;ad=true" TargetMode="External" Id="rId145" /><Relationship Type="http://schemas.openxmlformats.org/officeDocument/2006/relationships/hyperlink" Target="https://new.land.naver.com/complexes/10709?ms=2AfAQG,3zprE6,17&amp;a=APT:ABYG:JGC&amp;b=A1:B1&amp;e=RETAIL&amp;h=34&amp;i=132&amp;l=198&amp;ad=true" TargetMode="External" Id="rId146" /><Relationship Type="http://schemas.openxmlformats.org/officeDocument/2006/relationships/hyperlink" Target="https://new.land.naver.com/complexes/10709?ms=2AfAQG,3zprE6,17&amp;a=APT:ABYG:JGC&amp;b=A1:B1&amp;e=RETAIL&amp;h=34&amp;i=132&amp;l=198&amp;ad=true" TargetMode="External" Id="rId147" /><Relationship Type="http://schemas.openxmlformats.org/officeDocument/2006/relationships/hyperlink" Target="https://new.land.naver.com/complexes/10709?ms=2AfAQG,3zprE6,17&amp;a=APT:ABYG:JGC&amp;b=A1:B1&amp;e=RETAIL&amp;h=34&amp;i=132&amp;l=198&amp;ad=true" TargetMode="External" Id="rId148" /><Relationship Type="http://schemas.openxmlformats.org/officeDocument/2006/relationships/hyperlink" Target="https://new.land.naver.com/complexes/110264?ms=2AfAQG,3zprE6,17&amp;a=APT:ABYG:JGC&amp;b=A1:B1&amp;e=RETAIL&amp;h=34&amp;i=132&amp;l=198&amp;ad=true" TargetMode="External" Id="rId149" /><Relationship Type="http://schemas.openxmlformats.org/officeDocument/2006/relationships/hyperlink" Target="https://new.land.naver.com/complexes/110264?ms=2AfAQG,3zprE6,17&amp;a=APT:ABYG:JGC&amp;b=A1:B1&amp;e=RETAIL&amp;h=34&amp;i=132&amp;l=198&amp;ad=true" TargetMode="External" Id="rId150" /><Relationship Type="http://schemas.openxmlformats.org/officeDocument/2006/relationships/hyperlink" Target="https://new.land.naver.com/complexes/110264?ms=2AfAQG,3zprE6,17&amp;a=APT:ABYG:JGC&amp;b=A1:B1&amp;e=RETAIL&amp;h=34&amp;i=132&amp;l=198&amp;ad=true" TargetMode="External" Id="rId151" /><Relationship Type="http://schemas.openxmlformats.org/officeDocument/2006/relationships/hyperlink" Target="https://new.land.naver.com/complexes/110264?ms=2AfAQG,3zprE6,17&amp;a=APT:ABYG:JGC&amp;b=A1:B1&amp;e=RETAIL&amp;h=34&amp;i=132&amp;l=198&amp;ad=true" TargetMode="External" Id="rId152" /><Relationship Type="http://schemas.openxmlformats.org/officeDocument/2006/relationships/hyperlink" Target="https://new.land.naver.com/complexes/110265?ms=2AfAQG,3zprE6,17&amp;a=APT:ABYG:JGC&amp;b=A1:B1&amp;e=RETAIL&amp;h=34&amp;i=132&amp;l=198&amp;ad=true" TargetMode="External" Id="rId153" /><Relationship Type="http://schemas.openxmlformats.org/officeDocument/2006/relationships/hyperlink" Target="https://new.land.naver.com/complexes/110265?ms=2AfAQG,3zprE6,17&amp;a=APT:ABYG:JGC&amp;b=A1:B1&amp;e=RETAIL&amp;h=34&amp;i=132&amp;l=198&amp;ad=true" TargetMode="External" Id="rId154" /><Relationship Type="http://schemas.openxmlformats.org/officeDocument/2006/relationships/hyperlink" Target="https://new.land.naver.com/complexes/110265?ms=2AfAQG,3zprE6,17&amp;a=APT:ABYG:JGC&amp;b=A1:B1&amp;e=RETAIL&amp;h=34&amp;i=132&amp;l=198&amp;ad=true" TargetMode="External" Id="rId155" /><Relationship Type="http://schemas.openxmlformats.org/officeDocument/2006/relationships/hyperlink" Target="https://new.land.naver.com/complexes/110265?ms=2AfAQG,3zprE6,17&amp;a=APT:ABYG:JGC&amp;b=A1:B1&amp;e=RETAIL&amp;h=34&amp;i=132&amp;l=198&amp;ad=true" TargetMode="External" Id="rId156" /><Relationship Type="http://schemas.openxmlformats.org/officeDocument/2006/relationships/hyperlink" Target="https://new.land.naver.com/complexes/110265?ms=2AfAQG,3zprE6,17&amp;a=APT:ABYG:JGC&amp;b=A1:B1&amp;e=RETAIL&amp;h=34&amp;i=132&amp;l=198&amp;ad=true" TargetMode="External" Id="rId157" /><Relationship Type="http://schemas.openxmlformats.org/officeDocument/2006/relationships/hyperlink" Target="https://new.land.naver.com/complexes/5695?ms=2AfAQG,3zprE6,17&amp;a=APT:ABYG:JGC&amp;b=A1:B1&amp;e=RETAIL&amp;h=34&amp;i=132&amp;l=198&amp;ad=true" TargetMode="External" Id="rId158" /><Relationship Type="http://schemas.openxmlformats.org/officeDocument/2006/relationships/hyperlink" Target="https://new.land.naver.com/complexes/5695?ms=2AfAQG,3zprE6,17&amp;a=APT:ABYG:JGC&amp;b=A1:B1&amp;e=RETAIL&amp;h=34&amp;i=132&amp;l=198&amp;ad=true" TargetMode="External" Id="rId159" /><Relationship Type="http://schemas.openxmlformats.org/officeDocument/2006/relationships/hyperlink" Target="https://new.land.naver.com/complexes/148696?ms=2AfAQG,3zprE6,17&amp;a=APT:ABYG:JGC&amp;b=A1:B1&amp;e=RETAIL&amp;h=34&amp;i=132&amp;l=198&amp;ad=true" TargetMode="External" Id="rId160" /><Relationship Type="http://schemas.openxmlformats.org/officeDocument/2006/relationships/hyperlink" Target="https://new.land.naver.com/complexes/148696?ms=2AfAQG,3zprE6,17&amp;a=APT:ABYG:JGC&amp;b=A1:B1&amp;e=RETAIL&amp;h=34&amp;i=132&amp;l=198&amp;ad=true" TargetMode="External" Id="rId161" /><Relationship Type="http://schemas.openxmlformats.org/officeDocument/2006/relationships/hyperlink" Target="https://new.land.naver.com/complexes/148696?ms=2AfAQG,3zprE6,17&amp;a=APT:ABYG:JGC&amp;b=A1:B1&amp;e=RETAIL&amp;h=34&amp;i=132&amp;l=198&amp;ad=true" TargetMode="External" Id="rId162" /><Relationship Type="http://schemas.openxmlformats.org/officeDocument/2006/relationships/hyperlink" Target="https://new.land.naver.com/complexes/148696?ms=2AfAQG,3zprE6,17&amp;a=APT:ABYG:JGC&amp;b=A1:B1&amp;e=RETAIL&amp;h=34&amp;i=132&amp;l=198&amp;ad=true" TargetMode="External" Id="rId163" /><Relationship Type="http://schemas.openxmlformats.org/officeDocument/2006/relationships/hyperlink" Target="https://new.land.naver.com/complexes/145049?ms=2AfAQG,3zprE6,17&amp;a=APT:ABYG:JGC&amp;b=A1:B1&amp;e=RETAIL&amp;h=34&amp;i=132&amp;l=198&amp;ad=true" TargetMode="External" Id="rId164" /><Relationship Type="http://schemas.openxmlformats.org/officeDocument/2006/relationships/hyperlink" Target="https://new.land.naver.com/complexes/145049?ms=2AfAQG,3zprE6,17&amp;a=APT:ABYG:JGC&amp;b=A1:B1&amp;e=RETAIL&amp;h=34&amp;i=132&amp;l=198&amp;ad=true" TargetMode="External" Id="rId165" /><Relationship Type="http://schemas.openxmlformats.org/officeDocument/2006/relationships/hyperlink" Target="https://new.land.naver.com/complexes/145049?ms=2AfAQG,3zprE6,17&amp;a=APT:ABYG:JGC&amp;b=A1:B1&amp;e=RETAIL&amp;h=34&amp;i=132&amp;l=198&amp;ad=true" TargetMode="External" Id="rId166" /><Relationship Type="http://schemas.openxmlformats.org/officeDocument/2006/relationships/hyperlink" Target="https://new.land.naver.com/complexes/145049?ms=2AfAQG,3zprE6,17&amp;a=APT:ABYG:JGC&amp;b=A1:B1&amp;e=RETAIL&amp;h=34&amp;i=132&amp;l=198&amp;ad=true" TargetMode="External" Id="rId167" /><Relationship Type="http://schemas.openxmlformats.org/officeDocument/2006/relationships/hyperlink" Target="https://new.land.naver.com/complexes/5686?ms=2AfAQG,3zprE6,17&amp;a=APT:ABYG:JGC&amp;b=A1:B1&amp;e=RETAIL&amp;h=34&amp;i=132&amp;l=198&amp;ad=true" TargetMode="External" Id="rId168" /><Relationship Type="http://schemas.openxmlformats.org/officeDocument/2006/relationships/hyperlink" Target="https://new.land.naver.com/complexes/5686?ms=2AfAQG,3zprE6,17&amp;a=APT:ABYG:JGC&amp;b=A1:B1&amp;e=RETAIL&amp;h=34&amp;i=132&amp;l=198&amp;ad=true" TargetMode="External" Id="rId169" /><Relationship Type="http://schemas.openxmlformats.org/officeDocument/2006/relationships/hyperlink" Target="https://new.land.naver.com/complexes/17582?ms=2AfAQG,3zprE6,17&amp;a=APT:ABYG:JGC&amp;b=A1:B1&amp;e=RETAIL&amp;h=34&amp;i=132&amp;l=198&amp;ad=true" TargetMode="External" Id="rId170" /><Relationship Type="http://schemas.openxmlformats.org/officeDocument/2006/relationships/hyperlink" Target="https://new.land.naver.com/complexes/17582?ms=2AfAQG,3zprE6,17&amp;a=APT:ABYG:JGC&amp;b=A1:B1&amp;e=RETAIL&amp;h=34&amp;i=132&amp;l=198&amp;ad=true" TargetMode="External" Id="rId171" /><Relationship Type="http://schemas.openxmlformats.org/officeDocument/2006/relationships/hyperlink" Target="https://new.land.naver.com/complexes/17582?ms=2AfAQG,3zprE6,17&amp;a=APT:ABYG:JGC&amp;b=A1:B1&amp;e=RETAIL&amp;h=34&amp;i=132&amp;l=198&amp;ad=true" TargetMode="External" Id="rId172" /><Relationship Type="http://schemas.openxmlformats.org/officeDocument/2006/relationships/hyperlink" Target="https://new.land.naver.com/complexes/103164?ms=2AfAQG,3zprE6,17&amp;a=APT:ABYG:JGC&amp;b=A1:B1&amp;e=RETAIL&amp;h=34&amp;i=132&amp;l=198&amp;ad=true" TargetMode="External" Id="rId173" /><Relationship Type="http://schemas.openxmlformats.org/officeDocument/2006/relationships/hyperlink" Target="https://new.land.naver.com/complexes/103164?ms=2AfAQG,3zprE6,17&amp;a=APT:ABYG:JGC&amp;b=A1:B1&amp;e=RETAIL&amp;h=34&amp;i=132&amp;l=198&amp;ad=true" TargetMode="External" Id="rId174" /><Relationship Type="http://schemas.openxmlformats.org/officeDocument/2006/relationships/hyperlink" Target="https://new.land.naver.com/complexes/103164?ms=2AfAQG,3zprE6,17&amp;a=APT:ABYG:JGC&amp;b=A1:B1&amp;e=RETAIL&amp;h=34&amp;i=132&amp;l=198&amp;ad=true" TargetMode="External" Id="rId175" /><Relationship Type="http://schemas.openxmlformats.org/officeDocument/2006/relationships/hyperlink" Target="https://new.land.naver.com/complexes/103164?ms=2AfAQG,3zprE6,17&amp;a=APT:ABYG:JGC&amp;b=A1:B1&amp;e=RETAIL&amp;h=34&amp;i=132&amp;l=198&amp;ad=true" TargetMode="External" Id="rId176" /><Relationship Type="http://schemas.openxmlformats.org/officeDocument/2006/relationships/hyperlink" Target="https://new.land.naver.com/complexes/135750?ms=2AfAQG,3zprE6,17&amp;a=APT:ABYG:JGC&amp;b=A1:B1&amp;e=RETAIL&amp;h=34&amp;i=132&amp;l=198&amp;ad=true" TargetMode="External" Id="rId177" /><Relationship Type="http://schemas.openxmlformats.org/officeDocument/2006/relationships/hyperlink" Target="https://new.land.naver.com/complexes/135750?ms=2AfAQG,3zprE6,17&amp;a=APT:ABYG:JGC&amp;b=A1:B1&amp;e=RETAIL&amp;h=34&amp;i=132&amp;l=198&amp;ad=true" TargetMode="External" Id="rId178" /><Relationship Type="http://schemas.openxmlformats.org/officeDocument/2006/relationships/hyperlink" Target="https://new.land.naver.com/complexes/135750?ms=2AfAQG,3zprE6,17&amp;a=APT:ABYG:JGC&amp;b=A1:B1&amp;e=RETAIL&amp;h=34&amp;i=132&amp;l=198&amp;ad=true" TargetMode="External" Id="rId179" /><Relationship Type="http://schemas.openxmlformats.org/officeDocument/2006/relationships/hyperlink" Target="https://new.land.naver.com/complexes/135750?ms=2AfAQG,3zprE6,17&amp;a=APT:ABYG:JGC&amp;b=A1:B1&amp;e=RETAIL&amp;h=34&amp;i=132&amp;l=198&amp;ad=true" TargetMode="External" Id="rId180" /><Relationship Type="http://schemas.openxmlformats.org/officeDocument/2006/relationships/hyperlink" Target="https://new.land.naver.com/complexes/135750?ms=2AfAQG,3zprE6,17&amp;a=APT:ABYG:JGC&amp;b=A1:B1&amp;e=RETAIL&amp;h=34&amp;i=132&amp;l=198&amp;ad=true" TargetMode="External" Id="rId181" /><Relationship Type="http://schemas.openxmlformats.org/officeDocument/2006/relationships/hyperlink" Target="https://new.land.naver.com/complexes/120741?ms=2AfAQG,3zprE6,17&amp;a=APT:ABYG:JGC&amp;b=A1:B1&amp;e=RETAIL&amp;h=34&amp;i=132&amp;l=198&amp;ad=true" TargetMode="External" Id="rId182" /><Relationship Type="http://schemas.openxmlformats.org/officeDocument/2006/relationships/hyperlink" Target="https://new.land.naver.com/complexes/120741?ms=2AfAQG,3zprE6,17&amp;a=APT:ABYG:JGC&amp;b=A1:B1&amp;e=RETAIL&amp;h=34&amp;i=132&amp;l=198&amp;ad=true" TargetMode="External" Id="rId183" /><Relationship Type="http://schemas.openxmlformats.org/officeDocument/2006/relationships/hyperlink" Target="https://new.land.naver.com/complexes/120741?ms=2AfAQG,3zprE6,17&amp;a=APT:ABYG:JGC&amp;b=A1:B1&amp;e=RETAIL&amp;h=34&amp;i=132&amp;l=198&amp;ad=true" TargetMode="External" Id="rId184" /><Relationship Type="http://schemas.openxmlformats.org/officeDocument/2006/relationships/hyperlink" Target="https://new.land.naver.com/complexes/120741?ms=2AfAQG,3zprE6,17&amp;a=APT:ABYG:JGC&amp;b=A1:B1&amp;e=RETAIL&amp;h=34&amp;i=132&amp;l=198&amp;ad=true" TargetMode="External" Id="rId185" /><Relationship Type="http://schemas.openxmlformats.org/officeDocument/2006/relationships/hyperlink" Target="https://new.land.naver.com/complexes/120741?ms=2AfAQG,3zprE6,17&amp;a=APT:ABYG:JGC&amp;b=A1:B1&amp;e=RETAIL&amp;h=34&amp;i=132&amp;l=198&amp;ad=true" TargetMode="External" Id="rId186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hyperlink" Target="https://new.land.naver.com/complexes/143063?ms=2AfAQG,3zprE6,17&amp;a=APT:ABYG:JGC&amp;b=A1:B1&amp;e=RETAIL&amp;h=34&amp;i=132&amp;l=198&amp;ad=true" TargetMode="External" Id="rId1" /><Relationship Type="http://schemas.openxmlformats.org/officeDocument/2006/relationships/hyperlink" Target="https://new.land.naver.com/complexes/151758?ms=2AfAQG,3zprE6,17&amp;a=APT:ABYG:JGC&amp;b=A1:B1&amp;e=RETAIL&amp;h=34&amp;i=132&amp;l=198&amp;ad=true" TargetMode="External" Id="rId2" /><Relationship Type="http://schemas.openxmlformats.org/officeDocument/2006/relationships/hyperlink" Target="https://new.land.naver.com/complexes/137226?ms=2AfAQG,3zprE6,17&amp;a=APT:ABYG:JGC&amp;b=A1:B1&amp;e=RETAIL&amp;h=34&amp;i=132&amp;l=198&amp;ad=true" TargetMode="External" Id="rId3" /><Relationship Type="http://schemas.openxmlformats.org/officeDocument/2006/relationships/hyperlink" Target="https://new.land.naver.com/complexes/121930?ms=2AfAQG,3zprE6,17&amp;a=APT:ABYG:JGC&amp;b=A1:B1&amp;e=RETAIL&amp;h=34&amp;i=132&amp;l=198&amp;ad=true" TargetMode="External" Id="rId4" /><Relationship Type="http://schemas.openxmlformats.org/officeDocument/2006/relationships/hyperlink" Target="https://new.land.naver.com/complexes/146718?ms=2AfAQG,3zprE6,17&amp;a=APT:ABYG:JGC&amp;b=A1:B1&amp;e=RETAIL&amp;h=34&amp;i=132&amp;l=198&amp;ad=true" TargetMode="External" Id="rId5" /><Relationship Type="http://schemas.openxmlformats.org/officeDocument/2006/relationships/hyperlink" Target="https://new.land.naver.com/complexes/143063?ms=2AfAQG,3zprE6,17&amp;a=APT:ABYG:JGC&amp;b=A1:B1&amp;e=RETAIL&amp;h=34&amp;i=132&amp;l=198&amp;ad=true" TargetMode="External" Id="rId6" /><Relationship Type="http://schemas.openxmlformats.org/officeDocument/2006/relationships/hyperlink" Target="https://new.land.naver.com/complexes/186759?ms=2AfAQG,3zprE6,17&amp;a=APT:ABYG:JGC&amp;b=A1:B1&amp;e=RETAIL&amp;h=34&amp;i=132&amp;l=198&amp;ad=true" TargetMode="External" Id="rId7" /><Relationship Type="http://schemas.openxmlformats.org/officeDocument/2006/relationships/hyperlink" Target="https://new.land.naver.com/complexes/152942?ms=2AfAQG,3zprE6,17&amp;a=APT:ABYG:JGC&amp;b=A1:B1&amp;e=RETAIL&amp;h=34&amp;i=132&amp;l=198&amp;ad=true" TargetMode="External" Id="rId8" /><Relationship Type="http://schemas.openxmlformats.org/officeDocument/2006/relationships/hyperlink" Target="https://new.land.naver.com/complexes/153265?ms=2AfAQG,3zprE6,17&amp;a=APT:ABYG:JGC&amp;b=A1:B1&amp;e=RETAIL&amp;h=34&amp;i=132&amp;l=198&amp;ad=true" TargetMode="External" Id="rId9" /><Relationship Type="http://schemas.openxmlformats.org/officeDocument/2006/relationships/hyperlink" Target="https://new.land.naver.com/complexes/134767?ms=2AfAQG,3zprE6,17&amp;a=APT:ABYG:JGC&amp;b=A1:B1&amp;e=RETAIL&amp;h=34&amp;i=132&amp;l=198&amp;ad=true" TargetMode="External" Id="rId10" /><Relationship Type="http://schemas.openxmlformats.org/officeDocument/2006/relationships/hyperlink" Target="https://new.land.naver.com/complexes/146718?ms=2AfAQG,3zprE6,17&amp;a=APT:ABYG:JGC&amp;b=A1:B1&amp;e=RETAIL&amp;h=34&amp;i=132&amp;l=198&amp;ad=true" TargetMode="External" Id="rId11" /><Relationship Type="http://schemas.openxmlformats.org/officeDocument/2006/relationships/hyperlink" Target="https://new.land.naver.com/complexes/186759?ms=2AfAQG,3zprE6,17&amp;a=APT:ABYG:JGC&amp;b=A1:B1&amp;e=RETAIL&amp;h=34&amp;i=132&amp;l=198&amp;ad=true" TargetMode="External" Id="rId12" /><Relationship Type="http://schemas.openxmlformats.org/officeDocument/2006/relationships/hyperlink" Target="https://new.land.naver.com/complexes/126749?ms=2AfAQG,3zprE6,17&amp;a=APT:ABYG:JGC&amp;b=A1:B1&amp;e=RETAIL&amp;h=34&amp;i=132&amp;l=198&amp;ad=true" TargetMode="External" Id="rId13" /><Relationship Type="http://schemas.openxmlformats.org/officeDocument/2006/relationships/hyperlink" Target="https://new.land.naver.com/complexes/110256?ms=2AfAQG,3zprE6,17&amp;a=APT:ABYG:JGC&amp;b=A1:B1&amp;e=RETAIL&amp;h=34&amp;i=132&amp;l=198&amp;ad=true" TargetMode="External" Id="rId14" /><Relationship Type="http://schemas.openxmlformats.org/officeDocument/2006/relationships/hyperlink" Target="https://new.land.naver.com/complexes/145699?ms=2AfAQG,3zprE6,17&amp;a=APT:ABYG:JGC&amp;b=A1:B1&amp;e=RETAIL&amp;h=34&amp;i=132&amp;l=198&amp;ad=true" TargetMode="External" Id="rId15" /><Relationship Type="http://schemas.openxmlformats.org/officeDocument/2006/relationships/hyperlink" Target="https://new.land.naver.com/complexes/121930?ms=2AfAQG,3zprE6,17&amp;a=APT:ABYG:JGC&amp;b=A1:B1&amp;e=RETAIL&amp;h=34&amp;i=132&amp;l=198&amp;ad=true" TargetMode="External" Id="rId16" /><Relationship Type="http://schemas.openxmlformats.org/officeDocument/2006/relationships/hyperlink" Target="https://new.land.naver.com/complexes/124679?ms=2AfAQG,3zprE6,17&amp;a=APT:ABYG:JGC&amp;b=A1:B1&amp;e=RETAIL&amp;h=34&amp;i=132&amp;l=198&amp;ad=true" TargetMode="External" Id="rId17" /><Relationship Type="http://schemas.openxmlformats.org/officeDocument/2006/relationships/hyperlink" Target="https://new.land.naver.com/complexes/109735?ms=2AfAQG,3zprE6,17&amp;a=APT:ABYG:JGC&amp;b=A1:B1&amp;e=RETAIL&amp;h=34&amp;i=132&amp;l=198&amp;ad=true" TargetMode="External" Id="rId18" /><Relationship Type="http://schemas.openxmlformats.org/officeDocument/2006/relationships/hyperlink" Target="https://new.land.naver.com/complexes/129755?ms=2AfAQG,3zprE6,17&amp;a=APT:ABYG:JGC&amp;b=A1:B1&amp;e=RETAIL&amp;h=34&amp;i=132&amp;l=198&amp;ad=true" TargetMode="External" Id="rId19" /><Relationship Type="http://schemas.openxmlformats.org/officeDocument/2006/relationships/hyperlink" Target="https://new.land.naver.com/complexes/134767?ms=2AfAQG,3zprE6,17&amp;a=APT:ABYG:JGC&amp;b=A1:B1&amp;e=RETAIL&amp;h=34&amp;i=132&amp;l=198&amp;ad=true" TargetMode="External" Id="rId20" /><Relationship Type="http://schemas.openxmlformats.org/officeDocument/2006/relationships/hyperlink" Target="https://new.land.naver.com/complexes/107332?ms=2AfAQG,3zprE6,17&amp;a=APT:ABYG:JGC&amp;b=A1:B1&amp;e=RETAIL&amp;h=34&amp;i=132&amp;l=198&amp;ad=true" TargetMode="External" Id="rId21" /><Relationship Type="http://schemas.openxmlformats.org/officeDocument/2006/relationships/hyperlink" Target="https://new.land.naver.com/complexes/133523?ms=2AfAQG,3zprE6,17&amp;a=APT:ABYG:JGC&amp;b=A1:B1&amp;e=RETAIL&amp;h=34&amp;i=132&amp;l=198&amp;ad=true" TargetMode="External" Id="rId22" /><Relationship Type="http://schemas.openxmlformats.org/officeDocument/2006/relationships/hyperlink" Target="https://new.land.naver.com/complexes/113728?ms=2AfAQG,3zprE6,17&amp;a=APT:ABYG:JGC&amp;b=A1:B1&amp;e=RETAIL&amp;h=34&amp;i=132&amp;l=198&amp;ad=true" TargetMode="External" Id="rId23" /><Relationship Type="http://schemas.openxmlformats.org/officeDocument/2006/relationships/hyperlink" Target="https://new.land.naver.com/complexes/135648?ms=2AfAQG,3zprE6,17&amp;a=APT:ABYG:JGC&amp;b=A1:B1&amp;e=RETAIL&amp;h=34&amp;i=132&amp;l=198&amp;ad=true" TargetMode="External" Id="rId24" /><Relationship Type="http://schemas.openxmlformats.org/officeDocument/2006/relationships/hyperlink" Target="https://new.land.naver.com/complexes/116435?ms=2AfAQG,3zprE6,17&amp;a=APT:ABYG:JGC&amp;b=A1:B1&amp;e=RETAIL&amp;h=34&amp;i=132&amp;l=198&amp;ad=true" TargetMode="External" Id="rId25" /><Relationship Type="http://schemas.openxmlformats.org/officeDocument/2006/relationships/hyperlink" Target="https://new.land.naver.com/complexes/126749?ms=2AfAQG,3zprE6,17&amp;a=APT:ABYG:JGC&amp;b=A1:B1&amp;e=RETAIL&amp;h=34&amp;i=132&amp;l=198&amp;ad=true" TargetMode="External" Id="rId26" /><Relationship Type="http://schemas.openxmlformats.org/officeDocument/2006/relationships/hyperlink" Target="https://new.land.naver.com/complexes/137226?ms=2AfAQG,3zprE6,17&amp;a=APT:ABYG:JGC&amp;b=A1:B1&amp;e=RETAIL&amp;h=34&amp;i=132&amp;l=198&amp;ad=true" TargetMode="External" Id="rId27" /><Relationship Type="http://schemas.openxmlformats.org/officeDocument/2006/relationships/hyperlink" Target="https://new.land.naver.com/complexes/109735?ms=2AfAQG,3zprE6,17&amp;a=APT:ABYG:JGC&amp;b=A1:B1&amp;e=RETAIL&amp;h=34&amp;i=132&amp;l=198&amp;ad=true" TargetMode="External" Id="rId28" /><Relationship Type="http://schemas.openxmlformats.org/officeDocument/2006/relationships/hyperlink" Target="https://new.land.naver.com/complexes/129755?ms=2AfAQG,3zprE6,17&amp;a=APT:ABYG:JGC&amp;b=A1:B1&amp;e=RETAIL&amp;h=34&amp;i=132&amp;l=198&amp;ad=true" TargetMode="External" Id="rId29" /><Relationship Type="http://schemas.openxmlformats.org/officeDocument/2006/relationships/hyperlink" Target="https://new.land.naver.com/complexes/151758?ms=2AfAQG,3zprE6,17&amp;a=APT:ABYG:JGC&amp;b=A1:B1&amp;e=RETAIL&amp;h=34&amp;i=132&amp;l=198&amp;ad=true" TargetMode="External" Id="rId30" /><Relationship Type="http://schemas.openxmlformats.org/officeDocument/2006/relationships/hyperlink" Target="https://new.land.naver.com/complexes/111627?ms=2AfAQG,3zprE6,17&amp;a=APT:ABYG:JGC&amp;b=A1:B1&amp;e=RETAIL&amp;h=34&amp;i=132&amp;l=198&amp;ad=true" TargetMode="External" Id="rId31" /><Relationship Type="http://schemas.openxmlformats.org/officeDocument/2006/relationships/hyperlink" Target="https://new.land.naver.com/complexes/124679?ms=2AfAQG,3zprE6,17&amp;a=APT:ABYG:JGC&amp;b=A1:B1&amp;e=RETAIL&amp;h=34&amp;i=132&amp;l=198&amp;ad=true" TargetMode="External" Id="rId32" /><Relationship Type="http://schemas.openxmlformats.org/officeDocument/2006/relationships/hyperlink" Target="https://new.land.naver.com/complexes/110256?ms=2AfAQG,3zprE6,17&amp;a=APT:ABYG:JGC&amp;b=A1:B1&amp;e=RETAIL&amp;h=34&amp;i=132&amp;l=198&amp;ad=true" TargetMode="External" Id="rId33" /><Relationship Type="http://schemas.openxmlformats.org/officeDocument/2006/relationships/hyperlink" Target="https://new.land.naver.com/complexes/126749?ms=2AfAQG,3zprE6,17&amp;a=APT:ABYG:JGC&amp;b=A1:B1&amp;e=RETAIL&amp;h=34&amp;i=132&amp;l=198&amp;ad=true" TargetMode="External" Id="rId34" /><Relationship Type="http://schemas.openxmlformats.org/officeDocument/2006/relationships/hyperlink" Target="https://new.land.naver.com/complexes/152942?ms=2AfAQG,3zprE6,17&amp;a=APT:ABYG:JGC&amp;b=A1:B1&amp;e=RETAIL&amp;h=34&amp;i=132&amp;l=198&amp;ad=true" TargetMode="External" Id="rId35" /><Relationship Type="http://schemas.openxmlformats.org/officeDocument/2006/relationships/hyperlink" Target="https://new.land.naver.com/complexes/26534?ms=2AfAQG,3zprE6,17&amp;a=APT:ABYG:JGC&amp;b=A1:B1&amp;e=RETAIL&amp;h=34&amp;i=132&amp;l=198&amp;ad=true" TargetMode="External" Id="rId36" /><Relationship Type="http://schemas.openxmlformats.org/officeDocument/2006/relationships/hyperlink" Target="https://new.land.naver.com/complexes/26258?ms=2AfAQG,3zprE6,17&amp;a=APT:ABYG:JGC&amp;b=A1:B1&amp;e=RETAIL&amp;h=34&amp;i=132&amp;l=198&amp;ad=true" TargetMode="External" Id="rId37" /><Relationship Type="http://schemas.openxmlformats.org/officeDocument/2006/relationships/hyperlink" Target="https://new.land.naver.com/complexes/113728?ms=2AfAQG,3zprE6,17&amp;a=APT:ABYG:JGC&amp;b=A1:B1&amp;e=RETAIL&amp;h=34&amp;i=132&amp;l=198&amp;ad=true" TargetMode="External" Id="rId38" /><Relationship Type="http://schemas.openxmlformats.org/officeDocument/2006/relationships/hyperlink" Target="https://new.land.naver.com/complexes/109735?ms=2AfAQG,3zprE6,17&amp;a=APT:ABYG:JGC&amp;b=A1:B1&amp;e=RETAIL&amp;h=34&amp;i=132&amp;l=198&amp;ad=true" TargetMode="External" Id="rId39" /><Relationship Type="http://schemas.openxmlformats.org/officeDocument/2006/relationships/hyperlink" Target="https://new.land.naver.com/complexes/110995?ms=2AfAQG,3zprE6,17&amp;a=APT:ABYG:JGC&amp;b=A1:B1&amp;e=RETAIL&amp;h=34&amp;i=132&amp;l=198&amp;ad=true" TargetMode="External" Id="rId40" /><Relationship Type="http://schemas.openxmlformats.org/officeDocument/2006/relationships/hyperlink" Target="https://new.land.naver.com/complexes/116435?ms=2AfAQG,3zprE6,17&amp;a=APT:ABYG:JGC&amp;b=A1:B1&amp;e=RETAIL&amp;h=34&amp;i=132&amp;l=198&amp;ad=true" TargetMode="External" Id="rId41" /><Relationship Type="http://schemas.openxmlformats.org/officeDocument/2006/relationships/hyperlink" Target="https://new.land.naver.com/complexes/133523?ms=2AfAQG,3zprE6,17&amp;a=APT:ABYG:JGC&amp;b=A1:B1&amp;e=RETAIL&amp;h=34&amp;i=132&amp;l=198&amp;ad=true" TargetMode="External" Id="rId42" /><Relationship Type="http://schemas.openxmlformats.org/officeDocument/2006/relationships/hyperlink" Target="https://new.land.naver.com/complexes/121930?ms=2AfAQG,3zprE6,17&amp;a=APT:ABYG:JGC&amp;b=A1:B1&amp;e=RETAIL&amp;h=34&amp;i=132&amp;l=198&amp;ad=true" TargetMode="External" Id="rId43" /><Relationship Type="http://schemas.openxmlformats.org/officeDocument/2006/relationships/hyperlink" Target="https://new.land.naver.com/complexes/137226?ms=2AfAQG,3zprE6,17&amp;a=APT:ABYG:JGC&amp;b=A1:B1&amp;e=RETAIL&amp;h=34&amp;i=132&amp;l=198&amp;ad=true" TargetMode="External" Id="rId44" /><Relationship Type="http://schemas.openxmlformats.org/officeDocument/2006/relationships/hyperlink" Target="https://new.land.naver.com/complexes/26891?ms=2AfAQG,3zprE6,17&amp;a=APT:ABYG:JGC&amp;b=A1:B1&amp;e=RETAIL&amp;h=34&amp;i=132&amp;l=198&amp;ad=true" TargetMode="External" Id="rId45" /><Relationship Type="http://schemas.openxmlformats.org/officeDocument/2006/relationships/hyperlink" Target="https://new.land.naver.com/complexes/129755?ms=2AfAQG,3zprE6,17&amp;a=APT:ABYG:JGC&amp;b=A1:B1&amp;e=RETAIL&amp;h=34&amp;i=132&amp;l=198&amp;ad=true" TargetMode="External" Id="rId46" /><Relationship Type="http://schemas.openxmlformats.org/officeDocument/2006/relationships/hyperlink" Target="https://new.land.naver.com/complexes/110995?ms=2AfAQG,3zprE6,17&amp;a=APT:ABYG:JGC&amp;b=A1:B1&amp;e=RETAIL&amp;h=34&amp;i=132&amp;l=198&amp;ad=true" TargetMode="External" Id="rId47" /><Relationship Type="http://schemas.openxmlformats.org/officeDocument/2006/relationships/hyperlink" Target="https://new.land.naver.com/complexes/110256?ms=2AfAQG,3zprE6,17&amp;a=APT:ABYG:JGC&amp;b=A1:B1&amp;e=RETAIL&amp;h=34&amp;i=132&amp;l=198&amp;ad=true" TargetMode="External" Id="rId48" /><Relationship Type="http://schemas.openxmlformats.org/officeDocument/2006/relationships/hyperlink" Target="https://new.land.naver.com/complexes/111627?ms=2AfAQG,3zprE6,17&amp;a=APT:ABYG:JGC&amp;b=A1:B1&amp;e=RETAIL&amp;h=34&amp;i=132&amp;l=198&amp;ad=true" TargetMode="External" Id="rId49" /><Relationship Type="http://schemas.openxmlformats.org/officeDocument/2006/relationships/hyperlink" Target="https://new.land.naver.com/complexes/124679?ms=2AfAQG,3zprE6,17&amp;a=APT:ABYG:JGC&amp;b=A1:B1&amp;e=RETAIL&amp;h=34&amp;i=132&amp;l=198&amp;ad=true" TargetMode="External" Id="rId50" /><Relationship Type="http://schemas.openxmlformats.org/officeDocument/2006/relationships/hyperlink" Target="https://new.land.naver.com/complexes/137226?ms=2AfAQG,3zprE6,17&amp;a=APT:ABYG:JGC&amp;b=A1:B1&amp;e=RETAIL&amp;h=34&amp;i=132&amp;l=198&amp;ad=true" TargetMode="External" Id="rId51" /><Relationship Type="http://schemas.openxmlformats.org/officeDocument/2006/relationships/hyperlink" Target="https://new.land.naver.com/complexes/109735?ms=2AfAQG,3zprE6,17&amp;a=APT:ABYG:JGC&amp;b=A1:B1&amp;e=RETAIL&amp;h=34&amp;i=132&amp;l=198&amp;ad=true" TargetMode="External" Id="rId52" /><Relationship Type="http://schemas.openxmlformats.org/officeDocument/2006/relationships/hyperlink" Target="https://new.land.naver.com/complexes/107116?ms=2AfAQG,3zprE6,17&amp;a=APT:ABYG:JGC&amp;b=A1:B1&amp;e=RETAIL&amp;h=34&amp;i=132&amp;l=198&amp;ad=true" TargetMode="External" Id="rId53" /><Relationship Type="http://schemas.openxmlformats.org/officeDocument/2006/relationships/hyperlink" Target="https://new.land.naver.com/complexes/110996?ms=2AfAQG,3zprE6,17&amp;a=APT:ABYG:JGC&amp;b=A1:B1&amp;e=RETAIL&amp;h=34&amp;i=132&amp;l=198&amp;ad=true" TargetMode="External" Id="rId54" /><Relationship Type="http://schemas.openxmlformats.org/officeDocument/2006/relationships/hyperlink" Target="https://new.land.naver.com/complexes/133523?ms=2AfAQG,3zprE6,17&amp;a=APT:ABYG:JGC&amp;b=A1:B1&amp;e=RETAIL&amp;h=34&amp;i=132&amp;l=198&amp;ad=true" TargetMode="External" Id="rId55" /><Relationship Type="http://schemas.openxmlformats.org/officeDocument/2006/relationships/hyperlink" Target="https://new.land.naver.com/complexes/26534?ms=2AfAQG,3zprE6,17&amp;a=APT:ABYG:JGC&amp;b=A1:B1&amp;e=RETAIL&amp;h=34&amp;i=132&amp;l=198&amp;ad=true" TargetMode="External" Id="rId56" /><Relationship Type="http://schemas.openxmlformats.org/officeDocument/2006/relationships/hyperlink" Target="https://new.land.naver.com/complexes/145699?ms=2AfAQG,3zprE6,17&amp;a=APT:ABYG:JGC&amp;b=A1:B1&amp;e=RETAIL&amp;h=34&amp;i=132&amp;l=198&amp;ad=true" TargetMode="External" Id="rId57" /><Relationship Type="http://schemas.openxmlformats.org/officeDocument/2006/relationships/hyperlink" Target="https://new.land.naver.com/complexes/100359?ms=2AfAQG,3zprE6,17&amp;a=APT:ABYG:JGC&amp;b=A1:B1&amp;e=RETAIL&amp;h=34&amp;i=132&amp;l=198&amp;ad=true" TargetMode="External" Id="rId58" /><Relationship Type="http://schemas.openxmlformats.org/officeDocument/2006/relationships/hyperlink" Target="https://new.land.naver.com/complexes/26813?ms=2AfAQG,3zprE6,17&amp;a=APT:ABYG:JGC&amp;b=A1:B1&amp;e=RETAIL&amp;h=34&amp;i=132&amp;l=198&amp;ad=true" TargetMode="External" Id="rId59" /><Relationship Type="http://schemas.openxmlformats.org/officeDocument/2006/relationships/hyperlink" Target="https://new.land.naver.com/complexes/116435?ms=2AfAQG,3zprE6,17&amp;a=APT:ABYG:JGC&amp;b=A1:B1&amp;e=RETAIL&amp;h=34&amp;i=132&amp;l=198&amp;ad=true" TargetMode="External" Id="rId60" /><Relationship Type="http://schemas.openxmlformats.org/officeDocument/2006/relationships/hyperlink" Target="https://new.land.naver.com/complexes/110018?ms=2AfAQG,3zprE6,17&amp;a=APT:ABYG:JGC&amp;b=A1:B1&amp;e=RETAIL&amp;h=34&amp;i=132&amp;l=198&amp;ad=true" TargetMode="External" Id="rId61" /><Relationship Type="http://schemas.openxmlformats.org/officeDocument/2006/relationships/hyperlink" Target="https://new.land.naver.com/complexes/26577?ms=2AfAQG,3zprE6,17&amp;a=APT:ABYG:JGC&amp;b=A1:B1&amp;e=RETAIL&amp;h=34&amp;i=132&amp;l=198&amp;ad=true" TargetMode="External" Id="rId62" /><Relationship Type="http://schemas.openxmlformats.org/officeDocument/2006/relationships/hyperlink" Target="https://new.land.naver.com/complexes/140850?ms=2AfAQG,3zprE6,17&amp;a=APT:ABYG:JGC&amp;b=A1:B1&amp;e=RETAIL&amp;h=34&amp;i=132&amp;l=198&amp;ad=true" TargetMode="External" Id="rId63" /><Relationship Type="http://schemas.openxmlformats.org/officeDocument/2006/relationships/hyperlink" Target="https://new.land.naver.com/complexes/26517?ms=2AfAQG,3zprE6,17&amp;a=APT:ABYG:JGC&amp;b=A1:B1&amp;e=RETAIL&amp;h=34&amp;i=132&amp;l=198&amp;ad=true" TargetMode="External" Id="rId64" /><Relationship Type="http://schemas.openxmlformats.org/officeDocument/2006/relationships/hyperlink" Target="https://new.land.naver.com/complexes/114402?ms=2AfAQG,3zprE6,17&amp;a=APT:ABYG:JGC&amp;b=A1:B1&amp;e=RETAIL&amp;h=34&amp;i=132&amp;l=198&amp;ad=true" TargetMode="External" Id="rId65" /><Relationship Type="http://schemas.openxmlformats.org/officeDocument/2006/relationships/hyperlink" Target="https://new.land.naver.com/complexes/24363?ms=2AfAQG,3zprE6,17&amp;a=APT:ABYG:JGC&amp;b=A1:B1&amp;e=RETAIL&amp;h=34&amp;i=132&amp;l=198&amp;ad=true" TargetMode="External" Id="rId66" /><Relationship Type="http://schemas.openxmlformats.org/officeDocument/2006/relationships/hyperlink" Target="https://new.land.naver.com/complexes/135648?ms=2AfAQG,3zprE6,17&amp;a=APT:ABYG:JGC&amp;b=A1:B1&amp;e=RETAIL&amp;h=34&amp;i=132&amp;l=198&amp;ad=true" TargetMode="External" Id="rId67" /><Relationship Type="http://schemas.openxmlformats.org/officeDocument/2006/relationships/hyperlink" Target="https://new.land.naver.com/complexes/7421?ms=2AfAQG,3zprE6,17&amp;a=APT:ABYG:JGC&amp;b=A1:B1&amp;e=RETAIL&amp;h=34&amp;i=132&amp;l=198&amp;ad=true" TargetMode="External" Id="rId68" /><Relationship Type="http://schemas.openxmlformats.org/officeDocument/2006/relationships/hyperlink" Target="https://new.land.naver.com/complexes/7416?ms=2AfAQG,3zprE6,17&amp;a=APT:ABYG:JGC&amp;b=A1:B1&amp;e=RETAIL&amp;h=34&amp;i=132&amp;l=198&amp;ad=true" TargetMode="External" Id="rId69" /><Relationship Type="http://schemas.openxmlformats.org/officeDocument/2006/relationships/hyperlink" Target="https://new.land.naver.com/complexes/24363?ms=2AfAQG,3zprE6,17&amp;a=APT:ABYG:JGC&amp;b=A1:B1&amp;e=RETAIL&amp;h=34&amp;i=132&amp;l=198&amp;ad=true" TargetMode="External" Id="rId70" /><Relationship Type="http://schemas.openxmlformats.org/officeDocument/2006/relationships/hyperlink" Target="https://new.land.naver.com/complexes/7572?ms=2AfAQG,3zprE6,17&amp;a=APT:ABYG:JGC&amp;b=A1:B1&amp;e=RETAIL&amp;h=34&amp;i=132&amp;l=198&amp;ad=true" TargetMode="External" Id="rId71" /><Relationship Type="http://schemas.openxmlformats.org/officeDocument/2006/relationships/hyperlink" Target="https://new.land.naver.com/complexes/15430?ms=2AfAQG,3zprE6,17&amp;a=APT:ABYG:JGC&amp;b=A1:B1&amp;e=RETAIL&amp;h=34&amp;i=132&amp;l=198&amp;ad=true" TargetMode="External" Id="rId72" /><Relationship Type="http://schemas.openxmlformats.org/officeDocument/2006/relationships/hyperlink" Target="https://new.land.naver.com/complexes/27682?ms=2AfAQG,3zprE6,17&amp;a=APT:ABYG:JGC&amp;b=A1:B1&amp;e=RETAIL&amp;h=34&amp;i=132&amp;l=198&amp;ad=true" TargetMode="External" Id="rId73" /><Relationship Type="http://schemas.openxmlformats.org/officeDocument/2006/relationships/hyperlink" Target="https://new.land.naver.com/complexes/27431?ms=2AfAQG,3zprE6,17&amp;a=APT:ABYG:JGC&amp;b=A1:B1&amp;e=RETAIL&amp;h=34&amp;i=132&amp;l=198&amp;ad=true" TargetMode="External" Id="rId74" /><Relationship Type="http://schemas.openxmlformats.org/officeDocument/2006/relationships/hyperlink" Target="https://new.land.naver.com/complexes/7416?ms=2AfAQG,3zprE6,17&amp;a=APT:ABYG:JGC&amp;b=A1:B1&amp;e=RETAIL&amp;h=34&amp;i=132&amp;l=198&amp;ad=true" TargetMode="External" Id="rId75" /><Relationship Type="http://schemas.openxmlformats.org/officeDocument/2006/relationships/hyperlink" Target="https://new.land.naver.com/complexes/26157?ms=2AfAQG,3zprE6,17&amp;a=APT:ABYG:JGC&amp;b=A1:B1&amp;e=RETAIL&amp;h=34&amp;i=132&amp;l=198&amp;ad=true" TargetMode="External" Id="rId76" /><Relationship Type="http://schemas.openxmlformats.org/officeDocument/2006/relationships/hyperlink" Target="https://new.land.naver.com/complexes/19242?ms=2AfAQG,3zprE6,17&amp;a=APT:ABYG:JGC&amp;b=A1:B1&amp;e=RETAIL&amp;h=34&amp;i=132&amp;l=198&amp;ad=true" TargetMode="External" Id="rId77" /><Relationship Type="http://schemas.openxmlformats.org/officeDocument/2006/relationships/hyperlink" Target="https://new.land.naver.com/complexes/145699?ms=2AfAQG,3zprE6,17&amp;a=APT:ABYG:JGC&amp;b=A1:B1&amp;e=RETAIL&amp;h=34&amp;i=132&amp;l=198&amp;ad=true" TargetMode="External" Id="rId78" /><Relationship Type="http://schemas.openxmlformats.org/officeDocument/2006/relationships/hyperlink" Target="https://new.land.naver.com/complexes/135648?ms=2AfAQG,3zprE6,17&amp;a=APT:ABYG:JGC&amp;b=A1:B1&amp;e=RETAIL&amp;h=34&amp;i=132&amp;l=198&amp;ad=true" TargetMode="External" Id="rId79" /><Relationship Type="http://schemas.openxmlformats.org/officeDocument/2006/relationships/hyperlink" Target="https://new.land.naver.com/complexes/26577?ms=2AfAQG,3zprE6,17&amp;a=APT:ABYG:JGC&amp;b=A1:B1&amp;e=RETAIL&amp;h=34&amp;i=132&amp;l=198&amp;ad=true" TargetMode="External" Id="rId80" /><Relationship Type="http://schemas.openxmlformats.org/officeDocument/2006/relationships/hyperlink" Target="https://new.land.naver.com/complexes/7558?ms=2AfAQG,3zprE6,17&amp;a=APT:ABYG:JGC&amp;b=A1:B1&amp;e=RETAIL&amp;h=34&amp;i=132&amp;l=198&amp;ad=true" TargetMode="External" Id="rId81" /><Relationship Type="http://schemas.openxmlformats.org/officeDocument/2006/relationships/hyperlink" Target="https://new.land.naver.com/complexes/140850?ms=2AfAQG,3zprE6,17&amp;a=APT:ABYG:JGC&amp;b=A1:B1&amp;e=RETAIL&amp;h=34&amp;i=132&amp;l=198&amp;ad=true" TargetMode="External" Id="rId82" /><Relationship Type="http://schemas.openxmlformats.org/officeDocument/2006/relationships/hyperlink" Target="https://new.land.naver.com/complexes/7572?ms=2AfAQG,3zprE6,17&amp;a=APT:ABYG:JGC&amp;b=A1:B1&amp;e=RETAIL&amp;h=34&amp;i=132&amp;l=198&amp;ad=true" TargetMode="External" Id="rId83" /><Relationship Type="http://schemas.openxmlformats.org/officeDocument/2006/relationships/hyperlink" Target="https://new.land.naver.com/complexes/7395?ms=2AfAQG,3zprE6,17&amp;a=APT:ABYG:JGC&amp;b=A1:B1&amp;e=RETAIL&amp;h=34&amp;i=132&amp;l=198&amp;ad=true" TargetMode="External" Id="rId84" /><Relationship Type="http://schemas.openxmlformats.org/officeDocument/2006/relationships/hyperlink" Target="https://new.land.naver.com/complexes/7400?ms=2AfAQG,3zprE6,17&amp;a=APT:ABYG:JGC&amp;b=A1:B1&amp;e=RETAIL&amp;h=34&amp;i=132&amp;l=198&amp;ad=true" TargetMode="External" Id="rId85" /><Relationship Type="http://schemas.openxmlformats.org/officeDocument/2006/relationships/hyperlink" Target="https://new.land.naver.com/complexes/15420?ms=2AfAQG,3zprE6,17&amp;a=APT:ABYG:JGC&amp;b=A1:B1&amp;e=RETAIL&amp;h=34&amp;i=132&amp;l=198&amp;ad=true" TargetMode="External" Id="rId86" /><Relationship Type="http://schemas.openxmlformats.org/officeDocument/2006/relationships/hyperlink" Target="https://new.land.naver.com/complexes/7572?ms=2AfAQG,3zprE6,17&amp;a=APT:ABYG:JGC&amp;b=A1:B1&amp;e=RETAIL&amp;h=34&amp;i=132&amp;l=198&amp;ad=true" TargetMode="External" Id="rId87" /><Relationship Type="http://schemas.openxmlformats.org/officeDocument/2006/relationships/hyperlink" Target="https://new.land.naver.com/complexes/7569?ms=2AfAQG,3zprE6,17&amp;a=APT:ABYG:JGC&amp;b=A1:B1&amp;e=RETAIL&amp;h=34&amp;i=132&amp;l=198&amp;ad=true" TargetMode="External" Id="rId88" /><Relationship Type="http://schemas.openxmlformats.org/officeDocument/2006/relationships/hyperlink" Target="https://new.land.naver.com/complexes/7421?ms=2AfAQG,3zprE6,17&amp;a=APT:ABYG:JGC&amp;b=A1:B1&amp;e=RETAIL&amp;h=34&amp;i=132&amp;l=198&amp;ad=true" TargetMode="External" Id="rId89" /><Relationship Type="http://schemas.openxmlformats.org/officeDocument/2006/relationships/hyperlink" Target="https://new.land.naver.com/complexes/7421?ms=2AfAQG,3zprE6,17&amp;a=APT:ABYG:JGC&amp;b=A1:B1&amp;e=RETAIL&amp;h=34&amp;i=132&amp;l=198&amp;ad=true" TargetMode="External" Id="rId90" /><Relationship Type="http://schemas.openxmlformats.org/officeDocument/2006/relationships/hyperlink" Target="https://new.land.naver.com/complexes/7387?ms=2AfAQG,3zprE6,17&amp;a=APT:ABYG:JGC&amp;b=A1:B1&amp;e=RETAIL&amp;h=34&amp;i=132&amp;l=198&amp;ad=true" TargetMode="External" Id="rId91" /><Relationship Type="http://schemas.openxmlformats.org/officeDocument/2006/relationships/hyperlink" Target="https://new.land.naver.com/complexes/7414?ms=2AfAQG,3zprE6,17&amp;a=APT:ABYG:JGC&amp;b=A1:B1&amp;e=RETAIL&amp;h=34&amp;i=132&amp;l=198&amp;ad=true" TargetMode="External" Id="rId92" /><Relationship Type="http://schemas.openxmlformats.org/officeDocument/2006/relationships/hyperlink" Target="https://new.land.naver.com/complexes/7392?ms=2AfAQG,3zprE6,17&amp;a=APT:ABYG:JGC&amp;b=A1:B1&amp;e=RETAIL&amp;h=34&amp;i=132&amp;l=198&amp;ad=true" TargetMode="External" Id="rId93" /><Relationship Type="http://schemas.openxmlformats.org/officeDocument/2006/relationships/hyperlink" Target="https://new.land.naver.com/complexes/7400?ms=2AfAQG,3zprE6,17&amp;a=APT:ABYG:JGC&amp;b=A1:B1&amp;e=RETAIL&amp;h=34&amp;i=132&amp;l=198&amp;ad=true" TargetMode="External" Id="rId94" /><Relationship Type="http://schemas.openxmlformats.org/officeDocument/2006/relationships/hyperlink" Target="https://new.land.naver.com/complexes/17300?ms=2AfAQG,3zprE6,17&amp;a=APT:ABYG:JGC&amp;b=A1:B1&amp;e=RETAIL&amp;h=34&amp;i=132&amp;l=198&amp;ad=true" TargetMode="External" Id="rId95" /><Relationship Type="http://schemas.openxmlformats.org/officeDocument/2006/relationships/hyperlink" Target="https://new.land.naver.com/complexes/19124?ms=2AfAQG,3zprE6,17&amp;a=APT:ABYG:JGC&amp;b=A1:B1&amp;e=RETAIL&amp;h=34&amp;i=132&amp;l=198&amp;ad=true" TargetMode="External" Id="rId96" /><Relationship Type="http://schemas.openxmlformats.org/officeDocument/2006/relationships/hyperlink" Target="https://new.land.naver.com/complexes/7426?ms=2AfAQG,3zprE6,17&amp;a=APT:ABYG:JGC&amp;b=A1:B1&amp;e=RETAIL&amp;h=34&amp;i=132&amp;l=198&amp;ad=true" TargetMode="External" Id="rId97" /><Relationship Type="http://schemas.openxmlformats.org/officeDocument/2006/relationships/hyperlink" Target="https://new.land.naver.com/complexes/7395?ms=2AfAQG,3zprE6,17&amp;a=APT:ABYG:JGC&amp;b=A1:B1&amp;e=RETAIL&amp;h=34&amp;i=132&amp;l=198&amp;ad=true" TargetMode="External" Id="rId98" /><Relationship Type="http://schemas.openxmlformats.org/officeDocument/2006/relationships/hyperlink" Target="https://new.land.naver.com/complexes/7389?ms=2AfAQG,3zprE6,17&amp;a=APT:ABYG:JGC&amp;b=A1:B1&amp;e=RETAIL&amp;h=34&amp;i=132&amp;l=198&amp;ad=true" TargetMode="External" Id="rId99" /><Relationship Type="http://schemas.openxmlformats.org/officeDocument/2006/relationships/hyperlink" Target="https://new.land.naver.com/complexes/7393?ms=2AfAQG,3zprE6,17&amp;a=APT:ABYG:JGC&amp;b=A1:B1&amp;e=RETAIL&amp;h=34&amp;i=132&amp;l=198&amp;ad=true" TargetMode="External" Id="rId100" /><Relationship Type="http://schemas.openxmlformats.org/officeDocument/2006/relationships/hyperlink" Target="https://new.land.naver.com/complexes/17300?ms=2AfAQG,3zprE6,17&amp;a=APT:ABYG:JGC&amp;b=A1:B1&amp;e=RETAIL&amp;h=34&amp;i=132&amp;l=198&amp;ad=true" TargetMode="External" Id="rId101" /><Relationship Type="http://schemas.openxmlformats.org/officeDocument/2006/relationships/hyperlink" Target="https://new.land.naver.com/complexes/7392?ms=2AfAQG,3zprE6,17&amp;a=APT:ABYG:JGC&amp;b=A1:B1&amp;e=RETAIL&amp;h=34&amp;i=132&amp;l=198&amp;ad=true" TargetMode="External" Id="rId102" /><Relationship Type="http://schemas.openxmlformats.org/officeDocument/2006/relationships/hyperlink" Target="https://new.land.naver.com/complexes/7400?ms=2AfAQG,3zprE6,17&amp;a=APT:ABYG:JGC&amp;b=A1:B1&amp;e=RETAIL&amp;h=34&amp;i=132&amp;l=198&amp;ad=true" TargetMode="External" Id="rId103" /><Relationship Type="http://schemas.openxmlformats.org/officeDocument/2006/relationships/hyperlink" Target="https://new.land.naver.com/complexes/10920?ms=2AfAQG,3zprE6,17&amp;a=APT:ABYG:JGC&amp;b=A1:B1&amp;e=RETAIL&amp;h=34&amp;i=132&amp;l=198&amp;ad=true" TargetMode="External" Id="rId104" /><Relationship Type="http://schemas.openxmlformats.org/officeDocument/2006/relationships/hyperlink" Target="https://new.land.naver.com/complexes/140850?ms=2AfAQG,3zprE6,17&amp;a=APT:ABYG:JGC&amp;b=A1:B1&amp;e=RETAIL&amp;h=34&amp;i=132&amp;l=198&amp;ad=true" TargetMode="External" Id="rId105" /><Relationship Type="http://schemas.openxmlformats.org/officeDocument/2006/relationships/hyperlink" Target="https://new.land.naver.com/complexes/12895?ms=2AfAQG,3zprE6,17&amp;a=APT:ABYG:JGC&amp;b=A1:B1&amp;e=RETAIL&amp;h=34&amp;i=132&amp;l=198&amp;ad=true" TargetMode="External" Id="rId106" /><Relationship Type="http://schemas.openxmlformats.org/officeDocument/2006/relationships/hyperlink" Target="https://new.land.naver.com/complexes/13468?ms=2AfAQG,3zprE6,17&amp;a=APT:ABYG:JGC&amp;b=A1:B1&amp;e=RETAIL&amp;h=34&amp;i=132&amp;l=198&amp;ad=true" TargetMode="External" Id="rId107" /><Relationship Type="http://schemas.openxmlformats.org/officeDocument/2006/relationships/hyperlink" Target="https://new.land.naver.com/complexes/7389?ms=2AfAQG,3zprE6,17&amp;a=APT:ABYG:JGC&amp;b=A1:B1&amp;e=RETAIL&amp;h=34&amp;i=132&amp;l=198&amp;ad=true" TargetMode="External" Id="rId108" /><Relationship Type="http://schemas.openxmlformats.org/officeDocument/2006/relationships/hyperlink" Target="https://new.land.naver.com/complexes/7424?ms=2AfAQG,3zprE6,17&amp;a=APT:ABYG:JGC&amp;b=A1:B1&amp;e=RETAIL&amp;h=34&amp;i=132&amp;l=198&amp;ad=true" TargetMode="External" Id="rId109" /><Relationship Type="http://schemas.openxmlformats.org/officeDocument/2006/relationships/hyperlink" Target="https://new.land.naver.com/complexes/7569?ms=2AfAQG,3zprE6,17&amp;a=APT:ABYG:JGC&amp;b=A1:B1&amp;e=RETAIL&amp;h=34&amp;i=132&amp;l=198&amp;ad=true" TargetMode="External" Id="rId110" /><Relationship Type="http://schemas.openxmlformats.org/officeDocument/2006/relationships/hyperlink" Target="https://new.land.naver.com/complexes/7387?ms=2AfAQG,3zprE6,17&amp;a=APT:ABYG:JGC&amp;b=A1:B1&amp;e=RETAIL&amp;h=34&amp;i=132&amp;l=198&amp;ad=true" TargetMode="External" Id="rId111" /><Relationship Type="http://schemas.openxmlformats.org/officeDocument/2006/relationships/hyperlink" Target="https://new.land.naver.com/complexes/7567?ms=2AfAQG,3zprE6,17&amp;a=APT:ABYG:JGC&amp;b=A1:B1&amp;e=RETAIL&amp;h=34&amp;i=132&amp;l=198&amp;ad=true" TargetMode="External" Id="rId112" /><Relationship Type="http://schemas.openxmlformats.org/officeDocument/2006/relationships/hyperlink" Target="https://new.land.naver.com/complexes/7395?ms=2AfAQG,3zprE6,17&amp;a=APT:ABYG:JGC&amp;b=A1:B1&amp;e=RETAIL&amp;h=34&amp;i=132&amp;l=198&amp;ad=true" TargetMode="External" Id="rId113" /><Relationship Type="http://schemas.openxmlformats.org/officeDocument/2006/relationships/hyperlink" Target="https://new.land.naver.com/complexes/7426?ms=2AfAQG,3zprE6,17&amp;a=APT:ABYG:JGC&amp;b=A1:B1&amp;e=RETAIL&amp;h=34&amp;i=132&amp;l=198&amp;ad=true" TargetMode="External" Id="rId114" /><Relationship Type="http://schemas.openxmlformats.org/officeDocument/2006/relationships/hyperlink" Target="https://new.land.naver.com/complexes/102387?ms=2AfAQG,3zprE6,17&amp;a=APT:ABYG:JGC&amp;b=A1:B1&amp;e=RETAIL&amp;h=34&amp;i=132&amp;l=198&amp;ad=true" TargetMode="External" Id="rId115" /><Relationship Type="http://schemas.openxmlformats.org/officeDocument/2006/relationships/hyperlink" Target="https://new.land.naver.com/complexes/7392?ms=2AfAQG,3zprE6,17&amp;a=APT:ABYG:JGC&amp;b=A1:B1&amp;e=RETAIL&amp;h=34&amp;i=132&amp;l=198&amp;ad=true" TargetMode="External" Id="rId116" /><Relationship Type="http://schemas.openxmlformats.org/officeDocument/2006/relationships/hyperlink" Target="https://new.land.naver.com/complexes/102387?ms=2AfAQG,3zprE6,17&amp;a=APT:ABYG:JGC&amp;b=A1:B1&amp;e=RETAIL&amp;h=34&amp;i=132&amp;l=198&amp;ad=true" TargetMode="External" Id="rId117" /><Relationship Type="http://schemas.openxmlformats.org/officeDocument/2006/relationships/hyperlink" Target="https://new.land.naver.com/complexes/7271?ms=2AfAQG,3zprE6,17&amp;a=APT:ABYG:JGC&amp;b=A1:B1&amp;e=RETAIL&amp;h=34&amp;i=132&amp;l=198&amp;ad=true" TargetMode="External" Id="rId118" /><Relationship Type="http://schemas.openxmlformats.org/officeDocument/2006/relationships/hyperlink" Target="https://new.land.naver.com/complexes/12895?ms=2AfAQG,3zprE6,17&amp;a=APT:ABYG:JGC&amp;b=A1:B1&amp;e=RETAIL&amp;h=34&amp;i=132&amp;l=198&amp;ad=true" TargetMode="External" Id="rId119" /><Relationship Type="http://schemas.openxmlformats.org/officeDocument/2006/relationships/hyperlink" Target="https://new.land.naver.com/complexes/13468?ms=2AfAQG,3zprE6,17&amp;a=APT:ABYG:JGC&amp;b=A1:B1&amp;e=RETAIL&amp;h=34&amp;i=132&amp;l=198&amp;ad=true" TargetMode="External" Id="rId120" /><Relationship Type="http://schemas.openxmlformats.org/officeDocument/2006/relationships/hyperlink" Target="https://new.land.naver.com/complexes/7393?ms=2AfAQG,3zprE6,17&amp;a=APT:ABYG:JGC&amp;b=A1:B1&amp;e=RETAIL&amp;h=34&amp;i=132&amp;l=198&amp;ad=true" TargetMode="External" Id="rId121" /><Relationship Type="http://schemas.openxmlformats.org/officeDocument/2006/relationships/hyperlink" Target="https://new.land.naver.com/complexes/17300?ms=2AfAQG,3zprE6,17&amp;a=APT:ABYG:JGC&amp;b=A1:B1&amp;e=RETAIL&amp;h=34&amp;i=132&amp;l=198&amp;ad=true" TargetMode="External" Id="rId122" /><Relationship Type="http://schemas.openxmlformats.org/officeDocument/2006/relationships/hyperlink" Target="https://new.land.naver.com/complexes/7567?ms=2AfAQG,3zprE6,17&amp;a=APT:ABYG:JGC&amp;b=A1:B1&amp;e=RETAIL&amp;h=34&amp;i=132&amp;l=198&amp;ad=true" TargetMode="External" Id="rId123" /><Relationship Type="http://schemas.openxmlformats.org/officeDocument/2006/relationships/hyperlink" Target="https://new.land.naver.com/complexes/14265?ms=2AfAQG,3zprE6,17&amp;a=APT:ABYG:JGC&amp;b=A1:B1&amp;e=RETAIL&amp;h=34&amp;i=132&amp;l=198&amp;ad=true" TargetMode="External" Id="rId124" /><Relationship Type="http://schemas.openxmlformats.org/officeDocument/2006/relationships/hyperlink" Target="https://new.land.naver.com/complexes/7387?ms=2AfAQG,3zprE6,17&amp;a=APT:ABYG:JGC&amp;b=A1:B1&amp;e=RETAIL&amp;h=34&amp;i=132&amp;l=198&amp;ad=true" TargetMode="External" Id="rId125" /><Relationship Type="http://schemas.openxmlformats.org/officeDocument/2006/relationships/hyperlink" Target="https://new.land.naver.com/complexes/13053?ms=2AfAQG,3zprE6,17&amp;a=APT:ABYG:JGC&amp;b=A1:B1&amp;e=RETAIL&amp;h=34&amp;i=132&amp;l=198&amp;ad=true" TargetMode="External" Id="rId126" /><Relationship Type="http://schemas.openxmlformats.org/officeDocument/2006/relationships/hyperlink" Target="https://new.land.naver.com/complexes/7389?ms=2AfAQG,3zprE6,17&amp;a=APT:ABYG:JGC&amp;b=A1:B1&amp;e=RETAIL&amp;h=34&amp;i=132&amp;l=198&amp;ad=true" TargetMode="External" Id="rId127" /><Relationship Type="http://schemas.openxmlformats.org/officeDocument/2006/relationships/hyperlink" Target="https://new.land.naver.com/complexes/104607?ms=2AfAQG,3zprE6,17&amp;a=APT:ABYG:JGC&amp;b=A1:B1&amp;e=RETAIL&amp;h=34&amp;i=132&amp;l=198&amp;ad=true" TargetMode="External" Id="rId128" /><Relationship Type="http://schemas.openxmlformats.org/officeDocument/2006/relationships/hyperlink" Target="https://new.land.naver.com/complexes/7271?ms=2AfAQG,3zprE6,17&amp;a=APT:ABYG:JGC&amp;b=A1:B1&amp;e=RETAIL&amp;h=34&amp;i=132&amp;l=198&amp;ad=true" TargetMode="External" Id="rId129" /><Relationship Type="http://schemas.openxmlformats.org/officeDocument/2006/relationships/hyperlink" Target="https://new.land.naver.com/complexes/109731?ms=2AfAQG,3zprE6,17&amp;a=APT:ABYG:JGC&amp;b=A1:B1&amp;e=RETAIL&amp;h=34&amp;i=132&amp;l=198&amp;ad=true" TargetMode="External" Id="rId130" /><Relationship Type="http://schemas.openxmlformats.org/officeDocument/2006/relationships/hyperlink" Target="https://new.land.naver.com/complexes/22847?ms=2AfAQG,3zprE6,17&amp;a=APT:ABYG:JGC&amp;b=A1:B1&amp;e=RETAIL&amp;h=34&amp;i=132&amp;l=198&amp;ad=true" TargetMode="External" Id="rId131" /><Relationship Type="http://schemas.openxmlformats.org/officeDocument/2006/relationships/hyperlink" Target="https://new.land.naver.com/complexes/14265?ms=2AfAQG,3zprE6,17&amp;a=APT:ABYG:JGC&amp;b=A1:B1&amp;e=RETAIL&amp;h=34&amp;i=132&amp;l=198&amp;ad=true" TargetMode="External" Id="rId132" /><Relationship Type="http://schemas.openxmlformats.org/officeDocument/2006/relationships/hyperlink" Target="https://new.land.naver.com/complexes/109730?ms=2AfAQG,3zprE6,17&amp;a=APT:ABYG:JGC&amp;b=A1:B1&amp;e=RETAIL&amp;h=34&amp;i=132&amp;l=198&amp;ad=true" TargetMode="External" Id="rId133" /><Relationship Type="http://schemas.openxmlformats.org/officeDocument/2006/relationships/hyperlink" Target="https://new.land.naver.com/complexes/109731?ms=2AfAQG,3zprE6,17&amp;a=APT:ABYG:JGC&amp;b=A1:B1&amp;e=RETAIL&amp;h=34&amp;i=132&amp;l=198&amp;ad=true" TargetMode="External" Id="rId134" /><Relationship Type="http://schemas.openxmlformats.org/officeDocument/2006/relationships/hyperlink" Target="https://new.land.naver.com/complexes/109730?ms=2AfAQG,3zprE6,17&amp;a=APT:ABYG:JGC&amp;b=A1:B1&amp;e=RETAIL&amp;h=34&amp;i=132&amp;l=198&amp;ad=true" TargetMode="External" Id="rId135" /><Relationship Type="http://schemas.openxmlformats.org/officeDocument/2006/relationships/hyperlink" Target="https://new.land.naver.com/complexes/22847?ms=2AfAQG,3zprE6,17&amp;a=APT:ABYG:JGC&amp;b=A1:B1&amp;e=RETAIL&amp;h=34&amp;i=132&amp;l=198&amp;ad=true" TargetMode="External" Id="rId136" /><Relationship Type="http://schemas.openxmlformats.org/officeDocument/2006/relationships/hyperlink" Target="https://new.land.naver.com/complexes/106860?ms=2AfAQG,3zprE6,17&amp;a=APT:ABYG:JGC&amp;b=A1:B1&amp;e=RETAIL&amp;h=34&amp;i=132&amp;l=198&amp;ad=true" TargetMode="External" Id="rId137" /><Relationship Type="http://schemas.openxmlformats.org/officeDocument/2006/relationships/hyperlink" Target="https://new.land.naver.com/complexes/104607?ms=2AfAQG,3zprE6,17&amp;a=APT:ABYG:JGC&amp;b=A1:B1&amp;e=RETAIL&amp;h=34&amp;i=132&amp;l=198&amp;ad=true" TargetMode="External" Id="rId138" /><Relationship Type="http://schemas.openxmlformats.org/officeDocument/2006/relationships/hyperlink" Target="https://new.land.naver.com/complexes/104607?ms=2AfAQG,3zprE6,17&amp;a=APT:ABYG:JGC&amp;b=A1:B1&amp;e=RETAIL&amp;h=34&amp;i=132&amp;l=198&amp;ad=true" TargetMode="External" Id="rId139" /><Relationship Type="http://schemas.openxmlformats.org/officeDocument/2006/relationships/hyperlink" Target="https://new.land.naver.com/complexes/104607?ms=2AfAQG,3zprE6,17&amp;a=APT:ABYG:JGC&amp;b=A1:B1&amp;e=RETAIL&amp;h=34&amp;i=132&amp;l=198&amp;ad=true" TargetMode="External" Id="rId140" /><Relationship Type="http://schemas.openxmlformats.org/officeDocument/2006/relationships/hyperlink" Target="https://new.land.naver.com/complexes/14265?ms=2AfAQG,3zprE6,17&amp;a=APT:ABYG:JGC&amp;b=A1:B1&amp;e=RETAIL&amp;h=34&amp;i=132&amp;l=198&amp;ad=true" TargetMode="External" Id="rId141" /><Relationship Type="http://schemas.openxmlformats.org/officeDocument/2006/relationships/hyperlink" Target="https://new.land.naver.com/complexes/17369?ms=2AfAQG,3zprE6,17&amp;a=APT:ABYG:JGC&amp;b=A1:B1&amp;e=RETAIL&amp;h=34&amp;i=132&amp;l=198&amp;ad=true" TargetMode="External" Id="rId142" /><Relationship Type="http://schemas.openxmlformats.org/officeDocument/2006/relationships/hyperlink" Target="https://new.land.naver.com/complexes/17369?ms=2AfAQG,3zprE6,17&amp;a=APT:ABYG:JGC&amp;b=A1:B1&amp;e=RETAIL&amp;h=34&amp;i=132&amp;l=198&amp;ad=true" TargetMode="External" Id="rId143" /><Relationship Type="http://schemas.openxmlformats.org/officeDocument/2006/relationships/hyperlink" Target="https://new.land.naver.com/complexes/26577?ms=2AfAQG,3zprE6,17&amp;a=APT:ABYG:JGC&amp;b=A1:B1&amp;e=RETAIL&amp;h=34&amp;i=132&amp;l=198&amp;ad=true" TargetMode="External" Id="rId144" /><Relationship Type="http://schemas.openxmlformats.org/officeDocument/2006/relationships/hyperlink" Target="https://new.land.naver.com/complexes/26577?ms=2AfAQG,3zprE6,17&amp;a=APT:ABYG:JGC&amp;b=A1:B1&amp;e=RETAIL&amp;h=34&amp;i=132&amp;l=198&amp;ad=true" TargetMode="External" Id="rId145" /><Relationship Type="http://schemas.openxmlformats.org/officeDocument/2006/relationships/hyperlink" Target="https://new.land.naver.com/complexes/17369?ms=2AfAQG,3zprE6,17&amp;a=APT:ABYG:JGC&amp;b=A1:B1&amp;e=RETAIL&amp;h=34&amp;i=132&amp;l=198&amp;ad=true" TargetMode="External" Id="rId146" /><Relationship Type="http://schemas.openxmlformats.org/officeDocument/2006/relationships/hyperlink" Target="https://new.land.naver.com/complexes/13468?ms=2AfAQG,3zprE6,17&amp;a=APT:ABYG:JGC&amp;b=A1:B1&amp;e=RETAIL&amp;h=34&amp;i=132&amp;l=198&amp;ad=true" TargetMode="External" Id="rId147" /><Relationship Type="http://schemas.openxmlformats.org/officeDocument/2006/relationships/hyperlink" Target="https://new.land.naver.com/complexes/126749?ms=2AfAQG,3zprE6,17&amp;a=APT:ABYG:JGC&amp;b=A1:B1&amp;e=RETAIL&amp;h=34&amp;i=132&amp;l=198&amp;ad=true" TargetMode="External" Id="rId148" /><Relationship Type="http://schemas.openxmlformats.org/officeDocument/2006/relationships/hyperlink" Target="https://new.land.naver.com/complexes/26333?ms=2AfAQG,3zprE6,17&amp;a=APT:ABYG:JGC&amp;b=A1:B1&amp;e=RETAIL&amp;h=34&amp;i=132&amp;l=198&amp;ad=true" TargetMode="External" Id="rId149" /><Relationship Type="http://schemas.openxmlformats.org/officeDocument/2006/relationships/hyperlink" Target="https://new.land.naver.com/complexes/26333?ms=2AfAQG,3zprE6,17&amp;a=APT:ABYG:JGC&amp;b=A1:B1&amp;e=RETAIL&amp;h=34&amp;i=132&amp;l=198&amp;ad=true" TargetMode="External" Id="rId150" /><Relationship Type="http://schemas.openxmlformats.org/officeDocument/2006/relationships/hyperlink" Target="https://new.land.naver.com/complexes/26333?ms=2AfAQG,3zprE6,17&amp;a=APT:ABYG:JGC&amp;b=A1:B1&amp;e=RETAIL&amp;h=34&amp;i=132&amp;l=198&amp;ad=true" TargetMode="External" Id="rId151" /><Relationship Type="http://schemas.openxmlformats.org/officeDocument/2006/relationships/hyperlink" Target="https://new.land.naver.com/complexes/130948?ms=2AfAQG,3zprE6,17&amp;a=APT:ABYG:JGC&amp;b=A1:B1&amp;e=RETAIL&amp;h=34&amp;i=132&amp;l=198&amp;ad=true" TargetMode="External" Id="rId152" /><Relationship Type="http://schemas.openxmlformats.org/officeDocument/2006/relationships/hyperlink" Target="https://new.land.naver.com/complexes/130948?ms=2AfAQG,3zprE6,17&amp;a=APT:ABYG:JGC&amp;b=A1:B1&amp;e=RETAIL&amp;h=34&amp;i=132&amp;l=198&amp;ad=true" TargetMode="External" Id="rId153" /><Relationship Type="http://schemas.openxmlformats.org/officeDocument/2006/relationships/hyperlink" Target="https://new.land.naver.com/complexes/113728?ms=2AfAQG,3zprE6,17&amp;a=APT:ABYG:JGC&amp;b=A1:B1&amp;e=RETAIL&amp;h=34&amp;i=132&amp;l=198&amp;ad=true" TargetMode="External" Id="rId154" /><Relationship Type="http://schemas.openxmlformats.org/officeDocument/2006/relationships/hyperlink" Target="https://new.land.naver.com/complexes/113728?ms=2AfAQG,3zprE6,17&amp;a=APT:ABYG:JGC&amp;b=A1:B1&amp;e=RETAIL&amp;h=34&amp;i=132&amp;l=198&amp;ad=true" TargetMode="External" Id="rId155" /><Relationship Type="http://schemas.openxmlformats.org/officeDocument/2006/relationships/hyperlink" Target="https://new.land.naver.com/complexes/137226?ms=2AfAQG,3zprE6,17&amp;a=APT:ABYG:JGC&amp;b=A1:B1&amp;e=RETAIL&amp;h=34&amp;i=132&amp;l=198&amp;ad=true" TargetMode="External" Id="rId156" /><Relationship Type="http://schemas.openxmlformats.org/officeDocument/2006/relationships/hyperlink" Target="https://new.land.naver.com/complexes/137226?ms=2AfAQG,3zprE6,17&amp;a=APT:ABYG:JGC&amp;b=A1:B1&amp;e=RETAIL&amp;h=34&amp;i=132&amp;l=198&amp;ad=true" TargetMode="External" Id="rId157" /><Relationship Type="http://schemas.openxmlformats.org/officeDocument/2006/relationships/hyperlink" Target="https://new.land.naver.com/complexes/113728?ms=2AfAQG,3zprE6,17&amp;a=APT:ABYG:JGC&amp;b=A1:B1&amp;e=RETAIL&amp;h=34&amp;i=132&amp;l=198&amp;ad=true" TargetMode="External" Id="rId158" /><Relationship Type="http://schemas.openxmlformats.org/officeDocument/2006/relationships/hyperlink" Target="https://new.land.naver.com/complexes/25001?ms=2AfAQG,3zprE6,17&amp;a=APT:ABYG:JGC&amp;b=A1:B1&amp;e=RETAIL&amp;h=34&amp;i=132&amp;l=198&amp;ad=true" TargetMode="External" Id="rId159" /><Relationship Type="http://schemas.openxmlformats.org/officeDocument/2006/relationships/hyperlink" Target="https://new.land.naver.com/complexes/25001?ms=2AfAQG,3zprE6,17&amp;a=APT:ABYG:JGC&amp;b=A1:B1&amp;e=RETAIL&amp;h=34&amp;i=132&amp;l=198&amp;ad=true" TargetMode="External" Id="rId160" /><Relationship Type="http://schemas.openxmlformats.org/officeDocument/2006/relationships/hyperlink" Target="https://new.land.naver.com/complexes/25001?ms=2AfAQG,3zprE6,17&amp;a=APT:ABYG:JGC&amp;b=A1:B1&amp;e=RETAIL&amp;h=34&amp;i=132&amp;l=198&amp;ad=true" TargetMode="External" Id="rId161" /><Relationship Type="http://schemas.openxmlformats.org/officeDocument/2006/relationships/hyperlink" Target="https://new.land.naver.com/complexes/146718?ms=2AfAQG,3zprE6,17&amp;a=APT:ABYG:JGC&amp;b=A1:B1&amp;e=RETAIL&amp;h=34&amp;i=132&amp;l=198&amp;ad=true" TargetMode="External" Id="rId162" /><Relationship Type="http://schemas.openxmlformats.org/officeDocument/2006/relationships/hyperlink" Target="https://new.land.naver.com/complexes/146718?ms=2AfAQG,3zprE6,17&amp;a=APT:ABYG:JGC&amp;b=A1:B1&amp;e=RETAIL&amp;h=34&amp;i=132&amp;l=198&amp;ad=true" TargetMode="External" Id="rId163" /><Relationship Type="http://schemas.openxmlformats.org/officeDocument/2006/relationships/hyperlink" Target="https://new.land.naver.com/complexes/13543?ms=2AfAQG,3zprE6,17&amp;a=APT:ABYG:JGC&amp;b=A1:B1&amp;e=RETAIL&amp;h=34&amp;i=132&amp;l=198&amp;ad=true" TargetMode="External" Id="rId164" /><Relationship Type="http://schemas.openxmlformats.org/officeDocument/2006/relationships/hyperlink" Target="https://new.land.naver.com/complexes/100359?ms=2AfAQG,3zprE6,17&amp;a=APT:ABYG:JGC&amp;b=A1:B1&amp;e=RETAIL&amp;h=34&amp;i=132&amp;l=198&amp;ad=true" TargetMode="External" Id="rId165" /><Relationship Type="http://schemas.openxmlformats.org/officeDocument/2006/relationships/hyperlink" Target="https://new.land.naver.com/complexes/100359?ms=2AfAQG,3zprE6,17&amp;a=APT:ABYG:JGC&amp;b=A1:B1&amp;e=RETAIL&amp;h=34&amp;i=132&amp;l=198&amp;ad=true" TargetMode="External" Id="rId166" /><Relationship Type="http://schemas.openxmlformats.org/officeDocument/2006/relationships/hyperlink" Target="https://new.land.naver.com/complexes/120918?ms=2AfAQG,3zprE6,17&amp;a=APT:ABYG:JGC&amp;b=A1:B1&amp;e=RETAIL&amp;h=34&amp;i=132&amp;l=198&amp;ad=true" TargetMode="External" Id="rId167" /><Relationship Type="http://schemas.openxmlformats.org/officeDocument/2006/relationships/hyperlink" Target="https://new.land.naver.com/complexes/11266?ms=2AfAQG,3zprE6,17&amp;a=APT:ABYG:JGC&amp;b=A1:B1&amp;e=RETAIL&amp;h=34&amp;i=132&amp;l=198&amp;ad=true" TargetMode="External" Id="rId168" /><Relationship Type="http://schemas.openxmlformats.org/officeDocument/2006/relationships/hyperlink" Target="https://new.land.naver.com/complexes/11266?ms=2AfAQG,3zprE6,17&amp;a=APT:ABYG:JGC&amp;b=A1:B1&amp;e=RETAIL&amp;h=34&amp;i=132&amp;l=198&amp;ad=true" TargetMode="External" Id="rId169" /><Relationship Type="http://schemas.openxmlformats.org/officeDocument/2006/relationships/hyperlink" Target="https://new.land.naver.com/complexes/11266?ms=2AfAQG,3zprE6,17&amp;a=APT:ABYG:JGC&amp;b=A1:B1&amp;e=RETAIL&amp;h=34&amp;i=132&amp;l=198&amp;ad=true" TargetMode="External" Id="rId170" /><Relationship Type="http://schemas.openxmlformats.org/officeDocument/2006/relationships/hyperlink" Target="https://new.land.naver.com/complexes/11266?ms=2AfAQG,3zprE6,17&amp;a=APT:ABYG:JGC&amp;b=A1:B1&amp;e=RETAIL&amp;h=34&amp;i=132&amp;l=198&amp;ad=true" TargetMode="External" Id="rId171" /><Relationship Type="http://schemas.openxmlformats.org/officeDocument/2006/relationships/hyperlink" Target="https://new.land.naver.com/complexes/7395?ms=2AfAQG,3zprE6,17&amp;a=APT:ABYG:JGC&amp;b=A1:B1&amp;e=RETAIL&amp;h=34&amp;i=132&amp;l=198&amp;ad=true" TargetMode="External" Id="rId172" /><Relationship Type="http://schemas.openxmlformats.org/officeDocument/2006/relationships/hyperlink" Target="https://new.land.naver.com/complexes/7393?ms=2AfAQG,3zprE6,17&amp;a=APT:ABYG:JGC&amp;b=A1:B1&amp;e=RETAIL&amp;h=34&amp;i=132&amp;l=198&amp;ad=true" TargetMode="External" Id="rId173" /><Relationship Type="http://schemas.openxmlformats.org/officeDocument/2006/relationships/hyperlink" Target="https://new.land.naver.com/complexes/7400?ms=2AfAQG,3zprE6,17&amp;a=APT:ABYG:JGC&amp;b=A1:B1&amp;e=RETAIL&amp;h=34&amp;i=132&amp;l=198&amp;ad=true" TargetMode="External" Id="rId174" /><Relationship Type="http://schemas.openxmlformats.org/officeDocument/2006/relationships/hyperlink" Target="https://new.land.naver.com/complexes/7395?ms=2AfAQG,3zprE6,17&amp;a=APT:ABYG:JGC&amp;b=A1:B1&amp;e=RETAIL&amp;h=34&amp;i=132&amp;l=198&amp;ad=true" TargetMode="External" Id="rId175" /><Relationship Type="http://schemas.openxmlformats.org/officeDocument/2006/relationships/hyperlink" Target="https://new.land.naver.com/complexes/27682?ms=2AfAQG,3zprE6,17&amp;a=APT:ABYG:JGC&amp;b=A1:B1&amp;e=RETAIL&amp;h=34&amp;i=132&amp;l=198&amp;ad=true" TargetMode="External" Id="rId176" /><Relationship Type="http://schemas.openxmlformats.org/officeDocument/2006/relationships/hyperlink" Target="https://new.land.naver.com/complexes/100359?ms=2AfAQG,3zprE6,17&amp;a=APT:ABYG:JGC&amp;b=A1:B1&amp;e=RETAIL&amp;h=34&amp;i=132&amp;l=198&amp;ad=true" TargetMode="External" Id="rId177" /><Relationship Type="http://schemas.openxmlformats.org/officeDocument/2006/relationships/hyperlink" Target="https://new.land.naver.com/complexes/143063?ms=2AfAQG,3zprE6,17&amp;a=APT:ABYG:JGC&amp;b=A1:B1&amp;e=RETAIL&amp;h=34&amp;i=132&amp;l=198&amp;ad=true" TargetMode="External" Id="rId178" /><Relationship Type="http://schemas.openxmlformats.org/officeDocument/2006/relationships/hyperlink" Target="https://new.land.naver.com/complexes/143063?ms=2AfAQG,3zprE6,17&amp;a=APT:ABYG:JGC&amp;b=A1:B1&amp;e=RETAIL&amp;h=34&amp;i=132&amp;l=198&amp;ad=true" TargetMode="External" Id="rId179" /><Relationship Type="http://schemas.openxmlformats.org/officeDocument/2006/relationships/hyperlink" Target="https://new.land.naver.com/complexes/143063?ms=2AfAQG,3zprE6,17&amp;a=APT:ABYG:JGC&amp;b=A1:B1&amp;e=RETAIL&amp;h=34&amp;i=132&amp;l=198&amp;ad=true" TargetMode="External" Id="rId180" /><Relationship Type="http://schemas.openxmlformats.org/officeDocument/2006/relationships/hyperlink" Target="https://new.land.naver.com/complexes/152942?ms=2AfAQG,3zprE6,17&amp;a=APT:ABYG:JGC&amp;b=A1:B1&amp;e=RETAIL&amp;h=34&amp;i=132&amp;l=198&amp;ad=true" TargetMode="External" Id="rId181" /><Relationship Type="http://schemas.openxmlformats.org/officeDocument/2006/relationships/hyperlink" Target="https://new.land.naver.com/complexes/152942?ms=2AfAQG,3zprE6,17&amp;a=APT:ABYG:JGC&amp;b=A1:B1&amp;e=RETAIL&amp;h=34&amp;i=132&amp;l=198&amp;ad=true" TargetMode="External" Id="rId182" /><Relationship Type="http://schemas.openxmlformats.org/officeDocument/2006/relationships/hyperlink" Target="https://new.land.naver.com/complexes/7421?ms=2AfAQG,3zprE6,17&amp;a=APT:ABYG:JGC&amp;b=A1:B1&amp;e=RETAIL&amp;h=34&amp;i=132&amp;l=198&amp;ad=true" TargetMode="External" Id="rId183" /><Relationship Type="http://schemas.openxmlformats.org/officeDocument/2006/relationships/hyperlink" Target="https://new.land.naver.com/complexes/7420?ms=2AfAQG,3zprE6,17&amp;a=APT:ABYG:JGC&amp;b=A1:B1&amp;e=RETAIL&amp;h=34&amp;i=132&amp;l=198&amp;ad=true" TargetMode="External" Id="rId184" /><Relationship Type="http://schemas.openxmlformats.org/officeDocument/2006/relationships/hyperlink" Target="https://new.land.naver.com/complexes/26534?ms=2AfAQG,3zprE6,17&amp;a=APT:ABYG:JGC&amp;b=A1:B1&amp;e=RETAIL&amp;h=34&amp;i=132&amp;l=198&amp;ad=true" TargetMode="External" Id="rId185" /><Relationship Type="http://schemas.openxmlformats.org/officeDocument/2006/relationships/hyperlink" Target="https://new.land.naver.com/complexes/7420?ms=2AfAQG,3zprE6,17&amp;a=APT:ABYG:JGC&amp;b=A1:B1&amp;e=RETAIL&amp;h=34&amp;i=132&amp;l=198&amp;ad=true" TargetMode="External" Id="rId186" /><Relationship Type="http://schemas.openxmlformats.org/officeDocument/2006/relationships/hyperlink" Target="https://new.land.naver.com/complexes/10920?ms=2AfAQG,3zprE6,17&amp;a=APT:ABYG:JGC&amp;b=A1:B1&amp;e=RETAIL&amp;h=34&amp;i=132&amp;l=198&amp;ad=true" TargetMode="External" Id="rId187" /><Relationship Type="http://schemas.openxmlformats.org/officeDocument/2006/relationships/hyperlink" Target="https://new.land.naver.com/complexes/10920?ms=2AfAQG,3zprE6,17&amp;a=APT:ABYG:JGC&amp;b=A1:B1&amp;e=RETAIL&amp;h=34&amp;i=132&amp;l=198&amp;ad=true" TargetMode="External" Id="rId188" /><Relationship Type="http://schemas.openxmlformats.org/officeDocument/2006/relationships/hyperlink" Target="https://new.land.naver.com/complexes/100381?ms=2AfAQG,3zprE6,17&amp;a=APT:ABYG:JGC&amp;b=A1:B1&amp;e=RETAIL&amp;h=34&amp;i=132&amp;l=198&amp;ad=true" TargetMode="External" Id="rId189" /><Relationship Type="http://schemas.openxmlformats.org/officeDocument/2006/relationships/hyperlink" Target="https://new.land.naver.com/complexes/100381?ms=2AfAQG,3zprE6,17&amp;a=APT:ABYG:JGC&amp;b=A1:B1&amp;e=RETAIL&amp;h=34&amp;i=132&amp;l=198&amp;ad=true" TargetMode="External" Id="rId190" /><Relationship Type="http://schemas.openxmlformats.org/officeDocument/2006/relationships/hyperlink" Target="https://new.land.naver.com/complexes/100381?ms=2AfAQG,3zprE6,17&amp;a=APT:ABYG:JGC&amp;b=A1:B1&amp;e=RETAIL&amp;h=34&amp;i=132&amp;l=198&amp;ad=true" TargetMode="External" Id="rId191" /><Relationship Type="http://schemas.openxmlformats.org/officeDocument/2006/relationships/hyperlink" Target="https://new.land.naver.com/complexes/100381?ms=2AfAQG,3zprE6,17&amp;a=APT:ABYG:JGC&amp;b=A1:B1&amp;e=RETAIL&amp;h=34&amp;i=132&amp;l=198&amp;ad=true" TargetMode="External" Id="rId192" /><Relationship Type="http://schemas.openxmlformats.org/officeDocument/2006/relationships/hyperlink" Target="https://new.land.naver.com/complexes/10920?ms=2AfAQG,3zprE6,17&amp;a=APT:ABYG:JGC&amp;b=A1:B1&amp;e=RETAIL&amp;h=34&amp;i=132&amp;l=198&amp;ad=true" TargetMode="External" Id="rId193" /><Relationship Type="http://schemas.openxmlformats.org/officeDocument/2006/relationships/hyperlink" Target="https://new.land.naver.com/complexes/27431?ms=2AfAQG,3zprE6,17&amp;a=APT:ABYG:JGC&amp;b=A1:B1&amp;e=RETAIL&amp;h=34&amp;i=132&amp;l=198&amp;ad=true" TargetMode="External" Id="rId194" /><Relationship Type="http://schemas.openxmlformats.org/officeDocument/2006/relationships/hyperlink" Target="https://new.land.naver.com/complexes/17432?ms=2AfAQG,3zprE6,17&amp;a=APT:ABYG:JGC&amp;b=A1:B1&amp;e=RETAIL&amp;h=34&amp;i=132&amp;l=198&amp;ad=true" TargetMode="External" Id="rId195" /><Relationship Type="http://schemas.openxmlformats.org/officeDocument/2006/relationships/hyperlink" Target="https://new.land.naver.com/complexes/17432?ms=2AfAQG,3zprE6,17&amp;a=APT:ABYG:JGC&amp;b=A1:B1&amp;e=RETAIL&amp;h=34&amp;i=132&amp;l=198&amp;ad=true" TargetMode="External" Id="rId196" /><Relationship Type="http://schemas.openxmlformats.org/officeDocument/2006/relationships/hyperlink" Target="https://new.land.naver.com/complexes/27431?ms=2AfAQG,3zprE6,17&amp;a=APT:ABYG:JGC&amp;b=A1:B1&amp;e=RETAIL&amp;h=34&amp;i=132&amp;l=198&amp;ad=true" TargetMode="External" Id="rId197" /><Relationship Type="http://schemas.openxmlformats.org/officeDocument/2006/relationships/hyperlink" Target="https://new.land.naver.com/complexes/17432?ms=2AfAQG,3zprE6,17&amp;a=APT:ABYG:JGC&amp;b=A1:B1&amp;e=RETAIL&amp;h=34&amp;i=132&amp;l=198&amp;ad=true" TargetMode="External" Id="rId198" /><Relationship Type="http://schemas.openxmlformats.org/officeDocument/2006/relationships/hyperlink" Target="https://new.land.naver.com/complexes/15420?ms=2AfAQG,3zprE6,17&amp;a=APT:ABYG:JGC&amp;b=A1:B1&amp;e=RETAIL&amp;h=34&amp;i=132&amp;l=198&amp;ad=true" TargetMode="External" Id="rId199" /><Relationship Type="http://schemas.openxmlformats.org/officeDocument/2006/relationships/hyperlink" Target="https://new.land.naver.com/complexes/15420?ms=2AfAQG,3zprE6,17&amp;a=APT:ABYG:JGC&amp;b=A1:B1&amp;e=RETAIL&amp;h=34&amp;i=132&amp;l=198&amp;ad=true" TargetMode="External" Id="rId200" /><Relationship Type="http://schemas.openxmlformats.org/officeDocument/2006/relationships/hyperlink" Target="https://new.land.naver.com/complexes/15430?ms=2AfAQG,3zprE6,17&amp;a=APT:ABYG:JGC&amp;b=A1:B1&amp;e=RETAIL&amp;h=34&amp;i=132&amp;l=198&amp;ad=true" TargetMode="External" Id="rId201" /><Relationship Type="http://schemas.openxmlformats.org/officeDocument/2006/relationships/hyperlink" Target="https://new.land.naver.com/complexes/19242?ms=2AfAQG,3zprE6,17&amp;a=APT:ABYG:JGC&amp;b=A1:B1&amp;e=RETAIL&amp;h=34&amp;i=132&amp;l=198&amp;ad=true" TargetMode="External" Id="rId202" /><Relationship Type="http://schemas.openxmlformats.org/officeDocument/2006/relationships/hyperlink" Target="https://new.land.naver.com/complexes/26157?ms=2AfAQG,3zprE6,17&amp;a=APT:ABYG:JGC&amp;b=A1:B1&amp;e=RETAIL&amp;h=34&amp;i=132&amp;l=198&amp;ad=true" TargetMode="External" Id="rId203" /><Relationship Type="http://schemas.openxmlformats.org/officeDocument/2006/relationships/hyperlink" Target="https://new.land.naver.com/complexes/26157?ms=2AfAQG,3zprE6,17&amp;a=APT:ABYG:JGC&amp;b=A1:B1&amp;e=RETAIL&amp;h=34&amp;i=132&amp;l=198&amp;ad=true" TargetMode="External" Id="rId204" /><Relationship Type="http://schemas.openxmlformats.org/officeDocument/2006/relationships/hyperlink" Target="https://new.land.naver.com/complexes/26157?ms=2AfAQG,3zprE6,17&amp;a=APT:ABYG:JGC&amp;b=A1:B1&amp;e=RETAIL&amp;h=34&amp;i=132&amp;l=198&amp;ad=true" TargetMode="External" Id="rId205" /><Relationship Type="http://schemas.openxmlformats.org/officeDocument/2006/relationships/hyperlink" Target="https://new.land.naver.com/complexes/26157?ms=2AfAQG,3zprE6,17&amp;a=APT:ABYG:JGC&amp;b=A1:B1&amp;e=RETAIL&amp;h=34&amp;i=132&amp;l=198&amp;ad=true" TargetMode="External" Id="rId206" /><Relationship Type="http://schemas.openxmlformats.org/officeDocument/2006/relationships/hyperlink" Target="https://new.land.naver.com/complexes/26258?ms=2AfAQG,3zprE6,17&amp;a=APT:ABYG:JGC&amp;b=A1:B1&amp;e=RETAIL&amp;h=34&amp;i=132&amp;l=198&amp;ad=true" TargetMode="External" Id="rId207" /><Relationship Type="http://schemas.openxmlformats.org/officeDocument/2006/relationships/hyperlink" Target="https://new.land.naver.com/complexes/26813?ms=2AfAQG,3zprE6,17&amp;a=APT:ABYG:JGC&amp;b=A1:B1&amp;e=RETAIL&amp;h=34&amp;i=132&amp;l=198&amp;ad=true" TargetMode="External" Id="rId208" /><Relationship Type="http://schemas.openxmlformats.org/officeDocument/2006/relationships/hyperlink" Target="https://new.land.naver.com/complexes/26813?ms=2AfAQG,3zprE6,17&amp;a=APT:ABYG:JGC&amp;b=A1:B1&amp;e=RETAIL&amp;h=34&amp;i=132&amp;l=198&amp;ad=true" TargetMode="External" Id="rId209" /><Relationship Type="http://schemas.openxmlformats.org/officeDocument/2006/relationships/hyperlink" Target="https://new.land.naver.com/complexes/26813?ms=2AfAQG,3zprE6,17&amp;a=APT:ABYG:JGC&amp;b=A1:B1&amp;e=RETAIL&amp;h=34&amp;i=132&amp;l=198&amp;ad=true" TargetMode="External" Id="rId210" /><Relationship Type="http://schemas.openxmlformats.org/officeDocument/2006/relationships/hyperlink" Target="https://new.land.naver.com/complexes/153265?ms=2AfAQG,3zprE6,17&amp;a=APT:ABYG:JGC&amp;b=A1:B1&amp;e=RETAIL&amp;h=34&amp;i=132&amp;l=198&amp;ad=true" TargetMode="External" Id="rId211" /><Relationship Type="http://schemas.openxmlformats.org/officeDocument/2006/relationships/hyperlink" Target="https://new.land.naver.com/complexes/153265?ms=2AfAQG,3zprE6,17&amp;a=APT:ABYG:JGC&amp;b=A1:B1&amp;e=RETAIL&amp;h=34&amp;i=132&amp;l=198&amp;ad=true" TargetMode="External" Id="rId212" /><Relationship Type="http://schemas.openxmlformats.org/officeDocument/2006/relationships/hyperlink" Target="https://new.land.naver.com/complexes/186759?ms=2AfAQG,3zprE6,17&amp;a=APT:ABYG:JGC&amp;b=A1:B1&amp;e=RETAIL&amp;h=34&amp;i=132&amp;l=198&amp;ad=true" TargetMode="External" Id="rId213" /><Relationship Type="http://schemas.openxmlformats.org/officeDocument/2006/relationships/hyperlink" Target="https://new.land.naver.com/complexes/186759?ms=2AfAQG,3zprE6,17&amp;a=APT:ABYG:JGC&amp;b=A1:B1&amp;e=RETAIL&amp;h=34&amp;i=132&amp;l=198&amp;ad=true" TargetMode="External" Id="rId214" /><Relationship Type="http://schemas.openxmlformats.org/officeDocument/2006/relationships/hyperlink" Target="https://new.land.naver.com/complexes/15420?ms=2AfAQG,3zprE6,17&amp;a=APT:ABYG:JGC&amp;b=A1:B1&amp;e=RETAIL&amp;h=34&amp;i=132&amp;l=198&amp;ad=true" TargetMode="External" Id="rId215" /><Relationship Type="http://schemas.openxmlformats.org/officeDocument/2006/relationships/hyperlink" Target="https://new.land.naver.com/complexes/26157?ms=2AfAQG,3zprE6,17&amp;a=APT:ABYG:JGC&amp;b=A1:B1&amp;e=RETAIL&amp;h=34&amp;i=132&amp;l=198&amp;ad=true" TargetMode="External" Id="rId216" /><Relationship Type="http://schemas.openxmlformats.org/officeDocument/2006/relationships/hyperlink" Target="https://new.land.naver.com/complexes/15420?ms=2AfAQG,3zprE6,17&amp;a=APT:ABYG:JGC&amp;b=A1:B1&amp;e=RETAIL&amp;h=34&amp;i=132&amp;l=198&amp;ad=true" TargetMode="External" Id="rId217" /><Relationship Type="http://schemas.openxmlformats.org/officeDocument/2006/relationships/hyperlink" Target="https://new.land.naver.com/complexes/15430?ms=2AfAQG,3zprE6,17&amp;a=APT:ABYG:JGC&amp;b=A1:B1&amp;e=RETAIL&amp;h=34&amp;i=132&amp;l=198&amp;ad=true" TargetMode="External" Id="rId218" /><Relationship Type="http://schemas.openxmlformats.org/officeDocument/2006/relationships/hyperlink" Target="https://new.land.naver.com/complexes/26813?ms=2AfAQG,3zprE6,17&amp;a=APT:ABYG:JGC&amp;b=A1:B1&amp;e=RETAIL&amp;h=34&amp;i=132&amp;l=198&amp;ad=true" TargetMode="External" Id="rId219" /><Relationship Type="http://schemas.openxmlformats.org/officeDocument/2006/relationships/hyperlink" Target="https://new.land.naver.com/complexes/15420?ms=2AfAQG,3zprE6,17&amp;a=APT:ABYG:JGC&amp;b=A1:B1&amp;e=RETAIL&amp;h=34&amp;i=132&amp;l=198&amp;ad=true" TargetMode="External" Id="rId220" /><Relationship Type="http://schemas.openxmlformats.org/officeDocument/2006/relationships/hyperlink" Target="https://new.land.naver.com/complexes/26157?ms=2AfAQG,3zprE6,17&amp;a=APT:ABYG:JGC&amp;b=A1:B1&amp;e=RETAIL&amp;h=34&amp;i=132&amp;l=198&amp;ad=true" TargetMode="External" Id="rId221" /><Relationship Type="http://schemas.openxmlformats.org/officeDocument/2006/relationships/hyperlink" Target="https://new.land.naver.com/complexes/107116?ms=2AfAQG,3zprE6,17&amp;a=APT:ABYG:JGC&amp;b=A1:B1&amp;e=RETAIL&amp;h=34&amp;i=132&amp;l=198&amp;ad=true" TargetMode="External" Id="rId222" /><Relationship Type="http://schemas.openxmlformats.org/officeDocument/2006/relationships/hyperlink" Target="https://new.land.naver.com/complexes/19242?ms=2AfAQG,3zprE6,17&amp;a=APT:ABYG:JGC&amp;b=A1:B1&amp;e=RETAIL&amp;h=34&amp;i=132&amp;l=198&amp;ad=true" TargetMode="External" Id="rId223" /><Relationship Type="http://schemas.openxmlformats.org/officeDocument/2006/relationships/hyperlink" Target="https://new.land.naver.com/complexes/26258?ms=2AfAQG,3zprE6,17&amp;a=APT:ABYG:JGC&amp;b=A1:B1&amp;e=RETAIL&amp;h=34&amp;i=132&amp;l=198&amp;ad=true" TargetMode="External" Id="rId224" /><Relationship Type="http://schemas.openxmlformats.org/officeDocument/2006/relationships/hyperlink" Target="https://new.land.naver.com/complexes/26258?ms=2AfAQG,3zprE6,17&amp;a=APT:ABYG:JGC&amp;b=A1:B1&amp;e=RETAIL&amp;h=34&amp;i=132&amp;l=198&amp;ad=true" TargetMode="External" Id="rId225" /><Relationship Type="http://schemas.openxmlformats.org/officeDocument/2006/relationships/hyperlink" Target="https://new.land.naver.com/complexes/7558?ms=2AfAQG,3zprE6,17&amp;a=APT:ABYG:JGC&amp;b=A1:B1&amp;e=RETAIL&amp;h=34&amp;i=132&amp;l=198&amp;ad=true" TargetMode="External" Id="rId226" /><Relationship Type="http://schemas.openxmlformats.org/officeDocument/2006/relationships/hyperlink" Target="https://new.land.naver.com/complexes/7558?ms=2AfAQG,3zprE6,17&amp;a=APT:ABYG:JGC&amp;b=A1:B1&amp;e=RETAIL&amp;h=34&amp;i=132&amp;l=198&amp;ad=true" TargetMode="External" Id="rId227" /><Relationship Type="http://schemas.openxmlformats.org/officeDocument/2006/relationships/hyperlink" Target="https://new.land.naver.com/complexes/7558?ms=2AfAQG,3zprE6,17&amp;a=APT:ABYG:JGC&amp;b=A1:B1&amp;e=RETAIL&amp;h=34&amp;i=132&amp;l=198&amp;ad=true" TargetMode="External" Id="rId228" /><Relationship Type="http://schemas.openxmlformats.org/officeDocument/2006/relationships/hyperlink" Target="https://new.land.naver.com/complexes/7558?ms=2AfAQG,3zprE6,17&amp;a=APT:ABYG:JGC&amp;b=A1:B1&amp;e=RETAIL&amp;h=34&amp;i=132&amp;l=198&amp;ad=true" TargetMode="External" Id="rId229" /><Relationship Type="http://schemas.openxmlformats.org/officeDocument/2006/relationships/hyperlink" Target="https://new.land.naver.com/complexes/24363?ms=2AfAQG,3zprE6,17&amp;a=APT:ABYG:JGC&amp;b=A1:B1&amp;e=RETAIL&amp;h=34&amp;i=132&amp;l=198&amp;ad=true" TargetMode="External" Id="rId230" /><Relationship Type="http://schemas.openxmlformats.org/officeDocument/2006/relationships/hyperlink" Target="https://new.land.naver.com/complexes/24363?ms=2AfAQG,3zprE6,17&amp;a=APT:ABYG:JGC&amp;b=A1:B1&amp;e=RETAIL&amp;h=34&amp;i=132&amp;l=198&amp;ad=true" TargetMode="External" Id="rId231" /><Relationship Type="http://schemas.openxmlformats.org/officeDocument/2006/relationships/hyperlink" Target="https://new.land.naver.com/complexes/26943?ms=2AfAQG,3zprE6,17&amp;a=APT:ABYG:JGC&amp;b=A1:B1&amp;e=RETAIL&amp;h=34&amp;i=132&amp;l=198&amp;ad=true" TargetMode="External" Id="rId232" /><Relationship Type="http://schemas.openxmlformats.org/officeDocument/2006/relationships/hyperlink" Target="https://new.land.naver.com/complexes/26943?ms=2AfAQG,3zprE6,17&amp;a=APT:ABYG:JGC&amp;b=A1:B1&amp;e=RETAIL&amp;h=34&amp;i=132&amp;l=198&amp;ad=true" TargetMode="External" Id="rId233" /><Relationship Type="http://schemas.openxmlformats.org/officeDocument/2006/relationships/hyperlink" Target="https://new.land.naver.com/complexes/26943?ms=2AfAQG,3zprE6,17&amp;a=APT:ABYG:JGC&amp;b=A1:B1&amp;e=RETAIL&amp;h=34&amp;i=132&amp;l=198&amp;ad=true" TargetMode="External" Id="rId234" /><Relationship Type="http://schemas.openxmlformats.org/officeDocument/2006/relationships/hyperlink" Target="https://new.land.naver.com/complexes/151758?ms=2AfAQG,3zprE6,17&amp;a=APT:ABYG:JGC&amp;b=A1:B1&amp;e=RETAIL&amp;h=34&amp;i=132&amp;l=198&amp;ad=true" TargetMode="External" Id="rId235" /><Relationship Type="http://schemas.openxmlformats.org/officeDocument/2006/relationships/hyperlink" Target="https://new.land.naver.com/complexes/19124?ms=2AfAQG,3zprE6,17&amp;a=APT:ABYG:JGC&amp;b=A1:B1&amp;e=RETAIL&amp;h=34&amp;i=132&amp;l=198&amp;ad=true" TargetMode="External" Id="rId236" /><Relationship Type="http://schemas.openxmlformats.org/officeDocument/2006/relationships/hyperlink" Target="https://new.land.naver.com/complexes/26943?ms=2AfAQG,3zprE6,17&amp;a=APT:ABYG:JGC&amp;b=A1:B1&amp;e=RETAIL&amp;h=34&amp;i=132&amp;l=198&amp;ad=true" TargetMode="External" Id="rId237" /><Relationship Type="http://schemas.openxmlformats.org/officeDocument/2006/relationships/hyperlink" Target="https://new.land.naver.com/complexes/26943?ms=2AfAQG,3zprE6,17&amp;a=APT:ABYG:JGC&amp;b=A1:B1&amp;e=RETAIL&amp;h=34&amp;i=132&amp;l=198&amp;ad=true" TargetMode="External" Id="rId238" /><Relationship Type="http://schemas.openxmlformats.org/officeDocument/2006/relationships/hyperlink" Target="https://new.land.naver.com/complexes/26943?ms=2AfAQG,3zprE6,17&amp;a=APT:ABYG:JGC&amp;b=A1:B1&amp;e=RETAIL&amp;h=34&amp;i=132&amp;l=198&amp;ad=true" TargetMode="External" Id="rId239" /><Relationship Type="http://schemas.openxmlformats.org/officeDocument/2006/relationships/hyperlink" Target="https://new.land.naver.com/complexes/107332?ms=2AfAQG,3zprE6,17&amp;a=APT:ABYG:JGC&amp;b=A1:B1&amp;e=RETAIL&amp;h=34&amp;i=132&amp;l=198&amp;ad=true" TargetMode="External" Id="rId240" /><Relationship Type="http://schemas.openxmlformats.org/officeDocument/2006/relationships/hyperlink" Target="https://new.land.naver.com/complexes/26943?ms=2AfAQG,3zprE6,17&amp;a=APT:ABYG:JGC&amp;b=A1:B1&amp;e=RETAIL&amp;h=34&amp;i=132&amp;l=198&amp;ad=true" TargetMode="External" Id="rId241" /><Relationship Type="http://schemas.openxmlformats.org/officeDocument/2006/relationships/hyperlink" Target="https://new.land.naver.com/complexes/107332?ms=2AfAQG,3zprE6,17&amp;a=APT:ABYG:JGC&amp;b=A1:B1&amp;e=RETAIL&amp;h=34&amp;i=132&amp;l=198&amp;ad=true" TargetMode="External" Id="rId242" /><Relationship Type="http://schemas.openxmlformats.org/officeDocument/2006/relationships/hyperlink" Target="https://new.land.naver.com/complexes/7572?ms=2AfAQG,3zprE6,17&amp;a=APT:ABYG:JGC&amp;b=A1:B1&amp;e=RETAIL&amp;h=34&amp;i=132&amp;l=198&amp;ad=true" TargetMode="External" Id="rId243" /><Relationship Type="http://schemas.openxmlformats.org/officeDocument/2006/relationships/hyperlink" Target="https://new.land.naver.com/complexes/7567?ms=2AfAQG,3zprE6,17&amp;a=APT:ABYG:JGC&amp;b=A1:B1&amp;e=RETAIL&amp;h=34&amp;i=132&amp;l=198&amp;ad=true" TargetMode="External" Id="rId244" /><Relationship Type="http://schemas.openxmlformats.org/officeDocument/2006/relationships/hyperlink" Target="https://new.land.naver.com/complexes/102387?ms=2AfAQG,3zprE6,17&amp;a=APT:ABYG:JGC&amp;b=A1:B1&amp;e=RETAIL&amp;h=34&amp;i=132&amp;l=198&amp;ad=true" TargetMode="External" Id="rId245" /><Relationship Type="http://schemas.openxmlformats.org/officeDocument/2006/relationships/hyperlink" Target="https://new.land.naver.com/complexes/7569?ms=2AfAQG,3zprE6,17&amp;a=APT:ABYG:JGC&amp;b=A1:B1&amp;e=RETAIL&amp;h=34&amp;i=132&amp;l=198&amp;ad=true" TargetMode="External" Id="rId246" /><Relationship Type="http://schemas.openxmlformats.org/officeDocument/2006/relationships/hyperlink" Target="https://new.land.naver.com/complexes/7572?ms=2AfAQG,3zprE6,17&amp;a=APT:ABYG:JGC&amp;b=A1:B1&amp;e=RETAIL&amp;h=34&amp;i=132&amp;l=198&amp;ad=true" TargetMode="External" Id="rId247" /><Relationship Type="http://schemas.openxmlformats.org/officeDocument/2006/relationships/hyperlink" Target="https://new.land.naver.com/complexes/7572?ms=2AfAQG,3zprE6,17&amp;a=APT:ABYG:JGC&amp;b=A1:B1&amp;e=RETAIL&amp;h=34&amp;i=132&amp;l=198&amp;ad=true" TargetMode="External" Id="rId248" /><Relationship Type="http://schemas.openxmlformats.org/officeDocument/2006/relationships/hyperlink" Target="https://new.land.naver.com/complexes/7572?ms=2AfAQG,3zprE6,17&amp;a=APT:ABYG:JGC&amp;b=A1:B1&amp;e=RETAIL&amp;h=34&amp;i=132&amp;l=198&amp;ad=true" TargetMode="External" Id="rId249" /><Relationship Type="http://schemas.openxmlformats.org/officeDocument/2006/relationships/hyperlink" Target="https://new.land.naver.com/complexes/140850?ms=2AfAQG,3zprE6,17&amp;a=APT:ABYG:JGC&amp;b=A1:B1&amp;e=RETAIL&amp;h=34&amp;i=132&amp;l=198&amp;ad=true" TargetMode="External" Id="rId250" /></Relationships>
</file>

<file path=xl/worksheets/_rels/sheet4.xml.rels><Relationships xmlns="http://schemas.openxmlformats.org/package/2006/relationships"><Relationship Type="http://schemas.openxmlformats.org/officeDocument/2006/relationships/hyperlink" Target="https://new.land.naver.com/complexes/4526?ms=2AfAQG,3zprE6,17&amp;a=APT:ABYG:JGC&amp;b=A1:B1&amp;e=RETAIL&amp;h=34&amp;i=132&amp;l=198&amp;ad=true" TargetMode="External" Id="rId1" /><Relationship Type="http://schemas.openxmlformats.org/officeDocument/2006/relationships/hyperlink" Target="https://new.land.naver.com/complexes/161501?ms=2AfAQG,3zprE6,17&amp;a=APT:ABYG:JGC&amp;b=A1:B1&amp;e=RETAIL&amp;h=34&amp;i=132&amp;l=198&amp;ad=true" TargetMode="External" Id="rId2" /><Relationship Type="http://schemas.openxmlformats.org/officeDocument/2006/relationships/hyperlink" Target="https://new.land.naver.com/complexes/161501?ms=2AfAQG,3zprE6,17&amp;a=APT:ABYG:JGC&amp;b=A1:B1&amp;e=RETAIL&amp;h=34&amp;i=132&amp;l=198&amp;ad=true" TargetMode="External" Id="rId3" /><Relationship Type="http://schemas.openxmlformats.org/officeDocument/2006/relationships/hyperlink" Target="https://new.land.naver.com/complexes/161501?ms=2AfAQG,3zprE6,17&amp;a=APT:ABYG:JGC&amp;b=A1:B1&amp;e=RETAIL&amp;h=34&amp;i=132&amp;l=198&amp;ad=true" TargetMode="External" Id="rId4" /><Relationship Type="http://schemas.openxmlformats.org/officeDocument/2006/relationships/hyperlink" Target="https://new.land.naver.com/complexes/105323?ms=2AfAQG,3zprE6,17&amp;a=APT:ABYG:JGC&amp;b=A1:B1&amp;e=RETAIL&amp;h=34&amp;i=132&amp;l=198&amp;ad=true" TargetMode="External" Id="rId5" /><Relationship Type="http://schemas.openxmlformats.org/officeDocument/2006/relationships/hyperlink" Target="https://new.land.naver.com/complexes/110738?ms=2AfAQG,3zprE6,17&amp;a=APT:ABYG:JGC&amp;b=A1:B1&amp;e=RETAIL&amp;h=34&amp;i=132&amp;l=198&amp;ad=true" TargetMode="External" Id="rId6" /><Relationship Type="http://schemas.openxmlformats.org/officeDocument/2006/relationships/hyperlink" Target="https://new.land.naver.com/complexes/113686?ms=2AfAQG,3zprE6,17&amp;a=APT:ABYG:JGC&amp;b=A1:B1&amp;e=RETAIL&amp;h=34&amp;i=132&amp;l=198&amp;ad=true" TargetMode="External" Id="rId7" /><Relationship Type="http://schemas.openxmlformats.org/officeDocument/2006/relationships/hyperlink" Target="https://new.land.naver.com/complexes/22443?ms=2AfAQG,3zprE6,17&amp;a=APT:ABYG:JGC&amp;b=A1:B1&amp;e=RETAIL&amp;h=34&amp;i=132&amp;l=198&amp;ad=true" TargetMode="External" Id="rId8" /><Relationship Type="http://schemas.openxmlformats.org/officeDocument/2006/relationships/hyperlink" Target="https://new.land.naver.com/complexes/110738?ms=2AfAQG,3zprE6,17&amp;a=APT:ABYG:JGC&amp;b=A1:B1&amp;e=RETAIL&amp;h=34&amp;i=132&amp;l=198&amp;ad=true" TargetMode="External" Id="rId9" /><Relationship Type="http://schemas.openxmlformats.org/officeDocument/2006/relationships/hyperlink" Target="https://new.land.naver.com/complexes/145347?ms=2AfAQG,3zprE6,17&amp;a=APT:ABYG:JGC&amp;b=A1:B1&amp;e=RETAIL&amp;h=34&amp;i=132&amp;l=198&amp;ad=true" TargetMode="External" Id="rId10" /><Relationship Type="http://schemas.openxmlformats.org/officeDocument/2006/relationships/hyperlink" Target="https://new.land.naver.com/complexes/113686?ms=2AfAQG,3zprE6,17&amp;a=APT:ABYG:JGC&amp;b=A1:B1&amp;e=RETAIL&amp;h=34&amp;i=132&amp;l=198&amp;ad=true" TargetMode="External" Id="rId11" /><Relationship Type="http://schemas.openxmlformats.org/officeDocument/2006/relationships/hyperlink" Target="https://new.land.naver.com/complexes/105323?ms=2AfAQG,3zprE6,17&amp;a=APT:ABYG:JGC&amp;b=A1:B1&amp;e=RETAIL&amp;h=34&amp;i=132&amp;l=198&amp;ad=true" TargetMode="External" Id="rId12" /><Relationship Type="http://schemas.openxmlformats.org/officeDocument/2006/relationships/hyperlink" Target="https://new.land.naver.com/complexes/145347?ms=2AfAQG,3zprE6,17&amp;a=APT:ABYG:JGC&amp;b=A1:B1&amp;e=RETAIL&amp;h=34&amp;i=132&amp;l=198&amp;ad=true" TargetMode="External" Id="rId13" /><Relationship Type="http://schemas.openxmlformats.org/officeDocument/2006/relationships/hyperlink" Target="https://new.land.naver.com/complexes/114815?ms=2AfAQG,3zprE6,17&amp;a=APT:ABYG:JGC&amp;b=A1:B1&amp;e=RETAIL&amp;h=34&amp;i=132&amp;l=198&amp;ad=true" TargetMode="External" Id="rId14" /><Relationship Type="http://schemas.openxmlformats.org/officeDocument/2006/relationships/hyperlink" Target="https://new.land.naver.com/complexes/110738?ms=2AfAQG,3zprE6,17&amp;a=APT:ABYG:JGC&amp;b=A1:B1&amp;e=RETAIL&amp;h=34&amp;i=132&amp;l=198&amp;ad=true" TargetMode="External" Id="rId15" /><Relationship Type="http://schemas.openxmlformats.org/officeDocument/2006/relationships/hyperlink" Target="https://new.land.naver.com/complexes/133976?ms=2AfAQG,3zprE6,17&amp;a=APT:ABYG:JGC&amp;b=A1:B1&amp;e=RETAIL&amp;h=34&amp;i=132&amp;l=198&amp;ad=true" TargetMode="External" Id="rId16" /><Relationship Type="http://schemas.openxmlformats.org/officeDocument/2006/relationships/hyperlink" Target="https://new.land.naver.com/complexes/109359?ms=2AfAQG,3zprE6,17&amp;a=APT:ABYG:JGC&amp;b=A1:B1&amp;e=RETAIL&amp;h=34&amp;i=132&amp;l=198&amp;ad=true" TargetMode="External" Id="rId17" /><Relationship Type="http://schemas.openxmlformats.org/officeDocument/2006/relationships/hyperlink" Target="https://new.land.naver.com/complexes/9861?ms=2AfAQG,3zprE6,17&amp;a=APT:ABYG:JGC&amp;b=A1:B1&amp;e=RETAIL&amp;h=34&amp;i=132&amp;l=198&amp;ad=true" TargetMode="External" Id="rId18" /><Relationship Type="http://schemas.openxmlformats.org/officeDocument/2006/relationships/hyperlink" Target="https://new.land.naver.com/complexes/104716?ms=2AfAQG,3zprE6,17&amp;a=APT:ABYG:JGC&amp;b=A1:B1&amp;e=RETAIL&amp;h=34&amp;i=132&amp;l=198&amp;ad=true" TargetMode="External" Id="rId19" /><Relationship Type="http://schemas.openxmlformats.org/officeDocument/2006/relationships/hyperlink" Target="https://new.land.naver.com/complexes/145347?ms=2AfAQG,3zprE6,17&amp;a=APT:ABYG:JGC&amp;b=A1:B1&amp;e=RETAIL&amp;h=34&amp;i=132&amp;l=198&amp;ad=true" TargetMode="External" Id="rId20" /><Relationship Type="http://schemas.openxmlformats.org/officeDocument/2006/relationships/hyperlink" Target="https://new.land.naver.com/complexes/113686?ms=2AfAQG,3zprE6,17&amp;a=APT:ABYG:JGC&amp;b=A1:B1&amp;e=RETAIL&amp;h=34&amp;i=132&amp;l=198&amp;ad=true" TargetMode="External" Id="rId21" /><Relationship Type="http://schemas.openxmlformats.org/officeDocument/2006/relationships/hyperlink" Target="https://new.land.naver.com/complexes/104716?ms=2AfAQG,3zprE6,17&amp;a=APT:ABYG:JGC&amp;b=A1:B1&amp;e=RETAIL&amp;h=34&amp;i=132&amp;l=198&amp;ad=true" TargetMode="External" Id="rId22" /><Relationship Type="http://schemas.openxmlformats.org/officeDocument/2006/relationships/hyperlink" Target="https://new.land.naver.com/complexes/109359?ms=2AfAQG,3zprE6,17&amp;a=APT:ABYG:JGC&amp;b=A1:B1&amp;e=RETAIL&amp;h=34&amp;i=132&amp;l=198&amp;ad=true" TargetMode="External" Id="rId23" /><Relationship Type="http://schemas.openxmlformats.org/officeDocument/2006/relationships/hyperlink" Target="https://new.land.naver.com/complexes/133976?ms=2AfAQG,3zprE6,17&amp;a=APT:ABYG:JGC&amp;b=A1:B1&amp;e=RETAIL&amp;h=34&amp;i=132&amp;l=198&amp;ad=true" TargetMode="External" Id="rId24" /><Relationship Type="http://schemas.openxmlformats.org/officeDocument/2006/relationships/hyperlink" Target="https://new.land.naver.com/complexes/10107?ms=2AfAQG,3zprE6,17&amp;a=APT:ABYG:JGC&amp;b=A1:B1&amp;e=RETAIL&amp;h=34&amp;i=132&amp;l=198&amp;ad=true" TargetMode="External" Id="rId25" /><Relationship Type="http://schemas.openxmlformats.org/officeDocument/2006/relationships/hyperlink" Target="https://new.land.naver.com/complexes/112774?ms=2AfAQG,3zprE6,17&amp;a=APT:ABYG:JGC&amp;b=A1:B1&amp;e=RETAIL&amp;h=34&amp;i=132&amp;l=198&amp;ad=true" TargetMode="External" Id="rId26" /><Relationship Type="http://schemas.openxmlformats.org/officeDocument/2006/relationships/hyperlink" Target="https://new.land.naver.com/complexes/125376?ms=2AfAQG,3zprE6,17&amp;a=APT:ABYG:JGC&amp;b=A1:B1&amp;e=RETAIL&amp;h=34&amp;i=132&amp;l=198&amp;ad=true" TargetMode="External" Id="rId27" /><Relationship Type="http://schemas.openxmlformats.org/officeDocument/2006/relationships/hyperlink" Target="https://new.land.naver.com/complexes/9861?ms=2AfAQG,3zprE6,17&amp;a=APT:ABYG:JGC&amp;b=A1:B1&amp;e=RETAIL&amp;h=34&amp;i=132&amp;l=198&amp;ad=true" TargetMode="External" Id="rId28" /><Relationship Type="http://schemas.openxmlformats.org/officeDocument/2006/relationships/hyperlink" Target="https://new.land.naver.com/complexes/133976?ms=2AfAQG,3zprE6,17&amp;a=APT:ABYG:JGC&amp;b=A1:B1&amp;e=RETAIL&amp;h=34&amp;i=132&amp;l=198&amp;ad=true" TargetMode="External" Id="rId29" /><Relationship Type="http://schemas.openxmlformats.org/officeDocument/2006/relationships/hyperlink" Target="https://new.land.naver.com/complexes/9709?ms=2AfAQG,3zprE6,17&amp;a=APT:ABYG:JGC&amp;b=A1:B1&amp;e=RETAIL&amp;h=34&amp;i=132&amp;l=198&amp;ad=true" TargetMode="External" Id="rId30" /><Relationship Type="http://schemas.openxmlformats.org/officeDocument/2006/relationships/hyperlink" Target="https://new.land.naver.com/complexes/125376?ms=2AfAQG,3zprE6,17&amp;a=APT:ABYG:JGC&amp;b=A1:B1&amp;e=RETAIL&amp;h=34&amp;i=132&amp;l=198&amp;ad=true" TargetMode="External" Id="rId31" /><Relationship Type="http://schemas.openxmlformats.org/officeDocument/2006/relationships/hyperlink" Target="https://new.land.naver.com/complexes/9708?ms=2AfAQG,3zprE6,17&amp;a=APT:ABYG:JGC&amp;b=A1:B1&amp;e=RETAIL&amp;h=34&amp;i=132&amp;l=198&amp;ad=true" TargetMode="External" Id="rId32" /><Relationship Type="http://schemas.openxmlformats.org/officeDocument/2006/relationships/hyperlink" Target="https://new.land.naver.com/complexes/9710?ms=2AfAQG,3zprE6,17&amp;a=APT:ABYG:JGC&amp;b=A1:B1&amp;e=RETAIL&amp;h=34&amp;i=132&amp;l=198&amp;ad=true" TargetMode="External" Id="rId33" /><Relationship Type="http://schemas.openxmlformats.org/officeDocument/2006/relationships/hyperlink" Target="https://new.land.naver.com/complexes/127894?ms=2AfAQG,3zprE6,17&amp;a=APT:ABYG:JGC&amp;b=A1:B1&amp;e=RETAIL&amp;h=34&amp;i=132&amp;l=198&amp;ad=true" TargetMode="External" Id="rId34" /><Relationship Type="http://schemas.openxmlformats.org/officeDocument/2006/relationships/hyperlink" Target="https://new.land.naver.com/complexes/9710?ms=2AfAQG,3zprE6,17&amp;a=APT:ABYG:JGC&amp;b=A1:B1&amp;e=RETAIL&amp;h=34&amp;i=132&amp;l=198&amp;ad=true" TargetMode="External" Id="rId35" /><Relationship Type="http://schemas.openxmlformats.org/officeDocument/2006/relationships/hyperlink" Target="https://new.land.naver.com/complexes/110440?ms=2AfAQG,3zprE6,17&amp;a=APT:ABYG:JGC&amp;b=A1:B1&amp;e=RETAIL&amp;h=34&amp;i=132&amp;l=198&amp;ad=true" TargetMode="External" Id="rId36" /><Relationship Type="http://schemas.openxmlformats.org/officeDocument/2006/relationships/hyperlink" Target="https://new.land.naver.com/complexes/9706?ms=2AfAQG,3zprE6,17&amp;a=APT:ABYG:JGC&amp;b=A1:B1&amp;e=RETAIL&amp;h=34&amp;i=132&amp;l=198&amp;ad=true" TargetMode="External" Id="rId37" /><Relationship Type="http://schemas.openxmlformats.org/officeDocument/2006/relationships/hyperlink" Target="https://new.land.naver.com/complexes/9709?ms=2AfAQG,3zprE6,17&amp;a=APT:ABYG:JGC&amp;b=A1:B1&amp;e=RETAIL&amp;h=34&amp;i=132&amp;l=198&amp;ad=true" TargetMode="External" Id="rId38" /><Relationship Type="http://schemas.openxmlformats.org/officeDocument/2006/relationships/hyperlink" Target="https://new.land.naver.com/complexes/161277?ms=2AfAQG,3zprE6,17&amp;a=APT:ABYG:JGC&amp;b=A1:B1&amp;e=RETAIL&amp;h=34&amp;i=132&amp;l=198&amp;ad=true" TargetMode="External" Id="rId39" /><Relationship Type="http://schemas.openxmlformats.org/officeDocument/2006/relationships/hyperlink" Target="https://new.land.naver.com/complexes/112774?ms=2AfAQG,3zprE6,17&amp;a=APT:ABYG:JGC&amp;b=A1:B1&amp;e=RETAIL&amp;h=34&amp;i=132&amp;l=198&amp;ad=true" TargetMode="External" Id="rId40" /><Relationship Type="http://schemas.openxmlformats.org/officeDocument/2006/relationships/hyperlink" Target="https://new.land.naver.com/complexes/8039?ms=2AfAQG,3zprE6,17&amp;a=APT:ABYG:JGC&amp;b=A1:B1&amp;e=RETAIL&amp;h=34&amp;i=132&amp;l=198&amp;ad=true" TargetMode="External" Id="rId41" /><Relationship Type="http://schemas.openxmlformats.org/officeDocument/2006/relationships/hyperlink" Target="https://new.land.naver.com/complexes/9711?ms=2AfAQG,3zprE6,17&amp;a=APT:ABYG:JGC&amp;b=A1:B1&amp;e=RETAIL&amp;h=34&amp;i=132&amp;l=198&amp;ad=true" TargetMode="External" Id="rId42" /><Relationship Type="http://schemas.openxmlformats.org/officeDocument/2006/relationships/hyperlink" Target="https://new.land.naver.com/complexes/127894?ms=2AfAQG,3zprE6,17&amp;a=APT:ABYG:JGC&amp;b=A1:B1&amp;e=RETAIL&amp;h=34&amp;i=132&amp;l=198&amp;ad=true" TargetMode="External" Id="rId43" /><Relationship Type="http://schemas.openxmlformats.org/officeDocument/2006/relationships/hyperlink" Target="https://new.land.naver.com/complexes/110440?ms=2AfAQG,3zprE6,17&amp;a=APT:ABYG:JGC&amp;b=A1:B1&amp;e=RETAIL&amp;h=34&amp;i=132&amp;l=198&amp;ad=true" TargetMode="External" Id="rId44" /><Relationship Type="http://schemas.openxmlformats.org/officeDocument/2006/relationships/hyperlink" Target="https://new.land.naver.com/complexes/129153?ms=2AfAQG,3zprE6,17&amp;a=APT:ABYG:JGC&amp;b=A1:B1&amp;e=RETAIL&amp;h=34&amp;i=132&amp;l=198&amp;ad=true" TargetMode="External" Id="rId45" /><Relationship Type="http://schemas.openxmlformats.org/officeDocument/2006/relationships/hyperlink" Target="https://new.land.naver.com/complexes/110440?ms=2AfAQG,3zprE6,17&amp;a=APT:ABYG:JGC&amp;b=A1:B1&amp;e=RETAIL&amp;h=34&amp;i=132&amp;l=198&amp;ad=true" TargetMode="External" Id="rId46" /><Relationship Type="http://schemas.openxmlformats.org/officeDocument/2006/relationships/hyperlink" Target="https://new.land.naver.com/complexes/8039?ms=2AfAQG,3zprE6,17&amp;a=APT:ABYG:JGC&amp;b=A1:B1&amp;e=RETAIL&amp;h=34&amp;i=132&amp;l=198&amp;ad=true" TargetMode="External" Id="rId47" /><Relationship Type="http://schemas.openxmlformats.org/officeDocument/2006/relationships/hyperlink" Target="https://new.land.naver.com/complexes/22444?ms=2AfAQG,3zprE6,17&amp;a=APT:ABYG:JGC&amp;b=A1:B1&amp;e=RETAIL&amp;h=34&amp;i=132&amp;l=198&amp;ad=true" TargetMode="External" Id="rId48" /><Relationship Type="http://schemas.openxmlformats.org/officeDocument/2006/relationships/hyperlink" Target="https://new.land.naver.com/complexes/4649?ms=2AfAQG,3zprE6,17&amp;a=APT:ABYG:JGC&amp;b=A1:B1&amp;e=RETAIL&amp;h=34&amp;i=132&amp;l=198&amp;ad=true" TargetMode="External" Id="rId49" /><Relationship Type="http://schemas.openxmlformats.org/officeDocument/2006/relationships/hyperlink" Target="https://new.land.naver.com/complexes/161277?ms=2AfAQG,3zprE6,17&amp;a=APT:ABYG:JGC&amp;b=A1:B1&amp;e=RETAIL&amp;h=34&amp;i=132&amp;l=198&amp;ad=true" TargetMode="External" Id="rId50" /><Relationship Type="http://schemas.openxmlformats.org/officeDocument/2006/relationships/hyperlink" Target="https://new.land.naver.com/complexes/114815?ms=2AfAQG,3zprE6,17&amp;a=APT:ABYG:JGC&amp;b=A1:B1&amp;e=RETAIL&amp;h=34&amp;i=132&amp;l=198&amp;ad=true" TargetMode="External" Id="rId51" /><Relationship Type="http://schemas.openxmlformats.org/officeDocument/2006/relationships/hyperlink" Target="https://new.land.naver.com/complexes/125851?ms=2AfAQG,3zprE6,17&amp;a=APT:ABYG:JGC&amp;b=A1:B1&amp;e=RETAIL&amp;h=34&amp;i=132&amp;l=198&amp;ad=true" TargetMode="External" Id="rId52" /><Relationship Type="http://schemas.openxmlformats.org/officeDocument/2006/relationships/hyperlink" Target="https://new.land.naver.com/complexes/9708?ms=2AfAQG,3zprE6,17&amp;a=APT:ABYG:JGC&amp;b=A1:B1&amp;e=RETAIL&amp;h=34&amp;i=132&amp;l=198&amp;ad=true" TargetMode="External" Id="rId53" /><Relationship Type="http://schemas.openxmlformats.org/officeDocument/2006/relationships/hyperlink" Target="https://new.land.naver.com/complexes/9710?ms=2AfAQG,3zprE6,17&amp;a=APT:ABYG:JGC&amp;b=A1:B1&amp;e=RETAIL&amp;h=34&amp;i=132&amp;l=198&amp;ad=true" TargetMode="External" Id="rId54" /><Relationship Type="http://schemas.openxmlformats.org/officeDocument/2006/relationships/hyperlink" Target="https://new.land.naver.com/complexes/8039?ms=2AfAQG,3zprE6,17&amp;a=APT:ABYG:JGC&amp;b=A1:B1&amp;e=RETAIL&amp;h=34&amp;i=132&amp;l=198&amp;ad=true" TargetMode="External" Id="rId55" /><Relationship Type="http://schemas.openxmlformats.org/officeDocument/2006/relationships/hyperlink" Target="https://new.land.naver.com/complexes/9710?ms=2AfAQG,3zprE6,17&amp;a=APT:ABYG:JGC&amp;b=A1:B1&amp;e=RETAIL&amp;h=34&amp;i=132&amp;l=198&amp;ad=true" TargetMode="External" Id="rId56" /><Relationship Type="http://schemas.openxmlformats.org/officeDocument/2006/relationships/hyperlink" Target="https://new.land.naver.com/complexes/114815?ms=2AfAQG,3zprE6,17&amp;a=APT:ABYG:JGC&amp;b=A1:B1&amp;e=RETAIL&amp;h=34&amp;i=132&amp;l=198&amp;ad=true" TargetMode="External" Id="rId57" /><Relationship Type="http://schemas.openxmlformats.org/officeDocument/2006/relationships/hyperlink" Target="https://new.land.naver.com/complexes/9711?ms=2AfAQG,3zprE6,17&amp;a=APT:ABYG:JGC&amp;b=A1:B1&amp;e=RETAIL&amp;h=34&amp;i=132&amp;l=198&amp;ad=true" TargetMode="External" Id="rId58" /><Relationship Type="http://schemas.openxmlformats.org/officeDocument/2006/relationships/hyperlink" Target="https://new.land.naver.com/complexes/114815?ms=2AfAQG,3zprE6,17&amp;a=APT:ABYG:JGC&amp;b=A1:B1&amp;e=RETAIL&amp;h=34&amp;i=132&amp;l=198&amp;ad=true" TargetMode="External" Id="rId59" /><Relationship Type="http://schemas.openxmlformats.org/officeDocument/2006/relationships/hyperlink" Target="https://new.land.naver.com/complexes/129153?ms=2AfAQG,3zprE6,17&amp;a=APT:ABYG:JGC&amp;b=A1:B1&amp;e=RETAIL&amp;h=34&amp;i=132&amp;l=198&amp;ad=true" TargetMode="External" Id="rId60" /><Relationship Type="http://schemas.openxmlformats.org/officeDocument/2006/relationships/hyperlink" Target="https://new.land.naver.com/complexes/15166?ms=2AfAQG,3zprE6,17&amp;a=APT:ABYG:JGC&amp;b=A1:B1&amp;e=RETAIL&amp;h=34&amp;i=132&amp;l=198&amp;ad=true" TargetMode="External" Id="rId61" /><Relationship Type="http://schemas.openxmlformats.org/officeDocument/2006/relationships/hyperlink" Target="https://new.land.naver.com/complexes/125851?ms=2AfAQG,3zprE6,17&amp;a=APT:ABYG:JGC&amp;b=A1:B1&amp;e=RETAIL&amp;h=34&amp;i=132&amp;l=198&amp;ad=true" TargetMode="External" Id="rId62" /><Relationship Type="http://schemas.openxmlformats.org/officeDocument/2006/relationships/hyperlink" Target="https://new.land.naver.com/complexes/8039?ms=2AfAQG,3zprE6,17&amp;a=APT:ABYG:JGC&amp;b=A1:B1&amp;e=RETAIL&amp;h=34&amp;i=132&amp;l=198&amp;ad=true" TargetMode="External" Id="rId63" /><Relationship Type="http://schemas.openxmlformats.org/officeDocument/2006/relationships/hyperlink" Target="https://new.land.naver.com/complexes/4543?ms=2AfAQG,3zprE6,17&amp;a=APT:ABYG:JGC&amp;b=A1:B1&amp;e=RETAIL&amp;h=34&amp;i=132&amp;l=198&amp;ad=true" TargetMode="External" Id="rId64" /><Relationship Type="http://schemas.openxmlformats.org/officeDocument/2006/relationships/hyperlink" Target="https://new.land.naver.com/complexes/4577?ms=2AfAQG,3zprE6,17&amp;a=APT:ABYG:JGC&amp;b=A1:B1&amp;e=RETAIL&amp;h=34&amp;i=132&amp;l=198&amp;ad=true" TargetMode="External" Id="rId65" /><Relationship Type="http://schemas.openxmlformats.org/officeDocument/2006/relationships/hyperlink" Target="https://new.land.naver.com/complexes/104246?ms=2AfAQG,3zprE6,17&amp;a=APT:ABYG:JGC&amp;b=A1:B1&amp;e=RETAIL&amp;h=34&amp;i=132&amp;l=198&amp;ad=true" TargetMode="External" Id="rId66" /><Relationship Type="http://schemas.openxmlformats.org/officeDocument/2006/relationships/hyperlink" Target="https://new.land.naver.com/complexes/161277?ms=2AfAQG,3zprE6,17&amp;a=APT:ABYG:JGC&amp;b=A1:B1&amp;e=RETAIL&amp;h=34&amp;i=132&amp;l=198&amp;ad=true" TargetMode="External" Id="rId67" /><Relationship Type="http://schemas.openxmlformats.org/officeDocument/2006/relationships/hyperlink" Target="https://new.land.naver.com/complexes/15166?ms=2AfAQG,3zprE6,17&amp;a=APT:ABYG:JGC&amp;b=A1:B1&amp;e=RETAIL&amp;h=34&amp;i=132&amp;l=198&amp;ad=true" TargetMode="External" Id="rId68" /><Relationship Type="http://schemas.openxmlformats.org/officeDocument/2006/relationships/hyperlink" Target="https://new.land.naver.com/complexes/127894?ms=2AfAQG,3zprE6,17&amp;a=APT:ABYG:JGC&amp;b=A1:B1&amp;e=RETAIL&amp;h=34&amp;i=132&amp;l=198&amp;ad=true" TargetMode="External" Id="rId69" /><Relationship Type="http://schemas.openxmlformats.org/officeDocument/2006/relationships/hyperlink" Target="https://new.land.naver.com/complexes/13513?ms=2AfAQG,3zprE6,17&amp;a=APT:ABYG:JGC&amp;b=A1:B1&amp;e=RETAIL&amp;h=34&amp;i=132&amp;l=198&amp;ad=true" TargetMode="External" Id="rId70" /><Relationship Type="http://schemas.openxmlformats.org/officeDocument/2006/relationships/hyperlink" Target="https://new.land.naver.com/complexes/104246?ms=2AfAQG,3zprE6,17&amp;a=APT:ABYG:JGC&amp;b=A1:B1&amp;e=RETAIL&amp;h=34&amp;i=132&amp;l=198&amp;ad=true" TargetMode="External" Id="rId71" /><Relationship Type="http://schemas.openxmlformats.org/officeDocument/2006/relationships/hyperlink" Target="https://new.land.naver.com/complexes/24055?ms=2AfAQG,3zprE6,17&amp;a=APT:ABYG:JGC&amp;b=A1:B1&amp;e=RETAIL&amp;h=34&amp;i=132&amp;l=198&amp;ad=true" TargetMode="External" Id="rId72" /><Relationship Type="http://schemas.openxmlformats.org/officeDocument/2006/relationships/hyperlink" Target="https://new.land.naver.com/complexes/24055?ms=2AfAQG,3zprE6,17&amp;a=APT:ABYG:JGC&amp;b=A1:B1&amp;e=RETAIL&amp;h=34&amp;i=132&amp;l=198&amp;ad=true" TargetMode="External" Id="rId73" /><Relationship Type="http://schemas.openxmlformats.org/officeDocument/2006/relationships/hyperlink" Target="https://new.land.naver.com/complexes/125851?ms=2AfAQG,3zprE6,17&amp;a=APT:ABYG:JGC&amp;b=A1:B1&amp;e=RETAIL&amp;h=34&amp;i=132&amp;l=198&amp;ad=true" TargetMode="External" Id="rId74" /><Relationship Type="http://schemas.openxmlformats.org/officeDocument/2006/relationships/hyperlink" Target="https://new.land.naver.com/complexes/10488?ms=2AfAQG,3zprE6,17&amp;a=APT:ABYG:JGC&amp;b=A1:B1&amp;e=RETAIL&amp;h=34&amp;i=132&amp;l=198&amp;ad=true" TargetMode="External" Id="rId75" /><Relationship Type="http://schemas.openxmlformats.org/officeDocument/2006/relationships/hyperlink" Target="https://new.land.naver.com/complexes/4577?ms=2AfAQG,3zprE6,17&amp;a=APT:ABYG:JGC&amp;b=A1:B1&amp;e=RETAIL&amp;h=34&amp;i=132&amp;l=198&amp;ad=true" TargetMode="External" Id="rId76" /><Relationship Type="http://schemas.openxmlformats.org/officeDocument/2006/relationships/hyperlink" Target="https://new.land.naver.com/complexes/4649?ms=2AfAQG,3zprE6,17&amp;a=APT:ABYG:JGC&amp;b=A1:B1&amp;e=RETAIL&amp;h=34&amp;i=132&amp;l=198&amp;ad=true" TargetMode="External" Id="rId77" /><Relationship Type="http://schemas.openxmlformats.org/officeDocument/2006/relationships/hyperlink" Target="https://new.land.naver.com/complexes/22395?ms=2AfAQG,3zprE6,17&amp;a=APT:ABYG:JGC&amp;b=A1:B1&amp;e=RETAIL&amp;h=34&amp;i=132&amp;l=198&amp;ad=true" TargetMode="External" Id="rId78" /><Relationship Type="http://schemas.openxmlformats.org/officeDocument/2006/relationships/hyperlink" Target="https://new.land.naver.com/complexes/4646?ms=2AfAQG,3zprE6,17&amp;a=APT:ABYG:JGC&amp;b=A1:B1&amp;e=RETAIL&amp;h=34&amp;i=132&amp;l=198&amp;ad=true" TargetMode="External" Id="rId79" /><Relationship Type="http://schemas.openxmlformats.org/officeDocument/2006/relationships/hyperlink" Target="https://new.land.naver.com/complexes/4725?ms=2AfAQG,3zprE6,17&amp;a=APT:ABYG:JGC&amp;b=A1:B1&amp;e=RETAIL&amp;h=34&amp;i=132&amp;l=198&amp;ad=true" TargetMode="External" Id="rId80" /><Relationship Type="http://schemas.openxmlformats.org/officeDocument/2006/relationships/hyperlink" Target="https://new.land.naver.com/complexes/14171?ms=2AfAQG,3zprE6,17&amp;a=APT:ABYG:JGC&amp;b=A1:B1&amp;e=RETAIL&amp;h=34&amp;i=132&amp;l=198&amp;ad=true" TargetMode="External" Id="rId81" /><Relationship Type="http://schemas.openxmlformats.org/officeDocument/2006/relationships/hyperlink" Target="https://new.land.naver.com/complexes/4636?ms=2AfAQG,3zprE6,17&amp;a=APT:ABYG:JGC&amp;b=A1:B1&amp;e=RETAIL&amp;h=34&amp;i=132&amp;l=198&amp;ad=true" TargetMode="External" Id="rId82" /><Relationship Type="http://schemas.openxmlformats.org/officeDocument/2006/relationships/hyperlink" Target="https://new.land.naver.com/complexes/4579?ms=2AfAQG,3zprE6,17&amp;a=APT:ABYG:JGC&amp;b=A1:B1&amp;e=RETAIL&amp;h=34&amp;i=132&amp;l=198&amp;ad=true" TargetMode="External" Id="rId83" /><Relationship Type="http://schemas.openxmlformats.org/officeDocument/2006/relationships/hyperlink" Target="https://new.land.naver.com/complexes/13513?ms=2AfAQG,3zprE6,17&amp;a=APT:ABYG:JGC&amp;b=A1:B1&amp;e=RETAIL&amp;h=34&amp;i=132&amp;l=198&amp;ad=true" TargetMode="External" Id="rId84" /><Relationship Type="http://schemas.openxmlformats.org/officeDocument/2006/relationships/hyperlink" Target="https://new.land.naver.com/complexes/12935?ms=2AfAQG,3zprE6,17&amp;a=APT:ABYG:JGC&amp;b=A1:B1&amp;e=RETAIL&amp;h=34&amp;i=132&amp;l=198&amp;ad=true" TargetMode="External" Id="rId85" /><Relationship Type="http://schemas.openxmlformats.org/officeDocument/2006/relationships/hyperlink" Target="https://new.land.naver.com/complexes/11242?ms=2AfAQG,3zprE6,17&amp;a=APT:ABYG:JGC&amp;b=A1:B1&amp;e=RETAIL&amp;h=34&amp;i=132&amp;l=198&amp;ad=true" TargetMode="External" Id="rId86" /><Relationship Type="http://schemas.openxmlformats.org/officeDocument/2006/relationships/hyperlink" Target="https://new.land.naver.com/complexes/4725?ms=2AfAQG,3zprE6,17&amp;a=APT:ABYG:JGC&amp;b=A1:B1&amp;e=RETAIL&amp;h=34&amp;i=132&amp;l=198&amp;ad=true" TargetMode="External" Id="rId87" /><Relationship Type="http://schemas.openxmlformats.org/officeDocument/2006/relationships/hyperlink" Target="https://new.land.naver.com/complexes/11242?ms=2AfAQG,3zprE6,17&amp;a=APT:ABYG:JGC&amp;b=A1:B1&amp;e=RETAIL&amp;h=34&amp;i=132&amp;l=198&amp;ad=true" TargetMode="External" Id="rId88" /><Relationship Type="http://schemas.openxmlformats.org/officeDocument/2006/relationships/hyperlink" Target="https://new.land.naver.com/complexes/4575?ms=2AfAQG,3zprE6,17&amp;a=APT:ABYG:JGC&amp;b=A1:B1&amp;e=RETAIL&amp;h=34&amp;i=132&amp;l=198&amp;ad=true" TargetMode="External" Id="rId89" /><Relationship Type="http://schemas.openxmlformats.org/officeDocument/2006/relationships/hyperlink" Target="https://new.land.naver.com/complexes/104246?ms=2AfAQG,3zprE6,17&amp;a=APT:ABYG:JGC&amp;b=A1:B1&amp;e=RETAIL&amp;h=34&amp;i=132&amp;l=198&amp;ad=true" TargetMode="External" Id="rId90" /><Relationship Type="http://schemas.openxmlformats.org/officeDocument/2006/relationships/hyperlink" Target="https://new.land.naver.com/complexes/4649?ms=2AfAQG,3zprE6,17&amp;a=APT:ABYG:JGC&amp;b=A1:B1&amp;e=RETAIL&amp;h=34&amp;i=132&amp;l=198&amp;ad=true" TargetMode="External" Id="rId91" /><Relationship Type="http://schemas.openxmlformats.org/officeDocument/2006/relationships/hyperlink" Target="https://new.land.naver.com/complexes/12935?ms=2AfAQG,3zprE6,17&amp;a=APT:ABYG:JGC&amp;b=A1:B1&amp;e=RETAIL&amp;h=34&amp;i=132&amp;l=198&amp;ad=true" TargetMode="External" Id="rId92" /><Relationship Type="http://schemas.openxmlformats.org/officeDocument/2006/relationships/hyperlink" Target="https://new.land.naver.com/complexes/4521?ms=2AfAQG,3zprE6,17&amp;a=APT:ABYG:JGC&amp;b=A1:B1&amp;e=RETAIL&amp;h=34&amp;i=132&amp;l=198&amp;ad=true" TargetMode="External" Id="rId93" /><Relationship Type="http://schemas.openxmlformats.org/officeDocument/2006/relationships/hyperlink" Target="https://new.land.naver.com/complexes/4530?ms=2AfAQG,3zprE6,17&amp;a=APT:ABYG:JGC&amp;b=A1:B1&amp;e=RETAIL&amp;h=34&amp;i=132&amp;l=198&amp;ad=true" TargetMode="External" Id="rId94" /><Relationship Type="http://schemas.openxmlformats.org/officeDocument/2006/relationships/hyperlink" Target="https://new.land.naver.com/complexes/101068?ms=2AfAQG,3zprE6,17&amp;a=APT:ABYG:JGC&amp;b=A1:B1&amp;e=RETAIL&amp;h=34&amp;i=132&amp;l=198&amp;ad=true" TargetMode="External" Id="rId95" /><Relationship Type="http://schemas.openxmlformats.org/officeDocument/2006/relationships/hyperlink" Target="https://new.land.naver.com/complexes/4650?ms=2AfAQG,3zprE6,17&amp;a=APT:ABYG:JGC&amp;b=A1:B1&amp;e=RETAIL&amp;h=34&amp;i=132&amp;l=198&amp;ad=true" TargetMode="External" Id="rId96" /><Relationship Type="http://schemas.openxmlformats.org/officeDocument/2006/relationships/hyperlink" Target="https://new.land.naver.com/complexes/4592?ms=2AfAQG,3zprE6,17&amp;a=APT:ABYG:JGC&amp;b=A1:B1&amp;e=RETAIL&amp;h=34&amp;i=132&amp;l=198&amp;ad=true" TargetMode="External" Id="rId97" /><Relationship Type="http://schemas.openxmlformats.org/officeDocument/2006/relationships/hyperlink" Target="https://new.land.naver.com/complexes/4724?ms=2AfAQG,3zprE6,17&amp;a=APT:ABYG:JGC&amp;b=A1:B1&amp;e=RETAIL&amp;h=34&amp;i=132&amp;l=198&amp;ad=true" TargetMode="External" Id="rId98" /><Relationship Type="http://schemas.openxmlformats.org/officeDocument/2006/relationships/hyperlink" Target="https://new.land.naver.com/complexes/4477?ms=2AfAQG,3zprE6,17&amp;a=APT:ABYG:JGC&amp;b=A1:B1&amp;e=RETAIL&amp;h=34&amp;i=132&amp;l=198&amp;ad=true" TargetMode="External" Id="rId99" /><Relationship Type="http://schemas.openxmlformats.org/officeDocument/2006/relationships/hyperlink" Target="https://new.land.naver.com/complexes/4548?ms=2AfAQG,3zprE6,17&amp;a=APT:ABYG:JGC&amp;b=A1:B1&amp;e=RETAIL&amp;h=34&amp;i=132&amp;l=198&amp;ad=true" TargetMode="External" Id="rId100" /><Relationship Type="http://schemas.openxmlformats.org/officeDocument/2006/relationships/hyperlink" Target="https://new.land.naver.com/complexes/4543?ms=2AfAQG,3zprE6,17&amp;a=APT:ABYG:JGC&amp;b=A1:B1&amp;e=RETAIL&amp;h=34&amp;i=132&amp;l=198&amp;ad=true" TargetMode="External" Id="rId101" /><Relationship Type="http://schemas.openxmlformats.org/officeDocument/2006/relationships/hyperlink" Target="https://new.land.naver.com/complexes/11665?ms=2AfAQG,3zprE6,17&amp;a=APT:ABYG:JGC&amp;b=A1:B1&amp;e=RETAIL&amp;h=34&amp;i=132&amp;l=198&amp;ad=true" TargetMode="External" Id="rId102" /><Relationship Type="http://schemas.openxmlformats.org/officeDocument/2006/relationships/hyperlink" Target="https://new.land.naver.com/complexes/15882?ms=2AfAQG,3zprE6,17&amp;a=APT:ABYG:JGC&amp;b=A1:B1&amp;e=RETAIL&amp;h=34&amp;i=132&amp;l=198&amp;ad=true" TargetMode="External" Id="rId103" /><Relationship Type="http://schemas.openxmlformats.org/officeDocument/2006/relationships/hyperlink" Target="https://new.land.naver.com/complexes/12935?ms=2AfAQG,3zprE6,17&amp;a=APT:ABYG:JGC&amp;b=A1:B1&amp;e=RETAIL&amp;h=34&amp;i=132&amp;l=198&amp;ad=true" TargetMode="External" Id="rId104" /><Relationship Type="http://schemas.openxmlformats.org/officeDocument/2006/relationships/hyperlink" Target="https://new.land.naver.com/complexes/4502?ms=2AfAQG,3zprE6,17&amp;a=APT:ABYG:JGC&amp;b=A1:B1&amp;e=RETAIL&amp;h=34&amp;i=132&amp;l=198&amp;ad=true" TargetMode="External" Id="rId105" /><Relationship Type="http://schemas.openxmlformats.org/officeDocument/2006/relationships/hyperlink" Target="https://new.land.naver.com/complexes/14171?ms=2AfAQG,3zprE6,17&amp;a=APT:ABYG:JGC&amp;b=A1:B1&amp;e=RETAIL&amp;h=34&amp;i=132&amp;l=198&amp;ad=true" TargetMode="External" Id="rId106" /><Relationship Type="http://schemas.openxmlformats.org/officeDocument/2006/relationships/hyperlink" Target="https://new.land.naver.com/complexes/101068?ms=2AfAQG,3zprE6,17&amp;a=APT:ABYG:JGC&amp;b=A1:B1&amp;e=RETAIL&amp;h=34&amp;i=132&amp;l=198&amp;ad=true" TargetMode="External" Id="rId107" /><Relationship Type="http://schemas.openxmlformats.org/officeDocument/2006/relationships/hyperlink" Target="https://new.land.naver.com/complexes/4633?ms=2AfAQG,3zprE6,17&amp;a=APT:ABYG:JGC&amp;b=A1:B1&amp;e=RETAIL&amp;h=34&amp;i=132&amp;l=198&amp;ad=true" TargetMode="External" Id="rId108" /><Relationship Type="http://schemas.openxmlformats.org/officeDocument/2006/relationships/hyperlink" Target="https://new.land.naver.com/complexes/4633?ms=2AfAQG,3zprE6,17&amp;a=APT:ABYG:JGC&amp;b=A1:B1&amp;e=RETAIL&amp;h=34&amp;i=132&amp;l=198&amp;ad=true" TargetMode="External" Id="rId109" /><Relationship Type="http://schemas.openxmlformats.org/officeDocument/2006/relationships/hyperlink" Target="https://new.land.naver.com/complexes/4532?ms=2AfAQG,3zprE6,17&amp;a=APT:ABYG:JGC&amp;b=A1:B1&amp;e=RETAIL&amp;h=34&amp;i=132&amp;l=198&amp;ad=true" TargetMode="External" Id="rId110" /><Relationship Type="http://schemas.openxmlformats.org/officeDocument/2006/relationships/hyperlink" Target="https://new.land.naver.com/complexes/11665?ms=2AfAQG,3zprE6,17&amp;a=APT:ABYG:JGC&amp;b=A1:B1&amp;e=RETAIL&amp;h=34&amp;i=132&amp;l=198&amp;ad=true" TargetMode="External" Id="rId111" /><Relationship Type="http://schemas.openxmlformats.org/officeDocument/2006/relationships/hyperlink" Target="https://new.land.naver.com/complexes/4646?ms=2AfAQG,3zprE6,17&amp;a=APT:ABYG:JGC&amp;b=A1:B1&amp;e=RETAIL&amp;h=34&amp;i=132&amp;l=198&amp;ad=true" TargetMode="External" Id="rId112" /><Relationship Type="http://schemas.openxmlformats.org/officeDocument/2006/relationships/hyperlink" Target="https://new.land.naver.com/complexes/4737?ms=2AfAQG,3zprE6,17&amp;a=APT:ABYG:JGC&amp;b=A1:B1&amp;e=RETAIL&amp;h=34&amp;i=132&amp;l=198&amp;ad=true" TargetMode="External" Id="rId113" /><Relationship Type="http://schemas.openxmlformats.org/officeDocument/2006/relationships/hyperlink" Target="https://new.land.naver.com/complexes/4649?ms=2AfAQG,3zprE6,17&amp;a=APT:ABYG:JGC&amp;b=A1:B1&amp;e=RETAIL&amp;h=34&amp;i=132&amp;l=198&amp;ad=true" TargetMode="External" Id="rId114" /><Relationship Type="http://schemas.openxmlformats.org/officeDocument/2006/relationships/hyperlink" Target="https://new.land.naver.com/complexes/4530?ms=2AfAQG,3zprE6,17&amp;a=APT:ABYG:JGC&amp;b=A1:B1&amp;e=RETAIL&amp;h=34&amp;i=132&amp;l=198&amp;ad=true" TargetMode="External" Id="rId115" /><Relationship Type="http://schemas.openxmlformats.org/officeDocument/2006/relationships/hyperlink" Target="https://new.land.naver.com/complexes/15882?ms=2AfAQG,3zprE6,17&amp;a=APT:ABYG:JGC&amp;b=A1:B1&amp;e=RETAIL&amp;h=34&amp;i=132&amp;l=198&amp;ad=true" TargetMode="External" Id="rId116" /><Relationship Type="http://schemas.openxmlformats.org/officeDocument/2006/relationships/hyperlink" Target="https://new.land.naver.com/complexes/4731?ms=2AfAQG,3zprE6,17&amp;a=APT:ABYG:JGC&amp;b=A1:B1&amp;e=RETAIL&amp;h=34&amp;i=132&amp;l=198&amp;ad=true" TargetMode="External" Id="rId117" /><Relationship Type="http://schemas.openxmlformats.org/officeDocument/2006/relationships/hyperlink" Target="https://new.land.naver.com/complexes/4526?ms=2AfAQG,3zprE6,17&amp;a=APT:ABYG:JGC&amp;b=A1:B1&amp;e=RETAIL&amp;h=34&amp;i=132&amp;l=198&amp;ad=true" TargetMode="External" Id="rId118" /><Relationship Type="http://schemas.openxmlformats.org/officeDocument/2006/relationships/hyperlink" Target="https://new.land.naver.com/complexes/8861?ms=2AfAQG,3zprE6,17&amp;a=APT:ABYG:JGC&amp;b=A1:B1&amp;e=RETAIL&amp;h=34&amp;i=132&amp;l=198&amp;ad=true" TargetMode="External" Id="rId119" /><Relationship Type="http://schemas.openxmlformats.org/officeDocument/2006/relationships/hyperlink" Target="https://new.land.naver.com/complexes/11549?ms=2AfAQG,3zprE6,17&amp;a=APT:ABYG:JGC&amp;b=A1:B1&amp;e=RETAIL&amp;h=34&amp;i=132&amp;l=198&amp;ad=true" TargetMode="External" Id="rId120" /><Relationship Type="http://schemas.openxmlformats.org/officeDocument/2006/relationships/hyperlink" Target="https://new.land.naver.com/complexes/11665?ms=2AfAQG,3zprE6,17&amp;a=APT:ABYG:JGC&amp;b=A1:B1&amp;e=RETAIL&amp;h=34&amp;i=132&amp;l=198&amp;ad=true" TargetMode="External" Id="rId121" /><Relationship Type="http://schemas.openxmlformats.org/officeDocument/2006/relationships/hyperlink" Target="https://new.land.naver.com/complexes/4636?ms=2AfAQG,3zprE6,17&amp;a=APT:ABYG:JGC&amp;b=A1:B1&amp;e=RETAIL&amp;h=34&amp;i=132&amp;l=198&amp;ad=true" TargetMode="External" Id="rId122" /><Relationship Type="http://schemas.openxmlformats.org/officeDocument/2006/relationships/hyperlink" Target="https://new.land.naver.com/complexes/4650?ms=2AfAQG,3zprE6,17&amp;a=APT:ABYG:JGC&amp;b=A1:B1&amp;e=RETAIL&amp;h=34&amp;i=132&amp;l=198&amp;ad=true" TargetMode="External" Id="rId123" /><Relationship Type="http://schemas.openxmlformats.org/officeDocument/2006/relationships/hyperlink" Target="https://new.land.naver.com/complexes/4725?ms=2AfAQG,3zprE6,17&amp;a=APT:ABYG:JGC&amp;b=A1:B1&amp;e=RETAIL&amp;h=34&amp;i=132&amp;l=198&amp;ad=true" TargetMode="External" Id="rId124" /><Relationship Type="http://schemas.openxmlformats.org/officeDocument/2006/relationships/hyperlink" Target="https://new.land.naver.com/complexes/4725?ms=2AfAQG,3zprE6,17&amp;a=APT:ABYG:JGC&amp;b=A1:B1&amp;e=RETAIL&amp;h=34&amp;i=132&amp;l=198&amp;ad=true" TargetMode="External" Id="rId125" /><Relationship Type="http://schemas.openxmlformats.org/officeDocument/2006/relationships/hyperlink" Target="https://new.land.naver.com/complexes/10488?ms=2AfAQG,3zprE6,17&amp;a=APT:ABYG:JGC&amp;b=A1:B1&amp;e=RETAIL&amp;h=34&amp;i=132&amp;l=198&amp;ad=true" TargetMode="External" Id="rId126" /><Relationship Type="http://schemas.openxmlformats.org/officeDocument/2006/relationships/hyperlink" Target="https://new.land.naver.com/complexes/101068?ms=2AfAQG,3zprE6,17&amp;a=APT:ABYG:JGC&amp;b=A1:B1&amp;e=RETAIL&amp;h=34&amp;i=132&amp;l=198&amp;ad=true" TargetMode="External" Id="rId127" /><Relationship Type="http://schemas.openxmlformats.org/officeDocument/2006/relationships/hyperlink" Target="https://new.land.naver.com/complexes/4592?ms=2AfAQG,3zprE6,17&amp;a=APT:ABYG:JGC&amp;b=A1:B1&amp;e=RETAIL&amp;h=34&amp;i=132&amp;l=198&amp;ad=true" TargetMode="External" Id="rId128" /><Relationship Type="http://schemas.openxmlformats.org/officeDocument/2006/relationships/hyperlink" Target="https://new.land.naver.com/complexes/4725?ms=2AfAQG,3zprE6,17&amp;a=APT:ABYG:JGC&amp;b=A1:B1&amp;e=RETAIL&amp;h=34&amp;i=132&amp;l=198&amp;ad=true" TargetMode="External" Id="rId129" /><Relationship Type="http://schemas.openxmlformats.org/officeDocument/2006/relationships/hyperlink" Target="https://new.land.naver.com/complexes/4579?ms=2AfAQG,3zprE6,17&amp;a=APT:ABYG:JGC&amp;b=A1:B1&amp;e=RETAIL&amp;h=34&amp;i=132&amp;l=198&amp;ad=true" TargetMode="External" Id="rId130" /><Relationship Type="http://schemas.openxmlformats.org/officeDocument/2006/relationships/hyperlink" Target="https://new.land.naver.com/complexes/12935?ms=2AfAQG,3zprE6,17&amp;a=APT:ABYG:JGC&amp;b=A1:B1&amp;e=RETAIL&amp;h=34&amp;i=132&amp;l=198&amp;ad=true" TargetMode="External" Id="rId131" /><Relationship Type="http://schemas.openxmlformats.org/officeDocument/2006/relationships/hyperlink" Target="https://new.land.naver.com/complexes/4477?ms=2AfAQG,3zprE6,17&amp;a=APT:ABYG:JGC&amp;b=A1:B1&amp;e=RETAIL&amp;h=34&amp;i=132&amp;l=198&amp;ad=true" TargetMode="External" Id="rId132" /><Relationship Type="http://schemas.openxmlformats.org/officeDocument/2006/relationships/hyperlink" Target="https://new.land.naver.com/complexes/4548?ms=2AfAQG,3zprE6,17&amp;a=APT:ABYG:JGC&amp;b=A1:B1&amp;e=RETAIL&amp;h=34&amp;i=132&amp;l=198&amp;ad=true" TargetMode="External" Id="rId133" /><Relationship Type="http://schemas.openxmlformats.org/officeDocument/2006/relationships/hyperlink" Target="https://new.land.naver.com/complexes/4535?ms=2AfAQG,3zprE6,17&amp;a=APT:ABYG:JGC&amp;b=A1:B1&amp;e=RETAIL&amp;h=34&amp;i=132&amp;l=198&amp;ad=true" TargetMode="External" Id="rId134" /><Relationship Type="http://schemas.openxmlformats.org/officeDocument/2006/relationships/hyperlink" Target="https://new.land.naver.com/complexes/14076?ms=2AfAQG,3zprE6,17&amp;a=APT:ABYG:JGC&amp;b=A1:B1&amp;e=RETAIL&amp;h=34&amp;i=132&amp;l=198&amp;ad=true" TargetMode="External" Id="rId135" /><Relationship Type="http://schemas.openxmlformats.org/officeDocument/2006/relationships/hyperlink" Target="https://new.land.naver.com/complexes/4502?ms=2AfAQG,3zprE6,17&amp;a=APT:ABYG:JGC&amp;b=A1:B1&amp;e=RETAIL&amp;h=34&amp;i=132&amp;l=198&amp;ad=true" TargetMode="External" Id="rId136" /><Relationship Type="http://schemas.openxmlformats.org/officeDocument/2006/relationships/hyperlink" Target="https://new.land.naver.com/complexes/4633?ms=2AfAQG,3zprE6,17&amp;a=APT:ABYG:JGC&amp;b=A1:B1&amp;e=RETAIL&amp;h=34&amp;i=132&amp;l=198&amp;ad=true" TargetMode="External" Id="rId137" /><Relationship Type="http://schemas.openxmlformats.org/officeDocument/2006/relationships/hyperlink" Target="https://new.land.naver.com/complexes/4633?ms=2AfAQG,3zprE6,17&amp;a=APT:ABYG:JGC&amp;b=A1:B1&amp;e=RETAIL&amp;h=34&amp;i=132&amp;l=198&amp;ad=true" TargetMode="External" Id="rId138" /><Relationship Type="http://schemas.openxmlformats.org/officeDocument/2006/relationships/hyperlink" Target="https://new.land.naver.com/complexes/4724?ms=2AfAQG,3zprE6,17&amp;a=APT:ABYG:JGC&amp;b=A1:B1&amp;e=RETAIL&amp;h=34&amp;i=132&amp;l=198&amp;ad=true" TargetMode="External" Id="rId139" /><Relationship Type="http://schemas.openxmlformats.org/officeDocument/2006/relationships/hyperlink" Target="https://new.land.naver.com/complexes/4607?ms=2AfAQG,3zprE6,17&amp;a=APT:ABYG:JGC&amp;b=A1:B1&amp;e=RETAIL&amp;h=34&amp;i=132&amp;l=198&amp;ad=true" TargetMode="External" Id="rId140" /><Relationship Type="http://schemas.openxmlformats.org/officeDocument/2006/relationships/hyperlink" Target="https://new.land.naver.com/complexes/4521?ms=2AfAQG,3zprE6,17&amp;a=APT:ABYG:JGC&amp;b=A1:B1&amp;e=RETAIL&amp;h=34&amp;i=132&amp;l=198&amp;ad=true" TargetMode="External" Id="rId141" /><Relationship Type="http://schemas.openxmlformats.org/officeDocument/2006/relationships/hyperlink" Target="https://new.land.naver.com/complexes/8861?ms=2AfAQG,3zprE6,17&amp;a=APT:ABYG:JGC&amp;b=A1:B1&amp;e=RETAIL&amp;h=34&amp;i=132&amp;l=198&amp;ad=true" TargetMode="External" Id="rId142" /><Relationship Type="http://schemas.openxmlformats.org/officeDocument/2006/relationships/hyperlink" Target="https://new.land.naver.com/complexes/4612?ms=2AfAQG,3zprE6,17&amp;a=APT:ABYG:JGC&amp;b=A1:B1&amp;e=RETAIL&amp;h=34&amp;i=132&amp;l=198&amp;ad=true" TargetMode="External" Id="rId143" /><Relationship Type="http://schemas.openxmlformats.org/officeDocument/2006/relationships/hyperlink" Target="https://new.land.naver.com/complexes/15882?ms=2AfAQG,3zprE6,17&amp;a=APT:ABYG:JGC&amp;b=A1:B1&amp;e=RETAIL&amp;h=34&amp;i=132&amp;l=198&amp;ad=true" TargetMode="External" Id="rId144" /><Relationship Type="http://schemas.openxmlformats.org/officeDocument/2006/relationships/hyperlink" Target="https://new.land.naver.com/complexes/14076?ms=2AfAQG,3zprE6,17&amp;a=APT:ABYG:JGC&amp;b=A1:B1&amp;e=RETAIL&amp;h=34&amp;i=132&amp;l=198&amp;ad=true" TargetMode="External" Id="rId145" /><Relationship Type="http://schemas.openxmlformats.org/officeDocument/2006/relationships/hyperlink" Target="https://new.land.naver.com/complexes/4607?ms=2AfAQG,3zprE6,17&amp;a=APT:ABYG:JGC&amp;b=A1:B1&amp;e=RETAIL&amp;h=34&amp;i=132&amp;l=198&amp;ad=true" TargetMode="External" Id="rId146" /><Relationship Type="http://schemas.openxmlformats.org/officeDocument/2006/relationships/hyperlink" Target="https://new.land.naver.com/complexes/4650?ms=2AfAQG,3zprE6,17&amp;a=APT:ABYG:JGC&amp;b=A1:B1&amp;e=RETAIL&amp;h=34&amp;i=132&amp;l=198&amp;ad=true" TargetMode="External" Id="rId147" /><Relationship Type="http://schemas.openxmlformats.org/officeDocument/2006/relationships/hyperlink" Target="https://new.land.naver.com/complexes/4532?ms=2AfAQG,3zprE6,17&amp;a=APT:ABYG:JGC&amp;b=A1:B1&amp;e=RETAIL&amp;h=34&amp;i=132&amp;l=198&amp;ad=true" TargetMode="External" Id="rId148" /><Relationship Type="http://schemas.openxmlformats.org/officeDocument/2006/relationships/hyperlink" Target="https://new.land.naver.com/complexes/4731?ms=2AfAQG,3zprE6,17&amp;a=APT:ABYG:JGC&amp;b=A1:B1&amp;e=RETAIL&amp;h=34&amp;i=132&amp;l=198&amp;ad=true" TargetMode="External" Id="rId149" /><Relationship Type="http://schemas.openxmlformats.org/officeDocument/2006/relationships/hyperlink" Target="https://new.land.naver.com/complexes/4612?ms=2AfAQG,3zprE6,17&amp;a=APT:ABYG:JGC&amp;b=A1:B1&amp;e=RETAIL&amp;h=34&amp;i=132&amp;l=198&amp;ad=true" TargetMode="External" Id="rId150" /><Relationship Type="http://schemas.openxmlformats.org/officeDocument/2006/relationships/hyperlink" Target="https://new.land.naver.com/complexes/4535?ms=2AfAQG,3zprE6,17&amp;a=APT:ABYG:JGC&amp;b=A1:B1&amp;e=RETAIL&amp;h=34&amp;i=132&amp;l=198&amp;ad=true" TargetMode="External" Id="rId151" /><Relationship Type="http://schemas.openxmlformats.org/officeDocument/2006/relationships/hyperlink" Target="https://new.land.naver.com/complexes/4607?ms=2AfAQG,3zprE6,17&amp;a=APT:ABYG:JGC&amp;b=A1:B1&amp;e=RETAIL&amp;h=34&amp;i=132&amp;l=198&amp;ad=true" TargetMode="External" Id="rId152" /><Relationship Type="http://schemas.openxmlformats.org/officeDocument/2006/relationships/hyperlink" Target="https://new.land.naver.com/complexes/4607?ms=2AfAQG,3zprE6,17&amp;a=APT:ABYG:JGC&amp;b=A1:B1&amp;e=RETAIL&amp;h=34&amp;i=132&amp;l=198&amp;ad=true" TargetMode="External" Id="rId153" /><Relationship Type="http://schemas.openxmlformats.org/officeDocument/2006/relationships/hyperlink" Target="https://new.land.naver.com/complexes/4502?ms=2AfAQG,3zprE6,17&amp;a=APT:ABYG:JGC&amp;b=A1:B1&amp;e=RETAIL&amp;h=34&amp;i=132&amp;l=198&amp;ad=true" TargetMode="External" Id="rId154" /><Relationship Type="http://schemas.openxmlformats.org/officeDocument/2006/relationships/hyperlink" Target="https://new.land.naver.com/complexes/4607?ms=2AfAQG,3zprE6,17&amp;a=APT:ABYG:JGC&amp;b=A1:B1&amp;e=RETAIL&amp;h=34&amp;i=132&amp;l=198&amp;ad=true" TargetMode="External" Id="rId155" /><Relationship Type="http://schemas.openxmlformats.org/officeDocument/2006/relationships/hyperlink" Target="https://new.land.naver.com/complexes/14076?ms=2AfAQG,3zprE6,17&amp;a=APT:ABYG:JGC&amp;b=A1:B1&amp;e=RETAIL&amp;h=34&amp;i=132&amp;l=198&amp;ad=true" TargetMode="External" Id="rId156" /><Relationship Type="http://schemas.openxmlformats.org/officeDocument/2006/relationships/hyperlink" Target="https://new.land.naver.com/complexes/4612?ms=2AfAQG,3zprE6,17&amp;a=APT:ABYG:JGC&amp;b=A1:B1&amp;e=RETAIL&amp;h=34&amp;i=132&amp;l=198&amp;ad=true" TargetMode="External" Id="rId157" /><Relationship Type="http://schemas.openxmlformats.org/officeDocument/2006/relationships/hyperlink" Target="https://new.land.naver.com/complexes/12935?ms=2AfAQG,3zprE6,17&amp;a=APT:ABYG:JGC&amp;b=A1:B1&amp;e=RETAIL&amp;h=34&amp;i=132&amp;l=198&amp;ad=true" TargetMode="External" Id="rId158" /><Relationship Type="http://schemas.openxmlformats.org/officeDocument/2006/relationships/hyperlink" Target="https://new.land.naver.com/complexes/14076?ms=2AfAQG,3zprE6,17&amp;a=APT:ABYG:JGC&amp;b=A1:B1&amp;e=RETAIL&amp;h=34&amp;i=132&amp;l=198&amp;ad=true" TargetMode="External" Id="rId159" /><Relationship Type="http://schemas.openxmlformats.org/officeDocument/2006/relationships/hyperlink" Target="https://new.land.naver.com/complexes/14076?ms=2AfAQG,3zprE6,17&amp;a=APT:ABYG:JGC&amp;b=A1:B1&amp;e=RETAIL&amp;h=34&amp;i=132&amp;l=198&amp;ad=true" TargetMode="External" Id="rId160" /><Relationship Type="http://schemas.openxmlformats.org/officeDocument/2006/relationships/hyperlink" Target="https://new.land.naver.com/complexes/24055?ms=2AfAQG,3zprE6,17&amp;a=APT:ABYG:JGC&amp;b=A1:B1&amp;e=RETAIL&amp;h=34&amp;i=132&amp;l=198&amp;ad=true" TargetMode="External" Id="rId161" /><Relationship Type="http://schemas.openxmlformats.org/officeDocument/2006/relationships/hyperlink" Target="https://new.land.naver.com/complexes/24055?ms=2AfAQG,3zprE6,17&amp;a=APT:ABYG:JGC&amp;b=A1:B1&amp;e=RETAIL&amp;h=34&amp;i=132&amp;l=198&amp;ad=true" TargetMode="External" Id="rId162" /><Relationship Type="http://schemas.openxmlformats.org/officeDocument/2006/relationships/hyperlink" Target="https://new.land.naver.com/complexes/24055?ms=2AfAQG,3zprE6,17&amp;a=APT:ABYG:JGC&amp;b=A1:B1&amp;e=RETAIL&amp;h=34&amp;i=132&amp;l=198&amp;ad=true" TargetMode="External" Id="rId163" /><Relationship Type="http://schemas.openxmlformats.org/officeDocument/2006/relationships/hyperlink" Target="https://new.land.naver.com/complexes/24055?ms=2AfAQG,3zprE6,17&amp;a=APT:ABYG:JGC&amp;b=A1:B1&amp;e=RETAIL&amp;h=34&amp;i=132&amp;l=198&amp;ad=true" TargetMode="External" Id="rId164" /><Relationship Type="http://schemas.openxmlformats.org/officeDocument/2006/relationships/hyperlink" Target="https://new.land.naver.com/complexes/24055?ms=2AfAQG,3zprE6,17&amp;a=APT:ABYG:JGC&amp;b=A1:B1&amp;e=RETAIL&amp;h=34&amp;i=132&amp;l=198&amp;ad=true" TargetMode="External" Id="rId165" /><Relationship Type="http://schemas.openxmlformats.org/officeDocument/2006/relationships/hyperlink" Target="https://new.land.naver.com/complexes/24055?ms=2AfAQG,3zprE6,17&amp;a=APT:ABYG:JGC&amp;b=A1:B1&amp;e=RETAIL&amp;h=34&amp;i=132&amp;l=198&amp;ad=true" TargetMode="External" Id="rId166" /><Relationship Type="http://schemas.openxmlformats.org/officeDocument/2006/relationships/hyperlink" Target="https://new.land.naver.com/complexes/24055?ms=2AfAQG,3zprE6,17&amp;a=APT:ABYG:JGC&amp;b=A1:B1&amp;e=RETAIL&amp;h=34&amp;i=132&amp;l=198&amp;ad=true" TargetMode="External" Id="rId167" /><Relationship Type="http://schemas.openxmlformats.org/officeDocument/2006/relationships/hyperlink" Target="https://new.land.naver.com/complexes/110738?ms=2AfAQG,3zprE6,17&amp;a=APT:ABYG:JGC&amp;b=A1:B1&amp;e=RETAIL&amp;h=34&amp;i=132&amp;l=198&amp;ad=true" TargetMode="External" Id="rId168" /><Relationship Type="http://schemas.openxmlformats.org/officeDocument/2006/relationships/hyperlink" Target="https://new.land.naver.com/complexes/110738?ms=2AfAQG,3zprE6,17&amp;a=APT:ABYG:JGC&amp;b=A1:B1&amp;e=RETAIL&amp;h=34&amp;i=132&amp;l=198&amp;ad=true" TargetMode="External" Id="rId169" /><Relationship Type="http://schemas.openxmlformats.org/officeDocument/2006/relationships/hyperlink" Target="https://new.land.naver.com/complexes/14171?ms=2AfAQG,3zprE6,17&amp;a=APT:ABYG:JGC&amp;b=A1:B1&amp;e=RETAIL&amp;h=34&amp;i=132&amp;l=198&amp;ad=true" TargetMode="External" Id="rId170" /><Relationship Type="http://schemas.openxmlformats.org/officeDocument/2006/relationships/hyperlink" Target="https://new.land.naver.com/complexes/10488?ms=2AfAQG,3zprE6,17&amp;a=APT:ABYG:JGC&amp;b=A1:B1&amp;e=RETAIL&amp;h=34&amp;i=132&amp;l=198&amp;ad=true" TargetMode="External" Id="rId171" /><Relationship Type="http://schemas.openxmlformats.org/officeDocument/2006/relationships/hyperlink" Target="https://new.land.naver.com/complexes/10488?ms=2AfAQG,3zprE6,17&amp;a=APT:ABYG:JGC&amp;b=A1:B1&amp;e=RETAIL&amp;h=34&amp;i=132&amp;l=198&amp;ad=true" TargetMode="External" Id="rId172" /><Relationship Type="http://schemas.openxmlformats.org/officeDocument/2006/relationships/hyperlink" Target="https://new.land.naver.com/complexes/4521?ms=2AfAQG,3zprE6,17&amp;a=APT:ABYG:JGC&amp;b=A1:B1&amp;e=RETAIL&amp;h=34&amp;i=132&amp;l=198&amp;ad=true" TargetMode="External" Id="rId173" /><Relationship Type="http://schemas.openxmlformats.org/officeDocument/2006/relationships/hyperlink" Target="https://new.land.naver.com/complexes/4521?ms=2AfAQG,3zprE6,17&amp;a=APT:ABYG:JGC&amp;b=A1:B1&amp;e=RETAIL&amp;h=34&amp;i=132&amp;l=198&amp;ad=true" TargetMode="External" Id="rId174" /><Relationship Type="http://schemas.openxmlformats.org/officeDocument/2006/relationships/hyperlink" Target="https://new.land.naver.com/complexes/10107?ms=2AfAQG,3zprE6,17&amp;a=APT:ABYG:JGC&amp;b=A1:B1&amp;e=RETAIL&amp;h=34&amp;i=132&amp;l=198&amp;ad=true" TargetMode="External" Id="rId175" /><Relationship Type="http://schemas.openxmlformats.org/officeDocument/2006/relationships/hyperlink" Target="https://new.land.naver.com/complexes/10107?ms=2AfAQG,3zprE6,17&amp;a=APT:ABYG:JGC&amp;b=A1:B1&amp;e=RETAIL&amp;h=34&amp;i=132&amp;l=198&amp;ad=true" TargetMode="External" Id="rId176" /><Relationship Type="http://schemas.openxmlformats.org/officeDocument/2006/relationships/hyperlink" Target="https://new.land.naver.com/complexes/10107?ms=2AfAQG,3zprE6,17&amp;a=APT:ABYG:JGC&amp;b=A1:B1&amp;e=RETAIL&amp;h=34&amp;i=132&amp;l=198&amp;ad=true" TargetMode="External" Id="rId177" /><Relationship Type="http://schemas.openxmlformats.org/officeDocument/2006/relationships/hyperlink" Target="https://new.land.naver.com/complexes/101068?ms=2AfAQG,3zprE6,17&amp;a=APT:ABYG:JGC&amp;b=A1:B1&amp;e=RETAIL&amp;h=34&amp;i=132&amp;l=198&amp;ad=true" TargetMode="External" Id="rId178" /><Relationship Type="http://schemas.openxmlformats.org/officeDocument/2006/relationships/hyperlink" Target="https://new.land.naver.com/complexes/101068?ms=2AfAQG,3zprE6,17&amp;a=APT:ABYG:JGC&amp;b=A1:B1&amp;e=RETAIL&amp;h=34&amp;i=132&amp;l=198&amp;ad=true" TargetMode="External" Id="rId179" /><Relationship Type="http://schemas.openxmlformats.org/officeDocument/2006/relationships/hyperlink" Target="https://new.land.naver.com/complexes/101068?ms=2AfAQG,3zprE6,17&amp;a=APT:ABYG:JGC&amp;b=A1:B1&amp;e=RETAIL&amp;h=34&amp;i=132&amp;l=198&amp;ad=true" TargetMode="External" Id="rId180" /><Relationship Type="http://schemas.openxmlformats.org/officeDocument/2006/relationships/hyperlink" Target="https://new.land.naver.com/complexes/101068?ms=2AfAQG,3zprE6,17&amp;a=APT:ABYG:JGC&amp;b=A1:B1&amp;e=RETAIL&amp;h=34&amp;i=132&amp;l=198&amp;ad=true" TargetMode="External" Id="rId181" /><Relationship Type="http://schemas.openxmlformats.org/officeDocument/2006/relationships/hyperlink" Target="https://new.land.naver.com/complexes/101068?ms=2AfAQG,3zprE6,17&amp;a=APT:ABYG:JGC&amp;b=A1:B1&amp;e=RETAIL&amp;h=34&amp;i=132&amp;l=198&amp;ad=true" TargetMode="External" Id="rId182" /><Relationship Type="http://schemas.openxmlformats.org/officeDocument/2006/relationships/hyperlink" Target="https://new.land.naver.com/complexes/104716?ms=2AfAQG,3zprE6,17&amp;a=APT:ABYG:JGC&amp;b=A1:B1&amp;e=RETAIL&amp;h=34&amp;i=132&amp;l=198&amp;ad=true" TargetMode="External" Id="rId183" /><Relationship Type="http://schemas.openxmlformats.org/officeDocument/2006/relationships/hyperlink" Target="https://new.land.naver.com/complexes/109359?ms=2AfAQG,3zprE6,17&amp;a=APT:ABYG:JGC&amp;b=A1:B1&amp;e=RETAIL&amp;h=34&amp;i=132&amp;l=198&amp;ad=true" TargetMode="External" Id="rId184" /><Relationship Type="http://schemas.openxmlformats.org/officeDocument/2006/relationships/hyperlink" Target="https://new.land.naver.com/complexes/109359?ms=2AfAQG,3zprE6,17&amp;a=APT:ABYG:JGC&amp;b=A1:B1&amp;e=RETAIL&amp;h=34&amp;i=132&amp;l=198&amp;ad=true" TargetMode="External" Id="rId185" /><Relationship Type="http://schemas.openxmlformats.org/officeDocument/2006/relationships/hyperlink" Target="https://new.land.naver.com/complexes/109359?ms=2AfAQG,3zprE6,17&amp;a=APT:ABYG:JGC&amp;b=A1:B1&amp;e=RETAIL&amp;h=34&amp;i=132&amp;l=198&amp;ad=true" TargetMode="External" Id="rId186" /><Relationship Type="http://schemas.openxmlformats.org/officeDocument/2006/relationships/hyperlink" Target="https://new.land.naver.com/complexes/109359?ms=2AfAQG,3zprE6,17&amp;a=APT:ABYG:JGC&amp;b=A1:B1&amp;e=RETAIL&amp;h=34&amp;i=132&amp;l=198&amp;ad=true" TargetMode="External" Id="rId187" /><Relationship Type="http://schemas.openxmlformats.org/officeDocument/2006/relationships/hyperlink" Target="https://new.land.naver.com/complexes/109359?ms=2AfAQG,3zprE6,17&amp;a=APT:ABYG:JGC&amp;b=A1:B1&amp;e=RETAIL&amp;h=34&amp;i=132&amp;l=198&amp;ad=true" TargetMode="External" Id="rId188" /><Relationship Type="http://schemas.openxmlformats.org/officeDocument/2006/relationships/hyperlink" Target="https://new.land.naver.com/complexes/113686?ms=2AfAQG,3zprE6,17&amp;a=APT:ABYG:JGC&amp;b=A1:B1&amp;e=RETAIL&amp;h=34&amp;i=132&amp;l=198&amp;ad=true" TargetMode="External" Id="rId189" /><Relationship Type="http://schemas.openxmlformats.org/officeDocument/2006/relationships/hyperlink" Target="https://new.land.naver.com/complexes/113686?ms=2AfAQG,3zprE6,17&amp;a=APT:ABYG:JGC&amp;b=A1:B1&amp;e=RETAIL&amp;h=34&amp;i=132&amp;l=198&amp;ad=true" TargetMode="External" Id="rId190" /><Relationship Type="http://schemas.openxmlformats.org/officeDocument/2006/relationships/hyperlink" Target="https://new.land.naver.com/complexes/113686?ms=2AfAQG,3zprE6,17&amp;a=APT:ABYG:JGC&amp;b=A1:B1&amp;e=RETAIL&amp;h=34&amp;i=132&amp;l=198&amp;ad=true" TargetMode="External" Id="rId191" /><Relationship Type="http://schemas.openxmlformats.org/officeDocument/2006/relationships/hyperlink" Target="https://new.land.naver.com/complexes/4548?ms=2AfAQG,3zprE6,17&amp;a=APT:ABYG:JGC&amp;b=A1:B1&amp;e=RETAIL&amp;h=34&amp;i=132&amp;l=198&amp;ad=true" TargetMode="External" Id="rId192" /><Relationship Type="http://schemas.openxmlformats.org/officeDocument/2006/relationships/hyperlink" Target="https://new.land.naver.com/complexes/4548?ms=2AfAQG,3zprE6,17&amp;a=APT:ABYG:JGC&amp;b=A1:B1&amp;e=RETAIL&amp;h=34&amp;i=132&amp;l=198&amp;ad=true" TargetMode="External" Id="rId193" /><Relationship Type="http://schemas.openxmlformats.org/officeDocument/2006/relationships/hyperlink" Target="https://new.land.naver.com/complexes/4548?ms=2AfAQG,3zprE6,17&amp;a=APT:ABYG:JGC&amp;b=A1:B1&amp;e=RETAIL&amp;h=34&amp;i=132&amp;l=198&amp;ad=true" TargetMode="External" Id="rId194" /><Relationship Type="http://schemas.openxmlformats.org/officeDocument/2006/relationships/hyperlink" Target="https://new.land.naver.com/complexes/110440?ms=2AfAQG,3zprE6,17&amp;a=APT:ABYG:JGC&amp;b=A1:B1&amp;e=RETAIL&amp;h=34&amp;i=132&amp;l=198&amp;ad=true" TargetMode="External" Id="rId195" /><Relationship Type="http://schemas.openxmlformats.org/officeDocument/2006/relationships/hyperlink" Target="https://new.land.naver.com/complexes/110440?ms=2AfAQG,3zprE6,17&amp;a=APT:ABYG:JGC&amp;b=A1:B1&amp;e=RETAIL&amp;h=34&amp;i=132&amp;l=198&amp;ad=true" TargetMode="External" Id="rId196" /><Relationship Type="http://schemas.openxmlformats.org/officeDocument/2006/relationships/hyperlink" Target="https://new.land.naver.com/complexes/9861?ms=2AfAQG,3zprE6,17&amp;a=APT:ABYG:JGC&amp;b=A1:B1&amp;e=RETAIL&amp;h=34&amp;i=132&amp;l=198&amp;ad=true" TargetMode="External" Id="rId197" /><Relationship Type="http://schemas.openxmlformats.org/officeDocument/2006/relationships/hyperlink" Target="https://new.land.naver.com/complexes/9861?ms=2AfAQG,3zprE6,17&amp;a=APT:ABYG:JGC&amp;b=A1:B1&amp;e=RETAIL&amp;h=34&amp;i=132&amp;l=198&amp;ad=true" TargetMode="External" Id="rId198" /><Relationship Type="http://schemas.openxmlformats.org/officeDocument/2006/relationships/hyperlink" Target="https://new.land.naver.com/complexes/9861?ms=2AfAQG,3zprE6,17&amp;a=APT:ABYG:JGC&amp;b=A1:B1&amp;e=RETAIL&amp;h=34&amp;i=132&amp;l=198&amp;ad=true" TargetMode="External" Id="rId199" /><Relationship Type="http://schemas.openxmlformats.org/officeDocument/2006/relationships/hyperlink" Target="https://new.land.naver.com/complexes/9861?ms=2AfAQG,3zprE6,17&amp;a=APT:ABYG:JGC&amp;b=A1:B1&amp;e=RETAIL&amp;h=34&amp;i=132&amp;l=198&amp;ad=true" TargetMode="External" Id="rId200" /><Relationship Type="http://schemas.openxmlformats.org/officeDocument/2006/relationships/hyperlink" Target="https://new.land.naver.com/complexes/9861?ms=2AfAQG,3zprE6,17&amp;a=APT:ABYG:JGC&amp;b=A1:B1&amp;e=RETAIL&amp;h=34&amp;i=132&amp;l=198&amp;ad=true" TargetMode="External" Id="rId201" /><Relationship Type="http://schemas.openxmlformats.org/officeDocument/2006/relationships/hyperlink" Target="https://new.land.naver.com/complexes/9861?ms=2AfAQG,3zprE6,17&amp;a=APT:ABYG:JGC&amp;b=A1:B1&amp;e=RETAIL&amp;h=34&amp;i=132&amp;l=198&amp;ad=true" TargetMode="External" Id="rId202" /><Relationship Type="http://schemas.openxmlformats.org/officeDocument/2006/relationships/hyperlink" Target="https://new.land.naver.com/complexes/9861?ms=2AfAQG,3zprE6,17&amp;a=APT:ABYG:JGC&amp;b=A1:B1&amp;e=RETAIL&amp;h=34&amp;i=132&amp;l=198&amp;ad=true" TargetMode="External" Id="rId203" /><Relationship Type="http://schemas.openxmlformats.org/officeDocument/2006/relationships/hyperlink" Target="https://new.land.naver.com/complexes/9861?ms=2AfAQG,3zprE6,17&amp;a=APT:ABYG:JGC&amp;b=A1:B1&amp;e=RETAIL&amp;h=34&amp;i=132&amp;l=198&amp;ad=true" TargetMode="External" Id="rId204" /><Relationship Type="http://schemas.openxmlformats.org/officeDocument/2006/relationships/hyperlink" Target="https://new.land.naver.com/complexes/9861?ms=2AfAQG,3zprE6,17&amp;a=APT:ABYG:JGC&amp;b=A1:B1&amp;e=RETAIL&amp;h=34&amp;i=132&amp;l=198&amp;ad=true" TargetMode="External" Id="rId205" /><Relationship Type="http://schemas.openxmlformats.org/officeDocument/2006/relationships/hyperlink" Target="https://new.land.naver.com/complexes/133976?ms=2AfAQG,3zprE6,17&amp;a=APT:ABYG:JGC&amp;b=A1:B1&amp;e=RETAIL&amp;h=34&amp;i=132&amp;l=198&amp;ad=true" TargetMode="External" Id="rId206" /><Relationship Type="http://schemas.openxmlformats.org/officeDocument/2006/relationships/hyperlink" Target="https://new.land.naver.com/complexes/133976?ms=2AfAQG,3zprE6,17&amp;a=APT:ABYG:JGC&amp;b=A1:B1&amp;e=RETAIL&amp;h=34&amp;i=132&amp;l=198&amp;ad=true" TargetMode="External" Id="rId207" /><Relationship Type="http://schemas.openxmlformats.org/officeDocument/2006/relationships/hyperlink" Target="https://new.land.naver.com/complexes/4543?ms=2AfAQG,3zprE6,17&amp;a=APT:ABYG:JGC&amp;b=A1:B1&amp;e=RETAIL&amp;h=34&amp;i=132&amp;l=198&amp;ad=true" TargetMode="External" Id="rId208" /><Relationship Type="http://schemas.openxmlformats.org/officeDocument/2006/relationships/hyperlink" Target="https://new.land.naver.com/complexes/105323?ms=2AfAQG,3zprE6,17&amp;a=APT:ABYG:JGC&amp;b=A1:B1&amp;e=RETAIL&amp;h=34&amp;i=132&amp;l=198&amp;ad=true" TargetMode="External" Id="rId209" /><Relationship Type="http://schemas.openxmlformats.org/officeDocument/2006/relationships/hyperlink" Target="https://new.land.naver.com/complexes/105323?ms=2AfAQG,3zprE6,17&amp;a=APT:ABYG:JGC&amp;b=A1:B1&amp;e=RETAIL&amp;h=34&amp;i=132&amp;l=198&amp;ad=true" TargetMode="External" Id="rId210" /><Relationship Type="http://schemas.openxmlformats.org/officeDocument/2006/relationships/hyperlink" Target="https://new.land.naver.com/complexes/105323?ms=2AfAQG,3zprE6,17&amp;a=APT:ABYG:JGC&amp;b=A1:B1&amp;e=RETAIL&amp;h=34&amp;i=132&amp;l=198&amp;ad=true" TargetMode="External" Id="rId211" /><Relationship Type="http://schemas.openxmlformats.org/officeDocument/2006/relationships/hyperlink" Target="https://new.land.naver.com/complexes/105323?ms=2AfAQG,3zprE6,17&amp;a=APT:ABYG:JGC&amp;b=A1:B1&amp;e=RETAIL&amp;h=34&amp;i=132&amp;l=198&amp;ad=true" TargetMode="External" Id="rId212" /><Relationship Type="http://schemas.openxmlformats.org/officeDocument/2006/relationships/hyperlink" Target="https://new.land.naver.com/complexes/105323?ms=2AfAQG,3zprE6,17&amp;a=APT:ABYG:JGC&amp;b=A1:B1&amp;e=RETAIL&amp;h=34&amp;i=132&amp;l=198&amp;ad=true" TargetMode="External" Id="rId213" /><Relationship Type="http://schemas.openxmlformats.org/officeDocument/2006/relationships/hyperlink" Target="https://new.land.naver.com/complexes/105323?ms=2AfAQG,3zprE6,17&amp;a=APT:ABYG:JGC&amp;b=A1:B1&amp;e=RETAIL&amp;h=34&amp;i=132&amp;l=198&amp;ad=true" TargetMode="External" Id="rId214" /><Relationship Type="http://schemas.openxmlformats.org/officeDocument/2006/relationships/hyperlink" Target="https://new.land.naver.com/complexes/105323?ms=2AfAQG,3zprE6,17&amp;a=APT:ABYG:JGC&amp;b=A1:B1&amp;e=RETAIL&amp;h=34&amp;i=132&amp;l=198&amp;ad=true" TargetMode="External" Id="rId215" /><Relationship Type="http://schemas.openxmlformats.org/officeDocument/2006/relationships/hyperlink" Target="https://new.land.naver.com/complexes/105323?ms=2AfAQG,3zprE6,17&amp;a=APT:ABYG:JGC&amp;b=A1:B1&amp;e=RETAIL&amp;h=34&amp;i=132&amp;l=198&amp;ad=true" TargetMode="External" Id="rId216" /><Relationship Type="http://schemas.openxmlformats.org/officeDocument/2006/relationships/hyperlink" Target="https://new.land.naver.com/complexes/4526?ms=2AfAQG,3zprE6,17&amp;a=APT:ABYG:JGC&amp;b=A1:B1&amp;e=RETAIL&amp;h=34&amp;i=132&amp;l=198&amp;ad=true" TargetMode="External" Id="rId217" /><Relationship Type="http://schemas.openxmlformats.org/officeDocument/2006/relationships/hyperlink" Target="https://new.land.naver.com/complexes/161501?ms=2AfAQG,3zprE6,17&amp;a=APT:ABYG:JGC&amp;b=A1:B1&amp;e=RETAIL&amp;h=34&amp;i=132&amp;l=198&amp;ad=true" TargetMode="External" Id="rId218" /><Relationship Type="http://schemas.openxmlformats.org/officeDocument/2006/relationships/hyperlink" Target="https://new.land.naver.com/complexes/161501?ms=2AfAQG,3zprE6,17&amp;a=APT:ABYG:JGC&amp;b=A1:B1&amp;e=RETAIL&amp;h=34&amp;i=132&amp;l=198&amp;ad=true" TargetMode="External" Id="rId219" /><Relationship Type="http://schemas.openxmlformats.org/officeDocument/2006/relationships/hyperlink" Target="https://new.land.naver.com/complexes/4530?ms=2AfAQG,3zprE6,17&amp;a=APT:ABYG:JGC&amp;b=A1:B1&amp;e=RETAIL&amp;h=34&amp;i=132&amp;l=198&amp;ad=true" TargetMode="External" Id="rId220" /><Relationship Type="http://schemas.openxmlformats.org/officeDocument/2006/relationships/hyperlink" Target="https://new.land.naver.com/complexes/4532?ms=2AfAQG,3zprE6,17&amp;a=APT:ABYG:JGC&amp;b=A1:B1&amp;e=RETAIL&amp;h=34&amp;i=132&amp;l=198&amp;ad=true" TargetMode="External" Id="rId221" /><Relationship Type="http://schemas.openxmlformats.org/officeDocument/2006/relationships/hyperlink" Target="https://new.land.naver.com/complexes/4532?ms=2AfAQG,3zprE6,17&amp;a=APT:ABYG:JGC&amp;b=A1:B1&amp;e=RETAIL&amp;h=34&amp;i=132&amp;l=198&amp;ad=true" TargetMode="External" Id="rId222" /><Relationship Type="http://schemas.openxmlformats.org/officeDocument/2006/relationships/hyperlink" Target="https://new.land.naver.com/complexes/4532?ms=2AfAQG,3zprE6,17&amp;a=APT:ABYG:JGC&amp;b=A1:B1&amp;e=RETAIL&amp;h=34&amp;i=132&amp;l=198&amp;ad=true" TargetMode="External" Id="rId223" /><Relationship Type="http://schemas.openxmlformats.org/officeDocument/2006/relationships/hyperlink" Target="https://new.land.naver.com/complexes/4535?ms=2AfAQG,3zprE6,17&amp;a=APT:ABYG:JGC&amp;b=A1:B1&amp;e=RETAIL&amp;h=34&amp;i=132&amp;l=198&amp;ad=true" TargetMode="External" Id="rId224" /><Relationship Type="http://schemas.openxmlformats.org/officeDocument/2006/relationships/hyperlink" Target="https://new.land.naver.com/complexes/4535?ms=2AfAQG,3zprE6,17&amp;a=APT:ABYG:JGC&amp;b=A1:B1&amp;e=RETAIL&amp;h=34&amp;i=132&amp;l=198&amp;ad=true" TargetMode="External" Id="rId225" /><Relationship Type="http://schemas.openxmlformats.org/officeDocument/2006/relationships/hyperlink" Target="https://new.land.naver.com/complexes/4535?ms=2AfAQG,3zprE6,17&amp;a=APT:ABYG:JGC&amp;b=A1:B1&amp;e=RETAIL&amp;h=34&amp;i=132&amp;l=198&amp;ad=true" TargetMode="External" Id="rId226" /><Relationship Type="http://schemas.openxmlformats.org/officeDocument/2006/relationships/hyperlink" Target="https://new.land.naver.com/complexes/112774?ms=2AfAQG,3zprE6,17&amp;a=APT:ABYG:JGC&amp;b=A1:B1&amp;e=RETAIL&amp;h=34&amp;i=132&amp;l=198&amp;ad=true" TargetMode="External" Id="rId227" /><Relationship Type="http://schemas.openxmlformats.org/officeDocument/2006/relationships/hyperlink" Target="https://new.land.naver.com/complexes/4579?ms=2AfAQG,3zprE6,17&amp;a=APT:ABYG:JGC&amp;b=A1:B1&amp;e=RETAIL&amp;h=34&amp;i=132&amp;l=198&amp;ad=true" TargetMode="External" Id="rId228" /><Relationship Type="http://schemas.openxmlformats.org/officeDocument/2006/relationships/hyperlink" Target="https://new.land.naver.com/complexes/4579?ms=2AfAQG,3zprE6,17&amp;a=APT:ABYG:JGC&amp;b=A1:B1&amp;e=RETAIL&amp;h=34&amp;i=132&amp;l=198&amp;ad=true" TargetMode="External" Id="rId229" /><Relationship Type="http://schemas.openxmlformats.org/officeDocument/2006/relationships/hyperlink" Target="https://new.land.naver.com/complexes/4579?ms=2AfAQG,3zprE6,17&amp;a=APT:ABYG:JGC&amp;b=A1:B1&amp;e=RETAIL&amp;h=34&amp;i=132&amp;l=198&amp;ad=true" TargetMode="External" Id="rId230" /><Relationship Type="http://schemas.openxmlformats.org/officeDocument/2006/relationships/hyperlink" Target="https://new.land.naver.com/complexes/4579?ms=2AfAQG,3zprE6,17&amp;a=APT:ABYG:JGC&amp;b=A1:B1&amp;e=RETAIL&amp;h=34&amp;i=132&amp;l=198&amp;ad=true" TargetMode="External" Id="rId231" /><Relationship Type="http://schemas.openxmlformats.org/officeDocument/2006/relationships/hyperlink" Target="https://new.land.naver.com/complexes/4579?ms=2AfAQG,3zprE6,17&amp;a=APT:ABYG:JGC&amp;b=A1:B1&amp;e=RETAIL&amp;h=34&amp;i=132&amp;l=198&amp;ad=true" TargetMode="External" Id="rId232" /><Relationship Type="http://schemas.openxmlformats.org/officeDocument/2006/relationships/hyperlink" Target="https://new.land.naver.com/complexes/4579?ms=2AfAQG,3zprE6,17&amp;a=APT:ABYG:JGC&amp;b=A1:B1&amp;e=RETAIL&amp;h=34&amp;i=132&amp;l=198&amp;ad=true" TargetMode="External" Id="rId233" /><Relationship Type="http://schemas.openxmlformats.org/officeDocument/2006/relationships/hyperlink" Target="https://new.land.naver.com/complexes/4579?ms=2AfAQG,3zprE6,17&amp;a=APT:ABYG:JGC&amp;b=A1:B1&amp;e=RETAIL&amp;h=34&amp;i=132&amp;l=198&amp;ad=true" TargetMode="External" Id="rId234" /><Relationship Type="http://schemas.openxmlformats.org/officeDocument/2006/relationships/hyperlink" Target="https://new.land.naver.com/complexes/4579?ms=2AfAQG,3zprE6,17&amp;a=APT:ABYG:JGC&amp;b=A1:B1&amp;e=RETAIL&amp;h=34&amp;i=132&amp;l=198&amp;ad=true" TargetMode="External" Id="rId235" /><Relationship Type="http://schemas.openxmlformats.org/officeDocument/2006/relationships/hyperlink" Target="https://new.land.naver.com/complexes/4579?ms=2AfAQG,3zprE6,17&amp;a=APT:ABYG:JGC&amp;b=A1:B1&amp;e=RETAIL&amp;h=34&amp;i=132&amp;l=198&amp;ad=true" TargetMode="External" Id="rId236" /><Relationship Type="http://schemas.openxmlformats.org/officeDocument/2006/relationships/hyperlink" Target="https://new.land.naver.com/complexes/4579?ms=2AfAQG,3zprE6,17&amp;a=APT:ABYG:JGC&amp;b=A1:B1&amp;e=RETAIL&amp;h=34&amp;i=132&amp;l=198&amp;ad=true" TargetMode="External" Id="rId237" /><Relationship Type="http://schemas.openxmlformats.org/officeDocument/2006/relationships/hyperlink" Target="https://new.land.naver.com/complexes/4577?ms=2AfAQG,3zprE6,17&amp;a=APT:ABYG:JGC&amp;b=A1:B1&amp;e=RETAIL&amp;h=34&amp;i=132&amp;l=198&amp;ad=true" TargetMode="External" Id="rId238" /><Relationship Type="http://schemas.openxmlformats.org/officeDocument/2006/relationships/hyperlink" Target="https://new.land.naver.com/complexes/4577?ms=2AfAQG,3zprE6,17&amp;a=APT:ABYG:JGC&amp;b=A1:B1&amp;e=RETAIL&amp;h=34&amp;i=132&amp;l=198&amp;ad=true" TargetMode="External" Id="rId239" /><Relationship Type="http://schemas.openxmlformats.org/officeDocument/2006/relationships/hyperlink" Target="https://new.land.naver.com/complexes/4577?ms=2AfAQG,3zprE6,17&amp;a=APT:ABYG:JGC&amp;b=A1:B1&amp;e=RETAIL&amp;h=34&amp;i=132&amp;l=198&amp;ad=true" TargetMode="External" Id="rId240" /><Relationship Type="http://schemas.openxmlformats.org/officeDocument/2006/relationships/hyperlink" Target="https://new.land.naver.com/complexes/9996?ms=2AfAQG,3zprE6,17&amp;a=APT:ABYG:JGC&amp;b=A1:B1&amp;e=RETAIL&amp;h=34&amp;i=132&amp;l=198&amp;ad=true" TargetMode="External" Id="rId241" /><Relationship Type="http://schemas.openxmlformats.org/officeDocument/2006/relationships/hyperlink" Target="https://new.land.naver.com/complexes/9996?ms=2AfAQG,3zprE6,17&amp;a=APT:ABYG:JGC&amp;b=A1:B1&amp;e=RETAIL&amp;h=34&amp;i=132&amp;l=198&amp;ad=true" TargetMode="External" Id="rId242" /><Relationship Type="http://schemas.openxmlformats.org/officeDocument/2006/relationships/hyperlink" Target="https://new.land.naver.com/complexes/9996?ms=2AfAQG,3zprE6,17&amp;a=APT:ABYG:JGC&amp;b=A1:B1&amp;e=RETAIL&amp;h=34&amp;i=132&amp;l=198&amp;ad=true" TargetMode="External" Id="rId243" /><Relationship Type="http://schemas.openxmlformats.org/officeDocument/2006/relationships/hyperlink" Target="https://new.land.naver.com/complexes/15166?ms=2AfAQG,3zprE6,17&amp;a=APT:ABYG:JGC&amp;b=A1:B1&amp;e=RETAIL&amp;h=34&amp;i=132&amp;l=198&amp;ad=true" TargetMode="External" Id="rId244" /><Relationship Type="http://schemas.openxmlformats.org/officeDocument/2006/relationships/hyperlink" Target="https://new.land.naver.com/complexes/15166?ms=2AfAQG,3zprE6,17&amp;a=APT:ABYG:JGC&amp;b=A1:B1&amp;e=RETAIL&amp;h=34&amp;i=132&amp;l=198&amp;ad=true" TargetMode="External" Id="rId245" /><Relationship Type="http://schemas.openxmlformats.org/officeDocument/2006/relationships/hyperlink" Target="https://new.land.naver.com/complexes/8861?ms=2AfAQG,3zprE6,17&amp;a=APT:ABYG:JGC&amp;b=A1:B1&amp;e=RETAIL&amp;h=34&amp;i=132&amp;l=198&amp;ad=true" TargetMode="External" Id="rId246" /><Relationship Type="http://schemas.openxmlformats.org/officeDocument/2006/relationships/hyperlink" Target="https://new.land.naver.com/complexes/4592?ms=2AfAQG,3zprE6,17&amp;a=APT:ABYG:JGC&amp;b=A1:B1&amp;e=RETAIL&amp;h=34&amp;i=132&amp;l=198&amp;ad=true" TargetMode="External" Id="rId247" /><Relationship Type="http://schemas.openxmlformats.org/officeDocument/2006/relationships/hyperlink" Target="https://new.land.naver.com/complexes/22395?ms=2AfAQG,3zprE6,17&amp;a=APT:ABYG:JGC&amp;b=A1:B1&amp;e=RETAIL&amp;h=34&amp;i=132&amp;l=198&amp;ad=true" TargetMode="External" Id="rId248" /><Relationship Type="http://schemas.openxmlformats.org/officeDocument/2006/relationships/hyperlink" Target="https://new.land.naver.com/complexes/22395?ms=2AfAQG,3zprE6,17&amp;a=APT:ABYG:JGC&amp;b=A1:B1&amp;e=RETAIL&amp;h=34&amp;i=132&amp;l=198&amp;ad=true" TargetMode="External" Id="rId249" /><Relationship Type="http://schemas.openxmlformats.org/officeDocument/2006/relationships/hyperlink" Target="https://new.land.naver.com/complexes/11549?ms=2AfAQG,3zprE6,17&amp;a=APT:ABYG:JGC&amp;b=A1:B1&amp;e=RETAIL&amp;h=34&amp;i=132&amp;l=198&amp;ad=true" TargetMode="External" Id="rId250" /><Relationship Type="http://schemas.openxmlformats.org/officeDocument/2006/relationships/hyperlink" Target="https://new.land.naver.com/complexes/11549?ms=2AfAQG,3zprE6,17&amp;a=APT:ABYG:JGC&amp;b=A1:B1&amp;e=RETAIL&amp;h=34&amp;i=132&amp;l=198&amp;ad=true" TargetMode="External" Id="rId251" /><Relationship Type="http://schemas.openxmlformats.org/officeDocument/2006/relationships/hyperlink" Target="https://new.land.naver.com/complexes/11549?ms=2AfAQG,3zprE6,17&amp;a=APT:ABYG:JGC&amp;b=A1:B1&amp;e=RETAIL&amp;h=34&amp;i=132&amp;l=198&amp;ad=true" TargetMode="External" Id="rId252" /><Relationship Type="http://schemas.openxmlformats.org/officeDocument/2006/relationships/hyperlink" Target="https://new.land.naver.com/complexes/11549?ms=2AfAQG,3zprE6,17&amp;a=APT:ABYG:JGC&amp;b=A1:B1&amp;e=RETAIL&amp;h=34&amp;i=132&amp;l=198&amp;ad=true" TargetMode="External" Id="rId253" /><Relationship Type="http://schemas.openxmlformats.org/officeDocument/2006/relationships/hyperlink" Target="https://new.land.naver.com/complexes/11665?ms=2AfAQG,3zprE6,17&amp;a=APT:ABYG:JGC&amp;b=A1:B1&amp;e=RETAIL&amp;h=34&amp;i=132&amp;l=198&amp;ad=true" TargetMode="External" Id="rId254" /><Relationship Type="http://schemas.openxmlformats.org/officeDocument/2006/relationships/hyperlink" Target="https://new.land.naver.com/complexes/11665?ms=2AfAQG,3zprE6,17&amp;a=APT:ABYG:JGC&amp;b=A1:B1&amp;e=RETAIL&amp;h=34&amp;i=132&amp;l=198&amp;ad=true" TargetMode="External" Id="rId255" /><Relationship Type="http://schemas.openxmlformats.org/officeDocument/2006/relationships/hyperlink" Target="https://new.land.naver.com/complexes/22443?ms=2AfAQG,3zprE6,17&amp;a=APT:ABYG:JGC&amp;b=A1:B1&amp;e=RETAIL&amp;h=34&amp;i=132&amp;l=198&amp;ad=true" TargetMode="External" Id="rId256" /><Relationship Type="http://schemas.openxmlformats.org/officeDocument/2006/relationships/hyperlink" Target="https://new.land.naver.com/complexes/22443?ms=2AfAQG,3zprE6,17&amp;a=APT:ABYG:JGC&amp;b=A1:B1&amp;e=RETAIL&amp;h=34&amp;i=132&amp;l=198&amp;ad=true" TargetMode="External" Id="rId257" /><Relationship Type="http://schemas.openxmlformats.org/officeDocument/2006/relationships/hyperlink" Target="https://new.land.naver.com/complexes/22443?ms=2AfAQG,3zprE6,17&amp;a=APT:ABYG:JGC&amp;b=A1:B1&amp;e=RETAIL&amp;h=34&amp;i=132&amp;l=198&amp;ad=true" TargetMode="External" Id="rId258" /><Relationship Type="http://schemas.openxmlformats.org/officeDocument/2006/relationships/hyperlink" Target="https://new.land.naver.com/complexes/8039?ms=2AfAQG,3zprE6,17&amp;a=APT:ABYG:JGC&amp;b=A1:B1&amp;e=RETAIL&amp;h=34&amp;i=132&amp;l=198&amp;ad=true" TargetMode="External" Id="rId259" /><Relationship Type="http://schemas.openxmlformats.org/officeDocument/2006/relationships/hyperlink" Target="https://new.land.naver.com/complexes/8039?ms=2AfAQG,3zprE6,17&amp;a=APT:ABYG:JGC&amp;b=A1:B1&amp;e=RETAIL&amp;h=34&amp;i=132&amp;l=198&amp;ad=true" TargetMode="External" Id="rId260" /><Relationship Type="http://schemas.openxmlformats.org/officeDocument/2006/relationships/hyperlink" Target="https://new.land.naver.com/complexes/8039?ms=2AfAQG,3zprE6,17&amp;a=APT:ABYG:JGC&amp;b=A1:B1&amp;e=RETAIL&amp;h=34&amp;i=132&amp;l=198&amp;ad=true" TargetMode="External" Id="rId261" /><Relationship Type="http://schemas.openxmlformats.org/officeDocument/2006/relationships/hyperlink" Target="https://new.land.naver.com/complexes/8039?ms=2AfAQG,3zprE6,17&amp;a=APT:ABYG:JGC&amp;b=A1:B1&amp;e=RETAIL&amp;h=34&amp;i=132&amp;l=198&amp;ad=true" TargetMode="External" Id="rId262" /><Relationship Type="http://schemas.openxmlformats.org/officeDocument/2006/relationships/hyperlink" Target="https://new.land.naver.com/complexes/8039?ms=2AfAQG,3zprE6,17&amp;a=APT:ABYG:JGC&amp;b=A1:B1&amp;e=RETAIL&amp;h=34&amp;i=132&amp;l=198&amp;ad=true" TargetMode="External" Id="rId263" /><Relationship Type="http://schemas.openxmlformats.org/officeDocument/2006/relationships/hyperlink" Target="https://new.land.naver.com/complexes/8039?ms=2AfAQG,3zprE6,17&amp;a=APT:ABYG:JGC&amp;b=A1:B1&amp;e=RETAIL&amp;h=34&amp;i=132&amp;l=198&amp;ad=true" TargetMode="External" Id="rId264" /><Relationship Type="http://schemas.openxmlformats.org/officeDocument/2006/relationships/hyperlink" Target="https://new.land.naver.com/complexes/9706?ms=2AfAQG,3zprE6,17&amp;a=APT:ABYG:JGC&amp;b=A1:B1&amp;e=RETAIL&amp;h=34&amp;i=132&amp;l=198&amp;ad=true" TargetMode="External" Id="rId265" /><Relationship Type="http://schemas.openxmlformats.org/officeDocument/2006/relationships/hyperlink" Target="https://new.land.naver.com/complexes/9708?ms=2AfAQG,3zprE6,17&amp;a=APT:ABYG:JGC&amp;b=A1:B1&amp;e=RETAIL&amp;h=34&amp;i=132&amp;l=198&amp;ad=true" TargetMode="External" Id="rId266" /><Relationship Type="http://schemas.openxmlformats.org/officeDocument/2006/relationships/hyperlink" Target="https://new.land.naver.com/complexes/9708?ms=2AfAQG,3zprE6,17&amp;a=APT:ABYG:JGC&amp;b=A1:B1&amp;e=RETAIL&amp;h=34&amp;i=132&amp;l=198&amp;ad=true" TargetMode="External" Id="rId267" /><Relationship Type="http://schemas.openxmlformats.org/officeDocument/2006/relationships/hyperlink" Target="https://new.land.naver.com/complexes/9708?ms=2AfAQG,3zprE6,17&amp;a=APT:ABYG:JGC&amp;b=A1:B1&amp;e=RETAIL&amp;h=34&amp;i=132&amp;l=198&amp;ad=true" TargetMode="External" Id="rId268" /><Relationship Type="http://schemas.openxmlformats.org/officeDocument/2006/relationships/hyperlink" Target="https://new.land.naver.com/complexes/9708?ms=2AfAQG,3zprE6,17&amp;a=APT:ABYG:JGC&amp;b=A1:B1&amp;e=RETAIL&amp;h=34&amp;i=132&amp;l=198&amp;ad=true" TargetMode="External" Id="rId269" /><Relationship Type="http://schemas.openxmlformats.org/officeDocument/2006/relationships/hyperlink" Target="https://new.land.naver.com/complexes/9708?ms=2AfAQG,3zprE6,17&amp;a=APT:ABYG:JGC&amp;b=A1:B1&amp;e=RETAIL&amp;h=34&amp;i=132&amp;l=198&amp;ad=true" TargetMode="External" Id="rId270" /><Relationship Type="http://schemas.openxmlformats.org/officeDocument/2006/relationships/hyperlink" Target="https://new.land.naver.com/complexes/9709?ms=2AfAQG,3zprE6,17&amp;a=APT:ABYG:JGC&amp;b=A1:B1&amp;e=RETAIL&amp;h=34&amp;i=132&amp;l=198&amp;ad=true" TargetMode="External" Id="rId271" /><Relationship Type="http://schemas.openxmlformats.org/officeDocument/2006/relationships/hyperlink" Target="https://new.land.naver.com/complexes/9709?ms=2AfAQG,3zprE6,17&amp;a=APT:ABYG:JGC&amp;b=A1:B1&amp;e=RETAIL&amp;h=34&amp;i=132&amp;l=198&amp;ad=true" TargetMode="External" Id="rId272" /><Relationship Type="http://schemas.openxmlformats.org/officeDocument/2006/relationships/hyperlink" Target="https://new.land.naver.com/complexes/9709?ms=2AfAQG,3zprE6,17&amp;a=APT:ABYG:JGC&amp;b=A1:B1&amp;e=RETAIL&amp;h=34&amp;i=132&amp;l=198&amp;ad=true" TargetMode="External" Id="rId273" /><Relationship Type="http://schemas.openxmlformats.org/officeDocument/2006/relationships/hyperlink" Target="https://new.land.naver.com/complexes/9709?ms=2AfAQG,3zprE6,17&amp;a=APT:ABYG:JGC&amp;b=A1:B1&amp;e=RETAIL&amp;h=34&amp;i=132&amp;l=198&amp;ad=true" TargetMode="External" Id="rId274" /><Relationship Type="http://schemas.openxmlformats.org/officeDocument/2006/relationships/hyperlink" Target="https://new.land.naver.com/complexes/9709?ms=2AfAQG,3zprE6,17&amp;a=APT:ABYG:JGC&amp;b=A1:B1&amp;e=RETAIL&amp;h=34&amp;i=132&amp;l=198&amp;ad=true" TargetMode="External" Id="rId275" /><Relationship Type="http://schemas.openxmlformats.org/officeDocument/2006/relationships/hyperlink" Target="https://new.land.naver.com/complexes/9709?ms=2AfAQG,3zprE6,17&amp;a=APT:ABYG:JGC&amp;b=A1:B1&amp;e=RETAIL&amp;h=34&amp;i=132&amp;l=198&amp;ad=true" TargetMode="External" Id="rId276" /><Relationship Type="http://schemas.openxmlformats.org/officeDocument/2006/relationships/hyperlink" Target="https://new.land.naver.com/complexes/9710?ms=2AfAQG,3zprE6,17&amp;a=APT:ABYG:JGC&amp;b=A1:B1&amp;e=RETAIL&amp;h=34&amp;i=132&amp;l=198&amp;ad=true" TargetMode="External" Id="rId277" /><Relationship Type="http://schemas.openxmlformats.org/officeDocument/2006/relationships/hyperlink" Target="https://new.land.naver.com/complexes/9710?ms=2AfAQG,3zprE6,17&amp;a=APT:ABYG:JGC&amp;b=A1:B1&amp;e=RETAIL&amp;h=34&amp;i=132&amp;l=198&amp;ad=true" TargetMode="External" Id="rId278" /><Relationship Type="http://schemas.openxmlformats.org/officeDocument/2006/relationships/hyperlink" Target="https://new.land.naver.com/complexes/9711?ms=2AfAQG,3zprE6,17&amp;a=APT:ABYG:JGC&amp;b=A1:B1&amp;e=RETAIL&amp;h=34&amp;i=132&amp;l=198&amp;ad=true" TargetMode="External" Id="rId279" /><Relationship Type="http://schemas.openxmlformats.org/officeDocument/2006/relationships/hyperlink" Target="https://new.land.naver.com/complexes/4607?ms=2AfAQG,3zprE6,17&amp;a=APT:ABYG:JGC&amp;b=A1:B1&amp;e=RETAIL&amp;h=34&amp;i=132&amp;l=198&amp;ad=true" TargetMode="External" Id="rId280" /><Relationship Type="http://schemas.openxmlformats.org/officeDocument/2006/relationships/hyperlink" Target="https://new.land.naver.com/complexes/4607?ms=2AfAQG,3zprE6,17&amp;a=APT:ABYG:JGC&amp;b=A1:B1&amp;e=RETAIL&amp;h=34&amp;i=132&amp;l=198&amp;ad=true" TargetMode="External" Id="rId281" /><Relationship Type="http://schemas.openxmlformats.org/officeDocument/2006/relationships/hyperlink" Target="https://new.land.naver.com/complexes/4607?ms=2AfAQG,3zprE6,17&amp;a=APT:ABYG:JGC&amp;b=A1:B1&amp;e=RETAIL&amp;h=34&amp;i=132&amp;l=198&amp;ad=true" TargetMode="External" Id="rId282" /><Relationship Type="http://schemas.openxmlformats.org/officeDocument/2006/relationships/hyperlink" Target="https://new.land.naver.com/complexes/4607?ms=2AfAQG,3zprE6,17&amp;a=APT:ABYG:JGC&amp;b=A1:B1&amp;e=RETAIL&amp;h=34&amp;i=132&amp;l=198&amp;ad=true" TargetMode="External" Id="rId283" /><Relationship Type="http://schemas.openxmlformats.org/officeDocument/2006/relationships/hyperlink" Target="https://new.land.naver.com/complexes/4607?ms=2AfAQG,3zprE6,17&amp;a=APT:ABYG:JGC&amp;b=A1:B1&amp;e=RETAIL&amp;h=34&amp;i=132&amp;l=198&amp;ad=true" TargetMode="External" Id="rId284" /><Relationship Type="http://schemas.openxmlformats.org/officeDocument/2006/relationships/hyperlink" Target="https://new.land.naver.com/complexes/4607?ms=2AfAQG,3zprE6,17&amp;a=APT:ABYG:JGC&amp;b=A1:B1&amp;e=RETAIL&amp;h=34&amp;i=132&amp;l=198&amp;ad=true" TargetMode="External" Id="rId285" /><Relationship Type="http://schemas.openxmlformats.org/officeDocument/2006/relationships/hyperlink" Target="https://new.land.naver.com/complexes/4612?ms=2AfAQG,3zprE6,17&amp;a=APT:ABYG:JGC&amp;b=A1:B1&amp;e=RETAIL&amp;h=34&amp;i=132&amp;l=198&amp;ad=true" TargetMode="External" Id="rId286" /><Relationship Type="http://schemas.openxmlformats.org/officeDocument/2006/relationships/hyperlink" Target="https://new.land.naver.com/complexes/4612?ms=2AfAQG,3zprE6,17&amp;a=APT:ABYG:JGC&amp;b=A1:B1&amp;e=RETAIL&amp;h=34&amp;i=132&amp;l=198&amp;ad=true" TargetMode="External" Id="rId287" /><Relationship Type="http://schemas.openxmlformats.org/officeDocument/2006/relationships/hyperlink" Target="https://new.land.naver.com/complexes/108136?ms=2AfAQG,3zprE6,17&amp;a=APT:ABYG:JGC&amp;b=A1:B1&amp;e=RETAIL&amp;h=34&amp;i=132&amp;l=198&amp;ad=true" TargetMode="External" Id="rId288" /><Relationship Type="http://schemas.openxmlformats.org/officeDocument/2006/relationships/hyperlink" Target="https://new.land.naver.com/complexes/108136?ms=2AfAQG,3zprE6,17&amp;a=APT:ABYG:JGC&amp;b=A1:B1&amp;e=RETAIL&amp;h=34&amp;i=132&amp;l=198&amp;ad=true" TargetMode="External" Id="rId289" /><Relationship Type="http://schemas.openxmlformats.org/officeDocument/2006/relationships/hyperlink" Target="https://new.land.naver.com/complexes/108136?ms=2AfAQG,3zprE6,17&amp;a=APT:ABYG:JGC&amp;b=A1:B1&amp;e=RETAIL&amp;h=34&amp;i=132&amp;l=198&amp;ad=true" TargetMode="External" Id="rId290" /><Relationship Type="http://schemas.openxmlformats.org/officeDocument/2006/relationships/hyperlink" Target="https://new.land.naver.com/complexes/108136?ms=2AfAQG,3zprE6,17&amp;a=APT:ABYG:JGC&amp;b=A1:B1&amp;e=RETAIL&amp;h=34&amp;i=132&amp;l=198&amp;ad=true" TargetMode="External" Id="rId291" /><Relationship Type="http://schemas.openxmlformats.org/officeDocument/2006/relationships/hyperlink" Target="https://new.land.naver.com/complexes/108136?ms=2AfAQG,3zprE6,17&amp;a=APT:ABYG:JGC&amp;b=A1:B1&amp;e=RETAIL&amp;h=34&amp;i=132&amp;l=198&amp;ad=true" TargetMode="External" Id="rId292" /><Relationship Type="http://schemas.openxmlformats.org/officeDocument/2006/relationships/hyperlink" Target="https://new.land.naver.com/complexes/108136?ms=2AfAQG,3zprE6,17&amp;a=APT:ABYG:JGC&amp;b=A1:B1&amp;e=RETAIL&amp;h=34&amp;i=132&amp;l=198&amp;ad=true" TargetMode="External" Id="rId293" /><Relationship Type="http://schemas.openxmlformats.org/officeDocument/2006/relationships/hyperlink" Target="https://new.land.naver.com/complexes/108136?ms=2AfAQG,3zprE6,17&amp;a=APT:ABYG:JGC&amp;b=A1:B1&amp;e=RETAIL&amp;h=34&amp;i=132&amp;l=198&amp;ad=true" TargetMode="External" Id="rId294" /><Relationship Type="http://schemas.openxmlformats.org/officeDocument/2006/relationships/hyperlink" Target="https://new.land.naver.com/complexes/108136?ms=2AfAQG,3zprE6,17&amp;a=APT:ABYG:JGC&amp;b=A1:B1&amp;e=RETAIL&amp;h=34&amp;i=132&amp;l=198&amp;ad=true" TargetMode="External" Id="rId295" /><Relationship Type="http://schemas.openxmlformats.org/officeDocument/2006/relationships/hyperlink" Target="https://new.land.naver.com/complexes/108136?ms=2AfAQG,3zprE6,17&amp;a=APT:ABYG:JGC&amp;b=A1:B1&amp;e=RETAIL&amp;h=34&amp;i=132&amp;l=198&amp;ad=true" TargetMode="External" Id="rId296" /><Relationship Type="http://schemas.openxmlformats.org/officeDocument/2006/relationships/hyperlink" Target="https://new.land.naver.com/complexes/108136?ms=2AfAQG,3zprE6,17&amp;a=APT:ABYG:JGC&amp;b=A1:B1&amp;e=RETAIL&amp;h=34&amp;i=132&amp;l=198&amp;ad=true" TargetMode="External" Id="rId297" /><Relationship Type="http://schemas.openxmlformats.org/officeDocument/2006/relationships/hyperlink" Target="https://new.land.naver.com/complexes/108136?ms=2AfAQG,3zprE6,17&amp;a=APT:ABYG:JGC&amp;b=A1:B1&amp;e=RETAIL&amp;h=34&amp;i=132&amp;l=198&amp;ad=true" TargetMode="External" Id="rId298" /><Relationship Type="http://schemas.openxmlformats.org/officeDocument/2006/relationships/hyperlink" Target="https://new.land.naver.com/complexes/108136?ms=2AfAQG,3zprE6,17&amp;a=APT:ABYG:JGC&amp;b=A1:B1&amp;e=RETAIL&amp;h=34&amp;i=132&amp;l=198&amp;ad=true" TargetMode="External" Id="rId299" /><Relationship Type="http://schemas.openxmlformats.org/officeDocument/2006/relationships/hyperlink" Target="https://new.land.naver.com/complexes/108136?ms=2AfAQG,3zprE6,17&amp;a=APT:ABYG:JGC&amp;b=A1:B1&amp;e=RETAIL&amp;h=34&amp;i=132&amp;l=198&amp;ad=true" TargetMode="External" Id="rId300" /><Relationship Type="http://schemas.openxmlformats.org/officeDocument/2006/relationships/hyperlink" Target="https://new.land.naver.com/complexes/108136?ms=2AfAQG,3zprE6,17&amp;a=APT:ABYG:JGC&amp;b=A1:B1&amp;e=RETAIL&amp;h=34&amp;i=132&amp;l=198&amp;ad=true" TargetMode="External" Id="rId301" /><Relationship Type="http://schemas.openxmlformats.org/officeDocument/2006/relationships/hyperlink" Target="https://new.land.naver.com/complexes/108136?ms=2AfAQG,3zprE6,17&amp;a=APT:ABYG:JGC&amp;b=A1:B1&amp;e=RETAIL&amp;h=34&amp;i=132&amp;l=198&amp;ad=true" TargetMode="External" Id="rId302" /><Relationship Type="http://schemas.openxmlformats.org/officeDocument/2006/relationships/hyperlink" Target="https://new.land.naver.com/complexes/108136?ms=2AfAQG,3zprE6,17&amp;a=APT:ABYG:JGC&amp;b=A1:B1&amp;e=RETAIL&amp;h=34&amp;i=132&amp;l=198&amp;ad=true" TargetMode="External" Id="rId303" /><Relationship Type="http://schemas.openxmlformats.org/officeDocument/2006/relationships/hyperlink" Target="https://new.land.naver.com/complexes/108136?ms=2AfAQG,3zprE6,17&amp;a=APT:ABYG:JGC&amp;b=A1:B1&amp;e=RETAIL&amp;h=34&amp;i=132&amp;l=198&amp;ad=true" TargetMode="External" Id="rId304" /><Relationship Type="http://schemas.openxmlformats.org/officeDocument/2006/relationships/hyperlink" Target="https://new.land.naver.com/complexes/108136?ms=2AfAQG,3zprE6,17&amp;a=APT:ABYG:JGC&amp;b=A1:B1&amp;e=RETAIL&amp;h=34&amp;i=132&amp;l=198&amp;ad=true" TargetMode="External" Id="rId305" /><Relationship Type="http://schemas.openxmlformats.org/officeDocument/2006/relationships/hyperlink" Target="https://new.land.naver.com/complexes/108136?ms=2AfAQG,3zprE6,17&amp;a=APT:ABYG:JGC&amp;b=A1:B1&amp;e=RETAIL&amp;h=34&amp;i=132&amp;l=198&amp;ad=true" TargetMode="External" Id="rId306" /><Relationship Type="http://schemas.openxmlformats.org/officeDocument/2006/relationships/hyperlink" Target="https://new.land.naver.com/complexes/108136?ms=2AfAQG,3zprE6,17&amp;a=APT:ABYG:JGC&amp;b=A1:B1&amp;e=RETAIL&amp;h=34&amp;i=132&amp;l=198&amp;ad=true" TargetMode="External" Id="rId307" /><Relationship Type="http://schemas.openxmlformats.org/officeDocument/2006/relationships/hyperlink" Target="https://new.land.naver.com/complexes/108136?ms=2AfAQG,3zprE6,17&amp;a=APT:ABYG:JGC&amp;b=A1:B1&amp;e=RETAIL&amp;h=34&amp;i=132&amp;l=198&amp;ad=true" TargetMode="External" Id="rId308" /><Relationship Type="http://schemas.openxmlformats.org/officeDocument/2006/relationships/hyperlink" Target="https://new.land.naver.com/complexes/108136?ms=2AfAQG,3zprE6,17&amp;a=APT:ABYG:JGC&amp;b=A1:B1&amp;e=RETAIL&amp;h=34&amp;i=132&amp;l=198&amp;ad=true" TargetMode="External" Id="rId309" /><Relationship Type="http://schemas.openxmlformats.org/officeDocument/2006/relationships/hyperlink" Target="https://new.land.naver.com/complexes/108136?ms=2AfAQG,3zprE6,17&amp;a=APT:ABYG:JGC&amp;b=A1:B1&amp;e=RETAIL&amp;h=34&amp;i=132&amp;l=198&amp;ad=true" TargetMode="External" Id="rId310" /><Relationship Type="http://schemas.openxmlformats.org/officeDocument/2006/relationships/hyperlink" Target="https://new.land.naver.com/complexes/108136?ms=2AfAQG,3zprE6,17&amp;a=APT:ABYG:JGC&amp;b=A1:B1&amp;e=RETAIL&amp;h=34&amp;i=132&amp;l=198&amp;ad=true" TargetMode="External" Id="rId311" /><Relationship Type="http://schemas.openxmlformats.org/officeDocument/2006/relationships/hyperlink" Target="https://new.land.naver.com/complexes/108136?ms=2AfAQG,3zprE6,17&amp;a=APT:ABYG:JGC&amp;b=A1:B1&amp;e=RETAIL&amp;h=34&amp;i=132&amp;l=198&amp;ad=true" TargetMode="External" Id="rId312" /><Relationship Type="http://schemas.openxmlformats.org/officeDocument/2006/relationships/hyperlink" Target="https://new.land.naver.com/complexes/108136?ms=2AfAQG,3zprE6,17&amp;a=APT:ABYG:JGC&amp;b=A1:B1&amp;e=RETAIL&amp;h=34&amp;i=132&amp;l=198&amp;ad=true" TargetMode="External" Id="rId313" /><Relationship Type="http://schemas.openxmlformats.org/officeDocument/2006/relationships/hyperlink" Target="https://new.land.naver.com/complexes/108136?ms=2AfAQG,3zprE6,17&amp;a=APT:ABYG:JGC&amp;b=A1:B1&amp;e=RETAIL&amp;h=34&amp;i=132&amp;l=198&amp;ad=true" TargetMode="External" Id="rId314" /><Relationship Type="http://schemas.openxmlformats.org/officeDocument/2006/relationships/hyperlink" Target="https://new.land.naver.com/complexes/108136?ms=2AfAQG,3zprE6,17&amp;a=APT:ABYG:JGC&amp;b=A1:B1&amp;e=RETAIL&amp;h=34&amp;i=132&amp;l=198&amp;ad=true" TargetMode="External" Id="rId315" /><Relationship Type="http://schemas.openxmlformats.org/officeDocument/2006/relationships/hyperlink" Target="https://new.land.naver.com/complexes/108136?ms=2AfAQG,3zprE6,17&amp;a=APT:ABYG:JGC&amp;b=A1:B1&amp;e=RETAIL&amp;h=34&amp;i=132&amp;l=198&amp;ad=true" TargetMode="External" Id="rId316" /><Relationship Type="http://schemas.openxmlformats.org/officeDocument/2006/relationships/hyperlink" Target="https://new.land.naver.com/complexes/108136?ms=2AfAQG,3zprE6,17&amp;a=APT:ABYG:JGC&amp;b=A1:B1&amp;e=RETAIL&amp;h=34&amp;i=132&amp;l=198&amp;ad=true" TargetMode="External" Id="rId317" /><Relationship Type="http://schemas.openxmlformats.org/officeDocument/2006/relationships/hyperlink" Target="https://new.land.naver.com/complexes/108136?ms=2AfAQG,3zprE6,17&amp;a=APT:ABYG:JGC&amp;b=A1:B1&amp;e=RETAIL&amp;h=34&amp;i=132&amp;l=198&amp;ad=true" TargetMode="External" Id="rId318" /><Relationship Type="http://schemas.openxmlformats.org/officeDocument/2006/relationships/hyperlink" Target="https://new.land.naver.com/complexes/108136?ms=2AfAQG,3zprE6,17&amp;a=APT:ABYG:JGC&amp;b=A1:B1&amp;e=RETAIL&amp;h=34&amp;i=132&amp;l=198&amp;ad=true" TargetMode="External" Id="rId319" /><Relationship Type="http://schemas.openxmlformats.org/officeDocument/2006/relationships/hyperlink" Target="https://new.land.naver.com/complexes/108136?ms=2AfAQG,3zprE6,17&amp;a=APT:ABYG:JGC&amp;b=A1:B1&amp;e=RETAIL&amp;h=34&amp;i=132&amp;l=198&amp;ad=true" TargetMode="External" Id="rId320" /><Relationship Type="http://schemas.openxmlformats.org/officeDocument/2006/relationships/hyperlink" Target="https://new.land.naver.com/complexes/127894?ms=2AfAQG,3zprE6,17&amp;a=APT:ABYG:JGC&amp;b=A1:B1&amp;e=RETAIL&amp;h=34&amp;i=132&amp;l=198&amp;ad=true" TargetMode="External" Id="rId321" /><Relationship Type="http://schemas.openxmlformats.org/officeDocument/2006/relationships/hyperlink" Target="https://new.land.naver.com/complexes/14519?ms=2AfAQG,3zprE6,17&amp;a=APT:ABYG:JGC&amp;b=A1:B1&amp;e=RETAIL&amp;h=34&amp;i=132&amp;l=198&amp;ad=true" TargetMode="External" Id="rId322" /><Relationship Type="http://schemas.openxmlformats.org/officeDocument/2006/relationships/hyperlink" Target="https://new.land.naver.com/complexes/14519?ms=2AfAQG,3zprE6,17&amp;a=APT:ABYG:JGC&amp;b=A1:B1&amp;e=RETAIL&amp;h=34&amp;i=132&amp;l=198&amp;ad=true" TargetMode="External" Id="rId323" /><Relationship Type="http://schemas.openxmlformats.org/officeDocument/2006/relationships/hyperlink" Target="https://new.land.naver.com/complexes/104246?ms=2AfAQG,3zprE6,17&amp;a=APT:ABYG:JGC&amp;b=A1:B1&amp;e=RETAIL&amp;h=34&amp;i=132&amp;l=198&amp;ad=true" TargetMode="External" Id="rId324" /><Relationship Type="http://schemas.openxmlformats.org/officeDocument/2006/relationships/hyperlink" Target="https://new.land.naver.com/complexes/22444?ms=2AfAQG,3zprE6,17&amp;a=APT:ABYG:JGC&amp;b=A1:B1&amp;e=RETAIL&amp;h=34&amp;i=132&amp;l=198&amp;ad=true" TargetMode="External" Id="rId325" /><Relationship Type="http://schemas.openxmlformats.org/officeDocument/2006/relationships/hyperlink" Target="https://new.land.naver.com/complexes/22444?ms=2AfAQG,3zprE6,17&amp;a=APT:ABYG:JGC&amp;b=A1:B1&amp;e=RETAIL&amp;h=34&amp;i=132&amp;l=198&amp;ad=true" TargetMode="External" Id="rId326" /><Relationship Type="http://schemas.openxmlformats.org/officeDocument/2006/relationships/hyperlink" Target="https://new.land.naver.com/complexes/22444?ms=2AfAQG,3zprE6,17&amp;a=APT:ABYG:JGC&amp;b=A1:B1&amp;e=RETAIL&amp;h=34&amp;i=132&amp;l=198&amp;ad=true" TargetMode="External" Id="rId327" /><Relationship Type="http://schemas.openxmlformats.org/officeDocument/2006/relationships/hyperlink" Target="https://new.land.naver.com/complexes/22444?ms=2AfAQG,3zprE6,17&amp;a=APT:ABYG:JGC&amp;b=A1:B1&amp;e=RETAIL&amp;h=34&amp;i=132&amp;l=198&amp;ad=true" TargetMode="External" Id="rId328" /><Relationship Type="http://schemas.openxmlformats.org/officeDocument/2006/relationships/hyperlink" Target="https://new.land.naver.com/complexes/22444?ms=2AfAQG,3zprE6,17&amp;a=APT:ABYG:JGC&amp;b=A1:B1&amp;e=RETAIL&amp;h=34&amp;i=132&amp;l=198&amp;ad=true" TargetMode="External" Id="rId329" /><Relationship Type="http://schemas.openxmlformats.org/officeDocument/2006/relationships/hyperlink" Target="https://new.land.naver.com/complexes/22444?ms=2AfAQG,3zprE6,17&amp;a=APT:ABYG:JGC&amp;b=A1:B1&amp;e=RETAIL&amp;h=34&amp;i=132&amp;l=198&amp;ad=true" TargetMode="External" Id="rId330" /><Relationship Type="http://schemas.openxmlformats.org/officeDocument/2006/relationships/hyperlink" Target="https://new.land.naver.com/complexes/22444?ms=2AfAQG,3zprE6,17&amp;a=APT:ABYG:JGC&amp;b=A1:B1&amp;e=RETAIL&amp;h=34&amp;i=132&amp;l=198&amp;ad=true" TargetMode="External" Id="rId331" /><Relationship Type="http://schemas.openxmlformats.org/officeDocument/2006/relationships/hyperlink" Target="https://new.land.naver.com/complexes/22444?ms=2AfAQG,3zprE6,17&amp;a=APT:ABYG:JGC&amp;b=A1:B1&amp;e=RETAIL&amp;h=34&amp;i=132&amp;l=198&amp;ad=true" TargetMode="External" Id="rId332" /><Relationship Type="http://schemas.openxmlformats.org/officeDocument/2006/relationships/hyperlink" Target="https://new.land.naver.com/complexes/22444?ms=2AfAQG,3zprE6,17&amp;a=APT:ABYG:JGC&amp;b=A1:B1&amp;e=RETAIL&amp;h=34&amp;i=132&amp;l=198&amp;ad=true" TargetMode="External" Id="rId333" /><Relationship Type="http://schemas.openxmlformats.org/officeDocument/2006/relationships/hyperlink" Target="https://new.land.naver.com/complexes/22444?ms=2AfAQG,3zprE6,17&amp;a=APT:ABYG:JGC&amp;b=A1:B1&amp;e=RETAIL&amp;h=34&amp;i=132&amp;l=198&amp;ad=true" TargetMode="External" Id="rId334" /><Relationship Type="http://schemas.openxmlformats.org/officeDocument/2006/relationships/hyperlink" Target="https://new.land.naver.com/complexes/22444?ms=2AfAQG,3zprE6,17&amp;a=APT:ABYG:JGC&amp;b=A1:B1&amp;e=RETAIL&amp;h=34&amp;i=132&amp;l=198&amp;ad=true" TargetMode="External" Id="rId335" /><Relationship Type="http://schemas.openxmlformats.org/officeDocument/2006/relationships/hyperlink" Target="https://new.land.naver.com/complexes/15882?ms=2AfAQG,3zprE6,17&amp;a=APT:ABYG:JGC&amp;b=A1:B1&amp;e=RETAIL&amp;h=34&amp;i=132&amp;l=198&amp;ad=true" TargetMode="External" Id="rId336" /><Relationship Type="http://schemas.openxmlformats.org/officeDocument/2006/relationships/hyperlink" Target="https://new.land.naver.com/complexes/4633?ms=2AfAQG,3zprE6,17&amp;a=APT:ABYG:JGC&amp;b=A1:B1&amp;e=RETAIL&amp;h=34&amp;i=132&amp;l=198&amp;ad=true" TargetMode="External" Id="rId337" /><Relationship Type="http://schemas.openxmlformats.org/officeDocument/2006/relationships/hyperlink" Target="https://new.land.naver.com/complexes/4633?ms=2AfAQG,3zprE6,17&amp;a=APT:ABYG:JGC&amp;b=A1:B1&amp;e=RETAIL&amp;h=34&amp;i=132&amp;l=198&amp;ad=true" TargetMode="External" Id="rId338" /><Relationship Type="http://schemas.openxmlformats.org/officeDocument/2006/relationships/hyperlink" Target="https://new.land.naver.com/complexes/4633?ms=2AfAQG,3zprE6,17&amp;a=APT:ABYG:JGC&amp;b=A1:B1&amp;e=RETAIL&amp;h=34&amp;i=132&amp;l=198&amp;ad=true" TargetMode="External" Id="rId339" /><Relationship Type="http://schemas.openxmlformats.org/officeDocument/2006/relationships/hyperlink" Target="https://new.land.naver.com/complexes/13513?ms=2AfAQG,3zprE6,17&amp;a=APT:ABYG:JGC&amp;b=A1:B1&amp;e=RETAIL&amp;h=34&amp;i=132&amp;l=198&amp;ad=true" TargetMode="External" Id="rId340" /><Relationship Type="http://schemas.openxmlformats.org/officeDocument/2006/relationships/hyperlink" Target="https://new.land.naver.com/complexes/4646?ms=2AfAQG,3zprE6,17&amp;a=APT:ABYG:JGC&amp;b=A1:B1&amp;e=RETAIL&amp;h=34&amp;i=132&amp;l=198&amp;ad=true" TargetMode="External" Id="rId341" /><Relationship Type="http://schemas.openxmlformats.org/officeDocument/2006/relationships/hyperlink" Target="https://new.land.naver.com/complexes/4647?ms=2AfAQG,3zprE6,17&amp;a=APT:ABYG:JGC&amp;b=A1:B1&amp;e=RETAIL&amp;h=34&amp;i=132&amp;l=198&amp;ad=true" TargetMode="External" Id="rId342" /><Relationship Type="http://schemas.openxmlformats.org/officeDocument/2006/relationships/hyperlink" Target="https://new.land.naver.com/complexes/4650?ms=2AfAQG,3zprE6,17&amp;a=APT:ABYG:JGC&amp;b=A1:B1&amp;e=RETAIL&amp;h=34&amp;i=132&amp;l=198&amp;ad=true" TargetMode="External" Id="rId343" /><Relationship Type="http://schemas.openxmlformats.org/officeDocument/2006/relationships/hyperlink" Target="https://new.land.naver.com/complexes/4650?ms=2AfAQG,3zprE6,17&amp;a=APT:ABYG:JGC&amp;b=A1:B1&amp;e=RETAIL&amp;h=34&amp;i=132&amp;l=198&amp;ad=true" TargetMode="External" Id="rId344" /><Relationship Type="http://schemas.openxmlformats.org/officeDocument/2006/relationships/hyperlink" Target="https://new.land.naver.com/complexes/4650?ms=2AfAQG,3zprE6,17&amp;a=APT:ABYG:JGC&amp;b=A1:B1&amp;e=RETAIL&amp;h=34&amp;i=132&amp;l=198&amp;ad=true" TargetMode="External" Id="rId345" /><Relationship Type="http://schemas.openxmlformats.org/officeDocument/2006/relationships/hyperlink" Target="https://new.land.naver.com/complexes/4725?ms=2AfAQG,3zprE6,17&amp;a=APT:ABYG:JGC&amp;b=A1:B1&amp;e=RETAIL&amp;h=34&amp;i=132&amp;l=198&amp;ad=true" TargetMode="External" Id="rId346" /><Relationship Type="http://schemas.openxmlformats.org/officeDocument/2006/relationships/hyperlink" Target="https://new.land.naver.com/complexes/4725?ms=2AfAQG,3zprE6,17&amp;a=APT:ABYG:JGC&amp;b=A1:B1&amp;e=RETAIL&amp;h=34&amp;i=132&amp;l=198&amp;ad=true" TargetMode="External" Id="rId347" /><Relationship Type="http://schemas.openxmlformats.org/officeDocument/2006/relationships/hyperlink" Target="https://new.land.naver.com/complexes/4725?ms=2AfAQG,3zprE6,17&amp;a=APT:ABYG:JGC&amp;b=A1:B1&amp;e=RETAIL&amp;h=34&amp;i=132&amp;l=198&amp;ad=true" TargetMode="External" Id="rId348" /><Relationship Type="http://schemas.openxmlformats.org/officeDocument/2006/relationships/hyperlink" Target="https://new.land.naver.com/complexes/4725?ms=2AfAQG,3zprE6,17&amp;a=APT:ABYG:JGC&amp;b=A1:B1&amp;e=RETAIL&amp;h=34&amp;i=132&amp;l=198&amp;ad=true" TargetMode="External" Id="rId349" /><Relationship Type="http://schemas.openxmlformats.org/officeDocument/2006/relationships/hyperlink" Target="https://new.land.naver.com/complexes/4725?ms=2AfAQG,3zprE6,17&amp;a=APT:ABYG:JGC&amp;b=A1:B1&amp;e=RETAIL&amp;h=34&amp;i=132&amp;l=198&amp;ad=true" TargetMode="External" Id="rId350" /><Relationship Type="http://schemas.openxmlformats.org/officeDocument/2006/relationships/hyperlink" Target="https://new.land.naver.com/complexes/161277?ms=2AfAQG,3zprE6,17&amp;a=APT:ABYG:JGC&amp;b=A1:B1&amp;e=RETAIL&amp;h=34&amp;i=132&amp;l=198&amp;ad=true" TargetMode="External" Id="rId351" /><Relationship Type="http://schemas.openxmlformats.org/officeDocument/2006/relationships/hyperlink" Target="https://new.land.naver.com/complexes/4737?ms=2AfAQG,3zprE6,17&amp;a=APT:ABYG:JGC&amp;b=A1:B1&amp;e=RETAIL&amp;h=34&amp;i=132&amp;l=198&amp;ad=true" TargetMode="External" Id="rId352" /><Relationship Type="http://schemas.openxmlformats.org/officeDocument/2006/relationships/hyperlink" Target="https://new.land.naver.com/complexes/4737?ms=2AfAQG,3zprE6,17&amp;a=APT:ABYG:JGC&amp;b=A1:B1&amp;e=RETAIL&amp;h=34&amp;i=132&amp;l=198&amp;ad=true" TargetMode="External" Id="rId353" /><Relationship Type="http://schemas.openxmlformats.org/officeDocument/2006/relationships/hyperlink" Target="https://new.land.naver.com/complexes/11242?ms=2AfAQG,3zprE6,17&amp;a=APT:ABYG:JGC&amp;b=A1:B1&amp;e=RETAIL&amp;h=34&amp;i=132&amp;l=198&amp;ad=true" TargetMode="External" Id="rId354" /><Relationship Type="http://schemas.openxmlformats.org/officeDocument/2006/relationships/hyperlink" Target="https://new.land.naver.com/complexes/4731?ms=2AfAQG,3zprE6,17&amp;a=APT:ABYG:JGC&amp;b=A1:B1&amp;e=RETAIL&amp;h=34&amp;i=132&amp;l=198&amp;ad=true" TargetMode="External" Id="rId355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new.land.naver.com/complexes/154302?ms=2AfAQG,3zprE6,17&amp;a=APT:ABYG:JGC&amp;b=A1:B1&amp;e=RETAIL&amp;h=34&amp;i=132&amp;l=198&amp;ad=true" TargetMode="External" Id="rId1" /><Relationship Type="http://schemas.openxmlformats.org/officeDocument/2006/relationships/hyperlink" Target="https://new.land.naver.com/complexes/154302?ms=2AfAQG,3zprE6,17&amp;a=APT:ABYG:JGC&amp;b=A1:B1&amp;e=RETAIL&amp;h=34&amp;i=132&amp;l=198&amp;ad=true" TargetMode="External" Id="rId2" /><Relationship Type="http://schemas.openxmlformats.org/officeDocument/2006/relationships/hyperlink" Target="https://new.land.naver.com/complexes/154302?ms=2AfAQG,3zprE6,17&amp;a=APT:ABYG:JGC&amp;b=A1:B1&amp;e=RETAIL&amp;h=34&amp;i=132&amp;l=198&amp;ad=true" TargetMode="External" Id="rId3" /><Relationship Type="http://schemas.openxmlformats.org/officeDocument/2006/relationships/hyperlink" Target="https://new.land.naver.com/complexes/127133?ms=2AfAQG,3zprE6,17&amp;a=APT:ABYG:JGC&amp;b=A1:B1&amp;e=RETAIL&amp;h=34&amp;i=132&amp;l=198&amp;ad=true" TargetMode="External" Id="rId4" /><Relationship Type="http://schemas.openxmlformats.org/officeDocument/2006/relationships/hyperlink" Target="https://new.land.naver.com/complexes/7770?ms=2AfAQG,3zprE6,17&amp;a=APT:ABYG:JGC&amp;b=A1:B1&amp;e=RETAIL&amp;h=34&amp;i=132&amp;l=198&amp;ad=true" TargetMode="External" Id="rId5" /><Relationship Type="http://schemas.openxmlformats.org/officeDocument/2006/relationships/hyperlink" Target="https://new.land.naver.com/complexes/119208?ms=2AfAQG,3zprE6,17&amp;a=APT:ABYG:JGC&amp;b=A1:B1&amp;e=RETAIL&amp;h=34&amp;i=132&amp;l=198&amp;ad=true" TargetMode="External" Id="rId6" /><Relationship Type="http://schemas.openxmlformats.org/officeDocument/2006/relationships/hyperlink" Target="https://new.land.naver.com/complexes/24896?ms=2AfAQG,3zprE6,17&amp;a=APT:ABYG:JGC&amp;b=A1:B1&amp;e=RETAIL&amp;h=34&amp;i=132&amp;l=198&amp;ad=true" TargetMode="External" Id="rId7" /><Relationship Type="http://schemas.openxmlformats.org/officeDocument/2006/relationships/hyperlink" Target="https://new.land.naver.com/complexes/114752?ms=2AfAQG,3zprE6,17&amp;a=APT:ABYG:JGC&amp;b=A1:B1&amp;e=RETAIL&amp;h=34&amp;i=132&amp;l=198&amp;ad=true" TargetMode="External" Id="rId8" /><Relationship Type="http://schemas.openxmlformats.org/officeDocument/2006/relationships/hyperlink" Target="https://new.land.naver.com/complexes/7914?ms=2AfAQG,3zprE6,17&amp;a=APT:ABYG:JGC&amp;b=A1:B1&amp;e=RETAIL&amp;h=34&amp;i=132&amp;l=198&amp;ad=true" TargetMode="External" Id="rId9" /><Relationship Type="http://schemas.openxmlformats.org/officeDocument/2006/relationships/hyperlink" Target="https://new.land.naver.com/complexes/154302?ms=2AfAQG,3zprE6,17&amp;a=APT:ABYG:JGC&amp;b=A1:B1&amp;e=RETAIL&amp;h=34&amp;i=132&amp;l=198&amp;ad=true" TargetMode="External" Id="rId10" /><Relationship Type="http://schemas.openxmlformats.org/officeDocument/2006/relationships/hyperlink" Target="https://new.land.naver.com/complexes/7717?ms=2AfAQG,3zprE6,17&amp;a=APT:ABYG:JGC&amp;b=A1:B1&amp;e=RETAIL&amp;h=34&amp;i=132&amp;l=198&amp;ad=true" TargetMode="External" Id="rId11" /><Relationship Type="http://schemas.openxmlformats.org/officeDocument/2006/relationships/hyperlink" Target="https://new.land.naver.com/complexes/127133?ms=2AfAQG,3zprE6,17&amp;a=APT:ABYG:JGC&amp;b=A1:B1&amp;e=RETAIL&amp;h=34&amp;i=132&amp;l=198&amp;ad=true" TargetMode="External" Id="rId12" /><Relationship Type="http://schemas.openxmlformats.org/officeDocument/2006/relationships/hyperlink" Target="https://new.land.naver.com/complexes/7770?ms=2AfAQG,3zprE6,17&amp;a=APT:ABYG:JGC&amp;b=A1:B1&amp;e=RETAIL&amp;h=34&amp;i=132&amp;l=198&amp;ad=true" TargetMode="External" Id="rId13" /><Relationship Type="http://schemas.openxmlformats.org/officeDocument/2006/relationships/hyperlink" Target="https://new.land.naver.com/complexes/104037?ms=2AfAQG,3zprE6,17&amp;a=APT:ABYG:JGC&amp;b=A1:B1&amp;e=RETAIL&amp;h=34&amp;i=132&amp;l=198&amp;ad=true" TargetMode="External" Id="rId14" /><Relationship Type="http://schemas.openxmlformats.org/officeDocument/2006/relationships/hyperlink" Target="https://new.land.naver.com/complexes/119208?ms=2AfAQG,3zprE6,17&amp;a=APT:ABYG:JGC&amp;b=A1:B1&amp;e=RETAIL&amp;h=34&amp;i=132&amp;l=198&amp;ad=true" TargetMode="External" Id="rId15" /><Relationship Type="http://schemas.openxmlformats.org/officeDocument/2006/relationships/hyperlink" Target="https://new.land.naver.com/complexes/7770?ms=2AfAQG,3zprE6,17&amp;a=APT:ABYG:JGC&amp;b=A1:B1&amp;e=RETAIL&amp;h=34&amp;i=132&amp;l=198&amp;ad=true" TargetMode="External" Id="rId16" /><Relationship Type="http://schemas.openxmlformats.org/officeDocument/2006/relationships/hyperlink" Target="https://new.land.naver.com/complexes/7717?ms=2AfAQG,3zprE6,17&amp;a=APT:ABYG:JGC&amp;b=A1:B1&amp;e=RETAIL&amp;h=34&amp;i=132&amp;l=198&amp;ad=true" TargetMode="External" Id="rId17" /><Relationship Type="http://schemas.openxmlformats.org/officeDocument/2006/relationships/hyperlink" Target="https://new.land.naver.com/complexes/119208?ms=2AfAQG,3zprE6,17&amp;a=APT:ABYG:JGC&amp;b=A1:B1&amp;e=RETAIL&amp;h=34&amp;i=132&amp;l=198&amp;ad=true" TargetMode="External" Id="rId18" /><Relationship Type="http://schemas.openxmlformats.org/officeDocument/2006/relationships/hyperlink" Target="https://new.land.naver.com/complexes/103401?ms=2AfAQG,3zprE6,17&amp;a=APT:ABYG:JGC&amp;b=A1:B1&amp;e=RETAIL&amp;h=34&amp;i=132&amp;l=198&amp;ad=true" TargetMode="External" Id="rId19" /><Relationship Type="http://schemas.openxmlformats.org/officeDocument/2006/relationships/hyperlink" Target="https://new.land.naver.com/complexes/108274?ms=2AfAQG,3zprE6,17&amp;a=APT:ABYG:JGC&amp;b=A1:B1&amp;e=RETAIL&amp;h=34&amp;i=132&amp;l=198&amp;ad=true" TargetMode="External" Id="rId20" /><Relationship Type="http://schemas.openxmlformats.org/officeDocument/2006/relationships/hyperlink" Target="https://new.land.naver.com/complexes/117979?ms=2AfAQG,3zprE6,17&amp;a=APT:ABYG:JGC&amp;b=A1:B1&amp;e=RETAIL&amp;h=34&amp;i=132&amp;l=198&amp;ad=true" TargetMode="External" Id="rId21" /><Relationship Type="http://schemas.openxmlformats.org/officeDocument/2006/relationships/hyperlink" Target="https://new.land.naver.com/complexes/103401?ms=2AfAQG,3zprE6,17&amp;a=APT:ABYG:JGC&amp;b=A1:B1&amp;e=RETAIL&amp;h=34&amp;i=132&amp;l=198&amp;ad=true" TargetMode="External" Id="rId22" /><Relationship Type="http://schemas.openxmlformats.org/officeDocument/2006/relationships/hyperlink" Target="https://new.land.naver.com/complexes/7770?ms=2AfAQG,3zprE6,17&amp;a=APT:ABYG:JGC&amp;b=A1:B1&amp;e=RETAIL&amp;h=34&amp;i=132&amp;l=198&amp;ad=true" TargetMode="External" Id="rId23" /><Relationship Type="http://schemas.openxmlformats.org/officeDocument/2006/relationships/hyperlink" Target="https://new.land.naver.com/complexes/7914?ms=2AfAQG,3zprE6,17&amp;a=APT:ABYG:JGC&amp;b=A1:B1&amp;e=RETAIL&amp;h=34&amp;i=132&amp;l=198&amp;ad=true" TargetMode="External" Id="rId24" /><Relationship Type="http://schemas.openxmlformats.org/officeDocument/2006/relationships/hyperlink" Target="https://new.land.naver.com/complexes/10383?ms=2AfAQG,3zprE6,17&amp;a=APT:ABYG:JGC&amp;b=A1:B1&amp;e=RETAIL&amp;h=34&amp;i=132&amp;l=198&amp;ad=true" TargetMode="External" Id="rId25" /><Relationship Type="http://schemas.openxmlformats.org/officeDocument/2006/relationships/hyperlink" Target="https://new.land.naver.com/complexes/117980?ms=2AfAQG,3zprE6,17&amp;a=APT:ABYG:JGC&amp;b=A1:B1&amp;e=RETAIL&amp;h=34&amp;i=132&amp;l=198&amp;ad=true" TargetMode="External" Id="rId26" /><Relationship Type="http://schemas.openxmlformats.org/officeDocument/2006/relationships/hyperlink" Target="https://new.land.naver.com/complexes/111463?ms=2AfAQG,3zprE6,17&amp;a=APT:ABYG:JGC&amp;b=A1:B1&amp;e=RETAIL&amp;h=34&amp;i=132&amp;l=198&amp;ad=true" TargetMode="External" Id="rId27" /><Relationship Type="http://schemas.openxmlformats.org/officeDocument/2006/relationships/hyperlink" Target="https://new.land.naver.com/complexes/111463?ms=2AfAQG,3zprE6,17&amp;a=APT:ABYG:JGC&amp;b=A1:B1&amp;e=RETAIL&amp;h=34&amp;i=132&amp;l=198&amp;ad=true" TargetMode="External" Id="rId28" /><Relationship Type="http://schemas.openxmlformats.org/officeDocument/2006/relationships/hyperlink" Target="https://new.land.naver.com/complexes/7914?ms=2AfAQG,3zprE6,17&amp;a=APT:ABYG:JGC&amp;b=A1:B1&amp;e=RETAIL&amp;h=34&amp;i=132&amp;l=198&amp;ad=true" TargetMode="External" Id="rId29" /><Relationship Type="http://schemas.openxmlformats.org/officeDocument/2006/relationships/hyperlink" Target="https://new.land.naver.com/complexes/7717?ms=2AfAQG,3zprE6,17&amp;a=APT:ABYG:JGC&amp;b=A1:B1&amp;e=RETAIL&amp;h=34&amp;i=132&amp;l=198&amp;ad=true" TargetMode="External" Id="rId30" /><Relationship Type="http://schemas.openxmlformats.org/officeDocument/2006/relationships/hyperlink" Target="https://new.land.naver.com/complexes/19305?ms=2AfAQG,3zprE6,17&amp;a=APT:ABYG:JGC&amp;b=A1:B1&amp;e=RETAIL&amp;h=34&amp;i=132&amp;l=198&amp;ad=true" TargetMode="External" Id="rId31" /><Relationship Type="http://schemas.openxmlformats.org/officeDocument/2006/relationships/hyperlink" Target="https://new.land.naver.com/complexes/108276?ms=2AfAQG,3zprE6,17&amp;a=APT:ABYG:JGC&amp;b=A1:B1&amp;e=RETAIL&amp;h=34&amp;i=132&amp;l=198&amp;ad=true" TargetMode="External" Id="rId32" /><Relationship Type="http://schemas.openxmlformats.org/officeDocument/2006/relationships/hyperlink" Target="https://new.land.naver.com/complexes/7770?ms=2AfAQG,3zprE6,17&amp;a=APT:ABYG:JGC&amp;b=A1:B1&amp;e=RETAIL&amp;h=34&amp;i=132&amp;l=198&amp;ad=true" TargetMode="External" Id="rId33" /><Relationship Type="http://schemas.openxmlformats.org/officeDocument/2006/relationships/hyperlink" Target="https://new.land.naver.com/complexes/103803?ms=2AfAQG,3zprE6,17&amp;a=APT:ABYG:JGC&amp;b=A1:B1&amp;e=RETAIL&amp;h=34&amp;i=132&amp;l=198&amp;ad=true" TargetMode="External" Id="rId34" /><Relationship Type="http://schemas.openxmlformats.org/officeDocument/2006/relationships/hyperlink" Target="https://new.land.naver.com/complexes/11792?ms=2AfAQG,3zprE6,17&amp;a=APT:ABYG:JGC&amp;b=A1:B1&amp;e=RETAIL&amp;h=34&amp;i=132&amp;l=198&amp;ad=true" TargetMode="External" Id="rId35" /><Relationship Type="http://schemas.openxmlformats.org/officeDocument/2006/relationships/hyperlink" Target="https://new.land.naver.com/complexes/7717?ms=2AfAQG,3zprE6,17&amp;a=APT:ABYG:JGC&amp;b=A1:B1&amp;e=RETAIL&amp;h=34&amp;i=132&amp;l=198&amp;ad=true" TargetMode="External" Id="rId36" /><Relationship Type="http://schemas.openxmlformats.org/officeDocument/2006/relationships/hyperlink" Target="https://new.land.naver.com/complexes/103803?ms=2AfAQG,3zprE6,17&amp;a=APT:ABYG:JGC&amp;b=A1:B1&amp;e=RETAIL&amp;h=34&amp;i=132&amp;l=198&amp;ad=true" TargetMode="External" Id="rId37" /><Relationship Type="http://schemas.openxmlformats.org/officeDocument/2006/relationships/hyperlink" Target="https://new.land.naver.com/complexes/111463?ms=2AfAQG,3zprE6,17&amp;a=APT:ABYG:JGC&amp;b=A1:B1&amp;e=RETAIL&amp;h=34&amp;i=132&amp;l=198&amp;ad=true" TargetMode="External" Id="rId38" /><Relationship Type="http://schemas.openxmlformats.org/officeDocument/2006/relationships/hyperlink" Target="https://new.land.naver.com/complexes/9904?ms=2AfAQG,3zprE6,17&amp;a=APT:ABYG:JGC&amp;b=A1:B1&amp;e=RETAIL&amp;h=34&amp;i=132&amp;l=198&amp;ad=true" TargetMode="External" Id="rId39" /><Relationship Type="http://schemas.openxmlformats.org/officeDocument/2006/relationships/hyperlink" Target="https://new.land.naver.com/complexes/7888?ms=2AfAQG,3zprE6,17&amp;a=APT:ABYG:JGC&amp;b=A1:B1&amp;e=RETAIL&amp;h=34&amp;i=132&amp;l=198&amp;ad=true" TargetMode="External" Id="rId40" /><Relationship Type="http://schemas.openxmlformats.org/officeDocument/2006/relationships/hyperlink" Target="https://new.land.naver.com/complexes/7650?ms=2AfAQG,3zprE6,17&amp;a=APT:ABYG:JGC&amp;b=A1:B1&amp;e=RETAIL&amp;h=34&amp;i=132&amp;l=198&amp;ad=true" TargetMode="External" Id="rId41" /><Relationship Type="http://schemas.openxmlformats.org/officeDocument/2006/relationships/hyperlink" Target="https://new.land.naver.com/complexes/9904?ms=2AfAQG,3zprE6,17&amp;a=APT:ABYG:JGC&amp;b=A1:B1&amp;e=RETAIL&amp;h=34&amp;i=132&amp;l=198&amp;ad=true" TargetMode="External" Id="rId42" /><Relationship Type="http://schemas.openxmlformats.org/officeDocument/2006/relationships/hyperlink" Target="https://new.land.naver.com/complexes/7650?ms=2AfAQG,3zprE6,17&amp;a=APT:ABYG:JGC&amp;b=A1:B1&amp;e=RETAIL&amp;h=34&amp;i=132&amp;l=198&amp;ad=true" TargetMode="External" Id="rId43" /><Relationship Type="http://schemas.openxmlformats.org/officeDocument/2006/relationships/hyperlink" Target="https://new.land.naver.com/complexes/127133?ms=2AfAQG,3zprE6,17&amp;a=APT:ABYG:JGC&amp;b=A1:B1&amp;e=RETAIL&amp;h=34&amp;i=132&amp;l=198&amp;ad=true" TargetMode="External" Id="rId44" /><Relationship Type="http://schemas.openxmlformats.org/officeDocument/2006/relationships/hyperlink" Target="https://new.land.naver.com/complexes/109225?ms=2AfAQG,3zprE6,17&amp;a=APT:ABYG:JGC&amp;b=A1:B1&amp;e=RETAIL&amp;h=34&amp;i=132&amp;l=198&amp;ad=true" TargetMode="External" Id="rId45" /><Relationship Type="http://schemas.openxmlformats.org/officeDocument/2006/relationships/hyperlink" Target="https://new.land.naver.com/complexes/7509?ms=2AfAQG,3zprE6,17&amp;a=APT:ABYG:JGC&amp;b=A1:B1&amp;e=RETAIL&amp;h=34&amp;i=132&amp;l=198&amp;ad=true" TargetMode="External" Id="rId46" /><Relationship Type="http://schemas.openxmlformats.org/officeDocument/2006/relationships/hyperlink" Target="https://new.land.naver.com/complexes/7363?ms=2AfAQG,3zprE6,17&amp;a=APT:ABYG:JGC&amp;b=A1:B1&amp;e=RETAIL&amp;h=34&amp;i=132&amp;l=198&amp;ad=true" TargetMode="External" Id="rId47" /><Relationship Type="http://schemas.openxmlformats.org/officeDocument/2006/relationships/hyperlink" Target="https://new.land.naver.com/complexes/7888?ms=2AfAQG,3zprE6,17&amp;a=APT:ABYG:JGC&amp;b=A1:B1&amp;e=RETAIL&amp;h=34&amp;i=132&amp;l=198&amp;ad=true" TargetMode="External" Id="rId48" /><Relationship Type="http://schemas.openxmlformats.org/officeDocument/2006/relationships/hyperlink" Target="https://new.land.naver.com/complexes/9884?ms=2AfAQG,3zprE6,17&amp;a=APT:ABYG:JGC&amp;b=A1:B1&amp;e=RETAIL&amp;h=34&amp;i=132&amp;l=198&amp;ad=true" TargetMode="External" Id="rId49" /><Relationship Type="http://schemas.openxmlformats.org/officeDocument/2006/relationships/hyperlink" Target="https://new.land.naver.com/complexes/109225?ms=2AfAQG,3zprE6,17&amp;a=APT:ABYG:JGC&amp;b=A1:B1&amp;e=RETAIL&amp;h=34&amp;i=132&amp;l=198&amp;ad=true" TargetMode="External" Id="rId50" /><Relationship Type="http://schemas.openxmlformats.org/officeDocument/2006/relationships/hyperlink" Target="https://new.land.naver.com/complexes/9884?ms=2AfAQG,3zprE6,17&amp;a=APT:ABYG:JGC&amp;b=A1:B1&amp;e=RETAIL&amp;h=34&amp;i=132&amp;l=198&amp;ad=true" TargetMode="External" Id="rId51" /><Relationship Type="http://schemas.openxmlformats.org/officeDocument/2006/relationships/hyperlink" Target="https://new.land.naver.com/complexes/7881?ms=2AfAQG,3zprE6,17&amp;a=APT:ABYG:JGC&amp;b=A1:B1&amp;e=RETAIL&amp;h=34&amp;i=132&amp;l=198&amp;ad=true" TargetMode="External" Id="rId52" /><Relationship Type="http://schemas.openxmlformats.org/officeDocument/2006/relationships/hyperlink" Target="https://new.land.naver.com/complexes/7363?ms=2AfAQG,3zprE6,17&amp;a=APT:ABYG:JGC&amp;b=A1:B1&amp;e=RETAIL&amp;h=34&amp;i=132&amp;l=198&amp;ad=true" TargetMode="External" Id="rId53" /><Relationship Type="http://schemas.openxmlformats.org/officeDocument/2006/relationships/hyperlink" Target="https://new.land.naver.com/complexes/7509?ms=2AfAQG,3zprE6,17&amp;a=APT:ABYG:JGC&amp;b=A1:B1&amp;e=RETAIL&amp;h=34&amp;i=132&amp;l=198&amp;ad=true" TargetMode="External" Id="rId54" /><Relationship Type="http://schemas.openxmlformats.org/officeDocument/2006/relationships/hyperlink" Target="https://new.land.naver.com/complexes/7887?ms=2AfAQG,3zprE6,17&amp;a=APT:ABYG:JGC&amp;b=A1:B1&amp;e=RETAIL&amp;h=34&amp;i=132&amp;l=198&amp;ad=true" TargetMode="External" Id="rId55" /><Relationship Type="http://schemas.openxmlformats.org/officeDocument/2006/relationships/hyperlink" Target="https://new.land.naver.com/complexes/7878?ms=2AfAQG,3zprE6,17&amp;a=APT:ABYG:JGC&amp;b=A1:B1&amp;e=RETAIL&amp;h=34&amp;i=132&amp;l=198&amp;ad=true" TargetMode="External" Id="rId56" /><Relationship Type="http://schemas.openxmlformats.org/officeDocument/2006/relationships/hyperlink" Target="https://new.land.naver.com/complexes/7878?ms=2AfAQG,3zprE6,17&amp;a=APT:ABYG:JGC&amp;b=A1:B1&amp;e=RETAIL&amp;h=34&amp;i=132&amp;l=198&amp;ad=true" TargetMode="External" Id="rId57" /><Relationship Type="http://schemas.openxmlformats.org/officeDocument/2006/relationships/hyperlink" Target="https://new.land.naver.com/complexes/7878?ms=2AfAQG,3zprE6,17&amp;a=APT:ABYG:JGC&amp;b=A1:B1&amp;e=RETAIL&amp;h=34&amp;i=132&amp;l=198&amp;ad=true" TargetMode="External" Id="rId58" /><Relationship Type="http://schemas.openxmlformats.org/officeDocument/2006/relationships/hyperlink" Target="https://new.land.naver.com/complexes/104037?ms=2AfAQG,3zprE6,17&amp;a=APT:ABYG:JGC&amp;b=A1:B1&amp;e=RETAIL&amp;h=34&amp;i=132&amp;l=198&amp;ad=true" TargetMode="External" Id="rId59" /><Relationship Type="http://schemas.openxmlformats.org/officeDocument/2006/relationships/hyperlink" Target="https://new.land.naver.com/complexes/14059?ms=2AfAQG,3zprE6,17&amp;a=APT:ABYG:JGC&amp;b=A1:B1&amp;e=RETAIL&amp;h=34&amp;i=132&amp;l=198&amp;ad=true" TargetMode="External" Id="rId60" /><Relationship Type="http://schemas.openxmlformats.org/officeDocument/2006/relationships/hyperlink" Target="https://new.land.naver.com/complexes/14059?ms=2AfAQG,3zprE6,17&amp;a=APT:ABYG:JGC&amp;b=A1:B1&amp;e=RETAIL&amp;h=34&amp;i=132&amp;l=198&amp;ad=true" TargetMode="External" Id="rId61" /><Relationship Type="http://schemas.openxmlformats.org/officeDocument/2006/relationships/hyperlink" Target="https://new.land.naver.com/complexes/14059?ms=2AfAQG,3zprE6,17&amp;a=APT:ABYG:JGC&amp;b=A1:B1&amp;e=RETAIL&amp;h=34&amp;i=132&amp;l=198&amp;ad=true" TargetMode="External" Id="rId62" /><Relationship Type="http://schemas.openxmlformats.org/officeDocument/2006/relationships/hyperlink" Target="https://new.land.naver.com/complexes/19136?ms=2AfAQG,3zprE6,17&amp;a=APT:ABYG:JGC&amp;b=A1:B1&amp;e=RETAIL&amp;h=34&amp;i=132&amp;l=198&amp;ad=true" TargetMode="External" Id="rId63" /><Relationship Type="http://schemas.openxmlformats.org/officeDocument/2006/relationships/hyperlink" Target="https://new.land.naver.com/complexes/19136?ms=2AfAQG,3zprE6,17&amp;a=APT:ABYG:JGC&amp;b=A1:B1&amp;e=RETAIL&amp;h=34&amp;i=132&amp;l=198&amp;ad=true" TargetMode="External" Id="rId64" /><Relationship Type="http://schemas.openxmlformats.org/officeDocument/2006/relationships/hyperlink" Target="https://new.land.naver.com/complexes/19136?ms=2AfAQG,3zprE6,17&amp;a=APT:ABYG:JGC&amp;b=A1:B1&amp;e=RETAIL&amp;h=34&amp;i=132&amp;l=198&amp;ad=true" TargetMode="External" Id="rId65" /><Relationship Type="http://schemas.openxmlformats.org/officeDocument/2006/relationships/hyperlink" Target="https://new.land.naver.com/complexes/19136?ms=2AfAQG,3zprE6,17&amp;a=APT:ABYG:JGC&amp;b=A1:B1&amp;e=RETAIL&amp;h=34&amp;i=132&amp;l=198&amp;ad=true" TargetMode="External" Id="rId66" /><Relationship Type="http://schemas.openxmlformats.org/officeDocument/2006/relationships/hyperlink" Target="https://new.land.naver.com/complexes/119208?ms=2AfAQG,3zprE6,17&amp;a=APT:ABYG:JGC&amp;b=A1:B1&amp;e=RETAIL&amp;h=34&amp;i=132&amp;l=198&amp;ad=true" TargetMode="External" Id="rId67" /><Relationship Type="http://schemas.openxmlformats.org/officeDocument/2006/relationships/hyperlink" Target="https://new.land.naver.com/complexes/7363?ms=2AfAQG,3zprE6,17&amp;a=APT:ABYG:JGC&amp;b=A1:B1&amp;e=RETAIL&amp;h=34&amp;i=132&amp;l=198&amp;ad=true" TargetMode="External" Id="rId68" /><Relationship Type="http://schemas.openxmlformats.org/officeDocument/2006/relationships/hyperlink" Target="https://new.land.naver.com/complexes/104037?ms=2AfAQG,3zprE6,17&amp;a=APT:ABYG:JGC&amp;b=A1:B1&amp;e=RETAIL&amp;h=34&amp;i=132&amp;l=198&amp;ad=true" TargetMode="External" Id="rId69" /><Relationship Type="http://schemas.openxmlformats.org/officeDocument/2006/relationships/hyperlink" Target="https://new.land.naver.com/complexes/104037?ms=2AfAQG,3zprE6,17&amp;a=APT:ABYG:JGC&amp;b=A1:B1&amp;e=RETAIL&amp;h=34&amp;i=132&amp;l=198&amp;ad=true" TargetMode="External" Id="rId70" /><Relationship Type="http://schemas.openxmlformats.org/officeDocument/2006/relationships/hyperlink" Target="https://new.land.naver.com/complexes/104037?ms=2AfAQG,3zprE6,17&amp;a=APT:ABYG:JGC&amp;b=A1:B1&amp;e=RETAIL&amp;h=34&amp;i=132&amp;l=198&amp;ad=true" TargetMode="External" Id="rId71" /><Relationship Type="http://schemas.openxmlformats.org/officeDocument/2006/relationships/hyperlink" Target="https://new.land.naver.com/complexes/104037?ms=2AfAQG,3zprE6,17&amp;a=APT:ABYG:JGC&amp;b=A1:B1&amp;e=RETAIL&amp;h=34&amp;i=132&amp;l=198&amp;ad=true" TargetMode="External" Id="rId72" /><Relationship Type="http://schemas.openxmlformats.org/officeDocument/2006/relationships/hyperlink" Target="https://new.land.naver.com/complexes/104037?ms=2AfAQG,3zprE6,17&amp;a=APT:ABYG:JGC&amp;b=A1:B1&amp;e=RETAIL&amp;h=34&amp;i=132&amp;l=198&amp;ad=true" TargetMode="External" Id="rId73" /><Relationship Type="http://schemas.openxmlformats.org/officeDocument/2006/relationships/hyperlink" Target="https://new.land.naver.com/complexes/7509?ms=2AfAQG,3zprE6,17&amp;a=APT:ABYG:JGC&amp;b=A1:B1&amp;e=RETAIL&amp;h=34&amp;i=132&amp;l=198&amp;ad=true" TargetMode="External" Id="rId74" /><Relationship Type="http://schemas.openxmlformats.org/officeDocument/2006/relationships/hyperlink" Target="https://new.land.naver.com/complexes/114752?ms=2AfAQG,3zprE6,17&amp;a=APT:ABYG:JGC&amp;b=A1:B1&amp;e=RETAIL&amp;h=34&amp;i=132&amp;l=198&amp;ad=true" TargetMode="External" Id="rId75" /><Relationship Type="http://schemas.openxmlformats.org/officeDocument/2006/relationships/hyperlink" Target="https://new.land.naver.com/complexes/7650?ms=2AfAQG,3zprE6,17&amp;a=APT:ABYG:JGC&amp;b=A1:B1&amp;e=RETAIL&amp;h=34&amp;i=132&amp;l=198&amp;ad=true" TargetMode="External" Id="rId76" /><Relationship Type="http://schemas.openxmlformats.org/officeDocument/2006/relationships/hyperlink" Target="https://new.land.naver.com/complexes/7650?ms=2AfAQG,3zprE6,17&amp;a=APT:ABYG:JGC&amp;b=A1:B1&amp;e=RETAIL&amp;h=34&amp;i=132&amp;l=198&amp;ad=true" TargetMode="External" Id="rId77" /><Relationship Type="http://schemas.openxmlformats.org/officeDocument/2006/relationships/hyperlink" Target="https://new.land.naver.com/complexes/7650?ms=2AfAQG,3zprE6,17&amp;a=APT:ABYG:JGC&amp;b=A1:B1&amp;e=RETAIL&amp;h=34&amp;i=132&amp;l=198&amp;ad=true" TargetMode="External" Id="rId78" /><Relationship Type="http://schemas.openxmlformats.org/officeDocument/2006/relationships/hyperlink" Target="https://new.land.naver.com/complexes/154302?ms=2AfAQG,3zprE6,17&amp;a=APT:ABYG:JGC&amp;b=A1:B1&amp;e=RETAIL&amp;h=34&amp;i=132&amp;l=198&amp;ad=true" TargetMode="External" Id="rId79" /><Relationship Type="http://schemas.openxmlformats.org/officeDocument/2006/relationships/hyperlink" Target="https://new.land.naver.com/complexes/154302?ms=2AfAQG,3zprE6,17&amp;a=APT:ABYG:JGC&amp;b=A1:B1&amp;e=RETAIL&amp;h=34&amp;i=132&amp;l=198&amp;ad=true" TargetMode="External" Id="rId80" /><Relationship Type="http://schemas.openxmlformats.org/officeDocument/2006/relationships/hyperlink" Target="https://new.land.naver.com/complexes/154302?ms=2AfAQG,3zprE6,17&amp;a=APT:ABYG:JGC&amp;b=A1:B1&amp;e=RETAIL&amp;h=34&amp;i=132&amp;l=198&amp;ad=true" TargetMode="External" Id="rId81" /><Relationship Type="http://schemas.openxmlformats.org/officeDocument/2006/relationships/hyperlink" Target="https://new.land.naver.com/complexes/154302?ms=2AfAQG,3zprE6,17&amp;a=APT:ABYG:JGC&amp;b=A1:B1&amp;e=RETAIL&amp;h=34&amp;i=132&amp;l=198&amp;ad=true" TargetMode="External" Id="rId82" /><Relationship Type="http://schemas.openxmlformats.org/officeDocument/2006/relationships/hyperlink" Target="https://new.land.naver.com/complexes/154302?ms=2AfAQG,3zprE6,17&amp;a=APT:ABYG:JGC&amp;b=A1:B1&amp;e=RETAIL&amp;h=34&amp;i=132&amp;l=198&amp;ad=true" TargetMode="External" Id="rId83" /><Relationship Type="http://schemas.openxmlformats.org/officeDocument/2006/relationships/hyperlink" Target="https://new.land.naver.com/complexes/154302?ms=2AfAQG,3zprE6,17&amp;a=APT:ABYG:JGC&amp;b=A1:B1&amp;e=RETAIL&amp;h=34&amp;i=132&amp;l=198&amp;ad=true" TargetMode="External" Id="rId84" /><Relationship Type="http://schemas.openxmlformats.org/officeDocument/2006/relationships/hyperlink" Target="https://new.land.naver.com/complexes/24896?ms=2AfAQG,3zprE6,17&amp;a=APT:ABYG:JGC&amp;b=A1:B1&amp;e=RETAIL&amp;h=34&amp;i=132&amp;l=198&amp;ad=true" TargetMode="External" Id="rId85" /><Relationship Type="http://schemas.openxmlformats.org/officeDocument/2006/relationships/hyperlink" Target="https://new.land.naver.com/complexes/24896?ms=2AfAQG,3zprE6,17&amp;a=APT:ABYG:JGC&amp;b=A1:B1&amp;e=RETAIL&amp;h=34&amp;i=132&amp;l=198&amp;ad=true" TargetMode="External" Id="rId86" /><Relationship Type="http://schemas.openxmlformats.org/officeDocument/2006/relationships/hyperlink" Target="https://new.land.naver.com/complexes/24896?ms=2AfAQG,3zprE6,17&amp;a=APT:ABYG:JGC&amp;b=A1:B1&amp;e=RETAIL&amp;h=34&amp;i=132&amp;l=198&amp;ad=true" TargetMode="External" Id="rId87" /><Relationship Type="http://schemas.openxmlformats.org/officeDocument/2006/relationships/hyperlink" Target="https://new.land.naver.com/complexes/24896?ms=2AfAQG,3zprE6,17&amp;a=APT:ABYG:JGC&amp;b=A1:B1&amp;e=RETAIL&amp;h=34&amp;i=132&amp;l=198&amp;ad=true" TargetMode="External" Id="rId88" /><Relationship Type="http://schemas.openxmlformats.org/officeDocument/2006/relationships/hyperlink" Target="https://new.land.naver.com/complexes/24896?ms=2AfAQG,3zprE6,17&amp;a=APT:ABYG:JGC&amp;b=A1:B1&amp;e=RETAIL&amp;h=34&amp;i=132&amp;l=198&amp;ad=true" TargetMode="External" Id="rId89" /><Relationship Type="http://schemas.openxmlformats.org/officeDocument/2006/relationships/hyperlink" Target="https://new.land.naver.com/complexes/24896?ms=2AfAQG,3zprE6,17&amp;a=APT:ABYG:JGC&amp;b=A1:B1&amp;e=RETAIL&amp;h=34&amp;i=132&amp;l=198&amp;ad=true" TargetMode="External" Id="rId90" /><Relationship Type="http://schemas.openxmlformats.org/officeDocument/2006/relationships/hyperlink" Target="https://new.land.naver.com/complexes/24896?ms=2AfAQG,3zprE6,17&amp;a=APT:ABYG:JGC&amp;b=A1:B1&amp;e=RETAIL&amp;h=34&amp;i=132&amp;l=198&amp;ad=true" TargetMode="External" Id="rId91" /><Relationship Type="http://schemas.openxmlformats.org/officeDocument/2006/relationships/hyperlink" Target="https://new.land.naver.com/complexes/24896?ms=2AfAQG,3zprE6,17&amp;a=APT:ABYG:JGC&amp;b=A1:B1&amp;e=RETAIL&amp;h=34&amp;i=132&amp;l=198&amp;ad=true" TargetMode="External" Id="rId92" /><Relationship Type="http://schemas.openxmlformats.org/officeDocument/2006/relationships/hyperlink" Target="https://new.land.naver.com/complexes/24896?ms=2AfAQG,3zprE6,17&amp;a=APT:ABYG:JGC&amp;b=A1:B1&amp;e=RETAIL&amp;h=34&amp;i=132&amp;l=198&amp;ad=true" TargetMode="External" Id="rId93" /><Relationship Type="http://schemas.openxmlformats.org/officeDocument/2006/relationships/hyperlink" Target="https://new.land.naver.com/complexes/7717?ms=2AfAQG,3zprE6,17&amp;a=APT:ABYG:JGC&amp;b=A1:B1&amp;e=RETAIL&amp;h=34&amp;i=132&amp;l=198&amp;ad=true" TargetMode="External" Id="rId94" /><Relationship Type="http://schemas.openxmlformats.org/officeDocument/2006/relationships/hyperlink" Target="https://new.land.naver.com/complexes/7717?ms=2AfAQG,3zprE6,17&amp;a=APT:ABYG:JGC&amp;b=A1:B1&amp;e=RETAIL&amp;h=34&amp;i=132&amp;l=198&amp;ad=true" TargetMode="External" Id="rId95" /><Relationship Type="http://schemas.openxmlformats.org/officeDocument/2006/relationships/hyperlink" Target="https://new.land.naver.com/complexes/7717?ms=2AfAQG,3zprE6,17&amp;a=APT:ABYG:JGC&amp;b=A1:B1&amp;e=RETAIL&amp;h=34&amp;i=132&amp;l=198&amp;ad=true" TargetMode="External" Id="rId96" /><Relationship Type="http://schemas.openxmlformats.org/officeDocument/2006/relationships/hyperlink" Target="https://new.land.naver.com/complexes/7717?ms=2AfAQG,3zprE6,17&amp;a=APT:ABYG:JGC&amp;b=A1:B1&amp;e=RETAIL&amp;h=34&amp;i=132&amp;l=198&amp;ad=true" TargetMode="External" Id="rId97" /><Relationship Type="http://schemas.openxmlformats.org/officeDocument/2006/relationships/hyperlink" Target="https://new.land.naver.com/complexes/7717?ms=2AfAQG,3zprE6,17&amp;a=APT:ABYG:JGC&amp;b=A1:B1&amp;e=RETAIL&amp;h=34&amp;i=132&amp;l=198&amp;ad=true" TargetMode="External" Id="rId98" /><Relationship Type="http://schemas.openxmlformats.org/officeDocument/2006/relationships/hyperlink" Target="https://new.land.naver.com/complexes/127133?ms=2AfAQG,3zprE6,17&amp;a=APT:ABYG:JGC&amp;b=A1:B1&amp;e=RETAIL&amp;h=34&amp;i=132&amp;l=198&amp;ad=true" TargetMode="External" Id="rId99" /><Relationship Type="http://schemas.openxmlformats.org/officeDocument/2006/relationships/hyperlink" Target="https://new.land.naver.com/complexes/127133?ms=2AfAQG,3zprE6,17&amp;a=APT:ABYG:JGC&amp;b=A1:B1&amp;e=RETAIL&amp;h=34&amp;i=132&amp;l=198&amp;ad=true" TargetMode="External" Id="rId100" /><Relationship Type="http://schemas.openxmlformats.org/officeDocument/2006/relationships/hyperlink" Target="https://new.land.naver.com/complexes/127133?ms=2AfAQG,3zprE6,17&amp;a=APT:ABYG:JGC&amp;b=A1:B1&amp;e=RETAIL&amp;h=34&amp;i=132&amp;l=198&amp;ad=true" TargetMode="External" Id="rId101" /><Relationship Type="http://schemas.openxmlformats.org/officeDocument/2006/relationships/hyperlink" Target="https://new.land.naver.com/complexes/7770?ms=2AfAQG,3zprE6,17&amp;a=APT:ABYG:JGC&amp;b=A1:B1&amp;e=RETAIL&amp;h=34&amp;i=132&amp;l=198&amp;ad=true" TargetMode="External" Id="rId102" /><Relationship Type="http://schemas.openxmlformats.org/officeDocument/2006/relationships/hyperlink" Target="https://new.land.naver.com/complexes/7770?ms=2AfAQG,3zprE6,17&amp;a=APT:ABYG:JGC&amp;b=A1:B1&amp;e=RETAIL&amp;h=34&amp;i=132&amp;l=198&amp;ad=true" TargetMode="External" Id="rId103" /><Relationship Type="http://schemas.openxmlformats.org/officeDocument/2006/relationships/hyperlink" Target="https://new.land.naver.com/complexes/7770?ms=2AfAQG,3zprE6,17&amp;a=APT:ABYG:JGC&amp;b=A1:B1&amp;e=RETAIL&amp;h=34&amp;i=132&amp;l=198&amp;ad=true" TargetMode="External" Id="rId104" /><Relationship Type="http://schemas.openxmlformats.org/officeDocument/2006/relationships/hyperlink" Target="https://new.land.naver.com/complexes/7770?ms=2AfAQG,3zprE6,17&amp;a=APT:ABYG:JGC&amp;b=A1:B1&amp;e=RETAIL&amp;h=34&amp;i=132&amp;l=198&amp;ad=true" TargetMode="External" Id="rId105" /><Relationship Type="http://schemas.openxmlformats.org/officeDocument/2006/relationships/hyperlink" Target="https://new.land.naver.com/complexes/19305?ms=2AfAQG,3zprE6,17&amp;a=APT:ABYG:JGC&amp;b=A1:B1&amp;e=RETAIL&amp;h=34&amp;i=132&amp;l=198&amp;ad=true" TargetMode="External" Id="rId106" /><Relationship Type="http://schemas.openxmlformats.org/officeDocument/2006/relationships/hyperlink" Target="https://new.land.naver.com/complexes/19305?ms=2AfAQG,3zprE6,17&amp;a=APT:ABYG:JGC&amp;b=A1:B1&amp;e=RETAIL&amp;h=34&amp;i=132&amp;l=198&amp;ad=true" TargetMode="External" Id="rId107" /><Relationship Type="http://schemas.openxmlformats.org/officeDocument/2006/relationships/hyperlink" Target="https://new.land.naver.com/complexes/19305?ms=2AfAQG,3zprE6,17&amp;a=APT:ABYG:JGC&amp;b=A1:B1&amp;e=RETAIL&amp;h=34&amp;i=132&amp;l=198&amp;ad=true" TargetMode="External" Id="rId108" /><Relationship Type="http://schemas.openxmlformats.org/officeDocument/2006/relationships/hyperlink" Target="https://new.land.naver.com/complexes/19305?ms=2AfAQG,3zprE6,17&amp;a=APT:ABYG:JGC&amp;b=A1:B1&amp;e=RETAIL&amp;h=34&amp;i=132&amp;l=198&amp;ad=true" TargetMode="External" Id="rId109" /><Relationship Type="http://schemas.openxmlformats.org/officeDocument/2006/relationships/hyperlink" Target="https://new.land.naver.com/complexes/19305?ms=2AfAQG,3zprE6,17&amp;a=APT:ABYG:JGC&amp;b=A1:B1&amp;e=RETAIL&amp;h=34&amp;i=132&amp;l=198&amp;ad=true" TargetMode="External" Id="rId110" /><Relationship Type="http://schemas.openxmlformats.org/officeDocument/2006/relationships/hyperlink" Target="https://new.land.naver.com/complexes/19305?ms=2AfAQG,3zprE6,17&amp;a=APT:ABYG:JGC&amp;b=A1:B1&amp;e=RETAIL&amp;h=34&amp;i=132&amp;l=198&amp;ad=true" TargetMode="External" Id="rId111" /><Relationship Type="http://schemas.openxmlformats.org/officeDocument/2006/relationships/hyperlink" Target="https://new.land.naver.com/complexes/7878?ms=2AfAQG,3zprE6,17&amp;a=APT:ABYG:JGC&amp;b=A1:B1&amp;e=RETAIL&amp;h=34&amp;i=132&amp;l=198&amp;ad=true" TargetMode="External" Id="rId112" /><Relationship Type="http://schemas.openxmlformats.org/officeDocument/2006/relationships/hyperlink" Target="https://new.land.naver.com/complexes/7878?ms=2AfAQG,3zprE6,17&amp;a=APT:ABYG:JGC&amp;b=A1:B1&amp;e=RETAIL&amp;h=34&amp;i=132&amp;l=198&amp;ad=true" TargetMode="External" Id="rId113" /><Relationship Type="http://schemas.openxmlformats.org/officeDocument/2006/relationships/hyperlink" Target="https://new.land.naver.com/complexes/7878?ms=2AfAQG,3zprE6,17&amp;a=APT:ABYG:JGC&amp;b=A1:B1&amp;e=RETAIL&amp;h=34&amp;i=132&amp;l=198&amp;ad=true" TargetMode="External" Id="rId114" /><Relationship Type="http://schemas.openxmlformats.org/officeDocument/2006/relationships/hyperlink" Target="https://new.land.naver.com/complexes/109225?ms=2AfAQG,3zprE6,17&amp;a=APT:ABYG:JGC&amp;b=A1:B1&amp;e=RETAIL&amp;h=34&amp;i=132&amp;l=198&amp;ad=true" TargetMode="External" Id="rId115" /><Relationship Type="http://schemas.openxmlformats.org/officeDocument/2006/relationships/hyperlink" Target="https://new.land.naver.com/complexes/7881?ms=2AfAQG,3zprE6,17&amp;a=APT:ABYG:JGC&amp;b=A1:B1&amp;e=RETAIL&amp;h=34&amp;i=132&amp;l=198&amp;ad=true" TargetMode="External" Id="rId116" /><Relationship Type="http://schemas.openxmlformats.org/officeDocument/2006/relationships/hyperlink" Target="https://new.land.naver.com/complexes/7881?ms=2AfAQG,3zprE6,17&amp;a=APT:ABYG:JGC&amp;b=A1:B1&amp;e=RETAIL&amp;h=34&amp;i=132&amp;l=198&amp;ad=true" TargetMode="External" Id="rId117" /><Relationship Type="http://schemas.openxmlformats.org/officeDocument/2006/relationships/hyperlink" Target="https://new.land.naver.com/complexes/7881?ms=2AfAQG,3zprE6,17&amp;a=APT:ABYG:JGC&amp;b=A1:B1&amp;e=RETAIL&amp;h=34&amp;i=132&amp;l=198&amp;ad=true" TargetMode="External" Id="rId118" /><Relationship Type="http://schemas.openxmlformats.org/officeDocument/2006/relationships/hyperlink" Target="https://new.land.naver.com/complexes/7881?ms=2AfAQG,3zprE6,17&amp;a=APT:ABYG:JGC&amp;b=A1:B1&amp;e=RETAIL&amp;h=34&amp;i=132&amp;l=198&amp;ad=true" TargetMode="External" Id="rId119" /><Relationship Type="http://schemas.openxmlformats.org/officeDocument/2006/relationships/hyperlink" Target="https://new.land.naver.com/complexes/7881?ms=2AfAQG,3zprE6,17&amp;a=APT:ABYG:JGC&amp;b=A1:B1&amp;e=RETAIL&amp;h=34&amp;i=132&amp;l=198&amp;ad=true" TargetMode="External" Id="rId120" /><Relationship Type="http://schemas.openxmlformats.org/officeDocument/2006/relationships/hyperlink" Target="https://new.land.naver.com/complexes/9885?ms=2AfAQG,3zprE6,17&amp;a=APT:ABYG:JGC&amp;b=A1:B1&amp;e=RETAIL&amp;h=34&amp;i=132&amp;l=198&amp;ad=true" TargetMode="External" Id="rId121" /><Relationship Type="http://schemas.openxmlformats.org/officeDocument/2006/relationships/hyperlink" Target="https://new.land.naver.com/complexes/11005?ms=2AfAQG,3zprE6,17&amp;a=APT:ABYG:JGC&amp;b=A1:B1&amp;e=RETAIL&amp;h=34&amp;i=132&amp;l=198&amp;ad=true" TargetMode="External" Id="rId122" /><Relationship Type="http://schemas.openxmlformats.org/officeDocument/2006/relationships/hyperlink" Target="https://new.land.naver.com/complexes/7887?ms=2AfAQG,3zprE6,17&amp;a=APT:ABYG:JGC&amp;b=A1:B1&amp;e=RETAIL&amp;h=34&amp;i=132&amp;l=198&amp;ad=true" TargetMode="External" Id="rId123" /><Relationship Type="http://schemas.openxmlformats.org/officeDocument/2006/relationships/hyperlink" Target="https://new.land.naver.com/complexes/7887?ms=2AfAQG,3zprE6,17&amp;a=APT:ABYG:JGC&amp;b=A1:B1&amp;e=RETAIL&amp;h=34&amp;i=132&amp;l=198&amp;ad=true" TargetMode="External" Id="rId124" /><Relationship Type="http://schemas.openxmlformats.org/officeDocument/2006/relationships/hyperlink" Target="https://new.land.naver.com/complexes/117979?ms=2AfAQG,3zprE6,17&amp;a=APT:ABYG:JGC&amp;b=A1:B1&amp;e=RETAIL&amp;h=34&amp;i=132&amp;l=198&amp;ad=true" TargetMode="External" Id="rId125" /><Relationship Type="http://schemas.openxmlformats.org/officeDocument/2006/relationships/hyperlink" Target="https://new.land.naver.com/complexes/117979?ms=2AfAQG,3zprE6,17&amp;a=APT:ABYG:JGC&amp;b=A1:B1&amp;e=RETAIL&amp;h=34&amp;i=132&amp;l=198&amp;ad=true" TargetMode="External" Id="rId126" /><Relationship Type="http://schemas.openxmlformats.org/officeDocument/2006/relationships/hyperlink" Target="https://new.land.naver.com/complexes/117979?ms=2AfAQG,3zprE6,17&amp;a=APT:ABYG:JGC&amp;b=A1:B1&amp;e=RETAIL&amp;h=34&amp;i=132&amp;l=198&amp;ad=true" TargetMode="External" Id="rId127" /><Relationship Type="http://schemas.openxmlformats.org/officeDocument/2006/relationships/hyperlink" Target="https://new.land.naver.com/complexes/117979?ms=2AfAQG,3zprE6,17&amp;a=APT:ABYG:JGC&amp;b=A1:B1&amp;e=RETAIL&amp;h=34&amp;i=132&amp;l=198&amp;ad=true" TargetMode="External" Id="rId128" /><Relationship Type="http://schemas.openxmlformats.org/officeDocument/2006/relationships/hyperlink" Target="https://new.land.naver.com/complexes/117980?ms=2AfAQG,3zprE6,17&amp;a=APT:ABYG:JGC&amp;b=A1:B1&amp;e=RETAIL&amp;h=34&amp;i=132&amp;l=198&amp;ad=true" TargetMode="External" Id="rId129" /><Relationship Type="http://schemas.openxmlformats.org/officeDocument/2006/relationships/hyperlink" Target="https://new.land.naver.com/complexes/117980?ms=2AfAQG,3zprE6,17&amp;a=APT:ABYG:JGC&amp;b=A1:B1&amp;e=RETAIL&amp;h=34&amp;i=132&amp;l=198&amp;ad=true" TargetMode="External" Id="rId130" /><Relationship Type="http://schemas.openxmlformats.org/officeDocument/2006/relationships/hyperlink" Target="https://new.land.naver.com/complexes/117980?ms=2AfAQG,3zprE6,17&amp;a=APT:ABYG:JGC&amp;b=A1:B1&amp;e=RETAIL&amp;h=34&amp;i=132&amp;l=198&amp;ad=true" TargetMode="External" Id="rId131" /><Relationship Type="http://schemas.openxmlformats.org/officeDocument/2006/relationships/hyperlink" Target="https://new.land.naver.com/complexes/117980?ms=2AfAQG,3zprE6,17&amp;a=APT:ABYG:JGC&amp;b=A1:B1&amp;e=RETAIL&amp;h=34&amp;i=132&amp;l=198&amp;ad=true" TargetMode="External" Id="rId132" /><Relationship Type="http://schemas.openxmlformats.org/officeDocument/2006/relationships/hyperlink" Target="https://new.land.naver.com/complexes/11792?ms=2AfAQG,3zprE6,17&amp;a=APT:ABYG:JGC&amp;b=A1:B1&amp;e=RETAIL&amp;h=34&amp;i=132&amp;l=198&amp;ad=true" TargetMode="External" Id="rId133" /><Relationship Type="http://schemas.openxmlformats.org/officeDocument/2006/relationships/hyperlink" Target="https://new.land.naver.com/complexes/11792?ms=2AfAQG,3zprE6,17&amp;a=APT:ABYG:JGC&amp;b=A1:B1&amp;e=RETAIL&amp;h=34&amp;i=132&amp;l=198&amp;ad=true" TargetMode="External" Id="rId134" /><Relationship Type="http://schemas.openxmlformats.org/officeDocument/2006/relationships/hyperlink" Target="https://new.land.naver.com/complexes/11792?ms=2AfAQG,3zprE6,17&amp;a=APT:ABYG:JGC&amp;b=A1:B1&amp;e=RETAIL&amp;h=34&amp;i=132&amp;l=198&amp;ad=true" TargetMode="External" Id="rId135" /><Relationship Type="http://schemas.openxmlformats.org/officeDocument/2006/relationships/hyperlink" Target="https://new.land.naver.com/complexes/103401?ms=2AfAQG,3zprE6,17&amp;a=APT:ABYG:JGC&amp;b=A1:B1&amp;e=RETAIL&amp;h=34&amp;i=132&amp;l=198&amp;ad=true" TargetMode="External" Id="rId136" /><Relationship Type="http://schemas.openxmlformats.org/officeDocument/2006/relationships/hyperlink" Target="https://new.land.naver.com/complexes/103401?ms=2AfAQG,3zprE6,17&amp;a=APT:ABYG:JGC&amp;b=A1:B1&amp;e=RETAIL&amp;h=34&amp;i=132&amp;l=198&amp;ad=true" TargetMode="External" Id="rId137" /><Relationship Type="http://schemas.openxmlformats.org/officeDocument/2006/relationships/hyperlink" Target="https://new.land.naver.com/complexes/103401?ms=2AfAQG,3zprE6,17&amp;a=APT:ABYG:JGC&amp;b=A1:B1&amp;e=RETAIL&amp;h=34&amp;i=132&amp;l=198&amp;ad=true" TargetMode="External" Id="rId138" /><Relationship Type="http://schemas.openxmlformats.org/officeDocument/2006/relationships/hyperlink" Target="https://new.land.naver.com/complexes/103401?ms=2AfAQG,3zprE6,17&amp;a=APT:ABYG:JGC&amp;b=A1:B1&amp;e=RETAIL&amp;h=34&amp;i=132&amp;l=198&amp;ad=true" TargetMode="External" Id="rId139" /><Relationship Type="http://schemas.openxmlformats.org/officeDocument/2006/relationships/hyperlink" Target="https://new.land.naver.com/complexes/108274?ms=2AfAQG,3zprE6,17&amp;a=APT:ABYG:JGC&amp;b=A1:B1&amp;e=RETAIL&amp;h=34&amp;i=132&amp;l=198&amp;ad=true" TargetMode="External" Id="rId140" /><Relationship Type="http://schemas.openxmlformats.org/officeDocument/2006/relationships/hyperlink" Target="https://new.land.naver.com/complexes/108274?ms=2AfAQG,3zprE6,17&amp;a=APT:ABYG:JGC&amp;b=A1:B1&amp;e=RETAIL&amp;h=34&amp;i=132&amp;l=198&amp;ad=true" TargetMode="External" Id="rId141" /><Relationship Type="http://schemas.openxmlformats.org/officeDocument/2006/relationships/hyperlink" Target="https://new.land.naver.com/complexes/106850?ms=2AfAQG,3zprE6,17&amp;a=APT:ABYG:JGC&amp;b=A1:B1&amp;e=RETAIL&amp;h=34&amp;i=132&amp;l=198&amp;ad=true" TargetMode="External" Id="rId142" /><Relationship Type="http://schemas.openxmlformats.org/officeDocument/2006/relationships/hyperlink" Target="https://new.land.naver.com/complexes/9904?ms=2AfAQG,3zprE6,17&amp;a=APT:ABYG:JGC&amp;b=A1:B1&amp;e=RETAIL&amp;h=34&amp;i=132&amp;l=198&amp;ad=true" TargetMode="External" Id="rId143" /><Relationship Type="http://schemas.openxmlformats.org/officeDocument/2006/relationships/hyperlink" Target="https://new.land.naver.com/complexes/9904?ms=2AfAQG,3zprE6,17&amp;a=APT:ABYG:JGC&amp;b=A1:B1&amp;e=RETAIL&amp;h=34&amp;i=132&amp;l=198&amp;ad=true" TargetMode="External" Id="rId144" /><Relationship Type="http://schemas.openxmlformats.org/officeDocument/2006/relationships/hyperlink" Target="https://new.land.naver.com/complexes/9904?ms=2AfAQG,3zprE6,17&amp;a=APT:ABYG:JGC&amp;b=A1:B1&amp;e=RETAIL&amp;h=34&amp;i=132&amp;l=198&amp;ad=true" TargetMode="External" Id="rId145" /><Relationship Type="http://schemas.openxmlformats.org/officeDocument/2006/relationships/hyperlink" Target="https://new.land.naver.com/complexes/9904?ms=2AfAQG,3zprE6,17&amp;a=APT:ABYG:JGC&amp;b=A1:B1&amp;e=RETAIL&amp;h=34&amp;i=132&amp;l=198&amp;ad=true" TargetMode="External" Id="rId146" /><Relationship Type="http://schemas.openxmlformats.org/officeDocument/2006/relationships/hyperlink" Target="https://new.land.naver.com/complexes/7888?ms=2AfAQG,3zprE6,17&amp;a=APT:ABYG:JGC&amp;b=A1:B1&amp;e=RETAIL&amp;h=34&amp;i=132&amp;l=198&amp;ad=true" TargetMode="External" Id="rId147" /><Relationship Type="http://schemas.openxmlformats.org/officeDocument/2006/relationships/hyperlink" Target="https://new.land.naver.com/complexes/10383?ms=2AfAQG,3zprE6,17&amp;a=APT:ABYG:JGC&amp;b=A1:B1&amp;e=RETAIL&amp;h=34&amp;i=132&amp;l=198&amp;ad=true" TargetMode="External" Id="rId148" /><Relationship Type="http://schemas.openxmlformats.org/officeDocument/2006/relationships/hyperlink" Target="https://new.land.naver.com/complexes/10383?ms=2AfAQG,3zprE6,17&amp;a=APT:ABYG:JGC&amp;b=A1:B1&amp;e=RETAIL&amp;h=34&amp;i=132&amp;l=198&amp;ad=true" TargetMode="External" Id="rId149" /><Relationship Type="http://schemas.openxmlformats.org/officeDocument/2006/relationships/hyperlink" Target="https://new.land.naver.com/complexes/10383?ms=2AfAQG,3zprE6,17&amp;a=APT:ABYG:JGC&amp;b=A1:B1&amp;e=RETAIL&amp;h=34&amp;i=132&amp;l=198&amp;ad=true" TargetMode="External" Id="rId150" /><Relationship Type="http://schemas.openxmlformats.org/officeDocument/2006/relationships/hyperlink" Target="https://new.land.naver.com/complexes/7914?ms=2AfAQG,3zprE6,17&amp;a=APT:ABYG:JGC&amp;b=A1:B1&amp;e=RETAIL&amp;h=34&amp;i=132&amp;l=198&amp;ad=true" TargetMode="External" Id="rId151" /><Relationship Type="http://schemas.openxmlformats.org/officeDocument/2006/relationships/hyperlink" Target="https://new.land.naver.com/complexes/7914?ms=2AfAQG,3zprE6,17&amp;a=APT:ABYG:JGC&amp;b=A1:B1&amp;e=RETAIL&amp;h=34&amp;i=132&amp;l=198&amp;ad=true" TargetMode="External" Id="rId152" /></Relationships>
</file>

<file path=xl/worksheets/_rels/sheet6.xml.rels><Relationships xmlns="http://schemas.openxmlformats.org/package/2006/relationships"><Relationship Type="http://schemas.openxmlformats.org/officeDocument/2006/relationships/hyperlink" Target="https://new.land.naver.com/complexes/16761?ms=2AfAQG,3zprE6,17&amp;a=APT:ABYG:JGC&amp;b=A1:B1&amp;e=RETAIL&amp;h=34&amp;i=132&amp;l=198&amp;ad=true" TargetMode="External" Id="rId1" /><Relationship Type="http://schemas.openxmlformats.org/officeDocument/2006/relationships/hyperlink" Target="https://new.land.naver.com/complexes/112175?ms=2AfAQG,3zprE6,17&amp;a=APT:ABYG:JGC&amp;b=A1:B1&amp;e=RETAIL&amp;h=34&amp;i=132&amp;l=198&amp;ad=true" TargetMode="External" Id="rId2" /><Relationship Type="http://schemas.openxmlformats.org/officeDocument/2006/relationships/hyperlink" Target="https://new.land.naver.com/complexes/112175?ms=2AfAQG,3zprE6,17&amp;a=APT:ABYG:JGC&amp;b=A1:B1&amp;e=RETAIL&amp;h=34&amp;i=132&amp;l=198&amp;ad=true" TargetMode="External" Id="rId3" /><Relationship Type="http://schemas.openxmlformats.org/officeDocument/2006/relationships/hyperlink" Target="https://new.land.naver.com/complexes/109672?ms=2AfAQG,3zprE6,17&amp;a=APT:ABYG:JGC&amp;b=A1:B1&amp;e=RETAIL&amp;h=34&amp;i=132&amp;l=198&amp;ad=true" TargetMode="External" Id="rId4" /><Relationship Type="http://schemas.openxmlformats.org/officeDocument/2006/relationships/hyperlink" Target="https://new.land.naver.com/complexes/109672?ms=2AfAQG,3zprE6,17&amp;a=APT:ABYG:JGC&amp;b=A1:B1&amp;e=RETAIL&amp;h=34&amp;i=132&amp;l=198&amp;ad=true" TargetMode="External" Id="rId5" /><Relationship Type="http://schemas.openxmlformats.org/officeDocument/2006/relationships/hyperlink" Target="https://new.land.naver.com/complexes/109672?ms=2AfAQG,3zprE6,17&amp;a=APT:ABYG:JGC&amp;b=A1:B1&amp;e=RETAIL&amp;h=34&amp;i=132&amp;l=198&amp;ad=true" TargetMode="External" Id="rId6" /><Relationship Type="http://schemas.openxmlformats.org/officeDocument/2006/relationships/hyperlink" Target="https://new.land.naver.com/complexes/109672?ms=2AfAQG,3zprE6,17&amp;a=APT:ABYG:JGC&amp;b=A1:B1&amp;e=RETAIL&amp;h=34&amp;i=132&amp;l=198&amp;ad=true" TargetMode="External" Id="rId7" /><Relationship Type="http://schemas.openxmlformats.org/officeDocument/2006/relationships/hyperlink" Target="https://new.land.naver.com/complexes/109672?ms=2AfAQG,3zprE6,17&amp;a=APT:ABYG:JGC&amp;b=A1:B1&amp;e=RETAIL&amp;h=34&amp;i=132&amp;l=198&amp;ad=true" TargetMode="External" Id="rId8" /><Relationship Type="http://schemas.openxmlformats.org/officeDocument/2006/relationships/hyperlink" Target="https://new.land.naver.com/complexes/109271?ms=2AfAQG,3zprE6,17&amp;a=APT:ABYG:JGC&amp;b=A1:B1&amp;e=RETAIL&amp;h=34&amp;i=132&amp;l=198&amp;ad=true" TargetMode="External" Id="rId9" /><Relationship Type="http://schemas.openxmlformats.org/officeDocument/2006/relationships/hyperlink" Target="https://new.land.naver.com/complexes/109271?ms=2AfAQG,3zprE6,17&amp;a=APT:ABYG:JGC&amp;b=A1:B1&amp;e=RETAIL&amp;h=34&amp;i=132&amp;l=198&amp;ad=true" TargetMode="External" Id="rId10" /><Relationship Type="http://schemas.openxmlformats.org/officeDocument/2006/relationships/hyperlink" Target="https://new.land.naver.com/complexes/109271?ms=2AfAQG,3zprE6,17&amp;a=APT:ABYG:JGC&amp;b=A1:B1&amp;e=RETAIL&amp;h=34&amp;i=132&amp;l=198&amp;ad=true" TargetMode="External" Id="rId11" /><Relationship Type="http://schemas.openxmlformats.org/officeDocument/2006/relationships/hyperlink" Target="https://new.land.naver.com/complexes/109272?ms=2AfAQG,3zprE6,17&amp;a=APT:ABYG:JGC&amp;b=A1:B1&amp;e=RETAIL&amp;h=34&amp;i=132&amp;l=198&amp;ad=true" TargetMode="External" Id="rId12" /><Relationship Type="http://schemas.openxmlformats.org/officeDocument/2006/relationships/hyperlink" Target="https://new.land.naver.com/complexes/109272?ms=2AfAQG,3zprE6,17&amp;a=APT:ABYG:JGC&amp;b=A1:B1&amp;e=RETAIL&amp;h=34&amp;i=132&amp;l=198&amp;ad=true" TargetMode="External" Id="rId13" /><Relationship Type="http://schemas.openxmlformats.org/officeDocument/2006/relationships/hyperlink" Target="https://new.land.naver.com/complexes/109272?ms=2AfAQG,3zprE6,17&amp;a=APT:ABYG:JGC&amp;b=A1:B1&amp;e=RETAIL&amp;h=34&amp;i=132&amp;l=198&amp;ad=true" TargetMode="External" Id="rId14" /><Relationship Type="http://schemas.openxmlformats.org/officeDocument/2006/relationships/hyperlink" Target="https://new.land.naver.com/complexes/109273?ms=2AfAQG,3zprE6,17&amp;a=APT:ABYG:JGC&amp;b=A1:B1&amp;e=RETAIL&amp;h=34&amp;i=132&amp;l=198&amp;ad=true" TargetMode="External" Id="rId15" /><Relationship Type="http://schemas.openxmlformats.org/officeDocument/2006/relationships/hyperlink" Target="https://new.land.naver.com/complexes/109273?ms=2AfAQG,3zprE6,17&amp;a=APT:ABYG:JGC&amp;b=A1:B1&amp;e=RETAIL&amp;h=34&amp;i=132&amp;l=198&amp;ad=true" TargetMode="External" Id="rId16" /><Relationship Type="http://schemas.openxmlformats.org/officeDocument/2006/relationships/hyperlink" Target="https://new.land.naver.com/complexes/109273?ms=2AfAQG,3zprE6,17&amp;a=APT:ABYG:JGC&amp;b=A1:B1&amp;e=RETAIL&amp;h=34&amp;i=132&amp;l=198&amp;ad=true" TargetMode="External" Id="rId17" /><Relationship Type="http://schemas.openxmlformats.org/officeDocument/2006/relationships/hyperlink" Target="https://new.land.naver.com/complexes/118728?ms=2AfAQG,3zprE6,17&amp;a=APT:ABYG:JGC&amp;b=A1:B1&amp;e=RETAIL&amp;h=34&amp;i=132&amp;l=198&amp;ad=true" TargetMode="External" Id="rId18" /><Relationship Type="http://schemas.openxmlformats.org/officeDocument/2006/relationships/hyperlink" Target="https://new.land.naver.com/complexes/118728?ms=2AfAQG,3zprE6,17&amp;a=APT:ABYG:JGC&amp;b=A1:B1&amp;e=RETAIL&amp;h=34&amp;i=132&amp;l=198&amp;ad=true" TargetMode="External" Id="rId19" /><Relationship Type="http://schemas.openxmlformats.org/officeDocument/2006/relationships/hyperlink" Target="https://new.land.naver.com/complexes/118728?ms=2AfAQG,3zprE6,17&amp;a=APT:ABYG:JGC&amp;b=A1:B1&amp;e=RETAIL&amp;h=34&amp;i=132&amp;l=198&amp;ad=true" TargetMode="External" Id="rId20" /><Relationship Type="http://schemas.openxmlformats.org/officeDocument/2006/relationships/hyperlink" Target="https://new.land.naver.com/complexes/118728?ms=2AfAQG,3zprE6,17&amp;a=APT:ABYG:JGC&amp;b=A1:B1&amp;e=RETAIL&amp;h=34&amp;i=132&amp;l=198&amp;ad=true" TargetMode="External" Id="rId21" /><Relationship Type="http://schemas.openxmlformats.org/officeDocument/2006/relationships/hyperlink" Target="https://new.land.naver.com/complexes/151284?ms=2AfAQG,3zprE6,17&amp;a=APT:ABYG:JGC&amp;b=A1:B1&amp;e=RETAIL&amp;h=34&amp;i=132&amp;l=198&amp;ad=true" TargetMode="External" Id="rId22" /><Relationship Type="http://schemas.openxmlformats.org/officeDocument/2006/relationships/hyperlink" Target="https://new.land.naver.com/complexes/151284?ms=2AfAQG,3zprE6,17&amp;a=APT:ABYG:JGC&amp;b=A1:B1&amp;e=RETAIL&amp;h=34&amp;i=132&amp;l=198&amp;ad=true" TargetMode="External" Id="rId23" /><Relationship Type="http://schemas.openxmlformats.org/officeDocument/2006/relationships/hyperlink" Target="https://new.land.naver.com/complexes/151284?ms=2AfAQG,3zprE6,17&amp;a=APT:ABYG:JGC&amp;b=A1:B1&amp;e=RETAIL&amp;h=34&amp;i=132&amp;l=198&amp;ad=true" TargetMode="External" Id="rId24" /><Relationship Type="http://schemas.openxmlformats.org/officeDocument/2006/relationships/hyperlink" Target="https://new.land.naver.com/complexes/7600?ms=2AfAQG,3zprE6,17&amp;a=APT:ABYG:JGC&amp;b=A1:B1&amp;e=RETAIL&amp;h=34&amp;i=132&amp;l=198&amp;ad=true" TargetMode="External" Id="rId25" /><Relationship Type="http://schemas.openxmlformats.org/officeDocument/2006/relationships/hyperlink" Target="https://new.land.naver.com/complexes/7600?ms=2AfAQG,3zprE6,17&amp;a=APT:ABYG:JGC&amp;b=A1:B1&amp;e=RETAIL&amp;h=34&amp;i=132&amp;l=198&amp;ad=true" TargetMode="External" Id="rId26" /><Relationship Type="http://schemas.openxmlformats.org/officeDocument/2006/relationships/hyperlink" Target="https://new.land.naver.com/complexes/115783?ms=2AfAQG,3zprE6,17&amp;a=APT:ABYG:JGC&amp;b=A1:B1&amp;e=RETAIL&amp;h=34&amp;i=132&amp;l=198&amp;ad=true" TargetMode="External" Id="rId27" /><Relationship Type="http://schemas.openxmlformats.org/officeDocument/2006/relationships/hyperlink" Target="https://new.land.naver.com/complexes/115783?ms=2AfAQG,3zprE6,17&amp;a=APT:ABYG:JGC&amp;b=A1:B1&amp;e=RETAIL&amp;h=34&amp;i=132&amp;l=198&amp;ad=true" TargetMode="External" Id="rId28" /><Relationship Type="http://schemas.openxmlformats.org/officeDocument/2006/relationships/hyperlink" Target="https://new.land.naver.com/complexes/115783?ms=2AfAQG,3zprE6,17&amp;a=APT:ABYG:JGC&amp;b=A1:B1&amp;e=RETAIL&amp;h=34&amp;i=132&amp;l=198&amp;ad=true" TargetMode="External" Id="rId29" /><Relationship Type="http://schemas.openxmlformats.org/officeDocument/2006/relationships/hyperlink" Target="https://new.land.naver.com/complexes/7616?ms=2AfAQG,3zprE6,17&amp;a=APT:ABYG:JGC&amp;b=A1:B1&amp;e=RETAIL&amp;h=34&amp;i=132&amp;l=198&amp;ad=true" TargetMode="External" Id="rId30" /><Relationship Type="http://schemas.openxmlformats.org/officeDocument/2006/relationships/hyperlink" Target="https://new.land.naver.com/complexes/7616?ms=2AfAQG,3zprE6,17&amp;a=APT:ABYG:JGC&amp;b=A1:B1&amp;e=RETAIL&amp;h=34&amp;i=132&amp;l=198&amp;ad=true" TargetMode="External" Id="rId31" /><Relationship Type="http://schemas.openxmlformats.org/officeDocument/2006/relationships/hyperlink" Target="https://new.land.naver.com/complexes/7610?ms=2AfAQG,3zprE6,17&amp;a=APT:ABYG:JGC&amp;b=A1:B1&amp;e=RETAIL&amp;h=34&amp;i=132&amp;l=198&amp;ad=true" TargetMode="External" Id="rId32" /><Relationship Type="http://schemas.openxmlformats.org/officeDocument/2006/relationships/hyperlink" Target="https://new.land.naver.com/complexes/7610?ms=2AfAQG,3zprE6,17&amp;a=APT:ABYG:JGC&amp;b=A1:B1&amp;e=RETAIL&amp;h=34&amp;i=132&amp;l=198&amp;ad=true" TargetMode="External" Id="rId33" /><Relationship Type="http://schemas.openxmlformats.org/officeDocument/2006/relationships/hyperlink" Target="https://new.land.naver.com/complexes/7610?ms=2AfAQG,3zprE6,17&amp;a=APT:ABYG:JGC&amp;b=A1:B1&amp;e=RETAIL&amp;h=34&amp;i=132&amp;l=198&amp;ad=true" TargetMode="External" Id="rId34" /><Relationship Type="http://schemas.openxmlformats.org/officeDocument/2006/relationships/hyperlink" Target="https://new.land.naver.com/complexes/7610?ms=2AfAQG,3zprE6,17&amp;a=APT:ABYG:JGC&amp;b=A1:B1&amp;e=RETAIL&amp;h=34&amp;i=132&amp;l=198&amp;ad=true" TargetMode="External" Id="rId35" /><Relationship Type="http://schemas.openxmlformats.org/officeDocument/2006/relationships/hyperlink" Target="https://new.land.naver.com/complexes/7610?ms=2AfAQG,3zprE6,17&amp;a=APT:ABYG:JGC&amp;b=A1:B1&amp;e=RETAIL&amp;h=34&amp;i=132&amp;l=198&amp;ad=true" TargetMode="External" Id="rId36" /><Relationship Type="http://schemas.openxmlformats.org/officeDocument/2006/relationships/hyperlink" Target="https://new.land.naver.com/complexes/15723?ms=2AfAQG,3zprE6,17&amp;a=APT:ABYG:JGC&amp;b=A1:B1&amp;e=RETAIL&amp;h=34&amp;i=132&amp;l=198&amp;ad=true" TargetMode="External" Id="rId37" /><Relationship Type="http://schemas.openxmlformats.org/officeDocument/2006/relationships/hyperlink" Target="https://new.land.naver.com/complexes/15723?ms=2AfAQG,3zprE6,17&amp;a=APT:ABYG:JGC&amp;b=A1:B1&amp;e=RETAIL&amp;h=34&amp;i=132&amp;l=198&amp;ad=true" TargetMode="External" Id="rId38" /><Relationship Type="http://schemas.openxmlformats.org/officeDocument/2006/relationships/hyperlink" Target="https://new.land.naver.com/complexes/15723?ms=2AfAQG,3zprE6,17&amp;a=APT:ABYG:JGC&amp;b=A1:B1&amp;e=RETAIL&amp;h=34&amp;i=132&amp;l=198&amp;ad=true" TargetMode="External" Id="rId39" /><Relationship Type="http://schemas.openxmlformats.org/officeDocument/2006/relationships/hyperlink" Target="https://new.land.naver.com/complexes/7626?ms=2AfAQG,3zprE6,17&amp;a=APT:ABYG:JGC&amp;b=A1:B1&amp;e=RETAIL&amp;h=34&amp;i=132&amp;l=198&amp;ad=true" TargetMode="External" Id="rId40" /><Relationship Type="http://schemas.openxmlformats.org/officeDocument/2006/relationships/hyperlink" Target="https://new.land.naver.com/complexes/7626?ms=2AfAQG,3zprE6,17&amp;a=APT:ABYG:JGC&amp;b=A1:B1&amp;e=RETAIL&amp;h=34&amp;i=132&amp;l=198&amp;ad=true" TargetMode="External" Id="rId41" /><Relationship Type="http://schemas.openxmlformats.org/officeDocument/2006/relationships/hyperlink" Target="https://new.land.naver.com/complexes/7626?ms=2AfAQG,3zprE6,17&amp;a=APT:ABYG:JGC&amp;b=A1:B1&amp;e=RETAIL&amp;h=34&amp;i=132&amp;l=198&amp;ad=true" TargetMode="External" Id="rId42" /><Relationship Type="http://schemas.openxmlformats.org/officeDocument/2006/relationships/hyperlink" Target="https://new.land.naver.com/complexes/7624?ms=2AfAQG,3zprE6,17&amp;a=APT:ABYG:JGC&amp;b=A1:B1&amp;e=RETAIL&amp;h=34&amp;i=132&amp;l=198&amp;ad=true" TargetMode="External" Id="rId43" /><Relationship Type="http://schemas.openxmlformats.org/officeDocument/2006/relationships/hyperlink" Target="https://new.land.naver.com/complexes/7624?ms=2AfAQG,3zprE6,17&amp;a=APT:ABYG:JGC&amp;b=A1:B1&amp;e=RETAIL&amp;h=34&amp;i=132&amp;l=198&amp;ad=true" TargetMode="External" Id="rId44" /><Relationship Type="http://schemas.openxmlformats.org/officeDocument/2006/relationships/hyperlink" Target="https://new.land.naver.com/complexes/7624?ms=2AfAQG,3zprE6,17&amp;a=APT:ABYG:JGC&amp;b=A1:B1&amp;e=RETAIL&amp;h=34&amp;i=132&amp;l=198&amp;ad=true" TargetMode="External" Id="rId45" /><Relationship Type="http://schemas.openxmlformats.org/officeDocument/2006/relationships/hyperlink" Target="https://new.land.naver.com/complexes/7631?ms=2AfAQG,3zprE6,17&amp;a=APT:ABYG:JGC&amp;b=A1:B1&amp;e=RETAIL&amp;h=34&amp;i=132&amp;l=198&amp;ad=true" TargetMode="External" Id="rId46" /><Relationship Type="http://schemas.openxmlformats.org/officeDocument/2006/relationships/hyperlink" Target="https://new.land.naver.com/complexes/7631?ms=2AfAQG,3zprE6,17&amp;a=APT:ABYG:JGC&amp;b=A1:B1&amp;e=RETAIL&amp;h=34&amp;i=132&amp;l=198&amp;ad=true" TargetMode="External" Id="rId47" /><Relationship Type="http://schemas.openxmlformats.org/officeDocument/2006/relationships/hyperlink" Target="https://new.land.naver.com/complexes/7631?ms=2AfAQG,3zprE6,17&amp;a=APT:ABYG:JGC&amp;b=A1:B1&amp;e=RETAIL&amp;h=34&amp;i=132&amp;l=198&amp;ad=true" TargetMode="External" Id="rId48" /><Relationship Type="http://schemas.openxmlformats.org/officeDocument/2006/relationships/hyperlink" Target="https://new.land.naver.com/complexes/7631?ms=2AfAQG,3zprE6,17&amp;a=APT:ABYG:JGC&amp;b=A1:B1&amp;e=RETAIL&amp;h=34&amp;i=132&amp;l=198&amp;ad=true" TargetMode="External" Id="rId49" /><Relationship Type="http://schemas.openxmlformats.org/officeDocument/2006/relationships/hyperlink" Target="https://new.land.naver.com/complexes/7631?ms=2AfAQG,3zprE6,17&amp;a=APT:ABYG:JGC&amp;b=A1:B1&amp;e=RETAIL&amp;h=34&amp;i=132&amp;l=198&amp;ad=true" TargetMode="External" Id="rId50" /><Relationship Type="http://schemas.openxmlformats.org/officeDocument/2006/relationships/hyperlink" Target="https://new.land.naver.com/complexes/7637?ms=2AfAQG,3zprE6,17&amp;a=APT:ABYG:JGC&amp;b=A1:B1&amp;e=RETAIL&amp;h=34&amp;i=132&amp;l=198&amp;ad=true" TargetMode="External" Id="rId51" /><Relationship Type="http://schemas.openxmlformats.org/officeDocument/2006/relationships/hyperlink" Target="https://new.land.naver.com/complexes/7637?ms=2AfAQG,3zprE6,17&amp;a=APT:ABYG:JGC&amp;b=A1:B1&amp;e=RETAIL&amp;h=34&amp;i=132&amp;l=198&amp;ad=true" TargetMode="External" Id="rId52" /><Relationship Type="http://schemas.openxmlformats.org/officeDocument/2006/relationships/hyperlink" Target="https://new.land.naver.com/complexes/7637?ms=2AfAQG,3zprE6,17&amp;a=APT:ABYG:JGC&amp;b=A1:B1&amp;e=RETAIL&amp;h=34&amp;i=132&amp;l=198&amp;ad=true" TargetMode="External" Id="rId53" /><Relationship Type="http://schemas.openxmlformats.org/officeDocument/2006/relationships/hyperlink" Target="https://new.land.naver.com/complexes/7637?ms=2AfAQG,3zprE6,17&amp;a=APT:ABYG:JGC&amp;b=A1:B1&amp;e=RETAIL&amp;h=34&amp;i=132&amp;l=198&amp;ad=true" TargetMode="External" Id="rId54" /><Relationship Type="http://schemas.openxmlformats.org/officeDocument/2006/relationships/hyperlink" Target="https://new.land.naver.com/complexes/7637?ms=2AfAQG,3zprE6,17&amp;a=APT:ABYG:JGC&amp;b=A1:B1&amp;e=RETAIL&amp;h=34&amp;i=132&amp;l=198&amp;ad=true" TargetMode="External" Id="rId55" /><Relationship Type="http://schemas.openxmlformats.org/officeDocument/2006/relationships/hyperlink" Target="https://new.land.naver.com/complexes/7637?ms=2AfAQG,3zprE6,17&amp;a=APT:ABYG:JGC&amp;b=A1:B1&amp;e=RETAIL&amp;h=34&amp;i=132&amp;l=198&amp;ad=true" TargetMode="External" Id="rId56" /><Relationship Type="http://schemas.openxmlformats.org/officeDocument/2006/relationships/hyperlink" Target="https://new.land.naver.com/complexes/7637?ms=2AfAQG,3zprE6,17&amp;a=APT:ABYG:JGC&amp;b=A1:B1&amp;e=RETAIL&amp;h=34&amp;i=132&amp;l=198&amp;ad=true" TargetMode="External" Id="rId57" /><Relationship Type="http://schemas.openxmlformats.org/officeDocument/2006/relationships/hyperlink" Target="https://new.land.naver.com/complexes/7646?ms=2AfAQG,3zprE6,17&amp;a=APT:ABYG:JGC&amp;b=A1:B1&amp;e=RETAIL&amp;h=34&amp;i=132&amp;l=198&amp;ad=true" TargetMode="External" Id="rId58" /><Relationship Type="http://schemas.openxmlformats.org/officeDocument/2006/relationships/hyperlink" Target="https://new.land.naver.com/complexes/7646?ms=2AfAQG,3zprE6,17&amp;a=APT:ABYG:JGC&amp;b=A1:B1&amp;e=RETAIL&amp;h=34&amp;i=132&amp;l=198&amp;ad=true" TargetMode="External" Id="rId59" /><Relationship Type="http://schemas.openxmlformats.org/officeDocument/2006/relationships/hyperlink" Target="https://new.land.naver.com/complexes/7646?ms=2AfAQG,3zprE6,17&amp;a=APT:ABYG:JGC&amp;b=A1:B1&amp;e=RETAIL&amp;h=34&amp;i=132&amp;l=198&amp;ad=true" TargetMode="External" Id="rId60" /><Relationship Type="http://schemas.openxmlformats.org/officeDocument/2006/relationships/hyperlink" Target="https://new.land.naver.com/complexes/22621?ms=2AfAQG,3zprE6,17&amp;a=APT:ABYG:JGC&amp;b=A1:B1&amp;e=RETAIL&amp;h=34&amp;i=132&amp;l=198&amp;ad=true" TargetMode="External" Id="rId61" /><Relationship Type="http://schemas.openxmlformats.org/officeDocument/2006/relationships/hyperlink" Target="https://new.land.naver.com/complexes/22621?ms=2AfAQG,3zprE6,17&amp;a=APT:ABYG:JGC&amp;b=A1:B1&amp;e=RETAIL&amp;h=34&amp;i=132&amp;l=198&amp;ad=true" TargetMode="External" Id="rId62" /><Relationship Type="http://schemas.openxmlformats.org/officeDocument/2006/relationships/hyperlink" Target="https://new.land.naver.com/complexes/22621?ms=2AfAQG,3zprE6,17&amp;a=APT:ABYG:JGC&amp;b=A1:B1&amp;e=RETAIL&amp;h=34&amp;i=132&amp;l=198&amp;ad=true" TargetMode="External" Id="rId63" /><Relationship Type="http://schemas.openxmlformats.org/officeDocument/2006/relationships/hyperlink" Target="https://new.land.naver.com/complexes/22621?ms=2AfAQG,3zprE6,17&amp;a=APT:ABYG:JGC&amp;b=A1:B1&amp;e=RETAIL&amp;h=34&amp;i=132&amp;l=198&amp;ad=true" TargetMode="External" Id="rId64" /><Relationship Type="http://schemas.openxmlformats.org/officeDocument/2006/relationships/hyperlink" Target="https://new.land.naver.com/complexes/15724?ms=2AfAQG,3zprE6,17&amp;a=APT:ABYG:JGC&amp;b=A1:B1&amp;e=RETAIL&amp;h=34&amp;i=132&amp;l=198&amp;ad=true" TargetMode="External" Id="rId65" /><Relationship Type="http://schemas.openxmlformats.org/officeDocument/2006/relationships/hyperlink" Target="https://new.land.naver.com/complexes/15724?ms=2AfAQG,3zprE6,17&amp;a=APT:ABYG:JGC&amp;b=A1:B1&amp;e=RETAIL&amp;h=34&amp;i=132&amp;l=198&amp;ad=true" TargetMode="External" Id="rId66" /><Relationship Type="http://schemas.openxmlformats.org/officeDocument/2006/relationships/hyperlink" Target="https://new.land.naver.com/complexes/15726?ms=2AfAQG,3zprE6,17&amp;a=APT:ABYG:JGC&amp;b=A1:B1&amp;e=RETAIL&amp;h=34&amp;i=132&amp;l=198&amp;ad=true" TargetMode="External" Id="rId67" /><Relationship Type="http://schemas.openxmlformats.org/officeDocument/2006/relationships/hyperlink" Target="https://new.land.naver.com/complexes/15736?ms=2AfAQG,3zprE6,17&amp;a=APT:ABYG:JGC&amp;b=A1:B1&amp;e=RETAIL&amp;h=34&amp;i=132&amp;l=198&amp;ad=true" TargetMode="External" Id="rId68" /><Relationship Type="http://schemas.openxmlformats.org/officeDocument/2006/relationships/hyperlink" Target="https://new.land.naver.com/complexes/15727?ms=2AfAQG,3zprE6,17&amp;a=APT:ABYG:JGC&amp;b=A1:B1&amp;e=RETAIL&amp;h=34&amp;i=132&amp;l=198&amp;ad=true" TargetMode="External" Id="rId69" /><Relationship Type="http://schemas.openxmlformats.org/officeDocument/2006/relationships/hyperlink" Target="https://new.land.naver.com/complexes/15727?ms=2AfAQG,3zprE6,17&amp;a=APT:ABYG:JGC&amp;b=A1:B1&amp;e=RETAIL&amp;h=34&amp;i=132&amp;l=198&amp;ad=true" TargetMode="External" Id="rId70" /><Relationship Type="http://schemas.openxmlformats.org/officeDocument/2006/relationships/hyperlink" Target="https://new.land.naver.com/complexes/15727?ms=2AfAQG,3zprE6,17&amp;a=APT:ABYG:JGC&amp;b=A1:B1&amp;e=RETAIL&amp;h=34&amp;i=132&amp;l=198&amp;ad=true" TargetMode="External" Id="rId71" /><Relationship Type="http://schemas.openxmlformats.org/officeDocument/2006/relationships/hyperlink" Target="https://new.land.naver.com/complexes/15727?ms=2AfAQG,3zprE6,17&amp;a=APT:ABYG:JGC&amp;b=A1:B1&amp;e=RETAIL&amp;h=34&amp;i=132&amp;l=198&amp;ad=true" TargetMode="External" Id="rId72" /><Relationship Type="http://schemas.openxmlformats.org/officeDocument/2006/relationships/hyperlink" Target="https://new.land.naver.com/complexes/15727?ms=2AfAQG,3zprE6,17&amp;a=APT:ABYG:JGC&amp;b=A1:B1&amp;e=RETAIL&amp;h=34&amp;i=132&amp;l=198&amp;ad=true" TargetMode="External" Id="rId73" /><Relationship Type="http://schemas.openxmlformats.org/officeDocument/2006/relationships/hyperlink" Target="https://new.land.naver.com/complexes/15735?ms=2AfAQG,3zprE6,17&amp;a=APT:ABYG:JGC&amp;b=A1:B1&amp;e=RETAIL&amp;h=34&amp;i=132&amp;l=198&amp;ad=true" TargetMode="External" Id="rId74" /><Relationship Type="http://schemas.openxmlformats.org/officeDocument/2006/relationships/hyperlink" Target="https://new.land.naver.com/complexes/15735?ms=2AfAQG,3zprE6,17&amp;a=APT:ABYG:JGC&amp;b=A1:B1&amp;e=RETAIL&amp;h=34&amp;i=132&amp;l=198&amp;ad=true" TargetMode="External" Id="rId75" /><Relationship Type="http://schemas.openxmlformats.org/officeDocument/2006/relationships/hyperlink" Target="https://new.land.naver.com/complexes/10888?ms=2AfAQG,3zprE6,17&amp;a=APT:ABYG:JGC&amp;b=A1:B1&amp;e=RETAIL&amp;h=34&amp;i=132&amp;l=198&amp;ad=true" TargetMode="External" Id="rId76" /><Relationship Type="http://schemas.openxmlformats.org/officeDocument/2006/relationships/hyperlink" Target="https://new.land.naver.com/complexes/10888?ms=2AfAQG,3zprE6,17&amp;a=APT:ABYG:JGC&amp;b=A1:B1&amp;e=RETAIL&amp;h=34&amp;i=132&amp;l=198&amp;ad=true" TargetMode="External" Id="rId77" /><Relationship Type="http://schemas.openxmlformats.org/officeDocument/2006/relationships/hyperlink" Target="https://new.land.naver.com/complexes/10888?ms=2AfAQG,3zprE6,17&amp;a=APT:ABYG:JGC&amp;b=A1:B1&amp;e=RETAIL&amp;h=34&amp;i=132&amp;l=198&amp;ad=true" TargetMode="External" Id="rId78" /><Relationship Type="http://schemas.openxmlformats.org/officeDocument/2006/relationships/hyperlink" Target="https://new.land.naver.com/complexes/7674?ms=2AfAQG,3zprE6,17&amp;a=APT:ABYG:JGC&amp;b=A1:B1&amp;e=RETAIL&amp;h=34&amp;i=132&amp;l=198&amp;ad=true" TargetMode="External" Id="rId79" /><Relationship Type="http://schemas.openxmlformats.org/officeDocument/2006/relationships/hyperlink" Target="https://new.land.naver.com/complexes/7674?ms=2AfAQG,3zprE6,17&amp;a=APT:ABYG:JGC&amp;b=A1:B1&amp;e=RETAIL&amp;h=34&amp;i=132&amp;l=198&amp;ad=true" TargetMode="External" Id="rId80" /><Relationship Type="http://schemas.openxmlformats.org/officeDocument/2006/relationships/hyperlink" Target="https://new.land.naver.com/complexes/7674?ms=2AfAQG,3zprE6,17&amp;a=APT:ABYG:JGC&amp;b=A1:B1&amp;e=RETAIL&amp;h=34&amp;i=132&amp;l=198&amp;ad=true" TargetMode="External" Id="rId81" /><Relationship Type="http://schemas.openxmlformats.org/officeDocument/2006/relationships/hyperlink" Target="https://new.land.naver.com/complexes/7692?ms=2AfAQG,3zprE6,17&amp;a=APT:ABYG:JGC&amp;b=A1:B1&amp;e=RETAIL&amp;h=34&amp;i=132&amp;l=198&amp;ad=true" TargetMode="External" Id="rId82" /><Relationship Type="http://schemas.openxmlformats.org/officeDocument/2006/relationships/hyperlink" Target="https://new.land.naver.com/complexes/7692?ms=2AfAQG,3zprE6,17&amp;a=APT:ABYG:JGC&amp;b=A1:B1&amp;e=RETAIL&amp;h=34&amp;i=132&amp;l=198&amp;ad=true" TargetMode="External" Id="rId83" /><Relationship Type="http://schemas.openxmlformats.org/officeDocument/2006/relationships/hyperlink" Target="https://new.land.naver.com/complexes/7683?ms=2AfAQG,3zprE6,17&amp;a=APT:ABYG:JGC&amp;b=A1:B1&amp;e=RETAIL&amp;h=34&amp;i=132&amp;l=198&amp;ad=true" TargetMode="External" Id="rId84" /><Relationship Type="http://schemas.openxmlformats.org/officeDocument/2006/relationships/hyperlink" Target="https://new.land.naver.com/complexes/7683?ms=2AfAQG,3zprE6,17&amp;a=APT:ABYG:JGC&amp;b=A1:B1&amp;e=RETAIL&amp;h=34&amp;i=132&amp;l=198&amp;ad=true" TargetMode="External" Id="rId85" /><Relationship Type="http://schemas.openxmlformats.org/officeDocument/2006/relationships/hyperlink" Target="https://new.land.naver.com/complexes/7677?ms=2AfAQG,3zprE6,17&amp;a=APT:ABYG:JGC&amp;b=A1:B1&amp;e=RETAIL&amp;h=34&amp;i=132&amp;l=198&amp;ad=true" TargetMode="External" Id="rId86" /><Relationship Type="http://schemas.openxmlformats.org/officeDocument/2006/relationships/hyperlink" Target="https://new.land.naver.com/complexes/7677?ms=2AfAQG,3zprE6,17&amp;a=APT:ABYG:JGC&amp;b=A1:B1&amp;e=RETAIL&amp;h=34&amp;i=132&amp;l=198&amp;ad=true" TargetMode="External" Id="rId87" /><Relationship Type="http://schemas.openxmlformats.org/officeDocument/2006/relationships/hyperlink" Target="https://new.land.naver.com/complexes/7677?ms=2AfAQG,3zprE6,17&amp;a=APT:ABYG:JGC&amp;b=A1:B1&amp;e=RETAIL&amp;h=34&amp;i=132&amp;l=198&amp;ad=true" TargetMode="External" Id="rId88" /><Relationship Type="http://schemas.openxmlformats.org/officeDocument/2006/relationships/hyperlink" Target="https://new.land.naver.com/complexes/7677?ms=2AfAQG,3zprE6,17&amp;a=APT:ABYG:JGC&amp;b=A1:B1&amp;e=RETAIL&amp;h=34&amp;i=132&amp;l=198&amp;ad=true" TargetMode="External" Id="rId89" /><Relationship Type="http://schemas.openxmlformats.org/officeDocument/2006/relationships/hyperlink" Target="https://new.land.naver.com/complexes/100888?ms=2AfAQG,3zprE6,17&amp;a=APT:ABYG:JGC&amp;b=A1:B1&amp;e=RETAIL&amp;h=34&amp;i=132&amp;l=198&amp;ad=true" TargetMode="External" Id="rId90" /><Relationship Type="http://schemas.openxmlformats.org/officeDocument/2006/relationships/hyperlink" Target="https://new.land.naver.com/complexes/100888?ms=2AfAQG,3zprE6,17&amp;a=APT:ABYG:JGC&amp;b=A1:B1&amp;e=RETAIL&amp;h=34&amp;i=132&amp;l=198&amp;ad=true" TargetMode="External" Id="rId91" /><Relationship Type="http://schemas.openxmlformats.org/officeDocument/2006/relationships/hyperlink" Target="https://new.land.naver.com/complexes/100888?ms=2AfAQG,3zprE6,17&amp;a=APT:ABYG:JGC&amp;b=A1:B1&amp;e=RETAIL&amp;h=34&amp;i=132&amp;l=198&amp;ad=true" TargetMode="External" Id="rId92" /><Relationship Type="http://schemas.openxmlformats.org/officeDocument/2006/relationships/hyperlink" Target="https://new.land.naver.com/complexes/7695?ms=2AfAQG,3zprE6,17&amp;a=APT:ABYG:JGC&amp;b=A1:B1&amp;e=RETAIL&amp;h=34&amp;i=132&amp;l=198&amp;ad=true" TargetMode="External" Id="rId93" /><Relationship Type="http://schemas.openxmlformats.org/officeDocument/2006/relationships/hyperlink" Target="https://new.land.naver.com/complexes/7695?ms=2AfAQG,3zprE6,17&amp;a=APT:ABYG:JGC&amp;b=A1:B1&amp;e=RETAIL&amp;h=34&amp;i=132&amp;l=198&amp;ad=true" TargetMode="External" Id="rId94" /><Relationship Type="http://schemas.openxmlformats.org/officeDocument/2006/relationships/hyperlink" Target="https://new.land.naver.com/complexes/7695?ms=2AfAQG,3zprE6,17&amp;a=APT:ABYG:JGC&amp;b=A1:B1&amp;e=RETAIL&amp;h=34&amp;i=132&amp;l=198&amp;ad=true" TargetMode="External" Id="rId95" /><Relationship Type="http://schemas.openxmlformats.org/officeDocument/2006/relationships/hyperlink" Target="https://new.land.naver.com/complexes/7695?ms=2AfAQG,3zprE6,17&amp;a=APT:ABYG:JGC&amp;b=A1:B1&amp;e=RETAIL&amp;h=34&amp;i=132&amp;l=198&amp;ad=true" TargetMode="External" Id="rId96" /><Relationship Type="http://schemas.openxmlformats.org/officeDocument/2006/relationships/hyperlink" Target="https://new.land.naver.com/complexes/7695?ms=2AfAQG,3zprE6,17&amp;a=APT:ABYG:JGC&amp;b=A1:B1&amp;e=RETAIL&amp;h=34&amp;i=132&amp;l=198&amp;ad=true" TargetMode="External" Id="rId97" /><Relationship Type="http://schemas.openxmlformats.org/officeDocument/2006/relationships/hyperlink" Target="https://new.land.naver.com/complexes/7685?ms=2AfAQG,3zprE6,17&amp;a=APT:ABYG:JGC&amp;b=A1:B1&amp;e=RETAIL&amp;h=34&amp;i=132&amp;l=198&amp;ad=true" TargetMode="External" Id="rId98" /><Relationship Type="http://schemas.openxmlformats.org/officeDocument/2006/relationships/hyperlink" Target="https://new.land.naver.com/complexes/7685?ms=2AfAQG,3zprE6,17&amp;a=APT:ABYG:JGC&amp;b=A1:B1&amp;e=RETAIL&amp;h=34&amp;i=132&amp;l=198&amp;ad=true" TargetMode="External" Id="rId99" /><Relationship Type="http://schemas.openxmlformats.org/officeDocument/2006/relationships/hyperlink" Target="https://new.land.naver.com/complexes/7685?ms=2AfAQG,3zprE6,17&amp;a=APT:ABYG:JGC&amp;b=A1:B1&amp;e=RETAIL&amp;h=34&amp;i=132&amp;l=198&amp;ad=true" TargetMode="External" Id="rId100" /><Relationship Type="http://schemas.openxmlformats.org/officeDocument/2006/relationships/hyperlink" Target="https://new.land.naver.com/complexes/7693?ms=2AfAQG,3zprE6,17&amp;a=APT:ABYG:JGC&amp;b=A1:B1&amp;e=RETAIL&amp;h=34&amp;i=132&amp;l=198&amp;ad=true" TargetMode="External" Id="rId101" /><Relationship Type="http://schemas.openxmlformats.org/officeDocument/2006/relationships/hyperlink" Target="https://new.land.naver.com/complexes/7693?ms=2AfAQG,3zprE6,17&amp;a=APT:ABYG:JGC&amp;b=A1:B1&amp;e=RETAIL&amp;h=34&amp;i=132&amp;l=198&amp;ad=true" TargetMode="External" Id="rId102" /><Relationship Type="http://schemas.openxmlformats.org/officeDocument/2006/relationships/hyperlink" Target="https://new.land.naver.com/complexes/7693?ms=2AfAQG,3zprE6,17&amp;a=APT:ABYG:JGC&amp;b=A1:B1&amp;e=RETAIL&amp;h=34&amp;i=132&amp;l=198&amp;ad=true" TargetMode="External" Id="rId103" /><Relationship Type="http://schemas.openxmlformats.org/officeDocument/2006/relationships/hyperlink" Target="https://new.land.naver.com/complexes/106374?ms=2AfAQG,3zprE6,17&amp;a=APT:ABYG:JGC&amp;b=A1:B1&amp;e=RETAIL&amp;h=34&amp;i=132&amp;l=198&amp;ad=true" TargetMode="External" Id="rId104" /><Relationship Type="http://schemas.openxmlformats.org/officeDocument/2006/relationships/hyperlink" Target="https://new.land.naver.com/complexes/106374?ms=2AfAQG,3zprE6,17&amp;a=APT:ABYG:JGC&amp;b=A1:B1&amp;e=RETAIL&amp;h=34&amp;i=132&amp;l=198&amp;ad=true" TargetMode="External" Id="rId105" /><Relationship Type="http://schemas.openxmlformats.org/officeDocument/2006/relationships/hyperlink" Target="https://new.land.naver.com/complexes/106374?ms=2AfAQG,3zprE6,17&amp;a=APT:ABYG:JGC&amp;b=A1:B1&amp;e=RETAIL&amp;h=34&amp;i=132&amp;l=198&amp;ad=true" TargetMode="External" Id="rId106" /><Relationship Type="http://schemas.openxmlformats.org/officeDocument/2006/relationships/hyperlink" Target="https://new.land.naver.com/complexes/7688?ms=2AfAQG,3zprE6,17&amp;a=APT:ABYG:JGC&amp;b=A1:B1&amp;e=RETAIL&amp;h=34&amp;i=132&amp;l=198&amp;ad=true" TargetMode="External" Id="rId107" /><Relationship Type="http://schemas.openxmlformats.org/officeDocument/2006/relationships/hyperlink" Target="https://new.land.naver.com/complexes/7701?ms=2AfAQG,3zprE6,17&amp;a=APT:ABYG:JGC&amp;b=A1:B1&amp;e=RETAIL&amp;h=34&amp;i=132&amp;l=198&amp;ad=true" TargetMode="External" Id="rId108" /><Relationship Type="http://schemas.openxmlformats.org/officeDocument/2006/relationships/hyperlink" Target="https://new.land.naver.com/complexes/7701?ms=2AfAQG,3zprE6,17&amp;a=APT:ABYG:JGC&amp;b=A1:B1&amp;e=RETAIL&amp;h=34&amp;i=132&amp;l=198&amp;ad=true" TargetMode="External" Id="rId109" /><Relationship Type="http://schemas.openxmlformats.org/officeDocument/2006/relationships/hyperlink" Target="https://new.land.naver.com/complexes/15745?ms=2AfAQG,3zprE6,17&amp;a=APT:ABYG:JGC&amp;b=A1:B1&amp;e=RETAIL&amp;h=34&amp;i=132&amp;l=198&amp;ad=true" TargetMode="External" Id="rId110" /><Relationship Type="http://schemas.openxmlformats.org/officeDocument/2006/relationships/hyperlink" Target="https://new.land.naver.com/complexes/153685?ms=2AfAQG,3zprE6,17&amp;a=APT:ABYG:JGC&amp;b=A1:B1&amp;e=RETAIL&amp;h=34&amp;i=132&amp;l=198&amp;ad=true" TargetMode="External" Id="rId111" /><Relationship Type="http://schemas.openxmlformats.org/officeDocument/2006/relationships/hyperlink" Target="https://new.land.naver.com/complexes/153685?ms=2AfAQG,3zprE6,17&amp;a=APT:ABYG:JGC&amp;b=A1:B1&amp;e=RETAIL&amp;h=34&amp;i=132&amp;l=198&amp;ad=true" TargetMode="External" Id="rId112" /><Relationship Type="http://schemas.openxmlformats.org/officeDocument/2006/relationships/hyperlink" Target="https://new.land.naver.com/complexes/153685?ms=2AfAQG,3zprE6,17&amp;a=APT:ABYG:JGC&amp;b=A1:B1&amp;e=RETAIL&amp;h=34&amp;i=132&amp;l=198&amp;ad=true" TargetMode="External" Id="rId113" /><Relationship Type="http://schemas.openxmlformats.org/officeDocument/2006/relationships/hyperlink" Target="https://new.land.naver.com/complexes/153685?ms=2AfAQG,3zprE6,17&amp;a=APT:ABYG:JGC&amp;b=A1:B1&amp;e=RETAIL&amp;h=34&amp;i=132&amp;l=198&amp;ad=true" TargetMode="External" Id="rId114" /><Relationship Type="http://schemas.openxmlformats.org/officeDocument/2006/relationships/hyperlink" Target="https://new.land.naver.com/complexes/153685?ms=2AfAQG,3zprE6,17&amp;a=APT:ABYG:JGC&amp;b=A1:B1&amp;e=RETAIL&amp;h=34&amp;i=132&amp;l=198&amp;ad=true" TargetMode="External" Id="rId115" /><Relationship Type="http://schemas.openxmlformats.org/officeDocument/2006/relationships/hyperlink" Target="https://new.land.naver.com/complexes/112657?ms=2AfAQG,3zprE6,17&amp;a=APT:ABYG:JGC&amp;b=A1:B1&amp;e=RETAIL&amp;h=34&amp;i=132&amp;l=198&amp;ad=true" TargetMode="External" Id="rId116" /><Relationship Type="http://schemas.openxmlformats.org/officeDocument/2006/relationships/hyperlink" Target="https://new.land.naver.com/complexes/112657?ms=2AfAQG,3zprE6,17&amp;a=APT:ABYG:JGC&amp;b=A1:B1&amp;e=RETAIL&amp;h=34&amp;i=132&amp;l=198&amp;ad=true" TargetMode="External" Id="rId117" /><Relationship Type="http://schemas.openxmlformats.org/officeDocument/2006/relationships/hyperlink" Target="https://new.land.naver.com/complexes/112657?ms=2AfAQG,3zprE6,17&amp;a=APT:ABYG:JGC&amp;b=A1:B1&amp;e=RETAIL&amp;h=34&amp;i=132&amp;l=198&amp;ad=true" TargetMode="External" Id="rId118" /><Relationship Type="http://schemas.openxmlformats.org/officeDocument/2006/relationships/hyperlink" Target="https://new.land.naver.com/complexes/112657?ms=2AfAQG,3zprE6,17&amp;a=APT:ABYG:JGC&amp;b=A1:B1&amp;e=RETAIL&amp;h=34&amp;i=132&amp;l=198&amp;ad=true" TargetMode="External" Id="rId119" /><Relationship Type="http://schemas.openxmlformats.org/officeDocument/2006/relationships/hyperlink" Target="https://new.land.naver.com/complexes/151257?ms=2AfAQG,3zprE6,17&amp;a=APT:ABYG:JGC&amp;b=A1:B1&amp;e=RETAIL&amp;h=34&amp;i=132&amp;l=198&amp;ad=true" TargetMode="External" Id="rId120" /><Relationship Type="http://schemas.openxmlformats.org/officeDocument/2006/relationships/hyperlink" Target="https://new.land.naver.com/complexes/151257?ms=2AfAQG,3zprE6,17&amp;a=APT:ABYG:JGC&amp;b=A1:B1&amp;e=RETAIL&amp;h=34&amp;i=132&amp;l=198&amp;ad=true" TargetMode="External" Id="rId121" /><Relationship Type="http://schemas.openxmlformats.org/officeDocument/2006/relationships/hyperlink" Target="https://new.land.naver.com/complexes/151257?ms=2AfAQG,3zprE6,17&amp;a=APT:ABYG:JGC&amp;b=A1:B1&amp;e=RETAIL&amp;h=34&amp;i=132&amp;l=198&amp;ad=true" TargetMode="External" Id="rId122" /><Relationship Type="http://schemas.openxmlformats.org/officeDocument/2006/relationships/hyperlink" Target="https://new.land.naver.com/complexes/25168?ms=2AfAQG,3zprE6,17&amp;a=APT:ABYG:JGC&amp;b=A1:B1&amp;e=RETAIL&amp;h=34&amp;i=132&amp;l=198&amp;ad=true" TargetMode="External" Id="rId123" /><Relationship Type="http://schemas.openxmlformats.org/officeDocument/2006/relationships/hyperlink" Target="https://new.land.naver.com/complexes/25168?ms=2AfAQG,3zprE6,17&amp;a=APT:ABYG:JGC&amp;b=A1:B1&amp;e=RETAIL&amp;h=34&amp;i=132&amp;l=198&amp;ad=true" TargetMode="External" Id="rId124" /><Relationship Type="http://schemas.openxmlformats.org/officeDocument/2006/relationships/hyperlink" Target="https://new.land.naver.com/complexes/25168?ms=2AfAQG,3zprE6,17&amp;a=APT:ABYG:JGC&amp;b=A1:B1&amp;e=RETAIL&amp;h=34&amp;i=132&amp;l=198&amp;ad=true" TargetMode="External" Id="rId125" /><Relationship Type="http://schemas.openxmlformats.org/officeDocument/2006/relationships/hyperlink" Target="https://new.land.naver.com/complexes/25168?ms=2AfAQG,3zprE6,17&amp;a=APT:ABYG:JGC&amp;b=A1:B1&amp;e=RETAIL&amp;h=34&amp;i=132&amp;l=198&amp;ad=true" TargetMode="External" Id="rId126" /><Relationship Type="http://schemas.openxmlformats.org/officeDocument/2006/relationships/hyperlink" Target="https://new.land.naver.com/complexes/25168?ms=2AfAQG,3zprE6,17&amp;a=APT:ABYG:JGC&amp;b=A1:B1&amp;e=RETAIL&amp;h=34&amp;i=132&amp;l=198&amp;ad=true" TargetMode="External" Id="rId127" /><Relationship Type="http://schemas.openxmlformats.org/officeDocument/2006/relationships/hyperlink" Target="https://new.land.naver.com/complexes/25168?ms=2AfAQG,3zprE6,17&amp;a=APT:ABYG:JGC&amp;b=A1:B1&amp;e=RETAIL&amp;h=34&amp;i=132&amp;l=198&amp;ad=true" TargetMode="External" Id="rId128" /><Relationship Type="http://schemas.openxmlformats.org/officeDocument/2006/relationships/hyperlink" Target="https://new.land.naver.com/complexes/25168?ms=2AfAQG,3zprE6,17&amp;a=APT:ABYG:JGC&amp;b=A1:B1&amp;e=RETAIL&amp;h=34&amp;i=132&amp;l=198&amp;ad=true" TargetMode="External" Id="rId129" /><Relationship Type="http://schemas.openxmlformats.org/officeDocument/2006/relationships/hyperlink" Target="https://new.land.naver.com/complexes/25168?ms=2AfAQG,3zprE6,17&amp;a=APT:ABYG:JGC&amp;b=A1:B1&amp;e=RETAIL&amp;h=34&amp;i=132&amp;l=198&amp;ad=true" TargetMode="External" Id="rId130" /><Relationship Type="http://schemas.openxmlformats.org/officeDocument/2006/relationships/hyperlink" Target="https://new.land.naver.com/complexes/25168?ms=2AfAQG,3zprE6,17&amp;a=APT:ABYG:JGC&amp;b=A1:B1&amp;e=RETAIL&amp;h=34&amp;i=132&amp;l=198&amp;ad=true" TargetMode="External" Id="rId131" /><Relationship Type="http://schemas.openxmlformats.org/officeDocument/2006/relationships/hyperlink" Target="https://new.land.naver.com/complexes/15778?ms=2AfAQG,3zprE6,17&amp;a=APT:ABYG:JGC&amp;b=A1:B1&amp;e=RETAIL&amp;h=34&amp;i=132&amp;l=198&amp;ad=true" TargetMode="External" Id="rId132" /><Relationship Type="http://schemas.openxmlformats.org/officeDocument/2006/relationships/hyperlink" Target="https://new.land.naver.com/complexes/15778?ms=2AfAQG,3zprE6,17&amp;a=APT:ABYG:JGC&amp;b=A1:B1&amp;e=RETAIL&amp;h=34&amp;i=132&amp;l=198&amp;ad=true" TargetMode="External" Id="rId133" /><Relationship Type="http://schemas.openxmlformats.org/officeDocument/2006/relationships/hyperlink" Target="https://new.land.naver.com/complexes/15778?ms=2AfAQG,3zprE6,17&amp;a=APT:ABYG:JGC&amp;b=A1:B1&amp;e=RETAIL&amp;h=34&amp;i=132&amp;l=198&amp;ad=true" TargetMode="External" Id="rId134" /><Relationship Type="http://schemas.openxmlformats.org/officeDocument/2006/relationships/hyperlink" Target="https://new.land.naver.com/complexes/15778?ms=2AfAQG,3zprE6,17&amp;a=APT:ABYG:JGC&amp;b=A1:B1&amp;e=RETAIL&amp;h=34&amp;i=132&amp;l=198&amp;ad=true" TargetMode="External" Id="rId135" /><Relationship Type="http://schemas.openxmlformats.org/officeDocument/2006/relationships/hyperlink" Target="https://new.land.naver.com/complexes/19740?ms=2AfAQG,3zprE6,17&amp;a=APT:ABYG:JGC&amp;b=A1:B1&amp;e=RETAIL&amp;h=34&amp;i=132&amp;l=198&amp;ad=true" TargetMode="External" Id="rId136" /><Relationship Type="http://schemas.openxmlformats.org/officeDocument/2006/relationships/hyperlink" Target="https://new.land.naver.com/complexes/19740?ms=2AfAQG,3zprE6,17&amp;a=APT:ABYG:JGC&amp;b=A1:B1&amp;e=RETAIL&amp;h=34&amp;i=132&amp;l=198&amp;ad=true" TargetMode="External" Id="rId137" /><Relationship Type="http://schemas.openxmlformats.org/officeDocument/2006/relationships/hyperlink" Target="https://new.land.naver.com/complexes/19740?ms=2AfAQG,3zprE6,17&amp;a=APT:ABYG:JGC&amp;b=A1:B1&amp;e=RETAIL&amp;h=34&amp;i=132&amp;l=198&amp;ad=true" TargetMode="External" Id="rId138" /><Relationship Type="http://schemas.openxmlformats.org/officeDocument/2006/relationships/hyperlink" Target="https://new.land.naver.com/complexes/19740?ms=2AfAQG,3zprE6,17&amp;a=APT:ABYG:JGC&amp;b=A1:B1&amp;e=RETAIL&amp;h=34&amp;i=132&amp;l=198&amp;ad=true" TargetMode="External" Id="rId139" /><Relationship Type="http://schemas.openxmlformats.org/officeDocument/2006/relationships/hyperlink" Target="https://new.land.naver.com/complexes/19740?ms=2AfAQG,3zprE6,17&amp;a=APT:ABYG:JGC&amp;b=A1:B1&amp;e=RETAIL&amp;h=34&amp;i=132&amp;l=198&amp;ad=true" TargetMode="External" Id="rId140" /><Relationship Type="http://schemas.openxmlformats.org/officeDocument/2006/relationships/hyperlink" Target="https://new.land.naver.com/complexes/19740?ms=2AfAQG,3zprE6,17&amp;a=APT:ABYG:JGC&amp;b=A1:B1&amp;e=RETAIL&amp;h=34&amp;i=132&amp;l=198&amp;ad=true" TargetMode="External" Id="rId141" /><Relationship Type="http://schemas.openxmlformats.org/officeDocument/2006/relationships/hyperlink" Target="https://new.land.naver.com/complexes/19740?ms=2AfAQG,3zprE6,17&amp;a=APT:ABYG:JGC&amp;b=A1:B1&amp;e=RETAIL&amp;h=34&amp;i=132&amp;l=198&amp;ad=true" TargetMode="External" Id="rId142" /><Relationship Type="http://schemas.openxmlformats.org/officeDocument/2006/relationships/hyperlink" Target="https://new.land.naver.com/complexes/19740?ms=2AfAQG,3zprE6,17&amp;a=APT:ABYG:JGC&amp;b=A1:B1&amp;e=RETAIL&amp;h=34&amp;i=132&amp;l=198&amp;ad=true" TargetMode="External" Id="rId143" /><Relationship Type="http://schemas.openxmlformats.org/officeDocument/2006/relationships/hyperlink" Target="https://new.land.naver.com/complexes/19740?ms=2AfAQG,3zprE6,17&amp;a=APT:ABYG:JGC&amp;b=A1:B1&amp;e=RETAIL&amp;h=34&amp;i=132&amp;l=198&amp;ad=true" TargetMode="External" Id="rId144" /><Relationship Type="http://schemas.openxmlformats.org/officeDocument/2006/relationships/hyperlink" Target="https://new.land.naver.com/complexes/7743?ms=2AfAQG,3zprE6,17&amp;a=APT:ABYG:JGC&amp;b=A1:B1&amp;e=RETAIL&amp;h=34&amp;i=132&amp;l=198&amp;ad=true" TargetMode="External" Id="rId145" /><Relationship Type="http://schemas.openxmlformats.org/officeDocument/2006/relationships/hyperlink" Target="https://new.land.naver.com/complexes/7743?ms=2AfAQG,3zprE6,17&amp;a=APT:ABYG:JGC&amp;b=A1:B1&amp;e=RETAIL&amp;h=34&amp;i=132&amp;l=198&amp;ad=true" TargetMode="External" Id="rId146" /><Relationship Type="http://schemas.openxmlformats.org/officeDocument/2006/relationships/hyperlink" Target="https://new.land.naver.com/complexes/7743?ms=2AfAQG,3zprE6,17&amp;a=APT:ABYG:JGC&amp;b=A1:B1&amp;e=RETAIL&amp;h=34&amp;i=132&amp;l=198&amp;ad=true" TargetMode="External" Id="rId147" /><Relationship Type="http://schemas.openxmlformats.org/officeDocument/2006/relationships/hyperlink" Target="https://new.land.naver.com/complexes/7743?ms=2AfAQG,3zprE6,17&amp;a=APT:ABYG:JGC&amp;b=A1:B1&amp;e=RETAIL&amp;h=34&amp;i=132&amp;l=198&amp;ad=true" TargetMode="External" Id="rId148" /><Relationship Type="http://schemas.openxmlformats.org/officeDocument/2006/relationships/hyperlink" Target="https://new.land.naver.com/complexes/7743?ms=2AfAQG,3zprE6,17&amp;a=APT:ABYG:JGC&amp;b=A1:B1&amp;e=RETAIL&amp;h=34&amp;i=132&amp;l=198&amp;ad=true" TargetMode="External" Id="rId149" /><Relationship Type="http://schemas.openxmlformats.org/officeDocument/2006/relationships/hyperlink" Target="https://new.land.naver.com/complexes/7743?ms=2AfAQG,3zprE6,17&amp;a=APT:ABYG:JGC&amp;b=A1:B1&amp;e=RETAIL&amp;h=34&amp;i=132&amp;l=198&amp;ad=true" TargetMode="External" Id="rId150" /><Relationship Type="http://schemas.openxmlformats.org/officeDocument/2006/relationships/hyperlink" Target="https://new.land.naver.com/complexes/100902?ms=2AfAQG,3zprE6,17&amp;a=APT:ABYG:JGC&amp;b=A1:B1&amp;e=RETAIL&amp;h=34&amp;i=132&amp;l=198&amp;ad=true" TargetMode="External" Id="rId151" /><Relationship Type="http://schemas.openxmlformats.org/officeDocument/2006/relationships/hyperlink" Target="https://new.land.naver.com/complexes/100902?ms=2AfAQG,3zprE6,17&amp;a=APT:ABYG:JGC&amp;b=A1:B1&amp;e=RETAIL&amp;h=34&amp;i=132&amp;l=198&amp;ad=true" TargetMode="External" Id="rId152" /><Relationship Type="http://schemas.openxmlformats.org/officeDocument/2006/relationships/hyperlink" Target="https://new.land.naver.com/complexes/100902?ms=2AfAQG,3zprE6,17&amp;a=APT:ABYG:JGC&amp;b=A1:B1&amp;e=RETAIL&amp;h=34&amp;i=132&amp;l=198&amp;ad=true" TargetMode="External" Id="rId153" /><Relationship Type="http://schemas.openxmlformats.org/officeDocument/2006/relationships/hyperlink" Target="https://new.land.naver.com/complexes/100902?ms=2AfAQG,3zprE6,17&amp;a=APT:ABYG:JGC&amp;b=A1:B1&amp;e=RETAIL&amp;h=34&amp;i=132&amp;l=198&amp;ad=true" TargetMode="External" Id="rId154" /><Relationship Type="http://schemas.openxmlformats.org/officeDocument/2006/relationships/hyperlink" Target="https://new.land.naver.com/complexes/7751?ms=2AfAQG,3zprE6,17&amp;a=APT:ABYG:JGC&amp;b=A1:B1&amp;e=RETAIL&amp;h=34&amp;i=132&amp;l=198&amp;ad=true" TargetMode="External" Id="rId155" /><Relationship Type="http://schemas.openxmlformats.org/officeDocument/2006/relationships/hyperlink" Target="https://new.land.naver.com/complexes/7751?ms=2AfAQG,3zprE6,17&amp;a=APT:ABYG:JGC&amp;b=A1:B1&amp;e=RETAIL&amp;h=34&amp;i=132&amp;l=198&amp;ad=true" TargetMode="External" Id="rId156" /><Relationship Type="http://schemas.openxmlformats.org/officeDocument/2006/relationships/hyperlink" Target="https://new.land.naver.com/complexes/7752?ms=2AfAQG,3zprE6,17&amp;a=APT:ABYG:JGC&amp;b=A1:B1&amp;e=RETAIL&amp;h=34&amp;i=132&amp;l=198&amp;ad=true" TargetMode="External" Id="rId157" /><Relationship Type="http://schemas.openxmlformats.org/officeDocument/2006/relationships/hyperlink" Target="https://new.land.naver.com/complexes/7754?ms=2AfAQG,3zprE6,17&amp;a=APT:ABYG:JGC&amp;b=A1:B1&amp;e=RETAIL&amp;h=34&amp;i=132&amp;l=198&amp;ad=true" TargetMode="External" Id="rId158" /><Relationship Type="http://schemas.openxmlformats.org/officeDocument/2006/relationships/hyperlink" Target="https://new.land.naver.com/complexes/7754?ms=2AfAQG,3zprE6,17&amp;a=APT:ABYG:JGC&amp;b=A1:B1&amp;e=RETAIL&amp;h=34&amp;i=132&amp;l=198&amp;ad=true" TargetMode="External" Id="rId159" /><Relationship Type="http://schemas.openxmlformats.org/officeDocument/2006/relationships/hyperlink" Target="https://new.land.naver.com/complexes/7754?ms=2AfAQG,3zprE6,17&amp;a=APT:ABYG:JGC&amp;b=A1:B1&amp;e=RETAIL&amp;h=34&amp;i=132&amp;l=198&amp;ad=true" TargetMode="External" Id="rId160" /><Relationship Type="http://schemas.openxmlformats.org/officeDocument/2006/relationships/hyperlink" Target="https://new.land.naver.com/complexes/7754?ms=2AfAQG,3zprE6,17&amp;a=APT:ABYG:JGC&amp;b=A1:B1&amp;e=RETAIL&amp;h=34&amp;i=132&amp;l=198&amp;ad=true" TargetMode="External" Id="rId161" /><Relationship Type="http://schemas.openxmlformats.org/officeDocument/2006/relationships/hyperlink" Target="https://new.land.naver.com/complexes/7768?ms=2AfAQG,3zprE6,17&amp;a=APT:ABYG:JGC&amp;b=A1:B1&amp;e=RETAIL&amp;h=34&amp;i=132&amp;l=198&amp;ad=true" TargetMode="External" Id="rId162" /><Relationship Type="http://schemas.openxmlformats.org/officeDocument/2006/relationships/hyperlink" Target="https://new.land.naver.com/complexes/7768?ms=2AfAQG,3zprE6,17&amp;a=APT:ABYG:JGC&amp;b=A1:B1&amp;e=RETAIL&amp;h=34&amp;i=132&amp;l=198&amp;ad=true" TargetMode="External" Id="rId163" /><Relationship Type="http://schemas.openxmlformats.org/officeDocument/2006/relationships/hyperlink" Target="https://new.land.naver.com/complexes/7768?ms=2AfAQG,3zprE6,17&amp;a=APT:ABYG:JGC&amp;b=A1:B1&amp;e=RETAIL&amp;h=34&amp;i=132&amp;l=198&amp;ad=true" TargetMode="External" Id="rId164" /><Relationship Type="http://schemas.openxmlformats.org/officeDocument/2006/relationships/hyperlink" Target="https://new.land.naver.com/complexes/7771?ms=2AfAQG,3zprE6,17&amp;a=APT:ABYG:JGC&amp;b=A1:B1&amp;e=RETAIL&amp;h=34&amp;i=132&amp;l=198&amp;ad=true" TargetMode="External" Id="rId165" /><Relationship Type="http://schemas.openxmlformats.org/officeDocument/2006/relationships/hyperlink" Target="https://new.land.naver.com/complexes/7771?ms=2AfAQG,3zprE6,17&amp;a=APT:ABYG:JGC&amp;b=A1:B1&amp;e=RETAIL&amp;h=34&amp;i=132&amp;l=198&amp;ad=true" TargetMode="External" Id="rId166" /><Relationship Type="http://schemas.openxmlformats.org/officeDocument/2006/relationships/hyperlink" Target="https://new.land.naver.com/complexes/7771?ms=2AfAQG,3zprE6,17&amp;a=APT:ABYG:JGC&amp;b=A1:B1&amp;e=RETAIL&amp;h=34&amp;i=132&amp;l=198&amp;ad=true" TargetMode="External" Id="rId167" /><Relationship Type="http://schemas.openxmlformats.org/officeDocument/2006/relationships/hyperlink" Target="https://new.land.naver.com/complexes/7771?ms=2AfAQG,3zprE6,17&amp;a=APT:ABYG:JGC&amp;b=A1:B1&amp;e=RETAIL&amp;h=34&amp;i=132&amp;l=198&amp;ad=true" TargetMode="External" Id="rId168" /><Relationship Type="http://schemas.openxmlformats.org/officeDocument/2006/relationships/hyperlink" Target="https://new.land.naver.com/complexes/7771?ms=2AfAQG,3zprE6,17&amp;a=APT:ABYG:JGC&amp;b=A1:B1&amp;e=RETAIL&amp;h=34&amp;i=132&amp;l=198&amp;ad=true" TargetMode="External" Id="rId169" /><Relationship Type="http://schemas.openxmlformats.org/officeDocument/2006/relationships/hyperlink" Target="https://new.land.naver.com/complexes/7771?ms=2AfAQG,3zprE6,17&amp;a=APT:ABYG:JGC&amp;b=A1:B1&amp;e=RETAIL&amp;h=34&amp;i=132&amp;l=198&amp;ad=true" TargetMode="External" Id="rId170" /><Relationship Type="http://schemas.openxmlformats.org/officeDocument/2006/relationships/hyperlink" Target="https://new.land.naver.com/complexes/7781?ms=2AfAQG,3zprE6,17&amp;a=APT:ABYG:JGC&amp;b=A1:B1&amp;e=RETAIL&amp;h=34&amp;i=132&amp;l=198&amp;ad=true" TargetMode="External" Id="rId171" /><Relationship Type="http://schemas.openxmlformats.org/officeDocument/2006/relationships/hyperlink" Target="https://new.land.naver.com/complexes/7781?ms=2AfAQG,3zprE6,17&amp;a=APT:ABYG:JGC&amp;b=A1:B1&amp;e=RETAIL&amp;h=34&amp;i=132&amp;l=198&amp;ad=true" TargetMode="External" Id="rId172" /><Relationship Type="http://schemas.openxmlformats.org/officeDocument/2006/relationships/hyperlink" Target="https://new.land.naver.com/complexes/7779?ms=2AfAQG,3zprE6,17&amp;a=APT:ABYG:JGC&amp;b=A1:B1&amp;e=RETAIL&amp;h=34&amp;i=132&amp;l=198&amp;ad=true" TargetMode="External" Id="rId173" /><Relationship Type="http://schemas.openxmlformats.org/officeDocument/2006/relationships/hyperlink" Target="https://new.land.naver.com/complexes/7779?ms=2AfAQG,3zprE6,17&amp;a=APT:ABYG:JGC&amp;b=A1:B1&amp;e=RETAIL&amp;h=34&amp;i=132&amp;l=198&amp;ad=true" TargetMode="External" Id="rId174" /><Relationship Type="http://schemas.openxmlformats.org/officeDocument/2006/relationships/hyperlink" Target="https://new.land.naver.com/complexes/7779?ms=2AfAQG,3zprE6,17&amp;a=APT:ABYG:JGC&amp;b=A1:B1&amp;e=RETAIL&amp;h=34&amp;i=132&amp;l=198&amp;ad=true" TargetMode="External" Id="rId175" /><Relationship Type="http://schemas.openxmlformats.org/officeDocument/2006/relationships/hyperlink" Target="https://new.land.naver.com/complexes/7779?ms=2AfAQG,3zprE6,17&amp;a=APT:ABYG:JGC&amp;b=A1:B1&amp;e=RETAIL&amp;h=34&amp;i=132&amp;l=198&amp;ad=true" TargetMode="External" Id="rId176" /><Relationship Type="http://schemas.openxmlformats.org/officeDocument/2006/relationships/hyperlink" Target="https://new.land.naver.com/complexes/7783?ms=2AfAQG,3zprE6,17&amp;a=APT:ABYG:JGC&amp;b=A1:B1&amp;e=RETAIL&amp;h=34&amp;i=132&amp;l=198&amp;ad=true" TargetMode="External" Id="rId177" /><Relationship Type="http://schemas.openxmlformats.org/officeDocument/2006/relationships/hyperlink" Target="https://new.land.naver.com/complexes/7783?ms=2AfAQG,3zprE6,17&amp;a=APT:ABYG:JGC&amp;b=A1:B1&amp;e=RETAIL&amp;h=34&amp;i=132&amp;l=198&amp;ad=true" TargetMode="External" Id="rId178" /><Relationship Type="http://schemas.openxmlformats.org/officeDocument/2006/relationships/hyperlink" Target="https://new.land.naver.com/complexes/7783?ms=2AfAQG,3zprE6,17&amp;a=APT:ABYG:JGC&amp;b=A1:B1&amp;e=RETAIL&amp;h=34&amp;i=132&amp;l=198&amp;ad=true" TargetMode="External" Id="rId179" /><Relationship Type="http://schemas.openxmlformats.org/officeDocument/2006/relationships/hyperlink" Target="https://new.land.naver.com/complexes/7786?ms=2AfAQG,3zprE6,17&amp;a=APT:ABYG:JGC&amp;b=A1:B1&amp;e=RETAIL&amp;h=34&amp;i=132&amp;l=198&amp;ad=true" TargetMode="External" Id="rId180" /><Relationship Type="http://schemas.openxmlformats.org/officeDocument/2006/relationships/hyperlink" Target="https://new.land.naver.com/complexes/7786?ms=2AfAQG,3zprE6,17&amp;a=APT:ABYG:JGC&amp;b=A1:B1&amp;e=RETAIL&amp;h=34&amp;i=132&amp;l=198&amp;ad=true" TargetMode="External" Id="rId181" /><Relationship Type="http://schemas.openxmlformats.org/officeDocument/2006/relationships/hyperlink" Target="https://new.land.naver.com/complexes/7786?ms=2AfAQG,3zprE6,17&amp;a=APT:ABYG:JGC&amp;b=A1:B1&amp;e=RETAIL&amp;h=34&amp;i=132&amp;l=198&amp;ad=true" TargetMode="External" Id="rId182" /><Relationship Type="http://schemas.openxmlformats.org/officeDocument/2006/relationships/hyperlink" Target="https://new.land.naver.com/complexes/7786?ms=2AfAQG,3zprE6,17&amp;a=APT:ABYG:JGC&amp;b=A1:B1&amp;e=RETAIL&amp;h=34&amp;i=132&amp;l=198&amp;ad=true" TargetMode="External" Id="rId183" /><Relationship Type="http://schemas.openxmlformats.org/officeDocument/2006/relationships/hyperlink" Target="https://new.land.naver.com/complexes/132290?ms=2AfAQG,3zprE6,17&amp;a=APT:ABYG:JGC&amp;b=A1:B1&amp;e=RETAIL&amp;h=34&amp;i=132&amp;l=198&amp;ad=true" TargetMode="External" Id="rId184" /><Relationship Type="http://schemas.openxmlformats.org/officeDocument/2006/relationships/hyperlink" Target="https://new.land.naver.com/complexes/132290?ms=2AfAQG,3zprE6,17&amp;a=APT:ABYG:JGC&amp;b=A1:B1&amp;e=RETAIL&amp;h=34&amp;i=132&amp;l=198&amp;ad=true" TargetMode="External" Id="rId185" /><Relationship Type="http://schemas.openxmlformats.org/officeDocument/2006/relationships/hyperlink" Target="https://new.land.naver.com/complexes/132290?ms=2AfAQG,3zprE6,17&amp;a=APT:ABYG:JGC&amp;b=A1:B1&amp;e=RETAIL&amp;h=34&amp;i=132&amp;l=198&amp;ad=true" TargetMode="External" Id="rId186" /><Relationship Type="http://schemas.openxmlformats.org/officeDocument/2006/relationships/hyperlink" Target="https://new.land.naver.com/complexes/132290?ms=2AfAQG,3zprE6,17&amp;a=APT:ABYG:JGC&amp;b=A1:B1&amp;e=RETAIL&amp;h=34&amp;i=132&amp;l=198&amp;ad=true" TargetMode="External" Id="rId187" /><Relationship Type="http://schemas.openxmlformats.org/officeDocument/2006/relationships/hyperlink" Target="https://new.land.naver.com/complexes/132290?ms=2AfAQG,3zprE6,17&amp;a=APT:ABYG:JGC&amp;b=A1:B1&amp;e=RETAIL&amp;h=34&amp;i=132&amp;l=198&amp;ad=true" TargetMode="External" Id="rId188" /><Relationship Type="http://schemas.openxmlformats.org/officeDocument/2006/relationships/hyperlink" Target="https://new.land.naver.com/complexes/7799?ms=2AfAQG,3zprE6,17&amp;a=APT:ABYG:JGC&amp;b=A1:B1&amp;e=RETAIL&amp;h=34&amp;i=132&amp;l=198&amp;ad=true" TargetMode="External" Id="rId189" /><Relationship Type="http://schemas.openxmlformats.org/officeDocument/2006/relationships/hyperlink" Target="https://new.land.naver.com/complexes/7799?ms=2AfAQG,3zprE6,17&amp;a=APT:ABYG:JGC&amp;b=A1:B1&amp;e=RETAIL&amp;h=34&amp;i=132&amp;l=198&amp;ad=true" TargetMode="External" Id="rId190" /><Relationship Type="http://schemas.openxmlformats.org/officeDocument/2006/relationships/hyperlink" Target="https://new.land.naver.com/complexes/7799?ms=2AfAQG,3zprE6,17&amp;a=APT:ABYG:JGC&amp;b=A1:B1&amp;e=RETAIL&amp;h=34&amp;i=132&amp;l=198&amp;ad=true" TargetMode="External" Id="rId191" /><Relationship Type="http://schemas.openxmlformats.org/officeDocument/2006/relationships/hyperlink" Target="https://new.land.naver.com/complexes/7799?ms=2AfAQG,3zprE6,17&amp;a=APT:ABYG:JGC&amp;b=A1:B1&amp;e=RETAIL&amp;h=34&amp;i=132&amp;l=198&amp;ad=true" TargetMode="External" Id="rId192" /><Relationship Type="http://schemas.openxmlformats.org/officeDocument/2006/relationships/hyperlink" Target="https://new.land.naver.com/complexes/7799?ms=2AfAQG,3zprE6,17&amp;a=APT:ABYG:JGC&amp;b=A1:B1&amp;e=RETAIL&amp;h=34&amp;i=132&amp;l=198&amp;ad=true" TargetMode="External" Id="rId193" /><Relationship Type="http://schemas.openxmlformats.org/officeDocument/2006/relationships/hyperlink" Target="https://new.land.naver.com/complexes/7799?ms=2AfAQG,3zprE6,17&amp;a=APT:ABYG:JGC&amp;b=A1:B1&amp;e=RETAIL&amp;h=34&amp;i=132&amp;l=198&amp;ad=true" TargetMode="External" Id="rId194" /><Relationship Type="http://schemas.openxmlformats.org/officeDocument/2006/relationships/hyperlink" Target="https://new.land.naver.com/complexes/7799?ms=2AfAQG,3zprE6,17&amp;a=APT:ABYG:JGC&amp;b=A1:B1&amp;e=RETAIL&amp;h=34&amp;i=132&amp;l=198&amp;ad=true" TargetMode="External" Id="rId195" /><Relationship Type="http://schemas.openxmlformats.org/officeDocument/2006/relationships/hyperlink" Target="https://new.land.naver.com/complexes/7789?ms=2AfAQG,3zprE6,17&amp;a=APT:ABYG:JGC&amp;b=A1:B1&amp;e=RETAIL&amp;h=34&amp;i=132&amp;l=198&amp;ad=true" TargetMode="External" Id="rId196" /><Relationship Type="http://schemas.openxmlformats.org/officeDocument/2006/relationships/hyperlink" Target="https://new.land.naver.com/complexes/7789?ms=2AfAQG,3zprE6,17&amp;a=APT:ABYG:JGC&amp;b=A1:B1&amp;e=RETAIL&amp;h=34&amp;i=132&amp;l=198&amp;ad=true" TargetMode="External" Id="rId197" /><Relationship Type="http://schemas.openxmlformats.org/officeDocument/2006/relationships/hyperlink" Target="https://new.land.naver.com/complexes/7789?ms=2AfAQG,3zprE6,17&amp;a=APT:ABYG:JGC&amp;b=A1:B1&amp;e=RETAIL&amp;h=34&amp;i=132&amp;l=198&amp;ad=true" TargetMode="External" Id="rId198" /><Relationship Type="http://schemas.openxmlformats.org/officeDocument/2006/relationships/hyperlink" Target="https://new.land.naver.com/complexes/7789?ms=2AfAQG,3zprE6,17&amp;a=APT:ABYG:JGC&amp;b=A1:B1&amp;e=RETAIL&amp;h=34&amp;i=132&amp;l=198&amp;ad=true" TargetMode="External" Id="rId199" /><Relationship Type="http://schemas.openxmlformats.org/officeDocument/2006/relationships/hyperlink" Target="https://new.land.naver.com/complexes/7789?ms=2AfAQG,3zprE6,17&amp;a=APT:ABYG:JGC&amp;b=A1:B1&amp;e=RETAIL&amp;h=34&amp;i=132&amp;l=198&amp;ad=true" TargetMode="External" Id="rId200" /><Relationship Type="http://schemas.openxmlformats.org/officeDocument/2006/relationships/hyperlink" Target="https://new.land.naver.com/complexes/7789?ms=2AfAQG,3zprE6,17&amp;a=APT:ABYG:JGC&amp;b=A1:B1&amp;e=RETAIL&amp;h=34&amp;i=132&amp;l=198&amp;ad=true" TargetMode="External" Id="rId201" /><Relationship Type="http://schemas.openxmlformats.org/officeDocument/2006/relationships/hyperlink" Target="https://new.land.naver.com/complexes/105570?ms=2AfAQG,3zprE6,17&amp;a=APT:ABYG:JGC&amp;b=A1:B1&amp;e=RETAIL&amp;h=34&amp;i=132&amp;l=198&amp;ad=true" TargetMode="External" Id="rId202" /><Relationship Type="http://schemas.openxmlformats.org/officeDocument/2006/relationships/hyperlink" Target="https://new.land.naver.com/complexes/105570?ms=2AfAQG,3zprE6,17&amp;a=APT:ABYG:JGC&amp;b=A1:B1&amp;e=RETAIL&amp;h=34&amp;i=132&amp;l=198&amp;ad=true" TargetMode="External" Id="rId203" /><Relationship Type="http://schemas.openxmlformats.org/officeDocument/2006/relationships/hyperlink" Target="https://new.land.naver.com/complexes/105570?ms=2AfAQG,3zprE6,17&amp;a=APT:ABYG:JGC&amp;b=A1:B1&amp;e=RETAIL&amp;h=34&amp;i=132&amp;l=198&amp;ad=true" TargetMode="External" Id="rId204" /><Relationship Type="http://schemas.openxmlformats.org/officeDocument/2006/relationships/hyperlink" Target="https://new.land.naver.com/complexes/105570?ms=2AfAQG,3zprE6,17&amp;a=APT:ABYG:JGC&amp;b=A1:B1&amp;e=RETAIL&amp;h=34&amp;i=132&amp;l=198&amp;ad=true" TargetMode="External" Id="rId205" /><Relationship Type="http://schemas.openxmlformats.org/officeDocument/2006/relationships/hyperlink" Target="https://new.land.naver.com/complexes/7810?ms=2AfAQG,3zprE6,17&amp;a=APT:ABYG:JGC&amp;b=A1:B1&amp;e=RETAIL&amp;h=34&amp;i=132&amp;l=198&amp;ad=true" TargetMode="External" Id="rId206" /><Relationship Type="http://schemas.openxmlformats.org/officeDocument/2006/relationships/hyperlink" Target="https://new.land.naver.com/complexes/7810?ms=2AfAQG,3zprE6,17&amp;a=APT:ABYG:JGC&amp;b=A1:B1&amp;e=RETAIL&amp;h=34&amp;i=132&amp;l=198&amp;ad=true" TargetMode="External" Id="rId207" /><Relationship Type="http://schemas.openxmlformats.org/officeDocument/2006/relationships/hyperlink" Target="https://new.land.naver.com/complexes/7810?ms=2AfAQG,3zprE6,17&amp;a=APT:ABYG:JGC&amp;b=A1:B1&amp;e=RETAIL&amp;h=34&amp;i=132&amp;l=198&amp;ad=true" TargetMode="External" Id="rId208" /><Relationship Type="http://schemas.openxmlformats.org/officeDocument/2006/relationships/hyperlink" Target="https://new.land.naver.com/complexes/7810?ms=2AfAQG,3zprE6,17&amp;a=APT:ABYG:JGC&amp;b=A1:B1&amp;e=RETAIL&amp;h=34&amp;i=132&amp;l=198&amp;ad=true" TargetMode="External" Id="rId209" /><Relationship Type="http://schemas.openxmlformats.org/officeDocument/2006/relationships/hyperlink" Target="https://new.land.naver.com/complexes/7810?ms=2AfAQG,3zprE6,17&amp;a=APT:ABYG:JGC&amp;b=A1:B1&amp;e=RETAIL&amp;h=34&amp;i=132&amp;l=198&amp;ad=true" TargetMode="External" Id="rId210" /><Relationship Type="http://schemas.openxmlformats.org/officeDocument/2006/relationships/hyperlink" Target="https://new.land.naver.com/complexes/7810?ms=2AfAQG,3zprE6,17&amp;a=APT:ABYG:JGC&amp;b=A1:B1&amp;e=RETAIL&amp;h=34&amp;i=132&amp;l=198&amp;ad=true" TargetMode="External" Id="rId211" /><Relationship Type="http://schemas.openxmlformats.org/officeDocument/2006/relationships/hyperlink" Target="https://new.land.naver.com/complexes/105107?ms=2AfAQG,3zprE6,17&amp;a=APT:ABYG:JGC&amp;b=A1:B1&amp;e=RETAIL&amp;h=34&amp;i=132&amp;l=198&amp;ad=true" TargetMode="External" Id="rId212" /><Relationship Type="http://schemas.openxmlformats.org/officeDocument/2006/relationships/hyperlink" Target="https://new.land.naver.com/complexes/105107?ms=2AfAQG,3zprE6,17&amp;a=APT:ABYG:JGC&amp;b=A1:B1&amp;e=RETAIL&amp;h=34&amp;i=132&amp;l=198&amp;ad=true" TargetMode="External" Id="rId213" /><Relationship Type="http://schemas.openxmlformats.org/officeDocument/2006/relationships/hyperlink" Target="https://new.land.naver.com/complexes/105107?ms=2AfAQG,3zprE6,17&amp;a=APT:ABYG:JGC&amp;b=A1:B1&amp;e=RETAIL&amp;h=34&amp;i=132&amp;l=198&amp;ad=true" TargetMode="External" Id="rId214" /><Relationship Type="http://schemas.openxmlformats.org/officeDocument/2006/relationships/hyperlink" Target="https://new.land.naver.com/complexes/17375?ms=2AfAQG,3zprE6,17&amp;a=APT:ABYG:JGC&amp;b=A1:B1&amp;e=RETAIL&amp;h=34&amp;i=132&amp;l=198&amp;ad=true" TargetMode="External" Id="rId215" /><Relationship Type="http://schemas.openxmlformats.org/officeDocument/2006/relationships/hyperlink" Target="https://new.land.naver.com/complexes/17375?ms=2AfAQG,3zprE6,17&amp;a=APT:ABYG:JGC&amp;b=A1:B1&amp;e=RETAIL&amp;h=34&amp;i=132&amp;l=198&amp;ad=true" TargetMode="External" Id="rId216" /><Relationship Type="http://schemas.openxmlformats.org/officeDocument/2006/relationships/hyperlink" Target="https://new.land.naver.com/complexes/17375?ms=2AfAQG,3zprE6,17&amp;a=APT:ABYG:JGC&amp;b=A1:B1&amp;e=RETAIL&amp;h=34&amp;i=132&amp;l=198&amp;ad=true" TargetMode="External" Id="rId217" /><Relationship Type="http://schemas.openxmlformats.org/officeDocument/2006/relationships/hyperlink" Target="https://new.land.naver.com/complexes/17375?ms=2AfAQG,3zprE6,17&amp;a=APT:ABYG:JGC&amp;b=A1:B1&amp;e=RETAIL&amp;h=34&amp;i=132&amp;l=198&amp;ad=true" TargetMode="External" Id="rId218" /><Relationship Type="http://schemas.openxmlformats.org/officeDocument/2006/relationships/hyperlink" Target="https://new.land.naver.com/complexes/17375?ms=2AfAQG,3zprE6,17&amp;a=APT:ABYG:JGC&amp;b=A1:B1&amp;e=RETAIL&amp;h=34&amp;i=132&amp;l=198&amp;ad=true" TargetMode="External" Id="rId219" /><Relationship Type="http://schemas.openxmlformats.org/officeDocument/2006/relationships/hyperlink" Target="https://new.land.naver.com/complexes/101107?ms=2AfAQG,3zprE6,17&amp;a=APT:ABYG:JGC&amp;b=A1:B1&amp;e=RETAIL&amp;h=34&amp;i=132&amp;l=198&amp;ad=true" TargetMode="External" Id="rId220" /><Relationship Type="http://schemas.openxmlformats.org/officeDocument/2006/relationships/hyperlink" Target="https://new.land.naver.com/complexes/101107?ms=2AfAQG,3zprE6,17&amp;a=APT:ABYG:JGC&amp;b=A1:B1&amp;e=RETAIL&amp;h=34&amp;i=132&amp;l=198&amp;ad=true" TargetMode="External" Id="rId221" /><Relationship Type="http://schemas.openxmlformats.org/officeDocument/2006/relationships/hyperlink" Target="https://new.land.naver.com/complexes/101107?ms=2AfAQG,3zprE6,17&amp;a=APT:ABYG:JGC&amp;b=A1:B1&amp;e=RETAIL&amp;h=34&amp;i=132&amp;l=198&amp;ad=true" TargetMode="External" Id="rId222" /><Relationship Type="http://schemas.openxmlformats.org/officeDocument/2006/relationships/hyperlink" Target="https://new.land.naver.com/complexes/101107?ms=2AfAQG,3zprE6,17&amp;a=APT:ABYG:JGC&amp;b=A1:B1&amp;e=RETAIL&amp;h=34&amp;i=132&amp;l=198&amp;ad=true" TargetMode="External" Id="rId223" /><Relationship Type="http://schemas.openxmlformats.org/officeDocument/2006/relationships/hyperlink" Target="https://new.land.naver.com/complexes/101107?ms=2AfAQG,3zprE6,17&amp;a=APT:ABYG:JGC&amp;b=A1:B1&amp;e=RETAIL&amp;h=34&amp;i=132&amp;l=198&amp;ad=true" TargetMode="External" Id="rId224" /><Relationship Type="http://schemas.openxmlformats.org/officeDocument/2006/relationships/hyperlink" Target="https://new.land.naver.com/complexes/106792?ms=2AfAQG,3zprE6,17&amp;a=APT:ABYG:JGC&amp;b=A1:B1&amp;e=RETAIL&amp;h=34&amp;i=132&amp;l=198&amp;ad=true" TargetMode="External" Id="rId225" /><Relationship Type="http://schemas.openxmlformats.org/officeDocument/2006/relationships/hyperlink" Target="https://new.land.naver.com/complexes/106792?ms=2AfAQG,3zprE6,17&amp;a=APT:ABYG:JGC&amp;b=A1:B1&amp;e=RETAIL&amp;h=34&amp;i=132&amp;l=198&amp;ad=true" TargetMode="External" Id="rId226" /><Relationship Type="http://schemas.openxmlformats.org/officeDocument/2006/relationships/hyperlink" Target="https://new.land.naver.com/complexes/106792?ms=2AfAQG,3zprE6,17&amp;a=APT:ABYG:JGC&amp;b=A1:B1&amp;e=RETAIL&amp;h=34&amp;i=132&amp;l=198&amp;ad=true" TargetMode="External" Id="rId227" /><Relationship Type="http://schemas.openxmlformats.org/officeDocument/2006/relationships/hyperlink" Target="https://new.land.naver.com/complexes/106792?ms=2AfAQG,3zprE6,17&amp;a=APT:ABYG:JGC&amp;b=A1:B1&amp;e=RETAIL&amp;h=34&amp;i=132&amp;l=198&amp;ad=true" TargetMode="External" Id="rId228" /><Relationship Type="http://schemas.openxmlformats.org/officeDocument/2006/relationships/hyperlink" Target="https://new.land.naver.com/complexes/17376?ms=2AfAQG,3zprE6,17&amp;a=APT:ABYG:JGC&amp;b=A1:B1&amp;e=RETAIL&amp;h=34&amp;i=132&amp;l=198&amp;ad=true" TargetMode="External" Id="rId229" /><Relationship Type="http://schemas.openxmlformats.org/officeDocument/2006/relationships/hyperlink" Target="https://new.land.naver.com/complexes/17376?ms=2AfAQG,3zprE6,17&amp;a=APT:ABYG:JGC&amp;b=A1:B1&amp;e=RETAIL&amp;h=34&amp;i=132&amp;l=198&amp;ad=true" TargetMode="External" Id="rId230" /><Relationship Type="http://schemas.openxmlformats.org/officeDocument/2006/relationships/hyperlink" Target="https://new.land.naver.com/complexes/17376?ms=2AfAQG,3zprE6,17&amp;a=APT:ABYG:JGC&amp;b=A1:B1&amp;e=RETAIL&amp;h=34&amp;i=132&amp;l=198&amp;ad=true" TargetMode="External" Id="rId231" /><Relationship Type="http://schemas.openxmlformats.org/officeDocument/2006/relationships/hyperlink" Target="https://new.land.naver.com/complexes/17376?ms=2AfAQG,3zprE6,17&amp;a=APT:ABYG:JGC&amp;b=A1:B1&amp;e=RETAIL&amp;h=34&amp;i=132&amp;l=198&amp;ad=true" TargetMode="External" Id="rId232" /><Relationship Type="http://schemas.openxmlformats.org/officeDocument/2006/relationships/hyperlink" Target="https://new.land.naver.com/complexes/7847?ms=2AfAQG,3zprE6,17&amp;a=APT:ABYG:JGC&amp;b=A1:B1&amp;e=RETAIL&amp;h=34&amp;i=132&amp;l=198&amp;ad=true" TargetMode="External" Id="rId233" /><Relationship Type="http://schemas.openxmlformats.org/officeDocument/2006/relationships/hyperlink" Target="https://new.land.naver.com/complexes/7847?ms=2AfAQG,3zprE6,17&amp;a=APT:ABYG:JGC&amp;b=A1:B1&amp;e=RETAIL&amp;h=34&amp;i=132&amp;l=198&amp;ad=true" TargetMode="External" Id="rId234" /><Relationship Type="http://schemas.openxmlformats.org/officeDocument/2006/relationships/hyperlink" Target="https://new.land.naver.com/complexes/7847?ms=2AfAQG,3zprE6,17&amp;a=APT:ABYG:JGC&amp;b=A1:B1&amp;e=RETAIL&amp;h=34&amp;i=132&amp;l=198&amp;ad=true" TargetMode="External" Id="rId235" /><Relationship Type="http://schemas.openxmlformats.org/officeDocument/2006/relationships/hyperlink" Target="https://new.land.naver.com/complexes/7847?ms=2AfAQG,3zprE6,17&amp;a=APT:ABYG:JGC&amp;b=A1:B1&amp;e=RETAIL&amp;h=34&amp;i=132&amp;l=198&amp;ad=true" TargetMode="External" Id="rId236" /><Relationship Type="http://schemas.openxmlformats.org/officeDocument/2006/relationships/hyperlink" Target="https://new.land.naver.com/complexes/7847?ms=2AfAQG,3zprE6,17&amp;a=APT:ABYG:JGC&amp;b=A1:B1&amp;e=RETAIL&amp;h=34&amp;i=132&amp;l=198&amp;ad=true" TargetMode="External" Id="rId237" /><Relationship Type="http://schemas.openxmlformats.org/officeDocument/2006/relationships/hyperlink" Target="https://new.land.naver.com/complexes/7847?ms=2AfAQG,3zprE6,17&amp;a=APT:ABYG:JGC&amp;b=A1:B1&amp;e=RETAIL&amp;h=34&amp;i=132&amp;l=198&amp;ad=true" TargetMode="External" Id="rId238" /><Relationship Type="http://schemas.openxmlformats.org/officeDocument/2006/relationships/hyperlink" Target="https://new.land.naver.com/complexes/7847?ms=2AfAQG,3zprE6,17&amp;a=APT:ABYG:JGC&amp;b=A1:B1&amp;e=RETAIL&amp;h=34&amp;i=132&amp;l=198&amp;ad=true" TargetMode="External" Id="rId239" /><Relationship Type="http://schemas.openxmlformats.org/officeDocument/2006/relationships/hyperlink" Target="https://new.land.naver.com/complexes/7847?ms=2AfAQG,3zprE6,17&amp;a=APT:ABYG:JGC&amp;b=A1:B1&amp;e=RETAIL&amp;h=34&amp;i=132&amp;l=198&amp;ad=true" TargetMode="External" Id="rId240" /><Relationship Type="http://schemas.openxmlformats.org/officeDocument/2006/relationships/hyperlink" Target="https://new.land.naver.com/complexes/7853?ms=2AfAQG,3zprE6,17&amp;a=APT:ABYG:JGC&amp;b=A1:B1&amp;e=RETAIL&amp;h=34&amp;i=132&amp;l=198&amp;ad=true" TargetMode="External" Id="rId241" /><Relationship Type="http://schemas.openxmlformats.org/officeDocument/2006/relationships/hyperlink" Target="https://new.land.naver.com/complexes/7854?ms=2AfAQG,3zprE6,17&amp;a=APT:ABYG:JGC&amp;b=A1:B1&amp;e=RETAIL&amp;h=34&amp;i=132&amp;l=198&amp;ad=true" TargetMode="External" Id="rId242" /><Relationship Type="http://schemas.openxmlformats.org/officeDocument/2006/relationships/hyperlink" Target="https://new.land.naver.com/complexes/7854?ms=2AfAQG,3zprE6,17&amp;a=APT:ABYG:JGC&amp;b=A1:B1&amp;e=RETAIL&amp;h=34&amp;i=132&amp;l=198&amp;ad=true" TargetMode="External" Id="rId243" /><Relationship Type="http://schemas.openxmlformats.org/officeDocument/2006/relationships/hyperlink" Target="https://new.land.naver.com/complexes/16828?ms=2AfAQG,3zprE6,17&amp;a=APT:ABYG:JGC&amp;b=A1:B1&amp;e=RETAIL&amp;h=34&amp;i=132&amp;l=198&amp;ad=true" TargetMode="External" Id="rId244" /><Relationship Type="http://schemas.openxmlformats.org/officeDocument/2006/relationships/hyperlink" Target="https://new.land.naver.com/complexes/16828?ms=2AfAQG,3zprE6,17&amp;a=APT:ABYG:JGC&amp;b=A1:B1&amp;e=RETAIL&amp;h=34&amp;i=132&amp;l=198&amp;ad=true" TargetMode="External" Id="rId245" /><Relationship Type="http://schemas.openxmlformats.org/officeDocument/2006/relationships/hyperlink" Target="https://new.land.naver.com/complexes/16828?ms=2AfAQG,3zprE6,17&amp;a=APT:ABYG:JGC&amp;b=A1:B1&amp;e=RETAIL&amp;h=34&amp;i=132&amp;l=198&amp;ad=true" TargetMode="External" Id="rId246" /><Relationship Type="http://schemas.openxmlformats.org/officeDocument/2006/relationships/hyperlink" Target="https://new.land.naver.com/complexes/16828?ms=2AfAQG,3zprE6,17&amp;a=APT:ABYG:JGC&amp;b=A1:B1&amp;e=RETAIL&amp;h=34&amp;i=132&amp;l=198&amp;ad=true" TargetMode="External" Id="rId247" /><Relationship Type="http://schemas.openxmlformats.org/officeDocument/2006/relationships/hyperlink" Target="https://new.land.naver.com/complexes/7856?ms=2AfAQG,3zprE6,17&amp;a=APT:ABYG:JGC&amp;b=A1:B1&amp;e=RETAIL&amp;h=34&amp;i=132&amp;l=198&amp;ad=true" TargetMode="External" Id="rId248" /><Relationship Type="http://schemas.openxmlformats.org/officeDocument/2006/relationships/hyperlink" Target="https://new.land.naver.com/complexes/7856?ms=2AfAQG,3zprE6,17&amp;a=APT:ABYG:JGC&amp;b=A1:B1&amp;e=RETAIL&amp;h=34&amp;i=132&amp;l=198&amp;ad=true" TargetMode="External" Id="rId249" /><Relationship Type="http://schemas.openxmlformats.org/officeDocument/2006/relationships/hyperlink" Target="https://new.land.naver.com/complexes/27288?ms=2AfAQG,3zprE6,17&amp;a=APT:ABYG:JGC&amp;b=A1:B1&amp;e=RETAIL&amp;h=34&amp;i=132&amp;l=198&amp;ad=true" TargetMode="External" Id="rId250" /><Relationship Type="http://schemas.openxmlformats.org/officeDocument/2006/relationships/hyperlink" Target="https://new.land.naver.com/complexes/27288?ms=2AfAQG,3zprE6,17&amp;a=APT:ABYG:JGC&amp;b=A1:B1&amp;e=RETAIL&amp;h=34&amp;i=132&amp;l=198&amp;ad=true" TargetMode="External" Id="rId251" /><Relationship Type="http://schemas.openxmlformats.org/officeDocument/2006/relationships/hyperlink" Target="https://new.land.naver.com/complexes/15802?ms=2AfAQG,3zprE6,17&amp;a=APT:ABYG:JGC&amp;b=A1:B1&amp;e=RETAIL&amp;h=34&amp;i=132&amp;l=198&amp;ad=true" TargetMode="External" Id="rId252" /><Relationship Type="http://schemas.openxmlformats.org/officeDocument/2006/relationships/hyperlink" Target="https://new.land.naver.com/complexes/15802?ms=2AfAQG,3zprE6,17&amp;a=APT:ABYG:JGC&amp;b=A1:B1&amp;e=RETAIL&amp;h=34&amp;i=132&amp;l=198&amp;ad=true" TargetMode="External" Id="rId253" /><Relationship Type="http://schemas.openxmlformats.org/officeDocument/2006/relationships/hyperlink" Target="https://new.land.naver.com/complexes/15802?ms=2AfAQG,3zprE6,17&amp;a=APT:ABYG:JGC&amp;b=A1:B1&amp;e=RETAIL&amp;h=34&amp;i=132&amp;l=198&amp;ad=true" TargetMode="External" Id="rId254" /><Relationship Type="http://schemas.openxmlformats.org/officeDocument/2006/relationships/hyperlink" Target="https://new.land.naver.com/complexes/141478?ms=2AfAQG,3zprE6,17&amp;a=APT:ABYG:JGC&amp;b=A1:B1&amp;e=RETAIL&amp;h=34&amp;i=132&amp;l=198&amp;ad=true" TargetMode="External" Id="rId255" /><Relationship Type="http://schemas.openxmlformats.org/officeDocument/2006/relationships/hyperlink" Target="https://new.land.naver.com/complexes/141478?ms=2AfAQG,3zprE6,17&amp;a=APT:ABYG:JGC&amp;b=A1:B1&amp;e=RETAIL&amp;h=34&amp;i=132&amp;l=198&amp;ad=true" TargetMode="External" Id="rId256" /><Relationship Type="http://schemas.openxmlformats.org/officeDocument/2006/relationships/hyperlink" Target="https://new.land.naver.com/complexes/7858?ms=2AfAQG,3zprE6,17&amp;a=APT:ABYG:JGC&amp;b=A1:B1&amp;e=RETAIL&amp;h=34&amp;i=132&amp;l=198&amp;ad=true" TargetMode="External" Id="rId257" /><Relationship Type="http://schemas.openxmlformats.org/officeDocument/2006/relationships/hyperlink" Target="https://new.land.naver.com/complexes/7858?ms=2AfAQG,3zprE6,17&amp;a=APT:ABYG:JGC&amp;b=A1:B1&amp;e=RETAIL&amp;h=34&amp;i=132&amp;l=198&amp;ad=true" TargetMode="External" Id="rId258" /><Relationship Type="http://schemas.openxmlformats.org/officeDocument/2006/relationships/hyperlink" Target="https://new.land.naver.com/complexes/7858?ms=2AfAQG,3zprE6,17&amp;a=APT:ABYG:JGC&amp;b=A1:B1&amp;e=RETAIL&amp;h=34&amp;i=132&amp;l=198&amp;ad=true" TargetMode="External" Id="rId259" /><Relationship Type="http://schemas.openxmlformats.org/officeDocument/2006/relationships/hyperlink" Target="https://new.land.naver.com/complexes/7858?ms=2AfAQG,3zprE6,17&amp;a=APT:ABYG:JGC&amp;b=A1:B1&amp;e=RETAIL&amp;h=34&amp;i=132&amp;l=198&amp;ad=true" TargetMode="External" Id="rId260" /><Relationship Type="http://schemas.openxmlformats.org/officeDocument/2006/relationships/hyperlink" Target="https://new.land.naver.com/complexes/7862?ms=2AfAQG,3zprE6,17&amp;a=APT:ABYG:JGC&amp;b=A1:B1&amp;e=RETAIL&amp;h=34&amp;i=132&amp;l=198&amp;ad=true" TargetMode="External" Id="rId261" /><Relationship Type="http://schemas.openxmlformats.org/officeDocument/2006/relationships/hyperlink" Target="https://new.land.naver.com/complexes/7862?ms=2AfAQG,3zprE6,17&amp;a=APT:ABYG:JGC&amp;b=A1:B1&amp;e=RETAIL&amp;h=34&amp;i=132&amp;l=198&amp;ad=true" TargetMode="External" Id="rId262" /><Relationship Type="http://schemas.openxmlformats.org/officeDocument/2006/relationships/hyperlink" Target="https://new.land.naver.com/complexes/101485?ms=2AfAQG,3zprE6,17&amp;a=APT:ABYG:JGC&amp;b=A1:B1&amp;e=RETAIL&amp;h=34&amp;i=132&amp;l=198&amp;ad=true" TargetMode="External" Id="rId263" /><Relationship Type="http://schemas.openxmlformats.org/officeDocument/2006/relationships/hyperlink" Target="https://new.land.naver.com/complexes/101485?ms=2AfAQG,3zprE6,17&amp;a=APT:ABYG:JGC&amp;b=A1:B1&amp;e=RETAIL&amp;h=34&amp;i=132&amp;l=198&amp;ad=true" TargetMode="External" Id="rId264" /><Relationship Type="http://schemas.openxmlformats.org/officeDocument/2006/relationships/hyperlink" Target="https://new.land.naver.com/complexes/101485?ms=2AfAQG,3zprE6,17&amp;a=APT:ABYG:JGC&amp;b=A1:B1&amp;e=RETAIL&amp;h=34&amp;i=132&amp;l=198&amp;ad=true" TargetMode="External" Id="rId265" /><Relationship Type="http://schemas.openxmlformats.org/officeDocument/2006/relationships/hyperlink" Target="https://new.land.naver.com/complexes/14858?ms=2AfAQG,3zprE6,17&amp;a=APT:ABYG:JGC&amp;b=A1:B1&amp;e=RETAIL&amp;h=34&amp;i=132&amp;l=198&amp;ad=true" TargetMode="External" Id="rId266" /><Relationship Type="http://schemas.openxmlformats.org/officeDocument/2006/relationships/hyperlink" Target="https://new.land.naver.com/complexes/14858?ms=2AfAQG,3zprE6,17&amp;a=APT:ABYG:JGC&amp;b=A1:B1&amp;e=RETAIL&amp;h=34&amp;i=132&amp;l=198&amp;ad=true" TargetMode="External" Id="rId267" /><Relationship Type="http://schemas.openxmlformats.org/officeDocument/2006/relationships/hyperlink" Target="https://new.land.naver.com/complexes/14858?ms=2AfAQG,3zprE6,17&amp;a=APT:ABYG:JGC&amp;b=A1:B1&amp;e=RETAIL&amp;h=34&amp;i=132&amp;l=198&amp;ad=true" TargetMode="External" Id="rId268" /><Relationship Type="http://schemas.openxmlformats.org/officeDocument/2006/relationships/hyperlink" Target="https://new.land.naver.com/complexes/14858?ms=2AfAQG,3zprE6,17&amp;a=APT:ABYG:JGC&amp;b=A1:B1&amp;e=RETAIL&amp;h=34&amp;i=132&amp;l=198&amp;ad=true" TargetMode="External" Id="rId269" /><Relationship Type="http://schemas.openxmlformats.org/officeDocument/2006/relationships/hyperlink" Target="https://new.land.naver.com/complexes/14858?ms=2AfAQG,3zprE6,17&amp;a=APT:ABYG:JGC&amp;b=A1:B1&amp;e=RETAIL&amp;h=34&amp;i=132&amp;l=198&amp;ad=true" TargetMode="External" Id="rId270" /><Relationship Type="http://schemas.openxmlformats.org/officeDocument/2006/relationships/hyperlink" Target="https://new.land.naver.com/complexes/14858?ms=2AfAQG,3zprE6,17&amp;a=APT:ABYG:JGC&amp;b=A1:B1&amp;e=RETAIL&amp;h=34&amp;i=132&amp;l=198&amp;ad=true" TargetMode="External" Id="rId271" /><Relationship Type="http://schemas.openxmlformats.org/officeDocument/2006/relationships/hyperlink" Target="https://new.land.naver.com/complexes/14858?ms=2AfAQG,3zprE6,17&amp;a=APT:ABYG:JGC&amp;b=A1:B1&amp;e=RETAIL&amp;h=34&amp;i=132&amp;l=198&amp;ad=true" TargetMode="External" Id="rId272" /><Relationship Type="http://schemas.openxmlformats.org/officeDocument/2006/relationships/hyperlink" Target="https://new.land.naver.com/complexes/14858?ms=2AfAQG,3zprE6,17&amp;a=APT:ABYG:JGC&amp;b=A1:B1&amp;e=RETAIL&amp;h=34&amp;i=132&amp;l=198&amp;ad=true" TargetMode="External" Id="rId273" /><Relationship Type="http://schemas.openxmlformats.org/officeDocument/2006/relationships/hyperlink" Target="https://new.land.naver.com/complexes/141629?ms=2AfAQG,3zprE6,17&amp;a=APT:ABYG:JGC&amp;b=A1:B1&amp;e=RETAIL&amp;h=34&amp;i=132&amp;l=198&amp;ad=true" TargetMode="External" Id="rId274" /><Relationship Type="http://schemas.openxmlformats.org/officeDocument/2006/relationships/hyperlink" Target="https://new.land.naver.com/complexes/141629?ms=2AfAQG,3zprE6,17&amp;a=APT:ABYG:JGC&amp;b=A1:B1&amp;e=RETAIL&amp;h=34&amp;i=132&amp;l=198&amp;ad=true" TargetMode="External" Id="rId275" /><Relationship Type="http://schemas.openxmlformats.org/officeDocument/2006/relationships/hyperlink" Target="https://new.land.naver.com/complexes/141629?ms=2AfAQG,3zprE6,17&amp;a=APT:ABYG:JGC&amp;b=A1:B1&amp;e=RETAIL&amp;h=34&amp;i=132&amp;l=198&amp;ad=true" TargetMode="External" Id="rId276" /><Relationship Type="http://schemas.openxmlformats.org/officeDocument/2006/relationships/hyperlink" Target="https://new.land.naver.com/complexes/141629?ms=2AfAQG,3zprE6,17&amp;a=APT:ABYG:JGC&amp;b=A1:B1&amp;e=RETAIL&amp;h=34&amp;i=132&amp;l=198&amp;ad=true" TargetMode="External" Id="rId277" /><Relationship Type="http://schemas.openxmlformats.org/officeDocument/2006/relationships/hyperlink" Target="https://new.land.naver.com/complexes/141629?ms=2AfAQG,3zprE6,17&amp;a=APT:ABYG:JGC&amp;b=A1:B1&amp;e=RETAIL&amp;h=34&amp;i=132&amp;l=198&amp;ad=true" TargetMode="External" Id="rId278" /><Relationship Type="http://schemas.openxmlformats.org/officeDocument/2006/relationships/hyperlink" Target="https://new.land.naver.com/complexes/141629?ms=2AfAQG,3zprE6,17&amp;a=APT:ABYG:JGC&amp;b=A1:B1&amp;e=RETAIL&amp;h=34&amp;i=132&amp;l=198&amp;ad=true" TargetMode="External" Id="rId279" /><Relationship Type="http://schemas.openxmlformats.org/officeDocument/2006/relationships/hyperlink" Target="https://new.land.naver.com/complexes/141629?ms=2AfAQG,3zprE6,17&amp;a=APT:ABYG:JGC&amp;b=A1:B1&amp;e=RETAIL&amp;h=34&amp;i=132&amp;l=198&amp;ad=true" TargetMode="External" Id="rId280" /><Relationship Type="http://schemas.openxmlformats.org/officeDocument/2006/relationships/hyperlink" Target="https://new.land.naver.com/complexes/112307?ms=2AfAQG,3zprE6,17&amp;a=APT:ABYG:JGC&amp;b=A1:B1&amp;e=RETAIL&amp;h=34&amp;i=132&amp;l=198&amp;ad=true" TargetMode="External" Id="rId281" /><Relationship Type="http://schemas.openxmlformats.org/officeDocument/2006/relationships/hyperlink" Target="https://new.land.naver.com/complexes/112307?ms=2AfAQG,3zprE6,17&amp;a=APT:ABYG:JGC&amp;b=A1:B1&amp;e=RETAIL&amp;h=34&amp;i=132&amp;l=198&amp;ad=true" TargetMode="External" Id="rId282" /><Relationship Type="http://schemas.openxmlformats.org/officeDocument/2006/relationships/hyperlink" Target="https://new.land.naver.com/complexes/112307?ms=2AfAQG,3zprE6,17&amp;a=APT:ABYG:JGC&amp;b=A1:B1&amp;e=RETAIL&amp;h=34&amp;i=132&amp;l=198&amp;ad=true" TargetMode="External" Id="rId283" /><Relationship Type="http://schemas.openxmlformats.org/officeDocument/2006/relationships/hyperlink" Target="https://new.land.naver.com/complexes/112307?ms=2AfAQG,3zprE6,17&amp;a=APT:ABYG:JGC&amp;b=A1:B1&amp;e=RETAIL&amp;h=34&amp;i=132&amp;l=198&amp;ad=true" TargetMode="External" Id="rId284" /><Relationship Type="http://schemas.openxmlformats.org/officeDocument/2006/relationships/hyperlink" Target="https://new.land.naver.com/complexes/16836?ms=2AfAQG,3zprE6,17&amp;a=APT:ABYG:JGC&amp;b=A1:B1&amp;e=RETAIL&amp;h=34&amp;i=132&amp;l=198&amp;ad=true" TargetMode="External" Id="rId285" /><Relationship Type="http://schemas.openxmlformats.org/officeDocument/2006/relationships/hyperlink" Target="https://new.land.naver.com/complexes/16836?ms=2AfAQG,3zprE6,17&amp;a=APT:ABYG:JGC&amp;b=A1:B1&amp;e=RETAIL&amp;h=34&amp;i=132&amp;l=198&amp;ad=true" TargetMode="External" Id="rId286" /><Relationship Type="http://schemas.openxmlformats.org/officeDocument/2006/relationships/hyperlink" Target="https://new.land.naver.com/complexes/109465?ms=2AfAQG,3zprE6,17&amp;a=APT:ABYG:JGC&amp;b=A1:B1&amp;e=RETAIL&amp;h=34&amp;i=132&amp;l=198&amp;ad=true" TargetMode="External" Id="rId287" /><Relationship Type="http://schemas.openxmlformats.org/officeDocument/2006/relationships/hyperlink" Target="https://new.land.naver.com/complexes/109465?ms=2AfAQG,3zprE6,17&amp;a=APT:ABYG:JGC&amp;b=A1:B1&amp;e=RETAIL&amp;h=34&amp;i=132&amp;l=198&amp;ad=true" TargetMode="External" Id="rId288" /><Relationship Type="http://schemas.openxmlformats.org/officeDocument/2006/relationships/hyperlink" Target="https://new.land.naver.com/complexes/109465?ms=2AfAQG,3zprE6,17&amp;a=APT:ABYG:JGC&amp;b=A1:B1&amp;e=RETAIL&amp;h=34&amp;i=132&amp;l=198&amp;ad=true" TargetMode="External" Id="rId289" /><Relationship Type="http://schemas.openxmlformats.org/officeDocument/2006/relationships/hyperlink" Target="https://new.land.naver.com/complexes/109465?ms=2AfAQG,3zprE6,17&amp;a=APT:ABYG:JGC&amp;b=A1:B1&amp;e=RETAIL&amp;h=34&amp;i=132&amp;l=198&amp;ad=true" TargetMode="External" Id="rId290" /><Relationship Type="http://schemas.openxmlformats.org/officeDocument/2006/relationships/hyperlink" Target="https://new.land.naver.com/complexes/109465?ms=2AfAQG,3zprE6,17&amp;a=APT:ABYG:JGC&amp;b=A1:B1&amp;e=RETAIL&amp;h=34&amp;i=132&amp;l=198&amp;ad=true" TargetMode="External" Id="rId291" /><Relationship Type="http://schemas.openxmlformats.org/officeDocument/2006/relationships/hyperlink" Target="https://new.land.naver.com/complexes/11007?ms=2AfAQG,3zprE6,17&amp;a=APT:ABYG:JGC&amp;b=A1:B1&amp;e=RETAIL&amp;h=34&amp;i=132&amp;l=198&amp;ad=true" TargetMode="External" Id="rId292" /><Relationship Type="http://schemas.openxmlformats.org/officeDocument/2006/relationships/hyperlink" Target="https://new.land.naver.com/complexes/11007?ms=2AfAQG,3zprE6,17&amp;a=APT:ABYG:JGC&amp;b=A1:B1&amp;e=RETAIL&amp;h=34&amp;i=132&amp;l=198&amp;ad=true" TargetMode="External" Id="rId293" /><Relationship Type="http://schemas.openxmlformats.org/officeDocument/2006/relationships/hyperlink" Target="https://new.land.naver.com/complexes/148119?ms=2AfAQG,3zprE6,17&amp;a=APT:ABYG:JGC&amp;b=A1:B1&amp;e=RETAIL&amp;h=34&amp;i=132&amp;l=198&amp;ad=true" TargetMode="External" Id="rId294" /><Relationship Type="http://schemas.openxmlformats.org/officeDocument/2006/relationships/hyperlink" Target="https://new.land.naver.com/complexes/148119?ms=2AfAQG,3zprE6,17&amp;a=APT:ABYG:JGC&amp;b=A1:B1&amp;e=RETAIL&amp;h=34&amp;i=132&amp;l=198&amp;ad=true" TargetMode="External" Id="rId295" /><Relationship Type="http://schemas.openxmlformats.org/officeDocument/2006/relationships/hyperlink" Target="https://new.land.naver.com/complexes/148119?ms=2AfAQG,3zprE6,17&amp;a=APT:ABYG:JGC&amp;b=A1:B1&amp;e=RETAIL&amp;h=34&amp;i=132&amp;l=198&amp;ad=true" TargetMode="External" Id="rId296" /><Relationship Type="http://schemas.openxmlformats.org/officeDocument/2006/relationships/hyperlink" Target="https://new.land.naver.com/complexes/148119?ms=2AfAQG,3zprE6,17&amp;a=APT:ABYG:JGC&amp;b=A1:B1&amp;e=RETAIL&amp;h=34&amp;i=132&amp;l=198&amp;ad=true" TargetMode="External" Id="rId297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72"/>
  <sheetViews>
    <sheetView zoomScale="55" zoomScaleNormal="55" workbookViewId="0">
      <selection activeCell="E7" sqref="E7"/>
    </sheetView>
  </sheetViews>
  <sheetFormatPr baseColWidth="8" defaultRowHeight="14"/>
  <cols>
    <col width="8.6328125" customWidth="1" style="164" min="1" max="1"/>
    <col width="10.08984375" bestFit="1" customWidth="1" style="9" min="2" max="2"/>
    <col width="8.6328125" customWidth="1" style="10" min="3" max="3"/>
    <col width="19.453125" customWidth="1" style="164" min="4" max="4"/>
    <col width="8.6328125" customWidth="1" style="164" min="5" max="5"/>
    <col width="17.36328125" customWidth="1" style="164" min="6" max="6"/>
    <col width="7.453125" customWidth="1" style="164" min="7" max="7"/>
    <col width="8.6328125" customWidth="1" style="11" min="12" max="12"/>
    <col width="8.6328125" customWidth="1" style="140" min="15" max="16"/>
    <col width="8.6328125" customWidth="1" style="2" min="17" max="17"/>
    <col width="11.1796875" customWidth="1" style="1" min="18" max="18"/>
    <col width="8.453125" bestFit="1" customWidth="1" style="139" min="26" max="26"/>
  </cols>
  <sheetData>
    <row r="1">
      <c r="B1" s="12" t="inlineStr">
        <is>
          <t>상</t>
        </is>
      </c>
      <c r="C1" s="13" t="inlineStr">
        <is>
          <t>중</t>
        </is>
      </c>
      <c r="L1" s="339" t="n"/>
      <c r="Q1" s="357" t="n"/>
    </row>
    <row r="2">
      <c r="B2" s="12" t="inlineStr">
        <is>
          <t>하</t>
        </is>
      </c>
      <c r="C2" s="12" t="n"/>
      <c r="L2" s="339" t="n"/>
      <c r="Q2" s="357" t="n"/>
    </row>
    <row r="3" ht="20" customHeight="1" s="139">
      <c r="A3" s="164" t="n">
        <v>84</v>
      </c>
      <c r="B3" s="366" t="inlineStr">
        <is>
          <t>선호도</t>
        </is>
      </c>
      <c r="C3" s="367" t="n"/>
      <c r="D3" s="364" t="inlineStr">
        <is>
          <t>단지정보 (30평)</t>
        </is>
      </c>
      <c r="E3" s="365" t="n"/>
      <c r="F3" s="365" t="n"/>
      <c r="G3" s="365" t="n"/>
      <c r="H3" s="365" t="n"/>
      <c r="I3" s="365" t="n"/>
      <c r="J3" s="365" t="n"/>
      <c r="K3" s="365" t="n"/>
      <c r="L3" s="368" t="inlineStr">
        <is>
          <t>투자결과</t>
        </is>
      </c>
      <c r="M3" s="365" t="n"/>
      <c r="N3" s="365" t="n"/>
      <c r="O3" s="365" t="n"/>
      <c r="P3" s="367" t="n"/>
    </row>
    <row r="4" ht="20" customHeight="1" s="139" thickBot="1">
      <c r="B4" s="3" t="inlineStr">
        <is>
          <t>생활권</t>
        </is>
      </c>
      <c r="C4" s="4" t="inlineStr">
        <is>
          <t>생활권 내</t>
        </is>
      </c>
      <c r="D4" s="5" t="inlineStr">
        <is>
          <t>단지명</t>
        </is>
      </c>
      <c r="E4" s="5" t="inlineStr">
        <is>
          <t>시기(년)</t>
        </is>
      </c>
      <c r="F4" s="5" t="inlineStr">
        <is>
          <t>전세가율 80%이상인 기간</t>
        </is>
      </c>
      <c r="G4" s="5" t="inlineStr">
        <is>
          <t>평형</t>
        </is>
      </c>
      <c r="H4" s="5" t="inlineStr">
        <is>
          <t>매매가</t>
        </is>
      </c>
      <c r="I4" s="5" t="inlineStr">
        <is>
          <t>전세가</t>
        </is>
      </c>
      <c r="J4" s="5" t="inlineStr">
        <is>
          <t>전세가율</t>
        </is>
      </c>
      <c r="K4" s="6" t="inlineStr">
        <is>
          <t>투자금</t>
        </is>
      </c>
      <c r="L4" s="3" t="inlineStr">
        <is>
          <t>시기(년)</t>
        </is>
      </c>
      <c r="M4" s="3" t="inlineStr">
        <is>
          <t>매매가</t>
        </is>
      </c>
      <c r="N4" s="3" t="inlineStr">
        <is>
          <t>수익금</t>
        </is>
      </c>
      <c r="O4" s="7" t="inlineStr">
        <is>
          <t>상승율</t>
        </is>
      </c>
      <c r="P4" s="8" t="inlineStr">
        <is>
          <t>수익율</t>
        </is>
      </c>
      <c r="R4" s="14" t="n"/>
    </row>
    <row r="5" ht="18" customHeight="1" s="139" thickTop="1">
      <c r="A5" s="164" t="inlineStr">
        <is>
          <t>생활권</t>
        </is>
      </c>
      <c r="D5" s="337" t="n"/>
      <c r="E5" s="337" t="n"/>
      <c r="H5" s="405" t="n"/>
      <c r="I5" s="405" t="n"/>
      <c r="J5" s="140">
        <f>I5/H5</f>
        <v/>
      </c>
      <c r="K5" s="147">
        <f>H5-I5</f>
        <v/>
      </c>
      <c r="M5" s="405" t="n"/>
      <c r="N5" s="405">
        <f>M5-H5</f>
        <v/>
      </c>
      <c r="O5" s="140">
        <f>1+(M5-H5)/H5</f>
        <v/>
      </c>
      <c r="P5" s="140">
        <f>N5/K5</f>
        <v/>
      </c>
      <c r="R5" s="15" t="inlineStr">
        <is>
          <t>나만의 인싸이트</t>
        </is>
      </c>
      <c r="Z5" s="339" t="inlineStr">
        <is>
          <t xml:space="preserve">감사합니다 튜터님 ㅎㅎㅎ 정리하자면 </t>
        </is>
      </c>
    </row>
    <row r="6" ht="18" customHeight="1" s="139">
      <c r="A6" s="164" t="inlineStr">
        <is>
          <t>생활권</t>
        </is>
      </c>
      <c r="D6" s="337" t="n"/>
      <c r="E6" s="337" t="n"/>
      <c r="H6" s="405" t="n"/>
      <c r="I6" s="405" t="n"/>
      <c r="J6" s="140">
        <f>I6/H6</f>
        <v/>
      </c>
      <c r="K6" s="147">
        <f>H6-I6</f>
        <v/>
      </c>
      <c r="M6" s="405" t="n"/>
      <c r="N6" s="405">
        <f>M6-H6</f>
        <v/>
      </c>
      <c r="O6" s="140">
        <f>1+(M6-H6)/H6</f>
        <v/>
      </c>
      <c r="P6" s="140">
        <f>N6/K6</f>
        <v/>
      </c>
      <c r="R6" s="16" t="n"/>
      <c r="Z6" s="339" t="inlineStr">
        <is>
          <t>1. 생활권 별 / 선호도 별 단지 추출 (상중하)</t>
        </is>
      </c>
    </row>
    <row r="7" ht="18" customHeight="1" s="139">
      <c r="A7" s="164" t="inlineStr">
        <is>
          <t>생활권</t>
        </is>
      </c>
      <c r="D7" s="337" t="n"/>
      <c r="E7" s="337" t="n"/>
      <c r="H7" s="405" t="n"/>
      <c r="I7" s="405" t="n"/>
      <c r="J7" s="140">
        <f>I7/H7</f>
        <v/>
      </c>
      <c r="K7" s="147">
        <f>H7-I7</f>
        <v/>
      </c>
      <c r="M7" s="405" t="n"/>
      <c r="N7" s="405">
        <f>M7-H7</f>
        <v/>
      </c>
      <c r="O7" s="140">
        <f>1+(M7-H7)/H7</f>
        <v/>
      </c>
      <c r="P7" s="140">
        <f>N7/K7</f>
        <v/>
      </c>
      <c r="R7" s="16" t="n"/>
      <c r="Z7" s="339" t="inlineStr">
        <is>
          <t>2. 각 단지들 투자하기 좋았던 시기 기록 (전세가율 80% 이상인 시기, 투자기회를 얼마나 주었는가?)</t>
        </is>
      </c>
    </row>
    <row r="8" ht="18" customHeight="1" s="139">
      <c r="A8" s="164" t="inlineStr">
        <is>
          <t>생활권</t>
        </is>
      </c>
      <c r="D8" s="337" t="n"/>
      <c r="E8" s="337" t="n"/>
      <c r="H8" s="405" t="n"/>
      <c r="I8" s="405" t="n"/>
      <c r="J8" s="140">
        <f>I8/H8</f>
        <v/>
      </c>
      <c r="K8" s="147">
        <f>H8-I8</f>
        <v/>
      </c>
      <c r="M8" s="405" t="n"/>
      <c r="N8" s="405">
        <f>M8-H8</f>
        <v/>
      </c>
      <c r="O8" s="140">
        <f>1+(M8-H8)/H8</f>
        <v/>
      </c>
      <c r="P8" s="140">
        <f>N8/K8</f>
        <v/>
      </c>
      <c r="R8" s="16" t="n"/>
      <c r="Z8" s="339" t="inlineStr">
        <is>
          <t>3. 그 단지들 전고점 시기 기록</t>
        </is>
      </c>
    </row>
    <row r="9" ht="18" customHeight="1" s="139">
      <c r="A9" s="164" t="inlineStr">
        <is>
          <t>생활권</t>
        </is>
      </c>
      <c r="D9" s="337" t="n"/>
      <c r="E9" s="337" t="n"/>
      <c r="H9" s="405" t="n"/>
      <c r="I9" s="405" t="n"/>
      <c r="J9" s="140">
        <f>I9/H9</f>
        <v/>
      </c>
      <c r="K9" s="147">
        <f>H9-I9</f>
        <v/>
      </c>
      <c r="M9" s="405" t="n"/>
      <c r="N9" s="405">
        <f>M9-H9</f>
        <v/>
      </c>
      <c r="O9" s="140">
        <f>1+(M9-H9)/H9</f>
        <v/>
      </c>
      <c r="P9" s="140">
        <f>N9/K9</f>
        <v/>
      </c>
      <c r="R9" s="16" t="n"/>
      <c r="Z9" s="339" t="inlineStr">
        <is>
          <t>4. [2번 시기]에 투자했을 때 [3번 시기] 기준 수익률 분석</t>
        </is>
      </c>
    </row>
    <row r="10" ht="18" customHeight="1" s="139">
      <c r="A10" s="164" t="inlineStr">
        <is>
          <t>생활권</t>
        </is>
      </c>
      <c r="D10" s="337" t="n"/>
      <c r="E10" s="337" t="n"/>
      <c r="H10" s="405" t="n"/>
      <c r="I10" s="405" t="n"/>
      <c r="J10" s="140">
        <f>I10/H10</f>
        <v/>
      </c>
      <c r="K10" s="147">
        <f>H10-I10</f>
        <v/>
      </c>
      <c r="M10" s="405" t="n"/>
      <c r="N10" s="405">
        <f>M10-H10</f>
        <v/>
      </c>
      <c r="O10" s="140">
        <f>1+(M10-H10)/H10</f>
        <v/>
      </c>
      <c r="P10" s="140">
        <f>N10/K10</f>
        <v/>
      </c>
      <c r="R10" s="16" t="n"/>
    </row>
    <row r="11" ht="18" customHeight="1" s="139">
      <c r="A11" s="164" t="inlineStr">
        <is>
          <t>생활권</t>
        </is>
      </c>
      <c r="D11" s="337" t="n"/>
      <c r="E11" s="337" t="n"/>
      <c r="H11" s="405" t="n"/>
      <c r="I11" s="405" t="n"/>
      <c r="J11" s="140">
        <f>I11/H11</f>
        <v/>
      </c>
      <c r="K11" s="147">
        <f>H11-I11</f>
        <v/>
      </c>
      <c r="M11" s="405" t="n"/>
      <c r="N11" s="405">
        <f>M11-H11</f>
        <v/>
      </c>
      <c r="O11" s="140">
        <f>1+(M11-H11)/H11</f>
        <v/>
      </c>
      <c r="P11" s="140">
        <f>N11/K11</f>
        <v/>
      </c>
      <c r="R11" s="16" t="n"/>
      <c r="Z11" s="19" t="inlineStr">
        <is>
          <t>선명한 앞마당을 만들어 줄 '찐' 수익률분석 [나알이]</t>
        </is>
      </c>
      <c r="AA11" s="18" t="n"/>
      <c r="AB11" s="18" t="n"/>
      <c r="AC11" s="18" t="n"/>
    </row>
    <row r="12" ht="18" customHeight="1" s="139">
      <c r="A12" s="164" t="inlineStr">
        <is>
          <t>생활권</t>
        </is>
      </c>
      <c r="D12" s="337" t="n"/>
      <c r="E12" s="337" t="n"/>
      <c r="H12" s="405" t="n"/>
      <c r="I12" s="405" t="n"/>
      <c r="J12" s="140">
        <f>I12/H12</f>
        <v/>
      </c>
      <c r="K12" s="147">
        <f>H12-I12</f>
        <v/>
      </c>
      <c r="M12" s="405" t="n"/>
      <c r="N12" s="405">
        <f>M12-H12</f>
        <v/>
      </c>
      <c r="O12" s="140">
        <f>1+(M12-H12)/H12</f>
        <v/>
      </c>
      <c r="P12" s="140">
        <f>N12/K12</f>
        <v/>
      </c>
      <c r="R12" s="15" t="inlineStr">
        <is>
          <t>결론</t>
        </is>
      </c>
      <c r="Z12" s="339" t="inlineStr">
        <is>
          <t>https://weolbu.com/s/MhxRTz9ZpG</t>
        </is>
      </c>
    </row>
    <row r="13" ht="18" customHeight="1" s="139">
      <c r="A13" s="164" t="inlineStr">
        <is>
          <t>생활권</t>
        </is>
      </c>
      <c r="D13" s="337" t="n"/>
      <c r="E13" s="337" t="n"/>
      <c r="H13" s="405" t="n"/>
      <c r="I13" s="405" t="n"/>
      <c r="J13" s="140">
        <f>I13/H13</f>
        <v/>
      </c>
      <c r="K13" s="147">
        <f>H13-I13</f>
        <v/>
      </c>
      <c r="M13" s="405" t="n"/>
      <c r="N13" s="405">
        <f>M13-H13</f>
        <v/>
      </c>
      <c r="O13" s="140">
        <f>1+(M13-H13)/H13</f>
        <v/>
      </c>
      <c r="P13" s="140">
        <f>N13/K13</f>
        <v/>
      </c>
      <c r="R13" s="16" t="n"/>
    </row>
    <row r="14" ht="18" customHeight="1" s="139">
      <c r="A14" s="164" t="inlineStr">
        <is>
          <t>생활권</t>
        </is>
      </c>
      <c r="D14" s="337" t="n"/>
      <c r="E14" s="337" t="n"/>
      <c r="H14" s="405" t="n"/>
      <c r="I14" s="405" t="n"/>
      <c r="J14" s="140">
        <f>I14/H14</f>
        <v/>
      </c>
      <c r="K14" s="147">
        <f>H14-I14</f>
        <v/>
      </c>
      <c r="M14" s="405" t="n"/>
      <c r="N14" s="405">
        <f>M14-H14</f>
        <v/>
      </c>
      <c r="O14" s="140">
        <f>1+(M14-H14)/H14</f>
        <v/>
      </c>
      <c r="P14" s="140">
        <f>N14/K14</f>
        <v/>
      </c>
      <c r="R14" s="16" t="n"/>
    </row>
    <row r="15" ht="18" customHeight="1" s="139">
      <c r="A15" s="164" t="inlineStr">
        <is>
          <t>생활권</t>
        </is>
      </c>
      <c r="D15" s="337" t="n"/>
      <c r="E15" s="337" t="n"/>
      <c r="H15" s="405" t="n"/>
      <c r="I15" s="405" t="n"/>
      <c r="J15" s="140">
        <f>I15/H15</f>
        <v/>
      </c>
      <c r="K15" s="147">
        <f>H15-I15</f>
        <v/>
      </c>
      <c r="M15" s="405" t="n"/>
      <c r="N15" s="405">
        <f>M15-H15</f>
        <v/>
      </c>
      <c r="O15" s="140">
        <f>1+(M15-H15)/H15</f>
        <v/>
      </c>
      <c r="P15" s="140">
        <f>N15/K15</f>
        <v/>
      </c>
      <c r="R15" s="16" t="n"/>
    </row>
    <row r="16" ht="18" customHeight="1" s="139">
      <c r="A16" s="164" t="inlineStr">
        <is>
          <t>생활권</t>
        </is>
      </c>
      <c r="D16" s="337" t="n"/>
      <c r="E16" s="337" t="n"/>
      <c r="H16" s="405" t="n"/>
      <c r="I16" s="405" t="n"/>
      <c r="J16" s="140">
        <f>I16/H16</f>
        <v/>
      </c>
      <c r="K16" s="147">
        <f>H16-I16</f>
        <v/>
      </c>
      <c r="M16" s="405" t="n"/>
      <c r="N16" s="405">
        <f>M16-H16</f>
        <v/>
      </c>
      <c r="O16" s="140">
        <f>1+(M16-H16)/H16</f>
        <v/>
      </c>
      <c r="P16" s="140">
        <f>N16/K16</f>
        <v/>
      </c>
      <c r="R16" s="16" t="n"/>
    </row>
    <row r="17" ht="18" customHeight="1" s="139">
      <c r="A17" s="164" t="inlineStr">
        <is>
          <t>생활권</t>
        </is>
      </c>
      <c r="D17" s="337" t="n"/>
      <c r="E17" s="337" t="n"/>
      <c r="H17" s="405" t="n"/>
      <c r="I17" s="405" t="n"/>
      <c r="J17" s="140">
        <f>I17/H17</f>
        <v/>
      </c>
      <c r="K17" s="147">
        <f>H17-I17</f>
        <v/>
      </c>
      <c r="M17" s="405" t="n"/>
      <c r="N17" s="405">
        <f>M17-H17</f>
        <v/>
      </c>
      <c r="O17" s="140">
        <f>1+(M17-H17)/H17</f>
        <v/>
      </c>
      <c r="P17" s="140">
        <f>N17/K17</f>
        <v/>
      </c>
      <c r="R17" s="16" t="n"/>
    </row>
    <row r="18" ht="18" customHeight="1" s="139">
      <c r="A18" s="164" t="inlineStr">
        <is>
          <t>생활권</t>
        </is>
      </c>
      <c r="D18" s="337" t="n"/>
      <c r="E18" s="337" t="n"/>
      <c r="H18" s="405" t="n"/>
      <c r="I18" s="405" t="n"/>
      <c r="J18" s="140">
        <f>I18/H18</f>
        <v/>
      </c>
      <c r="K18" s="147">
        <f>H18-I18</f>
        <v/>
      </c>
      <c r="M18" s="405" t="n"/>
      <c r="N18" s="405">
        <f>M18-H18</f>
        <v/>
      </c>
      <c r="O18" s="140">
        <f>1+(M18-H18)/H18</f>
        <v/>
      </c>
      <c r="P18" s="140">
        <f>N18/K18</f>
        <v/>
      </c>
      <c r="R18" s="16" t="n"/>
    </row>
    <row r="19" ht="18" customHeight="1" s="139">
      <c r="A19" s="164" t="inlineStr">
        <is>
          <t>생활권</t>
        </is>
      </c>
      <c r="D19" s="337" t="n"/>
      <c r="E19" s="337" t="n"/>
      <c r="H19" s="405" t="n"/>
      <c r="I19" s="405" t="n"/>
      <c r="J19" s="140">
        <f>I19/H19</f>
        <v/>
      </c>
      <c r="K19" s="147">
        <f>H19-I19</f>
        <v/>
      </c>
      <c r="M19" s="405" t="n"/>
      <c r="N19" s="405">
        <f>M19-H19</f>
        <v/>
      </c>
      <c r="O19" s="140">
        <f>1+(M19-H19)/H19</f>
        <v/>
      </c>
      <c r="P19" s="140">
        <f>N19/K19</f>
        <v/>
      </c>
      <c r="R19" s="15" t="inlineStr">
        <is>
          <t>투자적용 및 질문</t>
        </is>
      </c>
    </row>
    <row r="20" ht="18" customHeight="1" s="139">
      <c r="A20" s="164" t="inlineStr">
        <is>
          <t>생활권</t>
        </is>
      </c>
      <c r="D20" s="337" t="n"/>
      <c r="E20" s="337" t="n"/>
      <c r="H20" s="405" t="n"/>
      <c r="I20" s="405" t="n"/>
      <c r="J20" s="140">
        <f>I20/H20</f>
        <v/>
      </c>
      <c r="K20" s="147">
        <f>H20-I20</f>
        <v/>
      </c>
      <c r="M20" s="405" t="n"/>
      <c r="N20" s="405">
        <f>M20-H20</f>
        <v/>
      </c>
      <c r="O20" s="140">
        <f>1+(M20-H20)/H20</f>
        <v/>
      </c>
      <c r="P20" s="140">
        <f>N20/K20</f>
        <v/>
      </c>
      <c r="R20" s="16" t="n"/>
    </row>
    <row r="21" ht="18" customHeight="1" s="139">
      <c r="A21" s="164" t="inlineStr">
        <is>
          <t>생활권</t>
        </is>
      </c>
      <c r="D21" s="337" t="n"/>
      <c r="E21" s="337" t="n"/>
      <c r="H21" s="405" t="n"/>
      <c r="I21" s="405" t="n"/>
      <c r="J21" s="140">
        <f>I21/H21</f>
        <v/>
      </c>
      <c r="K21" s="147">
        <f>H21-I21</f>
        <v/>
      </c>
      <c r="M21" s="405" t="n"/>
      <c r="N21" s="405">
        <f>M21-H21</f>
        <v/>
      </c>
      <c r="O21" s="140">
        <f>1+(M21-H21)/H21</f>
        <v/>
      </c>
      <c r="P21" s="140">
        <f>N21/K21</f>
        <v/>
      </c>
      <c r="R21" s="16" t="n"/>
    </row>
    <row r="22" ht="18" customHeight="1" s="139">
      <c r="A22" s="164" t="inlineStr">
        <is>
          <t>생활권</t>
        </is>
      </c>
      <c r="D22" s="337" t="n"/>
      <c r="E22" s="337" t="n"/>
      <c r="H22" s="405" t="n"/>
      <c r="I22" s="405" t="n"/>
      <c r="J22" s="140">
        <f>I22/H22</f>
        <v/>
      </c>
      <c r="K22" s="147">
        <f>H22-I22</f>
        <v/>
      </c>
      <c r="M22" s="405" t="n"/>
      <c r="N22" s="405">
        <f>M22-H22</f>
        <v/>
      </c>
      <c r="O22" s="140">
        <f>1+(M22-H22)/H22</f>
        <v/>
      </c>
      <c r="P22" s="140">
        <f>N22/K22</f>
        <v/>
      </c>
      <c r="R22" s="16" t="n"/>
    </row>
    <row r="23" ht="18" customHeight="1" s="139">
      <c r="A23" s="164" t="inlineStr">
        <is>
          <t>생활권</t>
        </is>
      </c>
      <c r="D23" s="337" t="n"/>
      <c r="E23" s="337" t="n"/>
      <c r="H23" s="405" t="n"/>
      <c r="I23" s="405" t="n"/>
      <c r="J23" s="140">
        <f>I23/H23</f>
        <v/>
      </c>
      <c r="K23" s="147">
        <f>H23-I23</f>
        <v/>
      </c>
      <c r="M23" s="405" t="n"/>
      <c r="N23" s="405">
        <f>M23-H23</f>
        <v/>
      </c>
      <c r="O23" s="140">
        <f>1+(M23-H23)/H23</f>
        <v/>
      </c>
      <c r="P23" s="140">
        <f>N23/K23</f>
        <v/>
      </c>
      <c r="R23" s="16" t="n"/>
    </row>
    <row r="24" ht="18" customHeight="1" s="139">
      <c r="A24" s="164" t="n">
        <v>59</v>
      </c>
      <c r="B24" s="366" t="inlineStr">
        <is>
          <t>선호도</t>
        </is>
      </c>
      <c r="C24" s="367" t="n"/>
      <c r="D24" s="364" t="inlineStr">
        <is>
          <t>단지정보 (20평)</t>
        </is>
      </c>
      <c r="E24" s="365" t="n"/>
      <c r="F24" s="365" t="n"/>
      <c r="G24" s="365" t="n"/>
      <c r="H24" s="365" t="n"/>
      <c r="I24" s="365" t="n"/>
      <c r="J24" s="365" t="n"/>
      <c r="K24" s="365" t="n"/>
      <c r="L24" s="368" t="inlineStr">
        <is>
          <t>투자결과</t>
        </is>
      </c>
      <c r="M24" s="365" t="n"/>
      <c r="N24" s="365" t="n"/>
      <c r="O24" s="365" t="n"/>
      <c r="P24" s="367" t="n"/>
      <c r="R24" s="16" t="n"/>
    </row>
    <row r="25" ht="18" customHeight="1" s="139" thickBot="1">
      <c r="B25" s="3" t="inlineStr">
        <is>
          <t>생활권</t>
        </is>
      </c>
      <c r="C25" s="4" t="inlineStr">
        <is>
          <t>생활권 내</t>
        </is>
      </c>
      <c r="D25" s="5" t="inlineStr">
        <is>
          <t>단지명</t>
        </is>
      </c>
      <c r="E25" s="5" t="inlineStr">
        <is>
          <t>시기(년)</t>
        </is>
      </c>
      <c r="F25" s="5" t="inlineStr">
        <is>
          <t>전세가율 80%이상인 기간</t>
        </is>
      </c>
      <c r="G25" s="5" t="inlineStr">
        <is>
          <t>평형</t>
        </is>
      </c>
      <c r="H25" s="5" t="inlineStr">
        <is>
          <t>매매가</t>
        </is>
      </c>
      <c r="I25" s="5" t="inlineStr">
        <is>
          <t>전세가</t>
        </is>
      </c>
      <c r="J25" s="5" t="inlineStr">
        <is>
          <t>전세가율</t>
        </is>
      </c>
      <c r="K25" s="6" t="inlineStr">
        <is>
          <t>투자금</t>
        </is>
      </c>
      <c r="L25" s="3" t="inlineStr">
        <is>
          <t>시기(년)</t>
        </is>
      </c>
      <c r="M25" s="3" t="inlineStr">
        <is>
          <t>매매가</t>
        </is>
      </c>
      <c r="N25" s="3" t="inlineStr">
        <is>
          <t>수익금</t>
        </is>
      </c>
      <c r="O25" s="7" t="inlineStr">
        <is>
          <t>상승율</t>
        </is>
      </c>
      <c r="P25" s="8" t="inlineStr">
        <is>
          <t>수익율</t>
        </is>
      </c>
      <c r="R25" s="17" t="n"/>
    </row>
    <row r="26" ht="18" customHeight="1" s="139" thickTop="1">
      <c r="A26" s="164" t="inlineStr">
        <is>
          <t>생활권</t>
        </is>
      </c>
      <c r="D26" s="337" t="n"/>
      <c r="E26" s="337" t="n"/>
      <c r="H26" s="405" t="n"/>
      <c r="I26" s="405" t="n"/>
      <c r="J26" s="140">
        <f>I26/H26</f>
        <v/>
      </c>
      <c r="K26" s="147">
        <f>H26-I26</f>
        <v/>
      </c>
      <c r="M26" s="405" t="n"/>
      <c r="N26" s="405">
        <f>M26-H26</f>
        <v/>
      </c>
      <c r="O26" s="140">
        <f>1+(M26-H26)/H26</f>
        <v/>
      </c>
      <c r="P26" s="140">
        <f>N26/K26</f>
        <v/>
      </c>
    </row>
    <row r="27" ht="18" customHeight="1" s="139">
      <c r="A27" s="164" t="inlineStr">
        <is>
          <t>생활권</t>
        </is>
      </c>
      <c r="D27" s="337" t="n"/>
      <c r="E27" s="337" t="n"/>
      <c r="H27" s="405" t="n"/>
      <c r="I27" s="405" t="n"/>
      <c r="J27" s="140">
        <f>I27/H27</f>
        <v/>
      </c>
      <c r="K27" s="147">
        <f>H27-I27</f>
        <v/>
      </c>
      <c r="M27" s="405" t="n"/>
      <c r="N27" s="405">
        <f>M27-H27</f>
        <v/>
      </c>
      <c r="O27" s="140">
        <f>1+(M27-H27)/H27</f>
        <v/>
      </c>
      <c r="P27" s="140">
        <f>N27/K27</f>
        <v/>
      </c>
    </row>
    <row r="28" ht="18" customHeight="1" s="139">
      <c r="A28" s="164" t="inlineStr">
        <is>
          <t>생활권</t>
        </is>
      </c>
      <c r="D28" s="337" t="n"/>
      <c r="E28" s="337" t="n"/>
      <c r="H28" s="405" t="n"/>
      <c r="I28" s="405" t="n"/>
      <c r="J28" s="140">
        <f>I28/H28</f>
        <v/>
      </c>
      <c r="K28" s="147">
        <f>H28-I28</f>
        <v/>
      </c>
      <c r="M28" s="405" t="n"/>
      <c r="N28" s="405">
        <f>M28-H28</f>
        <v/>
      </c>
      <c r="O28" s="140">
        <f>1+(M28-H28)/H28</f>
        <v/>
      </c>
      <c r="P28" s="140">
        <f>N28/K28</f>
        <v/>
      </c>
    </row>
    <row r="29" ht="18" customHeight="1" s="139">
      <c r="A29" s="164" t="inlineStr">
        <is>
          <t>생활권</t>
        </is>
      </c>
      <c r="D29" s="337" t="n"/>
      <c r="E29" s="337" t="n"/>
      <c r="H29" s="405" t="n"/>
      <c r="I29" s="405" t="n"/>
      <c r="J29" s="140">
        <f>I29/H29</f>
        <v/>
      </c>
      <c r="K29" s="147">
        <f>H29-I29</f>
        <v/>
      </c>
      <c r="M29" s="405" t="n"/>
      <c r="N29" s="405">
        <f>M29-H29</f>
        <v/>
      </c>
      <c r="O29" s="140">
        <f>1+(M29-H29)/H29</f>
        <v/>
      </c>
      <c r="P29" s="140">
        <f>N29/K29</f>
        <v/>
      </c>
    </row>
    <row r="30" ht="18" customHeight="1" s="139">
      <c r="A30" s="164" t="inlineStr">
        <is>
          <t>생활권</t>
        </is>
      </c>
      <c r="D30" s="337" t="n"/>
      <c r="E30" s="337" t="n"/>
      <c r="H30" s="405" t="n"/>
      <c r="I30" s="405" t="n"/>
      <c r="J30" s="140">
        <f>I30/H30</f>
        <v/>
      </c>
      <c r="K30" s="147">
        <f>H30-I30</f>
        <v/>
      </c>
      <c r="M30" s="405" t="n"/>
      <c r="N30" s="405">
        <f>M30-H30</f>
        <v/>
      </c>
      <c r="O30" s="140">
        <f>1+(M30-H30)/H30</f>
        <v/>
      </c>
      <c r="P30" s="140">
        <f>N30/K30</f>
        <v/>
      </c>
    </row>
    <row r="31" ht="18" customHeight="1" s="139">
      <c r="A31" s="164" t="inlineStr">
        <is>
          <t>생활권</t>
        </is>
      </c>
      <c r="D31" s="337" t="n"/>
      <c r="E31" s="337" t="n"/>
      <c r="H31" s="405" t="n"/>
      <c r="I31" s="405" t="n"/>
      <c r="J31" s="140">
        <f>I31/H31</f>
        <v/>
      </c>
      <c r="K31" s="147">
        <f>H31-I31</f>
        <v/>
      </c>
      <c r="M31" s="405" t="n"/>
      <c r="N31" s="405">
        <f>M31-H31</f>
        <v/>
      </c>
      <c r="O31" s="140">
        <f>1+(M31-H31)/H31</f>
        <v/>
      </c>
      <c r="P31" s="140">
        <f>N31/K31</f>
        <v/>
      </c>
    </row>
    <row r="32" ht="18" customHeight="1" s="139">
      <c r="A32" s="164" t="inlineStr">
        <is>
          <t>생활권</t>
        </is>
      </c>
      <c r="D32" s="337" t="n"/>
      <c r="E32" s="337" t="n"/>
      <c r="H32" s="405" t="n"/>
      <c r="I32" s="405" t="n"/>
      <c r="J32" s="140">
        <f>I32/H32</f>
        <v/>
      </c>
      <c r="K32" s="147">
        <f>H32-I32</f>
        <v/>
      </c>
      <c r="M32" s="405" t="n"/>
      <c r="N32" s="405">
        <f>M32-H32</f>
        <v/>
      </c>
      <c r="O32" s="140">
        <f>1+(M32-H32)/H32</f>
        <v/>
      </c>
      <c r="P32" s="140">
        <f>N32/K32</f>
        <v/>
      </c>
    </row>
    <row r="33" ht="18" customHeight="1" s="139">
      <c r="A33" s="164" t="inlineStr">
        <is>
          <t>생활권</t>
        </is>
      </c>
      <c r="D33" s="337" t="n"/>
      <c r="E33" s="337" t="n"/>
      <c r="H33" s="405" t="n"/>
      <c r="I33" s="405" t="n"/>
      <c r="J33" s="140">
        <f>I33/H33</f>
        <v/>
      </c>
      <c r="K33" s="147">
        <f>H33-I33</f>
        <v/>
      </c>
      <c r="M33" s="405" t="n"/>
      <c r="N33" s="405">
        <f>M33-H33</f>
        <v/>
      </c>
      <c r="O33" s="140">
        <f>1+(M33-H33)/H33</f>
        <v/>
      </c>
      <c r="P33" s="140">
        <f>N33/K33</f>
        <v/>
      </c>
    </row>
    <row r="34" ht="18" customHeight="1" s="139">
      <c r="A34" s="164" t="inlineStr">
        <is>
          <t>생활권</t>
        </is>
      </c>
      <c r="D34" s="337" t="n"/>
      <c r="E34" s="337" t="n"/>
      <c r="H34" s="405" t="n"/>
      <c r="I34" s="405" t="n"/>
      <c r="J34" s="140">
        <f>I34/H34</f>
        <v/>
      </c>
      <c r="K34" s="147">
        <f>H34-I34</f>
        <v/>
      </c>
      <c r="M34" s="405" t="n"/>
      <c r="N34" s="405">
        <f>M34-H34</f>
        <v/>
      </c>
      <c r="O34" s="140">
        <f>1+(M34-H34)/H34</f>
        <v/>
      </c>
      <c r="P34" s="140">
        <f>N34/K34</f>
        <v/>
      </c>
    </row>
    <row r="35" ht="18" customHeight="1" s="139">
      <c r="A35" s="164" t="inlineStr">
        <is>
          <t>생활권</t>
        </is>
      </c>
      <c r="D35" s="337" t="n"/>
      <c r="E35" s="337" t="n"/>
      <c r="H35" s="405" t="n"/>
      <c r="I35" s="405" t="n"/>
      <c r="J35" s="140">
        <f>I35/H35</f>
        <v/>
      </c>
      <c r="K35" s="147">
        <f>H35-I35</f>
        <v/>
      </c>
      <c r="M35" s="405" t="n"/>
      <c r="N35" s="405">
        <f>M35-H35</f>
        <v/>
      </c>
      <c r="O35" s="140">
        <f>1+(M35-H35)/H35</f>
        <v/>
      </c>
      <c r="P35" s="140">
        <f>N35/K35</f>
        <v/>
      </c>
    </row>
    <row r="36" ht="18" customHeight="1" s="139">
      <c r="A36" s="164" t="inlineStr">
        <is>
          <t>생활권</t>
        </is>
      </c>
      <c r="D36" s="337" t="n"/>
      <c r="E36" s="337" t="n"/>
      <c r="H36" s="405" t="n"/>
      <c r="I36" s="405" t="n"/>
      <c r="J36" s="140">
        <f>I36/H36</f>
        <v/>
      </c>
      <c r="K36" s="147">
        <f>H36-I36</f>
        <v/>
      </c>
      <c r="M36" s="405" t="n"/>
      <c r="N36" s="405">
        <f>M36-H36</f>
        <v/>
      </c>
      <c r="O36" s="140">
        <f>1+(M36-H36)/H36</f>
        <v/>
      </c>
      <c r="P36" s="140">
        <f>N36/K36</f>
        <v/>
      </c>
    </row>
    <row r="37" ht="18" customHeight="1" s="139">
      <c r="A37" s="164" t="inlineStr">
        <is>
          <t>생활권</t>
        </is>
      </c>
      <c r="D37" s="337" t="n"/>
      <c r="E37" s="337" t="n"/>
      <c r="H37" s="405" t="n"/>
      <c r="I37" s="405" t="n"/>
      <c r="J37" s="140">
        <f>I37/H37</f>
        <v/>
      </c>
      <c r="K37" s="147">
        <f>H37-I37</f>
        <v/>
      </c>
      <c r="M37" s="405" t="n"/>
      <c r="N37" s="405">
        <f>M37-H37</f>
        <v/>
      </c>
      <c r="O37" s="140">
        <f>1+(M37-H37)/H37</f>
        <v/>
      </c>
      <c r="P37" s="140">
        <f>N37/K37</f>
        <v/>
      </c>
    </row>
    <row r="38" ht="18" customHeight="1" s="139">
      <c r="A38" s="164" t="inlineStr">
        <is>
          <t>생활권</t>
        </is>
      </c>
      <c r="D38" s="337" t="n"/>
      <c r="E38" s="337" t="n"/>
      <c r="H38" s="405" t="n"/>
      <c r="I38" s="405" t="n"/>
      <c r="J38" s="140">
        <f>I38/H38</f>
        <v/>
      </c>
      <c r="K38" s="147">
        <f>H38-I38</f>
        <v/>
      </c>
      <c r="M38" s="405" t="n"/>
      <c r="N38" s="405">
        <f>M38-H38</f>
        <v/>
      </c>
      <c r="O38" s="140">
        <f>1+(M38-H38)/H38</f>
        <v/>
      </c>
      <c r="P38" s="140">
        <f>N38/K38</f>
        <v/>
      </c>
    </row>
    <row r="39" ht="18" customHeight="1" s="139">
      <c r="A39" s="164" t="inlineStr">
        <is>
          <t>생활권</t>
        </is>
      </c>
      <c r="D39" s="337" t="n"/>
      <c r="E39" s="337" t="n"/>
      <c r="H39" s="405" t="n"/>
      <c r="I39" s="405" t="n"/>
      <c r="J39" s="140">
        <f>I39/H39</f>
        <v/>
      </c>
      <c r="K39" s="147">
        <f>H39-I39</f>
        <v/>
      </c>
      <c r="M39" s="405" t="n"/>
      <c r="N39" s="405">
        <f>M39-H39</f>
        <v/>
      </c>
      <c r="O39" s="140">
        <f>1+(M39-H39)/H39</f>
        <v/>
      </c>
      <c r="P39" s="140">
        <f>N39/K39</f>
        <v/>
      </c>
    </row>
    <row r="40" ht="18" customHeight="1" s="139">
      <c r="A40" s="164" t="inlineStr">
        <is>
          <t>생활권</t>
        </is>
      </c>
      <c r="D40" s="337" t="n"/>
      <c r="E40" s="337" t="n"/>
      <c r="H40" s="405" t="n"/>
      <c r="I40" s="405" t="n"/>
      <c r="J40" s="140">
        <f>I40/H40</f>
        <v/>
      </c>
      <c r="K40" s="147">
        <f>H40-I40</f>
        <v/>
      </c>
      <c r="M40" s="405" t="n"/>
      <c r="N40" s="405">
        <f>M40-H40</f>
        <v/>
      </c>
      <c r="O40" s="140">
        <f>1+(M40-H40)/H40</f>
        <v/>
      </c>
      <c r="P40" s="140">
        <f>N40/K40</f>
        <v/>
      </c>
    </row>
    <row r="41" ht="18" customHeight="1" s="139">
      <c r="A41" s="164" t="inlineStr">
        <is>
          <t>생활권</t>
        </is>
      </c>
      <c r="D41" s="337" t="n"/>
      <c r="E41" s="337" t="n"/>
      <c r="H41" s="405" t="n"/>
      <c r="I41" s="405" t="n"/>
      <c r="J41" s="140">
        <f>I41/H41</f>
        <v/>
      </c>
      <c r="K41" s="147">
        <f>H41-I41</f>
        <v/>
      </c>
      <c r="M41" s="405" t="n"/>
      <c r="N41" s="405">
        <f>M41-H41</f>
        <v/>
      </c>
      <c r="O41" s="140">
        <f>1+(M41-H41)/H41</f>
        <v/>
      </c>
      <c r="P41" s="140">
        <f>N41/K41</f>
        <v/>
      </c>
    </row>
    <row r="42" ht="18" customHeight="1" s="139">
      <c r="A42" s="164" t="inlineStr">
        <is>
          <t>생활권</t>
        </is>
      </c>
      <c r="D42" s="337" t="n"/>
      <c r="E42" s="337" t="n"/>
      <c r="H42" s="405" t="n"/>
      <c r="I42" s="405" t="n"/>
      <c r="J42" s="140">
        <f>I42/H42</f>
        <v/>
      </c>
      <c r="K42" s="147">
        <f>H42-I42</f>
        <v/>
      </c>
      <c r="M42" s="405" t="n"/>
      <c r="N42" s="405">
        <f>M42-H42</f>
        <v/>
      </c>
      <c r="O42" s="140">
        <f>1+(M42-H42)/H42</f>
        <v/>
      </c>
      <c r="P42" s="140">
        <f>N42/K42</f>
        <v/>
      </c>
    </row>
    <row r="43">
      <c r="A43" s="164" t="inlineStr">
        <is>
          <t>생활권</t>
        </is>
      </c>
      <c r="D43" s="337" t="n"/>
      <c r="E43" s="337" t="n"/>
      <c r="H43" s="405" t="n"/>
      <c r="I43" s="405" t="n"/>
      <c r="J43" s="140">
        <f>I43/H43</f>
        <v/>
      </c>
      <c r="K43" s="147">
        <f>H43-I43</f>
        <v/>
      </c>
      <c r="M43" s="405" t="n"/>
      <c r="N43" s="405">
        <f>M43-H43</f>
        <v/>
      </c>
      <c r="O43" s="140">
        <f>1+(M43-H43)/H43</f>
        <v/>
      </c>
      <c r="P43" s="140">
        <f>N43/K43</f>
        <v/>
      </c>
    </row>
    <row r="44">
      <c r="A44" s="164" t="inlineStr">
        <is>
          <t>생활권</t>
        </is>
      </c>
      <c r="D44" s="337" t="n"/>
      <c r="E44" s="337" t="n"/>
      <c r="H44" s="405" t="n"/>
      <c r="I44" s="405" t="n"/>
      <c r="J44" s="140">
        <f>I44/H44</f>
        <v/>
      </c>
      <c r="K44" s="147">
        <f>H44-I44</f>
        <v/>
      </c>
      <c r="M44" s="405" t="n"/>
      <c r="N44" s="405">
        <f>M44-H44</f>
        <v/>
      </c>
      <c r="O44" s="140">
        <f>1+(M44-H44)/H44</f>
        <v/>
      </c>
      <c r="P44" s="140">
        <f>N44/K44</f>
        <v/>
      </c>
    </row>
    <row r="45">
      <c r="A45" s="164" t="inlineStr">
        <is>
          <t>생활권</t>
        </is>
      </c>
      <c r="D45" s="337" t="n"/>
      <c r="E45" s="337" t="n"/>
      <c r="H45" s="405" t="n"/>
      <c r="I45" s="405" t="n"/>
      <c r="J45" s="140">
        <f>I45/H45</f>
        <v/>
      </c>
      <c r="K45" s="147">
        <f>H45-I45</f>
        <v/>
      </c>
      <c r="M45" s="405" t="n"/>
      <c r="N45" s="405">
        <f>M45-H45</f>
        <v/>
      </c>
      <c r="O45" s="140">
        <f>1+(M45-H45)/H45</f>
        <v/>
      </c>
      <c r="P45" s="140">
        <f>N45/K45</f>
        <v/>
      </c>
    </row>
    <row r="58">
      <c r="Z58" s="339" t="inlineStr">
        <is>
          <t>[공급 영향 심화 버전]</t>
        </is>
      </c>
    </row>
    <row r="60">
      <c r="Z60" s="339">
        <f t="array" ref="Z60">- 호갱노노 그래프</f>
        <v/>
      </c>
    </row>
    <row r="62">
      <c r="Z62" s="339">
        <f t="array" ref="Z62">- 단지 선택 : 생활권별 상중하 (or 모르겠으면 전부다)</f>
        <v/>
      </c>
    </row>
    <row r="63">
      <c r="Z63" s="339" t="inlineStr">
        <is>
          <t>&gt;&gt;&gt; 외곽신축, 외곽 애매준신축, 외곽 비선호구축 등으로 단지 특징 기재</t>
        </is>
      </c>
    </row>
    <row r="65">
      <c r="Z65" s="339">
        <f t="array" ref="Z65">- 그래프 캡쳐 대신 엑셀도 활용 가능</f>
        <v/>
      </c>
    </row>
    <row r="67">
      <c r="Z67" s="339">
        <f t="array" ref="Z67">- 엑셀에 값 입력 후 생각정리</f>
        <v/>
      </c>
    </row>
    <row r="68">
      <c r="Z68" s="339" t="inlineStr">
        <is>
          <t>&gt;&gt;&gt; 인사이트 (가격을 통해 찾은 내용)</t>
        </is>
      </c>
    </row>
    <row r="69">
      <c r="Z69" s="339" t="inlineStr">
        <is>
          <t>&gt;&gt;&gt; 결론 (찾은 내용을 바탕으로 기준 및 우선순위 정리)</t>
        </is>
      </c>
    </row>
    <row r="70">
      <c r="Z70" s="339" t="inlineStr">
        <is>
          <t>&gt;&gt;&gt; 투자 적용 및 질문 등으로 파트 나눠볼 수 있음</t>
        </is>
      </c>
    </row>
    <row r="72">
      <c r="Z72" s="339" t="inlineStr">
        <is>
          <t>★중요한 것은 스스로 생각해보고 결론 내어보고 매임까지 하면서 [검증]해 나가는 것</t>
        </is>
      </c>
    </row>
  </sheetData>
  <mergeCells count="6">
    <mergeCell ref="D3:K3"/>
    <mergeCell ref="B24:C24"/>
    <mergeCell ref="L3:P3"/>
    <mergeCell ref="B3:C3"/>
    <mergeCell ref="D24:K24"/>
    <mergeCell ref="L24:P24"/>
  </mergeCells>
  <conditionalFormatting sqref="B5:C23">
    <cfRule type="cellIs" priority="11" operator="equal" dxfId="1">
      <formula>"중"</formula>
    </cfRule>
    <cfRule type="cellIs" priority="12" operator="equal" dxfId="0">
      <formula>"상"</formula>
    </cfRule>
  </conditionalFormatting>
  <conditionalFormatting sqref="P1:P1048576">
    <cfRule type="dataBar" priority="13">
      <dataBar>
        <cfvo type="min"/>
        <cfvo type="max"/>
        <color rgb="FF63C384"/>
      </dataBar>
    </cfRule>
  </conditionalFormatting>
  <conditionalFormatting sqref="B1">
    <cfRule type="cellIs" priority="7" operator="equal" dxfId="1">
      <formula>"중"</formula>
    </cfRule>
    <cfRule type="cellIs" priority="8" operator="equal" dxfId="0">
      <formula>"상"</formula>
    </cfRule>
  </conditionalFormatting>
  <conditionalFormatting sqref="C1">
    <cfRule type="cellIs" priority="5" operator="equal" dxfId="1">
      <formula>"중"</formula>
    </cfRule>
    <cfRule type="cellIs" priority="6" operator="equal" dxfId="0">
      <formula>"상"</formula>
    </cfRule>
  </conditionalFormatting>
  <conditionalFormatting sqref="B2">
    <cfRule type="cellIs" priority="3" operator="equal" dxfId="1">
      <formula>"중"</formula>
    </cfRule>
    <cfRule type="cellIs" priority="4" operator="equal" dxfId="0">
      <formula>"상"</formula>
    </cfRule>
  </conditionalFormatting>
  <conditionalFormatting sqref="B26:C45">
    <cfRule type="cellIs" priority="1" operator="equal" dxfId="1">
      <formula>"중"</formula>
    </cfRule>
    <cfRule type="cellIs" priority="2" operator="equal" dxfId="0">
      <formula>"상"</formula>
    </cfRule>
  </conditionalFormatting>
  <pageMargins left="0.25" right="0.25" top="0.75" bottom="0.75" header="0.3" footer="0.3"/>
  <pageSetup orientation="landscape" paperSize="9" scale="49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V190"/>
  <sheetViews>
    <sheetView tabSelected="1" zoomScale="85" zoomScaleNormal="85" workbookViewId="0">
      <pane ySplit="4" topLeftCell="A5" activePane="bottomLeft" state="frozen"/>
      <selection pane="bottomLeft" activeCell="K17" sqref="K17"/>
    </sheetView>
  </sheetViews>
  <sheetFormatPr baseColWidth="8" defaultRowHeight="14"/>
  <cols>
    <col width="8.7265625" customWidth="1" style="164" min="1" max="1"/>
    <col width="7.81640625" bestFit="1" customWidth="1" style="9" min="2" max="2"/>
    <col width="9.453125" customWidth="1" style="10" min="3" max="3"/>
    <col width="33.453125" bestFit="1" customWidth="1" style="17" min="4" max="4"/>
    <col width="5.90625" bestFit="1" customWidth="1" style="20" min="5" max="5"/>
    <col width="3.90625" bestFit="1" customWidth="1" style="20" min="6" max="6"/>
    <col width="3.90625" customWidth="1" style="20" min="7" max="7"/>
    <col width="9.54296875" customWidth="1" style="21" min="8" max="8"/>
    <col width="7.81640625" customWidth="1" style="21" min="9" max="9"/>
    <col width="5.90625" customWidth="1" style="21" min="10" max="10"/>
    <col width="6.7265625" customWidth="1" style="136" min="11" max="11"/>
    <col width="9.81640625" bestFit="1" customWidth="1" style="136" min="12" max="12"/>
    <col width="5.90625" bestFit="1" customWidth="1" style="136" min="13" max="13"/>
    <col width="9.6328125" bestFit="1" customWidth="1" style="120" min="14" max="14"/>
    <col width="13" bestFit="1" customWidth="1" style="136" min="15" max="15"/>
    <col width="9.81640625" customWidth="1" style="136" min="16" max="16"/>
    <col width="9.81640625" bestFit="1" customWidth="1" style="121" min="17" max="17"/>
    <col width="9.6328125" bestFit="1" customWidth="1" style="136" min="18" max="18"/>
    <col width="13" customWidth="1" style="139" min="19" max="19"/>
    <col width="6.90625" bestFit="1" customWidth="1" style="155" min="20" max="20"/>
    <col width="3.90625" bestFit="1" customWidth="1" style="136" min="21" max="21"/>
    <col width="13" customWidth="1" style="139" min="22" max="22"/>
    <col width="12" bestFit="1" customWidth="1" style="136" min="23" max="23"/>
    <col width="9.81640625" bestFit="1" customWidth="1" style="164" min="24" max="24"/>
    <col width="10.26953125" customWidth="1" style="164" min="25" max="25"/>
    <col width="5.90625" bestFit="1" customWidth="1" style="164" min="26" max="26"/>
    <col width="9.81640625" bestFit="1" customWidth="1" style="139" min="27" max="27"/>
    <col width="13" customWidth="1" style="139" min="28" max="29"/>
    <col width="7.81640625" bestFit="1" customWidth="1" style="139" min="30" max="30"/>
    <col width="9.81640625" bestFit="1" customWidth="1" style="11" min="31" max="31"/>
    <col width="9.81640625" bestFit="1" customWidth="1" style="139" min="32" max="32"/>
    <col width="13" customWidth="1" style="139" min="33" max="33"/>
    <col width="7.81640625" bestFit="1" customWidth="1" style="140" min="34" max="34"/>
    <col width="13" bestFit="1" customWidth="1" style="140" min="35" max="35"/>
    <col width="8.7265625" customWidth="1" style="2" min="36" max="36"/>
    <col width="11.1796875" customWidth="1" style="1" min="37" max="37"/>
    <col width="13" customWidth="1" style="139" min="38" max="44"/>
    <col width="8.453125" bestFit="1" customWidth="1" style="139" min="45" max="45"/>
    <col width="13" customWidth="1" style="139" min="46" max="48"/>
  </cols>
  <sheetData>
    <row r="1">
      <c r="B1" s="172" t="inlineStr">
        <is>
          <t>상</t>
        </is>
      </c>
      <c r="C1" s="13" t="inlineStr">
        <is>
          <t>중</t>
        </is>
      </c>
      <c r="N1" s="117" t="n"/>
      <c r="O1" s="118" t="n"/>
      <c r="P1" s="118" t="n"/>
      <c r="Q1" s="119" t="n"/>
      <c r="AE1" s="350" t="n"/>
      <c r="AH1" s="174" t="n"/>
      <c r="AI1" s="174" t="n"/>
      <c r="AJ1" s="363" t="n"/>
    </row>
    <row r="2">
      <c r="B2" s="172" t="inlineStr">
        <is>
          <t>하</t>
        </is>
      </c>
      <c r="C2" s="172" t="n"/>
      <c r="AE2" s="350" t="n"/>
      <c r="AH2" s="174" t="n"/>
      <c r="AI2" s="174" t="n"/>
      <c r="AJ2" s="363" t="n"/>
    </row>
    <row r="3" ht="20" customHeight="1" s="139">
      <c r="A3" s="332" t="n">
        <v>84</v>
      </c>
      <c r="B3" s="370" t="inlineStr">
        <is>
          <t>선호도</t>
        </is>
      </c>
      <c r="C3" s="367" t="n"/>
      <c r="D3" s="371" t="inlineStr">
        <is>
          <t>단지정보 (30평)</t>
        </is>
      </c>
      <c r="E3" s="365" t="n"/>
      <c r="F3" s="365" t="n"/>
      <c r="G3" s="365" t="n"/>
      <c r="H3" s="365" t="n"/>
      <c r="I3" s="365" t="n"/>
      <c r="J3" s="365" t="n"/>
      <c r="K3" s="365" t="n"/>
      <c r="L3" s="365" t="n"/>
      <c r="M3" s="365" t="n"/>
      <c r="N3" s="365" t="n"/>
      <c r="O3" s="365" t="n"/>
      <c r="P3" s="365" t="n"/>
      <c r="Q3" s="365" t="n"/>
      <c r="R3" s="365" t="n"/>
      <c r="S3" s="365" t="n"/>
      <c r="T3" s="365" t="n"/>
      <c r="U3" s="365" t="n"/>
      <c r="V3" s="365" t="n"/>
      <c r="W3" s="365" t="n"/>
      <c r="X3" s="365" t="n"/>
      <c r="Y3" s="365" t="n"/>
      <c r="Z3" s="365" t="n"/>
      <c r="AA3" s="365" t="n"/>
      <c r="AB3" s="365" t="n"/>
      <c r="AC3" s="365" t="n"/>
      <c r="AD3" s="365" t="n"/>
      <c r="AE3" s="369" t="inlineStr">
        <is>
          <t>투자결과</t>
        </is>
      </c>
      <c r="AF3" s="365" t="n"/>
      <c r="AG3" s="365" t="n"/>
      <c r="AH3" s="365" t="n"/>
      <c r="AI3" s="367" t="n"/>
    </row>
    <row r="4" ht="17.5" customHeight="1" s="139" thickBot="1">
      <c r="B4" s="177" t="inlineStr">
        <is>
          <t>생활권</t>
        </is>
      </c>
      <c r="C4" s="178" t="inlineStr">
        <is>
          <t>생활권 내</t>
        </is>
      </c>
      <c r="D4" s="332" t="inlineStr">
        <is>
          <t>단지명</t>
        </is>
      </c>
      <c r="E4" s="23" t="inlineStr">
        <is>
          <t>평형</t>
        </is>
      </c>
      <c r="F4" s="23" t="inlineStr">
        <is>
          <t>매</t>
        </is>
      </c>
      <c r="G4" s="23" t="inlineStr">
        <is>
          <t>전</t>
        </is>
      </c>
      <c r="H4" s="22" t="inlineStr">
        <is>
          <t>연식</t>
        </is>
      </c>
      <c r="I4" s="22" t="inlineStr">
        <is>
          <t>세대수</t>
        </is>
      </c>
      <c r="J4" s="22" t="inlineStr">
        <is>
          <t>나이</t>
        </is>
      </c>
      <c r="K4" s="179" t="inlineStr">
        <is>
          <t>공급면적</t>
        </is>
      </c>
      <c r="L4" s="179" t="inlineStr">
        <is>
          <t>전용면적</t>
        </is>
      </c>
      <c r="M4" s="179" t="inlineStr">
        <is>
          <t>평형</t>
        </is>
      </c>
      <c r="N4" s="179" t="inlineStr">
        <is>
          <t>매</t>
        </is>
      </c>
      <c r="O4" s="179" t="inlineStr">
        <is>
          <t>전</t>
        </is>
      </c>
      <c r="P4" s="179" t="inlineStr">
        <is>
          <t>차</t>
        </is>
      </c>
      <c r="Q4" s="179" t="inlineStr">
        <is>
          <t>전세가율</t>
        </is>
      </c>
      <c r="R4" s="179" t="inlineStr">
        <is>
          <t>전고</t>
        </is>
      </c>
      <c r="S4" s="179" t="inlineStr">
        <is>
          <t>전저</t>
        </is>
      </c>
      <c r="T4" s="57" t="inlineStr">
        <is>
          <t>계/복</t>
        </is>
      </c>
      <c r="U4" s="179" t="inlineStr">
        <is>
          <t>방</t>
        </is>
      </c>
      <c r="V4" s="179" t="inlineStr">
        <is>
          <t>화</t>
        </is>
      </c>
      <c r="W4" s="179" t="inlineStr">
        <is>
          <t>면적세대수</t>
        </is>
      </c>
      <c r="X4" s="332" t="inlineStr">
        <is>
          <t>시기(년)</t>
        </is>
      </c>
      <c r="Y4" s="363" t="inlineStr">
        <is>
          <t>(전세가율80%이상인)기간</t>
        </is>
      </c>
      <c r="Z4" s="332" t="inlineStr">
        <is>
          <t>평형</t>
        </is>
      </c>
      <c r="AA4" s="332" t="inlineStr">
        <is>
          <t>매매가</t>
        </is>
      </c>
      <c r="AB4" s="332" t="inlineStr">
        <is>
          <t>전세가</t>
        </is>
      </c>
      <c r="AC4" s="332" t="inlineStr">
        <is>
          <t>전세가율</t>
        </is>
      </c>
      <c r="AD4" s="24" t="inlineStr">
        <is>
          <t>투자금</t>
        </is>
      </c>
      <c r="AE4" s="177" t="inlineStr">
        <is>
          <t>시기(년)</t>
        </is>
      </c>
      <c r="AF4" s="177" t="inlineStr">
        <is>
          <t>매매가</t>
        </is>
      </c>
      <c r="AG4" s="177" t="inlineStr">
        <is>
          <t>수익금</t>
        </is>
      </c>
      <c r="AH4" s="25" t="inlineStr">
        <is>
          <t>상승율</t>
        </is>
      </c>
      <c r="AI4" s="26" t="inlineStr">
        <is>
          <t>수익율</t>
        </is>
      </c>
      <c r="AK4" s="14" t="n"/>
    </row>
    <row r="5" ht="18" customHeight="1" s="139" thickBot="1">
      <c r="A5" s="268" t="inlineStr">
        <is>
          <t>가양동</t>
        </is>
      </c>
      <c r="B5" s="269" t="inlineStr">
        <is>
          <t>하</t>
        </is>
      </c>
      <c r="C5" s="269" t="inlineStr">
        <is>
          <t>상</t>
        </is>
      </c>
      <c r="D5" s="328" t="inlineStr">
        <is>
          <t>힐스테가양더와이즈(주복)</t>
        </is>
      </c>
      <c r="E5" s="270" t="n">
        <v>34</v>
      </c>
      <c r="F5" s="270" t="n">
        <v>4.9</v>
      </c>
      <c r="G5" s="270" t="n">
        <v>3.5</v>
      </c>
      <c r="H5" s="334" t="n">
        <v>2024.09</v>
      </c>
      <c r="I5" s="334" t="n">
        <v>358</v>
      </c>
      <c r="J5" s="272" t="n">
        <v>2.910000000000082</v>
      </c>
      <c r="K5" s="273" t="inlineStr">
        <is>
          <t>113A, 113B</t>
        </is>
      </c>
      <c r="L5" s="273" t="n">
        <v>84</v>
      </c>
      <c r="M5" s="273" t="n">
        <v>34</v>
      </c>
      <c r="N5" s="406" t="n">
        <v>50000</v>
      </c>
      <c r="O5" s="407" t="n">
        <v>35000</v>
      </c>
      <c r="P5" s="408" t="n">
        <v>14000</v>
      </c>
      <c r="Q5" s="277" t="n">
        <v>0.7142857142857143</v>
      </c>
      <c r="R5" s="407" t="n">
        <v>57600</v>
      </c>
      <c r="S5" s="409" t="n">
        <v>52000</v>
      </c>
      <c r="T5" s="279" t="inlineStr">
        <is>
          <t>계단식</t>
        </is>
      </c>
      <c r="U5" s="273" t="n">
        <v>3</v>
      </c>
      <c r="V5" s="273" t="n">
        <v>2</v>
      </c>
      <c r="W5" s="273" t="n">
        <v>156</v>
      </c>
      <c r="X5" s="270" t="n"/>
      <c r="Y5" s="280" t="n"/>
      <c r="Z5" s="280" t="n">
        <v>34</v>
      </c>
      <c r="AA5" s="410" t="n"/>
      <c r="AB5" s="410" t="n"/>
      <c r="AC5" s="282" t="e">
        <v>#DIV/0!</v>
      </c>
      <c r="AD5" s="283" t="n">
        <v>0</v>
      </c>
      <c r="AE5" s="317" t="n"/>
      <c r="AF5" s="411" t="n"/>
      <c r="AG5" s="412" t="n">
        <v>0</v>
      </c>
      <c r="AH5" s="285" t="e">
        <v>#DIV/0!</v>
      </c>
      <c r="AI5" s="286" t="e">
        <v>#DIV/0!</v>
      </c>
      <c r="AJ5" s="357" t="n"/>
      <c r="AK5" s="16" t="n"/>
    </row>
    <row r="6" ht="18" customHeight="1" s="139" thickBot="1">
      <c r="A6" s="268" t="inlineStr">
        <is>
          <t>가양동</t>
        </is>
      </c>
      <c r="B6" s="287" t="inlineStr">
        <is>
          <t>하</t>
        </is>
      </c>
      <c r="C6" s="331" t="inlineStr">
        <is>
          <t>상</t>
        </is>
      </c>
      <c r="D6" s="328" t="inlineStr">
        <is>
          <t>힐스테가양더와이즈(주복)</t>
        </is>
      </c>
      <c r="E6" s="270" t="n">
        <v>43</v>
      </c>
      <c r="F6" s="270" t="n">
        <v>0</v>
      </c>
      <c r="G6" s="270" t="n">
        <v>0</v>
      </c>
      <c r="H6" s="334" t="n">
        <v>2024.09</v>
      </c>
      <c r="I6" s="334" t="n">
        <v>358</v>
      </c>
      <c r="J6" s="272" t="n">
        <v>2.910000000000082</v>
      </c>
      <c r="K6" s="289" t="inlineStr">
        <is>
          <t>141A, 142B</t>
        </is>
      </c>
      <c r="L6" s="289" t="n">
        <v>105</v>
      </c>
      <c r="M6" s="289" t="n">
        <v>43</v>
      </c>
      <c r="N6" s="413" t="n">
        <v>0</v>
      </c>
      <c r="O6" s="414" t="n">
        <v>0</v>
      </c>
      <c r="P6" s="408" t="n">
        <v>0</v>
      </c>
      <c r="Q6" s="277" t="e">
        <v>#DIV/0!</v>
      </c>
      <c r="R6" s="414" t="n">
        <v>0</v>
      </c>
      <c r="S6" s="415" t="n">
        <v>0</v>
      </c>
      <c r="T6" s="293" t="inlineStr">
        <is>
          <t>계단식</t>
        </is>
      </c>
      <c r="U6" s="289" t="n">
        <v>3</v>
      </c>
      <c r="V6" s="289" t="n">
        <v>2</v>
      </c>
      <c r="W6" s="289" t="n">
        <v>115</v>
      </c>
      <c r="X6" s="270" t="n"/>
      <c r="Y6" s="280" t="n"/>
      <c r="Z6" s="280" t="n">
        <v>43</v>
      </c>
      <c r="AA6" s="410" t="n"/>
      <c r="AB6" s="410" t="n"/>
      <c r="AC6" s="282" t="e">
        <v>#DIV/0!</v>
      </c>
      <c r="AD6" s="283" t="n">
        <v>0</v>
      </c>
      <c r="AE6" s="338" t="n"/>
      <c r="AF6" s="416" t="n"/>
      <c r="AG6" s="417" t="n">
        <v>0</v>
      </c>
      <c r="AH6" s="285" t="e">
        <v>#DIV/0!</v>
      </c>
      <c r="AI6" s="297" t="e">
        <v>#DIV/0!</v>
      </c>
      <c r="AJ6" s="357" t="n"/>
      <c r="AK6" s="16" t="n"/>
    </row>
    <row r="7" ht="18" customHeight="1" s="139" thickBot="1">
      <c r="A7" s="268" t="inlineStr">
        <is>
          <t>가양동</t>
        </is>
      </c>
      <c r="B7" s="287" t="inlineStr">
        <is>
          <t>하</t>
        </is>
      </c>
      <c r="C7" s="331" t="inlineStr">
        <is>
          <t>상</t>
        </is>
      </c>
      <c r="D7" s="328" t="inlineStr">
        <is>
          <t>힐스테가양더와이즈(주복)</t>
        </is>
      </c>
      <c r="E7" s="270" t="n">
        <v>44</v>
      </c>
      <c r="F7" s="270" t="n">
        <v>0</v>
      </c>
      <c r="G7" s="270" t="n">
        <v>0</v>
      </c>
      <c r="H7" s="334" t="n">
        <v>2024.09</v>
      </c>
      <c r="I7" s="334" t="n">
        <v>358</v>
      </c>
      <c r="J7" s="272" t="n">
        <v>2.910000000000082</v>
      </c>
      <c r="K7" s="289" t="n">
        <v>146</v>
      </c>
      <c r="L7" s="289" t="n">
        <v>108</v>
      </c>
      <c r="M7" s="289" t="n">
        <v>44</v>
      </c>
      <c r="N7" s="413" t="n">
        <v>0</v>
      </c>
      <c r="O7" s="414" t="n">
        <v>0</v>
      </c>
      <c r="P7" s="408" t="n">
        <v>0</v>
      </c>
      <c r="Q7" s="277" t="e">
        <v>#DIV/0!</v>
      </c>
      <c r="R7" s="414" t="n">
        <v>0</v>
      </c>
      <c r="S7" s="415" t="n">
        <v>0</v>
      </c>
      <c r="T7" s="293" t="inlineStr">
        <is>
          <t>계단식</t>
        </is>
      </c>
      <c r="U7" s="289" t="n">
        <v>4</v>
      </c>
      <c r="V7" s="289" t="n">
        <v>2</v>
      </c>
      <c r="W7" s="289" t="n">
        <v>85</v>
      </c>
      <c r="X7" s="270" t="n"/>
      <c r="Y7" s="280" t="n"/>
      <c r="Z7" s="280" t="n">
        <v>44</v>
      </c>
      <c r="AA7" s="410" t="n"/>
      <c r="AB7" s="410" t="n"/>
      <c r="AC7" s="282" t="e">
        <v>#DIV/0!</v>
      </c>
      <c r="AD7" s="283" t="n">
        <v>0</v>
      </c>
      <c r="AE7" s="338" t="n"/>
      <c r="AF7" s="416" t="n"/>
      <c r="AG7" s="417" t="n">
        <v>0</v>
      </c>
      <c r="AH7" s="285" t="e">
        <v>#DIV/0!</v>
      </c>
      <c r="AI7" s="297" t="e">
        <v>#DIV/0!</v>
      </c>
      <c r="AJ7" s="357" t="n"/>
      <c r="AK7" s="16" t="n"/>
    </row>
    <row r="8" ht="18" customHeight="1" s="139" thickBot="1">
      <c r="A8" s="268" t="inlineStr">
        <is>
          <t>가양동</t>
        </is>
      </c>
      <c r="B8" s="287" t="inlineStr">
        <is>
          <t>하</t>
        </is>
      </c>
      <c r="C8" s="331" t="inlineStr">
        <is>
          <t>상</t>
        </is>
      </c>
      <c r="D8" s="328" t="inlineStr">
        <is>
          <t>힐스테가양더와이즈(주복)</t>
        </is>
      </c>
      <c r="E8" s="270" t="n">
        <v>64</v>
      </c>
      <c r="F8" s="270" t="n">
        <v>0</v>
      </c>
      <c r="G8" s="270" t="n">
        <v>0</v>
      </c>
      <c r="H8" s="334" t="n">
        <v>2024.09</v>
      </c>
      <c r="I8" s="334" t="n">
        <v>358</v>
      </c>
      <c r="J8" s="272" t="n">
        <v>2.910000000000082</v>
      </c>
      <c r="K8" s="289" t="n">
        <v>210</v>
      </c>
      <c r="L8" s="289" t="n">
        <v>155</v>
      </c>
      <c r="M8" s="289" t="n">
        <v>64</v>
      </c>
      <c r="N8" s="413" t="n">
        <v>0</v>
      </c>
      <c r="O8" s="414" t="n">
        <v>0</v>
      </c>
      <c r="P8" s="408" t="n">
        <v>0</v>
      </c>
      <c r="Q8" s="277" t="e">
        <v>#DIV/0!</v>
      </c>
      <c r="R8" s="414" t="n">
        <v>0</v>
      </c>
      <c r="S8" s="415" t="n">
        <v>0</v>
      </c>
      <c r="T8" s="293" t="inlineStr">
        <is>
          <t>계단식</t>
        </is>
      </c>
      <c r="U8" s="289" t="n">
        <v>3</v>
      </c>
      <c r="V8" s="289" t="n">
        <v>3</v>
      </c>
      <c r="W8" s="289" t="n">
        <v>2</v>
      </c>
      <c r="X8" s="270" t="n"/>
      <c r="Y8" s="280" t="n"/>
      <c r="Z8" s="280" t="n">
        <v>64</v>
      </c>
      <c r="AA8" s="410" t="n"/>
      <c r="AB8" s="410" t="n"/>
      <c r="AC8" s="282" t="e">
        <v>#DIV/0!</v>
      </c>
      <c r="AD8" s="283" t="n">
        <v>0</v>
      </c>
      <c r="AE8" s="338" t="n"/>
      <c r="AF8" s="416" t="n"/>
      <c r="AG8" s="417" t="n">
        <v>0</v>
      </c>
      <c r="AH8" s="285" t="e">
        <v>#DIV/0!</v>
      </c>
      <c r="AI8" s="297" t="e">
        <v>#DIV/0!</v>
      </c>
      <c r="AJ8" s="357" t="n"/>
      <c r="AK8" s="15" t="inlineStr">
        <is>
          <t>투자적용 및 질문</t>
        </is>
      </c>
    </row>
    <row r="9" ht="18" customHeight="1" s="139" thickBot="1">
      <c r="A9" s="48" t="inlineStr">
        <is>
          <t>천동</t>
        </is>
      </c>
      <c r="B9" s="191" t="inlineStr">
        <is>
          <t>상</t>
        </is>
      </c>
      <c r="C9" s="332" t="inlineStr">
        <is>
          <t>하</t>
        </is>
      </c>
      <c r="D9" s="329" t="inlineStr">
        <is>
          <t>휴먼시아2단지</t>
        </is>
      </c>
      <c r="E9" s="34" t="n">
        <v>34</v>
      </c>
      <c r="F9" s="34" t="n">
        <v>2.5</v>
      </c>
      <c r="G9" s="34" t="n">
        <v>2.3</v>
      </c>
      <c r="H9" s="43" t="n">
        <v>2008.11</v>
      </c>
      <c r="I9" s="43" t="n">
        <v>763</v>
      </c>
      <c r="J9" s="35" t="n">
        <v>18.8900000000001</v>
      </c>
      <c r="K9" s="42" t="inlineStr">
        <is>
          <t>111C, 111B, 111A</t>
        </is>
      </c>
      <c r="L9" s="42" t="n">
        <v>84</v>
      </c>
      <c r="M9" s="42" t="n">
        <v>34</v>
      </c>
      <c r="N9" s="418" t="n">
        <v>25000</v>
      </c>
      <c r="O9" s="419" t="n">
        <v>23000</v>
      </c>
      <c r="P9" s="420" t="n">
        <v>2000</v>
      </c>
      <c r="Q9" s="183" t="n">
        <v>0.92</v>
      </c>
      <c r="R9" s="419" t="n">
        <v>39000</v>
      </c>
      <c r="S9" s="421" t="n">
        <v>25300</v>
      </c>
      <c r="T9" s="60" t="inlineStr">
        <is>
          <t>계단식</t>
        </is>
      </c>
      <c r="U9" s="42" t="n">
        <v>3</v>
      </c>
      <c r="V9" s="42" t="n">
        <v>2</v>
      </c>
      <c r="W9" s="42" t="n">
        <v>597</v>
      </c>
      <c r="X9" s="185" t="n">
        <v>2020.01</v>
      </c>
      <c r="Y9" s="185" t="n">
        <v>0.02</v>
      </c>
      <c r="Z9" s="185" t="n">
        <v>34</v>
      </c>
      <c r="AA9" s="422" t="n">
        <v>24175</v>
      </c>
      <c r="AB9" s="422" t="n">
        <v>20167</v>
      </c>
      <c r="AC9" s="187" t="e">
        <v>#DIV/0!</v>
      </c>
      <c r="AD9" s="188" t="n">
        <v>0</v>
      </c>
      <c r="AE9" s="339" t="n"/>
      <c r="AF9" s="341" t="n"/>
      <c r="AG9" s="350" t="n"/>
      <c r="AH9" s="122" t="n"/>
      <c r="AI9" s="29" t="n"/>
      <c r="AJ9" s="357" t="n"/>
    </row>
    <row r="10" ht="18" customHeight="1" s="139" thickBot="1">
      <c r="A10" s="48" t="inlineStr">
        <is>
          <t>천동</t>
        </is>
      </c>
      <c r="B10" s="172" t="inlineStr">
        <is>
          <t>상</t>
        </is>
      </c>
      <c r="C10" s="172" t="inlineStr">
        <is>
          <t>하</t>
        </is>
      </c>
      <c r="D10" s="329" t="inlineStr">
        <is>
          <t>휴먼시아2단지</t>
        </is>
      </c>
      <c r="E10" s="34" t="n">
        <v>30</v>
      </c>
      <c r="F10" s="34" t="n">
        <v>2.4</v>
      </c>
      <c r="G10" s="34" t="n">
        <v>2</v>
      </c>
      <c r="H10" s="374" t="n">
        <v>2008.11</v>
      </c>
      <c r="I10" s="43" t="n">
        <v>763</v>
      </c>
      <c r="J10" s="35" t="n">
        <v>18.8900000000001</v>
      </c>
      <c r="K10" s="40" t="n">
        <v>99</v>
      </c>
      <c r="L10" s="40" t="n">
        <v>75</v>
      </c>
      <c r="M10" s="40" t="n">
        <v>30</v>
      </c>
      <c r="N10" s="423" t="n">
        <v>24000</v>
      </c>
      <c r="O10" s="424" t="n">
        <v>20000</v>
      </c>
      <c r="P10" s="420" t="n">
        <v>4000</v>
      </c>
      <c r="Q10" s="183" t="n">
        <v>0.8333333333333334</v>
      </c>
      <c r="R10" s="424" t="n">
        <v>31000</v>
      </c>
      <c r="S10" s="425" t="n">
        <v>23000</v>
      </c>
      <c r="T10" s="58" t="inlineStr">
        <is>
          <t>계단식</t>
        </is>
      </c>
      <c r="U10" s="40" t="n">
        <v>3</v>
      </c>
      <c r="V10" s="40" t="n">
        <v>2</v>
      </c>
      <c r="W10" s="40" t="n">
        <v>72</v>
      </c>
      <c r="X10" s="185" t="n">
        <v>2025.09</v>
      </c>
      <c r="Y10" s="185" t="n">
        <v>0.03</v>
      </c>
      <c r="Z10" s="185" t="n">
        <v>30</v>
      </c>
      <c r="AA10" s="422" t="n">
        <v>23250</v>
      </c>
      <c r="AB10" s="422" t="n">
        <v>20000</v>
      </c>
      <c r="AC10" s="187" t="e">
        <v>#DIV/0!</v>
      </c>
      <c r="AD10" s="188" t="n">
        <v>0</v>
      </c>
      <c r="AE10" s="339" t="n"/>
      <c r="AF10" s="341" t="n"/>
      <c r="AG10" s="350" t="n"/>
      <c r="AH10" s="354" t="n"/>
      <c r="AI10" s="29" t="n"/>
      <c r="AJ10" s="357" t="n"/>
    </row>
    <row r="11" ht="18" customHeight="1" s="139" thickBot="1">
      <c r="A11" s="48" t="inlineStr">
        <is>
          <t>천동</t>
        </is>
      </c>
      <c r="B11" s="191" t="inlineStr">
        <is>
          <t>상</t>
        </is>
      </c>
      <c r="C11" s="332" t="inlineStr">
        <is>
          <t>하</t>
        </is>
      </c>
      <c r="D11" s="329" t="inlineStr">
        <is>
          <t>휴먼시아2단지</t>
        </is>
      </c>
      <c r="E11" s="34" t="n">
        <v>43</v>
      </c>
      <c r="F11" s="34" t="n">
        <v>0</v>
      </c>
      <c r="G11" s="34" t="n">
        <v>0</v>
      </c>
      <c r="H11" s="374" t="n">
        <v>2008.11</v>
      </c>
      <c r="I11" s="43" t="n">
        <v>763</v>
      </c>
      <c r="J11" s="35" t="n">
        <v>18.8900000000001</v>
      </c>
      <c r="K11" s="41" t="n">
        <v>142</v>
      </c>
      <c r="L11" s="41" t="n">
        <v>108</v>
      </c>
      <c r="M11" s="41" t="n">
        <v>43</v>
      </c>
      <c r="N11" s="426" t="n">
        <v>0</v>
      </c>
      <c r="O11" s="427" t="n">
        <v>0</v>
      </c>
      <c r="P11" s="420" t="n">
        <v>0</v>
      </c>
      <c r="Q11" s="183" t="e">
        <v>#DIV/0!</v>
      </c>
      <c r="R11" s="427" t="n">
        <v>0</v>
      </c>
      <c r="S11" s="428" t="n">
        <v>0</v>
      </c>
      <c r="T11" s="59" t="inlineStr">
        <is>
          <t>계단식</t>
        </is>
      </c>
      <c r="U11" s="41" t="n">
        <v>4</v>
      </c>
      <c r="V11" s="41" t="n">
        <v>2</v>
      </c>
      <c r="W11" s="41" t="n">
        <v>94</v>
      </c>
      <c r="X11" s="185" t="n"/>
      <c r="Y11" s="185" t="n"/>
      <c r="Z11" s="185" t="n">
        <v>43</v>
      </c>
      <c r="AA11" s="422" t="n"/>
      <c r="AB11" s="422" t="n"/>
      <c r="AC11" s="187" t="e">
        <v>#DIV/0!</v>
      </c>
      <c r="AD11" s="188" t="n">
        <v>0</v>
      </c>
      <c r="AE11" s="339" t="n"/>
      <c r="AF11" s="341" t="n"/>
      <c r="AG11" s="350" t="n"/>
      <c r="AH11" s="354" t="n"/>
      <c r="AI11" s="29" t="n"/>
      <c r="AJ11" s="357" t="n"/>
    </row>
    <row r="12" ht="18" customHeight="1" s="139" thickBot="1">
      <c r="A12" s="268" t="inlineStr">
        <is>
          <t>성남동</t>
        </is>
      </c>
      <c r="B12" s="287" t="inlineStr">
        <is>
          <t>상</t>
        </is>
      </c>
      <c r="C12" s="331" t="inlineStr">
        <is>
          <t>하</t>
        </is>
      </c>
      <c r="D12" s="328" t="inlineStr">
        <is>
          <t>효촌마을</t>
        </is>
      </c>
      <c r="E12" s="270" t="n">
        <v>33</v>
      </c>
      <c r="F12" s="270" t="n">
        <v>3.15</v>
      </c>
      <c r="G12" s="270" t="n">
        <v>2.5</v>
      </c>
      <c r="H12" s="333" t="n">
        <v>2003.04</v>
      </c>
      <c r="I12" s="271" t="n">
        <v>818</v>
      </c>
      <c r="J12" s="272" t="n">
        <v>23.96000000000004</v>
      </c>
      <c r="K12" s="298" t="inlineStr">
        <is>
          <t>108A</t>
        </is>
      </c>
      <c r="L12" s="298" t="n">
        <v>84</v>
      </c>
      <c r="M12" s="298" t="n">
        <v>33</v>
      </c>
      <c r="N12" s="429" t="n">
        <v>31500</v>
      </c>
      <c r="O12" s="430" t="n">
        <v>25000</v>
      </c>
      <c r="P12" s="408" t="n">
        <v>6500</v>
      </c>
      <c r="Q12" s="277" t="n">
        <v>0.7936507936507936</v>
      </c>
      <c r="R12" s="430" t="n">
        <v>40500</v>
      </c>
      <c r="S12" s="431" t="n">
        <v>29000</v>
      </c>
      <c r="T12" s="302" t="inlineStr">
        <is>
          <t>계단식</t>
        </is>
      </c>
      <c r="U12" s="298" t="n">
        <v>3</v>
      </c>
      <c r="V12" s="298" t="n">
        <v>2</v>
      </c>
      <c r="W12" s="298" t="n">
        <v>272</v>
      </c>
      <c r="X12" s="280" t="n"/>
      <c r="Y12" s="280" t="n"/>
      <c r="Z12" s="280" t="n">
        <v>33</v>
      </c>
      <c r="AA12" s="410" t="n"/>
      <c r="AB12" s="410" t="n"/>
      <c r="AC12" s="282" t="e">
        <v>#DIV/0!</v>
      </c>
      <c r="AD12" s="283" t="n">
        <v>0</v>
      </c>
      <c r="AE12" s="338" t="n"/>
      <c r="AF12" s="347" t="n"/>
      <c r="AG12" s="353" t="n"/>
      <c r="AH12" s="355" t="n"/>
      <c r="AI12" s="327" t="n"/>
      <c r="AJ12" s="357" t="n"/>
    </row>
    <row r="13" ht="18" customHeight="1" s="139">
      <c r="A13" s="268" t="inlineStr">
        <is>
          <t>성남동</t>
        </is>
      </c>
      <c r="B13" s="269" t="inlineStr">
        <is>
          <t>상</t>
        </is>
      </c>
      <c r="C13" s="269" t="inlineStr">
        <is>
          <t>하</t>
        </is>
      </c>
      <c r="D13" s="328" t="inlineStr">
        <is>
          <t>효촌마을</t>
        </is>
      </c>
      <c r="E13" s="270" t="n">
        <v>33</v>
      </c>
      <c r="F13" s="270" t="n">
        <v>2.8</v>
      </c>
      <c r="G13" s="270" t="n">
        <v>2.6</v>
      </c>
      <c r="H13" s="271" t="n">
        <v>2003.04</v>
      </c>
      <c r="I13" s="271" t="n">
        <v>818</v>
      </c>
      <c r="J13" s="272" t="n">
        <v>23.96000000000004</v>
      </c>
      <c r="K13" s="273" t="inlineStr">
        <is>
          <t>109B</t>
        </is>
      </c>
      <c r="L13" s="273" t="n">
        <v>84</v>
      </c>
      <c r="M13" s="273" t="n">
        <v>33</v>
      </c>
      <c r="N13" s="406" t="n">
        <v>28000</v>
      </c>
      <c r="O13" s="407" t="n">
        <v>26000</v>
      </c>
      <c r="P13" s="408" t="n">
        <v>2000</v>
      </c>
      <c r="Q13" s="277" t="n">
        <v>0.9285714285714286</v>
      </c>
      <c r="R13" s="407" t="n">
        <v>40500</v>
      </c>
      <c r="S13" s="409" t="n">
        <v>30000</v>
      </c>
      <c r="T13" s="279" t="inlineStr">
        <is>
          <t>계단식</t>
        </is>
      </c>
      <c r="U13" s="273" t="n">
        <v>4</v>
      </c>
      <c r="V13" s="273" t="n">
        <v>2</v>
      </c>
      <c r="W13" s="273" t="n">
        <v>100</v>
      </c>
      <c r="X13" s="280" t="n"/>
      <c r="Y13" s="280" t="n"/>
      <c r="Z13" s="280" t="n">
        <v>33</v>
      </c>
      <c r="AA13" s="410" t="n"/>
      <c r="AB13" s="410" t="n"/>
      <c r="AC13" s="282" t="e">
        <v>#DIV/0!</v>
      </c>
      <c r="AD13" s="283" t="n">
        <v>0</v>
      </c>
      <c r="AE13" s="338" t="n"/>
      <c r="AF13" s="347" t="n"/>
      <c r="AG13" s="353" t="n"/>
      <c r="AH13" s="355" t="n"/>
      <c r="AI13" s="327" t="n"/>
      <c r="AJ13" s="357" t="n"/>
    </row>
    <row r="14" ht="18" customHeight="1" s="139">
      <c r="A14" s="268" t="inlineStr">
        <is>
          <t>성남동</t>
        </is>
      </c>
      <c r="B14" s="287" t="inlineStr">
        <is>
          <t>상</t>
        </is>
      </c>
      <c r="C14" s="331" t="inlineStr">
        <is>
          <t>하</t>
        </is>
      </c>
      <c r="D14" s="328" t="inlineStr">
        <is>
          <t>효촌마을</t>
        </is>
      </c>
      <c r="E14" s="270" t="n">
        <v>24</v>
      </c>
      <c r="F14" s="270" t="n">
        <v>2.3</v>
      </c>
      <c r="G14" s="270" t="n">
        <v>2</v>
      </c>
      <c r="H14" s="307" t="n">
        <v>2003.04</v>
      </c>
      <c r="I14" s="307" t="n">
        <v>818</v>
      </c>
      <c r="J14" s="272" t="n">
        <v>23.96000000000004</v>
      </c>
      <c r="K14" s="289" t="inlineStr">
        <is>
          <t>79A, 80B</t>
        </is>
      </c>
      <c r="L14" s="289" t="n">
        <v>59</v>
      </c>
      <c r="M14" s="289" t="n">
        <v>24</v>
      </c>
      <c r="N14" s="413" t="n">
        <v>23000</v>
      </c>
      <c r="O14" s="414" t="n">
        <v>20000</v>
      </c>
      <c r="P14" s="408" t="n">
        <v>3000</v>
      </c>
      <c r="Q14" s="277" t="n">
        <v>0.8695652173913043</v>
      </c>
      <c r="R14" s="414" t="n">
        <v>31000</v>
      </c>
      <c r="S14" s="415" t="n">
        <v>22000</v>
      </c>
      <c r="T14" s="293" t="inlineStr">
        <is>
          <t>계단식</t>
        </is>
      </c>
      <c r="U14" s="289" t="n">
        <v>3</v>
      </c>
      <c r="V14" s="289" t="n">
        <v>1</v>
      </c>
      <c r="W14" s="289" t="n">
        <v>327</v>
      </c>
      <c r="X14" s="280" t="n"/>
      <c r="Y14" s="280" t="n"/>
      <c r="Z14" s="280" t="n">
        <v>24</v>
      </c>
      <c r="AA14" s="410" t="n"/>
      <c r="AB14" s="410" t="n"/>
      <c r="AC14" s="282" t="e">
        <v>#DIV/0!</v>
      </c>
      <c r="AD14" s="283" t="n">
        <v>0</v>
      </c>
      <c r="AE14" s="338" t="n"/>
      <c r="AF14" s="347" t="n"/>
      <c r="AG14" s="353" t="n"/>
      <c r="AH14" s="355" t="n"/>
      <c r="AI14" s="327" t="n"/>
      <c r="AJ14" s="357" t="n"/>
      <c r="AK14" s="16" t="n"/>
    </row>
    <row r="15" ht="18" customHeight="1" s="139" thickBot="1">
      <c r="A15" s="268" t="inlineStr">
        <is>
          <t>성남동</t>
        </is>
      </c>
      <c r="B15" s="287" t="inlineStr">
        <is>
          <t>상</t>
        </is>
      </c>
      <c r="C15" s="331" t="inlineStr">
        <is>
          <t>하</t>
        </is>
      </c>
      <c r="D15" s="328" t="inlineStr">
        <is>
          <t>효촌마을</t>
        </is>
      </c>
      <c r="E15" s="270" t="n">
        <v>21</v>
      </c>
      <c r="F15" s="270" t="n">
        <v>1.9</v>
      </c>
      <c r="G15" s="270" t="n">
        <v>1.5</v>
      </c>
      <c r="H15" s="303" t="n">
        <v>2003.04</v>
      </c>
      <c r="I15" s="303" t="n">
        <v>818</v>
      </c>
      <c r="J15" s="272" t="n">
        <v>23.96000000000004</v>
      </c>
      <c r="K15" s="298" t="n">
        <v>69</v>
      </c>
      <c r="L15" s="298" t="n">
        <v>46</v>
      </c>
      <c r="M15" s="298" t="n">
        <v>21</v>
      </c>
      <c r="N15" s="429" t="n">
        <v>19000</v>
      </c>
      <c r="O15" s="430" t="n">
        <v>15000</v>
      </c>
      <c r="P15" s="408" t="n">
        <v>4000</v>
      </c>
      <c r="Q15" s="277" t="n">
        <v>0.7894736842105263</v>
      </c>
      <c r="R15" s="430" t="n">
        <v>25000</v>
      </c>
      <c r="S15" s="431" t="n">
        <v>18000</v>
      </c>
      <c r="T15" s="302" t="inlineStr">
        <is>
          <t>복도식</t>
        </is>
      </c>
      <c r="U15" s="298" t="n">
        <v>2</v>
      </c>
      <c r="V15" s="298" t="n">
        <v>1</v>
      </c>
      <c r="W15" s="298" t="n">
        <v>119</v>
      </c>
      <c r="X15" s="280" t="n">
        <v>2020.06</v>
      </c>
      <c r="Y15" s="280" t="n">
        <v>0.01</v>
      </c>
      <c r="Z15" s="280" t="n">
        <v>21</v>
      </c>
      <c r="AA15" s="410" t="n">
        <v>17220</v>
      </c>
      <c r="AB15" s="410" t="n">
        <v>14000</v>
      </c>
      <c r="AC15" s="282" t="e">
        <v>#DIV/0!</v>
      </c>
      <c r="AD15" s="283" t="n">
        <v>0</v>
      </c>
      <c r="AE15" s="338" t="n"/>
      <c r="AF15" s="347" t="n"/>
      <c r="AG15" s="353" t="n"/>
      <c r="AH15" s="355" t="n"/>
      <c r="AI15" s="327" t="n"/>
      <c r="AJ15" s="357" t="n"/>
      <c r="AK15" s="16" t="n"/>
    </row>
    <row r="16" ht="15.5" customHeight="1" s="139">
      <c r="A16" s="48" t="inlineStr">
        <is>
          <t>효동</t>
        </is>
      </c>
      <c r="B16" s="172" t="inlineStr">
        <is>
          <t>상</t>
        </is>
      </c>
      <c r="C16" s="172" t="inlineStr">
        <is>
          <t>하</t>
        </is>
      </c>
      <c r="D16" s="329" t="inlineStr">
        <is>
          <t>효동현대</t>
        </is>
      </c>
      <c r="E16" s="34" t="n">
        <v>49</v>
      </c>
      <c r="F16" s="34" t="n">
        <v>4</v>
      </c>
      <c r="G16" s="34" t="n">
        <v>1.8</v>
      </c>
      <c r="H16" s="43" t="n">
        <v>1998.09</v>
      </c>
      <c r="I16" s="43" t="n">
        <v>1056</v>
      </c>
      <c r="J16" s="35" t="n">
        <v>28.91000000000008</v>
      </c>
      <c r="K16" s="40" t="n">
        <v>161</v>
      </c>
      <c r="L16" s="40" t="n">
        <v>134</v>
      </c>
      <c r="M16" s="40" t="n">
        <v>49</v>
      </c>
      <c r="N16" s="423" t="n">
        <v>40000</v>
      </c>
      <c r="O16" s="424" t="n">
        <v>18000</v>
      </c>
      <c r="P16" s="420" t="n">
        <v>22000</v>
      </c>
      <c r="Q16" s="183" t="n">
        <v>0.45</v>
      </c>
      <c r="R16" s="424" t="n">
        <v>40000</v>
      </c>
      <c r="S16" s="425" t="n">
        <v>35000</v>
      </c>
      <c r="T16" s="58" t="inlineStr">
        <is>
          <t>계단식</t>
        </is>
      </c>
      <c r="U16" s="40" t="n">
        <v>4</v>
      </c>
      <c r="V16" s="40" t="n">
        <v>2</v>
      </c>
      <c r="W16" s="40" t="n">
        <v>30</v>
      </c>
      <c r="X16" s="36" t="n"/>
      <c r="Y16" s="93" t="n"/>
      <c r="Z16" s="185" t="n">
        <v>49</v>
      </c>
      <c r="AA16" s="422" t="n"/>
      <c r="AB16" s="422" t="n"/>
      <c r="AC16" s="187" t="e">
        <v>#DIV/0!</v>
      </c>
      <c r="AD16" s="188" t="n">
        <v>0</v>
      </c>
      <c r="AE16" s="339" t="n"/>
      <c r="AF16" s="432" t="n"/>
      <c r="AG16" s="433" t="n"/>
      <c r="AH16" s="354" t="n"/>
      <c r="AI16" s="29" t="n"/>
      <c r="AJ16" s="357" t="n"/>
    </row>
    <row r="17" ht="18" customHeight="1" s="139">
      <c r="A17" s="48" t="inlineStr">
        <is>
          <t>효동</t>
        </is>
      </c>
      <c r="B17" s="191" t="inlineStr">
        <is>
          <t>상</t>
        </is>
      </c>
      <c r="C17" s="332" t="inlineStr">
        <is>
          <t>하</t>
        </is>
      </c>
      <c r="D17" s="329" t="inlineStr">
        <is>
          <t>효동현대</t>
        </is>
      </c>
      <c r="E17" s="34" t="n">
        <v>37</v>
      </c>
      <c r="F17" s="34" t="n">
        <v>3.35</v>
      </c>
      <c r="G17" s="34" t="n">
        <v>2</v>
      </c>
      <c r="H17" s="166" t="n">
        <v>1998.09</v>
      </c>
      <c r="I17" s="166" t="n">
        <v>1056</v>
      </c>
      <c r="J17" s="35" t="n">
        <v>28.91000000000008</v>
      </c>
      <c r="K17" s="41" t="inlineStr">
        <is>
          <t>123A, 125B, 128</t>
        </is>
      </c>
      <c r="L17" s="41" t="n">
        <v>99</v>
      </c>
      <c r="M17" s="41" t="n">
        <v>37</v>
      </c>
      <c r="N17" s="426" t="n">
        <v>33500</v>
      </c>
      <c r="O17" s="427" t="n">
        <v>20000</v>
      </c>
      <c r="P17" s="420" t="n">
        <v>13500</v>
      </c>
      <c r="Q17" s="183" t="n">
        <v>0.5970149253731343</v>
      </c>
      <c r="R17" s="427" t="n">
        <v>35000</v>
      </c>
      <c r="S17" s="428" t="n">
        <v>28000</v>
      </c>
      <c r="T17" s="59" t="inlineStr">
        <is>
          <t>계단식</t>
        </is>
      </c>
      <c r="U17" s="41" t="n">
        <v>3</v>
      </c>
      <c r="V17" s="41" t="n">
        <v>2</v>
      </c>
      <c r="W17" s="41" t="n">
        <v>126</v>
      </c>
      <c r="X17" s="36" t="n">
        <v>2020.11</v>
      </c>
      <c r="Y17" s="37" t="n">
        <v>0.06</v>
      </c>
      <c r="Z17" s="185" t="n">
        <v>37</v>
      </c>
      <c r="AA17" s="422" t="n">
        <v>25000</v>
      </c>
      <c r="AB17" s="422" t="n">
        <v>22000</v>
      </c>
      <c r="AC17" s="187" t="e">
        <v>#DIV/0!</v>
      </c>
      <c r="AD17" s="188" t="n">
        <v>0</v>
      </c>
      <c r="AE17" s="339" t="n"/>
      <c r="AF17" s="432" t="n"/>
      <c r="AG17" s="433" t="n"/>
      <c r="AH17" s="354" t="n"/>
      <c r="AI17" s="29" t="n"/>
      <c r="AJ17" s="357" t="n"/>
    </row>
    <row r="18" ht="18" customHeight="1" s="139">
      <c r="A18" s="48" t="inlineStr">
        <is>
          <t>효동</t>
        </is>
      </c>
      <c r="B18" s="191" t="inlineStr">
        <is>
          <t>상</t>
        </is>
      </c>
      <c r="C18" s="332" t="inlineStr">
        <is>
          <t>하</t>
        </is>
      </c>
      <c r="D18" s="329" t="inlineStr">
        <is>
          <t>효동현대</t>
        </is>
      </c>
      <c r="E18" s="34" t="n">
        <v>32</v>
      </c>
      <c r="F18" s="34" t="n">
        <v>2.7</v>
      </c>
      <c r="G18" s="34" t="n">
        <v>2</v>
      </c>
      <c r="H18" s="166" t="n">
        <v>1998.09</v>
      </c>
      <c r="I18" s="166" t="n">
        <v>1056</v>
      </c>
      <c r="J18" s="35" t="n">
        <v>28.91000000000008</v>
      </c>
      <c r="K18" s="41" t="inlineStr">
        <is>
          <t>107B, 112</t>
        </is>
      </c>
      <c r="L18" s="41" t="n">
        <v>86</v>
      </c>
      <c r="M18" s="41" t="n">
        <v>32</v>
      </c>
      <c r="N18" s="426" t="n">
        <v>27000</v>
      </c>
      <c r="O18" s="427" t="n">
        <v>20000</v>
      </c>
      <c r="P18" s="420" t="n">
        <v>7000</v>
      </c>
      <c r="Q18" s="183" t="n">
        <v>0.7407407407407407</v>
      </c>
      <c r="R18" s="427" t="n">
        <v>34000</v>
      </c>
      <c r="S18" s="428" t="n">
        <v>23000</v>
      </c>
      <c r="T18" s="59" t="inlineStr">
        <is>
          <t>계단식</t>
        </is>
      </c>
      <c r="U18" s="41" t="n">
        <v>3</v>
      </c>
      <c r="V18" s="41" t="n">
        <v>2</v>
      </c>
      <c r="W18" s="41" t="n">
        <v>6</v>
      </c>
      <c r="X18" s="36" t="n">
        <v>2020.01</v>
      </c>
      <c r="Y18" s="93" t="n">
        <v>0.01</v>
      </c>
      <c r="Z18" s="185" t="n">
        <v>32</v>
      </c>
      <c r="AA18" s="422" t="n">
        <v>17500</v>
      </c>
      <c r="AB18" s="422" t="n">
        <v>15500</v>
      </c>
      <c r="AC18" s="187" t="e">
        <v>#DIV/0!</v>
      </c>
      <c r="AD18" s="188" t="n">
        <v>0</v>
      </c>
      <c r="AE18" s="339" t="n"/>
      <c r="AF18" s="432" t="n"/>
      <c r="AG18" s="433" t="n"/>
      <c r="AH18" s="354" t="n"/>
      <c r="AI18" s="29" t="n"/>
      <c r="AJ18" s="357" t="n"/>
    </row>
    <row r="19" ht="18" customHeight="1" s="139" thickBot="1">
      <c r="A19" s="48" t="inlineStr">
        <is>
          <t>효동</t>
        </is>
      </c>
      <c r="B19" s="191" t="inlineStr">
        <is>
          <t>상</t>
        </is>
      </c>
      <c r="C19" s="332" t="inlineStr">
        <is>
          <t>하</t>
        </is>
      </c>
      <c r="D19" s="329" t="inlineStr">
        <is>
          <t>효동현대</t>
        </is>
      </c>
      <c r="E19" s="34" t="n">
        <v>31</v>
      </c>
      <c r="F19" s="34" t="n">
        <v>2.6</v>
      </c>
      <c r="G19" s="34" t="n">
        <v>2</v>
      </c>
      <c r="H19" s="52" t="n">
        <v>1998.09</v>
      </c>
      <c r="I19" s="52" t="n">
        <v>1056</v>
      </c>
      <c r="J19" s="35" t="n">
        <v>28.91000000000008</v>
      </c>
      <c r="K19" s="42" t="inlineStr">
        <is>
          <t>103, 106A, 106B, 109A</t>
        </is>
      </c>
      <c r="L19" s="42" t="n">
        <v>84</v>
      </c>
      <c r="M19" s="42" t="n">
        <v>31</v>
      </c>
      <c r="N19" s="418" t="n">
        <v>26000</v>
      </c>
      <c r="O19" s="419" t="n">
        <v>20000</v>
      </c>
      <c r="P19" s="420" t="n">
        <v>6000</v>
      </c>
      <c r="Q19" s="183" t="n">
        <v>0.7692307692307693</v>
      </c>
      <c r="R19" s="419" t="n">
        <v>32500</v>
      </c>
      <c r="S19" s="421" t="n">
        <v>23500</v>
      </c>
      <c r="T19" s="60" t="inlineStr">
        <is>
          <t>계단식</t>
        </is>
      </c>
      <c r="U19" s="42" t="n">
        <v>3</v>
      </c>
      <c r="V19" s="42" t="n">
        <v>2</v>
      </c>
      <c r="W19" s="42" t="n">
        <v>561</v>
      </c>
      <c r="X19" s="185" t="n">
        <v>2020.01</v>
      </c>
      <c r="Y19" s="185" t="n">
        <v>0.01</v>
      </c>
      <c r="Z19" s="185" t="n">
        <v>31</v>
      </c>
      <c r="AA19" s="422" t="n">
        <v>17500</v>
      </c>
      <c r="AB19" s="422" t="n">
        <v>15500</v>
      </c>
      <c r="AC19" s="187" t="e">
        <v>#DIV/0!</v>
      </c>
      <c r="AD19" s="188" t="n">
        <v>0</v>
      </c>
      <c r="AE19" s="350" t="n"/>
      <c r="AF19" s="341" t="n"/>
      <c r="AG19" s="350" t="n"/>
      <c r="AH19" s="362" t="n"/>
      <c r="AI19" s="196" t="n"/>
      <c r="AJ19" s="363" t="n"/>
    </row>
    <row r="20" ht="18" customHeight="1" s="139" thickBot="1">
      <c r="A20" s="48" t="inlineStr">
        <is>
          <t>효동</t>
        </is>
      </c>
      <c r="B20" s="172" t="inlineStr">
        <is>
          <t>상</t>
        </is>
      </c>
      <c r="C20" s="172" t="inlineStr">
        <is>
          <t>하</t>
        </is>
      </c>
      <c r="D20" s="329" t="inlineStr">
        <is>
          <t>효동현대</t>
        </is>
      </c>
      <c r="E20" s="34" t="n">
        <v>30</v>
      </c>
      <c r="F20" s="34" t="n">
        <v>2.35</v>
      </c>
      <c r="G20" s="34" t="n">
        <v>1.8</v>
      </c>
      <c r="H20" s="43" t="n">
        <v>1998.09</v>
      </c>
      <c r="I20" s="43" t="n">
        <v>1056</v>
      </c>
      <c r="J20" s="35" t="n">
        <v>28.91000000000008</v>
      </c>
      <c r="K20" s="43" t="n">
        <v>99</v>
      </c>
      <c r="L20" s="43" t="n">
        <v>76</v>
      </c>
      <c r="M20" s="43" t="n">
        <v>30</v>
      </c>
      <c r="N20" s="434" t="n">
        <v>23500</v>
      </c>
      <c r="O20" s="435" t="n">
        <v>18000</v>
      </c>
      <c r="P20" s="420" t="n">
        <v>5500</v>
      </c>
      <c r="Q20" s="183" t="n">
        <v>0.7659574468085106</v>
      </c>
      <c r="R20" s="435" t="n">
        <v>28500</v>
      </c>
      <c r="S20" s="436" t="n">
        <v>22000</v>
      </c>
      <c r="T20" s="61" t="inlineStr">
        <is>
          <t>계단식</t>
        </is>
      </c>
      <c r="U20" s="43" t="n">
        <v>3</v>
      </c>
      <c r="V20" s="43" t="n">
        <v>2</v>
      </c>
      <c r="W20" s="43" t="n">
        <v>102</v>
      </c>
      <c r="X20" s="93" t="n">
        <v>2020.02</v>
      </c>
      <c r="Y20" s="93" t="n">
        <v>0.03</v>
      </c>
      <c r="Z20" s="185" t="n">
        <v>30</v>
      </c>
      <c r="AA20" s="422" t="n">
        <v>19250</v>
      </c>
      <c r="AB20" s="422" t="n">
        <v>16000</v>
      </c>
      <c r="AC20" s="187" t="e">
        <v>#DIV/0!</v>
      </c>
      <c r="AD20" s="188" t="n">
        <v>0</v>
      </c>
      <c r="AE20" s="339" t="n"/>
      <c r="AF20" s="437" t="n"/>
      <c r="AG20" s="433" t="n"/>
      <c r="AH20" s="354" t="n"/>
      <c r="AI20" s="196" t="n"/>
      <c r="AJ20" s="363" t="n"/>
    </row>
    <row r="21" ht="18" customHeight="1" s="139">
      <c r="A21" s="48" t="inlineStr">
        <is>
          <t>효동</t>
        </is>
      </c>
      <c r="B21" s="172" t="inlineStr">
        <is>
          <t>상</t>
        </is>
      </c>
      <c r="C21" s="172" t="inlineStr">
        <is>
          <t>하</t>
        </is>
      </c>
      <c r="D21" s="329" t="inlineStr">
        <is>
          <t>효동현대</t>
        </is>
      </c>
      <c r="E21" s="34" t="n">
        <v>23</v>
      </c>
      <c r="F21" s="34" t="n">
        <v>2.2</v>
      </c>
      <c r="G21" s="34" t="n">
        <v>1.3</v>
      </c>
      <c r="H21" s="40" t="n">
        <v>1998.09</v>
      </c>
      <c r="I21" s="40" t="n">
        <v>1056</v>
      </c>
      <c r="J21" s="35" t="n">
        <v>28.91000000000008</v>
      </c>
      <c r="K21" s="40" t="inlineStr">
        <is>
          <t>77A, 78B</t>
        </is>
      </c>
      <c r="L21" s="40" t="n">
        <v>59</v>
      </c>
      <c r="M21" s="40" t="n">
        <v>23</v>
      </c>
      <c r="N21" s="423" t="n">
        <v>22000</v>
      </c>
      <c r="O21" s="424" t="n">
        <v>13000</v>
      </c>
      <c r="P21" s="420" t="n">
        <v>9000</v>
      </c>
      <c r="Q21" s="183" t="n">
        <v>0.5909090909090909</v>
      </c>
      <c r="R21" s="424" t="n">
        <v>25500</v>
      </c>
      <c r="S21" s="425" t="n">
        <v>18500</v>
      </c>
      <c r="T21" s="58" t="inlineStr">
        <is>
          <t>계단식</t>
        </is>
      </c>
      <c r="U21" s="40" t="n">
        <v>3</v>
      </c>
      <c r="V21" s="40" t="n">
        <v>1</v>
      </c>
      <c r="W21" s="40" t="n">
        <v>231</v>
      </c>
      <c r="X21" s="37" t="n"/>
      <c r="Y21" s="37" t="n"/>
      <c r="Z21" s="185" t="n">
        <v>23</v>
      </c>
      <c r="AA21" s="422" t="n"/>
      <c r="AB21" s="422" t="n"/>
      <c r="AC21" s="187" t="e">
        <v>#DIV/0!</v>
      </c>
      <c r="AD21" s="188" t="n">
        <v>0</v>
      </c>
      <c r="AE21" s="339" t="n"/>
      <c r="AF21" s="437" t="n"/>
      <c r="AG21" s="433" t="n"/>
      <c r="AH21" s="354" t="n"/>
      <c r="AI21" s="196" t="n"/>
      <c r="AJ21" s="363" t="n"/>
    </row>
    <row r="22" ht="18" customHeight="1" s="139">
      <c r="A22" s="268" t="inlineStr">
        <is>
          <t>홍도동</t>
        </is>
      </c>
      <c r="B22" s="287" t="inlineStr">
        <is>
          <t>중</t>
        </is>
      </c>
      <c r="C22" s="331" t="inlineStr">
        <is>
          <t>하</t>
        </is>
      </c>
      <c r="D22" s="328" t="inlineStr">
        <is>
          <t>홍도서우</t>
        </is>
      </c>
      <c r="E22" s="270" t="n">
        <v>35</v>
      </c>
      <c r="F22" s="270" t="n">
        <v>2.4</v>
      </c>
      <c r="G22" s="270" t="n">
        <v>1.2</v>
      </c>
      <c r="H22" s="289" t="n">
        <v>1996.1</v>
      </c>
      <c r="I22" s="289" t="n">
        <v>571</v>
      </c>
      <c r="J22" s="272" t="n">
        <v>30.90000000000009</v>
      </c>
      <c r="K22" s="289" t="n">
        <v>114</v>
      </c>
      <c r="L22" s="289" t="n">
        <v>84</v>
      </c>
      <c r="M22" s="289" t="n">
        <v>35</v>
      </c>
      <c r="N22" s="413" t="n">
        <v>24000</v>
      </c>
      <c r="O22" s="414" t="n">
        <v>12000</v>
      </c>
      <c r="P22" s="408" t="n">
        <v>12000</v>
      </c>
      <c r="Q22" s="277" t="n">
        <v>0.5</v>
      </c>
      <c r="R22" s="414" t="n">
        <v>18000</v>
      </c>
      <c r="S22" s="415" t="n">
        <v>19000</v>
      </c>
      <c r="T22" s="293" t="inlineStr">
        <is>
          <t>복도식</t>
        </is>
      </c>
      <c r="U22" s="289" t="n">
        <v>3</v>
      </c>
      <c r="V22" s="289" t="n">
        <v>2</v>
      </c>
      <c r="W22" s="289" t="n">
        <v>33</v>
      </c>
      <c r="X22" s="394" t="n"/>
      <c r="Y22" s="394" t="n"/>
      <c r="Z22" s="280" t="n">
        <v>35</v>
      </c>
      <c r="AA22" s="410" t="n"/>
      <c r="AB22" s="410" t="n"/>
      <c r="AC22" s="282" t="e">
        <v>#DIV/0!</v>
      </c>
      <c r="AD22" s="283" t="n">
        <v>0</v>
      </c>
      <c r="AE22" s="338" t="n"/>
      <c r="AF22" s="438" t="n"/>
      <c r="AG22" s="439" t="n"/>
      <c r="AH22" s="296" t="n"/>
      <c r="AI22" s="297" t="n"/>
      <c r="AJ22" s="363" t="n"/>
    </row>
    <row r="23" ht="18" customHeight="1" s="139" thickBot="1">
      <c r="A23" s="268" t="inlineStr">
        <is>
          <t>홍도동</t>
        </is>
      </c>
      <c r="B23" s="287" t="inlineStr">
        <is>
          <t>중</t>
        </is>
      </c>
      <c r="C23" s="331" t="inlineStr">
        <is>
          <t>하</t>
        </is>
      </c>
      <c r="D23" s="328" t="inlineStr">
        <is>
          <t>홍도서우</t>
        </is>
      </c>
      <c r="E23" s="270" t="n">
        <v>24</v>
      </c>
      <c r="F23" s="270" t="n">
        <v>1.49</v>
      </c>
      <c r="G23" s="270" t="n">
        <v>1.3</v>
      </c>
      <c r="H23" s="308" t="n">
        <v>1996.1</v>
      </c>
      <c r="I23" s="308" t="n">
        <v>571</v>
      </c>
      <c r="J23" s="272" t="n">
        <v>30.90000000000009</v>
      </c>
      <c r="K23" s="308" t="n">
        <v>80</v>
      </c>
      <c r="L23" s="308" t="n">
        <v>59</v>
      </c>
      <c r="M23" s="308" t="n">
        <v>24</v>
      </c>
      <c r="N23" s="440" t="n">
        <v>14900</v>
      </c>
      <c r="O23" s="441" t="n">
        <v>13000</v>
      </c>
      <c r="P23" s="408" t="n">
        <v>1900</v>
      </c>
      <c r="Q23" s="277" t="n">
        <v>0.87248322147651</v>
      </c>
      <c r="R23" s="441" t="n">
        <v>16500</v>
      </c>
      <c r="S23" s="442" t="n">
        <v>13800</v>
      </c>
      <c r="T23" s="312" t="inlineStr">
        <is>
          <t>복도식</t>
        </is>
      </c>
      <c r="U23" s="308" t="n">
        <v>3</v>
      </c>
      <c r="V23" s="308" t="n">
        <v>1</v>
      </c>
      <c r="W23" s="308" t="n">
        <v>139</v>
      </c>
      <c r="X23" s="394" t="n">
        <v>2020.06</v>
      </c>
      <c r="Y23" s="394" t="n">
        <v>0.01</v>
      </c>
      <c r="Z23" s="280" t="n">
        <v>24</v>
      </c>
      <c r="AA23" s="410" t="n">
        <v>13300</v>
      </c>
      <c r="AB23" s="410" t="n">
        <v>11000</v>
      </c>
      <c r="AC23" s="282" t="e">
        <v>#DIV/0!</v>
      </c>
      <c r="AD23" s="283" t="n">
        <v>0</v>
      </c>
      <c r="AE23" s="338" t="n"/>
      <c r="AF23" s="438" t="n"/>
      <c r="AG23" s="439" t="n"/>
      <c r="AH23" s="296" t="n"/>
      <c r="AI23" s="297" t="n"/>
      <c r="AJ23" s="363" t="n"/>
    </row>
    <row r="24" ht="18" customHeight="1" s="139" thickBot="1">
      <c r="A24" s="268" t="inlineStr">
        <is>
          <t>홍도동</t>
        </is>
      </c>
      <c r="B24" s="269" t="inlineStr">
        <is>
          <t>중</t>
        </is>
      </c>
      <c r="C24" s="269" t="inlineStr">
        <is>
          <t>하</t>
        </is>
      </c>
      <c r="D24" s="328" t="inlineStr">
        <is>
          <t>홍도서우</t>
        </is>
      </c>
      <c r="E24" s="270" t="n">
        <v>17</v>
      </c>
      <c r="F24" s="270" t="n">
        <v>0.92</v>
      </c>
      <c r="G24" s="270" t="n">
        <v>0.72</v>
      </c>
      <c r="H24" s="376" t="n">
        <v>1996.1</v>
      </c>
      <c r="I24" s="376" t="n">
        <v>571</v>
      </c>
      <c r="J24" s="272" t="n">
        <v>30.90000000000009</v>
      </c>
      <c r="K24" s="376" t="n">
        <v>56</v>
      </c>
      <c r="L24" s="376" t="n">
        <v>42</v>
      </c>
      <c r="M24" s="376" t="n">
        <v>17</v>
      </c>
      <c r="N24" s="443" t="n">
        <v>9200</v>
      </c>
      <c r="O24" s="444" t="n">
        <v>7200</v>
      </c>
      <c r="P24" s="408" t="n">
        <v>2000</v>
      </c>
      <c r="Q24" s="277" t="n">
        <v>0.7826086956521739</v>
      </c>
      <c r="R24" s="444" t="n">
        <v>12300</v>
      </c>
      <c r="S24" s="445" t="n">
        <v>9000</v>
      </c>
      <c r="T24" s="391" t="inlineStr">
        <is>
          <t>복도식</t>
        </is>
      </c>
      <c r="U24" s="376" t="n">
        <v>2</v>
      </c>
      <c r="V24" s="376" t="n">
        <v>1</v>
      </c>
      <c r="W24" s="376" t="n">
        <v>275</v>
      </c>
      <c r="X24" s="394" t="n">
        <v>2020.01</v>
      </c>
      <c r="Y24" s="394" t="n">
        <v>0.02</v>
      </c>
      <c r="Z24" s="280" t="n">
        <v>17</v>
      </c>
      <c r="AA24" s="410" t="n">
        <v>8400</v>
      </c>
      <c r="AB24" s="410" t="n">
        <v>7200</v>
      </c>
      <c r="AC24" s="282" t="e">
        <v>#DIV/0!</v>
      </c>
      <c r="AD24" s="283" t="n">
        <v>0</v>
      </c>
      <c r="AE24" s="338" t="n"/>
      <c r="AF24" s="438" t="n"/>
      <c r="AG24" s="439" t="n"/>
      <c r="AH24" s="296" t="n"/>
      <c r="AI24" s="297" t="n"/>
      <c r="AJ24" s="363" t="n"/>
    </row>
    <row r="25" ht="18" customHeight="1" s="139" thickBot="1">
      <c r="A25" s="268" t="inlineStr">
        <is>
          <t>홍도동</t>
        </is>
      </c>
      <c r="B25" s="269" t="inlineStr">
        <is>
          <t>중</t>
        </is>
      </c>
      <c r="C25" s="269" t="inlineStr">
        <is>
          <t>하</t>
        </is>
      </c>
      <c r="D25" s="328" t="inlineStr">
        <is>
          <t>홍도서우</t>
        </is>
      </c>
      <c r="E25" s="270" t="n">
        <v>18</v>
      </c>
      <c r="F25" s="270" t="n">
        <v>0.9</v>
      </c>
      <c r="G25" s="270" t="n">
        <v>0.85</v>
      </c>
      <c r="H25" s="271" t="n">
        <v>1996.1</v>
      </c>
      <c r="I25" s="271" t="n">
        <v>571</v>
      </c>
      <c r="J25" s="272" t="n">
        <v>30.90000000000009</v>
      </c>
      <c r="K25" s="271" t="n">
        <v>61</v>
      </c>
      <c r="L25" s="271" t="n">
        <v>45</v>
      </c>
      <c r="M25" s="271" t="n">
        <v>18</v>
      </c>
      <c r="N25" s="446" t="n">
        <v>9000</v>
      </c>
      <c r="O25" s="447" t="n">
        <v>8500</v>
      </c>
      <c r="P25" s="408" t="n">
        <v>500</v>
      </c>
      <c r="Q25" s="277" t="n">
        <v>0.9444444444444444</v>
      </c>
      <c r="R25" s="447" t="n">
        <v>13500</v>
      </c>
      <c r="S25" s="448" t="n">
        <v>12000</v>
      </c>
      <c r="T25" s="315" t="inlineStr">
        <is>
          <t>복도식</t>
        </is>
      </c>
      <c r="U25" s="271" t="n">
        <v>2</v>
      </c>
      <c r="V25" s="271" t="n">
        <v>1</v>
      </c>
      <c r="W25" s="271" t="n">
        <v>124</v>
      </c>
      <c r="X25" s="393" t="n">
        <v>2020.05</v>
      </c>
      <c r="Y25" s="393" t="n">
        <v>0.05</v>
      </c>
      <c r="Z25" s="280" t="n">
        <v>18</v>
      </c>
      <c r="AA25" s="410" t="n">
        <v>9260</v>
      </c>
      <c r="AB25" s="410" t="n">
        <v>8125</v>
      </c>
      <c r="AC25" s="282" t="e">
        <v>#DIV/0!</v>
      </c>
      <c r="AD25" s="283" t="n">
        <v>0</v>
      </c>
      <c r="AE25" s="338" t="n"/>
      <c r="AF25" s="438" t="n"/>
      <c r="AG25" s="439" t="n"/>
      <c r="AH25" s="296" t="n"/>
      <c r="AI25" s="297" t="n"/>
      <c r="AJ25" s="363" t="n"/>
    </row>
    <row r="26" ht="18" customHeight="1" s="139">
      <c r="A26" s="48" t="inlineStr">
        <is>
          <t>홍도동</t>
        </is>
      </c>
      <c r="B26" s="172" t="inlineStr">
        <is>
          <t>중</t>
        </is>
      </c>
      <c r="C26" s="172" t="inlineStr">
        <is>
          <t>상</t>
        </is>
      </c>
      <c r="D26" s="329" t="inlineStr">
        <is>
          <t>홍도갤러리휴리움</t>
        </is>
      </c>
      <c r="E26" s="34" t="n">
        <v>30</v>
      </c>
      <c r="F26" s="34" t="n">
        <v>3.5</v>
      </c>
      <c r="G26" s="34" t="n">
        <v>2.4</v>
      </c>
      <c r="H26" s="40" t="n">
        <v>2023.02</v>
      </c>
      <c r="I26" s="40" t="n">
        <v>419</v>
      </c>
      <c r="J26" s="35" t="n">
        <v>3.980000000000018</v>
      </c>
      <c r="K26" s="40" t="n">
        <v>98</v>
      </c>
      <c r="L26" s="40" t="n">
        <v>74</v>
      </c>
      <c r="M26" s="40" t="n">
        <v>30</v>
      </c>
      <c r="N26" s="423" t="n">
        <v>35000</v>
      </c>
      <c r="O26" s="424" t="n">
        <v>24000</v>
      </c>
      <c r="P26" s="420" t="n">
        <v>11000</v>
      </c>
      <c r="Q26" s="183" t="n">
        <v>0.6857142857142857</v>
      </c>
      <c r="R26" s="424" t="n">
        <v>36000</v>
      </c>
      <c r="S26" s="425" t="n">
        <v>32500</v>
      </c>
      <c r="T26" s="58" t="inlineStr">
        <is>
          <t>계단식</t>
        </is>
      </c>
      <c r="U26" s="40" t="n">
        <v>3</v>
      </c>
      <c r="V26" s="40" t="n">
        <v>2</v>
      </c>
      <c r="W26" s="40" t="n">
        <v>85</v>
      </c>
      <c r="X26" s="93" t="n"/>
      <c r="Y26" s="93" t="n"/>
      <c r="Z26" s="185" t="n">
        <v>30</v>
      </c>
      <c r="AA26" s="422" t="n"/>
      <c r="AB26" s="422" t="n"/>
      <c r="AC26" s="187" t="e">
        <v>#DIV/0!</v>
      </c>
      <c r="AD26" s="188" t="n">
        <v>0</v>
      </c>
      <c r="AE26" s="339" t="n"/>
      <c r="AF26" s="432" t="n"/>
      <c r="AG26" s="433" t="n"/>
      <c r="AH26" s="122" t="n"/>
      <c r="AI26" s="196" t="n"/>
      <c r="AJ26" s="363" t="n"/>
      <c r="AS26" s="339" t="n"/>
    </row>
    <row r="27" ht="18" customHeight="1" s="139">
      <c r="A27" s="48" t="inlineStr">
        <is>
          <t>홍도동</t>
        </is>
      </c>
      <c r="B27" s="191" t="inlineStr">
        <is>
          <t>중</t>
        </is>
      </c>
      <c r="C27" s="332" t="inlineStr">
        <is>
          <t>상</t>
        </is>
      </c>
      <c r="D27" s="329" t="inlineStr">
        <is>
          <t>홍도갤러리휴리움</t>
        </is>
      </c>
      <c r="E27" s="34" t="n">
        <v>24</v>
      </c>
      <c r="F27" s="34" t="n">
        <v>2.9</v>
      </c>
      <c r="G27" s="34" t="n">
        <v>2.35</v>
      </c>
      <c r="H27" s="41" t="n">
        <v>2023.02</v>
      </c>
      <c r="I27" s="41" t="n">
        <v>419</v>
      </c>
      <c r="J27" s="35" t="n">
        <v>3.980000000000018</v>
      </c>
      <c r="K27" s="41" t="inlineStr">
        <is>
          <t>80B, 82A, 87C</t>
        </is>
      </c>
      <c r="L27" s="41" t="n">
        <v>59</v>
      </c>
      <c r="M27" s="41" t="n">
        <v>24</v>
      </c>
      <c r="N27" s="426" t="n">
        <v>29000</v>
      </c>
      <c r="O27" s="427" t="n">
        <v>23500</v>
      </c>
      <c r="P27" s="420" t="n">
        <v>5500</v>
      </c>
      <c r="Q27" s="183" t="n">
        <v>0.8103448275862069</v>
      </c>
      <c r="R27" s="427" t="n">
        <v>30000</v>
      </c>
      <c r="S27" s="428" t="n">
        <v>26500</v>
      </c>
      <c r="T27" s="59" t="inlineStr">
        <is>
          <t>계단식</t>
        </is>
      </c>
      <c r="U27" s="41" t="n">
        <v>3</v>
      </c>
      <c r="V27" s="41" t="n">
        <v>2</v>
      </c>
      <c r="W27" s="41" t="n">
        <v>206</v>
      </c>
      <c r="X27" s="93" t="n">
        <v>2024.06</v>
      </c>
      <c r="Y27" s="93" t="n">
        <v>0.02</v>
      </c>
      <c r="Z27" s="185" t="n">
        <v>24</v>
      </c>
      <c r="AA27" s="422" t="n">
        <v>27700</v>
      </c>
      <c r="AB27" s="422" t="n">
        <v>23000</v>
      </c>
      <c r="AC27" s="187" t="e">
        <v>#DIV/0!</v>
      </c>
      <c r="AD27" s="188" t="n">
        <v>0</v>
      </c>
      <c r="AE27" s="339" t="n"/>
      <c r="AF27" s="432" t="n"/>
      <c r="AG27" s="433" t="n"/>
      <c r="AH27" s="122" t="n"/>
      <c r="AI27" s="196" t="n"/>
      <c r="AJ27" s="363" t="n"/>
      <c r="AS27" s="357" t="n"/>
    </row>
    <row r="28" ht="18" customHeight="1" s="139">
      <c r="A28" s="48" t="inlineStr">
        <is>
          <t>홍도동</t>
        </is>
      </c>
      <c r="B28" s="191" t="inlineStr">
        <is>
          <t>중</t>
        </is>
      </c>
      <c r="C28" s="332" t="inlineStr">
        <is>
          <t>상</t>
        </is>
      </c>
      <c r="D28" s="329" t="inlineStr">
        <is>
          <t>홍도갤러리휴리움</t>
        </is>
      </c>
      <c r="E28" s="34" t="n">
        <v>22</v>
      </c>
      <c r="F28" s="34" t="n">
        <v>2.5</v>
      </c>
      <c r="G28" s="34" t="n">
        <v>2</v>
      </c>
      <c r="H28" s="41" t="n">
        <v>2023.02</v>
      </c>
      <c r="I28" s="41" t="n">
        <v>419</v>
      </c>
      <c r="J28" s="35" t="n">
        <v>3.980000000000018</v>
      </c>
      <c r="K28" s="41" t="inlineStr">
        <is>
          <t>71A, 72C, 74B</t>
        </is>
      </c>
      <c r="L28" s="41" t="n">
        <v>49</v>
      </c>
      <c r="M28" s="41" t="n">
        <v>22</v>
      </c>
      <c r="N28" s="426" t="n">
        <v>25000</v>
      </c>
      <c r="O28" s="427" t="n">
        <v>20000</v>
      </c>
      <c r="P28" s="420" t="n">
        <v>5000</v>
      </c>
      <c r="Q28" s="183" t="n">
        <v>0.8</v>
      </c>
      <c r="R28" s="427" t="n">
        <v>26800</v>
      </c>
      <c r="S28" s="428" t="n">
        <v>24500</v>
      </c>
      <c r="T28" s="59" t="inlineStr">
        <is>
          <t>계단식</t>
        </is>
      </c>
      <c r="U28" s="41" t="n">
        <v>2</v>
      </c>
      <c r="V28" s="41" t="n">
        <v>2</v>
      </c>
      <c r="W28" s="41" t="n">
        <v>128</v>
      </c>
      <c r="X28" s="93" t="n">
        <v>2025.12</v>
      </c>
      <c r="Y28" s="93" t="n">
        <v>0.01</v>
      </c>
      <c r="Z28" s="185" t="n">
        <v>22</v>
      </c>
      <c r="AA28" s="422" t="n">
        <v>25183</v>
      </c>
      <c r="AB28" s="422" t="n">
        <v>20300</v>
      </c>
      <c r="AC28" s="187" t="e">
        <v>#DIV/0!</v>
      </c>
      <c r="AD28" s="188" t="n">
        <v>0</v>
      </c>
      <c r="AE28" s="339" t="n"/>
      <c r="AF28" s="432" t="n"/>
      <c r="AG28" s="433" t="n"/>
      <c r="AH28" s="122" t="n"/>
      <c r="AI28" s="196" t="n"/>
      <c r="AJ28" s="363" t="n"/>
      <c r="AS28" s="357" t="n"/>
    </row>
    <row r="29" ht="18" customHeight="1" s="139" thickBot="1">
      <c r="A29" s="268" t="inlineStr">
        <is>
          <t>인동</t>
        </is>
      </c>
      <c r="B29" s="287" t="inlineStr">
        <is>
          <t>중</t>
        </is>
      </c>
      <c r="C29" s="331" t="inlineStr">
        <is>
          <t>하</t>
        </is>
      </c>
      <c r="D29" s="328" t="inlineStr">
        <is>
          <t>현대</t>
        </is>
      </c>
      <c r="E29" s="270" t="n">
        <v>29</v>
      </c>
      <c r="F29" s="270" t="n">
        <v>2.2</v>
      </c>
      <c r="G29" s="270" t="n">
        <v>1.3</v>
      </c>
      <c r="H29" s="298" t="n">
        <v>1987.06</v>
      </c>
      <c r="I29" s="298" t="n">
        <v>728</v>
      </c>
      <c r="J29" s="272" t="n">
        <v>39.94000000000005</v>
      </c>
      <c r="K29" s="298" t="n">
        <v>97</v>
      </c>
      <c r="L29" s="298" t="n">
        <v>79</v>
      </c>
      <c r="M29" s="298" t="n">
        <v>29</v>
      </c>
      <c r="N29" s="429" t="n">
        <v>22000</v>
      </c>
      <c r="O29" s="430" t="n">
        <v>13000</v>
      </c>
      <c r="P29" s="408" t="n">
        <v>9000</v>
      </c>
      <c r="Q29" s="277" t="n">
        <v>0.5909090909090909</v>
      </c>
      <c r="R29" s="430" t="n">
        <v>25500</v>
      </c>
      <c r="S29" s="431" t="n">
        <v>19000</v>
      </c>
      <c r="T29" s="302" t="inlineStr">
        <is>
          <t>계단식</t>
        </is>
      </c>
      <c r="U29" s="298" t="n">
        <v>3</v>
      </c>
      <c r="V29" s="298" t="n">
        <v>1</v>
      </c>
      <c r="W29" s="298" t="n">
        <v>52</v>
      </c>
      <c r="X29" s="280" t="n">
        <v>2020.01</v>
      </c>
      <c r="Y29" s="280" t="n">
        <v>0.01</v>
      </c>
      <c r="Z29" s="280" t="n">
        <v>29</v>
      </c>
      <c r="AA29" s="410" t="n">
        <v>15000</v>
      </c>
      <c r="AB29" s="410" t="n">
        <v>12000</v>
      </c>
      <c r="AC29" s="282" t="e">
        <v>#DIV/0!</v>
      </c>
      <c r="AD29" s="283" t="n">
        <v>0</v>
      </c>
      <c r="AE29" s="338" t="n"/>
      <c r="AF29" s="347" t="n"/>
      <c r="AG29" s="353" t="n"/>
      <c r="AH29" s="296" t="n"/>
      <c r="AI29" s="297" t="n"/>
      <c r="AJ29" s="363" t="n"/>
      <c r="AK29" s="15" t="n"/>
    </row>
    <row r="30" ht="18" customHeight="1" s="139">
      <c r="A30" s="268" t="inlineStr">
        <is>
          <t>인동</t>
        </is>
      </c>
      <c r="B30" s="269" t="inlineStr">
        <is>
          <t>중</t>
        </is>
      </c>
      <c r="C30" s="269" t="inlineStr">
        <is>
          <t>하</t>
        </is>
      </c>
      <c r="D30" s="328" t="inlineStr">
        <is>
          <t>현대</t>
        </is>
      </c>
      <c r="E30" s="270" t="n">
        <v>32</v>
      </c>
      <c r="F30" s="270" t="n">
        <v>2.2</v>
      </c>
      <c r="G30" s="270" t="n">
        <v>1.8</v>
      </c>
      <c r="H30" s="273" t="n">
        <v>1987.06</v>
      </c>
      <c r="I30" s="273" t="n">
        <v>728</v>
      </c>
      <c r="J30" s="272" t="n">
        <v>39.94000000000005</v>
      </c>
      <c r="K30" s="273" t="n">
        <v>104</v>
      </c>
      <c r="L30" s="273" t="n">
        <v>84</v>
      </c>
      <c r="M30" s="273" t="n">
        <v>32</v>
      </c>
      <c r="N30" s="406" t="n">
        <v>22000</v>
      </c>
      <c r="O30" s="407" t="n">
        <v>18000</v>
      </c>
      <c r="P30" s="408" t="n">
        <v>4000</v>
      </c>
      <c r="Q30" s="277" t="n">
        <v>0.8181818181818182</v>
      </c>
      <c r="R30" s="407" t="n">
        <v>27800</v>
      </c>
      <c r="S30" s="409" t="n">
        <v>19000</v>
      </c>
      <c r="T30" s="279" t="inlineStr">
        <is>
          <t>계단식</t>
        </is>
      </c>
      <c r="U30" s="273" t="n">
        <v>3</v>
      </c>
      <c r="V30" s="273" t="n">
        <v>1</v>
      </c>
      <c r="W30" s="273" t="n">
        <v>312</v>
      </c>
      <c r="X30" s="280" t="n">
        <v>2022.1</v>
      </c>
      <c r="Y30" s="280" t="n">
        <v>0.01</v>
      </c>
      <c r="Z30" s="280" t="n">
        <v>32</v>
      </c>
      <c r="AA30" s="410" t="n">
        <v>21633</v>
      </c>
      <c r="AB30" s="410" t="n">
        <v>17333</v>
      </c>
      <c r="AC30" s="282" t="e">
        <v>#DIV/0!</v>
      </c>
      <c r="AD30" s="283" t="n">
        <v>0</v>
      </c>
      <c r="AE30" s="338" t="n"/>
      <c r="AF30" s="347" t="n"/>
      <c r="AG30" s="353" t="n"/>
      <c r="AH30" s="296" t="n"/>
      <c r="AI30" s="297" t="n"/>
      <c r="AJ30" s="363" t="n"/>
    </row>
    <row r="31" ht="18" customFormat="1" customHeight="1" s="2">
      <c r="A31" s="268" t="inlineStr">
        <is>
          <t>인동</t>
        </is>
      </c>
      <c r="B31" s="287" t="inlineStr">
        <is>
          <t>중</t>
        </is>
      </c>
      <c r="C31" s="331" t="inlineStr">
        <is>
          <t>하</t>
        </is>
      </c>
      <c r="D31" s="328" t="inlineStr">
        <is>
          <t>현대</t>
        </is>
      </c>
      <c r="E31" s="270" t="n">
        <v>26</v>
      </c>
      <c r="F31" s="270" t="n">
        <v>2.1</v>
      </c>
      <c r="G31" s="270" t="n">
        <v>1.6</v>
      </c>
      <c r="H31" s="289" t="n">
        <v>1987.06</v>
      </c>
      <c r="I31" s="289" t="n">
        <v>728</v>
      </c>
      <c r="J31" s="272" t="n">
        <v>39.94000000000005</v>
      </c>
      <c r="K31" s="289" t="n">
        <v>86</v>
      </c>
      <c r="L31" s="289" t="n">
        <v>70</v>
      </c>
      <c r="M31" s="289" t="n">
        <v>26</v>
      </c>
      <c r="N31" s="413" t="n">
        <v>21000</v>
      </c>
      <c r="O31" s="414" t="n">
        <v>16000</v>
      </c>
      <c r="P31" s="408" t="n">
        <v>5000</v>
      </c>
      <c r="Q31" s="277" t="n">
        <v>0.7619047619047619</v>
      </c>
      <c r="R31" s="414" t="n">
        <v>25000</v>
      </c>
      <c r="S31" s="415" t="n">
        <v>17000</v>
      </c>
      <c r="T31" s="293" t="inlineStr">
        <is>
          <t>계단식</t>
        </is>
      </c>
      <c r="U31" s="289" t="n">
        <v>3</v>
      </c>
      <c r="V31" s="289" t="n">
        <v>1</v>
      </c>
      <c r="W31" s="289" t="n">
        <v>182</v>
      </c>
      <c r="X31" s="280" t="n">
        <v>2020.09</v>
      </c>
      <c r="Y31" s="280" t="n">
        <v>0.02</v>
      </c>
      <c r="Z31" s="280" t="n">
        <v>26</v>
      </c>
      <c r="AA31" s="410" t="n">
        <v>16838</v>
      </c>
      <c r="AB31" s="410" t="n">
        <v>14000</v>
      </c>
      <c r="AC31" s="282" t="e">
        <v>#DIV/0!</v>
      </c>
      <c r="AD31" s="283" t="n">
        <v>0</v>
      </c>
      <c r="AE31" s="338" t="n"/>
      <c r="AF31" s="347" t="n"/>
      <c r="AG31" s="353" t="n"/>
      <c r="AH31" s="355" t="n"/>
      <c r="AI31" s="297" t="n"/>
      <c r="AJ31" s="363" t="n"/>
      <c r="AK31" s="16" t="n"/>
    </row>
    <row r="32" ht="18" customFormat="1" customHeight="1" s="2">
      <c r="A32" s="268" t="inlineStr">
        <is>
          <t>인동</t>
        </is>
      </c>
      <c r="B32" s="287" t="inlineStr">
        <is>
          <t>중</t>
        </is>
      </c>
      <c r="C32" s="331" t="inlineStr">
        <is>
          <t>하</t>
        </is>
      </c>
      <c r="D32" s="328" t="inlineStr">
        <is>
          <t>현대</t>
        </is>
      </c>
      <c r="E32" s="270" t="n">
        <v>25</v>
      </c>
      <c r="F32" s="270" t="n">
        <v>1.8</v>
      </c>
      <c r="G32" s="270" t="n">
        <v>1.5</v>
      </c>
      <c r="H32" s="289" t="n">
        <v>1987.06</v>
      </c>
      <c r="I32" s="289" t="n">
        <v>728</v>
      </c>
      <c r="J32" s="272" t="n">
        <v>39.94000000000005</v>
      </c>
      <c r="K32" s="289" t="n">
        <v>81</v>
      </c>
      <c r="L32" s="289" t="n">
        <v>63</v>
      </c>
      <c r="M32" s="289" t="n">
        <v>25</v>
      </c>
      <c r="N32" s="413" t="n">
        <v>18000</v>
      </c>
      <c r="O32" s="414" t="n">
        <v>15000</v>
      </c>
      <c r="P32" s="408" t="n">
        <v>3000</v>
      </c>
      <c r="Q32" s="277" t="n">
        <v>0.8333333333333334</v>
      </c>
      <c r="R32" s="414" t="n">
        <v>23900</v>
      </c>
      <c r="S32" s="415" t="n">
        <v>16500</v>
      </c>
      <c r="T32" s="293" t="inlineStr">
        <is>
          <t>계단식</t>
        </is>
      </c>
      <c r="U32" s="289" t="n">
        <v>3</v>
      </c>
      <c r="V32" s="289" t="n">
        <v>1</v>
      </c>
      <c r="W32" s="289" t="n">
        <v>130</v>
      </c>
      <c r="X32" s="280" t="n"/>
      <c r="Y32" s="280" t="n"/>
      <c r="Z32" s="280" t="n">
        <v>25</v>
      </c>
      <c r="AA32" s="410" t="n"/>
      <c r="AB32" s="410" t="n"/>
      <c r="AC32" s="282" t="e">
        <v>#DIV/0!</v>
      </c>
      <c r="AD32" s="283" t="n">
        <v>0</v>
      </c>
      <c r="AE32" s="338" t="n"/>
      <c r="AF32" s="347" t="n"/>
      <c r="AG32" s="353" t="n"/>
      <c r="AH32" s="355" t="n"/>
      <c r="AI32" s="297" t="n"/>
      <c r="AJ32" s="363" t="n"/>
      <c r="AK32" s="16" t="n"/>
    </row>
    <row r="33" ht="18" customFormat="1" customHeight="1" s="2" thickBot="1">
      <c r="A33" s="268" t="inlineStr">
        <is>
          <t>인동</t>
        </is>
      </c>
      <c r="B33" s="322" t="inlineStr">
        <is>
          <t>중</t>
        </is>
      </c>
      <c r="C33" s="331" t="inlineStr">
        <is>
          <t>하</t>
        </is>
      </c>
      <c r="D33" s="328" t="inlineStr">
        <is>
          <t>현대</t>
        </is>
      </c>
      <c r="E33" s="270" t="n">
        <v>21</v>
      </c>
      <c r="F33" s="270" t="n">
        <v>1.35</v>
      </c>
      <c r="G33" s="270" t="n">
        <v>1.4</v>
      </c>
      <c r="H33" s="298" t="n">
        <v>1987.06</v>
      </c>
      <c r="I33" s="298" t="n">
        <v>728</v>
      </c>
      <c r="J33" s="272" t="n">
        <v>39.94000000000005</v>
      </c>
      <c r="K33" s="298" t="n">
        <v>70</v>
      </c>
      <c r="L33" s="298" t="n">
        <v>52</v>
      </c>
      <c r="M33" s="298" t="n">
        <v>21</v>
      </c>
      <c r="N33" s="429" t="n">
        <v>13500</v>
      </c>
      <c r="O33" s="430" t="n">
        <v>14000</v>
      </c>
      <c r="P33" s="408" t="n">
        <v>-500</v>
      </c>
      <c r="Q33" s="277" t="n">
        <v>1.037037037037037</v>
      </c>
      <c r="R33" s="430" t="n">
        <v>20500</v>
      </c>
      <c r="S33" s="431" t="n">
        <v>14500</v>
      </c>
      <c r="T33" s="302" t="inlineStr">
        <is>
          <t>계단식</t>
        </is>
      </c>
      <c r="U33" s="298" t="n">
        <v>3</v>
      </c>
      <c r="V33" s="298" t="n">
        <v>1</v>
      </c>
      <c r="W33" s="298" t="n">
        <v>52</v>
      </c>
      <c r="X33" s="280" t="n">
        <v>2021.09</v>
      </c>
      <c r="Y33" s="280" t="n">
        <v>0.03</v>
      </c>
      <c r="Z33" s="280" t="n">
        <v>21</v>
      </c>
      <c r="AA33" s="410" t="n">
        <v>13500</v>
      </c>
      <c r="AB33" s="410" t="n">
        <v>12500</v>
      </c>
      <c r="AC33" s="282" t="e">
        <v>#DIV/0!</v>
      </c>
      <c r="AD33" s="283" t="n">
        <v>0</v>
      </c>
      <c r="AE33" s="338" t="n"/>
      <c r="AF33" s="347" t="n"/>
      <c r="AG33" s="353" t="n"/>
      <c r="AH33" s="355" t="n"/>
      <c r="AI33" s="297" t="n"/>
      <c r="AJ33" s="363" t="n"/>
      <c r="AK33" s="16" t="n"/>
    </row>
    <row r="34" ht="18" customFormat="1" customHeight="1" s="2">
      <c r="A34" s="48" t="inlineStr">
        <is>
          <t>용운동</t>
        </is>
      </c>
      <c r="B34" s="172" t="inlineStr">
        <is>
          <t>하</t>
        </is>
      </c>
      <c r="C34" s="13" t="inlineStr">
        <is>
          <t>중</t>
        </is>
      </c>
      <c r="D34" s="329" t="inlineStr">
        <is>
          <t>한화꿈에그린</t>
        </is>
      </c>
      <c r="E34" s="34" t="n">
        <v>34</v>
      </c>
      <c r="F34" s="34" t="n">
        <v>2.8</v>
      </c>
      <c r="G34" s="34" t="n">
        <v>2.1</v>
      </c>
      <c r="H34" s="55" t="n">
        <v>2006.01</v>
      </c>
      <c r="I34" s="40" t="n">
        <v>641</v>
      </c>
      <c r="J34" s="35" t="n">
        <v>20.99000000000001</v>
      </c>
      <c r="K34" s="40" t="n">
        <v>112</v>
      </c>
      <c r="L34" s="40" t="n">
        <v>84</v>
      </c>
      <c r="M34" s="40" t="n">
        <v>34</v>
      </c>
      <c r="N34" s="423" t="n">
        <v>28000</v>
      </c>
      <c r="O34" s="424" t="n">
        <v>21000</v>
      </c>
      <c r="P34" s="420" t="n">
        <v>7000</v>
      </c>
      <c r="Q34" s="183" t="n">
        <v>0.75</v>
      </c>
      <c r="R34" s="424" t="n">
        <v>34000</v>
      </c>
      <c r="S34" s="425" t="n">
        <v>26000</v>
      </c>
      <c r="T34" s="58" t="inlineStr">
        <is>
          <t>계단식</t>
        </is>
      </c>
      <c r="U34" s="40" t="n">
        <v>3</v>
      </c>
      <c r="V34" s="40" t="n">
        <v>2</v>
      </c>
      <c r="W34" s="40" t="n">
        <v>435</v>
      </c>
      <c r="X34" s="185" t="n">
        <v>2020.1</v>
      </c>
      <c r="Y34" s="185" t="n">
        <v>0.02</v>
      </c>
      <c r="Z34" s="185" t="n">
        <v>34</v>
      </c>
      <c r="AA34" s="422" t="n">
        <v>25574</v>
      </c>
      <c r="AB34" s="422" t="n">
        <v>21429</v>
      </c>
      <c r="AC34" s="187" t="e">
        <v>#DIV/0!</v>
      </c>
      <c r="AD34" s="188" t="n">
        <v>0</v>
      </c>
      <c r="AE34" s="339" t="n"/>
      <c r="AF34" s="341" t="n"/>
      <c r="AG34" s="350" t="n"/>
      <c r="AH34" s="354" t="n"/>
      <c r="AI34" s="196" t="n"/>
      <c r="AJ34" s="363" t="n"/>
      <c r="AK34" s="1" t="n"/>
    </row>
    <row r="35" ht="18" customFormat="1" customHeight="1" s="2" thickBot="1">
      <c r="A35" s="48" t="inlineStr">
        <is>
          <t>용운동</t>
        </is>
      </c>
      <c r="B35" s="191" t="inlineStr">
        <is>
          <t>하</t>
        </is>
      </c>
      <c r="C35" s="332" t="inlineStr">
        <is>
          <t>중</t>
        </is>
      </c>
      <c r="D35" s="329" t="inlineStr">
        <is>
          <t>한화꿈에그린</t>
        </is>
      </c>
      <c r="E35" s="34" t="n">
        <v>37</v>
      </c>
      <c r="F35" s="34" t="n">
        <v>0</v>
      </c>
      <c r="G35" s="34" t="n">
        <v>0</v>
      </c>
      <c r="H35" s="56" t="n">
        <v>2006.01</v>
      </c>
      <c r="I35" s="42" t="n">
        <v>641</v>
      </c>
      <c r="J35" s="35" t="n">
        <v>20.99000000000001</v>
      </c>
      <c r="K35" s="42" t="n">
        <v>123</v>
      </c>
      <c r="L35" s="42" t="n">
        <v>93</v>
      </c>
      <c r="M35" s="42" t="n">
        <v>37</v>
      </c>
      <c r="N35" s="418" t="n">
        <v>0</v>
      </c>
      <c r="O35" s="419" t="n">
        <v>0</v>
      </c>
      <c r="P35" s="420" t="n">
        <v>0</v>
      </c>
      <c r="Q35" s="183" t="e">
        <v>#DIV/0!</v>
      </c>
      <c r="R35" s="419" t="n">
        <v>0</v>
      </c>
      <c r="S35" s="421" t="n">
        <v>0</v>
      </c>
      <c r="T35" s="60" t="inlineStr">
        <is>
          <t>계단식</t>
        </is>
      </c>
      <c r="U35" s="42" t="n">
        <v>3</v>
      </c>
      <c r="V35" s="42" t="n">
        <v>2</v>
      </c>
      <c r="W35" s="42" t="n">
        <v>30</v>
      </c>
      <c r="X35" s="185" t="n">
        <v>2020.11</v>
      </c>
      <c r="Y35" s="185" t="n">
        <v>0.02</v>
      </c>
      <c r="Z35" s="185" t="n">
        <v>37</v>
      </c>
      <c r="AA35" s="422" t="n">
        <v>28150</v>
      </c>
      <c r="AB35" s="422" t="n">
        <v>25000</v>
      </c>
      <c r="AC35" s="187" t="e">
        <v>#DIV/0!</v>
      </c>
      <c r="AD35" s="188" t="n">
        <v>0</v>
      </c>
      <c r="AE35" s="339" t="n"/>
      <c r="AF35" s="341" t="n"/>
      <c r="AG35" s="350" t="n"/>
      <c r="AH35" s="354" t="n"/>
      <c r="AI35" s="196" t="n"/>
      <c r="AJ35" s="363" t="n"/>
      <c r="AK35" s="1" t="n"/>
    </row>
    <row r="36" ht="18" customFormat="1" customHeight="1" s="2" thickBot="1">
      <c r="A36" s="48" t="inlineStr">
        <is>
          <t>용운동</t>
        </is>
      </c>
      <c r="B36" s="172" t="inlineStr">
        <is>
          <t>하</t>
        </is>
      </c>
      <c r="C36" s="172" t="inlineStr">
        <is>
          <t>중</t>
        </is>
      </c>
      <c r="D36" s="329" t="inlineStr">
        <is>
          <t>한화꿈에그린</t>
        </is>
      </c>
      <c r="E36" s="34" t="n">
        <v>46</v>
      </c>
      <c r="F36" s="34" t="n">
        <v>0</v>
      </c>
      <c r="G36" s="34" t="n">
        <v>0</v>
      </c>
      <c r="H36" s="43" t="n">
        <v>2006.01</v>
      </c>
      <c r="I36" s="43" t="n">
        <v>641</v>
      </c>
      <c r="J36" s="35" t="n">
        <v>20.99000000000001</v>
      </c>
      <c r="K36" s="43" t="n">
        <v>151</v>
      </c>
      <c r="L36" s="43" t="n">
        <v>122</v>
      </c>
      <c r="M36" s="43" t="n">
        <v>46</v>
      </c>
      <c r="N36" s="434" t="n">
        <v>0</v>
      </c>
      <c r="O36" s="435" t="n">
        <v>0</v>
      </c>
      <c r="P36" s="420" t="n">
        <v>0</v>
      </c>
      <c r="Q36" s="183" t="e">
        <v>#DIV/0!</v>
      </c>
      <c r="R36" s="424" t="n">
        <v>0</v>
      </c>
      <c r="S36" s="425" t="n">
        <v>0</v>
      </c>
      <c r="T36" s="61" t="inlineStr">
        <is>
          <t>계단식</t>
        </is>
      </c>
      <c r="U36" s="43" t="n">
        <v>4</v>
      </c>
      <c r="V36" s="43" t="n">
        <v>2</v>
      </c>
      <c r="W36" s="43" t="n">
        <v>120</v>
      </c>
      <c r="X36" s="185" t="n">
        <v>2020.11</v>
      </c>
      <c r="Y36" s="185" t="n">
        <v>0.03</v>
      </c>
      <c r="Z36" s="185" t="n">
        <v>46</v>
      </c>
      <c r="AA36" s="422" t="n">
        <v>28733</v>
      </c>
      <c r="AB36" s="422" t="n">
        <v>27000</v>
      </c>
      <c r="AC36" s="187" t="e">
        <v>#DIV/0!</v>
      </c>
      <c r="AD36" s="188" t="n">
        <v>0</v>
      </c>
      <c r="AE36" s="339" t="n"/>
      <c r="AF36" s="341" t="n"/>
      <c r="AG36" s="350" t="n"/>
      <c r="AH36" s="354" t="n"/>
      <c r="AI36" s="196" t="n"/>
      <c r="AJ36" s="363" t="n"/>
      <c r="AK36" s="16" t="n"/>
      <c r="AS36" s="339" t="n"/>
    </row>
    <row r="37" ht="18" customFormat="1" customHeight="1" s="2" thickBot="1">
      <c r="A37" s="48" t="inlineStr">
        <is>
          <t>용운동</t>
        </is>
      </c>
      <c r="B37" s="191" t="inlineStr">
        <is>
          <t>하</t>
        </is>
      </c>
      <c r="C37" s="332" t="inlineStr">
        <is>
          <t>중</t>
        </is>
      </c>
      <c r="D37" s="329" t="inlineStr">
        <is>
          <t>한화꿈에그린</t>
        </is>
      </c>
      <c r="E37" s="34" t="n">
        <v>52</v>
      </c>
      <c r="F37" s="34" t="n">
        <v>0</v>
      </c>
      <c r="G37" s="34" t="n">
        <v>0</v>
      </c>
      <c r="H37" s="41" t="n">
        <v>2006.01</v>
      </c>
      <c r="I37" s="41" t="n">
        <v>641</v>
      </c>
      <c r="J37" s="35" t="n">
        <v>20.99000000000001</v>
      </c>
      <c r="K37" s="48" t="n">
        <v>173</v>
      </c>
      <c r="L37" s="49" t="n">
        <v>140</v>
      </c>
      <c r="M37" s="50" t="n">
        <v>52</v>
      </c>
      <c r="N37" s="426" t="n">
        <v>0</v>
      </c>
      <c r="O37" s="427" t="n">
        <v>0</v>
      </c>
      <c r="P37" s="420" t="n">
        <v>0</v>
      </c>
      <c r="Q37" s="183" t="e">
        <v>#DIV/0!</v>
      </c>
      <c r="R37" s="427" t="n">
        <v>0</v>
      </c>
      <c r="S37" s="428" t="n">
        <v>0</v>
      </c>
      <c r="T37" s="59" t="inlineStr">
        <is>
          <t>계단식</t>
        </is>
      </c>
      <c r="U37" s="41" t="n">
        <v>4</v>
      </c>
      <c r="V37" s="41" t="n">
        <v>2</v>
      </c>
      <c r="W37" s="41" t="n">
        <v>56</v>
      </c>
      <c r="X37" s="185" t="n"/>
      <c r="Y37" s="185" t="n"/>
      <c r="Z37" s="185" t="n">
        <v>52</v>
      </c>
      <c r="AA37" s="422" t="n"/>
      <c r="AB37" s="422" t="n"/>
      <c r="AC37" s="187" t="e">
        <v>#DIV/0!</v>
      </c>
      <c r="AD37" s="188" t="n">
        <v>0</v>
      </c>
      <c r="AE37" s="339" t="n"/>
      <c r="AF37" s="341" t="n"/>
      <c r="AG37" s="350" t="n"/>
      <c r="AH37" s="354" t="n"/>
      <c r="AI37" s="196" t="n"/>
      <c r="AJ37" s="363" t="n"/>
      <c r="AK37" s="16" t="n"/>
      <c r="AS37" s="339" t="n"/>
    </row>
    <row r="38" ht="18" customFormat="1" customHeight="1" s="2" thickBot="1">
      <c r="A38" s="268" t="inlineStr">
        <is>
          <t>용전동</t>
        </is>
      </c>
      <c r="B38" s="287" t="inlineStr">
        <is>
          <t>하</t>
        </is>
      </c>
      <c r="C38" s="331" t="inlineStr">
        <is>
          <t>하</t>
        </is>
      </c>
      <c r="D38" s="328" t="inlineStr">
        <is>
          <t>한숲</t>
        </is>
      </c>
      <c r="E38" s="270" t="n">
        <v>32</v>
      </c>
      <c r="F38" s="270" t="n">
        <v>2.8</v>
      </c>
      <c r="G38" s="270" t="n">
        <v>2.2</v>
      </c>
      <c r="H38" s="298" t="n">
        <v>1999.08</v>
      </c>
      <c r="I38" s="298" t="n">
        <v>1036</v>
      </c>
      <c r="J38" s="272" t="n">
        <v>27.92000000000007</v>
      </c>
      <c r="K38" s="298" t="inlineStr">
        <is>
          <t>104A, 107B</t>
        </is>
      </c>
      <c r="L38" s="303" t="n">
        <v>84</v>
      </c>
      <c r="M38" s="298" t="n">
        <v>32</v>
      </c>
      <c r="N38" s="429" t="n">
        <v>28000</v>
      </c>
      <c r="O38" s="430" t="n">
        <v>22000</v>
      </c>
      <c r="P38" s="408" t="n">
        <v>6000</v>
      </c>
      <c r="Q38" s="277" t="n">
        <v>0.7857142857142857</v>
      </c>
      <c r="R38" s="430" t="n">
        <v>36000</v>
      </c>
      <c r="S38" s="431" t="n">
        <v>27500</v>
      </c>
      <c r="T38" s="302" t="inlineStr">
        <is>
          <t>계단식</t>
        </is>
      </c>
      <c r="U38" s="298" t="n">
        <v>3</v>
      </c>
      <c r="V38" s="298" t="n">
        <v>2</v>
      </c>
      <c r="W38" s="298" t="n">
        <v>528</v>
      </c>
      <c r="X38" s="280" t="n">
        <v>2020.09</v>
      </c>
      <c r="Y38" s="280" t="n">
        <v>0.01</v>
      </c>
      <c r="Z38" s="280" t="n">
        <v>32</v>
      </c>
      <c r="AA38" s="410" t="n">
        <v>24089</v>
      </c>
      <c r="AB38" s="410" t="n">
        <v>19333</v>
      </c>
      <c r="AC38" s="282" t="e">
        <v>#DIV/0!</v>
      </c>
      <c r="AD38" s="283" t="n">
        <v>0</v>
      </c>
      <c r="AE38" s="338" t="n"/>
      <c r="AF38" s="347" t="n"/>
      <c r="AG38" s="353" t="n"/>
      <c r="AH38" s="355" t="n"/>
      <c r="AI38" s="297" t="n"/>
      <c r="AJ38" s="363" t="n"/>
      <c r="AK38" s="1" t="n"/>
    </row>
    <row r="39" ht="18" customFormat="1" customHeight="1" s="2">
      <c r="A39" s="268" t="inlineStr">
        <is>
          <t>용전동</t>
        </is>
      </c>
      <c r="B39" s="269" t="inlineStr">
        <is>
          <t>하</t>
        </is>
      </c>
      <c r="C39" s="269" t="inlineStr">
        <is>
          <t>하</t>
        </is>
      </c>
      <c r="D39" s="328" t="inlineStr">
        <is>
          <t>한숲</t>
        </is>
      </c>
      <c r="E39" s="270" t="n">
        <v>24</v>
      </c>
      <c r="F39" s="270" t="n">
        <v>2.4</v>
      </c>
      <c r="G39" s="270" t="n">
        <v>2.1</v>
      </c>
      <c r="H39" s="379" t="n">
        <v>1999.08</v>
      </c>
      <c r="I39" s="273" t="n">
        <v>1036</v>
      </c>
      <c r="J39" s="272" t="n">
        <v>27.92000000000007</v>
      </c>
      <c r="K39" s="273" t="inlineStr">
        <is>
          <t>78A, 80B</t>
        </is>
      </c>
      <c r="L39" s="273" t="n">
        <v>59</v>
      </c>
      <c r="M39" s="273" t="n">
        <v>24</v>
      </c>
      <c r="N39" s="406" t="n">
        <v>24000</v>
      </c>
      <c r="O39" s="407" t="n">
        <v>21000</v>
      </c>
      <c r="P39" s="408" t="n">
        <v>3000</v>
      </c>
      <c r="Q39" s="277" t="n">
        <v>0.875</v>
      </c>
      <c r="R39" s="407" t="n">
        <v>28500</v>
      </c>
      <c r="S39" s="409" t="n">
        <v>21500</v>
      </c>
      <c r="T39" s="279" t="inlineStr">
        <is>
          <t>계단식</t>
        </is>
      </c>
      <c r="U39" s="273" t="n">
        <v>3</v>
      </c>
      <c r="V39" s="273" t="n">
        <v>1</v>
      </c>
      <c r="W39" s="273" t="n">
        <v>276</v>
      </c>
      <c r="X39" s="280" t="n">
        <v>2020.09</v>
      </c>
      <c r="Y39" s="280" t="n">
        <v>0.01</v>
      </c>
      <c r="Z39" s="280" t="n">
        <v>24</v>
      </c>
      <c r="AA39" s="410" t="n">
        <v>20323</v>
      </c>
      <c r="AB39" s="410" t="n">
        <v>17500</v>
      </c>
      <c r="AC39" s="282" t="e">
        <v>#DIV/0!</v>
      </c>
      <c r="AD39" s="283" t="n">
        <v>0</v>
      </c>
      <c r="AE39" s="338" t="n"/>
      <c r="AF39" s="347" t="n"/>
      <c r="AG39" s="353" t="n"/>
      <c r="AH39" s="355" t="n"/>
      <c r="AI39" s="297" t="n"/>
      <c r="AJ39" s="363" t="n"/>
      <c r="AK39" s="1" t="n"/>
    </row>
    <row r="40" ht="18" customFormat="1" customHeight="1" s="2">
      <c r="A40" s="268" t="inlineStr">
        <is>
          <t>용전동</t>
        </is>
      </c>
      <c r="B40" s="287" t="inlineStr">
        <is>
          <t>하</t>
        </is>
      </c>
      <c r="C40" s="331" t="inlineStr">
        <is>
          <t>하</t>
        </is>
      </c>
      <c r="D40" s="328" t="inlineStr">
        <is>
          <t>한숲</t>
        </is>
      </c>
      <c r="E40" s="270" t="n">
        <v>37</v>
      </c>
      <c r="F40" s="270" t="n">
        <v>0</v>
      </c>
      <c r="G40" s="270" t="n">
        <v>0</v>
      </c>
      <c r="H40" s="378" t="n">
        <v>1999.08</v>
      </c>
      <c r="I40" s="289" t="n">
        <v>1036</v>
      </c>
      <c r="J40" s="272" t="n">
        <v>27.92000000000007</v>
      </c>
      <c r="K40" s="289" t="n">
        <v>123</v>
      </c>
      <c r="L40" s="289" t="n">
        <v>99</v>
      </c>
      <c r="M40" s="289" t="n">
        <v>37</v>
      </c>
      <c r="N40" s="413" t="n">
        <v>0</v>
      </c>
      <c r="O40" s="414" t="n">
        <v>0</v>
      </c>
      <c r="P40" s="408" t="n">
        <v>0</v>
      </c>
      <c r="Q40" s="277" t="e">
        <v>#DIV/0!</v>
      </c>
      <c r="R40" s="414" t="n">
        <v>0</v>
      </c>
      <c r="S40" s="415" t="n">
        <v>0</v>
      </c>
      <c r="T40" s="293" t="inlineStr">
        <is>
          <t>계단식</t>
        </is>
      </c>
      <c r="U40" s="289" t="n">
        <v>3</v>
      </c>
      <c r="V40" s="289" t="n">
        <v>2</v>
      </c>
      <c r="W40" s="289" t="n">
        <v>72</v>
      </c>
      <c r="X40" s="280" t="n">
        <v>2022.06</v>
      </c>
      <c r="Y40" s="280" t="n">
        <v>0.03</v>
      </c>
      <c r="Z40" s="280" t="n">
        <v>37</v>
      </c>
      <c r="AA40" s="410" t="n">
        <v>35000</v>
      </c>
      <c r="AB40" s="410" t="n">
        <v>30000</v>
      </c>
      <c r="AC40" s="282" t="e">
        <v>#DIV/0!</v>
      </c>
      <c r="AD40" s="283" t="n">
        <v>0</v>
      </c>
      <c r="AE40" s="338" t="n"/>
      <c r="AF40" s="347" t="n"/>
      <c r="AG40" s="353" t="n"/>
      <c r="AH40" s="355" t="n"/>
      <c r="AI40" s="297" t="n"/>
      <c r="AJ40" s="363" t="n"/>
      <c r="AK40" s="1" t="n"/>
    </row>
    <row r="41" ht="16" customFormat="1" customHeight="1" s="2" thickBot="1">
      <c r="A41" s="268" t="inlineStr">
        <is>
          <t>용전동</t>
        </is>
      </c>
      <c r="B41" s="287" t="inlineStr">
        <is>
          <t>하</t>
        </is>
      </c>
      <c r="C41" s="331" t="inlineStr">
        <is>
          <t>하</t>
        </is>
      </c>
      <c r="D41" s="328" t="inlineStr">
        <is>
          <t>한숲</t>
        </is>
      </c>
      <c r="E41" s="270" t="n">
        <v>42</v>
      </c>
      <c r="F41" s="270" t="n">
        <v>0</v>
      </c>
      <c r="G41" s="270" t="n">
        <v>0</v>
      </c>
      <c r="H41" s="377" t="n">
        <v>1999.08</v>
      </c>
      <c r="I41" s="308" t="n">
        <v>1036</v>
      </c>
      <c r="J41" s="272" t="n">
        <v>27.92000000000007</v>
      </c>
      <c r="K41" s="308" t="n">
        <v>139</v>
      </c>
      <c r="L41" s="308" t="n">
        <v>114</v>
      </c>
      <c r="M41" s="308" t="n">
        <v>42</v>
      </c>
      <c r="N41" s="440" t="n">
        <v>0</v>
      </c>
      <c r="O41" s="441" t="n">
        <v>0</v>
      </c>
      <c r="P41" s="408" t="n">
        <v>0</v>
      </c>
      <c r="Q41" s="277" t="e">
        <v>#DIV/0!</v>
      </c>
      <c r="R41" s="441" t="n">
        <v>0</v>
      </c>
      <c r="S41" s="442" t="n">
        <v>0</v>
      </c>
      <c r="T41" s="312" t="inlineStr">
        <is>
          <t>계단식</t>
        </is>
      </c>
      <c r="U41" s="308" t="n">
        <v>4</v>
      </c>
      <c r="V41" s="308" t="n">
        <v>2</v>
      </c>
      <c r="W41" s="308" t="n">
        <v>160</v>
      </c>
      <c r="X41" s="280" t="n">
        <v>2021.06</v>
      </c>
      <c r="Y41" s="280" t="n">
        <v>0.02</v>
      </c>
      <c r="Z41" s="280" t="n">
        <v>42</v>
      </c>
      <c r="AA41" s="410" t="n">
        <v>33875</v>
      </c>
      <c r="AB41" s="410" t="n">
        <v>28000</v>
      </c>
      <c r="AC41" s="282" t="e">
        <v>#DIV/0!</v>
      </c>
      <c r="AD41" s="283" t="n">
        <v>0</v>
      </c>
      <c r="AE41" s="338" t="n"/>
      <c r="AF41" s="347" t="n"/>
      <c r="AG41" s="353" t="n"/>
      <c r="AH41" s="355" t="n"/>
      <c r="AI41" s="297" t="n"/>
      <c r="AJ41" s="363" t="n"/>
      <c r="AK41" s="1" t="n"/>
    </row>
    <row r="42" ht="16" customFormat="1" customHeight="1" s="2" thickBot="1">
      <c r="A42" s="48" t="inlineStr">
        <is>
          <t>삼성동</t>
        </is>
      </c>
      <c r="B42" s="172" t="inlineStr">
        <is>
          <t>하</t>
        </is>
      </c>
      <c r="C42" s="172" t="inlineStr">
        <is>
          <t>상</t>
        </is>
      </c>
      <c r="D42" s="329" t="inlineStr">
        <is>
          <t>한밭자이</t>
        </is>
      </c>
      <c r="E42" s="34" t="n">
        <v>35</v>
      </c>
      <c r="F42" s="34" t="n">
        <v>3.5</v>
      </c>
      <c r="G42" s="34" t="n">
        <v>3.2</v>
      </c>
      <c r="H42" s="40" t="n">
        <v>2006.08</v>
      </c>
      <c r="I42" s="40" t="n">
        <v>1063</v>
      </c>
      <c r="J42" s="35" t="n">
        <v>20.92000000000007</v>
      </c>
      <c r="K42" s="40" t="inlineStr">
        <is>
          <t>114, 117</t>
        </is>
      </c>
      <c r="L42" s="43" t="n">
        <v>84</v>
      </c>
      <c r="M42" s="40" t="n">
        <v>35</v>
      </c>
      <c r="N42" s="423" t="n">
        <v>35000</v>
      </c>
      <c r="O42" s="424" t="n">
        <v>32000</v>
      </c>
      <c r="P42" s="420" t="n">
        <v>3000</v>
      </c>
      <c r="Q42" s="183" t="n">
        <v>0.9142857142857143</v>
      </c>
      <c r="R42" s="424" t="n">
        <v>48000</v>
      </c>
      <c r="S42" s="425" t="n">
        <v>39000</v>
      </c>
      <c r="T42" s="58" t="inlineStr">
        <is>
          <t>계단식</t>
        </is>
      </c>
      <c r="U42" s="40" t="n">
        <v>3</v>
      </c>
      <c r="V42" s="40" t="n">
        <v>2</v>
      </c>
      <c r="W42" s="40" t="n">
        <v>739</v>
      </c>
      <c r="X42" s="185" t="n"/>
      <c r="Y42" s="185" t="n"/>
      <c r="Z42" s="185" t="n">
        <v>35</v>
      </c>
      <c r="AA42" s="422" t="n"/>
      <c r="AB42" s="422" t="n"/>
      <c r="AC42" s="187" t="e">
        <v>#DIV/0!</v>
      </c>
      <c r="AD42" s="188" t="n">
        <v>0</v>
      </c>
      <c r="AE42" s="339" t="n"/>
      <c r="AF42" s="341" t="n"/>
      <c r="AG42" s="350" t="n"/>
      <c r="AH42" s="354" t="n"/>
      <c r="AI42" s="196" t="n"/>
      <c r="AJ42" s="363" t="n"/>
      <c r="AK42" s="1" t="n"/>
      <c r="AS42" s="350" t="inlineStr">
        <is>
          <t>&gt;&gt;&gt; 외곽신축, 외곽 애매준신축, 외곽 비선호구축 등으로 단지 특징 기재</t>
        </is>
      </c>
    </row>
    <row r="43" ht="16" customFormat="1" customHeight="1" s="2" thickBot="1">
      <c r="A43" s="48" t="inlineStr">
        <is>
          <t>삼성동</t>
        </is>
      </c>
      <c r="B43" s="191" t="inlineStr">
        <is>
          <t>하</t>
        </is>
      </c>
      <c r="C43" s="332" t="inlineStr">
        <is>
          <t>상</t>
        </is>
      </c>
      <c r="D43" s="329" t="inlineStr">
        <is>
          <t>한밭자이</t>
        </is>
      </c>
      <c r="E43" s="34" t="n">
        <v>27</v>
      </c>
      <c r="F43" s="34" t="n">
        <v>2.9</v>
      </c>
      <c r="G43" s="34" t="n">
        <v>2.5</v>
      </c>
      <c r="H43" s="41" t="n">
        <v>2006.08</v>
      </c>
      <c r="I43" s="41" t="n">
        <v>1063</v>
      </c>
      <c r="J43" s="35" t="n">
        <v>20.92000000000007</v>
      </c>
      <c r="K43" s="48" t="n">
        <v>88</v>
      </c>
      <c r="L43" s="49" t="n">
        <v>59</v>
      </c>
      <c r="M43" s="50" t="n">
        <v>27</v>
      </c>
      <c r="N43" s="426" t="n">
        <v>29000</v>
      </c>
      <c r="O43" s="427" t="n">
        <v>25000</v>
      </c>
      <c r="P43" s="420" t="n">
        <v>4000</v>
      </c>
      <c r="Q43" s="183" t="n">
        <v>0.8620689655172413</v>
      </c>
      <c r="R43" s="427" t="n">
        <v>38000</v>
      </c>
      <c r="S43" s="428" t="n">
        <v>31500</v>
      </c>
      <c r="T43" s="59" t="inlineStr">
        <is>
          <t>계단식</t>
        </is>
      </c>
      <c r="U43" s="41" t="n">
        <v>3</v>
      </c>
      <c r="V43" s="41" t="n">
        <v>2</v>
      </c>
      <c r="W43" s="41" t="n">
        <v>204</v>
      </c>
      <c r="X43" s="185" t="n">
        <v>2022.03</v>
      </c>
      <c r="Y43" s="185" t="n">
        <v>0.01</v>
      </c>
      <c r="Z43" s="185" t="n">
        <v>27</v>
      </c>
      <c r="AA43" s="422" t="n">
        <v>34800</v>
      </c>
      <c r="AB43" s="422" t="n">
        <v>28714</v>
      </c>
      <c r="AC43" s="187" t="e">
        <v>#DIV/0!</v>
      </c>
      <c r="AD43" s="188" t="n">
        <v>0</v>
      </c>
      <c r="AE43" s="339" t="n"/>
      <c r="AF43" s="341" t="n"/>
      <c r="AG43" s="350" t="n"/>
      <c r="AH43" s="354" t="n"/>
      <c r="AI43" s="196" t="n"/>
      <c r="AJ43" s="363" t="n"/>
      <c r="AK43" s="1" t="n"/>
      <c r="AS43" s="350" t="e">
        <v>#NAME?</v>
      </c>
    </row>
    <row r="44" ht="15.5" customHeight="1" s="139">
      <c r="A44" s="48" t="inlineStr">
        <is>
          <t>삼성동</t>
        </is>
      </c>
      <c r="B44" s="191" t="inlineStr">
        <is>
          <t>하</t>
        </is>
      </c>
      <c r="C44" s="332" t="inlineStr">
        <is>
          <t>상</t>
        </is>
      </c>
      <c r="D44" s="329" t="inlineStr">
        <is>
          <t>한밭자이</t>
        </is>
      </c>
      <c r="E44" s="34" t="n">
        <v>50</v>
      </c>
      <c r="F44" s="34" t="n">
        <v>0</v>
      </c>
      <c r="G44" s="34" t="n">
        <v>0</v>
      </c>
      <c r="H44" s="41" t="n">
        <v>2006.08</v>
      </c>
      <c r="I44" s="41" t="n">
        <v>1063</v>
      </c>
      <c r="J44" s="35" t="n">
        <v>20.92000000000007</v>
      </c>
      <c r="K44" s="41" t="n">
        <v>164</v>
      </c>
      <c r="L44" s="51" t="n">
        <v>134</v>
      </c>
      <c r="M44" s="41" t="n">
        <v>50</v>
      </c>
      <c r="N44" s="426" t="n">
        <v>0</v>
      </c>
      <c r="O44" s="427" t="n">
        <v>0</v>
      </c>
      <c r="P44" s="420" t="n">
        <v>0</v>
      </c>
      <c r="Q44" s="183" t="e">
        <v>#DIV/0!</v>
      </c>
      <c r="R44" s="427" t="n">
        <v>0</v>
      </c>
      <c r="S44" s="428" t="n">
        <v>0</v>
      </c>
      <c r="T44" s="59" t="inlineStr">
        <is>
          <t>계단식</t>
        </is>
      </c>
      <c r="U44" s="41" t="n">
        <v>4</v>
      </c>
      <c r="V44" s="41" t="n">
        <v>2</v>
      </c>
      <c r="W44" s="41" t="n">
        <v>120</v>
      </c>
      <c r="X44" s="185" t="n"/>
      <c r="Y44" s="185" t="n"/>
      <c r="Z44" s="185" t="n">
        <v>50</v>
      </c>
      <c r="AA44" s="422" t="n"/>
      <c r="AB44" s="422" t="n"/>
      <c r="AC44" s="187" t="e">
        <v>#DIV/0!</v>
      </c>
      <c r="AD44" s="188" t="n">
        <v>0</v>
      </c>
      <c r="AE44" s="339" t="n"/>
      <c r="AF44" s="341" t="n"/>
      <c r="AG44" s="350" t="n"/>
      <c r="AH44" s="122" t="n"/>
      <c r="AI44" s="196" t="n"/>
      <c r="AJ44" s="363" t="n"/>
    </row>
    <row r="45" ht="16" customHeight="1" s="139" thickBot="1">
      <c r="A45" s="268" t="inlineStr">
        <is>
          <t>대동</t>
        </is>
      </c>
      <c r="B45" s="287" t="inlineStr">
        <is>
          <t>상</t>
        </is>
      </c>
      <c r="C45" s="331" t="inlineStr">
        <is>
          <t>하</t>
        </is>
      </c>
      <c r="D45" s="328" t="inlineStr">
        <is>
          <t>펜타뷰</t>
        </is>
      </c>
      <c r="E45" s="270" t="n">
        <v>34</v>
      </c>
      <c r="F45" s="270" t="n">
        <v>4</v>
      </c>
      <c r="G45" s="270" t="n">
        <v>2.6</v>
      </c>
      <c r="H45" s="298" t="n">
        <v>2011.1</v>
      </c>
      <c r="I45" s="298" t="n">
        <v>767</v>
      </c>
      <c r="J45" s="272" t="n">
        <v>15.90000000000009</v>
      </c>
      <c r="K45" s="298" t="inlineStr">
        <is>
          <t>111D, 111E, 111B, 111C, 111A, 111B1, 111A1, 111D-1, 111E-1, 111A2, 111A3, 111F</t>
        </is>
      </c>
      <c r="L45" s="298" t="n">
        <v>84</v>
      </c>
      <c r="M45" s="298" t="n">
        <v>34</v>
      </c>
      <c r="N45" s="429" t="n">
        <v>40000</v>
      </c>
      <c r="O45" s="430" t="n">
        <v>26000</v>
      </c>
      <c r="P45" s="408" t="n">
        <v>14000</v>
      </c>
      <c r="Q45" s="277" t="n">
        <v>0.65</v>
      </c>
      <c r="R45" s="430" t="n">
        <v>54700</v>
      </c>
      <c r="S45" s="431" t="n">
        <v>3400</v>
      </c>
      <c r="T45" s="302" t="inlineStr">
        <is>
          <t>계단식</t>
        </is>
      </c>
      <c r="U45" s="298" t="n">
        <v>3</v>
      </c>
      <c r="V45" s="298" t="n">
        <v>2</v>
      </c>
      <c r="W45" s="298" t="n">
        <v>565</v>
      </c>
      <c r="X45" s="270" t="n"/>
      <c r="Y45" s="280" t="n"/>
      <c r="Z45" s="280" t="n">
        <v>34</v>
      </c>
      <c r="AA45" s="410" t="n"/>
      <c r="AB45" s="410" t="n"/>
      <c r="AC45" s="282" t="e">
        <v>#DIV/0!</v>
      </c>
      <c r="AD45" s="283" t="n">
        <v>0</v>
      </c>
      <c r="AE45" s="338" t="n"/>
      <c r="AF45" s="416" t="n"/>
      <c r="AG45" s="417" t="n">
        <v>0</v>
      </c>
      <c r="AH45" s="285" t="e">
        <v>#DIV/0!</v>
      </c>
      <c r="AI45" s="297" t="e">
        <v>#DIV/0!</v>
      </c>
      <c r="AJ45" s="363" t="n"/>
    </row>
    <row r="46" ht="31" customHeight="1" s="139">
      <c r="A46" s="268" t="inlineStr">
        <is>
          <t>대동</t>
        </is>
      </c>
      <c r="B46" s="269" t="inlineStr">
        <is>
          <t>상</t>
        </is>
      </c>
      <c r="C46" s="269" t="inlineStr">
        <is>
          <t>하</t>
        </is>
      </c>
      <c r="D46" s="328" t="inlineStr">
        <is>
          <t>펜타뷰</t>
        </is>
      </c>
      <c r="E46" s="270" t="n">
        <v>25</v>
      </c>
      <c r="F46" s="270" t="n">
        <v>3.2</v>
      </c>
      <c r="G46" s="270" t="n">
        <v>2.2</v>
      </c>
      <c r="H46" s="273" t="n">
        <v>2011.1</v>
      </c>
      <c r="I46" s="273" t="n">
        <v>767</v>
      </c>
      <c r="J46" s="272" t="n">
        <v>15.90000000000009</v>
      </c>
      <c r="K46" s="273" t="inlineStr">
        <is>
          <t>84A, 84B, 84C</t>
        </is>
      </c>
      <c r="L46" s="273" t="n">
        <v>59</v>
      </c>
      <c r="M46" s="273" t="n">
        <v>25</v>
      </c>
      <c r="N46" s="406" t="n">
        <v>32000</v>
      </c>
      <c r="O46" s="407" t="n">
        <v>22000</v>
      </c>
      <c r="P46" s="408" t="n">
        <v>10000</v>
      </c>
      <c r="Q46" s="277" t="n">
        <v>0.6875</v>
      </c>
      <c r="R46" s="407" t="n">
        <v>39000</v>
      </c>
      <c r="S46" s="409" t="n">
        <v>29000</v>
      </c>
      <c r="T46" s="279" t="inlineStr">
        <is>
          <t>계단식</t>
        </is>
      </c>
      <c r="U46" s="273" t="n">
        <v>3</v>
      </c>
      <c r="V46" s="273" t="n">
        <v>2</v>
      </c>
      <c r="W46" s="273" t="n">
        <v>126</v>
      </c>
      <c r="X46" s="270" t="n"/>
      <c r="Y46" s="280" t="n"/>
      <c r="Z46" s="280" t="n">
        <v>25</v>
      </c>
      <c r="AA46" s="410" t="n"/>
      <c r="AB46" s="410" t="n"/>
      <c r="AC46" s="282" t="e">
        <v>#DIV/0!</v>
      </c>
      <c r="AD46" s="283" t="n">
        <v>0</v>
      </c>
      <c r="AE46" s="338" t="n"/>
      <c r="AF46" s="416" t="n"/>
      <c r="AG46" s="417" t="n">
        <v>0</v>
      </c>
      <c r="AH46" s="356" t="e">
        <v>#DIV/0!</v>
      </c>
      <c r="AI46" s="297" t="e">
        <v>#DIV/0!</v>
      </c>
      <c r="AJ46" s="363" t="n"/>
    </row>
    <row r="47" ht="155.5" customHeight="1" s="139" thickBot="1">
      <c r="A47" s="268" t="inlineStr">
        <is>
          <t>대동</t>
        </is>
      </c>
      <c r="B47" s="287" t="inlineStr">
        <is>
          <t>상</t>
        </is>
      </c>
      <c r="C47" s="331" t="inlineStr">
        <is>
          <t>하</t>
        </is>
      </c>
      <c r="D47" s="328" t="inlineStr">
        <is>
          <t>펜타뷰</t>
        </is>
      </c>
      <c r="E47" s="270" t="n">
        <v>46</v>
      </c>
      <c r="F47" s="270" t="n">
        <v>0</v>
      </c>
      <c r="G47" s="270" t="n">
        <v>0</v>
      </c>
      <c r="H47" s="298" t="n">
        <v>2011.1</v>
      </c>
      <c r="I47" s="298" t="n">
        <v>767</v>
      </c>
      <c r="J47" s="272" t="n">
        <v>15.90000000000009</v>
      </c>
      <c r="K47" s="298" t="inlineStr">
        <is>
          <t>153A, 153A-1, 153B</t>
        </is>
      </c>
      <c r="L47" s="298" t="n">
        <v>118</v>
      </c>
      <c r="M47" s="298" t="n">
        <v>46</v>
      </c>
      <c r="N47" s="429" t="n">
        <v>0</v>
      </c>
      <c r="O47" s="430" t="n">
        <v>0</v>
      </c>
      <c r="P47" s="408" t="n">
        <v>0</v>
      </c>
      <c r="Q47" s="277" t="e">
        <v>#DIV/0!</v>
      </c>
      <c r="R47" s="430" t="n">
        <v>0</v>
      </c>
      <c r="S47" s="431" t="n">
        <v>0</v>
      </c>
      <c r="T47" s="302" t="inlineStr">
        <is>
          <t>계단식</t>
        </is>
      </c>
      <c r="U47" s="298" t="n">
        <v>4</v>
      </c>
      <c r="V47" s="298" t="n">
        <v>2</v>
      </c>
      <c r="W47" s="298" t="n">
        <v>68</v>
      </c>
      <c r="X47" s="280" t="n"/>
      <c r="Y47" s="280" t="n"/>
      <c r="Z47" s="280" t="n">
        <v>46</v>
      </c>
      <c r="AA47" s="410" t="n"/>
      <c r="AB47" s="410" t="n"/>
      <c r="AC47" s="282" t="e">
        <v>#DIV/0!</v>
      </c>
      <c r="AD47" s="283" t="n">
        <v>0</v>
      </c>
      <c r="AE47" s="338" t="n"/>
      <c r="AF47" s="347" t="n"/>
      <c r="AG47" s="353" t="n"/>
      <c r="AH47" s="355" t="n"/>
      <c r="AI47" s="297" t="n"/>
      <c r="AJ47" s="363" t="n"/>
    </row>
    <row r="48" ht="31" customHeight="1" s="139">
      <c r="A48" s="268" t="inlineStr">
        <is>
          <t>대동</t>
        </is>
      </c>
      <c r="B48" s="269" t="inlineStr">
        <is>
          <t>상</t>
        </is>
      </c>
      <c r="C48" s="269" t="inlineStr">
        <is>
          <t>하</t>
        </is>
      </c>
      <c r="D48" s="328" t="inlineStr">
        <is>
          <t>펜타뷰</t>
        </is>
      </c>
      <c r="E48" s="270" t="n">
        <v>46</v>
      </c>
      <c r="F48" s="270" t="n">
        <v>0</v>
      </c>
      <c r="G48" s="270" t="n">
        <v>0</v>
      </c>
      <c r="H48" s="273" t="n">
        <v>2011.1</v>
      </c>
      <c r="I48" s="273" t="n">
        <v>767</v>
      </c>
      <c r="J48" s="272" t="n">
        <v>15.90000000000009</v>
      </c>
      <c r="K48" s="273" t="inlineStr">
        <is>
          <t>153C, 153D</t>
        </is>
      </c>
      <c r="L48" s="273" t="n">
        <v>118</v>
      </c>
      <c r="M48" s="273" t="n">
        <v>46</v>
      </c>
      <c r="N48" s="406" t="n">
        <v>0</v>
      </c>
      <c r="O48" s="407" t="n">
        <v>0</v>
      </c>
      <c r="P48" s="408" t="n">
        <v>0</v>
      </c>
      <c r="Q48" s="277" t="e">
        <v>#DIV/0!</v>
      </c>
      <c r="R48" s="407" t="n">
        <v>0</v>
      </c>
      <c r="S48" s="409" t="n">
        <v>0</v>
      </c>
      <c r="T48" s="279" t="inlineStr">
        <is>
          <t>계단식</t>
        </is>
      </c>
      <c r="U48" s="273" t="n">
        <v>4</v>
      </c>
      <c r="V48" s="273" t="n">
        <v>3</v>
      </c>
      <c r="W48" s="273" t="n">
        <v>8</v>
      </c>
      <c r="X48" s="280" t="n"/>
      <c r="Y48" s="280" t="n"/>
      <c r="Z48" s="280" t="n">
        <v>46</v>
      </c>
      <c r="AA48" s="410" t="n"/>
      <c r="AB48" s="410" t="n"/>
      <c r="AC48" s="282" t="e">
        <v>#DIV/0!</v>
      </c>
      <c r="AD48" s="283" t="n">
        <v>0</v>
      </c>
      <c r="AE48" s="338" t="n"/>
      <c r="AF48" s="347" t="n"/>
      <c r="AG48" s="353" t="n"/>
      <c r="AH48" s="355" t="n"/>
      <c r="AI48" s="297" t="n"/>
      <c r="AJ48" s="363" t="n"/>
    </row>
    <row r="49" ht="15.5" customHeight="1" s="139">
      <c r="A49" s="48" t="inlineStr">
        <is>
          <t>홍도동</t>
        </is>
      </c>
      <c r="B49" s="191" t="inlineStr">
        <is>
          <t>하</t>
        </is>
      </c>
      <c r="C49" s="332" t="inlineStr">
        <is>
          <t>하</t>
        </is>
      </c>
      <c r="D49" s="329" t="inlineStr">
        <is>
          <t>청룡</t>
        </is>
      </c>
      <c r="E49" s="34" t="n">
        <v>22</v>
      </c>
      <c r="F49" s="34" t="n">
        <v>1.9</v>
      </c>
      <c r="G49" s="34" t="n">
        <v>1</v>
      </c>
      <c r="H49" s="41" t="n">
        <v>1979.04</v>
      </c>
      <c r="I49" s="41" t="n">
        <v>425</v>
      </c>
      <c r="J49" s="35" t="n">
        <v>47.96000000000004</v>
      </c>
      <c r="K49" s="41" t="n">
        <v>74</v>
      </c>
      <c r="L49" s="41" t="n">
        <v>72</v>
      </c>
      <c r="M49" s="41" t="n">
        <v>22</v>
      </c>
      <c r="N49" s="426" t="n">
        <v>19000</v>
      </c>
      <c r="O49" s="427" t="n">
        <v>10000</v>
      </c>
      <c r="P49" s="420" t="n">
        <v>9000</v>
      </c>
      <c r="Q49" s="183" t="n">
        <v>0.5263157894736842</v>
      </c>
      <c r="R49" s="427" t="n">
        <v>18000</v>
      </c>
      <c r="S49" s="428" t="n">
        <v>14000</v>
      </c>
      <c r="T49" s="59" t="inlineStr">
        <is>
          <t>계단식</t>
        </is>
      </c>
      <c r="U49" s="41" t="n">
        <v>3</v>
      </c>
      <c r="V49" s="41" t="n">
        <v>1</v>
      </c>
      <c r="W49" s="41" t="n">
        <v>5</v>
      </c>
      <c r="X49" s="36" t="n"/>
      <c r="Y49" s="37" t="n"/>
      <c r="Z49" s="185" t="n">
        <v>22</v>
      </c>
      <c r="AA49" s="422" t="n"/>
      <c r="AB49" s="422" t="n"/>
      <c r="AC49" s="187" t="e">
        <v>#DIV/0!</v>
      </c>
      <c r="AD49" s="188" t="n">
        <v>0</v>
      </c>
      <c r="AE49" s="339" t="n"/>
      <c r="AF49" s="432" t="n"/>
      <c r="AG49" s="433" t="n"/>
      <c r="AH49" s="122" t="n"/>
      <c r="AI49" s="196" t="n"/>
      <c r="AJ49" s="363" t="n"/>
    </row>
    <row r="50" ht="16" customHeight="1" s="139" thickBot="1">
      <c r="A50" s="48" t="inlineStr">
        <is>
          <t>홍도동</t>
        </is>
      </c>
      <c r="B50" s="191" t="inlineStr">
        <is>
          <t>하</t>
        </is>
      </c>
      <c r="C50" s="332" t="inlineStr">
        <is>
          <t>하</t>
        </is>
      </c>
      <c r="D50" s="329" t="inlineStr">
        <is>
          <t>청룡</t>
        </is>
      </c>
      <c r="E50" s="34" t="n">
        <v>21</v>
      </c>
      <c r="F50" s="34" t="n">
        <v>1.4</v>
      </c>
      <c r="G50" s="34" t="n">
        <v>0.5</v>
      </c>
      <c r="H50" s="42" t="n">
        <v>1979.04</v>
      </c>
      <c r="I50" s="42" t="n">
        <v>425</v>
      </c>
      <c r="J50" s="35" t="n">
        <v>47.96000000000004</v>
      </c>
      <c r="K50" s="42" t="n">
        <v>68</v>
      </c>
      <c r="L50" s="42" t="n">
        <v>68</v>
      </c>
      <c r="M50" s="42" t="n">
        <v>21</v>
      </c>
      <c r="N50" s="418" t="n">
        <v>14000</v>
      </c>
      <c r="O50" s="419" t="n">
        <v>5000</v>
      </c>
      <c r="P50" s="420" t="n">
        <v>9000</v>
      </c>
      <c r="Q50" s="183" t="n">
        <v>0.3571428571428572</v>
      </c>
      <c r="R50" s="419" t="n">
        <v>15100</v>
      </c>
      <c r="S50" s="421" t="n">
        <v>12500</v>
      </c>
      <c r="T50" s="60" t="inlineStr">
        <is>
          <t>계단식</t>
        </is>
      </c>
      <c r="U50" s="42" t="n">
        <v>3</v>
      </c>
      <c r="V50" s="42" t="n">
        <v>1</v>
      </c>
      <c r="W50" s="42" t="n">
        <v>100</v>
      </c>
      <c r="X50" s="185" t="n"/>
      <c r="Y50" s="185" t="n"/>
      <c r="Z50" s="185" t="n">
        <v>21</v>
      </c>
      <c r="AA50" s="422" t="n"/>
      <c r="AB50" s="422" t="n"/>
      <c r="AC50" s="187" t="e">
        <v>#DIV/0!</v>
      </c>
      <c r="AD50" s="188" t="n">
        <v>0</v>
      </c>
      <c r="AE50" s="339" t="n"/>
      <c r="AF50" s="341" t="n"/>
      <c r="AG50" s="350" t="n"/>
      <c r="AH50" s="122" t="n"/>
      <c r="AI50" s="196" t="n"/>
      <c r="AJ50" s="363" t="n"/>
    </row>
    <row r="51" ht="31" customHeight="1" s="139">
      <c r="A51" s="48" t="inlineStr">
        <is>
          <t>홍도동</t>
        </is>
      </c>
      <c r="B51" s="172" t="inlineStr">
        <is>
          <t>하</t>
        </is>
      </c>
      <c r="C51" s="172" t="inlineStr">
        <is>
          <t>하</t>
        </is>
      </c>
      <c r="D51" s="329" t="inlineStr">
        <is>
          <t>청룡</t>
        </is>
      </c>
      <c r="E51" s="34" t="n">
        <v>20</v>
      </c>
      <c r="F51" s="34" t="n">
        <v>1.3</v>
      </c>
      <c r="G51" s="34" t="n">
        <v>0.45</v>
      </c>
      <c r="H51" s="40" t="n">
        <v>1979.04</v>
      </c>
      <c r="I51" s="40" t="n">
        <v>425</v>
      </c>
      <c r="J51" s="35" t="n">
        <v>47.96000000000004</v>
      </c>
      <c r="K51" s="40" t="n">
        <v>67</v>
      </c>
      <c r="L51" s="40" t="n">
        <v>65</v>
      </c>
      <c r="M51" s="40" t="n">
        <v>20</v>
      </c>
      <c r="N51" s="423" t="n">
        <v>13000</v>
      </c>
      <c r="O51" s="424" t="n">
        <v>4500</v>
      </c>
      <c r="P51" s="420" t="n">
        <v>8500</v>
      </c>
      <c r="Q51" s="183" t="n">
        <v>0.3461538461538461</v>
      </c>
      <c r="R51" s="424" t="n">
        <v>17500</v>
      </c>
      <c r="S51" s="425" t="n">
        <v>14500</v>
      </c>
      <c r="T51" s="58" t="inlineStr">
        <is>
          <t>계단식</t>
        </is>
      </c>
      <c r="U51" s="40" t="n">
        <v>3</v>
      </c>
      <c r="V51" s="40" t="n">
        <v>1</v>
      </c>
      <c r="W51" s="40" t="n">
        <v>90</v>
      </c>
      <c r="X51" s="185" t="n"/>
      <c r="Y51" s="185" t="n"/>
      <c r="Z51" s="185" t="n">
        <v>20</v>
      </c>
      <c r="AA51" s="422" t="n"/>
      <c r="AB51" s="422" t="n"/>
      <c r="AC51" s="187" t="e">
        <v>#DIV/0!</v>
      </c>
      <c r="AD51" s="188" t="n">
        <v>0</v>
      </c>
      <c r="AE51" s="339" t="n"/>
      <c r="AF51" s="341" t="n"/>
      <c r="AG51" s="350" t="n"/>
      <c r="AH51" s="122" t="n"/>
      <c r="AI51" s="196" t="n"/>
      <c r="AJ51" s="363" t="n"/>
    </row>
    <row r="52" ht="15.5" customHeight="1" s="139">
      <c r="A52" s="48" t="inlineStr">
        <is>
          <t>홍도동</t>
        </is>
      </c>
      <c r="B52" s="191" t="inlineStr">
        <is>
          <t>하</t>
        </is>
      </c>
      <c r="C52" s="332" t="inlineStr">
        <is>
          <t>하</t>
        </is>
      </c>
      <c r="D52" s="329" t="inlineStr">
        <is>
          <t>청룡</t>
        </is>
      </c>
      <c r="E52" s="34" t="n">
        <v>19</v>
      </c>
      <c r="F52" s="34" t="n">
        <v>1.23</v>
      </c>
      <c r="G52" s="34" t="n">
        <v>0.6</v>
      </c>
      <c r="H52" s="41" t="n">
        <v>1979.04</v>
      </c>
      <c r="I52" s="41" t="n">
        <v>425</v>
      </c>
      <c r="J52" s="35" t="n">
        <v>47.96000000000004</v>
      </c>
      <c r="K52" s="41" t="inlineStr">
        <is>
          <t>62A</t>
        </is>
      </c>
      <c r="L52" s="41" t="n">
        <v>60</v>
      </c>
      <c r="M52" s="41" t="n">
        <v>19</v>
      </c>
      <c r="N52" s="426" t="n">
        <v>12300</v>
      </c>
      <c r="O52" s="427" t="n">
        <v>6000</v>
      </c>
      <c r="P52" s="420" t="n">
        <v>6300</v>
      </c>
      <c r="Q52" s="183" t="n">
        <v>0.4878048780487805</v>
      </c>
      <c r="R52" s="427" t="n">
        <v>16000</v>
      </c>
      <c r="S52" s="428" t="n">
        <v>10500</v>
      </c>
      <c r="T52" s="59" t="inlineStr">
        <is>
          <t>계단식</t>
        </is>
      </c>
      <c r="U52" s="41" t="n">
        <v>3</v>
      </c>
      <c r="V52" s="41" t="n">
        <v>1</v>
      </c>
      <c r="W52" s="41" t="n">
        <v>5</v>
      </c>
      <c r="X52" s="185" t="n"/>
      <c r="Y52" s="185" t="n"/>
      <c r="Z52" s="185" t="n">
        <v>19</v>
      </c>
      <c r="AA52" s="422" t="n"/>
      <c r="AB52" s="422" t="n"/>
      <c r="AC52" s="187" t="e">
        <v>#DIV/0!</v>
      </c>
      <c r="AD52" s="188" t="n">
        <v>0</v>
      </c>
      <c r="AE52" s="339" t="n"/>
      <c r="AF52" s="341" t="n"/>
      <c r="AG52" s="350" t="n"/>
      <c r="AH52" s="122" t="n"/>
      <c r="AI52" s="196" t="n"/>
      <c r="AJ52" s="363" t="n"/>
    </row>
    <row r="53" ht="15.5" customHeight="1" s="139">
      <c r="A53" s="48" t="inlineStr">
        <is>
          <t>홍도동</t>
        </is>
      </c>
      <c r="B53" s="191" t="inlineStr">
        <is>
          <t>하</t>
        </is>
      </c>
      <c r="C53" s="332" t="inlineStr">
        <is>
          <t>하</t>
        </is>
      </c>
      <c r="D53" s="329" t="inlineStr">
        <is>
          <t>청룡</t>
        </is>
      </c>
      <c r="E53" s="34" t="n">
        <v>17</v>
      </c>
      <c r="F53" s="34" t="n">
        <v>1.1</v>
      </c>
      <c r="G53" s="34" t="n">
        <v>0.8</v>
      </c>
      <c r="H53" s="41" t="n">
        <v>1979.04</v>
      </c>
      <c r="I53" s="41" t="n">
        <v>425</v>
      </c>
      <c r="J53" s="35" t="n">
        <v>47.96000000000004</v>
      </c>
      <c r="K53" s="41" t="inlineStr">
        <is>
          <t>55A</t>
        </is>
      </c>
      <c r="L53" s="41" t="n">
        <v>54</v>
      </c>
      <c r="M53" s="41" t="n">
        <v>17</v>
      </c>
      <c r="N53" s="426" t="n">
        <v>11000</v>
      </c>
      <c r="O53" s="427" t="n">
        <v>8000</v>
      </c>
      <c r="P53" s="420" t="n">
        <v>3000</v>
      </c>
      <c r="Q53" s="183" t="n">
        <v>0.7272727272727273</v>
      </c>
      <c r="R53" s="427" t="n">
        <v>16500</v>
      </c>
      <c r="S53" s="428" t="n">
        <v>10000</v>
      </c>
      <c r="T53" s="59" t="inlineStr">
        <is>
          <t>계단식</t>
        </is>
      </c>
      <c r="U53" s="41" t="n">
        <v>2</v>
      </c>
      <c r="V53" s="41" t="n">
        <v>1</v>
      </c>
      <c r="W53" s="41" t="n">
        <v>60</v>
      </c>
      <c r="X53" s="185" t="n"/>
      <c r="Y53" s="185" t="n"/>
      <c r="Z53" s="185" t="n">
        <v>17</v>
      </c>
      <c r="AA53" s="422" t="n"/>
      <c r="AB53" s="422" t="n"/>
      <c r="AC53" s="187" t="e">
        <v>#DIV/0!</v>
      </c>
      <c r="AD53" s="188" t="n">
        <v>0</v>
      </c>
      <c r="AE53" s="339" t="n"/>
      <c r="AF53" s="341" t="n"/>
      <c r="AG53" s="350" t="n"/>
      <c r="AH53" s="122" t="n"/>
      <c r="AI53" s="196" t="n"/>
      <c r="AJ53" s="363" t="n"/>
    </row>
    <row r="54" ht="31.5" customHeight="1" s="139" thickBot="1">
      <c r="A54" s="48" t="inlineStr">
        <is>
          <t>홍도동</t>
        </is>
      </c>
      <c r="B54" s="191" t="inlineStr">
        <is>
          <t>하</t>
        </is>
      </c>
      <c r="C54" s="332" t="inlineStr">
        <is>
          <t>하</t>
        </is>
      </c>
      <c r="D54" s="329" t="inlineStr">
        <is>
          <t>청룡</t>
        </is>
      </c>
      <c r="E54" s="34" t="n">
        <v>18</v>
      </c>
      <c r="F54" s="34" t="n">
        <v>1</v>
      </c>
      <c r="G54" s="34" t="n">
        <v>0.6</v>
      </c>
      <c r="H54" s="42" t="n">
        <v>1979.04</v>
      </c>
      <c r="I54" s="42" t="n">
        <v>425</v>
      </c>
      <c r="J54" s="35" t="n">
        <v>47.96000000000004</v>
      </c>
      <c r="K54" s="42" t="inlineStr">
        <is>
          <t>61B</t>
        </is>
      </c>
      <c r="L54" s="42" t="n">
        <v>61</v>
      </c>
      <c r="M54" s="42" t="n">
        <v>18</v>
      </c>
      <c r="N54" s="418" t="n">
        <v>10000</v>
      </c>
      <c r="O54" s="419" t="n">
        <v>6000</v>
      </c>
      <c r="P54" s="420" t="n">
        <v>4000</v>
      </c>
      <c r="Q54" s="183" t="n">
        <v>0.6</v>
      </c>
      <c r="R54" s="419" t="n">
        <v>10000</v>
      </c>
      <c r="S54" s="421" t="n">
        <v>10000</v>
      </c>
      <c r="T54" s="60" t="inlineStr">
        <is>
          <t>계단식</t>
        </is>
      </c>
      <c r="U54" s="42" t="n">
        <v>3</v>
      </c>
      <c r="V54" s="42" t="n">
        <v>1</v>
      </c>
      <c r="W54" s="42" t="n">
        <v>5</v>
      </c>
      <c r="X54" s="185" t="n"/>
      <c r="Y54" s="185" t="n"/>
      <c r="Z54" s="185" t="n">
        <v>18</v>
      </c>
      <c r="AA54" s="422" t="n"/>
      <c r="AB54" s="422" t="n"/>
      <c r="AC54" s="187" t="e">
        <v>#DIV/0!</v>
      </c>
      <c r="AD54" s="188" t="n">
        <v>0</v>
      </c>
      <c r="AE54" s="339" t="n"/>
      <c r="AF54" s="341" t="n"/>
      <c r="AG54" s="350" t="n"/>
      <c r="AH54" s="122" t="n"/>
      <c r="AI54" s="196" t="n"/>
      <c r="AJ54" s="363" t="n"/>
    </row>
    <row r="55" ht="46.5" customHeight="1" s="139">
      <c r="A55" s="48" t="inlineStr">
        <is>
          <t>홍도동</t>
        </is>
      </c>
      <c r="B55" s="172" t="inlineStr">
        <is>
          <t>하</t>
        </is>
      </c>
      <c r="C55" s="172" t="inlineStr">
        <is>
          <t>하</t>
        </is>
      </c>
      <c r="D55" s="329" t="inlineStr">
        <is>
          <t>청룡</t>
        </is>
      </c>
      <c r="E55" s="34" t="n">
        <v>17</v>
      </c>
      <c r="F55" s="34" t="n">
        <v>0.98</v>
      </c>
      <c r="G55" s="34" t="n">
        <v>0.8</v>
      </c>
      <c r="H55" s="40" t="n">
        <v>1979.04</v>
      </c>
      <c r="I55" s="40" t="n">
        <v>425</v>
      </c>
      <c r="J55" s="35" t="n">
        <v>47.96000000000004</v>
      </c>
      <c r="K55" s="40" t="inlineStr">
        <is>
          <t>55B</t>
        </is>
      </c>
      <c r="L55" s="40" t="n">
        <v>55</v>
      </c>
      <c r="M55" s="40" t="n">
        <v>17</v>
      </c>
      <c r="N55" s="423" t="n">
        <v>9800</v>
      </c>
      <c r="O55" s="424" t="n">
        <v>8000</v>
      </c>
      <c r="P55" s="420" t="n">
        <v>1800</v>
      </c>
      <c r="Q55" s="183" t="n">
        <v>0.8163265306122449</v>
      </c>
      <c r="R55" s="424" t="n">
        <v>15700</v>
      </c>
      <c r="S55" s="425" t="n">
        <v>8950</v>
      </c>
      <c r="T55" s="58" t="inlineStr">
        <is>
          <t>계단식</t>
        </is>
      </c>
      <c r="U55" s="40" t="n">
        <v>2</v>
      </c>
      <c r="V55" s="40" t="n">
        <v>1</v>
      </c>
      <c r="W55" s="40" t="n">
        <v>160</v>
      </c>
      <c r="X55" s="185" t="n"/>
      <c r="Y55" s="185" t="n"/>
      <c r="Z55" s="185" t="n">
        <v>17</v>
      </c>
      <c r="AA55" s="422" t="n"/>
      <c r="AB55" s="422" t="n"/>
      <c r="AC55" s="187" t="e">
        <v>#DIV/0!</v>
      </c>
      <c r="AD55" s="188" t="n">
        <v>0</v>
      </c>
      <c r="AE55" s="339" t="n"/>
      <c r="AF55" s="341" t="n"/>
      <c r="AG55" s="350" t="n"/>
      <c r="AH55" s="122" t="n"/>
      <c r="AI55" s="196" t="n"/>
      <c r="AJ55" s="363" t="n"/>
      <c r="AS55" s="339" t="n"/>
    </row>
    <row r="56" ht="31" customHeight="1" s="139">
      <c r="A56" s="268" t="inlineStr">
        <is>
          <t>삼성동</t>
        </is>
      </c>
      <c r="B56" s="269" t="inlineStr">
        <is>
          <t>하</t>
        </is>
      </c>
      <c r="C56" s="316" t="inlineStr">
        <is>
          <t>하</t>
        </is>
      </c>
      <c r="D56" s="328" t="inlineStr">
        <is>
          <t>주공삼성타운</t>
        </is>
      </c>
      <c r="E56" s="270" t="n">
        <v>35</v>
      </c>
      <c r="F56" s="270" t="n">
        <v>3</v>
      </c>
      <c r="G56" s="270" t="n">
        <v>1.95</v>
      </c>
      <c r="H56" s="289" t="n">
        <v>2007.09</v>
      </c>
      <c r="I56" s="289" t="n">
        <v>613</v>
      </c>
      <c r="J56" s="272" t="n">
        <v>19.91000000000008</v>
      </c>
      <c r="K56" s="289" t="n">
        <v>114</v>
      </c>
      <c r="L56" s="289" t="n">
        <v>84</v>
      </c>
      <c r="M56" s="289" t="n">
        <v>35</v>
      </c>
      <c r="N56" s="413" t="n">
        <v>30000</v>
      </c>
      <c r="O56" s="414" t="n">
        <v>19500</v>
      </c>
      <c r="P56" s="408" t="n">
        <v>10500</v>
      </c>
      <c r="Q56" s="277" t="n">
        <v>0.65</v>
      </c>
      <c r="R56" s="414" t="n">
        <v>34500</v>
      </c>
      <c r="S56" s="415" t="n">
        <v>27000</v>
      </c>
      <c r="T56" s="293" t="inlineStr">
        <is>
          <t>계단식</t>
        </is>
      </c>
      <c r="U56" s="289" t="n">
        <v>3</v>
      </c>
      <c r="V56" s="289" t="n">
        <v>2</v>
      </c>
      <c r="W56" s="289" t="n">
        <v>99</v>
      </c>
      <c r="X56" s="331" t="n">
        <v>2020.04</v>
      </c>
      <c r="Y56" s="331" t="n">
        <v>0.01</v>
      </c>
      <c r="Z56" s="280" t="n">
        <v>35</v>
      </c>
      <c r="AA56" s="410" t="n">
        <v>23450</v>
      </c>
      <c r="AB56" s="410" t="n">
        <v>19000</v>
      </c>
      <c r="AC56" s="282" t="e">
        <v>#DIV/0!</v>
      </c>
      <c r="AD56" s="283" t="n">
        <v>0</v>
      </c>
      <c r="AE56" s="317" t="n"/>
      <c r="AF56" s="347" t="n"/>
      <c r="AG56" s="353" t="n"/>
      <c r="AH56" s="296" t="n"/>
      <c r="AI56" s="297" t="n"/>
      <c r="AJ56" s="363" t="n"/>
    </row>
    <row r="57" ht="16" customHeight="1" s="139" thickBot="1">
      <c r="A57" s="268" t="inlineStr">
        <is>
          <t>삼성동</t>
        </is>
      </c>
      <c r="B57" s="287" t="inlineStr">
        <is>
          <t>하</t>
        </is>
      </c>
      <c r="C57" s="316" t="inlineStr">
        <is>
          <t>하</t>
        </is>
      </c>
      <c r="D57" s="328" t="inlineStr">
        <is>
          <t>주공삼성타운</t>
        </is>
      </c>
      <c r="E57" s="270" t="n">
        <v>24</v>
      </c>
      <c r="F57" s="270" t="n">
        <v>2.4</v>
      </c>
      <c r="G57" s="270" t="n">
        <v>2</v>
      </c>
      <c r="H57" s="308" t="n">
        <v>2007.09</v>
      </c>
      <c r="I57" s="308" t="n">
        <v>613</v>
      </c>
      <c r="J57" s="272" t="n">
        <v>19.91000000000008</v>
      </c>
      <c r="K57" s="308" t="n">
        <v>79</v>
      </c>
      <c r="L57" s="308" t="n">
        <v>59</v>
      </c>
      <c r="M57" s="308" t="n">
        <v>24</v>
      </c>
      <c r="N57" s="440" t="n">
        <v>24000</v>
      </c>
      <c r="O57" s="441" t="n">
        <v>20000</v>
      </c>
      <c r="P57" s="408" t="n">
        <v>4000</v>
      </c>
      <c r="Q57" s="277" t="n">
        <v>0.8333333333333334</v>
      </c>
      <c r="R57" s="441" t="n">
        <v>30000</v>
      </c>
      <c r="S57" s="442" t="n">
        <v>27000</v>
      </c>
      <c r="T57" s="312" t="inlineStr">
        <is>
          <t>계단식</t>
        </is>
      </c>
      <c r="U57" s="308" t="n">
        <v>3</v>
      </c>
      <c r="V57" s="308" t="n">
        <v>2</v>
      </c>
      <c r="W57" s="308" t="n">
        <v>87</v>
      </c>
      <c r="X57" s="331" t="n"/>
      <c r="Y57" s="331" t="n"/>
      <c r="Z57" s="280" t="n">
        <v>24</v>
      </c>
      <c r="AA57" s="410" t="n"/>
      <c r="AB57" s="410" t="n"/>
      <c r="AC57" s="282" t="e">
        <v>#DIV/0!</v>
      </c>
      <c r="AD57" s="283" t="n">
        <v>0</v>
      </c>
      <c r="AE57" s="317" t="n"/>
      <c r="AF57" s="347" t="n"/>
      <c r="AG57" s="353" t="n"/>
      <c r="AH57" s="296" t="n"/>
      <c r="AI57" s="297" t="n"/>
      <c r="AJ57" s="363" t="n"/>
      <c r="AS57" s="350" t="e">
        <v>#NAME?</v>
      </c>
    </row>
    <row r="58" ht="15.5" customHeight="1" s="139">
      <c r="A58" s="48" t="inlineStr">
        <is>
          <t>판암동</t>
        </is>
      </c>
      <c r="B58" s="172" t="inlineStr">
        <is>
          <t>중</t>
        </is>
      </c>
      <c r="C58" s="172" t="inlineStr">
        <is>
          <t>하</t>
        </is>
      </c>
      <c r="D58" s="329" t="inlineStr">
        <is>
          <t>주공6차</t>
        </is>
      </c>
      <c r="E58" s="34" t="n">
        <v>18</v>
      </c>
      <c r="F58" s="34" t="n">
        <v>0.83</v>
      </c>
      <c r="G58" s="34" t="n">
        <v>0.7</v>
      </c>
      <c r="H58" s="40" t="n">
        <v>1992.08</v>
      </c>
      <c r="I58" s="40" t="n">
        <v>720</v>
      </c>
      <c r="J58" s="35" t="n">
        <v>34.92000000000007</v>
      </c>
      <c r="K58" s="40" t="n">
        <v>58</v>
      </c>
      <c r="L58" s="40" t="n">
        <v>44</v>
      </c>
      <c r="M58" s="40" t="n">
        <v>18</v>
      </c>
      <c r="N58" s="423" t="n">
        <v>8300</v>
      </c>
      <c r="O58" s="424" t="n">
        <v>7000</v>
      </c>
      <c r="P58" s="420" t="n">
        <v>1300</v>
      </c>
      <c r="Q58" s="183" t="n">
        <v>0.8433734939759037</v>
      </c>
      <c r="R58" s="424" t="n">
        <v>12200</v>
      </c>
      <c r="S58" s="425" t="n">
        <v>8400</v>
      </c>
      <c r="T58" s="58" t="inlineStr">
        <is>
          <t>복도식</t>
        </is>
      </c>
      <c r="U58" s="40" t="n">
        <v>2</v>
      </c>
      <c r="V58" s="40" t="n">
        <v>1</v>
      </c>
      <c r="W58" s="40" t="n">
        <v>240</v>
      </c>
      <c r="X58" s="332" t="n">
        <v>2020.04</v>
      </c>
      <c r="Y58" s="332" t="n">
        <v>0.01</v>
      </c>
      <c r="Z58" s="185" t="n">
        <v>18</v>
      </c>
      <c r="AA58" s="422" t="n">
        <v>6750</v>
      </c>
      <c r="AB58" s="422" t="n">
        <v>5500</v>
      </c>
      <c r="AC58" s="187" t="e">
        <v>#DIV/0!</v>
      </c>
      <c r="AD58" s="188" t="n">
        <v>0</v>
      </c>
      <c r="AE58" s="33" t="n"/>
      <c r="AF58" s="341" t="n"/>
      <c r="AG58" s="350" t="n"/>
      <c r="AH58" s="122" t="n"/>
      <c r="AI58" s="196" t="n"/>
      <c r="AJ58" s="363" t="n"/>
    </row>
    <row r="59" ht="16" customHeight="1" s="139" thickBot="1">
      <c r="A59" s="48" t="inlineStr">
        <is>
          <t>판암동</t>
        </is>
      </c>
      <c r="B59" s="191" t="inlineStr">
        <is>
          <t>중</t>
        </is>
      </c>
      <c r="C59" s="178" t="inlineStr">
        <is>
          <t>하</t>
        </is>
      </c>
      <c r="D59" s="329" t="inlineStr">
        <is>
          <t>주공6차</t>
        </is>
      </c>
      <c r="E59" s="34" t="n">
        <v>15</v>
      </c>
      <c r="F59" s="34" t="n">
        <v>0.7</v>
      </c>
      <c r="G59" s="34" t="n">
        <v>0.55</v>
      </c>
      <c r="H59" s="42" t="n">
        <v>1992.08</v>
      </c>
      <c r="I59" s="42" t="n">
        <v>720</v>
      </c>
      <c r="J59" s="35" t="n">
        <v>34.92000000000007</v>
      </c>
      <c r="K59" s="42" t="n">
        <v>50</v>
      </c>
      <c r="L59" s="42" t="n">
        <v>38</v>
      </c>
      <c r="M59" s="42" t="n">
        <v>15</v>
      </c>
      <c r="N59" s="418" t="n">
        <v>7000</v>
      </c>
      <c r="O59" s="419" t="n">
        <v>5500</v>
      </c>
      <c r="P59" s="420" t="n">
        <v>1500</v>
      </c>
      <c r="Q59" s="183" t="n">
        <v>0.7857142857142857</v>
      </c>
      <c r="R59" s="419" t="n">
        <v>10000</v>
      </c>
      <c r="S59" s="421" t="n">
        <v>7000</v>
      </c>
      <c r="T59" s="60" t="inlineStr">
        <is>
          <t>복도식</t>
        </is>
      </c>
      <c r="U59" s="42" t="n">
        <v>2</v>
      </c>
      <c r="V59" s="42" t="n">
        <v>1</v>
      </c>
      <c r="W59" s="42" t="n">
        <v>480</v>
      </c>
      <c r="X59" s="332" t="n"/>
      <c r="Y59" s="332" t="n"/>
      <c r="Z59" s="185" t="n">
        <v>15</v>
      </c>
      <c r="AA59" s="422" t="n"/>
      <c r="AB59" s="422" t="n"/>
      <c r="AC59" s="187" t="e">
        <v>#DIV/0!</v>
      </c>
      <c r="AD59" s="188" t="n">
        <v>0</v>
      </c>
      <c r="AE59" s="33" t="n"/>
      <c r="AF59" s="341" t="n"/>
      <c r="AG59" s="350" t="n"/>
      <c r="AH59" s="122" t="n"/>
      <c r="AI59" s="196" t="n"/>
      <c r="AJ59" s="363" t="n"/>
    </row>
    <row r="60" ht="15.5" customHeight="1" s="139">
      <c r="A60" s="268" t="inlineStr">
        <is>
          <t>판암동</t>
        </is>
      </c>
      <c r="B60" s="269" t="inlineStr">
        <is>
          <t>중</t>
        </is>
      </c>
      <c r="C60" s="269" t="inlineStr">
        <is>
          <t>하</t>
        </is>
      </c>
      <c r="D60" s="328" t="inlineStr">
        <is>
          <t>주공5차</t>
        </is>
      </c>
      <c r="E60" s="270" t="n">
        <v>24</v>
      </c>
      <c r="F60" s="270" t="n">
        <v>1.4</v>
      </c>
      <c r="G60" s="270" t="n">
        <v>1.3</v>
      </c>
      <c r="H60" s="273" t="n">
        <v>1992.08</v>
      </c>
      <c r="I60" s="273" t="n">
        <v>1436</v>
      </c>
      <c r="J60" s="272" t="n">
        <v>34.92000000000007</v>
      </c>
      <c r="K60" s="273" t="n">
        <v>78</v>
      </c>
      <c r="L60" s="273" t="n">
        <v>58</v>
      </c>
      <c r="M60" s="273" t="n">
        <v>24</v>
      </c>
      <c r="N60" s="406" t="n">
        <v>14000</v>
      </c>
      <c r="O60" s="407" t="n">
        <v>13000</v>
      </c>
      <c r="P60" s="408" t="n">
        <v>1000</v>
      </c>
      <c r="Q60" s="277" t="n">
        <v>0.9285714285714286</v>
      </c>
      <c r="R60" s="407" t="n">
        <v>19000</v>
      </c>
      <c r="S60" s="409" t="n">
        <v>15000</v>
      </c>
      <c r="T60" s="279" t="inlineStr">
        <is>
          <t>복도식</t>
        </is>
      </c>
      <c r="U60" s="273" t="n">
        <v>2</v>
      </c>
      <c r="V60" s="273" t="n">
        <v>1</v>
      </c>
      <c r="W60" s="273" t="n">
        <v>176</v>
      </c>
      <c r="X60" s="331" t="n">
        <v>2021.09</v>
      </c>
      <c r="Y60" s="331" t="n">
        <v>0.01</v>
      </c>
      <c r="Z60" s="280" t="n">
        <v>24</v>
      </c>
      <c r="AA60" s="410" t="n">
        <v>13425</v>
      </c>
      <c r="AB60" s="410" t="n">
        <v>11000</v>
      </c>
      <c r="AC60" s="282" t="e">
        <v>#DIV/0!</v>
      </c>
      <c r="AD60" s="283" t="n">
        <v>0</v>
      </c>
      <c r="AE60" s="317" t="n"/>
      <c r="AF60" s="347" t="n"/>
      <c r="AG60" s="353" t="n"/>
      <c r="AH60" s="296" t="n"/>
      <c r="AI60" s="297" t="n"/>
      <c r="AJ60" s="363" t="n"/>
    </row>
    <row r="61" ht="17" customHeight="1" s="139">
      <c r="A61" s="268" t="inlineStr">
        <is>
          <t>판암동</t>
        </is>
      </c>
      <c r="B61" s="287" t="inlineStr">
        <is>
          <t>중</t>
        </is>
      </c>
      <c r="C61" s="316" t="inlineStr">
        <is>
          <t>하</t>
        </is>
      </c>
      <c r="D61" s="328" t="inlineStr">
        <is>
          <t>주공5차</t>
        </is>
      </c>
      <c r="E61" s="270" t="n">
        <v>20</v>
      </c>
      <c r="F61" s="270" t="n">
        <v>1.15</v>
      </c>
      <c r="G61" s="270" t="n">
        <v>1</v>
      </c>
      <c r="H61" s="289" t="n">
        <v>1992.08</v>
      </c>
      <c r="I61" s="289" t="n">
        <v>1436</v>
      </c>
      <c r="J61" s="272" t="n">
        <v>34.92000000000007</v>
      </c>
      <c r="K61" s="289" t="inlineStr">
        <is>
          <t>66A</t>
        </is>
      </c>
      <c r="L61" s="289" t="n">
        <v>52</v>
      </c>
      <c r="M61" s="289" t="n">
        <v>20</v>
      </c>
      <c r="N61" s="413" t="n">
        <v>11500</v>
      </c>
      <c r="O61" s="414" t="n">
        <v>10000</v>
      </c>
      <c r="P61" s="408" t="n">
        <v>1500</v>
      </c>
      <c r="Q61" s="277" t="n">
        <v>0.8695652173913043</v>
      </c>
      <c r="R61" s="414" t="n">
        <v>15000</v>
      </c>
      <c r="S61" s="415" t="n">
        <v>11000</v>
      </c>
      <c r="T61" s="293" t="inlineStr">
        <is>
          <t>복도식</t>
        </is>
      </c>
      <c r="U61" s="289" t="n">
        <v>2</v>
      </c>
      <c r="V61" s="289" t="n">
        <v>1</v>
      </c>
      <c r="W61" s="289" t="n">
        <v>353</v>
      </c>
      <c r="X61" s="331" t="n"/>
      <c r="Y61" s="331" t="n"/>
      <c r="Z61" s="280" t="n">
        <v>20</v>
      </c>
      <c r="AA61" s="410" t="n"/>
      <c r="AB61" s="410" t="n"/>
      <c r="AC61" s="282" t="e">
        <v>#DIV/0!</v>
      </c>
      <c r="AD61" s="283" t="n">
        <v>0</v>
      </c>
      <c r="AE61" s="317" t="n"/>
      <c r="AF61" s="347" t="n"/>
      <c r="AG61" s="353" t="n"/>
      <c r="AH61" s="296" t="n"/>
      <c r="AI61" s="297" t="n"/>
      <c r="AJ61" s="363" t="n"/>
    </row>
    <row r="62" ht="47" customHeight="1" s="139" thickBot="1">
      <c r="A62" s="268" t="inlineStr">
        <is>
          <t>판암동</t>
        </is>
      </c>
      <c r="B62" s="287" t="inlineStr">
        <is>
          <t>중</t>
        </is>
      </c>
      <c r="C62" s="316" t="inlineStr">
        <is>
          <t>하</t>
        </is>
      </c>
      <c r="D62" s="328" t="inlineStr">
        <is>
          <t>주공5차</t>
        </is>
      </c>
      <c r="E62" s="270" t="n">
        <v>20</v>
      </c>
      <c r="F62" s="270" t="n">
        <v>1.05</v>
      </c>
      <c r="G62" s="270" t="n">
        <v>0.9</v>
      </c>
      <c r="H62" s="298" t="n">
        <v>1992.08</v>
      </c>
      <c r="I62" s="298" t="n">
        <v>1436</v>
      </c>
      <c r="J62" s="272" t="n">
        <v>34.92000000000007</v>
      </c>
      <c r="K62" s="298" t="inlineStr">
        <is>
          <t>67B</t>
        </is>
      </c>
      <c r="L62" s="298" t="n">
        <v>52</v>
      </c>
      <c r="M62" s="298" t="n">
        <v>20</v>
      </c>
      <c r="N62" s="429" t="n">
        <v>10500</v>
      </c>
      <c r="O62" s="430" t="n">
        <v>9000</v>
      </c>
      <c r="P62" s="408" t="n">
        <v>1500</v>
      </c>
      <c r="Q62" s="277" t="n">
        <v>0.8571428571428571</v>
      </c>
      <c r="R62" s="430" t="n">
        <v>14800</v>
      </c>
      <c r="S62" s="431" t="n">
        <v>14000</v>
      </c>
      <c r="T62" s="302" t="inlineStr">
        <is>
          <t>계단식</t>
        </is>
      </c>
      <c r="U62" s="298" t="n">
        <v>2</v>
      </c>
      <c r="V62" s="298" t="n">
        <v>1</v>
      </c>
      <c r="W62" s="298" t="n">
        <v>1</v>
      </c>
      <c r="X62" s="331" t="n"/>
      <c r="Y62" s="331" t="n"/>
      <c r="Z62" s="280" t="n">
        <v>20</v>
      </c>
      <c r="AA62" s="410" t="n"/>
      <c r="AB62" s="410" t="n"/>
      <c r="AC62" s="282" t="e">
        <v>#DIV/0!</v>
      </c>
      <c r="AD62" s="283" t="n">
        <v>0</v>
      </c>
      <c r="AE62" s="317" t="n"/>
      <c r="AF62" s="347" t="n"/>
      <c r="AG62" s="353" t="n"/>
      <c r="AH62" s="296" t="n"/>
      <c r="AI62" s="297" t="n"/>
      <c r="AJ62" s="363" t="n"/>
    </row>
    <row r="63" ht="15.5" customHeight="1" s="139">
      <c r="A63" s="268" t="inlineStr">
        <is>
          <t>판암동</t>
        </is>
      </c>
      <c r="B63" s="287" t="inlineStr">
        <is>
          <t>중</t>
        </is>
      </c>
      <c r="C63" s="269" t="inlineStr">
        <is>
          <t>하</t>
        </is>
      </c>
      <c r="D63" s="328" t="inlineStr">
        <is>
          <t>주공5차</t>
        </is>
      </c>
      <c r="E63" s="270" t="n">
        <v>17</v>
      </c>
      <c r="F63" s="270" t="n">
        <v>1</v>
      </c>
      <c r="G63" s="270" t="n">
        <v>0.7</v>
      </c>
      <c r="H63" s="273" t="n">
        <v>1992.08</v>
      </c>
      <c r="I63" s="273" t="n">
        <v>1436</v>
      </c>
      <c r="J63" s="272" t="n">
        <v>34.92000000000007</v>
      </c>
      <c r="K63" s="273" t="n">
        <v>55</v>
      </c>
      <c r="L63" s="273" t="n">
        <v>43</v>
      </c>
      <c r="M63" s="273" t="n">
        <v>17</v>
      </c>
      <c r="N63" s="406" t="n">
        <v>10000</v>
      </c>
      <c r="O63" s="407" t="n">
        <v>7000</v>
      </c>
      <c r="P63" s="408" t="n">
        <v>3000</v>
      </c>
      <c r="Q63" s="277" t="n">
        <v>0.7</v>
      </c>
      <c r="R63" s="407" t="n">
        <v>10200</v>
      </c>
      <c r="S63" s="409" t="n">
        <v>8500</v>
      </c>
      <c r="T63" s="279" t="inlineStr">
        <is>
          <t>복도식</t>
        </is>
      </c>
      <c r="U63" s="273" t="n">
        <v>2</v>
      </c>
      <c r="V63" s="273" t="n">
        <v>1</v>
      </c>
      <c r="W63" s="273" t="n">
        <v>6</v>
      </c>
      <c r="X63" s="331" t="n"/>
      <c r="Y63" s="331" t="n"/>
      <c r="Z63" s="280" t="n">
        <v>17</v>
      </c>
      <c r="AA63" s="410" t="n"/>
      <c r="AB63" s="410" t="n"/>
      <c r="AC63" s="282" t="e">
        <v>#DIV/0!</v>
      </c>
      <c r="AD63" s="283" t="n">
        <v>0</v>
      </c>
      <c r="AE63" s="317" t="n"/>
      <c r="AF63" s="347" t="n"/>
      <c r="AG63" s="353" t="n"/>
      <c r="AH63" s="296" t="n"/>
      <c r="AI63" s="297" t="n"/>
      <c r="AJ63" s="363" t="n"/>
    </row>
    <row r="64" ht="15.5" customHeight="1" s="139">
      <c r="A64" s="268" t="inlineStr">
        <is>
          <t>판암동</t>
        </is>
      </c>
      <c r="B64" s="287" t="inlineStr">
        <is>
          <t>중</t>
        </is>
      </c>
      <c r="C64" s="316" t="inlineStr">
        <is>
          <t>하</t>
        </is>
      </c>
      <c r="D64" s="328" t="inlineStr">
        <is>
          <t>주공5차</t>
        </is>
      </c>
      <c r="E64" s="270" t="n">
        <v>18</v>
      </c>
      <c r="F64" s="270" t="n">
        <v>0.85</v>
      </c>
      <c r="G64" s="270" t="n">
        <v>0.83</v>
      </c>
      <c r="H64" s="289" t="n">
        <v>1992.08</v>
      </c>
      <c r="I64" s="289" t="n">
        <v>1436</v>
      </c>
      <c r="J64" s="272" t="n">
        <v>34.92000000000007</v>
      </c>
      <c r="K64" s="289" t="inlineStr">
        <is>
          <t>58A</t>
        </is>
      </c>
      <c r="L64" s="289" t="n">
        <v>44</v>
      </c>
      <c r="M64" s="289" t="n">
        <v>18</v>
      </c>
      <c r="N64" s="413" t="n">
        <v>8500</v>
      </c>
      <c r="O64" s="414" t="n">
        <v>8300</v>
      </c>
      <c r="P64" s="408" t="n">
        <v>200</v>
      </c>
      <c r="Q64" s="277" t="n">
        <v>0.9764705882352941</v>
      </c>
      <c r="R64" s="414" t="n">
        <v>11500</v>
      </c>
      <c r="S64" s="415" t="n">
        <v>10500</v>
      </c>
      <c r="T64" s="293" t="inlineStr">
        <is>
          <t>복도식</t>
        </is>
      </c>
      <c r="U64" s="289" t="n">
        <v>2</v>
      </c>
      <c r="V64" s="289" t="n">
        <v>1</v>
      </c>
      <c r="W64" s="289" t="n">
        <v>240</v>
      </c>
      <c r="X64" s="331" t="n"/>
      <c r="Y64" s="331" t="n"/>
      <c r="Z64" s="280" t="n">
        <v>18</v>
      </c>
      <c r="AA64" s="410" t="n"/>
      <c r="AB64" s="410" t="n"/>
      <c r="AC64" s="282" t="e">
        <v>#DIV/0!</v>
      </c>
      <c r="AD64" s="283" t="n">
        <v>0</v>
      </c>
      <c r="AE64" s="317" t="n"/>
      <c r="AF64" s="347" t="n"/>
      <c r="AG64" s="353" t="n"/>
      <c r="AH64" s="296" t="n"/>
      <c r="AI64" s="297" t="n"/>
      <c r="AJ64" s="363" t="n"/>
    </row>
    <row r="65" ht="31" customHeight="1" s="139">
      <c r="A65" s="268" t="inlineStr">
        <is>
          <t>판암동</t>
        </is>
      </c>
      <c r="B65" s="287" t="inlineStr">
        <is>
          <t>중</t>
        </is>
      </c>
      <c r="C65" s="316" t="inlineStr">
        <is>
          <t>하</t>
        </is>
      </c>
      <c r="D65" s="328" t="inlineStr">
        <is>
          <t>주공5차</t>
        </is>
      </c>
      <c r="E65" s="270" t="n">
        <v>17</v>
      </c>
      <c r="F65" s="270" t="n">
        <v>0.8</v>
      </c>
      <c r="G65" s="270" t="n">
        <v>0.7</v>
      </c>
      <c r="H65" s="289" t="n">
        <v>1992.08</v>
      </c>
      <c r="I65" s="289" t="n">
        <v>1436</v>
      </c>
      <c r="J65" s="272" t="n">
        <v>34.92000000000007</v>
      </c>
      <c r="K65" s="289" t="inlineStr">
        <is>
          <t>57B</t>
        </is>
      </c>
      <c r="L65" s="289" t="n">
        <v>45</v>
      </c>
      <c r="M65" s="289" t="n">
        <v>17</v>
      </c>
      <c r="N65" s="413" t="n">
        <v>8000</v>
      </c>
      <c r="O65" s="414" t="n">
        <v>7000</v>
      </c>
      <c r="P65" s="408" t="n">
        <v>1000</v>
      </c>
      <c r="Q65" s="277" t="n">
        <v>0.875</v>
      </c>
      <c r="R65" s="414" t="n">
        <v>10900</v>
      </c>
      <c r="S65" s="415" t="n">
        <v>9500</v>
      </c>
      <c r="T65" s="293" t="inlineStr">
        <is>
          <t>계단식</t>
        </is>
      </c>
      <c r="U65" s="289" t="n">
        <v>2</v>
      </c>
      <c r="V65" s="289" t="n">
        <v>1</v>
      </c>
      <c r="W65" s="289" t="n">
        <v>180</v>
      </c>
      <c r="X65" s="331" t="n"/>
      <c r="Y65" s="331" t="n"/>
      <c r="Z65" s="280" t="n">
        <v>17</v>
      </c>
      <c r="AA65" s="410" t="n"/>
      <c r="AB65" s="410" t="n"/>
      <c r="AC65" s="282" t="e">
        <v>#DIV/0!</v>
      </c>
      <c r="AD65" s="283" t="n">
        <v>0</v>
      </c>
      <c r="AE65" s="317" t="n"/>
      <c r="AF65" s="347" t="n"/>
      <c r="AG65" s="353" t="n"/>
      <c r="AH65" s="296" t="n"/>
      <c r="AI65" s="297" t="n"/>
      <c r="AJ65" s="363" t="n"/>
    </row>
    <row r="66" ht="15.5" customHeight="1" s="139">
      <c r="A66" s="268" t="inlineStr">
        <is>
          <t>판암동</t>
        </is>
      </c>
      <c r="B66" s="287" t="inlineStr">
        <is>
          <t>중</t>
        </is>
      </c>
      <c r="C66" s="316" t="inlineStr">
        <is>
          <t>하</t>
        </is>
      </c>
      <c r="D66" s="328" t="inlineStr">
        <is>
          <t>주공5차</t>
        </is>
      </c>
      <c r="E66" s="270" t="n">
        <v>15</v>
      </c>
      <c r="F66" s="270" t="n">
        <v>0.75</v>
      </c>
      <c r="G66" s="270" t="n">
        <v>0.7</v>
      </c>
      <c r="H66" s="289" t="n">
        <v>1992.08</v>
      </c>
      <c r="I66" s="289" t="n">
        <v>1436</v>
      </c>
      <c r="J66" s="272" t="n">
        <v>34.92000000000007</v>
      </c>
      <c r="K66" s="289" t="n">
        <v>50</v>
      </c>
      <c r="L66" s="289" t="n">
        <v>38</v>
      </c>
      <c r="M66" s="289" t="n">
        <v>15</v>
      </c>
      <c r="N66" s="413" t="n">
        <v>7500</v>
      </c>
      <c r="O66" s="414" t="n">
        <v>7000</v>
      </c>
      <c r="P66" s="408" t="n">
        <v>500</v>
      </c>
      <c r="Q66" s="277" t="n">
        <v>0.9333333333333333</v>
      </c>
      <c r="R66" s="414" t="n">
        <v>10200</v>
      </c>
      <c r="S66" s="415" t="n">
        <v>7500</v>
      </c>
      <c r="T66" s="293" t="inlineStr">
        <is>
          <t>복도식</t>
        </is>
      </c>
      <c r="U66" s="289" t="n">
        <v>2</v>
      </c>
      <c r="V66" s="289" t="n">
        <v>1</v>
      </c>
      <c r="W66" s="289" t="n">
        <v>480</v>
      </c>
      <c r="X66" s="331" t="n"/>
      <c r="Y66" s="331" t="n"/>
      <c r="Z66" s="280" t="n">
        <v>15</v>
      </c>
      <c r="AA66" s="410" t="n"/>
      <c r="AB66" s="410" t="n"/>
      <c r="AC66" s="282" t="e">
        <v>#DIV/0!</v>
      </c>
      <c r="AD66" s="283" t="n">
        <v>0</v>
      </c>
      <c r="AE66" s="317" t="n"/>
      <c r="AF66" s="347" t="n"/>
      <c r="AG66" s="353" t="n"/>
      <c r="AH66" s="296" t="n"/>
      <c r="AI66" s="297" t="n"/>
      <c r="AJ66" s="363" t="n"/>
    </row>
    <row r="67" ht="16" customHeight="1" s="139" thickBot="1">
      <c r="A67" s="48" t="inlineStr">
        <is>
          <t>판암동</t>
        </is>
      </c>
      <c r="B67" s="191" t="inlineStr">
        <is>
          <t>중</t>
        </is>
      </c>
      <c r="C67" s="178" t="inlineStr">
        <is>
          <t>하</t>
        </is>
      </c>
      <c r="D67" s="329" t="inlineStr">
        <is>
          <t>주공2차</t>
        </is>
      </c>
      <c r="E67" s="34" t="n">
        <v>32</v>
      </c>
      <c r="F67" s="34" t="n">
        <v>2.15</v>
      </c>
      <c r="G67" s="34" t="n">
        <v>1.5</v>
      </c>
      <c r="H67" s="42" t="n">
        <v>1990.1</v>
      </c>
      <c r="I67" s="42" t="n">
        <v>1130</v>
      </c>
      <c r="J67" s="35" t="n">
        <v>36.90000000000009</v>
      </c>
      <c r="K67" s="42" t="n">
        <v>105</v>
      </c>
      <c r="L67" s="42" t="n">
        <v>79</v>
      </c>
      <c r="M67" s="42" t="n">
        <v>32</v>
      </c>
      <c r="N67" s="418" t="n">
        <v>21500</v>
      </c>
      <c r="O67" s="419" t="n">
        <v>15000</v>
      </c>
      <c r="P67" s="420" t="n">
        <v>6500</v>
      </c>
      <c r="Q67" s="183" t="n">
        <v>0.6976744186046512</v>
      </c>
      <c r="R67" s="419" t="n">
        <v>17000</v>
      </c>
      <c r="S67" s="421" t="n">
        <v>14000</v>
      </c>
      <c r="T67" s="60" t="inlineStr">
        <is>
          <t>복도식</t>
        </is>
      </c>
      <c r="U67" s="42" t="n">
        <v>3</v>
      </c>
      <c r="V67" s="42" t="n">
        <v>1</v>
      </c>
      <c r="W67" s="42" t="n">
        <v>240</v>
      </c>
      <c r="X67" s="332" t="n"/>
      <c r="Y67" s="332" t="n"/>
      <c r="Z67" s="185" t="n">
        <v>32</v>
      </c>
      <c r="AA67" s="422" t="n"/>
      <c r="AB67" s="422" t="n"/>
      <c r="AC67" s="187" t="e">
        <v>#DIV/0!</v>
      </c>
      <c r="AD67" s="188" t="n">
        <v>0</v>
      </c>
      <c r="AE67" s="33" t="n"/>
      <c r="AF67" s="341" t="n"/>
      <c r="AG67" s="350" t="n"/>
      <c r="AH67" s="122" t="n"/>
      <c r="AI67" s="196" t="n"/>
      <c r="AJ67" s="363" t="n"/>
    </row>
    <row r="68" ht="31" customHeight="1" s="139">
      <c r="A68" s="48" t="inlineStr">
        <is>
          <t>판암동</t>
        </is>
      </c>
      <c r="B68" s="191" t="inlineStr">
        <is>
          <t>중</t>
        </is>
      </c>
      <c r="C68" s="172" t="inlineStr">
        <is>
          <t>하</t>
        </is>
      </c>
      <c r="D68" s="329" t="inlineStr">
        <is>
          <t>주공2차</t>
        </is>
      </c>
      <c r="E68" s="34" t="n">
        <v>25</v>
      </c>
      <c r="F68" s="34" t="n">
        <v>1.5</v>
      </c>
      <c r="G68" s="34" t="n">
        <v>1.3</v>
      </c>
      <c r="H68" s="40" t="n">
        <v>1990.1</v>
      </c>
      <c r="I68" s="40" t="n">
        <v>1130</v>
      </c>
      <c r="J68" s="35" t="n">
        <v>36.90000000000009</v>
      </c>
      <c r="K68" s="40" t="n">
        <v>82</v>
      </c>
      <c r="L68" s="40" t="n">
        <v>59</v>
      </c>
      <c r="M68" s="40" t="n">
        <v>25</v>
      </c>
      <c r="N68" s="423" t="n">
        <v>15000</v>
      </c>
      <c r="O68" s="424" t="n">
        <v>13000</v>
      </c>
      <c r="P68" s="420" t="n">
        <v>2000</v>
      </c>
      <c r="Q68" s="183" t="n">
        <v>0.8666666666666667</v>
      </c>
      <c r="R68" s="424" t="n">
        <v>16000</v>
      </c>
      <c r="S68" s="425" t="n">
        <v>13000</v>
      </c>
      <c r="T68" s="58" t="inlineStr">
        <is>
          <t>복도식</t>
        </is>
      </c>
      <c r="U68" s="40" t="n">
        <v>2</v>
      </c>
      <c r="V68" s="40" t="n">
        <v>1</v>
      </c>
      <c r="W68" s="40" t="n">
        <v>324</v>
      </c>
      <c r="X68" s="332" t="n"/>
      <c r="Y68" s="332" t="n"/>
      <c r="Z68" s="185" t="n">
        <v>25</v>
      </c>
      <c r="AA68" s="422" t="n"/>
      <c r="AB68" s="422" t="n"/>
      <c r="AC68" s="187" t="e">
        <v>#DIV/0!</v>
      </c>
      <c r="AD68" s="188" t="n">
        <v>0</v>
      </c>
      <c r="AE68" s="33" t="n"/>
      <c r="AF68" s="341" t="n"/>
      <c r="AG68" s="350" t="n"/>
      <c r="AH68" s="122" t="n"/>
      <c r="AI68" s="196" t="n"/>
      <c r="AJ68" s="363" t="n"/>
    </row>
    <row r="69" ht="15.5" customHeight="1" s="139">
      <c r="A69" s="48" t="inlineStr">
        <is>
          <t>판암동</t>
        </is>
      </c>
      <c r="B69" s="191" t="inlineStr">
        <is>
          <t>중</t>
        </is>
      </c>
      <c r="C69" s="178" t="inlineStr">
        <is>
          <t>하</t>
        </is>
      </c>
      <c r="D69" s="329" t="inlineStr">
        <is>
          <t>주공2차</t>
        </is>
      </c>
      <c r="E69" s="34" t="n">
        <v>25</v>
      </c>
      <c r="F69" s="34" t="n">
        <v>1.48</v>
      </c>
      <c r="G69" s="34" t="n">
        <v>1</v>
      </c>
      <c r="H69" s="41" t="n">
        <v>1990.1</v>
      </c>
      <c r="I69" s="41" t="n">
        <v>1130</v>
      </c>
      <c r="J69" s="35" t="n">
        <v>36.90000000000009</v>
      </c>
      <c r="K69" s="41" t="n">
        <v>81</v>
      </c>
      <c r="L69" s="41" t="n">
        <v>58</v>
      </c>
      <c r="M69" s="41" t="n">
        <v>25</v>
      </c>
      <c r="N69" s="426" t="n">
        <v>14800</v>
      </c>
      <c r="O69" s="427" t="n">
        <v>10000</v>
      </c>
      <c r="P69" s="420" t="n">
        <v>4800</v>
      </c>
      <c r="Q69" s="183" t="n">
        <v>0.6756756756756757</v>
      </c>
      <c r="R69" s="427" t="n">
        <v>15500</v>
      </c>
      <c r="S69" s="428" t="n">
        <v>11000</v>
      </c>
      <c r="T69" s="59" t="inlineStr">
        <is>
          <t>복도식</t>
        </is>
      </c>
      <c r="U69" s="41" t="n">
        <v>2</v>
      </c>
      <c r="V69" s="41" t="n">
        <v>1</v>
      </c>
      <c r="W69" s="41" t="n">
        <v>350</v>
      </c>
      <c r="X69" s="332" t="n"/>
      <c r="Y69" s="332" t="n"/>
      <c r="Z69" s="185" t="n">
        <v>25</v>
      </c>
      <c r="AA69" s="422" t="n"/>
      <c r="AB69" s="422" t="n"/>
      <c r="AC69" s="187" t="e">
        <v>#DIV/0!</v>
      </c>
      <c r="AD69" s="188" t="n">
        <v>0</v>
      </c>
      <c r="AE69" s="33" t="n"/>
      <c r="AF69" s="341" t="n"/>
      <c r="AG69" s="350" t="n"/>
      <c r="AH69" s="122" t="n"/>
      <c r="AI69" s="196" t="n"/>
      <c r="AJ69" s="363" t="n"/>
    </row>
    <row r="70" ht="16" customHeight="1" s="139" thickBot="1">
      <c r="A70" s="48" t="inlineStr">
        <is>
          <t>판암동</t>
        </is>
      </c>
      <c r="B70" s="191" t="inlineStr">
        <is>
          <t>중</t>
        </is>
      </c>
      <c r="C70" s="178" t="inlineStr">
        <is>
          <t>하</t>
        </is>
      </c>
      <c r="D70" s="329" t="inlineStr">
        <is>
          <t>주공2차</t>
        </is>
      </c>
      <c r="E70" s="34" t="n">
        <v>19</v>
      </c>
      <c r="F70" s="34" t="n">
        <v>1.09</v>
      </c>
      <c r="G70" s="34" t="n">
        <v>0.8</v>
      </c>
      <c r="H70" s="44" t="n">
        <v>1990.1</v>
      </c>
      <c r="I70" s="44" t="n">
        <v>1130</v>
      </c>
      <c r="J70" s="35" t="n">
        <v>36.90000000000009</v>
      </c>
      <c r="K70" s="44" t="n">
        <v>63</v>
      </c>
      <c r="L70" s="44" t="n">
        <v>45</v>
      </c>
      <c r="M70" s="44" t="n">
        <v>19</v>
      </c>
      <c r="N70" s="449" t="n">
        <v>10900</v>
      </c>
      <c r="O70" s="450" t="n">
        <v>8000</v>
      </c>
      <c r="P70" s="420" t="n">
        <v>2900</v>
      </c>
      <c r="Q70" s="183" t="n">
        <v>0.7339449541284404</v>
      </c>
      <c r="R70" s="450" t="n">
        <v>10000</v>
      </c>
      <c r="S70" s="451" t="n">
        <v>7500</v>
      </c>
      <c r="T70" s="62" t="inlineStr">
        <is>
          <t>복도식</t>
        </is>
      </c>
      <c r="U70" s="44" t="n">
        <v>2</v>
      </c>
      <c r="V70" s="44" t="n">
        <v>1</v>
      </c>
      <c r="W70" s="44" t="n">
        <v>216</v>
      </c>
      <c r="X70" s="332" t="n"/>
      <c r="Y70" s="332" t="n"/>
      <c r="Z70" s="185" t="n">
        <v>19</v>
      </c>
      <c r="AA70" s="422" t="n"/>
      <c r="AB70" s="422" t="n"/>
      <c r="AC70" s="187" t="e">
        <v>#DIV/0!</v>
      </c>
      <c r="AD70" s="188" t="n">
        <v>0</v>
      </c>
      <c r="AE70" s="33" t="n"/>
      <c r="AF70" s="341" t="n"/>
      <c r="AG70" s="350" t="n"/>
      <c r="AH70" s="122" t="n"/>
      <c r="AI70" s="196" t="n"/>
      <c r="AJ70" s="363" t="n"/>
    </row>
    <row r="71" ht="62" customHeight="1" s="139">
      <c r="A71" s="268" t="inlineStr">
        <is>
          <t>용운동</t>
        </is>
      </c>
      <c r="B71" s="287" t="inlineStr">
        <is>
          <t>중</t>
        </is>
      </c>
      <c r="C71" s="269" t="inlineStr">
        <is>
          <t>하</t>
        </is>
      </c>
      <c r="D71" s="328" t="inlineStr">
        <is>
          <t>주공2단지</t>
        </is>
      </c>
      <c r="E71" s="270" t="n">
        <v>28</v>
      </c>
      <c r="F71" s="270" t="n">
        <v>1.7</v>
      </c>
      <c r="G71" s="270" t="n">
        <v>1.2</v>
      </c>
      <c r="H71" s="273" t="n">
        <v>1987.09</v>
      </c>
      <c r="I71" s="273" t="n">
        <v>840</v>
      </c>
      <c r="J71" s="272" t="n">
        <v>39.91000000000008</v>
      </c>
      <c r="K71" s="273" t="n">
        <v>94</v>
      </c>
      <c r="L71" s="273" t="n">
        <v>64</v>
      </c>
      <c r="M71" s="273" t="n">
        <v>28</v>
      </c>
      <c r="N71" s="406" t="n">
        <v>17000</v>
      </c>
      <c r="O71" s="407" t="n">
        <v>12000</v>
      </c>
      <c r="P71" s="408" t="n">
        <v>5000</v>
      </c>
      <c r="Q71" s="277" t="n">
        <v>0.7058823529411765</v>
      </c>
      <c r="R71" s="407" t="n">
        <v>17800</v>
      </c>
      <c r="S71" s="409" t="n">
        <v>16700</v>
      </c>
      <c r="T71" s="279" t="inlineStr">
        <is>
          <t>복도식</t>
        </is>
      </c>
      <c r="U71" s="273" t="n">
        <v>3</v>
      </c>
      <c r="V71" s="273" t="n">
        <v>1</v>
      </c>
      <c r="W71" s="273" t="n">
        <v>60</v>
      </c>
      <c r="X71" s="331" t="n">
        <v>2022.01</v>
      </c>
      <c r="Y71" s="331" t="n">
        <v>0.01</v>
      </c>
      <c r="Z71" s="280" t="n">
        <v>28</v>
      </c>
      <c r="AA71" s="410" t="n">
        <v>15900</v>
      </c>
      <c r="AB71" s="410" t="n">
        <v>13333</v>
      </c>
      <c r="AC71" s="282" t="e">
        <v>#DIV/0!</v>
      </c>
      <c r="AD71" s="283" t="n">
        <v>0</v>
      </c>
      <c r="AE71" s="317" t="n"/>
      <c r="AF71" s="347" t="n"/>
      <c r="AG71" s="353" t="n"/>
      <c r="AH71" s="355" t="n"/>
      <c r="AI71" s="297" t="n"/>
      <c r="AJ71" s="363" t="n"/>
      <c r="AS71" s="339" t="n"/>
    </row>
    <row r="72" ht="201.5" customHeight="1" s="139">
      <c r="A72" s="268" t="inlineStr">
        <is>
          <t>용운동</t>
        </is>
      </c>
      <c r="B72" s="287" t="inlineStr">
        <is>
          <t>중</t>
        </is>
      </c>
      <c r="C72" s="316" t="inlineStr">
        <is>
          <t>하</t>
        </is>
      </c>
      <c r="D72" s="328" t="inlineStr">
        <is>
          <t>주공2단지</t>
        </is>
      </c>
      <c r="E72" s="270" t="n">
        <v>24</v>
      </c>
      <c r="F72" s="270" t="n">
        <v>1.4</v>
      </c>
      <c r="G72" s="270" t="n">
        <v>1.1</v>
      </c>
      <c r="H72" s="289" t="n">
        <v>1987.09</v>
      </c>
      <c r="I72" s="289" t="n">
        <v>840</v>
      </c>
      <c r="J72" s="272" t="n">
        <v>39.91000000000008</v>
      </c>
      <c r="K72" s="289" t="n">
        <v>80</v>
      </c>
      <c r="L72" s="289" t="n">
        <v>54</v>
      </c>
      <c r="M72" s="289" t="n">
        <v>24</v>
      </c>
      <c r="N72" s="413" t="n">
        <v>14000</v>
      </c>
      <c r="O72" s="414" t="n">
        <v>11000</v>
      </c>
      <c r="P72" s="408" t="n">
        <v>3000</v>
      </c>
      <c r="Q72" s="277" t="n">
        <v>0.7857142857142857</v>
      </c>
      <c r="R72" s="414" t="n">
        <v>13700</v>
      </c>
      <c r="S72" s="415" t="n">
        <v>12650</v>
      </c>
      <c r="T72" s="293" t="inlineStr">
        <is>
          <t>복도식</t>
        </is>
      </c>
      <c r="U72" s="289" t="n">
        <v>2</v>
      </c>
      <c r="V72" s="289" t="n">
        <v>1</v>
      </c>
      <c r="W72" s="289" t="n">
        <v>60</v>
      </c>
      <c r="X72" s="331" t="n"/>
      <c r="Y72" s="331" t="n"/>
      <c r="Z72" s="280" t="n">
        <v>24</v>
      </c>
      <c r="AA72" s="410" t="n"/>
      <c r="AB72" s="410" t="n"/>
      <c r="AC72" s="282" t="e">
        <v>#DIV/0!</v>
      </c>
      <c r="AD72" s="283" t="n">
        <v>0</v>
      </c>
      <c r="AE72" s="317" t="n"/>
      <c r="AF72" s="347" t="n"/>
      <c r="AG72" s="353" t="n"/>
      <c r="AH72" s="355" t="n"/>
      <c r="AI72" s="297" t="n"/>
      <c r="AJ72" s="363" t="n"/>
      <c r="AS72" s="339" t="n"/>
    </row>
    <row r="73" ht="124" customHeight="1" s="139">
      <c r="A73" s="268" t="inlineStr">
        <is>
          <t>용운동</t>
        </is>
      </c>
      <c r="B73" s="287" t="inlineStr">
        <is>
          <t>중</t>
        </is>
      </c>
      <c r="C73" s="316" t="inlineStr">
        <is>
          <t>하</t>
        </is>
      </c>
      <c r="D73" s="328" t="inlineStr">
        <is>
          <t>주공2단지</t>
        </is>
      </c>
      <c r="E73" s="270" t="n">
        <v>23</v>
      </c>
      <c r="F73" s="270" t="n">
        <v>1.05</v>
      </c>
      <c r="G73" s="270" t="n">
        <v>0.9</v>
      </c>
      <c r="H73" s="289" t="n">
        <v>1987.09</v>
      </c>
      <c r="I73" s="289" t="n">
        <v>840</v>
      </c>
      <c r="J73" s="272" t="n">
        <v>39.91000000000008</v>
      </c>
      <c r="K73" s="289" t="n">
        <v>75</v>
      </c>
      <c r="L73" s="289" t="n">
        <v>49</v>
      </c>
      <c r="M73" s="289" t="n">
        <v>23</v>
      </c>
      <c r="N73" s="413" t="n">
        <v>10500</v>
      </c>
      <c r="O73" s="414" t="n">
        <v>9000</v>
      </c>
      <c r="P73" s="408" t="n">
        <v>1500</v>
      </c>
      <c r="Q73" s="277" t="n">
        <v>0.8571428571428571</v>
      </c>
      <c r="R73" s="414" t="n">
        <v>14400</v>
      </c>
      <c r="S73" s="415" t="n">
        <v>11000</v>
      </c>
      <c r="T73" s="293" t="inlineStr">
        <is>
          <t>복도식</t>
        </is>
      </c>
      <c r="U73" s="289" t="n">
        <v>2</v>
      </c>
      <c r="V73" s="289" t="n">
        <v>1</v>
      </c>
      <c r="W73" s="289" t="n">
        <v>145</v>
      </c>
      <c r="X73" s="331" t="n"/>
      <c r="Y73" s="331" t="n"/>
      <c r="Z73" s="280" t="n">
        <v>23</v>
      </c>
      <c r="AA73" s="410" t="n"/>
      <c r="AB73" s="410" t="n"/>
      <c r="AC73" s="282" t="e">
        <v>#DIV/0!</v>
      </c>
      <c r="AD73" s="283" t="n">
        <v>0</v>
      </c>
      <c r="AE73" s="317" t="n"/>
      <c r="AF73" s="347" t="n"/>
      <c r="AG73" s="353" t="n"/>
      <c r="AH73" s="355" t="n"/>
      <c r="AI73" s="297" t="n"/>
      <c r="AJ73" s="363" t="n"/>
    </row>
    <row r="74" ht="31.5" customHeight="1" s="139" thickBot="1">
      <c r="A74" s="268" t="inlineStr">
        <is>
          <t>용운동</t>
        </is>
      </c>
      <c r="B74" s="287" t="inlineStr">
        <is>
          <t>중</t>
        </is>
      </c>
      <c r="C74" s="316" t="inlineStr">
        <is>
          <t>하</t>
        </is>
      </c>
      <c r="D74" s="328" t="inlineStr">
        <is>
          <t>주공2단지</t>
        </is>
      </c>
      <c r="E74" s="270" t="n">
        <v>19</v>
      </c>
      <c r="F74" s="270" t="n">
        <v>1</v>
      </c>
      <c r="G74" s="270" t="n">
        <v>0.75</v>
      </c>
      <c r="H74" s="298" t="n">
        <v>1987.09</v>
      </c>
      <c r="I74" s="298" t="n">
        <v>840</v>
      </c>
      <c r="J74" s="272" t="n">
        <v>39.91000000000008</v>
      </c>
      <c r="K74" s="298" t="inlineStr">
        <is>
          <t>62A, 62B, 64A, 64B</t>
        </is>
      </c>
      <c r="L74" s="298" t="n">
        <v>41</v>
      </c>
      <c r="M74" s="298" t="n">
        <v>19</v>
      </c>
      <c r="N74" s="429" t="n">
        <v>10000</v>
      </c>
      <c r="O74" s="430" t="n">
        <v>7500</v>
      </c>
      <c r="P74" s="408" t="n">
        <v>2500</v>
      </c>
      <c r="Q74" s="277" t="n">
        <v>0.75</v>
      </c>
      <c r="R74" s="430" t="n">
        <v>12000</v>
      </c>
      <c r="S74" s="431" t="n">
        <v>8800</v>
      </c>
      <c r="T74" s="302" t="inlineStr">
        <is>
          <t>복도식</t>
        </is>
      </c>
      <c r="U74" s="298" t="n">
        <v>2</v>
      </c>
      <c r="V74" s="298" t="n">
        <v>1</v>
      </c>
      <c r="W74" s="298" t="n">
        <v>358</v>
      </c>
      <c r="X74" s="331" t="n"/>
      <c r="Y74" s="331" t="n"/>
      <c r="Z74" s="280" t="n">
        <v>19</v>
      </c>
      <c r="AA74" s="410" t="n"/>
      <c r="AB74" s="410" t="n"/>
      <c r="AC74" s="282" t="e">
        <v>#DIV/0!</v>
      </c>
      <c r="AD74" s="283" t="n">
        <v>0</v>
      </c>
      <c r="AE74" s="317" t="n"/>
      <c r="AF74" s="347" t="n"/>
      <c r="AG74" s="353" t="n"/>
      <c r="AH74" s="296" t="n"/>
      <c r="AI74" s="297" t="n"/>
      <c r="AJ74" s="363" t="n"/>
    </row>
    <row r="75" ht="15.5" customHeight="1" s="139">
      <c r="A75" s="268" t="inlineStr">
        <is>
          <t>용운동</t>
        </is>
      </c>
      <c r="B75" s="269" t="inlineStr">
        <is>
          <t>중</t>
        </is>
      </c>
      <c r="C75" s="269" t="inlineStr">
        <is>
          <t>하</t>
        </is>
      </c>
      <c r="D75" s="328" t="inlineStr">
        <is>
          <t>주공2단지</t>
        </is>
      </c>
      <c r="E75" s="270" t="n">
        <v>15</v>
      </c>
      <c r="F75" s="270" t="n">
        <v>0.73</v>
      </c>
      <c r="G75" s="270" t="n">
        <v>0.5</v>
      </c>
      <c r="H75" s="273" t="n">
        <v>1987.09</v>
      </c>
      <c r="I75" s="273" t="n">
        <v>840</v>
      </c>
      <c r="J75" s="272" t="n">
        <v>39.91000000000008</v>
      </c>
      <c r="K75" s="273" t="n">
        <v>50</v>
      </c>
      <c r="L75" s="273" t="n">
        <v>32</v>
      </c>
      <c r="M75" s="273" t="n">
        <v>15</v>
      </c>
      <c r="N75" s="406" t="n">
        <v>7300</v>
      </c>
      <c r="O75" s="407" t="n">
        <v>5000</v>
      </c>
      <c r="P75" s="408" t="n">
        <v>2300</v>
      </c>
      <c r="Q75" s="277" t="n">
        <v>0.684931506849315</v>
      </c>
      <c r="R75" s="407" t="n">
        <v>8200</v>
      </c>
      <c r="S75" s="409" t="n">
        <v>6800</v>
      </c>
      <c r="T75" s="279" t="inlineStr">
        <is>
          <t>복도식</t>
        </is>
      </c>
      <c r="U75" s="273" t="n">
        <v>1</v>
      </c>
      <c r="V75" s="273" t="n">
        <v>1</v>
      </c>
      <c r="W75" s="273" t="n">
        <v>216</v>
      </c>
      <c r="X75" s="331" t="n"/>
      <c r="Y75" s="331" t="n"/>
      <c r="Z75" s="280" t="n">
        <v>15</v>
      </c>
      <c r="AA75" s="410" t="n"/>
      <c r="AB75" s="410" t="n"/>
      <c r="AC75" s="282" t="e">
        <v>#DIV/0!</v>
      </c>
      <c r="AD75" s="283" t="n">
        <v>0</v>
      </c>
      <c r="AE75" s="317" t="n"/>
      <c r="AF75" s="347" t="n"/>
      <c r="AG75" s="353" t="n"/>
      <c r="AH75" s="296" t="n"/>
      <c r="AI75" s="297" t="n"/>
      <c r="AJ75" s="363" t="n"/>
    </row>
    <row r="76" ht="15.5" customHeight="1" s="139">
      <c r="A76" s="268" t="inlineStr">
        <is>
          <t>용운동</t>
        </is>
      </c>
      <c r="B76" s="287" t="inlineStr">
        <is>
          <t>중</t>
        </is>
      </c>
      <c r="C76" s="316" t="inlineStr">
        <is>
          <t>하</t>
        </is>
      </c>
      <c r="D76" s="328" t="inlineStr">
        <is>
          <t>주공2단지</t>
        </is>
      </c>
      <c r="E76" s="270" t="n">
        <v>15</v>
      </c>
      <c r="F76" s="270" t="n">
        <v>0.73</v>
      </c>
      <c r="G76" s="270" t="n">
        <v>0.5</v>
      </c>
      <c r="H76" s="289" t="n">
        <v>1987.09</v>
      </c>
      <c r="I76" s="289" t="n">
        <v>840</v>
      </c>
      <c r="J76" s="272" t="n">
        <v>39.91000000000008</v>
      </c>
      <c r="K76" s="289" t="n">
        <v>50</v>
      </c>
      <c r="L76" s="289" t="n">
        <v>32</v>
      </c>
      <c r="M76" s="289" t="n">
        <v>15</v>
      </c>
      <c r="N76" s="413" t="n">
        <v>7300</v>
      </c>
      <c r="O76" s="414" t="n">
        <v>5000</v>
      </c>
      <c r="P76" s="408" t="n">
        <v>2300</v>
      </c>
      <c r="Q76" s="277" t="n">
        <v>0.684931506849315</v>
      </c>
      <c r="R76" s="414" t="n">
        <v>8500</v>
      </c>
      <c r="S76" s="415" t="n">
        <v>6800</v>
      </c>
      <c r="T76" s="293" t="inlineStr">
        <is>
          <t>복도식</t>
        </is>
      </c>
      <c r="U76" s="289" t="n">
        <v>2</v>
      </c>
      <c r="V76" s="289" t="n">
        <v>1</v>
      </c>
      <c r="W76" s="289" t="n">
        <v>1</v>
      </c>
      <c r="X76" s="331" t="n"/>
      <c r="Y76" s="331" t="n"/>
      <c r="Z76" s="280" t="n">
        <v>15</v>
      </c>
      <c r="AA76" s="410" t="n"/>
      <c r="AB76" s="410" t="n"/>
      <c r="AC76" s="282" t="e">
        <v>#DIV/0!</v>
      </c>
      <c r="AD76" s="283" t="n">
        <v>0</v>
      </c>
      <c r="AE76" s="317" t="n"/>
      <c r="AF76" s="347" t="n"/>
      <c r="AG76" s="353" t="n"/>
      <c r="AH76" s="296" t="n"/>
      <c r="AI76" s="297" t="n"/>
      <c r="AJ76" s="363" t="n"/>
    </row>
    <row r="77" ht="31" customHeight="1" s="139">
      <c r="A77" s="48" t="inlineStr">
        <is>
          <t>판암동</t>
        </is>
      </c>
      <c r="B77" s="191" t="inlineStr">
        <is>
          <t>중</t>
        </is>
      </c>
      <c r="C77" s="178" t="inlineStr">
        <is>
          <t>하</t>
        </is>
      </c>
      <c r="D77" s="329" t="inlineStr">
        <is>
          <t>주공1차</t>
        </is>
      </c>
      <c r="E77" s="34" t="n">
        <v>32</v>
      </c>
      <c r="F77" s="34" t="n">
        <v>1.7</v>
      </c>
      <c r="G77" s="34" t="n">
        <v>1.5</v>
      </c>
      <c r="H77" s="41" t="n">
        <v>1990.03</v>
      </c>
      <c r="I77" s="41" t="n">
        <v>1016</v>
      </c>
      <c r="J77" s="35" t="n">
        <v>36.97000000000003</v>
      </c>
      <c r="K77" s="41" t="n">
        <v>105</v>
      </c>
      <c r="L77" s="41" t="n">
        <v>79</v>
      </c>
      <c r="M77" s="41" t="n">
        <v>32</v>
      </c>
      <c r="N77" s="426" t="n">
        <v>17000</v>
      </c>
      <c r="O77" s="427" t="n">
        <v>15000</v>
      </c>
      <c r="P77" s="420" t="n">
        <v>2000</v>
      </c>
      <c r="Q77" s="183" t="n">
        <v>0.8823529411764706</v>
      </c>
      <c r="R77" s="427" t="n">
        <v>24000</v>
      </c>
      <c r="S77" s="428" t="n">
        <v>17000</v>
      </c>
      <c r="T77" s="59" t="inlineStr">
        <is>
          <t>계단식</t>
        </is>
      </c>
      <c r="U77" s="41" t="n">
        <v>3</v>
      </c>
      <c r="V77" s="41" t="n">
        <v>1</v>
      </c>
      <c r="W77" s="41" t="n">
        <v>240</v>
      </c>
      <c r="X77" s="332" t="n">
        <v>2025.02</v>
      </c>
      <c r="Y77" s="332" t="n">
        <v>0.01</v>
      </c>
      <c r="Z77" s="185" t="n">
        <v>32</v>
      </c>
      <c r="AA77" s="422" t="n">
        <v>19000</v>
      </c>
      <c r="AB77" s="422" t="n">
        <v>16000</v>
      </c>
      <c r="AC77" s="187" t="e">
        <v>#DIV/0!</v>
      </c>
      <c r="AD77" s="188" t="n">
        <v>0</v>
      </c>
      <c r="AE77" s="33" t="n"/>
      <c r="AF77" s="341" t="n"/>
      <c r="AG77" s="350" t="n"/>
      <c r="AH77" s="122" t="n"/>
      <c r="AI77" s="196" t="n"/>
      <c r="AJ77" s="363" t="n"/>
      <c r="AS77" s="357" t="n"/>
    </row>
    <row r="78" ht="46.5" customHeight="1" s="139">
      <c r="A78" s="48" t="inlineStr">
        <is>
          <t>판암동</t>
        </is>
      </c>
      <c r="B78" s="191" t="inlineStr">
        <is>
          <t>중</t>
        </is>
      </c>
      <c r="C78" s="178" t="inlineStr">
        <is>
          <t>하</t>
        </is>
      </c>
      <c r="D78" s="329" t="inlineStr">
        <is>
          <t>주공1차</t>
        </is>
      </c>
      <c r="E78" s="34" t="n">
        <v>25</v>
      </c>
      <c r="F78" s="34" t="n">
        <v>1.5</v>
      </c>
      <c r="G78" s="34" t="n">
        <v>1.4</v>
      </c>
      <c r="H78" s="41" t="n">
        <v>1990.03</v>
      </c>
      <c r="I78" s="41" t="n">
        <v>1016</v>
      </c>
      <c r="J78" s="35" t="n">
        <v>36.97000000000003</v>
      </c>
      <c r="K78" s="41" t="n">
        <v>82</v>
      </c>
      <c r="L78" s="41" t="n">
        <v>59</v>
      </c>
      <c r="M78" s="41" t="n">
        <v>25</v>
      </c>
      <c r="N78" s="426" t="n">
        <v>15000</v>
      </c>
      <c r="O78" s="427" t="n">
        <v>14000</v>
      </c>
      <c r="P78" s="420" t="n">
        <v>1000</v>
      </c>
      <c r="Q78" s="183" t="n">
        <v>0.9333333333333333</v>
      </c>
      <c r="R78" s="427" t="n">
        <v>19000</v>
      </c>
      <c r="S78" s="428" t="n">
        <v>16000</v>
      </c>
      <c r="T78" s="59" t="inlineStr">
        <is>
          <t>계단식</t>
        </is>
      </c>
      <c r="U78" s="41" t="n">
        <v>2</v>
      </c>
      <c r="V78" s="41" t="n">
        <v>1</v>
      </c>
      <c r="W78" s="41" t="n">
        <v>360</v>
      </c>
      <c r="X78" s="332" t="n"/>
      <c r="Y78" s="332" t="n"/>
      <c r="Z78" s="185" t="n">
        <v>25</v>
      </c>
      <c r="AA78" s="422" t="n"/>
      <c r="AB78" s="422" t="n"/>
      <c r="AC78" s="187" t="e">
        <v>#DIV/0!</v>
      </c>
      <c r="AD78" s="188" t="n">
        <v>0</v>
      </c>
      <c r="AE78" s="33" t="n"/>
      <c r="AF78" s="341" t="n"/>
      <c r="AG78" s="350" t="n"/>
      <c r="AH78" s="354" t="n"/>
      <c r="AI78" s="196" t="n"/>
      <c r="AJ78" s="363" t="n"/>
    </row>
    <row r="79" ht="16" customHeight="1" s="139" thickBot="1">
      <c r="A79" s="48" t="inlineStr">
        <is>
          <t>판암동</t>
        </is>
      </c>
      <c r="B79" s="191" t="inlineStr">
        <is>
          <t>중</t>
        </is>
      </c>
      <c r="C79" s="178" t="inlineStr">
        <is>
          <t>하</t>
        </is>
      </c>
      <c r="D79" s="329" t="inlineStr">
        <is>
          <t>주공1차</t>
        </is>
      </c>
      <c r="E79" s="34" t="n">
        <v>24</v>
      </c>
      <c r="F79" s="34" t="n">
        <v>1.45</v>
      </c>
      <c r="G79" s="34" t="n">
        <v>1.3</v>
      </c>
      <c r="H79" s="44" t="n">
        <v>1990.03</v>
      </c>
      <c r="I79" s="44" t="n">
        <v>1016</v>
      </c>
      <c r="J79" s="35" t="n">
        <v>36.97000000000003</v>
      </c>
      <c r="K79" s="44" t="n">
        <v>80</v>
      </c>
      <c r="L79" s="44" t="n">
        <v>58</v>
      </c>
      <c r="M79" s="44" t="n">
        <v>24</v>
      </c>
      <c r="N79" s="449" t="n">
        <v>14500</v>
      </c>
      <c r="O79" s="450" t="n">
        <v>13000</v>
      </c>
      <c r="P79" s="420" t="n">
        <v>1500</v>
      </c>
      <c r="Q79" s="183" t="n">
        <v>0.896551724137931</v>
      </c>
      <c r="R79" s="450" t="n">
        <v>19500</v>
      </c>
      <c r="S79" s="451" t="n">
        <v>16000</v>
      </c>
      <c r="T79" s="62" t="inlineStr">
        <is>
          <t>계단식</t>
        </is>
      </c>
      <c r="U79" s="44" t="n">
        <v>2</v>
      </c>
      <c r="V79" s="44" t="n">
        <v>1</v>
      </c>
      <c r="W79" s="44" t="n">
        <v>176</v>
      </c>
      <c r="X79" s="332" t="n"/>
      <c r="Y79" s="332" t="n"/>
      <c r="Z79" s="185" t="n">
        <v>24</v>
      </c>
      <c r="AA79" s="422" t="n"/>
      <c r="AB79" s="422" t="n"/>
      <c r="AC79" s="187" t="e">
        <v>#DIV/0!</v>
      </c>
      <c r="AD79" s="188" t="n">
        <v>0</v>
      </c>
      <c r="AE79" s="33" t="n"/>
      <c r="AF79" s="341" t="n"/>
      <c r="AG79" s="350" t="n"/>
      <c r="AH79" s="354" t="n"/>
      <c r="AI79" s="196" t="n"/>
      <c r="AJ79" s="363" t="n"/>
    </row>
    <row r="80" ht="46.5" customHeight="1" s="139">
      <c r="A80" s="48" t="inlineStr">
        <is>
          <t>판암동</t>
        </is>
      </c>
      <c r="B80" s="172" t="inlineStr">
        <is>
          <t>중</t>
        </is>
      </c>
      <c r="C80" s="172" t="inlineStr">
        <is>
          <t>하</t>
        </is>
      </c>
      <c r="D80" s="329" t="inlineStr">
        <is>
          <t>주공1차</t>
        </is>
      </c>
      <c r="E80" s="34" t="n">
        <v>19</v>
      </c>
      <c r="F80" s="34" t="n">
        <v>0.95</v>
      </c>
      <c r="G80" s="34" t="n">
        <v>0.75</v>
      </c>
      <c r="H80" s="40" t="n">
        <v>1990.03</v>
      </c>
      <c r="I80" s="40" t="n">
        <v>1016</v>
      </c>
      <c r="J80" s="35" t="n">
        <v>36.97000000000003</v>
      </c>
      <c r="K80" s="40" t="n">
        <v>63</v>
      </c>
      <c r="L80" s="40" t="n">
        <v>45</v>
      </c>
      <c r="M80" s="40" t="n">
        <v>19</v>
      </c>
      <c r="N80" s="423" t="n">
        <v>9500</v>
      </c>
      <c r="O80" s="424" t="n">
        <v>7500</v>
      </c>
      <c r="P80" s="420" t="n">
        <v>2000</v>
      </c>
      <c r="Q80" s="183" t="n">
        <v>0.7894736842105263</v>
      </c>
      <c r="R80" s="424" t="n">
        <v>15000</v>
      </c>
      <c r="S80" s="425" t="n">
        <v>8000</v>
      </c>
      <c r="T80" s="58" t="inlineStr">
        <is>
          <t>계단식</t>
        </is>
      </c>
      <c r="U80" s="40" t="n">
        <v>1</v>
      </c>
      <c r="V80" s="40" t="n">
        <v>1</v>
      </c>
      <c r="W80" s="40" t="n">
        <v>240</v>
      </c>
      <c r="X80" s="332" t="n"/>
      <c r="Y80" s="332" t="n"/>
      <c r="Z80" s="185" t="n">
        <v>19</v>
      </c>
      <c r="AA80" s="422" t="n"/>
      <c r="AB80" s="422" t="n"/>
      <c r="AC80" s="187" t="e">
        <v>#DIV/0!</v>
      </c>
      <c r="AD80" s="188" t="n">
        <v>0</v>
      </c>
      <c r="AE80" s="33" t="n"/>
      <c r="AF80" s="341" t="n"/>
      <c r="AG80" s="350" t="n"/>
      <c r="AH80" s="122" t="n"/>
      <c r="AI80" s="196" t="n"/>
      <c r="AJ80" s="363" t="n"/>
    </row>
    <row r="81" ht="31" customHeight="1" s="139">
      <c r="A81" s="268" t="inlineStr">
        <is>
          <t>가오동</t>
        </is>
      </c>
      <c r="B81" s="287" t="inlineStr">
        <is>
          <t>중</t>
        </is>
      </c>
      <c r="C81" s="316" t="inlineStr">
        <is>
          <t>하</t>
        </is>
      </c>
      <c r="D81" s="328" t="inlineStr">
        <is>
          <t>주공(210)</t>
        </is>
      </c>
      <c r="E81" s="270" t="n">
        <v>19</v>
      </c>
      <c r="F81" s="270" t="n">
        <v>1.6</v>
      </c>
      <c r="G81" s="270" t="n">
        <v>0.5</v>
      </c>
      <c r="H81" s="289" t="n">
        <v>1985.1</v>
      </c>
      <c r="I81" s="289" t="n">
        <v>460</v>
      </c>
      <c r="J81" s="272" t="n">
        <v>41.90000000000009</v>
      </c>
      <c r="K81" s="289" t="n">
        <v>63</v>
      </c>
      <c r="L81" s="289" t="n">
        <v>57</v>
      </c>
      <c r="M81" s="289" t="n">
        <v>19</v>
      </c>
      <c r="N81" s="413" t="n">
        <v>16000</v>
      </c>
      <c r="O81" s="414" t="n">
        <v>5000</v>
      </c>
      <c r="P81" s="408" t="n">
        <v>11000</v>
      </c>
      <c r="Q81" s="277" t="n">
        <v>0.3125</v>
      </c>
      <c r="R81" s="414" t="n">
        <v>24500</v>
      </c>
      <c r="S81" s="415" t="n">
        <v>20500</v>
      </c>
      <c r="T81" s="293" t="inlineStr">
        <is>
          <t>계단식</t>
        </is>
      </c>
      <c r="U81" s="289" t="n">
        <v>2</v>
      </c>
      <c r="V81" s="289" t="n">
        <v>1</v>
      </c>
      <c r="W81" s="289" t="n">
        <v>1</v>
      </c>
      <c r="X81" s="336" t="n"/>
      <c r="Y81" s="331" t="n"/>
      <c r="Z81" s="280" t="n">
        <v>19</v>
      </c>
      <c r="AA81" s="410" t="n"/>
      <c r="AB81" s="410" t="n"/>
      <c r="AC81" s="282" t="e">
        <v>#DIV/0!</v>
      </c>
      <c r="AD81" s="283" t="n">
        <v>0</v>
      </c>
      <c r="AE81" s="317" t="n"/>
      <c r="AF81" s="416" t="n"/>
      <c r="AG81" s="417" t="n">
        <v>0</v>
      </c>
      <c r="AH81" s="285" t="e">
        <v>#DIV/0!</v>
      </c>
      <c r="AI81" s="297" t="e">
        <v>#DIV/0!</v>
      </c>
      <c r="AJ81" s="363" t="n"/>
    </row>
    <row r="82" ht="47" customHeight="1" s="139" thickBot="1">
      <c r="A82" s="268" t="inlineStr">
        <is>
          <t>가오동</t>
        </is>
      </c>
      <c r="B82" s="287" t="inlineStr">
        <is>
          <t>중</t>
        </is>
      </c>
      <c r="C82" s="316" t="inlineStr">
        <is>
          <t>하</t>
        </is>
      </c>
      <c r="D82" s="328" t="inlineStr">
        <is>
          <t>주공(210)</t>
        </is>
      </c>
      <c r="E82" s="270" t="n">
        <v>20</v>
      </c>
      <c r="F82" s="270" t="n">
        <v>1.6</v>
      </c>
      <c r="G82" s="270" t="n">
        <v>0.6</v>
      </c>
      <c r="H82" s="298" t="n">
        <v>1985.1</v>
      </c>
      <c r="I82" s="298" t="n">
        <v>460</v>
      </c>
      <c r="J82" s="272" t="n">
        <v>41.90000000000009</v>
      </c>
      <c r="K82" s="298" t="n">
        <v>65</v>
      </c>
      <c r="L82" s="298" t="n">
        <v>59</v>
      </c>
      <c r="M82" s="298" t="n">
        <v>20</v>
      </c>
      <c r="N82" s="429" t="n">
        <v>16000</v>
      </c>
      <c r="O82" s="430" t="n">
        <v>6000</v>
      </c>
      <c r="P82" s="408" t="n">
        <v>10000</v>
      </c>
      <c r="Q82" s="277" t="n">
        <v>0.375</v>
      </c>
      <c r="R82" s="430" t="n">
        <v>23500</v>
      </c>
      <c r="S82" s="431" t="n">
        <v>17700</v>
      </c>
      <c r="T82" s="302" t="inlineStr">
        <is>
          <t>계단식</t>
        </is>
      </c>
      <c r="U82" s="298" t="n">
        <v>3</v>
      </c>
      <c r="V82" s="298" t="n">
        <v>1</v>
      </c>
      <c r="W82" s="298" t="n">
        <v>229</v>
      </c>
      <c r="X82" s="336" t="n"/>
      <c r="Y82" s="331" t="n"/>
      <c r="Z82" s="280" t="n">
        <v>20</v>
      </c>
      <c r="AA82" s="410" t="n"/>
      <c r="AB82" s="410" t="n"/>
      <c r="AC82" s="282" t="e">
        <v>#DIV/0!</v>
      </c>
      <c r="AD82" s="283" t="n">
        <v>0</v>
      </c>
      <c r="AE82" s="317" t="n"/>
      <c r="AF82" s="416" t="n"/>
      <c r="AG82" s="417" t="n">
        <v>0</v>
      </c>
      <c r="AH82" s="285" t="e">
        <v>#DIV/0!</v>
      </c>
      <c r="AI82" s="297" t="e">
        <v>#DIV/0!</v>
      </c>
      <c r="AJ82" s="363" t="n"/>
      <c r="AS82" s="339" t="n"/>
    </row>
    <row r="83" ht="15.5" customHeight="1" s="139">
      <c r="A83" s="268" t="inlineStr">
        <is>
          <t>가오동</t>
        </is>
      </c>
      <c r="B83" s="372" t="inlineStr">
        <is>
          <t>중</t>
        </is>
      </c>
      <c r="C83" s="269" t="inlineStr">
        <is>
          <t>하</t>
        </is>
      </c>
      <c r="D83" s="328" t="inlineStr">
        <is>
          <t>주공(210)</t>
        </is>
      </c>
      <c r="E83" s="270" t="n">
        <v>14</v>
      </c>
      <c r="F83" s="270" t="n">
        <v>1.4</v>
      </c>
      <c r="G83" s="270" t="n">
        <v>0.8</v>
      </c>
      <c r="H83" s="273" t="n">
        <v>1985.1</v>
      </c>
      <c r="I83" s="273" t="n">
        <v>460</v>
      </c>
      <c r="J83" s="272" t="n">
        <v>41.90000000000009</v>
      </c>
      <c r="K83" s="273" t="n">
        <v>47</v>
      </c>
      <c r="L83" s="273" t="n">
        <v>42</v>
      </c>
      <c r="M83" s="273" t="n">
        <v>14</v>
      </c>
      <c r="N83" s="406" t="n">
        <v>14000</v>
      </c>
      <c r="O83" s="407" t="n">
        <v>8000</v>
      </c>
      <c r="P83" s="408" t="n">
        <v>6000</v>
      </c>
      <c r="Q83" s="277" t="n">
        <v>0.5714285714285714</v>
      </c>
      <c r="R83" s="407" t="n">
        <v>18000</v>
      </c>
      <c r="S83" s="409" t="n">
        <v>13000</v>
      </c>
      <c r="T83" s="279" t="inlineStr">
        <is>
          <t>계단식</t>
        </is>
      </c>
      <c r="U83" s="273" t="n">
        <v>2</v>
      </c>
      <c r="V83" s="273" t="n">
        <v>1</v>
      </c>
      <c r="W83" s="273" t="n">
        <v>27</v>
      </c>
      <c r="X83" s="336" t="n"/>
      <c r="Y83" s="331" t="n"/>
      <c r="Z83" s="280" t="n">
        <v>14</v>
      </c>
      <c r="AA83" s="410" t="n"/>
      <c r="AB83" s="410" t="n"/>
      <c r="AC83" s="282" t="e">
        <v>#DIV/0!</v>
      </c>
      <c r="AD83" s="283" t="n">
        <v>0</v>
      </c>
      <c r="AE83" s="317" t="n"/>
      <c r="AF83" s="416" t="n"/>
      <c r="AG83" s="417" t="n">
        <v>0</v>
      </c>
      <c r="AH83" s="285" t="e">
        <v>#DIV/0!</v>
      </c>
      <c r="AI83" s="297" t="e">
        <v>#DIV/0!</v>
      </c>
      <c r="AJ83" s="363" t="n"/>
    </row>
    <row r="84" ht="46.5" customHeight="1" s="139">
      <c r="A84" s="268" t="inlineStr">
        <is>
          <t>가오동</t>
        </is>
      </c>
      <c r="B84" s="287" t="inlineStr">
        <is>
          <t>중</t>
        </is>
      </c>
      <c r="C84" s="316" t="inlineStr">
        <is>
          <t>하</t>
        </is>
      </c>
      <c r="D84" s="328" t="inlineStr">
        <is>
          <t>주공(210)</t>
        </is>
      </c>
      <c r="E84" s="270" t="n">
        <v>16</v>
      </c>
      <c r="F84" s="270" t="n">
        <v>1</v>
      </c>
      <c r="G84" s="270" t="n">
        <v>0.6</v>
      </c>
      <c r="H84" s="289" t="n">
        <v>1985.1</v>
      </c>
      <c r="I84" s="289" t="n">
        <v>460</v>
      </c>
      <c r="J84" s="272" t="n">
        <v>41.90000000000009</v>
      </c>
      <c r="K84" s="289" t="n">
        <v>54</v>
      </c>
      <c r="L84" s="289" t="n">
        <v>49</v>
      </c>
      <c r="M84" s="289" t="n">
        <v>16</v>
      </c>
      <c r="N84" s="413" t="n">
        <v>10000</v>
      </c>
      <c r="O84" s="414" t="n">
        <v>6000</v>
      </c>
      <c r="P84" s="408" t="n">
        <v>4000</v>
      </c>
      <c r="Q84" s="277" t="n">
        <v>0.6</v>
      </c>
      <c r="R84" s="414" t="n">
        <v>21500</v>
      </c>
      <c r="S84" s="415" t="n">
        <v>13100</v>
      </c>
      <c r="T84" s="293" t="inlineStr">
        <is>
          <t>계단식</t>
        </is>
      </c>
      <c r="U84" s="289" t="n">
        <v>2</v>
      </c>
      <c r="V84" s="289" t="n">
        <v>1</v>
      </c>
      <c r="W84" s="289" t="n">
        <v>203</v>
      </c>
      <c r="X84" s="336" t="n"/>
      <c r="Y84" s="331" t="n"/>
      <c r="Z84" s="280" t="n">
        <v>16</v>
      </c>
      <c r="AA84" s="410" t="n"/>
      <c r="AB84" s="410" t="n"/>
      <c r="AC84" s="282" t="e">
        <v>#DIV/0!</v>
      </c>
      <c r="AD84" s="283" t="n">
        <v>0</v>
      </c>
      <c r="AE84" s="317" t="n"/>
      <c r="AF84" s="416" t="n"/>
      <c r="AG84" s="417" t="n">
        <v>0</v>
      </c>
      <c r="AH84" s="285" t="e">
        <v>#DIV/0!</v>
      </c>
      <c r="AI84" s="297" t="e">
        <v>#DIV/0!</v>
      </c>
      <c r="AJ84" s="363" t="n"/>
    </row>
    <row r="85" ht="31" customHeight="1" s="139">
      <c r="A85" s="45" t="inlineStr">
        <is>
          <t>신흥동</t>
        </is>
      </c>
      <c r="B85" s="191" t="inlineStr">
        <is>
          <t>상</t>
        </is>
      </c>
      <c r="C85" s="178" t="inlineStr">
        <is>
          <t>중</t>
        </is>
      </c>
      <c r="D85" s="330" t="inlineStr">
        <is>
          <t>이스트시티2단지</t>
        </is>
      </c>
      <c r="E85" s="34" t="n">
        <v>31</v>
      </c>
      <c r="F85" s="34" t="n">
        <v>4</v>
      </c>
      <c r="G85" s="34" t="n">
        <v>3</v>
      </c>
      <c r="H85" s="47" t="n">
        <v>2018.1</v>
      </c>
      <c r="I85" s="47" t="n">
        <v>636</v>
      </c>
      <c r="J85" s="35" t="n">
        <v>8.900000000000091</v>
      </c>
      <c r="K85" s="47" t="inlineStr">
        <is>
          <t>102A, 102A-2, 102C</t>
        </is>
      </c>
      <c r="L85" s="47" t="n">
        <v>74</v>
      </c>
      <c r="M85" s="47" t="n">
        <v>31</v>
      </c>
      <c r="N85" s="452" t="n">
        <v>40000</v>
      </c>
      <c r="O85" s="453" t="n">
        <v>30000</v>
      </c>
      <c r="P85" s="420" t="n">
        <v>10000</v>
      </c>
      <c r="Q85" s="183" t="n">
        <v>0.75</v>
      </c>
      <c r="R85" s="453" t="n">
        <v>53000</v>
      </c>
      <c r="S85" s="454" t="n">
        <v>35000</v>
      </c>
      <c r="T85" s="63" t="inlineStr">
        <is>
          <t>계단식</t>
        </is>
      </c>
      <c r="U85" s="47" t="n">
        <v>3</v>
      </c>
      <c r="V85" s="47" t="n">
        <v>2</v>
      </c>
      <c r="W85" s="47" t="n">
        <v>228</v>
      </c>
      <c r="X85" s="332" t="n"/>
      <c r="Y85" s="332" t="n"/>
      <c r="Z85" s="185" t="n">
        <v>31</v>
      </c>
      <c r="AA85" s="422" t="n"/>
      <c r="AB85" s="422" t="n"/>
      <c r="AC85" s="187" t="e">
        <v>#DIV/0!</v>
      </c>
      <c r="AD85" s="188" t="n">
        <v>0</v>
      </c>
      <c r="AE85" s="33" t="n"/>
      <c r="AF85" s="341" t="n"/>
      <c r="AG85" s="350" t="n"/>
      <c r="AH85" s="122" t="n"/>
      <c r="AI85" s="196" t="n"/>
      <c r="AJ85" s="363" t="n"/>
    </row>
    <row r="86" ht="124.5" customHeight="1" s="139" thickBot="1">
      <c r="A86" s="45" t="inlineStr">
        <is>
          <t>신흥동</t>
        </is>
      </c>
      <c r="B86" s="191" t="inlineStr">
        <is>
          <t>상</t>
        </is>
      </c>
      <c r="C86" s="178" t="inlineStr">
        <is>
          <t>중</t>
        </is>
      </c>
      <c r="D86" s="330" t="inlineStr">
        <is>
          <t>이스트시티2단지</t>
        </is>
      </c>
      <c r="E86" s="34" t="n">
        <v>25</v>
      </c>
      <c r="F86" s="34" t="n">
        <v>3.3</v>
      </c>
      <c r="G86" s="34" t="n">
        <v>2.3</v>
      </c>
      <c r="H86" s="375" t="n">
        <v>2018.1</v>
      </c>
      <c r="I86" s="375" t="n">
        <v>636</v>
      </c>
      <c r="J86" s="35" t="n">
        <v>8.900000000000091</v>
      </c>
      <c r="K86" s="375" t="inlineStr">
        <is>
          <t>83A</t>
        </is>
      </c>
      <c r="L86" s="375" t="n">
        <v>59</v>
      </c>
      <c r="M86" s="375" t="n">
        <v>25</v>
      </c>
      <c r="N86" s="455" t="n">
        <v>33000</v>
      </c>
      <c r="O86" s="456" t="n">
        <v>23000</v>
      </c>
      <c r="P86" s="420" t="n">
        <v>10000</v>
      </c>
      <c r="Q86" s="183" t="n">
        <v>0.696969696969697</v>
      </c>
      <c r="R86" s="456" t="n">
        <v>32000</v>
      </c>
      <c r="S86" s="457" t="n">
        <v>22000</v>
      </c>
      <c r="T86" s="390" t="inlineStr">
        <is>
          <t>계단식</t>
        </is>
      </c>
      <c r="U86" s="375" t="n">
        <v>3</v>
      </c>
      <c r="V86" s="375" t="n">
        <v>2</v>
      </c>
      <c r="W86" s="375" t="n">
        <v>31</v>
      </c>
      <c r="X86" s="332" t="n">
        <v>2024.1</v>
      </c>
      <c r="Y86" s="332" t="n">
        <v>0.02</v>
      </c>
      <c r="Z86" s="185" t="n">
        <v>25</v>
      </c>
      <c r="AA86" s="422" t="n">
        <v>30000</v>
      </c>
      <c r="AB86" s="422" t="n">
        <v>24000</v>
      </c>
      <c r="AC86" s="187" t="e">
        <v>#DIV/0!</v>
      </c>
      <c r="AD86" s="188" t="n">
        <v>0</v>
      </c>
      <c r="AE86" s="33" t="n"/>
      <c r="AF86" s="341" t="n"/>
      <c r="AG86" s="350" t="n"/>
      <c r="AH86" s="122" t="n"/>
      <c r="AI86" s="196" t="n"/>
      <c r="AJ86" s="363" t="n"/>
    </row>
    <row r="87" ht="62" customHeight="1" s="139">
      <c r="A87" s="45" t="inlineStr">
        <is>
          <t>신흥동</t>
        </is>
      </c>
      <c r="B87" s="172" t="inlineStr">
        <is>
          <t>상</t>
        </is>
      </c>
      <c r="C87" s="172" t="inlineStr">
        <is>
          <t>중</t>
        </is>
      </c>
      <c r="D87" s="330" t="inlineStr">
        <is>
          <t>이스트시티2단지</t>
        </is>
      </c>
      <c r="E87" s="34" t="n">
        <v>22</v>
      </c>
      <c r="F87" s="34" t="n">
        <v>2.25</v>
      </c>
      <c r="G87" s="34" t="n">
        <v>1.75</v>
      </c>
      <c r="H87" s="46" t="n">
        <v>2018.1</v>
      </c>
      <c r="I87" s="46" t="n">
        <v>636</v>
      </c>
      <c r="J87" s="35" t="n">
        <v>8.900000000000091</v>
      </c>
      <c r="K87" s="46" t="inlineStr">
        <is>
          <t>73A</t>
        </is>
      </c>
      <c r="L87" s="46" t="n">
        <v>46</v>
      </c>
      <c r="M87" s="46" t="n">
        <v>22</v>
      </c>
      <c r="N87" s="458" t="n">
        <v>22500</v>
      </c>
      <c r="O87" s="459" t="n">
        <v>17500</v>
      </c>
      <c r="P87" s="420" t="n">
        <v>5000</v>
      </c>
      <c r="Q87" s="183" t="n">
        <v>0.7777777777777778</v>
      </c>
      <c r="R87" s="459" t="n">
        <v>22000</v>
      </c>
      <c r="S87" s="460" t="n">
        <v>20000</v>
      </c>
      <c r="T87" s="64" t="inlineStr">
        <is>
          <t>계단식</t>
        </is>
      </c>
      <c r="U87" s="46" t="n">
        <v>3</v>
      </c>
      <c r="V87" s="46" t="n">
        <v>2</v>
      </c>
      <c r="W87" s="46" t="n">
        <v>165</v>
      </c>
      <c r="X87" s="332" t="n"/>
      <c r="Y87" s="332" t="n"/>
      <c r="Z87" s="185" t="n">
        <v>22</v>
      </c>
      <c r="AA87" s="422" t="n"/>
      <c r="AB87" s="422" t="n"/>
      <c r="AC87" s="187" t="e">
        <v>#DIV/0!</v>
      </c>
      <c r="AD87" s="188" t="n">
        <v>0</v>
      </c>
      <c r="AE87" s="33" t="n"/>
      <c r="AF87" s="341" t="n"/>
      <c r="AG87" s="350" t="n"/>
      <c r="AH87" s="122" t="n"/>
      <c r="AI87" s="196" t="n"/>
      <c r="AJ87" s="363" t="n"/>
    </row>
    <row r="88" ht="46.5" customHeight="1" s="139">
      <c r="A88" s="45" t="inlineStr">
        <is>
          <t>신흥동</t>
        </is>
      </c>
      <c r="B88" s="191" t="inlineStr">
        <is>
          <t>상</t>
        </is>
      </c>
      <c r="C88" s="66" t="inlineStr">
        <is>
          <t>중</t>
        </is>
      </c>
      <c r="D88" s="330" t="inlineStr">
        <is>
          <t>이스트시티2단지</t>
        </is>
      </c>
      <c r="E88" s="34" t="n">
        <v>19</v>
      </c>
      <c r="F88" s="34" t="n">
        <v>2</v>
      </c>
      <c r="G88" s="34" t="n">
        <v>1.5</v>
      </c>
      <c r="H88" s="380" t="n">
        <v>2018.1</v>
      </c>
      <c r="I88" s="380" t="n">
        <v>636</v>
      </c>
      <c r="J88" s="35" t="n">
        <v>8.900000000000091</v>
      </c>
      <c r="K88" s="380" t="inlineStr">
        <is>
          <t>64A</t>
        </is>
      </c>
      <c r="L88" s="380" t="n">
        <v>39</v>
      </c>
      <c r="M88" s="380" t="n">
        <v>19</v>
      </c>
      <c r="N88" s="461" t="n">
        <v>20000</v>
      </c>
      <c r="O88" s="462" t="n">
        <v>15000</v>
      </c>
      <c r="P88" s="420" t="n">
        <v>5000</v>
      </c>
      <c r="Q88" s="183" t="n">
        <v>0.75</v>
      </c>
      <c r="R88" s="453" t="n">
        <v>19000</v>
      </c>
      <c r="S88" s="454" t="n">
        <v>16000</v>
      </c>
      <c r="T88" s="392" t="inlineStr">
        <is>
          <t>복도식</t>
        </is>
      </c>
      <c r="U88" s="380" t="n">
        <v>3</v>
      </c>
      <c r="V88" s="380" t="n">
        <v>2</v>
      </c>
      <c r="W88" s="380" t="n">
        <v>35</v>
      </c>
      <c r="X88" s="332" t="n">
        <v>2024.06</v>
      </c>
      <c r="Y88" s="332" t="n">
        <v>0.04</v>
      </c>
      <c r="Z88" s="185" t="n">
        <v>19</v>
      </c>
      <c r="AA88" s="422" t="n">
        <v>16000</v>
      </c>
      <c r="AB88" s="422" t="n">
        <v>15000</v>
      </c>
      <c r="AC88" s="187" t="e">
        <v>#DIV/0!</v>
      </c>
      <c r="AD88" s="188" t="n">
        <v>0</v>
      </c>
      <c r="AE88" s="33" t="n"/>
      <c r="AF88" s="341" t="n"/>
      <c r="AG88" s="350" t="n"/>
      <c r="AH88" s="354" t="n"/>
      <c r="AI88" s="196" t="n"/>
      <c r="AJ88" s="363" t="n"/>
    </row>
    <row r="89" ht="46.5" customHeight="1" s="139">
      <c r="A89" s="268" t="inlineStr">
        <is>
          <t>대동</t>
        </is>
      </c>
      <c r="B89" s="287" t="inlineStr">
        <is>
          <t>상</t>
        </is>
      </c>
      <c r="C89" s="316" t="inlineStr">
        <is>
          <t>상</t>
        </is>
      </c>
      <c r="D89" s="328" t="inlineStr">
        <is>
          <t>이스트시티1단지</t>
        </is>
      </c>
      <c r="E89" s="270" t="n">
        <v>34</v>
      </c>
      <c r="F89" s="270" t="n">
        <v>4.95</v>
      </c>
      <c r="G89" s="270" t="n">
        <v>4.5</v>
      </c>
      <c r="H89" s="289" t="n">
        <v>2018.11</v>
      </c>
      <c r="I89" s="289" t="n">
        <v>1345</v>
      </c>
      <c r="J89" s="272" t="n">
        <v>8.8900000000001</v>
      </c>
      <c r="K89" s="289" t="inlineStr">
        <is>
          <t>113A-1, 113A, 113B</t>
        </is>
      </c>
      <c r="L89" s="289" t="n">
        <v>84</v>
      </c>
      <c r="M89" s="289" t="n">
        <v>34</v>
      </c>
      <c r="N89" s="413" t="n">
        <v>50000</v>
      </c>
      <c r="O89" s="414" t="n">
        <v>45000</v>
      </c>
      <c r="P89" s="408" t="n">
        <v>4500</v>
      </c>
      <c r="Q89" s="277" t="n">
        <v>0.9090909090909091</v>
      </c>
      <c r="R89" s="414" t="n">
        <v>71000</v>
      </c>
      <c r="S89" s="415" t="n">
        <v>46600</v>
      </c>
      <c r="T89" s="293" t="inlineStr">
        <is>
          <t>계단식</t>
        </is>
      </c>
      <c r="U89" s="289" t="n">
        <v>3</v>
      </c>
      <c r="V89" s="289" t="n">
        <v>2</v>
      </c>
      <c r="W89" s="289" t="n">
        <v>777</v>
      </c>
      <c r="X89" s="336" t="n"/>
      <c r="Y89" s="331" t="n"/>
      <c r="Z89" s="280" t="n">
        <v>34</v>
      </c>
      <c r="AA89" s="410" t="n"/>
      <c r="AB89" s="410" t="n"/>
      <c r="AC89" s="282" t="e">
        <v>#DIV/0!</v>
      </c>
      <c r="AD89" s="283" t="n">
        <v>0</v>
      </c>
      <c r="AE89" s="317" t="n"/>
      <c r="AF89" s="416" t="n"/>
      <c r="AG89" s="417" t="n">
        <v>0</v>
      </c>
      <c r="AH89" s="285" t="e">
        <v>#DIV/0!</v>
      </c>
      <c r="AI89" s="297" t="e">
        <v>#DIV/0!</v>
      </c>
      <c r="AJ89" s="363" t="n"/>
    </row>
    <row r="90" ht="15.5" customHeight="1" s="139">
      <c r="A90" s="268" t="inlineStr">
        <is>
          <t>대동</t>
        </is>
      </c>
      <c r="B90" s="287" t="inlineStr">
        <is>
          <t>상</t>
        </is>
      </c>
      <c r="C90" s="316" t="inlineStr">
        <is>
          <t>상</t>
        </is>
      </c>
      <c r="D90" s="328" t="inlineStr">
        <is>
          <t>이스트시티1단지</t>
        </is>
      </c>
      <c r="E90" s="270" t="n">
        <v>30</v>
      </c>
      <c r="F90" s="270" t="n">
        <v>4.2</v>
      </c>
      <c r="G90" s="270" t="n">
        <v>2.8</v>
      </c>
      <c r="H90" s="289" t="n">
        <v>2018.11</v>
      </c>
      <c r="I90" s="289" t="n">
        <v>1345</v>
      </c>
      <c r="J90" s="272" t="n">
        <v>8.8900000000001</v>
      </c>
      <c r="K90" s="289" t="inlineStr">
        <is>
          <t>100B, 101A</t>
        </is>
      </c>
      <c r="L90" s="289" t="n">
        <v>74</v>
      </c>
      <c r="M90" s="289" t="n">
        <v>30</v>
      </c>
      <c r="N90" s="413" t="n">
        <v>42000</v>
      </c>
      <c r="O90" s="414" t="n">
        <v>28000</v>
      </c>
      <c r="P90" s="408" t="n">
        <v>14000</v>
      </c>
      <c r="Q90" s="277" t="n">
        <v>0.6666666666666666</v>
      </c>
      <c r="R90" s="414" t="n">
        <v>59800</v>
      </c>
      <c r="S90" s="415" t="n">
        <v>40000</v>
      </c>
      <c r="T90" s="293" t="inlineStr">
        <is>
          <t>계단식</t>
        </is>
      </c>
      <c r="U90" s="289" t="n">
        <v>3</v>
      </c>
      <c r="V90" s="289" t="n">
        <v>2</v>
      </c>
      <c r="W90" s="289" t="n">
        <v>336</v>
      </c>
      <c r="X90" s="336" t="n"/>
      <c r="Y90" s="331" t="n"/>
      <c r="Z90" s="280" t="n">
        <v>30</v>
      </c>
      <c r="AA90" s="410" t="n"/>
      <c r="AB90" s="410" t="n"/>
      <c r="AC90" s="282" t="e">
        <v>#DIV/0!</v>
      </c>
      <c r="AD90" s="283" t="n">
        <v>0</v>
      </c>
      <c r="AE90" s="317" t="n"/>
      <c r="AF90" s="416" t="n"/>
      <c r="AG90" s="417" t="n">
        <v>0</v>
      </c>
      <c r="AH90" s="285" t="e">
        <v>#DIV/0!</v>
      </c>
      <c r="AI90" s="297" t="e">
        <v>#DIV/0!</v>
      </c>
      <c r="AJ90" s="363" t="n"/>
    </row>
    <row r="91" ht="16" customHeight="1" s="139" thickBot="1">
      <c r="A91" s="268" t="inlineStr">
        <is>
          <t>대동</t>
        </is>
      </c>
      <c r="B91" s="287" t="inlineStr">
        <is>
          <t>상</t>
        </is>
      </c>
      <c r="C91" s="316" t="inlineStr">
        <is>
          <t>상</t>
        </is>
      </c>
      <c r="D91" s="328" t="inlineStr">
        <is>
          <t>이스트시티1단지</t>
        </is>
      </c>
      <c r="E91" s="270" t="n">
        <v>26</v>
      </c>
      <c r="F91" s="270" t="n">
        <v>3.7</v>
      </c>
      <c r="G91" s="270" t="n">
        <v>2.6</v>
      </c>
      <c r="H91" s="303" t="n">
        <v>2018.11</v>
      </c>
      <c r="I91" s="303" t="n">
        <v>1345</v>
      </c>
      <c r="J91" s="272" t="n">
        <v>8.8900000000001</v>
      </c>
      <c r="K91" s="303" t="inlineStr">
        <is>
          <t>86A</t>
        </is>
      </c>
      <c r="L91" s="303" t="n">
        <v>59</v>
      </c>
      <c r="M91" s="303" t="n">
        <v>26</v>
      </c>
      <c r="N91" s="463" t="n">
        <v>37000</v>
      </c>
      <c r="O91" s="464" t="n">
        <v>26000</v>
      </c>
      <c r="P91" s="408" t="n">
        <v>11000</v>
      </c>
      <c r="Q91" s="277" t="n">
        <v>0.7027027027027027</v>
      </c>
      <c r="R91" s="430" t="n">
        <v>50000</v>
      </c>
      <c r="S91" s="431" t="n">
        <v>33000</v>
      </c>
      <c r="T91" s="325" t="inlineStr">
        <is>
          <t>계단식</t>
        </is>
      </c>
      <c r="U91" s="303" t="n">
        <v>3</v>
      </c>
      <c r="V91" s="303" t="n">
        <v>2</v>
      </c>
      <c r="W91" s="303" t="n">
        <v>232</v>
      </c>
      <c r="X91" s="336" t="n"/>
      <c r="Y91" s="331" t="n"/>
      <c r="Z91" s="280" t="n">
        <v>26</v>
      </c>
      <c r="AA91" s="410" t="n"/>
      <c r="AB91" s="410" t="n"/>
      <c r="AC91" s="282" t="e">
        <v>#DIV/0!</v>
      </c>
      <c r="AD91" s="283" t="n">
        <v>0</v>
      </c>
      <c r="AE91" s="317" t="n"/>
      <c r="AF91" s="416" t="n"/>
      <c r="AG91" s="417" t="n">
        <v>0</v>
      </c>
      <c r="AH91" s="285" t="e">
        <v>#DIV/0!</v>
      </c>
      <c r="AI91" s="297" t="e">
        <v>#DIV/0!</v>
      </c>
      <c r="AJ91" s="363" t="n"/>
    </row>
    <row r="92" ht="31" customHeight="1" s="139">
      <c r="A92" s="48" t="inlineStr">
        <is>
          <t>대성동</t>
        </is>
      </c>
      <c r="B92" s="172" t="inlineStr">
        <is>
          <t>중</t>
        </is>
      </c>
      <c r="C92" s="172" t="inlineStr">
        <is>
          <t>상</t>
        </is>
      </c>
      <c r="D92" s="329" t="inlineStr">
        <is>
          <t>은어송하늘채리버뷰</t>
        </is>
      </c>
      <c r="E92" s="34" t="n">
        <v>33</v>
      </c>
      <c r="F92" s="34" t="n">
        <v>4.7</v>
      </c>
      <c r="G92" s="34" t="n">
        <v>3.5</v>
      </c>
      <c r="H92" s="40" t="n">
        <v>2024.07</v>
      </c>
      <c r="I92" s="40" t="n">
        <v>934</v>
      </c>
      <c r="J92" s="35" t="n">
        <v>2.930000000000064</v>
      </c>
      <c r="K92" s="40" t="inlineStr">
        <is>
          <t>109A, 109AT, 110B, 110BT, 111C</t>
        </is>
      </c>
      <c r="L92" s="40" t="n">
        <v>84</v>
      </c>
      <c r="M92" s="40" t="n">
        <v>33</v>
      </c>
      <c r="N92" s="423" t="n">
        <v>47000</v>
      </c>
      <c r="O92" s="424" t="n">
        <v>35000</v>
      </c>
      <c r="P92" s="420" t="n">
        <v>12000</v>
      </c>
      <c r="Q92" s="183" t="n">
        <v>0.7446808510638298</v>
      </c>
      <c r="R92" s="424" t="n">
        <v>45000</v>
      </c>
      <c r="S92" s="425" t="n">
        <v>42500</v>
      </c>
      <c r="T92" s="58" t="inlineStr">
        <is>
          <t>계단식</t>
        </is>
      </c>
      <c r="U92" s="40" t="n">
        <v>3</v>
      </c>
      <c r="V92" s="40" t="n">
        <v>2</v>
      </c>
      <c r="W92" s="40" t="n">
        <v>782</v>
      </c>
      <c r="X92" s="332" t="n"/>
      <c r="Y92" s="332" t="n"/>
      <c r="Z92" s="185" t="n">
        <v>33</v>
      </c>
      <c r="AA92" s="422" t="n"/>
      <c r="AB92" s="422" t="n"/>
      <c r="AC92" s="187" t="e">
        <v>#DIV/0!</v>
      </c>
      <c r="AD92" s="188" t="n">
        <v>0</v>
      </c>
      <c r="AE92" s="33" t="n"/>
      <c r="AF92" s="341" t="n"/>
      <c r="AG92" s="350" t="n"/>
      <c r="AH92" s="354" t="n"/>
      <c r="AI92" s="196" t="n"/>
      <c r="AJ92" s="363" t="n"/>
      <c r="AS92" s="339" t="n"/>
    </row>
    <row r="93" ht="31" customHeight="1" s="139">
      <c r="A93" s="48" t="inlineStr">
        <is>
          <t>대성동</t>
        </is>
      </c>
      <c r="B93" s="65" t="inlineStr">
        <is>
          <t>중</t>
        </is>
      </c>
      <c r="C93" s="178" t="inlineStr">
        <is>
          <t>상</t>
        </is>
      </c>
      <c r="D93" s="329" t="inlineStr">
        <is>
          <t>은어송하늘채리버뷰</t>
        </is>
      </c>
      <c r="E93" s="34" t="n">
        <v>30</v>
      </c>
      <c r="F93" s="34" t="n">
        <v>4.3</v>
      </c>
      <c r="G93" s="34" t="n">
        <v>2.4</v>
      </c>
      <c r="H93" s="41" t="n">
        <v>2024.07</v>
      </c>
      <c r="I93" s="41" t="n">
        <v>934</v>
      </c>
      <c r="J93" s="35" t="n">
        <v>2.930000000000064</v>
      </c>
      <c r="K93" s="41" t="inlineStr">
        <is>
          <t>99A</t>
        </is>
      </c>
      <c r="L93" s="41" t="n">
        <v>76</v>
      </c>
      <c r="M93" s="41" t="n">
        <v>30</v>
      </c>
      <c r="N93" s="426" t="n">
        <v>43000</v>
      </c>
      <c r="O93" s="427" t="n">
        <v>24000</v>
      </c>
      <c r="P93" s="420" t="n">
        <v>19000</v>
      </c>
      <c r="Q93" s="183" t="n">
        <v>0.5581395348837209</v>
      </c>
      <c r="R93" s="427" t="n">
        <v>40300</v>
      </c>
      <c r="S93" s="428" t="n">
        <v>39720</v>
      </c>
      <c r="T93" s="59" t="inlineStr">
        <is>
          <t>계단식</t>
        </is>
      </c>
      <c r="U93" s="41" t="n">
        <v>3</v>
      </c>
      <c r="V93" s="41" t="n">
        <v>2</v>
      </c>
      <c r="W93" s="41" t="n">
        <v>30</v>
      </c>
      <c r="X93" s="332" t="n"/>
      <c r="Y93" s="332" t="n"/>
      <c r="Z93" s="185" t="n">
        <v>30</v>
      </c>
      <c r="AA93" s="422" t="n"/>
      <c r="AB93" s="422" t="n"/>
      <c r="AC93" s="187" t="e">
        <v>#DIV/0!</v>
      </c>
      <c r="AD93" s="188" t="n">
        <v>0</v>
      </c>
      <c r="AE93" s="33" t="n"/>
      <c r="AF93" s="341" t="n"/>
      <c r="AG93" s="350" t="n"/>
      <c r="AH93" s="354" t="n"/>
      <c r="AI93" s="196" t="n"/>
      <c r="AJ93" s="363" t="n"/>
      <c r="AS93" s="350" t="inlineStr">
        <is>
          <t>[공급 영향 심화 버전]</t>
        </is>
      </c>
    </row>
    <row r="94" ht="16" customHeight="1" s="139" thickBot="1">
      <c r="A94" s="48" t="inlineStr">
        <is>
          <t>대성동</t>
        </is>
      </c>
      <c r="B94" s="65" t="inlineStr">
        <is>
          <t>중</t>
        </is>
      </c>
      <c r="C94" s="178" t="inlineStr">
        <is>
          <t>상</t>
        </is>
      </c>
      <c r="D94" s="329" t="inlineStr">
        <is>
          <t>은어송하늘채리버뷰</t>
        </is>
      </c>
      <c r="E94" s="34" t="n">
        <v>24</v>
      </c>
      <c r="F94" s="34" t="n">
        <v>3.57</v>
      </c>
      <c r="G94" s="34" t="n">
        <v>1.5</v>
      </c>
      <c r="H94" s="42" t="n">
        <v>2024.07</v>
      </c>
      <c r="I94" s="42" t="n">
        <v>934</v>
      </c>
      <c r="J94" s="35" t="n">
        <v>2.930000000000064</v>
      </c>
      <c r="K94" s="42" t="inlineStr">
        <is>
          <t>78A</t>
        </is>
      </c>
      <c r="L94" s="42" t="n">
        <v>59</v>
      </c>
      <c r="M94" s="42" t="n">
        <v>24</v>
      </c>
      <c r="N94" s="418" t="n">
        <v>35700</v>
      </c>
      <c r="O94" s="419" t="n">
        <v>15000</v>
      </c>
      <c r="P94" s="420" t="n">
        <v>20700</v>
      </c>
      <c r="Q94" s="183" t="n">
        <v>0.4201680672268908</v>
      </c>
      <c r="R94" s="419" t="n">
        <v>32000</v>
      </c>
      <c r="S94" s="421" t="n">
        <v>32000</v>
      </c>
      <c r="T94" s="60" t="inlineStr">
        <is>
          <t>계단식</t>
        </is>
      </c>
      <c r="U94" s="42" t="n">
        <v>3</v>
      </c>
      <c r="V94" s="42" t="n">
        <v>2</v>
      </c>
      <c r="W94" s="42" t="n">
        <v>122</v>
      </c>
      <c r="X94" s="332" t="n"/>
      <c r="Y94" s="332" t="n"/>
      <c r="Z94" s="185" t="n">
        <v>24</v>
      </c>
      <c r="AA94" s="422" t="n"/>
      <c r="AB94" s="422" t="n"/>
      <c r="AC94" s="187" t="e">
        <v>#DIV/0!</v>
      </c>
      <c r="AD94" s="188" t="n">
        <v>0</v>
      </c>
      <c r="AE94" s="33" t="n"/>
      <c r="AF94" s="341" t="n"/>
      <c r="AG94" s="350" t="n"/>
      <c r="AH94" s="354" t="n"/>
      <c r="AI94" s="196" t="n"/>
      <c r="AJ94" s="363" t="n"/>
    </row>
    <row r="95" ht="46.5" customHeight="1" s="139">
      <c r="A95" s="268" t="inlineStr">
        <is>
          <t>대성동</t>
        </is>
      </c>
      <c r="B95" s="269" t="inlineStr">
        <is>
          <t>중</t>
        </is>
      </c>
      <c r="C95" s="269" t="inlineStr">
        <is>
          <t>상</t>
        </is>
      </c>
      <c r="D95" s="328" t="inlineStr">
        <is>
          <t>은어송코오롱하늘채2차</t>
        </is>
      </c>
      <c r="E95" s="270" t="n">
        <v>35</v>
      </c>
      <c r="F95" s="270" t="n">
        <v>3.9</v>
      </c>
      <c r="G95" s="270" t="n">
        <v>2.8</v>
      </c>
      <c r="H95" s="273" t="n">
        <v>2016.09</v>
      </c>
      <c r="I95" s="273" t="n">
        <v>408</v>
      </c>
      <c r="J95" s="272" t="n">
        <v>10.91000000000008</v>
      </c>
      <c r="K95" s="273" t="inlineStr">
        <is>
          <t>115B, 117A</t>
        </is>
      </c>
      <c r="L95" s="273" t="n">
        <v>84</v>
      </c>
      <c r="M95" s="273" t="n">
        <v>35</v>
      </c>
      <c r="N95" s="406" t="n">
        <v>35500</v>
      </c>
      <c r="O95" s="407" t="n">
        <v>28000</v>
      </c>
      <c r="P95" s="408" t="n">
        <v>11000</v>
      </c>
      <c r="Q95" s="277" t="n">
        <v>0.717948717948718</v>
      </c>
      <c r="R95" s="407" t="n">
        <v>44000</v>
      </c>
      <c r="S95" s="409" t="n">
        <v>31000</v>
      </c>
      <c r="T95" s="279" t="inlineStr">
        <is>
          <t>계단식</t>
        </is>
      </c>
      <c r="U95" s="273" t="n">
        <v>3</v>
      </c>
      <c r="V95" s="273" t="n">
        <v>2</v>
      </c>
      <c r="W95" s="273" t="n">
        <v>234</v>
      </c>
      <c r="X95" s="331" t="n">
        <v>2020.07</v>
      </c>
      <c r="Y95" s="331" t="n">
        <v>0.03</v>
      </c>
      <c r="Z95" s="280" t="n">
        <v>35</v>
      </c>
      <c r="AA95" s="410" t="n">
        <v>31454</v>
      </c>
      <c r="AB95" s="410" t="n">
        <v>27000</v>
      </c>
      <c r="AC95" s="282" t="e">
        <v>#DIV/0!</v>
      </c>
      <c r="AD95" s="283" t="n">
        <v>0</v>
      </c>
      <c r="AE95" s="317" t="n"/>
      <c r="AF95" s="347" t="n"/>
      <c r="AG95" s="353" t="n"/>
      <c r="AH95" s="355" t="n"/>
      <c r="AI95" s="297" t="n"/>
      <c r="AJ95" s="363" t="n"/>
    </row>
    <row r="96" ht="46.5" customHeight="1" s="139">
      <c r="A96" s="268" t="inlineStr">
        <is>
          <t>대성동</t>
        </is>
      </c>
      <c r="B96" s="287" t="inlineStr">
        <is>
          <t>중</t>
        </is>
      </c>
      <c r="C96" s="316" t="inlineStr">
        <is>
          <t>상</t>
        </is>
      </c>
      <c r="D96" s="328" t="inlineStr">
        <is>
          <t>은어송코오롱하늘채2차</t>
        </is>
      </c>
      <c r="E96" s="270" t="n">
        <v>30</v>
      </c>
      <c r="F96" s="270" t="n">
        <v>3</v>
      </c>
      <c r="G96" s="270" t="n">
        <v>2.2</v>
      </c>
      <c r="H96" s="289" t="n">
        <v>2016.09</v>
      </c>
      <c r="I96" s="289" t="n">
        <v>408</v>
      </c>
      <c r="J96" s="272" t="n">
        <v>10.91000000000008</v>
      </c>
      <c r="K96" s="289" t="inlineStr">
        <is>
          <t>98B, 99A</t>
        </is>
      </c>
      <c r="L96" s="289" t="n">
        <v>70</v>
      </c>
      <c r="M96" s="289" t="n">
        <v>30</v>
      </c>
      <c r="N96" s="413" t="n">
        <v>30000</v>
      </c>
      <c r="O96" s="414" t="n">
        <v>22000</v>
      </c>
      <c r="P96" s="408" t="n">
        <v>8000</v>
      </c>
      <c r="Q96" s="277" t="n">
        <v>0.7333333333333333</v>
      </c>
      <c r="R96" s="414" t="n">
        <v>36500</v>
      </c>
      <c r="S96" s="415" t="n">
        <v>32000</v>
      </c>
      <c r="T96" s="293" t="inlineStr">
        <is>
          <t>계단식</t>
        </is>
      </c>
      <c r="U96" s="289" t="n">
        <v>3</v>
      </c>
      <c r="V96" s="289" t="n">
        <v>2</v>
      </c>
      <c r="W96" s="289" t="n">
        <v>70</v>
      </c>
      <c r="X96" s="331" t="n"/>
      <c r="Y96" s="331" t="n"/>
      <c r="Z96" s="280" t="n">
        <v>30</v>
      </c>
      <c r="AA96" s="410" t="n"/>
      <c r="AB96" s="410" t="n"/>
      <c r="AC96" s="282" t="e">
        <v>#DIV/0!</v>
      </c>
      <c r="AD96" s="283" t="n">
        <v>0</v>
      </c>
      <c r="AE96" s="317" t="n"/>
      <c r="AF96" s="347" t="n"/>
      <c r="AG96" s="353" t="n"/>
      <c r="AH96" s="355" t="n"/>
      <c r="AI96" s="297" t="n"/>
      <c r="AJ96" s="363" t="n"/>
    </row>
    <row r="97" ht="15.5" customHeight="1" s="139">
      <c r="A97" s="268" t="inlineStr">
        <is>
          <t>대성동</t>
        </is>
      </c>
      <c r="B97" s="287" t="inlineStr">
        <is>
          <t>중</t>
        </is>
      </c>
      <c r="C97" s="316" t="inlineStr">
        <is>
          <t>상</t>
        </is>
      </c>
      <c r="D97" s="328" t="inlineStr">
        <is>
          <t>은어송코오롱하늘채2차</t>
        </is>
      </c>
      <c r="E97" s="270" t="n">
        <v>27</v>
      </c>
      <c r="F97" s="270" t="n">
        <v>2.7</v>
      </c>
      <c r="G97" s="270" t="n">
        <v>2</v>
      </c>
      <c r="H97" s="289" t="n">
        <v>2016.09</v>
      </c>
      <c r="I97" s="289" t="n">
        <v>408</v>
      </c>
      <c r="J97" s="272" t="n">
        <v>10.91000000000008</v>
      </c>
      <c r="K97" s="289" t="n">
        <v>90</v>
      </c>
      <c r="L97" s="289" t="n">
        <v>59</v>
      </c>
      <c r="M97" s="289" t="n">
        <v>27</v>
      </c>
      <c r="N97" s="413" t="n">
        <v>27000</v>
      </c>
      <c r="O97" s="414" t="n">
        <v>20000</v>
      </c>
      <c r="P97" s="408" t="n">
        <v>7000</v>
      </c>
      <c r="Q97" s="277" t="n">
        <v>0.7407407407407407</v>
      </c>
      <c r="R97" s="414" t="n">
        <v>31000</v>
      </c>
      <c r="S97" s="415" t="n">
        <v>28500</v>
      </c>
      <c r="T97" s="293" t="inlineStr">
        <is>
          <t>계단식</t>
        </is>
      </c>
      <c r="U97" s="289" t="n">
        <v>3</v>
      </c>
      <c r="V97" s="289" t="n">
        <v>2</v>
      </c>
      <c r="W97" s="289" t="n">
        <v>68</v>
      </c>
      <c r="X97" s="331" t="n">
        <v>2020.07</v>
      </c>
      <c r="Y97" s="331" t="n">
        <v>0.09</v>
      </c>
      <c r="Z97" s="280" t="n">
        <v>27</v>
      </c>
      <c r="AA97" s="410" t="n">
        <v>24229</v>
      </c>
      <c r="AB97" s="410" t="n">
        <v>21500</v>
      </c>
      <c r="AC97" s="282" t="e">
        <v>#DIV/0!</v>
      </c>
      <c r="AD97" s="283" t="n">
        <v>0</v>
      </c>
      <c r="AE97" s="317" t="n"/>
      <c r="AF97" s="347" t="n"/>
      <c r="AG97" s="353" t="n"/>
      <c r="AH97" s="296" t="n"/>
      <c r="AI97" s="297" t="n"/>
      <c r="AJ97" s="363" t="n"/>
    </row>
    <row r="98" ht="15.5" customHeight="1" s="139">
      <c r="A98" s="268" t="inlineStr">
        <is>
          <t>대성동</t>
        </is>
      </c>
      <c r="B98" s="322" t="inlineStr">
        <is>
          <t>중</t>
        </is>
      </c>
      <c r="C98" s="316" t="inlineStr">
        <is>
          <t>상</t>
        </is>
      </c>
      <c r="D98" s="328" t="inlineStr">
        <is>
          <t>은어송코오롱하늘채2차</t>
        </is>
      </c>
      <c r="E98" s="270" t="n">
        <v>18</v>
      </c>
      <c r="F98" s="270" t="n">
        <v>1.93</v>
      </c>
      <c r="G98" s="270" t="n">
        <v>1</v>
      </c>
      <c r="H98" s="289" t="n">
        <v>2016.09</v>
      </c>
      <c r="I98" s="289" t="n">
        <v>408</v>
      </c>
      <c r="J98" s="272" t="n">
        <v>10.91000000000008</v>
      </c>
      <c r="K98" s="289" t="n">
        <v>61</v>
      </c>
      <c r="L98" s="289" t="n">
        <v>38</v>
      </c>
      <c r="M98" s="289" t="n">
        <v>18</v>
      </c>
      <c r="N98" s="413" t="n">
        <v>19300</v>
      </c>
      <c r="O98" s="414" t="n">
        <v>10000</v>
      </c>
      <c r="P98" s="408" t="n">
        <v>9300</v>
      </c>
      <c r="Q98" s="277" t="n">
        <v>0.5181347150259067</v>
      </c>
      <c r="R98" s="414" t="n">
        <v>18000</v>
      </c>
      <c r="S98" s="415" t="n">
        <v>16500</v>
      </c>
      <c r="T98" s="293" t="inlineStr">
        <is>
          <t>계단식</t>
        </is>
      </c>
      <c r="U98" s="289" t="n">
        <v>3</v>
      </c>
      <c r="V98" s="289" t="n">
        <v>2</v>
      </c>
      <c r="W98" s="289" t="n">
        <v>36</v>
      </c>
      <c r="X98" s="331" t="n"/>
      <c r="Y98" s="331" t="n"/>
      <c r="Z98" s="280" t="n">
        <v>18</v>
      </c>
      <c r="AA98" s="410" t="n"/>
      <c r="AB98" s="410" t="n"/>
      <c r="AC98" s="282" t="e">
        <v>#DIV/0!</v>
      </c>
      <c r="AD98" s="283" t="n">
        <v>0</v>
      </c>
      <c r="AE98" s="317" t="n"/>
      <c r="AF98" s="347" t="n"/>
      <c r="AG98" s="353" t="n"/>
      <c r="AH98" s="296" t="n"/>
      <c r="AI98" s="297" t="n"/>
      <c r="AJ98" s="363" t="n"/>
    </row>
    <row r="99" ht="31.5" customHeight="1" s="139" thickBot="1">
      <c r="A99" s="48" t="inlineStr">
        <is>
          <t>가오동</t>
        </is>
      </c>
      <c r="B99" s="65" t="inlineStr">
        <is>
          <t>중</t>
        </is>
      </c>
      <c r="C99" s="66" t="inlineStr">
        <is>
          <t>중</t>
        </is>
      </c>
      <c r="D99" s="329" t="inlineStr">
        <is>
          <t>은어송6단지풍림아이원</t>
        </is>
      </c>
      <c r="E99" s="34" t="n">
        <v>35</v>
      </c>
      <c r="F99" s="34" t="n">
        <v>2.9</v>
      </c>
      <c r="G99" s="34" t="n">
        <v>2.5</v>
      </c>
      <c r="H99" s="42" t="n">
        <v>2007.1</v>
      </c>
      <c r="I99" s="42" t="n">
        <v>451</v>
      </c>
      <c r="J99" s="35" t="n">
        <v>19.90000000000009</v>
      </c>
      <c r="K99" s="42" t="inlineStr">
        <is>
          <t>114B, 114C, 115A</t>
        </is>
      </c>
      <c r="L99" s="42" t="n">
        <v>84</v>
      </c>
      <c r="M99" s="42" t="n">
        <v>35</v>
      </c>
      <c r="N99" s="418" t="n">
        <v>29000</v>
      </c>
      <c r="O99" s="419" t="n">
        <v>25000</v>
      </c>
      <c r="P99" s="420" t="n">
        <v>4000</v>
      </c>
      <c r="Q99" s="183" t="n">
        <v>0.8620689655172413</v>
      </c>
      <c r="R99" s="419" t="n">
        <v>39500</v>
      </c>
      <c r="S99" s="421" t="n">
        <v>28000</v>
      </c>
      <c r="T99" s="60" t="inlineStr">
        <is>
          <t>계단식</t>
        </is>
      </c>
      <c r="U99" s="42" t="n">
        <v>3</v>
      </c>
      <c r="V99" s="42" t="n">
        <v>2</v>
      </c>
      <c r="W99" s="42" t="n">
        <v>451</v>
      </c>
      <c r="X99" s="337" t="n">
        <v>2021.02</v>
      </c>
      <c r="Y99" s="332" t="n">
        <v>0.04</v>
      </c>
      <c r="Z99" s="185" t="n">
        <v>35</v>
      </c>
      <c r="AA99" s="422" t="n">
        <v>34019</v>
      </c>
      <c r="AB99" s="422" t="n">
        <v>28889</v>
      </c>
      <c r="AC99" s="187" t="e">
        <v>#DIV/0!</v>
      </c>
      <c r="AD99" s="188" t="n">
        <v>0</v>
      </c>
      <c r="AE99" s="33" t="n"/>
      <c r="AF99" s="465" t="n"/>
      <c r="AG99" s="466" t="n">
        <v>0</v>
      </c>
      <c r="AH99" s="190" t="e">
        <v>#DIV/0!</v>
      </c>
      <c r="AI99" s="196" t="e">
        <v>#DIV/0!</v>
      </c>
      <c r="AJ99" s="363" t="n"/>
    </row>
    <row r="100" ht="31.5" customHeight="1" s="139" thickBot="1">
      <c r="A100" s="268" t="inlineStr">
        <is>
          <t>가오동</t>
        </is>
      </c>
      <c r="B100" s="322" t="inlineStr">
        <is>
          <t>중</t>
        </is>
      </c>
      <c r="C100" s="269" t="inlineStr">
        <is>
          <t>하</t>
        </is>
      </c>
      <c r="D100" s="328" t="inlineStr">
        <is>
          <t>은어송5단지우미린</t>
        </is>
      </c>
      <c r="E100" s="270" t="n">
        <v>27</v>
      </c>
      <c r="F100" s="270" t="n">
        <v>2.9</v>
      </c>
      <c r="G100" s="270" t="n">
        <v>2.1</v>
      </c>
      <c r="H100" s="273" t="n">
        <v>2007.01</v>
      </c>
      <c r="I100" s="273" t="n">
        <v>653</v>
      </c>
      <c r="J100" s="272" t="n">
        <v>19.99000000000001</v>
      </c>
      <c r="K100" s="273" t="inlineStr">
        <is>
          <t>89A, 89B, 95</t>
        </is>
      </c>
      <c r="L100" s="273" t="n">
        <v>59</v>
      </c>
      <c r="M100" s="273" t="n">
        <v>27</v>
      </c>
      <c r="N100" s="406" t="n">
        <v>29000</v>
      </c>
      <c r="O100" s="407" t="n">
        <v>21000</v>
      </c>
      <c r="P100" s="408" t="n">
        <v>8000</v>
      </c>
      <c r="Q100" s="277" t="n">
        <v>0.7241379310344828</v>
      </c>
      <c r="R100" s="407" t="n">
        <v>31500</v>
      </c>
      <c r="S100" s="409" t="n">
        <v>24500</v>
      </c>
      <c r="T100" s="279" t="inlineStr">
        <is>
          <t>계단식</t>
        </is>
      </c>
      <c r="U100" s="273" t="n">
        <v>3</v>
      </c>
      <c r="V100" s="273" t="n">
        <v>2</v>
      </c>
      <c r="W100" s="273" t="n">
        <v>653</v>
      </c>
      <c r="X100" s="336" t="n">
        <v>2020.01</v>
      </c>
      <c r="Y100" s="331" t="n">
        <v>0.03</v>
      </c>
      <c r="Z100" s="280" t="n">
        <v>27</v>
      </c>
      <c r="AA100" s="410" t="n">
        <v>23825</v>
      </c>
      <c r="AB100" s="410" t="n">
        <v>21000</v>
      </c>
      <c r="AC100" s="282" t="e">
        <v>#DIV/0!</v>
      </c>
      <c r="AD100" s="283" t="n">
        <v>0</v>
      </c>
      <c r="AE100" s="317" t="n"/>
      <c r="AF100" s="416" t="n"/>
      <c r="AG100" s="417" t="n">
        <v>0</v>
      </c>
      <c r="AH100" s="285" t="e">
        <v>#DIV/0!</v>
      </c>
      <c r="AI100" s="297" t="e">
        <v>#DIV/0!</v>
      </c>
      <c r="AJ100" s="363" t="n"/>
      <c r="AK100" s="16" t="n"/>
    </row>
    <row r="101" ht="15.5" customHeight="1" s="139">
      <c r="A101" s="48" t="inlineStr">
        <is>
          <t>가오동</t>
        </is>
      </c>
      <c r="B101" s="65" t="inlineStr">
        <is>
          <t>중</t>
        </is>
      </c>
      <c r="C101" s="178" t="inlineStr">
        <is>
          <t>상</t>
        </is>
      </c>
      <c r="D101" s="329" t="inlineStr">
        <is>
          <t>은어송3단지아이파크</t>
        </is>
      </c>
      <c r="E101" s="34" t="n">
        <v>36</v>
      </c>
      <c r="F101" s="34" t="n">
        <v>3.1</v>
      </c>
      <c r="G101" s="34" t="n">
        <v>2.5</v>
      </c>
      <c r="H101" s="54" t="n">
        <v>2006.07</v>
      </c>
      <c r="I101" s="54" t="n">
        <v>696</v>
      </c>
      <c r="J101" s="35" t="n">
        <v>20.93000000000006</v>
      </c>
      <c r="K101" s="41" t="inlineStr">
        <is>
          <t>119A, 121B</t>
        </is>
      </c>
      <c r="L101" s="41" t="n">
        <v>84</v>
      </c>
      <c r="M101" s="41" t="n">
        <v>36</v>
      </c>
      <c r="N101" s="426" t="n">
        <v>31000</v>
      </c>
      <c r="O101" s="427" t="n">
        <v>25000</v>
      </c>
      <c r="P101" s="420" t="n">
        <v>6000</v>
      </c>
      <c r="Q101" s="183" t="n">
        <v>0.8064516129032258</v>
      </c>
      <c r="R101" s="427" t="n">
        <v>46000</v>
      </c>
      <c r="S101" s="425" t="n">
        <v>35000</v>
      </c>
      <c r="T101" s="59" t="inlineStr">
        <is>
          <t>계단식</t>
        </is>
      </c>
      <c r="U101" s="41" t="n">
        <v>3</v>
      </c>
      <c r="V101" s="41" t="n">
        <v>2</v>
      </c>
      <c r="W101" s="41" t="n">
        <v>414</v>
      </c>
      <c r="X101" s="337" t="n">
        <v>2020.01</v>
      </c>
      <c r="Y101" s="332" t="n">
        <v>0.04</v>
      </c>
      <c r="Z101" s="185" t="n">
        <v>36</v>
      </c>
      <c r="AA101" s="422" t="n">
        <v>30900</v>
      </c>
      <c r="AB101" s="422" t="n">
        <v>26000</v>
      </c>
      <c r="AC101" s="187" t="e">
        <v>#DIV/0!</v>
      </c>
      <c r="AD101" s="188" t="n">
        <v>0</v>
      </c>
      <c r="AE101" s="33" t="n"/>
      <c r="AF101" s="465" t="n"/>
      <c r="AG101" s="466" t="n">
        <v>0</v>
      </c>
      <c r="AH101" s="190" t="e">
        <v>#DIV/0!</v>
      </c>
      <c r="AI101" s="196" t="e">
        <v>#DIV/0!</v>
      </c>
      <c r="AJ101" s="363" t="n"/>
      <c r="AK101" s="16" t="n"/>
    </row>
    <row r="102" ht="15.5" customHeight="1" s="139">
      <c r="A102" s="48" t="inlineStr">
        <is>
          <t>가오동</t>
        </is>
      </c>
      <c r="B102" s="191" t="inlineStr">
        <is>
          <t>중</t>
        </is>
      </c>
      <c r="C102" s="178" t="inlineStr">
        <is>
          <t>상</t>
        </is>
      </c>
      <c r="D102" s="329" t="inlineStr">
        <is>
          <t>은어송3단지아이파크</t>
        </is>
      </c>
      <c r="E102" s="34" t="n">
        <v>42</v>
      </c>
      <c r="F102" s="34" t="n">
        <v>0</v>
      </c>
      <c r="G102" s="34" t="n">
        <v>0</v>
      </c>
      <c r="H102" s="54" t="n">
        <v>2006.07</v>
      </c>
      <c r="I102" s="54" t="n">
        <v>696</v>
      </c>
      <c r="J102" s="35" t="n">
        <v>20.93000000000006</v>
      </c>
      <c r="K102" s="41" t="inlineStr">
        <is>
          <t>140, 143</t>
        </is>
      </c>
      <c r="L102" s="41" t="n">
        <v>101</v>
      </c>
      <c r="M102" s="41" t="n">
        <v>42</v>
      </c>
      <c r="N102" s="426" t="n">
        <v>0</v>
      </c>
      <c r="O102" s="427" t="n">
        <v>0</v>
      </c>
      <c r="P102" s="420" t="n">
        <v>0</v>
      </c>
      <c r="Q102" s="183" t="e">
        <v>#DIV/0!</v>
      </c>
      <c r="R102" s="427" t="n">
        <v>0</v>
      </c>
      <c r="S102" s="428" t="n">
        <v>0</v>
      </c>
      <c r="T102" s="59" t="inlineStr">
        <is>
          <t>계단식</t>
        </is>
      </c>
      <c r="U102" s="41" t="n">
        <v>3</v>
      </c>
      <c r="V102" s="41" t="n">
        <v>2</v>
      </c>
      <c r="W102" s="41" t="n">
        <v>219</v>
      </c>
      <c r="X102" s="337" t="n">
        <v>2025.12</v>
      </c>
      <c r="Y102" s="332" t="n">
        <v>0.01</v>
      </c>
      <c r="Z102" s="185" t="n">
        <v>42</v>
      </c>
      <c r="AA102" s="422" t="n">
        <v>36250</v>
      </c>
      <c r="AB102" s="422" t="n">
        <v>29167</v>
      </c>
      <c r="AC102" s="187" t="e">
        <v>#DIV/0!</v>
      </c>
      <c r="AD102" s="188" t="n">
        <v>0</v>
      </c>
      <c r="AE102" s="33" t="n"/>
      <c r="AF102" s="465" t="n"/>
      <c r="AG102" s="466" t="n">
        <v>0</v>
      </c>
      <c r="AH102" s="190" t="e">
        <v>#DIV/0!</v>
      </c>
      <c r="AI102" s="196" t="e">
        <v>#DIV/0!</v>
      </c>
      <c r="AJ102" s="363" t="n"/>
      <c r="AK102" s="16" t="n"/>
    </row>
    <row r="103" ht="108.5" customHeight="1" s="139">
      <c r="A103" s="48" t="inlineStr">
        <is>
          <t>가오동</t>
        </is>
      </c>
      <c r="B103" s="191" t="inlineStr">
        <is>
          <t>중</t>
        </is>
      </c>
      <c r="C103" s="178" t="inlineStr">
        <is>
          <t>상</t>
        </is>
      </c>
      <c r="D103" s="329" t="inlineStr">
        <is>
          <t>은어송3단지아이파크</t>
        </is>
      </c>
      <c r="E103" s="34" t="n">
        <v>51</v>
      </c>
      <c r="F103" s="34" t="n">
        <v>0</v>
      </c>
      <c r="G103" s="34" t="n">
        <v>0</v>
      </c>
      <c r="H103" s="54" t="n">
        <v>2006.07</v>
      </c>
      <c r="I103" s="54" t="n">
        <v>696</v>
      </c>
      <c r="J103" s="35" t="n">
        <v>20.93000000000006</v>
      </c>
      <c r="K103" s="41" t="n">
        <v>169</v>
      </c>
      <c r="L103" s="41" t="n">
        <v>131</v>
      </c>
      <c r="M103" s="41" t="n">
        <v>51</v>
      </c>
      <c r="N103" s="426" t="n">
        <v>0</v>
      </c>
      <c r="O103" s="427" t="n">
        <v>0</v>
      </c>
      <c r="P103" s="420" t="n">
        <v>0</v>
      </c>
      <c r="Q103" s="183" t="e">
        <v>#DIV/0!</v>
      </c>
      <c r="R103" s="427" t="n">
        <v>0</v>
      </c>
      <c r="S103" s="428" t="n">
        <v>0</v>
      </c>
      <c r="T103" s="59" t="inlineStr">
        <is>
          <t>계단식</t>
        </is>
      </c>
      <c r="U103" s="41" t="n">
        <v>4</v>
      </c>
      <c r="V103" s="41" t="n">
        <v>2</v>
      </c>
      <c r="W103" s="41" t="n">
        <v>63</v>
      </c>
      <c r="X103" s="337" t="n"/>
      <c r="Y103" s="332" t="n"/>
      <c r="Z103" s="185" t="n">
        <v>51</v>
      </c>
      <c r="AA103" s="422" t="n"/>
      <c r="AB103" s="422" t="n"/>
      <c r="AC103" s="187" t="e">
        <v>#DIV/0!</v>
      </c>
      <c r="AD103" s="188" t="n">
        <v>0</v>
      </c>
      <c r="AE103" s="33" t="n"/>
      <c r="AF103" s="465" t="n"/>
      <c r="AG103" s="466" t="n">
        <v>0</v>
      </c>
      <c r="AH103" s="190" t="e">
        <v>#DIV/0!</v>
      </c>
      <c r="AI103" s="196" t="e">
        <v>#DIV/0!</v>
      </c>
      <c r="AJ103" s="363" t="n"/>
      <c r="AK103" s="16" t="n"/>
    </row>
    <row r="104" ht="15.5" customHeight="1" s="139">
      <c r="A104" s="268" t="inlineStr">
        <is>
          <t>대성동</t>
        </is>
      </c>
      <c r="B104" s="322" t="inlineStr">
        <is>
          <t>중</t>
        </is>
      </c>
      <c r="C104" s="321" t="inlineStr">
        <is>
          <t>중</t>
        </is>
      </c>
      <c r="D104" s="328" t="inlineStr">
        <is>
          <t>은어송2단지코오롱하늘채</t>
        </is>
      </c>
      <c r="E104" s="270" t="n">
        <v>36</v>
      </c>
      <c r="F104" s="270" t="n">
        <v>4.3</v>
      </c>
      <c r="G104" s="270" t="n">
        <v>2.8</v>
      </c>
      <c r="H104" s="289" t="n">
        <v>2007.02</v>
      </c>
      <c r="I104" s="289" t="n">
        <v>1241</v>
      </c>
      <c r="J104" s="272" t="n">
        <v>19.98000000000002</v>
      </c>
      <c r="K104" s="289" t="inlineStr">
        <is>
          <t>118C, 118A, 118B</t>
        </is>
      </c>
      <c r="L104" s="289" t="n">
        <v>84</v>
      </c>
      <c r="M104" s="289" t="n">
        <v>36</v>
      </c>
      <c r="N104" s="413" t="n">
        <v>43000</v>
      </c>
      <c r="O104" s="414" t="n">
        <v>28000</v>
      </c>
      <c r="P104" s="408" t="n">
        <v>15000</v>
      </c>
      <c r="Q104" s="277" t="n">
        <v>0.6511627906976745</v>
      </c>
      <c r="R104" s="414" t="n">
        <v>35000</v>
      </c>
      <c r="S104" s="415" t="n">
        <v>23000</v>
      </c>
      <c r="T104" s="293" t="inlineStr">
        <is>
          <t>계단식</t>
        </is>
      </c>
      <c r="U104" s="289" t="n">
        <v>3</v>
      </c>
      <c r="V104" s="289" t="n">
        <v>2</v>
      </c>
      <c r="W104" s="289" t="n">
        <v>701</v>
      </c>
      <c r="X104" s="331" t="n"/>
      <c r="Y104" s="331" t="n"/>
      <c r="Z104" s="280" t="n">
        <v>36</v>
      </c>
      <c r="AA104" s="410" t="n"/>
      <c r="AB104" s="410" t="n"/>
      <c r="AC104" s="282" t="e">
        <v>#DIV/0!</v>
      </c>
      <c r="AD104" s="283" t="n">
        <v>0</v>
      </c>
      <c r="AE104" s="317" t="n"/>
      <c r="AF104" s="347" t="n"/>
      <c r="AG104" s="353" t="n"/>
      <c r="AH104" s="355" t="n"/>
      <c r="AI104" s="297" t="n"/>
      <c r="AJ104" s="363" t="n"/>
    </row>
    <row r="105" ht="31.5" customHeight="1" s="139" thickBot="1">
      <c r="A105" s="268" t="inlineStr">
        <is>
          <t>대성동</t>
        </is>
      </c>
      <c r="B105" s="287" t="inlineStr">
        <is>
          <t>중</t>
        </is>
      </c>
      <c r="C105" s="316" t="inlineStr">
        <is>
          <t>중</t>
        </is>
      </c>
      <c r="D105" s="328" t="inlineStr">
        <is>
          <t>은어송2단지코오롱하늘채</t>
        </is>
      </c>
      <c r="E105" s="270" t="n">
        <v>41</v>
      </c>
      <c r="F105" s="270" t="n">
        <v>0</v>
      </c>
      <c r="G105" s="270" t="n">
        <v>0</v>
      </c>
      <c r="H105" s="308" t="n">
        <v>2007.02</v>
      </c>
      <c r="I105" s="308" t="n">
        <v>1241</v>
      </c>
      <c r="J105" s="272" t="n">
        <v>19.98000000000002</v>
      </c>
      <c r="K105" s="308" t="n">
        <v>135</v>
      </c>
      <c r="L105" s="308" t="n">
        <v>102</v>
      </c>
      <c r="M105" s="308" t="n">
        <v>41</v>
      </c>
      <c r="N105" s="440" t="n">
        <v>0</v>
      </c>
      <c r="O105" s="441" t="n">
        <v>0</v>
      </c>
      <c r="P105" s="408" t="n">
        <v>0</v>
      </c>
      <c r="Q105" s="277" t="e">
        <v>#DIV/0!</v>
      </c>
      <c r="R105" s="441" t="n">
        <v>0</v>
      </c>
      <c r="S105" s="442" t="n">
        <v>0</v>
      </c>
      <c r="T105" s="312" t="inlineStr">
        <is>
          <t>계단식</t>
        </is>
      </c>
      <c r="U105" s="308" t="n">
        <v>4</v>
      </c>
      <c r="V105" s="308" t="n">
        <v>2</v>
      </c>
      <c r="W105" s="308" t="n">
        <v>420</v>
      </c>
      <c r="X105" s="331" t="n">
        <v>2020.08</v>
      </c>
      <c r="Y105" s="331" t="n">
        <v>0.03</v>
      </c>
      <c r="Z105" s="280" t="n">
        <v>41</v>
      </c>
      <c r="AA105" s="410" t="n">
        <v>37113</v>
      </c>
      <c r="AB105" s="410" t="n">
        <v>29750</v>
      </c>
      <c r="AC105" s="282" t="e">
        <v>#DIV/0!</v>
      </c>
      <c r="AD105" s="283" t="n">
        <v>0</v>
      </c>
      <c r="AE105" s="317" t="n"/>
      <c r="AF105" s="347" t="n"/>
      <c r="AG105" s="353" t="n"/>
      <c r="AH105" s="355" t="n"/>
      <c r="AI105" s="297" t="n"/>
      <c r="AJ105" s="363" t="n"/>
    </row>
    <row r="106" ht="62" customHeight="1" s="139">
      <c r="A106" s="268" t="inlineStr">
        <is>
          <t>대성동</t>
        </is>
      </c>
      <c r="B106" s="287" t="inlineStr">
        <is>
          <t>중</t>
        </is>
      </c>
      <c r="C106" s="269" t="inlineStr">
        <is>
          <t>중</t>
        </is>
      </c>
      <c r="D106" s="328" t="inlineStr">
        <is>
          <t>은어송2단지코오롱하늘채</t>
        </is>
      </c>
      <c r="E106" s="270" t="n">
        <v>47</v>
      </c>
      <c r="F106" s="270" t="n">
        <v>0</v>
      </c>
      <c r="G106" s="270" t="n">
        <v>0</v>
      </c>
      <c r="H106" s="273" t="n">
        <v>2007.02</v>
      </c>
      <c r="I106" s="273" t="n">
        <v>1241</v>
      </c>
      <c r="J106" s="272" t="n">
        <v>19.98000000000002</v>
      </c>
      <c r="K106" s="273" t="n">
        <v>155</v>
      </c>
      <c r="L106" s="273" t="n">
        <v>121</v>
      </c>
      <c r="M106" s="273" t="n">
        <v>47</v>
      </c>
      <c r="N106" s="406" t="n">
        <v>0</v>
      </c>
      <c r="O106" s="407" t="n">
        <v>0</v>
      </c>
      <c r="P106" s="408" t="n">
        <v>0</v>
      </c>
      <c r="Q106" s="277" t="e">
        <v>#DIV/0!</v>
      </c>
      <c r="R106" s="407" t="n">
        <v>0</v>
      </c>
      <c r="S106" s="409" t="n">
        <v>0</v>
      </c>
      <c r="T106" s="279" t="inlineStr">
        <is>
          <t>계단식</t>
        </is>
      </c>
      <c r="U106" s="273" t="n">
        <v>4</v>
      </c>
      <c r="V106" s="273" t="n">
        <v>2</v>
      </c>
      <c r="W106" s="273" t="n">
        <v>120</v>
      </c>
      <c r="X106" s="331" t="n">
        <v>2021.09</v>
      </c>
      <c r="Y106" s="331" t="n">
        <v>0.04</v>
      </c>
      <c r="Z106" s="280" t="n">
        <v>47</v>
      </c>
      <c r="AA106" s="410" t="n">
        <v>49125</v>
      </c>
      <c r="AB106" s="410" t="n">
        <v>40000</v>
      </c>
      <c r="AC106" s="282" t="e">
        <v>#DIV/0!</v>
      </c>
      <c r="AD106" s="283" t="n">
        <v>0</v>
      </c>
      <c r="AE106" s="317" t="n"/>
      <c r="AF106" s="347" t="n"/>
      <c r="AG106" s="353" t="n"/>
      <c r="AH106" s="355" t="n"/>
      <c r="AI106" s="297" t="n"/>
      <c r="AJ106" s="363" t="n"/>
    </row>
    <row r="107" ht="15.5" customHeight="1" s="139">
      <c r="A107" s="48" t="inlineStr">
        <is>
          <t>가오동</t>
        </is>
      </c>
      <c r="B107" s="65" t="inlineStr">
        <is>
          <t>중</t>
        </is>
      </c>
      <c r="C107" s="178" t="inlineStr">
        <is>
          <t>하</t>
        </is>
      </c>
      <c r="D107" s="329" t="inlineStr">
        <is>
          <t>은어송1단지풍림아이원</t>
        </is>
      </c>
      <c r="E107" s="34" t="n">
        <v>33</v>
      </c>
      <c r="F107" s="34" t="n">
        <v>3.1</v>
      </c>
      <c r="G107" s="34" t="n">
        <v>2.5</v>
      </c>
      <c r="H107" s="41" t="n">
        <v>2007.06</v>
      </c>
      <c r="I107" s="41" t="n">
        <v>664</v>
      </c>
      <c r="J107" s="35" t="n">
        <v>19.94000000000005</v>
      </c>
      <c r="K107" s="41" t="inlineStr">
        <is>
          <t>109B, 110A, 114</t>
        </is>
      </c>
      <c r="L107" s="41" t="n">
        <v>84</v>
      </c>
      <c r="M107" s="41" t="n">
        <v>33</v>
      </c>
      <c r="N107" s="426" t="n">
        <v>31000</v>
      </c>
      <c r="O107" s="427" t="n">
        <v>25000</v>
      </c>
      <c r="P107" s="420" t="n">
        <v>6000</v>
      </c>
      <c r="Q107" s="183" t="n">
        <v>0.8064516129032258</v>
      </c>
      <c r="R107" s="427" t="n">
        <v>41000</v>
      </c>
      <c r="S107" s="428" t="n">
        <v>29700</v>
      </c>
      <c r="T107" s="59" t="inlineStr">
        <is>
          <t>계단식</t>
        </is>
      </c>
      <c r="U107" s="41" t="n">
        <v>3</v>
      </c>
      <c r="V107" s="41" t="n">
        <v>2</v>
      </c>
      <c r="W107" s="41" t="n">
        <v>664</v>
      </c>
      <c r="X107" s="337" t="n">
        <v>2021.02</v>
      </c>
      <c r="Y107" s="332" t="n">
        <v>0.04</v>
      </c>
      <c r="Z107" s="185" t="n">
        <v>33</v>
      </c>
      <c r="AA107" s="422" t="n">
        <v>34019</v>
      </c>
      <c r="AB107" s="422" t="n">
        <v>28889</v>
      </c>
      <c r="AC107" s="187" t="e">
        <v>#DIV/0!</v>
      </c>
      <c r="AD107" s="188" t="n">
        <v>0</v>
      </c>
      <c r="AE107" s="33" t="n"/>
      <c r="AF107" s="465" t="n"/>
      <c r="AG107" s="466" t="n">
        <v>0</v>
      </c>
      <c r="AH107" s="190" t="e">
        <v>#DIV/0!</v>
      </c>
      <c r="AI107" s="196" t="e">
        <v>#DIV/0!</v>
      </c>
      <c r="AJ107" s="363" t="n"/>
      <c r="AK107" s="16" t="n"/>
      <c r="AS107" s="339" t="n"/>
    </row>
    <row r="108" ht="15.5" customHeight="1" s="139">
      <c r="A108" s="268" t="inlineStr">
        <is>
          <t>천동</t>
        </is>
      </c>
      <c r="B108" s="287" t="inlineStr">
        <is>
          <t>하</t>
        </is>
      </c>
      <c r="C108" s="316" t="inlineStr">
        <is>
          <t>중</t>
        </is>
      </c>
      <c r="D108" s="328" t="inlineStr">
        <is>
          <t>위드힐</t>
        </is>
      </c>
      <c r="E108" s="270" t="n">
        <v>33</v>
      </c>
      <c r="F108" s="270" t="n">
        <v>3.1</v>
      </c>
      <c r="G108" s="270" t="n">
        <v>2.4</v>
      </c>
      <c r="H108" s="289" t="n">
        <v>2013.06</v>
      </c>
      <c r="I108" s="289" t="n">
        <v>960</v>
      </c>
      <c r="J108" s="272" t="n">
        <v>13.94000000000005</v>
      </c>
      <c r="K108" s="289" t="inlineStr">
        <is>
          <t>110B, 110C, 111A, 111D, 111A-1, 115E, 118F</t>
        </is>
      </c>
      <c r="L108" s="289" t="n">
        <v>84</v>
      </c>
      <c r="M108" s="289" t="n">
        <v>33</v>
      </c>
      <c r="N108" s="413" t="n">
        <v>31000</v>
      </c>
      <c r="O108" s="414" t="n">
        <v>24000</v>
      </c>
      <c r="P108" s="408" t="n">
        <v>7000</v>
      </c>
      <c r="Q108" s="277" t="n">
        <v>0.7741935483870968</v>
      </c>
      <c r="R108" s="414" t="n">
        <v>44000</v>
      </c>
      <c r="S108" s="415" t="n">
        <v>36000</v>
      </c>
      <c r="T108" s="293" t="inlineStr">
        <is>
          <t>계단식</t>
        </is>
      </c>
      <c r="U108" s="289" t="n">
        <v>3</v>
      </c>
      <c r="V108" s="289" t="n">
        <v>2</v>
      </c>
      <c r="W108" s="289" t="n">
        <v>799</v>
      </c>
      <c r="X108" s="331" t="n"/>
      <c r="Y108" s="331" t="n"/>
      <c r="Z108" s="280" t="n">
        <v>33</v>
      </c>
      <c r="AA108" s="410" t="n"/>
      <c r="AB108" s="410" t="n"/>
      <c r="AC108" s="282" t="e">
        <v>#DIV/0!</v>
      </c>
      <c r="AD108" s="283" t="n">
        <v>0</v>
      </c>
      <c r="AE108" s="317" t="n"/>
      <c r="AF108" s="347" t="n"/>
      <c r="AG108" s="353" t="n"/>
      <c r="AH108" s="296" t="n"/>
      <c r="AI108" s="297" t="n"/>
      <c r="AJ108" s="363" t="n"/>
      <c r="AS108" s="339" t="n"/>
    </row>
    <row r="109" ht="16" customHeight="1" s="139" thickBot="1">
      <c r="A109" s="268" t="inlineStr">
        <is>
          <t>천동</t>
        </is>
      </c>
      <c r="B109" s="287" t="inlineStr">
        <is>
          <t>하</t>
        </is>
      </c>
      <c r="C109" s="321" t="inlineStr">
        <is>
          <t>중</t>
        </is>
      </c>
      <c r="D109" s="328" t="inlineStr">
        <is>
          <t>위드힐</t>
        </is>
      </c>
      <c r="E109" s="270" t="n">
        <v>25</v>
      </c>
      <c r="F109" s="270" t="n">
        <v>3</v>
      </c>
      <c r="G109" s="270" t="n">
        <v>2</v>
      </c>
      <c r="H109" s="298" t="n">
        <v>2013.06</v>
      </c>
      <c r="I109" s="298" t="n">
        <v>960</v>
      </c>
      <c r="J109" s="272" t="n">
        <v>13.94000000000005</v>
      </c>
      <c r="K109" s="298" t="inlineStr">
        <is>
          <t>82A, 82A-1</t>
        </is>
      </c>
      <c r="L109" s="298" t="n">
        <v>59</v>
      </c>
      <c r="M109" s="298" t="n">
        <v>25</v>
      </c>
      <c r="N109" s="429" t="n">
        <v>30000</v>
      </c>
      <c r="O109" s="430" t="n">
        <v>20000</v>
      </c>
      <c r="P109" s="408" t="n">
        <v>10000</v>
      </c>
      <c r="Q109" s="277" t="n">
        <v>0.6666666666666666</v>
      </c>
      <c r="R109" s="430" t="n">
        <v>33000</v>
      </c>
      <c r="S109" s="431" t="n">
        <v>29000</v>
      </c>
      <c r="T109" s="302" t="inlineStr">
        <is>
          <t>계단식</t>
        </is>
      </c>
      <c r="U109" s="298" t="n">
        <v>3</v>
      </c>
      <c r="V109" s="298" t="n">
        <v>2</v>
      </c>
      <c r="W109" s="298" t="n">
        <v>72</v>
      </c>
      <c r="X109" s="331" t="n">
        <v>2020.05</v>
      </c>
      <c r="Y109" s="331" t="n">
        <v>0.05</v>
      </c>
      <c r="Z109" s="280" t="n">
        <v>25</v>
      </c>
      <c r="AA109" s="410" t="n">
        <v>24500</v>
      </c>
      <c r="AB109" s="410" t="n">
        <v>22500</v>
      </c>
      <c r="AC109" s="282" t="e">
        <v>#DIV/0!</v>
      </c>
      <c r="AD109" s="283" t="n">
        <v>0</v>
      </c>
      <c r="AE109" s="317" t="n"/>
      <c r="AF109" s="347" t="n"/>
      <c r="AG109" s="353" t="n"/>
      <c r="AH109" s="296" t="n"/>
      <c r="AI109" s="297" t="n"/>
      <c r="AJ109" s="363" t="n"/>
    </row>
    <row r="110" ht="62" customHeight="1" s="139">
      <c r="A110" s="268" t="inlineStr">
        <is>
          <t>천동</t>
        </is>
      </c>
      <c r="B110" s="287" t="inlineStr">
        <is>
          <t>하</t>
        </is>
      </c>
      <c r="C110" s="269" t="inlineStr">
        <is>
          <t>중</t>
        </is>
      </c>
      <c r="D110" s="328" t="inlineStr">
        <is>
          <t>위드힐</t>
        </is>
      </c>
      <c r="E110" s="270" t="n">
        <v>45</v>
      </c>
      <c r="F110" s="270" t="n">
        <v>0</v>
      </c>
      <c r="G110" s="270" t="n">
        <v>0</v>
      </c>
      <c r="H110" s="273" t="n">
        <v>2013.06</v>
      </c>
      <c r="I110" s="273" t="n">
        <v>960</v>
      </c>
      <c r="J110" s="272" t="n">
        <v>13.94000000000005</v>
      </c>
      <c r="K110" s="273" t="inlineStr">
        <is>
          <t>147A, 147A-1, 152B</t>
        </is>
      </c>
      <c r="L110" s="273" t="n">
        <v>118</v>
      </c>
      <c r="M110" s="273" t="n">
        <v>45</v>
      </c>
      <c r="N110" s="406" t="n">
        <v>0</v>
      </c>
      <c r="O110" s="407" t="n">
        <v>0</v>
      </c>
      <c r="P110" s="408" t="n">
        <v>0</v>
      </c>
      <c r="Q110" s="277" t="e">
        <v>#DIV/0!</v>
      </c>
      <c r="R110" s="407" t="n">
        <v>0</v>
      </c>
      <c r="S110" s="409" t="n">
        <v>0</v>
      </c>
      <c r="T110" s="279" t="inlineStr">
        <is>
          <t>계단식</t>
        </is>
      </c>
      <c r="U110" s="273" t="n">
        <v>4</v>
      </c>
      <c r="V110" s="273" t="n">
        <v>2</v>
      </c>
      <c r="W110" s="273" t="n">
        <v>89</v>
      </c>
      <c r="X110" s="331" t="n"/>
      <c r="Y110" s="331" t="n"/>
      <c r="Z110" s="280" t="n">
        <v>45</v>
      </c>
      <c r="AA110" s="410" t="n"/>
      <c r="AB110" s="410" t="n"/>
      <c r="AC110" s="282" t="e">
        <v>#DIV/0!</v>
      </c>
      <c r="AD110" s="283" t="n">
        <v>0</v>
      </c>
      <c r="AE110" s="317" t="n"/>
      <c r="AF110" s="347" t="n"/>
      <c r="AG110" s="353" t="n"/>
      <c r="AH110" s="296" t="n"/>
      <c r="AI110" s="297" t="n"/>
      <c r="AJ110" s="363" t="n"/>
    </row>
    <row r="111" ht="15.5" customHeight="1" s="139">
      <c r="A111" s="48" t="inlineStr">
        <is>
          <t>용운동</t>
        </is>
      </c>
      <c r="B111" s="191" t="inlineStr">
        <is>
          <t>하</t>
        </is>
      </c>
      <c r="C111" s="178" t="inlineStr">
        <is>
          <t>하</t>
        </is>
      </c>
      <c r="D111" s="329" t="inlineStr">
        <is>
          <t>용방마을</t>
        </is>
      </c>
      <c r="E111" s="34" t="n">
        <v>35</v>
      </c>
      <c r="F111" s="34" t="n">
        <v>2.25</v>
      </c>
      <c r="G111" s="34" t="n">
        <v>1.8</v>
      </c>
      <c r="H111" s="41" t="n">
        <v>2003.05</v>
      </c>
      <c r="I111" s="41" t="n">
        <v>1350</v>
      </c>
      <c r="J111" s="35" t="n">
        <v>23.95000000000005</v>
      </c>
      <c r="K111" s="41" t="inlineStr">
        <is>
          <t>115A, 116C, 116B</t>
        </is>
      </c>
      <c r="L111" s="41" t="n">
        <v>84</v>
      </c>
      <c r="M111" s="41" t="n">
        <v>35</v>
      </c>
      <c r="N111" s="426" t="n">
        <v>22500</v>
      </c>
      <c r="O111" s="427" t="n">
        <v>18000</v>
      </c>
      <c r="P111" s="420" t="n">
        <v>4500</v>
      </c>
      <c r="Q111" s="183" t="n">
        <v>0.8</v>
      </c>
      <c r="R111" s="427" t="n">
        <v>34000</v>
      </c>
      <c r="S111" s="428" t="n">
        <v>22500</v>
      </c>
      <c r="T111" s="59" t="inlineStr">
        <is>
          <t>계단식</t>
        </is>
      </c>
      <c r="U111" s="41" t="n">
        <v>3</v>
      </c>
      <c r="V111" s="41" t="n">
        <v>2</v>
      </c>
      <c r="W111" s="41" t="n">
        <v>458</v>
      </c>
      <c r="X111" s="332" t="n">
        <v>2020.01</v>
      </c>
      <c r="Y111" s="332" t="n">
        <v>0.01</v>
      </c>
      <c r="Z111" s="185" t="n">
        <v>35</v>
      </c>
      <c r="AA111" s="422" t="n">
        <v>19388</v>
      </c>
      <c r="AB111" s="422" t="n">
        <v>17000</v>
      </c>
      <c r="AC111" s="187" t="e">
        <v>#DIV/0!</v>
      </c>
      <c r="AD111" s="188" t="n">
        <v>0</v>
      </c>
      <c r="AE111" s="33" t="n"/>
      <c r="AF111" s="341" t="n"/>
      <c r="AG111" s="350" t="n"/>
      <c r="AH111" s="354" t="n"/>
      <c r="AI111" s="196" t="n"/>
      <c r="AJ111" s="363" t="n"/>
    </row>
    <row r="112" ht="15.5" customHeight="1" s="139">
      <c r="A112" s="48" t="inlineStr">
        <is>
          <t>용운동</t>
        </is>
      </c>
      <c r="B112" s="191" t="inlineStr">
        <is>
          <t>하</t>
        </is>
      </c>
      <c r="C112" s="178" t="inlineStr">
        <is>
          <t>하</t>
        </is>
      </c>
      <c r="D112" s="329" t="inlineStr">
        <is>
          <t>용방마을</t>
        </is>
      </c>
      <c r="E112" s="34" t="n">
        <v>30</v>
      </c>
      <c r="F112" s="34" t="n">
        <v>2.05</v>
      </c>
      <c r="G112" s="34" t="n">
        <v>1.7</v>
      </c>
      <c r="H112" s="41" t="n">
        <v>2003.05</v>
      </c>
      <c r="I112" s="41" t="n">
        <v>1350</v>
      </c>
      <c r="J112" s="35" t="n">
        <v>23.95000000000005</v>
      </c>
      <c r="K112" s="41" t="n">
        <v>98</v>
      </c>
      <c r="L112" s="41" t="n">
        <v>72</v>
      </c>
      <c r="M112" s="41" t="n">
        <v>30</v>
      </c>
      <c r="N112" s="426" t="n">
        <v>20500</v>
      </c>
      <c r="O112" s="427" t="n">
        <v>17000</v>
      </c>
      <c r="P112" s="420" t="n">
        <v>3500</v>
      </c>
      <c r="Q112" s="183" t="n">
        <v>0.8292682926829268</v>
      </c>
      <c r="R112" s="427" t="n">
        <v>28000</v>
      </c>
      <c r="S112" s="428" t="n">
        <v>20000</v>
      </c>
      <c r="T112" s="59" t="inlineStr">
        <is>
          <t>계단식</t>
        </is>
      </c>
      <c r="U112" s="41" t="n">
        <v>3</v>
      </c>
      <c r="V112" s="41" t="n">
        <v>2</v>
      </c>
      <c r="W112" s="41" t="n">
        <v>195</v>
      </c>
      <c r="X112" s="332" t="n">
        <v>2020.02</v>
      </c>
      <c r="Y112" s="332" t="n">
        <v>0.02</v>
      </c>
      <c r="Z112" s="185" t="n">
        <v>30</v>
      </c>
      <c r="AA112" s="422" t="n">
        <v>17650</v>
      </c>
      <c r="AB112" s="422" t="n">
        <v>15000</v>
      </c>
      <c r="AC112" s="187" t="e">
        <v>#DIV/0!</v>
      </c>
      <c r="AD112" s="188" t="n">
        <v>0</v>
      </c>
      <c r="AE112" s="33" t="n"/>
      <c r="AF112" s="341" t="n"/>
      <c r="AG112" s="350" t="n"/>
      <c r="AH112" s="354" t="n"/>
      <c r="AI112" s="196" t="n"/>
      <c r="AJ112" s="363" t="n"/>
    </row>
    <row r="113" ht="16" customHeight="1" s="139" thickBot="1">
      <c r="A113" s="48" t="inlineStr">
        <is>
          <t>용운동</t>
        </is>
      </c>
      <c r="B113" s="191" t="inlineStr">
        <is>
          <t>하</t>
        </is>
      </c>
      <c r="C113" s="178" t="inlineStr">
        <is>
          <t>하</t>
        </is>
      </c>
      <c r="D113" s="329" t="inlineStr">
        <is>
          <t>용방마을</t>
        </is>
      </c>
      <c r="E113" s="34" t="n">
        <v>25</v>
      </c>
      <c r="F113" s="34" t="n">
        <v>1.85</v>
      </c>
      <c r="G113" s="34" t="n">
        <v>1.45</v>
      </c>
      <c r="H113" s="44" t="n">
        <v>2003.05</v>
      </c>
      <c r="I113" s="44" t="n">
        <v>1350</v>
      </c>
      <c r="J113" s="35" t="n">
        <v>23.95000000000005</v>
      </c>
      <c r="K113" s="44" t="inlineStr">
        <is>
          <t>84A, 84B</t>
        </is>
      </c>
      <c r="L113" s="44" t="n">
        <v>59</v>
      </c>
      <c r="M113" s="44" t="n">
        <v>25</v>
      </c>
      <c r="N113" s="449" t="n">
        <v>18500</v>
      </c>
      <c r="O113" s="450" t="n">
        <v>14500</v>
      </c>
      <c r="P113" s="420" t="n">
        <v>4000</v>
      </c>
      <c r="Q113" s="183" t="n">
        <v>0.7837837837837838</v>
      </c>
      <c r="R113" s="450" t="n">
        <v>18600</v>
      </c>
      <c r="S113" s="451" t="n">
        <v>16500</v>
      </c>
      <c r="T113" s="62" t="inlineStr">
        <is>
          <t>계단식</t>
        </is>
      </c>
      <c r="U113" s="44" t="n">
        <v>3</v>
      </c>
      <c r="V113" s="44" t="n">
        <v>1</v>
      </c>
      <c r="W113" s="44" t="n">
        <v>386</v>
      </c>
      <c r="X113" s="332" t="n">
        <v>2025.09</v>
      </c>
      <c r="Y113" s="332" t="n">
        <v>0.02</v>
      </c>
      <c r="Z113" s="185" t="n">
        <v>25</v>
      </c>
      <c r="AA113" s="422" t="n">
        <v>17338</v>
      </c>
      <c r="AB113" s="422" t="n">
        <v>14200</v>
      </c>
      <c r="AC113" s="187" t="e">
        <v>#DIV/0!</v>
      </c>
      <c r="AD113" s="188" t="n">
        <v>0</v>
      </c>
      <c r="AE113" s="33" t="n"/>
      <c r="AF113" s="341" t="n"/>
      <c r="AG113" s="350" t="n"/>
      <c r="AH113" s="354" t="n"/>
      <c r="AI113" s="196" t="n"/>
      <c r="AJ113" s="363" t="n"/>
      <c r="AS113" s="339" t="n"/>
    </row>
    <row r="114" ht="15.5" customHeight="1" s="139">
      <c r="A114" s="48" t="inlineStr">
        <is>
          <t>용운동</t>
        </is>
      </c>
      <c r="B114" s="191" t="inlineStr">
        <is>
          <t>하</t>
        </is>
      </c>
      <c r="C114" s="172" t="inlineStr">
        <is>
          <t>하</t>
        </is>
      </c>
      <c r="D114" s="329" t="inlineStr">
        <is>
          <t>용방마을</t>
        </is>
      </c>
      <c r="E114" s="34" t="n">
        <v>27</v>
      </c>
      <c r="F114" s="34" t="n">
        <v>1.8</v>
      </c>
      <c r="G114" s="34" t="n">
        <v>1.6</v>
      </c>
      <c r="H114" s="40" t="n">
        <v>2003.05</v>
      </c>
      <c r="I114" s="40" t="n">
        <v>1350</v>
      </c>
      <c r="J114" s="35" t="n">
        <v>23.95000000000005</v>
      </c>
      <c r="K114" s="40" t="inlineStr">
        <is>
          <t>89A, 89C, 89B</t>
        </is>
      </c>
      <c r="L114" s="40" t="n">
        <v>66</v>
      </c>
      <c r="M114" s="40" t="n">
        <v>27</v>
      </c>
      <c r="N114" s="423" t="n">
        <v>18000</v>
      </c>
      <c r="O114" s="424" t="n">
        <v>16000</v>
      </c>
      <c r="P114" s="420" t="n">
        <v>2000</v>
      </c>
      <c r="Q114" s="183" t="n">
        <v>0.8888888888888888</v>
      </c>
      <c r="R114" s="424" t="n">
        <v>24000</v>
      </c>
      <c r="S114" s="425" t="n">
        <v>17500</v>
      </c>
      <c r="T114" s="58" t="inlineStr">
        <is>
          <t>계단식</t>
        </is>
      </c>
      <c r="U114" s="40" t="n">
        <v>2</v>
      </c>
      <c r="V114" s="40" t="n">
        <v>1</v>
      </c>
      <c r="W114" s="40" t="n">
        <v>18</v>
      </c>
      <c r="X114" s="332" t="n">
        <v>2024.1</v>
      </c>
      <c r="Y114" s="332" t="n">
        <v>0.02</v>
      </c>
      <c r="Z114" s="185" t="n">
        <v>27</v>
      </c>
      <c r="AA114" s="422" t="n">
        <v>17950</v>
      </c>
      <c r="AB114" s="422" t="n">
        <v>15000</v>
      </c>
      <c r="AC114" s="187" t="e">
        <v>#DIV/0!</v>
      </c>
      <c r="AD114" s="188" t="n">
        <v>0</v>
      </c>
      <c r="AE114" s="33" t="n"/>
      <c r="AF114" s="341" t="n"/>
      <c r="AG114" s="350" t="n"/>
      <c r="AH114" s="354" t="n"/>
      <c r="AI114" s="196" t="n"/>
      <c r="AJ114" s="363" t="n"/>
    </row>
    <row r="115" ht="15.5" customHeight="1" s="139">
      <c r="A115" s="48" t="inlineStr">
        <is>
          <t>용운동</t>
        </is>
      </c>
      <c r="B115" s="191" t="inlineStr">
        <is>
          <t>하</t>
        </is>
      </c>
      <c r="C115" s="178" t="inlineStr">
        <is>
          <t>하</t>
        </is>
      </c>
      <c r="D115" s="329" t="inlineStr">
        <is>
          <t>용방마을</t>
        </is>
      </c>
      <c r="E115" s="34" t="n">
        <v>22</v>
      </c>
      <c r="F115" s="34" t="n">
        <v>1.5</v>
      </c>
      <c r="G115" s="34" t="n">
        <v>1.2</v>
      </c>
      <c r="H115" s="41" t="n">
        <v>2003.05</v>
      </c>
      <c r="I115" s="41" t="n">
        <v>1350</v>
      </c>
      <c r="J115" s="35" t="n">
        <v>23.95000000000005</v>
      </c>
      <c r="K115" s="41" t="inlineStr">
        <is>
          <t>74B, 75A, 75A1</t>
        </is>
      </c>
      <c r="L115" s="41" t="n">
        <v>49</v>
      </c>
      <c r="M115" s="41" t="n">
        <v>22</v>
      </c>
      <c r="N115" s="426" t="n">
        <v>15000</v>
      </c>
      <c r="O115" s="427" t="n">
        <v>12000</v>
      </c>
      <c r="P115" s="420" t="n">
        <v>3000</v>
      </c>
      <c r="Q115" s="183" t="n">
        <v>0.8</v>
      </c>
      <c r="R115" s="427" t="n">
        <v>20000</v>
      </c>
      <c r="S115" s="428" t="n">
        <v>13800</v>
      </c>
      <c r="T115" s="59" t="inlineStr">
        <is>
          <t>계단식</t>
        </is>
      </c>
      <c r="U115" s="41" t="n">
        <v>2</v>
      </c>
      <c r="V115" s="41" t="n">
        <v>1</v>
      </c>
      <c r="W115" s="41" t="n">
        <v>293</v>
      </c>
      <c r="X115" s="332" t="n">
        <v>2021.05</v>
      </c>
      <c r="Y115" s="332" t="n">
        <v>0.03</v>
      </c>
      <c r="Z115" s="185" t="n">
        <v>22</v>
      </c>
      <c r="AA115" s="422" t="n">
        <v>14907</v>
      </c>
      <c r="AB115" s="422" t="n">
        <v>12500</v>
      </c>
      <c r="AC115" s="187" t="e">
        <v>#DIV/0!</v>
      </c>
      <c r="AD115" s="188" t="n">
        <v>0</v>
      </c>
      <c r="AE115" s="33" t="n"/>
      <c r="AF115" s="341" t="n"/>
      <c r="AG115" s="350" t="n"/>
      <c r="AH115" s="122" t="n"/>
      <c r="AI115" s="196" t="n"/>
      <c r="AJ115" s="363" t="n"/>
    </row>
    <row r="116" ht="15.5" customHeight="1" s="139">
      <c r="A116" s="268" t="inlineStr">
        <is>
          <t>낭월동</t>
        </is>
      </c>
      <c r="B116" s="287" t="inlineStr">
        <is>
          <t>하</t>
        </is>
      </c>
      <c r="C116" s="316" t="inlineStr">
        <is>
          <t>하</t>
        </is>
      </c>
      <c r="D116" s="328" t="inlineStr">
        <is>
          <t>오투그란데</t>
        </is>
      </c>
      <c r="E116" s="270" t="n">
        <v>34</v>
      </c>
      <c r="F116" s="270" t="n">
        <v>2.4</v>
      </c>
      <c r="G116" s="270" t="n">
        <v>2</v>
      </c>
      <c r="H116" s="289" t="n">
        <v>2008.08</v>
      </c>
      <c r="I116" s="289" t="n">
        <v>877</v>
      </c>
      <c r="J116" s="272" t="n">
        <v>18.92000000000007</v>
      </c>
      <c r="K116" s="289" t="inlineStr">
        <is>
          <t>113, 115, 118</t>
        </is>
      </c>
      <c r="L116" s="289" t="n">
        <v>84</v>
      </c>
      <c r="M116" s="289" t="n">
        <v>34</v>
      </c>
      <c r="N116" s="413" t="n">
        <v>24000</v>
      </c>
      <c r="O116" s="414" t="n">
        <v>20000</v>
      </c>
      <c r="P116" s="408" t="n">
        <v>4000</v>
      </c>
      <c r="Q116" s="277" t="n">
        <v>0.8333333333333334</v>
      </c>
      <c r="R116" s="414" t="n">
        <v>33000</v>
      </c>
      <c r="S116" s="415" t="n">
        <v>24500</v>
      </c>
      <c r="T116" s="293" t="inlineStr">
        <is>
          <t>계단식</t>
        </is>
      </c>
      <c r="U116" s="289" t="n">
        <v>3</v>
      </c>
      <c r="V116" s="289" t="n">
        <v>2</v>
      </c>
      <c r="W116" s="289" t="n">
        <v>753</v>
      </c>
      <c r="X116" s="336" t="n">
        <v>2020.02</v>
      </c>
      <c r="Y116" s="331" t="n">
        <v>0.1</v>
      </c>
      <c r="Z116" s="280" t="n">
        <v>34</v>
      </c>
      <c r="AA116" s="410" t="n">
        <v>21133</v>
      </c>
      <c r="AB116" s="410" t="n">
        <v>18300</v>
      </c>
      <c r="AC116" s="282" t="e">
        <v>#DIV/0!</v>
      </c>
      <c r="AD116" s="283" t="n">
        <v>0</v>
      </c>
      <c r="AE116" s="317" t="n"/>
      <c r="AF116" s="416" t="n"/>
      <c r="AG116" s="417" t="n">
        <v>0</v>
      </c>
      <c r="AH116" s="285" t="e">
        <v>#DIV/0!</v>
      </c>
      <c r="AI116" s="297" t="e">
        <v>#DIV/0!</v>
      </c>
      <c r="AJ116" s="363" t="n"/>
    </row>
    <row r="117" ht="16" customHeight="1" s="139" thickBot="1">
      <c r="A117" s="268" t="inlineStr">
        <is>
          <t>낭월동</t>
        </is>
      </c>
      <c r="B117" s="287" t="inlineStr">
        <is>
          <t>하</t>
        </is>
      </c>
      <c r="C117" s="316" t="inlineStr">
        <is>
          <t>하</t>
        </is>
      </c>
      <c r="D117" s="328" t="inlineStr">
        <is>
          <t>오투그란데</t>
        </is>
      </c>
      <c r="E117" s="270" t="n">
        <v>43</v>
      </c>
      <c r="F117" s="270" t="n">
        <v>0</v>
      </c>
      <c r="G117" s="270" t="n">
        <v>0</v>
      </c>
      <c r="H117" s="298" t="n">
        <v>2008.08</v>
      </c>
      <c r="I117" s="298" t="n">
        <v>877</v>
      </c>
      <c r="J117" s="272" t="n">
        <v>18.92000000000007</v>
      </c>
      <c r="K117" s="298" t="n">
        <v>143</v>
      </c>
      <c r="L117" s="298" t="n">
        <v>110</v>
      </c>
      <c r="M117" s="298" t="n">
        <v>43</v>
      </c>
      <c r="N117" s="429" t="n">
        <v>0</v>
      </c>
      <c r="O117" s="430" t="n">
        <v>0</v>
      </c>
      <c r="P117" s="408" t="n">
        <v>0</v>
      </c>
      <c r="Q117" s="277" t="e">
        <v>#DIV/0!</v>
      </c>
      <c r="R117" s="430" t="n">
        <v>0</v>
      </c>
      <c r="S117" s="431" t="n">
        <v>0</v>
      </c>
      <c r="T117" s="302" t="inlineStr">
        <is>
          <t>계단식</t>
        </is>
      </c>
      <c r="U117" s="298" t="n">
        <v>4</v>
      </c>
      <c r="V117" s="298" t="n">
        <v>2</v>
      </c>
      <c r="W117" s="298" t="n">
        <v>124</v>
      </c>
      <c r="X117" s="336" t="n">
        <v>2020.01</v>
      </c>
      <c r="Y117" s="331" t="n">
        <v>0.01</v>
      </c>
      <c r="Z117" s="280" t="n">
        <v>43</v>
      </c>
      <c r="AA117" s="410" t="n">
        <v>23100</v>
      </c>
      <c r="AB117" s="410" t="n">
        <v>19000</v>
      </c>
      <c r="AC117" s="282" t="e">
        <v>#DIV/0!</v>
      </c>
      <c r="AD117" s="283" t="n">
        <v>0</v>
      </c>
      <c r="AE117" s="317" t="n"/>
      <c r="AF117" s="416" t="n"/>
      <c r="AG117" s="417" t="n">
        <v>0</v>
      </c>
      <c r="AH117" s="285" t="e">
        <v>#DIV/0!</v>
      </c>
      <c r="AI117" s="297" t="e">
        <v>#DIV/0!</v>
      </c>
      <c r="AJ117" s="363" t="n"/>
    </row>
    <row r="118" ht="15.5" customHeight="1" s="139">
      <c r="A118" s="48" t="inlineStr">
        <is>
          <t>인동</t>
        </is>
      </c>
      <c r="B118" s="172" t="inlineStr">
        <is>
          <t>중</t>
        </is>
      </c>
      <c r="C118" s="172" t="inlineStr">
        <is>
          <t>중</t>
        </is>
      </c>
      <c r="D118" s="329" t="inlineStr">
        <is>
          <t>어진마을</t>
        </is>
      </c>
      <c r="E118" s="34" t="n">
        <v>34</v>
      </c>
      <c r="F118" s="34" t="n">
        <v>3.3</v>
      </c>
      <c r="G118" s="34" t="n">
        <v>2.2</v>
      </c>
      <c r="H118" s="40" t="n">
        <v>2007.04</v>
      </c>
      <c r="I118" s="40" t="n">
        <v>813</v>
      </c>
      <c r="J118" s="35" t="n">
        <v>19.96000000000004</v>
      </c>
      <c r="K118" s="40" t="inlineStr">
        <is>
          <t>111J, 112A</t>
        </is>
      </c>
      <c r="L118" s="40" t="n">
        <v>84</v>
      </c>
      <c r="M118" s="40" t="n">
        <v>34</v>
      </c>
      <c r="N118" s="423" t="n">
        <v>33000</v>
      </c>
      <c r="O118" s="424" t="n">
        <v>22000</v>
      </c>
      <c r="P118" s="420" t="n">
        <v>11000</v>
      </c>
      <c r="Q118" s="183" t="n">
        <v>0.6666666666666666</v>
      </c>
      <c r="R118" s="424" t="n">
        <v>39000</v>
      </c>
      <c r="S118" s="425" t="n">
        <v>28000</v>
      </c>
      <c r="T118" s="58" t="inlineStr">
        <is>
          <t>계단식</t>
        </is>
      </c>
      <c r="U118" s="40" t="n">
        <v>3</v>
      </c>
      <c r="V118" s="40" t="n">
        <v>2</v>
      </c>
      <c r="W118" s="40" t="n">
        <v>281</v>
      </c>
      <c r="X118" s="332" t="n">
        <v>2022.03</v>
      </c>
      <c r="Y118" s="332" t="n">
        <v>0.01</v>
      </c>
      <c r="Z118" s="185" t="n">
        <v>34</v>
      </c>
      <c r="AA118" s="422" t="n">
        <v>36500</v>
      </c>
      <c r="AB118" s="422" t="n">
        <v>29500</v>
      </c>
      <c r="AC118" s="187" t="e">
        <v>#DIV/0!</v>
      </c>
      <c r="AD118" s="188" t="n">
        <v>0</v>
      </c>
      <c r="AE118" s="33" t="n"/>
      <c r="AF118" s="341" t="n"/>
      <c r="AG118" s="350" t="n"/>
      <c r="AH118" s="122" t="n"/>
      <c r="AI118" s="196" t="n"/>
      <c r="AJ118" s="363" t="n"/>
    </row>
    <row r="119" ht="15.5" customHeight="1" s="139">
      <c r="A119" s="48" t="inlineStr">
        <is>
          <t>인동</t>
        </is>
      </c>
      <c r="B119" s="65" t="inlineStr">
        <is>
          <t>중</t>
        </is>
      </c>
      <c r="C119" s="66" t="inlineStr">
        <is>
          <t>중</t>
        </is>
      </c>
      <c r="D119" s="329" t="inlineStr">
        <is>
          <t>어진마을</t>
        </is>
      </c>
      <c r="E119" s="34" t="n">
        <v>24</v>
      </c>
      <c r="F119" s="34" t="n">
        <v>2.8</v>
      </c>
      <c r="G119" s="34" t="n">
        <v>2.1</v>
      </c>
      <c r="H119" s="41" t="n">
        <v>2007.04</v>
      </c>
      <c r="I119" s="41" t="n">
        <v>813</v>
      </c>
      <c r="J119" s="35" t="n">
        <v>19.96000000000004</v>
      </c>
      <c r="K119" s="41" t="inlineStr">
        <is>
          <t>78A, 79C</t>
        </is>
      </c>
      <c r="L119" s="41" t="n">
        <v>59</v>
      </c>
      <c r="M119" s="41" t="n">
        <v>24</v>
      </c>
      <c r="N119" s="426" t="n">
        <v>28000</v>
      </c>
      <c r="O119" s="427" t="n">
        <v>21000</v>
      </c>
      <c r="P119" s="420" t="n">
        <v>7000</v>
      </c>
      <c r="Q119" s="183" t="n">
        <v>0.75</v>
      </c>
      <c r="R119" s="427" t="n">
        <v>30800</v>
      </c>
      <c r="S119" s="428" t="n">
        <v>21000</v>
      </c>
      <c r="T119" s="59" t="inlineStr">
        <is>
          <t>계단식</t>
        </is>
      </c>
      <c r="U119" s="41" t="n">
        <v>3</v>
      </c>
      <c r="V119" s="41" t="n">
        <v>2</v>
      </c>
      <c r="W119" s="41" t="n">
        <v>396</v>
      </c>
      <c r="X119" s="332" t="n"/>
      <c r="Y119" s="332" t="n"/>
      <c r="Z119" s="185" t="n">
        <v>24</v>
      </c>
      <c r="AA119" s="422" t="n"/>
      <c r="AB119" s="422" t="n"/>
      <c r="AC119" s="187" t="e">
        <v>#DIV/0!</v>
      </c>
      <c r="AD119" s="188" t="n">
        <v>0</v>
      </c>
      <c r="AE119" s="33" t="n"/>
      <c r="AF119" s="341" t="n"/>
      <c r="AG119" s="350" t="n"/>
      <c r="AH119" s="122" t="n"/>
      <c r="AI119" s="196" t="n"/>
      <c r="AJ119" s="363" t="n"/>
    </row>
    <row r="120" ht="15.5" customHeight="1" s="139">
      <c r="A120" s="48" t="inlineStr">
        <is>
          <t>인동</t>
        </is>
      </c>
      <c r="B120" s="191" t="inlineStr">
        <is>
          <t>중</t>
        </is>
      </c>
      <c r="C120" s="178" t="inlineStr">
        <is>
          <t>중</t>
        </is>
      </c>
      <c r="D120" s="329" t="inlineStr">
        <is>
          <t>어진마을</t>
        </is>
      </c>
      <c r="E120" s="34" t="n">
        <v>30</v>
      </c>
      <c r="F120" s="34" t="n">
        <v>2.8</v>
      </c>
      <c r="G120" s="34" t="n">
        <v>2</v>
      </c>
      <c r="H120" s="41" t="n">
        <v>2007.04</v>
      </c>
      <c r="I120" s="41" t="n">
        <v>813</v>
      </c>
      <c r="J120" s="35" t="n">
        <v>19.96000000000004</v>
      </c>
      <c r="K120" s="41" t="n">
        <v>100</v>
      </c>
      <c r="L120" s="41" t="n">
        <v>75</v>
      </c>
      <c r="M120" s="41" t="n">
        <v>30</v>
      </c>
      <c r="N120" s="426" t="n">
        <v>28000</v>
      </c>
      <c r="O120" s="427" t="n">
        <v>20000</v>
      </c>
      <c r="P120" s="420" t="n">
        <v>8000</v>
      </c>
      <c r="Q120" s="183" t="n">
        <v>0.7142857142857143</v>
      </c>
      <c r="R120" s="427" t="n">
        <v>36500</v>
      </c>
      <c r="S120" s="428" t="n">
        <v>26000</v>
      </c>
      <c r="T120" s="59" t="inlineStr">
        <is>
          <t>계단식</t>
        </is>
      </c>
      <c r="U120" s="41" t="n">
        <v>3</v>
      </c>
      <c r="V120" s="41" t="n">
        <v>2</v>
      </c>
      <c r="W120" s="41" t="n">
        <v>78</v>
      </c>
      <c r="X120" s="332" t="n">
        <v>2020.03</v>
      </c>
      <c r="Y120" s="332" t="n">
        <v>0.01</v>
      </c>
      <c r="Z120" s="185" t="n">
        <v>30</v>
      </c>
      <c r="AA120" s="422" t="n">
        <v>25900</v>
      </c>
      <c r="AB120" s="422" t="n">
        <v>22000</v>
      </c>
      <c r="AC120" s="187" t="e">
        <v>#DIV/0!</v>
      </c>
      <c r="AD120" s="188" t="n">
        <v>0</v>
      </c>
      <c r="AE120" s="33" t="n"/>
      <c r="AF120" s="341" t="n"/>
      <c r="AG120" s="350" t="n"/>
      <c r="AH120" s="122" t="n"/>
      <c r="AI120" s="196" t="n"/>
      <c r="AJ120" s="363" t="n"/>
    </row>
    <row r="121" ht="62.5" customHeight="1" s="139" thickBot="1">
      <c r="A121" s="48" t="inlineStr">
        <is>
          <t>인동</t>
        </is>
      </c>
      <c r="B121" s="191" t="inlineStr">
        <is>
          <t>중</t>
        </is>
      </c>
      <c r="C121" s="178" t="inlineStr">
        <is>
          <t>중</t>
        </is>
      </c>
      <c r="D121" s="329" t="inlineStr">
        <is>
          <t>어진마을</t>
        </is>
      </c>
      <c r="E121" s="34" t="n">
        <v>24</v>
      </c>
      <c r="F121" s="34" t="n">
        <v>2.5</v>
      </c>
      <c r="G121" s="34" t="n">
        <v>1.8</v>
      </c>
      <c r="H121" s="42" t="n">
        <v>2007.04</v>
      </c>
      <c r="I121" s="42" t="n">
        <v>813</v>
      </c>
      <c r="J121" s="35" t="n">
        <v>19.96000000000004</v>
      </c>
      <c r="K121" s="42" t="inlineStr">
        <is>
          <t>79B</t>
        </is>
      </c>
      <c r="L121" s="42" t="n">
        <v>59</v>
      </c>
      <c r="M121" s="42" t="n">
        <v>24</v>
      </c>
      <c r="N121" s="418" t="n">
        <v>25000</v>
      </c>
      <c r="O121" s="419" t="n">
        <v>18000</v>
      </c>
      <c r="P121" s="420" t="n">
        <v>7000</v>
      </c>
      <c r="Q121" s="183" t="n">
        <v>0.72</v>
      </c>
      <c r="R121" s="419" t="n">
        <v>30000</v>
      </c>
      <c r="S121" s="421" t="n">
        <v>22000</v>
      </c>
      <c r="T121" s="60" t="inlineStr">
        <is>
          <t>계단식</t>
        </is>
      </c>
      <c r="U121" s="42" t="n">
        <v>3</v>
      </c>
      <c r="V121" s="42" t="n">
        <v>1</v>
      </c>
      <c r="W121" s="42" t="n">
        <v>58</v>
      </c>
      <c r="X121" s="332" t="n"/>
      <c r="Y121" s="332" t="n"/>
      <c r="Z121" s="185" t="n">
        <v>24</v>
      </c>
      <c r="AA121" s="422" t="n"/>
      <c r="AB121" s="422" t="n"/>
      <c r="AC121" s="187" t="e">
        <v>#DIV/0!</v>
      </c>
      <c r="AD121" s="188" t="n">
        <v>0</v>
      </c>
      <c r="AE121" s="33" t="n"/>
      <c r="AF121" s="341" t="n"/>
      <c r="AG121" s="350" t="n"/>
      <c r="AH121" s="122" t="n"/>
      <c r="AI121" s="196" t="n"/>
      <c r="AJ121" s="363" t="n"/>
    </row>
    <row r="122" ht="15.5" customHeight="1" s="139">
      <c r="A122" s="268" t="inlineStr">
        <is>
          <t>가양동</t>
        </is>
      </c>
      <c r="B122" s="269" t="inlineStr">
        <is>
          <t>하</t>
        </is>
      </c>
      <c r="C122" s="269" t="inlineStr">
        <is>
          <t>중</t>
        </is>
      </c>
      <c r="D122" s="328" t="inlineStr">
        <is>
          <t>아침LH</t>
        </is>
      </c>
      <c r="E122" s="270" t="n">
        <v>34</v>
      </c>
      <c r="F122" s="270" t="n">
        <v>3.45</v>
      </c>
      <c r="G122" s="270" t="n">
        <v>2.8</v>
      </c>
      <c r="H122" s="318" t="n">
        <v>2011.08</v>
      </c>
      <c r="I122" s="318" t="n">
        <v>1025</v>
      </c>
      <c r="J122" s="272" t="n">
        <v>15.92000000000007</v>
      </c>
      <c r="K122" s="273" t="inlineStr">
        <is>
          <t>112A-3, 112A-1, 112A-2, 112C-2, 112A-4, 112B, 112C-1</t>
        </is>
      </c>
      <c r="L122" s="273" t="n">
        <v>84</v>
      </c>
      <c r="M122" s="273" t="n">
        <v>34</v>
      </c>
      <c r="N122" s="406" t="n">
        <v>34500</v>
      </c>
      <c r="O122" s="407" t="n">
        <v>28000</v>
      </c>
      <c r="P122" s="408" t="n">
        <v>6500</v>
      </c>
      <c r="Q122" s="277" t="n">
        <v>0.8115942028985508</v>
      </c>
      <c r="R122" s="407" t="n">
        <v>54000</v>
      </c>
      <c r="S122" s="409" t="n">
        <v>38000</v>
      </c>
      <c r="T122" s="279" t="inlineStr">
        <is>
          <t>계단식</t>
        </is>
      </c>
      <c r="U122" s="273" t="n">
        <v>3</v>
      </c>
      <c r="V122" s="273" t="n">
        <v>2</v>
      </c>
      <c r="W122" s="273" t="n">
        <v>868</v>
      </c>
      <c r="X122" s="336" t="n"/>
      <c r="Y122" s="331" t="n"/>
      <c r="Z122" s="280" t="n">
        <v>34</v>
      </c>
      <c r="AA122" s="410" t="n"/>
      <c r="AB122" s="410" t="n"/>
      <c r="AC122" s="282" t="e">
        <v>#DIV/0!</v>
      </c>
      <c r="AD122" s="283" t="n">
        <v>0</v>
      </c>
      <c r="AE122" s="317" t="n"/>
      <c r="AF122" s="416" t="n"/>
      <c r="AG122" s="417" t="n">
        <v>0</v>
      </c>
      <c r="AH122" s="285" t="e">
        <v>#DIV/0!</v>
      </c>
      <c r="AI122" s="297" t="e">
        <v>#DIV/0!</v>
      </c>
      <c r="AJ122" s="363" t="n"/>
      <c r="AK122" s="16" t="n"/>
    </row>
    <row r="123" ht="15.5" customHeight="1" s="139">
      <c r="A123" s="268" t="inlineStr">
        <is>
          <t>가양동</t>
        </is>
      </c>
      <c r="B123" s="287" t="inlineStr">
        <is>
          <t>하</t>
        </is>
      </c>
      <c r="C123" s="321" t="inlineStr">
        <is>
          <t>중</t>
        </is>
      </c>
      <c r="D123" s="328" t="inlineStr">
        <is>
          <t>아침LH</t>
        </is>
      </c>
      <c r="E123" s="270" t="n">
        <v>30</v>
      </c>
      <c r="F123" s="270" t="n">
        <v>3.3</v>
      </c>
      <c r="G123" s="270" t="n">
        <v>2.7</v>
      </c>
      <c r="H123" s="320" t="n">
        <v>2011.08</v>
      </c>
      <c r="I123" s="320" t="n">
        <v>1025</v>
      </c>
      <c r="J123" s="272" t="n">
        <v>15.92000000000007</v>
      </c>
      <c r="K123" s="289" t="inlineStr">
        <is>
          <t>99A, 99B-1, 99B-2</t>
        </is>
      </c>
      <c r="L123" s="289" t="n">
        <v>74</v>
      </c>
      <c r="M123" s="289" t="n">
        <v>30</v>
      </c>
      <c r="N123" s="413" t="n">
        <v>33000</v>
      </c>
      <c r="O123" s="414" t="n">
        <v>27000</v>
      </c>
      <c r="P123" s="408" t="n">
        <v>6000</v>
      </c>
      <c r="Q123" s="277" t="n">
        <v>0.8181818181818182</v>
      </c>
      <c r="R123" s="414" t="n">
        <v>39000</v>
      </c>
      <c r="S123" s="415" t="n">
        <v>30500</v>
      </c>
      <c r="T123" s="293" t="inlineStr">
        <is>
          <t>계단식</t>
        </is>
      </c>
      <c r="U123" s="289" t="n">
        <v>3</v>
      </c>
      <c r="V123" s="289" t="n">
        <v>2</v>
      </c>
      <c r="W123" s="289" t="n">
        <v>55</v>
      </c>
      <c r="X123" s="336" t="n"/>
      <c r="Y123" s="331" t="n"/>
      <c r="Z123" s="280" t="n">
        <v>30</v>
      </c>
      <c r="AA123" s="410" t="n"/>
      <c r="AB123" s="410" t="n"/>
      <c r="AC123" s="282" t="e">
        <v>#DIV/0!</v>
      </c>
      <c r="AD123" s="283" t="n">
        <v>0</v>
      </c>
      <c r="AE123" s="317" t="n"/>
      <c r="AF123" s="416" t="n"/>
      <c r="AG123" s="417" t="n">
        <v>0</v>
      </c>
      <c r="AH123" s="285" t="e">
        <v>#DIV/0!</v>
      </c>
      <c r="AI123" s="297" t="e">
        <v>#DIV/0!</v>
      </c>
      <c r="AJ123" s="363" t="n"/>
      <c r="AK123" s="16" t="n"/>
      <c r="AS123" s="339" t="n"/>
    </row>
    <row r="124" ht="15.5" customHeight="1" s="139">
      <c r="A124" s="268" t="inlineStr">
        <is>
          <t>가양동</t>
        </is>
      </c>
      <c r="B124" s="287" t="inlineStr">
        <is>
          <t>하</t>
        </is>
      </c>
      <c r="C124" s="316" t="inlineStr">
        <is>
          <t>중</t>
        </is>
      </c>
      <c r="D124" s="328" t="inlineStr">
        <is>
          <t>아침LH</t>
        </is>
      </c>
      <c r="E124" s="270" t="n">
        <v>47</v>
      </c>
      <c r="F124" s="270" t="n">
        <v>0</v>
      </c>
      <c r="G124" s="270" t="n">
        <v>0</v>
      </c>
      <c r="H124" s="320" t="n">
        <v>2011.08</v>
      </c>
      <c r="I124" s="320" t="n">
        <v>1025</v>
      </c>
      <c r="J124" s="272" t="n">
        <v>15.92000000000007</v>
      </c>
      <c r="K124" s="289" t="inlineStr">
        <is>
          <t>154A-2, 154B-2, 154A-1, 154B-1</t>
        </is>
      </c>
      <c r="L124" s="289" t="n">
        <v>118</v>
      </c>
      <c r="M124" s="289" t="n">
        <v>47</v>
      </c>
      <c r="N124" s="413" t="n">
        <v>0</v>
      </c>
      <c r="O124" s="414" t="n">
        <v>0</v>
      </c>
      <c r="P124" s="408" t="n">
        <v>0</v>
      </c>
      <c r="Q124" s="277" t="e">
        <v>#DIV/0!</v>
      </c>
      <c r="R124" s="414" t="n">
        <v>0</v>
      </c>
      <c r="S124" s="415" t="n">
        <v>0</v>
      </c>
      <c r="T124" s="293" t="inlineStr">
        <is>
          <t>계단식</t>
        </is>
      </c>
      <c r="U124" s="289" t="n">
        <v>4</v>
      </c>
      <c r="V124" s="289" t="n">
        <v>2</v>
      </c>
      <c r="W124" s="289" t="n">
        <v>102</v>
      </c>
      <c r="X124" s="336" t="n">
        <v>2021.1</v>
      </c>
      <c r="Y124" s="331" t="n">
        <v>0.01</v>
      </c>
      <c r="Z124" s="280" t="n">
        <v>47</v>
      </c>
      <c r="AA124" s="410" t="n">
        <v>55250</v>
      </c>
      <c r="AB124" s="410" t="n">
        <v>44250</v>
      </c>
      <c r="AC124" s="282" t="e">
        <v>#DIV/0!</v>
      </c>
      <c r="AD124" s="283" t="n">
        <v>0</v>
      </c>
      <c r="AE124" s="317" t="n"/>
      <c r="AF124" s="416" t="n"/>
      <c r="AG124" s="417" t="n">
        <v>0</v>
      </c>
      <c r="AH124" s="285" t="e">
        <v>#DIV/0!</v>
      </c>
      <c r="AI124" s="297" t="e">
        <v>#DIV/0!</v>
      </c>
      <c r="AJ124" s="363" t="n"/>
      <c r="AK124" s="16" t="n"/>
    </row>
    <row r="125" ht="15.5" customHeight="1" s="139">
      <c r="A125" s="48" t="inlineStr">
        <is>
          <t>신흥동</t>
        </is>
      </c>
      <c r="B125" s="191" t="inlineStr">
        <is>
          <t>중</t>
        </is>
      </c>
      <c r="C125" s="178" t="inlineStr">
        <is>
          <t>하</t>
        </is>
      </c>
      <c r="D125" s="329" t="inlineStr">
        <is>
          <t>신흥마을</t>
        </is>
      </c>
      <c r="E125" s="34" t="n">
        <v>29</v>
      </c>
      <c r="F125" s="34" t="n">
        <v>2.7</v>
      </c>
      <c r="G125" s="34" t="n">
        <v>2.3</v>
      </c>
      <c r="H125" s="41" t="n">
        <v>2006.05</v>
      </c>
      <c r="I125" s="41" t="n">
        <v>721</v>
      </c>
      <c r="J125" s="35" t="n">
        <v>20.95000000000005</v>
      </c>
      <c r="K125" s="41" t="n">
        <v>95</v>
      </c>
      <c r="L125" s="41" t="n">
        <v>75</v>
      </c>
      <c r="M125" s="41" t="n">
        <v>29</v>
      </c>
      <c r="N125" s="426" t="n">
        <v>27000</v>
      </c>
      <c r="O125" s="427" t="n">
        <v>23000</v>
      </c>
      <c r="P125" s="420" t="n">
        <v>4000</v>
      </c>
      <c r="Q125" s="183" t="n">
        <v>0.8518518518518519</v>
      </c>
      <c r="R125" s="427" t="n">
        <v>33000</v>
      </c>
      <c r="S125" s="428" t="n">
        <v>24000</v>
      </c>
      <c r="T125" s="59" t="inlineStr">
        <is>
          <t>계단식</t>
        </is>
      </c>
      <c r="U125" s="41" t="n">
        <v>3</v>
      </c>
      <c r="V125" s="41" t="n">
        <v>2</v>
      </c>
      <c r="W125" s="41" t="n">
        <v>178</v>
      </c>
      <c r="X125" s="332" t="n">
        <v>2020.09</v>
      </c>
      <c r="Y125" s="332" t="n">
        <v>0.02</v>
      </c>
      <c r="Z125" s="185" t="n">
        <v>29</v>
      </c>
      <c r="AA125" s="422" t="n">
        <v>30160</v>
      </c>
      <c r="AB125" s="422" t="n">
        <v>26000</v>
      </c>
      <c r="AC125" s="187" t="e">
        <v>#DIV/0!</v>
      </c>
      <c r="AD125" s="188" t="n">
        <v>0</v>
      </c>
      <c r="AE125" s="33" t="n"/>
      <c r="AF125" s="341" t="n"/>
      <c r="AG125" s="350" t="n"/>
      <c r="AH125" s="122" t="n"/>
      <c r="AI125" s="196" t="n"/>
      <c r="AJ125" s="363" t="n"/>
    </row>
    <row r="126" ht="16" customHeight="1" s="139" thickBot="1">
      <c r="A126" s="48" t="inlineStr">
        <is>
          <t>신흥동</t>
        </is>
      </c>
      <c r="B126" s="191" t="inlineStr">
        <is>
          <t>중</t>
        </is>
      </c>
      <c r="C126" s="178" t="inlineStr">
        <is>
          <t>하</t>
        </is>
      </c>
      <c r="D126" s="329" t="inlineStr">
        <is>
          <t>신흥마을</t>
        </is>
      </c>
      <c r="E126" s="34" t="n">
        <v>33</v>
      </c>
      <c r="F126" s="34" t="n">
        <v>2.7</v>
      </c>
      <c r="G126" s="34" t="n">
        <v>2.2</v>
      </c>
      <c r="H126" s="42" t="n">
        <v>2006.05</v>
      </c>
      <c r="I126" s="42" t="n">
        <v>721</v>
      </c>
      <c r="J126" s="35" t="n">
        <v>20.95000000000005</v>
      </c>
      <c r="K126" s="42" t="n">
        <v>109</v>
      </c>
      <c r="L126" s="42" t="n">
        <v>84</v>
      </c>
      <c r="M126" s="42" t="n">
        <v>33</v>
      </c>
      <c r="N126" s="418" t="n">
        <v>27000</v>
      </c>
      <c r="O126" s="419" t="n">
        <v>22000</v>
      </c>
      <c r="P126" s="420" t="n">
        <v>5000</v>
      </c>
      <c r="Q126" s="183" t="n">
        <v>0.8148148148148148</v>
      </c>
      <c r="R126" s="419" t="n">
        <v>35000</v>
      </c>
      <c r="S126" s="421" t="n">
        <v>26500</v>
      </c>
      <c r="T126" s="60" t="inlineStr">
        <is>
          <t>계단식</t>
        </is>
      </c>
      <c r="U126" s="42" t="n">
        <v>3</v>
      </c>
      <c r="V126" s="42" t="n">
        <v>2</v>
      </c>
      <c r="W126" s="42" t="n">
        <v>204</v>
      </c>
      <c r="X126" s="332" t="n">
        <v>2025.11</v>
      </c>
      <c r="Y126" s="332" t="n">
        <v>0.04</v>
      </c>
      <c r="Z126" s="185" t="n">
        <v>33</v>
      </c>
      <c r="AA126" s="422" t="n">
        <v>26167</v>
      </c>
      <c r="AB126" s="422" t="n">
        <v>22500</v>
      </c>
      <c r="AC126" s="187" t="e">
        <v>#DIV/0!</v>
      </c>
      <c r="AD126" s="188" t="n">
        <v>0</v>
      </c>
      <c r="AE126" s="33" t="n"/>
      <c r="AF126" s="341" t="n"/>
      <c r="AG126" s="350" t="n"/>
      <c r="AH126" s="122" t="n"/>
      <c r="AI126" s="196" t="n"/>
      <c r="AJ126" s="363" t="n"/>
      <c r="AK126" s="16" t="n"/>
      <c r="AS126" s="19" t="n"/>
      <c r="AT126" s="18" t="n"/>
      <c r="AU126" s="18" t="n"/>
      <c r="AV126" s="18" t="n"/>
    </row>
    <row r="127" ht="15.5" customHeight="1" s="139">
      <c r="A127" s="48" t="inlineStr">
        <is>
          <t>신흥동</t>
        </is>
      </c>
      <c r="B127" s="13" t="inlineStr">
        <is>
          <t>중</t>
        </is>
      </c>
      <c r="C127" s="172" t="inlineStr">
        <is>
          <t>하</t>
        </is>
      </c>
      <c r="D127" s="329" t="inlineStr">
        <is>
          <t>신흥마을</t>
        </is>
      </c>
      <c r="E127" s="34" t="n">
        <v>24</v>
      </c>
      <c r="F127" s="34" t="n">
        <v>2.35</v>
      </c>
      <c r="G127" s="34" t="n">
        <v>1.9</v>
      </c>
      <c r="H127" s="40" t="n">
        <v>2006.05</v>
      </c>
      <c r="I127" s="40" t="n">
        <v>721</v>
      </c>
      <c r="J127" s="35" t="n">
        <v>20.95000000000005</v>
      </c>
      <c r="K127" s="40" t="inlineStr">
        <is>
          <t>79B, 80A</t>
        </is>
      </c>
      <c r="L127" s="40" t="n">
        <v>59</v>
      </c>
      <c r="M127" s="40" t="n">
        <v>24</v>
      </c>
      <c r="N127" s="423" t="n">
        <v>23500</v>
      </c>
      <c r="O127" s="424" t="n">
        <v>19000</v>
      </c>
      <c r="P127" s="420" t="n">
        <v>4500</v>
      </c>
      <c r="Q127" s="183" t="n">
        <v>0.8085106382978723</v>
      </c>
      <c r="R127" s="424" t="n">
        <v>30000</v>
      </c>
      <c r="S127" s="425" t="n">
        <v>22000</v>
      </c>
      <c r="T127" s="58" t="inlineStr">
        <is>
          <t>계단식</t>
        </is>
      </c>
      <c r="U127" s="40" t="n">
        <v>3</v>
      </c>
      <c r="V127" s="40" t="n">
        <v>2</v>
      </c>
      <c r="W127" s="40" t="n">
        <v>339</v>
      </c>
      <c r="X127" s="332" t="n">
        <v>2023.12</v>
      </c>
      <c r="Y127" s="332" t="n">
        <v>0.04</v>
      </c>
      <c r="Z127" s="185" t="n">
        <v>24</v>
      </c>
      <c r="AA127" s="422" t="n">
        <v>22700</v>
      </c>
      <c r="AB127" s="422" t="n">
        <v>19000</v>
      </c>
      <c r="AC127" s="187" t="e">
        <v>#DIV/0!</v>
      </c>
      <c r="AD127" s="188" t="n">
        <v>0</v>
      </c>
      <c r="AE127" s="33" t="n"/>
      <c r="AF127" s="341" t="n"/>
      <c r="AG127" s="350" t="n"/>
      <c r="AH127" s="122" t="n"/>
      <c r="AI127" s="196" t="n"/>
      <c r="AJ127" s="363" t="n"/>
    </row>
    <row r="128" ht="16" customHeight="1" s="139" thickBot="1">
      <c r="A128" s="268" t="inlineStr">
        <is>
          <t>신흥동</t>
        </is>
      </c>
      <c r="B128" s="287" t="inlineStr">
        <is>
          <t>상</t>
        </is>
      </c>
      <c r="C128" s="316" t="inlineStr">
        <is>
          <t>상</t>
        </is>
      </c>
      <c r="D128" s="328" t="inlineStr">
        <is>
          <t>신흥SK뷰</t>
        </is>
      </c>
      <c r="E128" s="270" t="n">
        <v>34</v>
      </c>
      <c r="F128" s="270" t="n">
        <v>5.4</v>
      </c>
      <c r="G128" s="270" t="n">
        <v>3.5</v>
      </c>
      <c r="H128" s="298" t="n">
        <v>2022.04</v>
      </c>
      <c r="I128" s="298" t="n">
        <v>1588</v>
      </c>
      <c r="J128" s="272" t="n">
        <v>4.960000000000036</v>
      </c>
      <c r="K128" s="298" t="n">
        <v>113</v>
      </c>
      <c r="L128" s="298" t="n">
        <v>84</v>
      </c>
      <c r="M128" s="298" t="n">
        <v>34</v>
      </c>
      <c r="N128" s="429" t="n">
        <v>56000</v>
      </c>
      <c r="O128" s="430" t="n">
        <v>38000</v>
      </c>
      <c r="P128" s="408" t="n">
        <v>19000</v>
      </c>
      <c r="Q128" s="277" t="n">
        <v>0.6481481481481481</v>
      </c>
      <c r="R128" s="430" t="n">
        <v>55800</v>
      </c>
      <c r="S128" s="431" t="n">
        <v>50200</v>
      </c>
      <c r="T128" s="302" t="inlineStr">
        <is>
          <t>계단식</t>
        </is>
      </c>
      <c r="U128" s="298" t="n">
        <v>3</v>
      </c>
      <c r="V128" s="298" t="n">
        <v>2</v>
      </c>
      <c r="W128" s="298" t="n">
        <v>394</v>
      </c>
      <c r="X128" s="331" t="n">
        <v>2022.05</v>
      </c>
      <c r="Y128" s="331" t="n">
        <v>0.01</v>
      </c>
      <c r="Z128" s="280" t="n">
        <v>34</v>
      </c>
      <c r="AA128" s="410" t="n">
        <v>39190</v>
      </c>
      <c r="AB128" s="410" t="n">
        <v>32070</v>
      </c>
      <c r="AC128" s="282" t="e">
        <v>#DIV/0!</v>
      </c>
      <c r="AD128" s="283" t="n">
        <v>0</v>
      </c>
      <c r="AE128" s="317" t="n"/>
      <c r="AF128" s="347" t="n"/>
      <c r="AG128" s="353" t="n"/>
      <c r="AH128" s="296" t="n"/>
      <c r="AI128" s="297" t="n"/>
      <c r="AJ128" s="363" t="n"/>
      <c r="AS128" s="339" t="n"/>
    </row>
    <row r="129" ht="15.5" customHeight="1" s="139">
      <c r="A129" s="268" t="inlineStr">
        <is>
          <t>신흥동</t>
        </is>
      </c>
      <c r="B129" s="269" t="inlineStr">
        <is>
          <t>상</t>
        </is>
      </c>
      <c r="C129" s="269" t="inlineStr">
        <is>
          <t>상</t>
        </is>
      </c>
      <c r="D129" s="328" t="inlineStr">
        <is>
          <t>신흥SK뷰</t>
        </is>
      </c>
      <c r="E129" s="270" t="n">
        <v>30</v>
      </c>
      <c r="F129" s="270" t="n">
        <v>4.85</v>
      </c>
      <c r="G129" s="270" t="n">
        <v>3.3</v>
      </c>
      <c r="H129" s="273" t="n">
        <v>2022.04</v>
      </c>
      <c r="I129" s="273" t="n">
        <v>1588</v>
      </c>
      <c r="J129" s="272" t="n">
        <v>4.960000000000036</v>
      </c>
      <c r="K129" s="273" t="n">
        <v>100</v>
      </c>
      <c r="L129" s="273" t="n">
        <v>74</v>
      </c>
      <c r="M129" s="273" t="n">
        <v>30</v>
      </c>
      <c r="N129" s="406" t="n">
        <v>48500</v>
      </c>
      <c r="O129" s="407" t="n">
        <v>33000</v>
      </c>
      <c r="P129" s="408" t="n">
        <v>15500</v>
      </c>
      <c r="Q129" s="277" t="n">
        <v>0.6804123711340206</v>
      </c>
      <c r="R129" s="407" t="n">
        <v>45700</v>
      </c>
      <c r="S129" s="409" t="n">
        <v>34000</v>
      </c>
      <c r="T129" s="279" t="inlineStr">
        <is>
          <t>계단식</t>
        </is>
      </c>
      <c r="U129" s="273" t="n">
        <v>3</v>
      </c>
      <c r="V129" s="273" t="n">
        <v>2</v>
      </c>
      <c r="W129" s="273" t="n">
        <v>297</v>
      </c>
      <c r="X129" s="331" t="n"/>
      <c r="Y129" s="331" t="n"/>
      <c r="Z129" s="280" t="n">
        <v>30</v>
      </c>
      <c r="AA129" s="410" t="n"/>
      <c r="AB129" s="410" t="n"/>
      <c r="AC129" s="282" t="e">
        <v>#DIV/0!</v>
      </c>
      <c r="AD129" s="283" t="n">
        <v>0</v>
      </c>
      <c r="AE129" s="317" t="n"/>
      <c r="AF129" s="347" t="n"/>
      <c r="AG129" s="353" t="n"/>
      <c r="AH129" s="296" t="n"/>
      <c r="AI129" s="297" t="n"/>
      <c r="AJ129" s="363" t="n"/>
    </row>
    <row r="130" ht="15.5" customHeight="1" s="139">
      <c r="A130" s="268" t="inlineStr">
        <is>
          <t>신흥동</t>
        </is>
      </c>
      <c r="B130" s="287" t="inlineStr">
        <is>
          <t>상</t>
        </is>
      </c>
      <c r="C130" s="316" t="inlineStr">
        <is>
          <t>상</t>
        </is>
      </c>
      <c r="D130" s="328" t="inlineStr">
        <is>
          <t>신흥SK뷰</t>
        </is>
      </c>
      <c r="E130" s="270" t="n">
        <v>24</v>
      </c>
      <c r="F130" s="270" t="n">
        <v>3.8</v>
      </c>
      <c r="G130" s="270" t="n">
        <v>3</v>
      </c>
      <c r="H130" s="289" t="n">
        <v>2022.04</v>
      </c>
      <c r="I130" s="289" t="n">
        <v>1588</v>
      </c>
      <c r="J130" s="272" t="n">
        <v>4.960000000000036</v>
      </c>
      <c r="K130" s="289" t="inlineStr">
        <is>
          <t>80A, 81B</t>
        </is>
      </c>
      <c r="L130" s="289" t="n">
        <v>59</v>
      </c>
      <c r="M130" s="289" t="n">
        <v>24</v>
      </c>
      <c r="N130" s="413" t="n">
        <v>38000</v>
      </c>
      <c r="O130" s="414" t="n">
        <v>30000</v>
      </c>
      <c r="P130" s="408" t="n">
        <v>8000</v>
      </c>
      <c r="Q130" s="277" t="n">
        <v>0.7894736842105263</v>
      </c>
      <c r="R130" s="414" t="n">
        <v>31000</v>
      </c>
      <c r="S130" s="415" t="n">
        <v>37500</v>
      </c>
      <c r="T130" s="293" t="inlineStr">
        <is>
          <t>계단식</t>
        </is>
      </c>
      <c r="U130" s="289" t="n">
        <v>3</v>
      </c>
      <c r="V130" s="289" t="n">
        <v>2</v>
      </c>
      <c r="W130" s="289" t="n">
        <v>808</v>
      </c>
      <c r="X130" s="331" t="n"/>
      <c r="Y130" s="331" t="n"/>
      <c r="Z130" s="280" t="n">
        <v>24</v>
      </c>
      <c r="AA130" s="410" t="n"/>
      <c r="AB130" s="410" t="n"/>
      <c r="AC130" s="282" t="e">
        <v>#DIV/0!</v>
      </c>
      <c r="AD130" s="283" t="n">
        <v>0</v>
      </c>
      <c r="AE130" s="317" t="n"/>
      <c r="AF130" s="347" t="n"/>
      <c r="AG130" s="353" t="n"/>
      <c r="AH130" s="296" t="n"/>
      <c r="AI130" s="297" t="n"/>
      <c r="AJ130" s="363" t="n"/>
    </row>
    <row r="131" ht="15.5" customHeight="1" s="139">
      <c r="A131" s="268" t="inlineStr">
        <is>
          <t>신흥동</t>
        </is>
      </c>
      <c r="B131" s="287" t="inlineStr">
        <is>
          <t>상</t>
        </is>
      </c>
      <c r="C131" s="316" t="inlineStr">
        <is>
          <t>상</t>
        </is>
      </c>
      <c r="D131" s="328" t="inlineStr">
        <is>
          <t>신흥SK뷰</t>
        </is>
      </c>
      <c r="E131" s="270" t="n">
        <v>16</v>
      </c>
      <c r="F131" s="270" t="n">
        <v>0</v>
      </c>
      <c r="G131" s="270" t="n">
        <v>1.68</v>
      </c>
      <c r="H131" s="289" t="n">
        <v>2022.04</v>
      </c>
      <c r="I131" s="289" t="n">
        <v>1588</v>
      </c>
      <c r="J131" s="272" t="n">
        <v>4.960000000000036</v>
      </c>
      <c r="K131" s="289" t="n">
        <v>53</v>
      </c>
      <c r="L131" s="289" t="n">
        <v>39</v>
      </c>
      <c r="M131" s="289" t="n">
        <v>16</v>
      </c>
      <c r="N131" s="413" t="n">
        <v>0</v>
      </c>
      <c r="O131" s="414" t="n">
        <v>16800</v>
      </c>
      <c r="P131" s="408" t="n">
        <v>-16800</v>
      </c>
      <c r="Q131" s="277" t="e">
        <v>#DIV/0!</v>
      </c>
      <c r="R131" s="414" t="n">
        <v>0</v>
      </c>
      <c r="S131" s="415" t="n">
        <v>0</v>
      </c>
      <c r="T131" s="293" t="inlineStr">
        <is>
          <t>계단식</t>
        </is>
      </c>
      <c r="U131" s="289" t="n">
        <v>2</v>
      </c>
      <c r="V131" s="289" t="n">
        <v>1</v>
      </c>
      <c r="W131" s="289" t="n">
        <v>68</v>
      </c>
      <c r="X131" s="331" t="n"/>
      <c r="Y131" s="331" t="n"/>
      <c r="Z131" s="280" t="n">
        <v>16</v>
      </c>
      <c r="AA131" s="410" t="n"/>
      <c r="AB131" s="410" t="n"/>
      <c r="AC131" s="282" t="e">
        <v>#DIV/0!</v>
      </c>
      <c r="AD131" s="283" t="n">
        <v>0</v>
      </c>
      <c r="AE131" s="317" t="n"/>
      <c r="AF131" s="347" t="n"/>
      <c r="AG131" s="353" t="n"/>
      <c r="AH131" s="296" t="n"/>
      <c r="AI131" s="297" t="n"/>
      <c r="AJ131" s="363" t="n"/>
    </row>
    <row r="132" ht="16" customHeight="1" s="139" thickBot="1">
      <c r="A132" s="268" t="inlineStr">
        <is>
          <t>신흥동</t>
        </is>
      </c>
      <c r="B132" s="287" t="inlineStr">
        <is>
          <t>상</t>
        </is>
      </c>
      <c r="C132" s="316" t="inlineStr">
        <is>
          <t>상</t>
        </is>
      </c>
      <c r="D132" s="328" t="inlineStr">
        <is>
          <t>신흥SK뷰</t>
        </is>
      </c>
      <c r="E132" s="270" t="n">
        <v>21</v>
      </c>
      <c r="F132" s="270" t="n">
        <v>0</v>
      </c>
      <c r="G132" s="270" t="n">
        <v>2.2</v>
      </c>
      <c r="H132" s="308" t="n">
        <v>2022.04</v>
      </c>
      <c r="I132" s="308" t="n">
        <v>1588</v>
      </c>
      <c r="J132" s="272" t="n">
        <v>4.960000000000036</v>
      </c>
      <c r="K132" s="308" t="n">
        <v>68</v>
      </c>
      <c r="L132" s="308" t="n">
        <v>51</v>
      </c>
      <c r="M132" s="308" t="n">
        <v>21</v>
      </c>
      <c r="N132" s="440" t="n">
        <v>0</v>
      </c>
      <c r="O132" s="441" t="n">
        <v>22000</v>
      </c>
      <c r="P132" s="408" t="n">
        <v>-22000</v>
      </c>
      <c r="Q132" s="277" t="e">
        <v>#DIV/0!</v>
      </c>
      <c r="R132" s="441" t="n">
        <v>0</v>
      </c>
      <c r="S132" s="442" t="n">
        <v>0</v>
      </c>
      <c r="T132" s="312" t="inlineStr">
        <is>
          <t>계단식</t>
        </is>
      </c>
      <c r="U132" s="308" t="n">
        <v>2</v>
      </c>
      <c r="V132" s="308" t="n">
        <v>1</v>
      </c>
      <c r="W132" s="308" t="n">
        <v>21</v>
      </c>
      <c r="X132" s="331" t="n"/>
      <c r="Y132" s="331" t="n"/>
      <c r="Z132" s="280" t="n">
        <v>21</v>
      </c>
      <c r="AA132" s="410" t="n"/>
      <c r="AB132" s="410" t="n"/>
      <c r="AC132" s="282" t="e">
        <v>#DIV/0!</v>
      </c>
      <c r="AD132" s="283" t="n">
        <v>0</v>
      </c>
      <c r="AE132" s="317" t="n"/>
      <c r="AF132" s="347" t="n"/>
      <c r="AG132" s="353" t="n"/>
      <c r="AH132" s="296" t="n"/>
      <c r="AI132" s="297" t="n"/>
      <c r="AJ132" s="363" t="n"/>
    </row>
    <row r="133" ht="15.5" customHeight="1" s="139">
      <c r="A133" s="48" t="inlineStr">
        <is>
          <t>홍도동</t>
        </is>
      </c>
      <c r="B133" s="191" t="inlineStr">
        <is>
          <t>하</t>
        </is>
      </c>
      <c r="C133" s="172" t="inlineStr">
        <is>
          <t>중</t>
        </is>
      </c>
      <c r="D133" s="329" t="inlineStr">
        <is>
          <t>신동아파밀리에1단지</t>
        </is>
      </c>
      <c r="E133" s="34" t="n">
        <v>33</v>
      </c>
      <c r="F133" s="34" t="n">
        <v>2.89</v>
      </c>
      <c r="G133" s="34" t="n">
        <v>2.2</v>
      </c>
      <c r="H133" s="40" t="n">
        <v>2007.07</v>
      </c>
      <c r="I133" s="40" t="n">
        <v>349</v>
      </c>
      <c r="J133" s="35" t="n">
        <v>19.93000000000006</v>
      </c>
      <c r="K133" s="40" t="inlineStr">
        <is>
          <t>109B, 110C, 111A</t>
        </is>
      </c>
      <c r="L133" s="40" t="n">
        <v>84</v>
      </c>
      <c r="M133" s="40" t="n">
        <v>33</v>
      </c>
      <c r="N133" s="423" t="n">
        <v>28900</v>
      </c>
      <c r="O133" s="424" t="n">
        <v>22000</v>
      </c>
      <c r="P133" s="420" t="n">
        <v>6900</v>
      </c>
      <c r="Q133" s="183" t="n">
        <v>0.7612456747404844</v>
      </c>
      <c r="R133" s="424" t="n">
        <v>38000</v>
      </c>
      <c r="S133" s="425" t="n">
        <v>33000</v>
      </c>
      <c r="T133" s="58" t="inlineStr">
        <is>
          <t>계단식</t>
        </is>
      </c>
      <c r="U133" s="40" t="n">
        <v>3</v>
      </c>
      <c r="V133" s="40" t="n">
        <v>2</v>
      </c>
      <c r="W133" s="40" t="n">
        <v>298</v>
      </c>
      <c r="X133" s="332" t="n">
        <v>2020.05</v>
      </c>
      <c r="Y133" s="332" t="n">
        <v>0.04</v>
      </c>
      <c r="Z133" s="185" t="n">
        <v>33</v>
      </c>
      <c r="AA133" s="422" t="n">
        <v>26477</v>
      </c>
      <c r="AB133" s="422" t="n">
        <v>21545</v>
      </c>
      <c r="AC133" s="187" t="e">
        <v>#DIV/0!</v>
      </c>
      <c r="AD133" s="188" t="n">
        <v>0</v>
      </c>
      <c r="AE133" s="33" t="n"/>
      <c r="AF133" s="341" t="n"/>
      <c r="AG133" s="350" t="n"/>
      <c r="AH133" s="122" t="n"/>
      <c r="AI133" s="196" t="n"/>
      <c r="AJ133" s="363" t="n"/>
    </row>
    <row r="134" ht="15.5" customHeight="1" s="139">
      <c r="A134" s="48" t="inlineStr">
        <is>
          <t>홍도동</t>
        </is>
      </c>
      <c r="B134" s="191" t="inlineStr">
        <is>
          <t>하</t>
        </is>
      </c>
      <c r="C134" s="373" t="inlineStr">
        <is>
          <t>중</t>
        </is>
      </c>
      <c r="D134" s="329" t="inlineStr">
        <is>
          <t>신동아파밀리에1단지</t>
        </is>
      </c>
      <c r="E134" s="34" t="n">
        <v>29</v>
      </c>
      <c r="F134" s="34" t="n">
        <v>2.85</v>
      </c>
      <c r="G134" s="34" t="n">
        <v>2.3</v>
      </c>
      <c r="H134" s="41" t="n">
        <v>2007.07</v>
      </c>
      <c r="I134" s="41" t="n">
        <v>349</v>
      </c>
      <c r="J134" s="35" t="n">
        <v>19.93000000000006</v>
      </c>
      <c r="K134" s="41" t="n">
        <v>95</v>
      </c>
      <c r="L134" s="41" t="n">
        <v>74</v>
      </c>
      <c r="M134" s="41" t="n">
        <v>29</v>
      </c>
      <c r="N134" s="426" t="n">
        <v>28500</v>
      </c>
      <c r="O134" s="427" t="n">
        <v>23000</v>
      </c>
      <c r="P134" s="420" t="n">
        <v>5500</v>
      </c>
      <c r="Q134" s="183" t="n">
        <v>0.8070175438596491</v>
      </c>
      <c r="R134" s="427" t="n">
        <v>34000</v>
      </c>
      <c r="S134" s="428" t="n">
        <v>31000</v>
      </c>
      <c r="T134" s="59" t="inlineStr">
        <is>
          <t>계단식</t>
        </is>
      </c>
      <c r="U134" s="41" t="n">
        <v>3</v>
      </c>
      <c r="V134" s="41" t="n">
        <v>2</v>
      </c>
      <c r="W134" s="41" t="n">
        <v>51</v>
      </c>
      <c r="X134" s="332" t="n">
        <v>2022.07</v>
      </c>
      <c r="Y134" s="332" t="n">
        <v>0.04</v>
      </c>
      <c r="Z134" s="185" t="n">
        <v>29</v>
      </c>
      <c r="AA134" s="422" t="n">
        <v>31800</v>
      </c>
      <c r="AB134" s="422" t="n">
        <v>26000</v>
      </c>
      <c r="AC134" s="187" t="e">
        <v>#DIV/0!</v>
      </c>
      <c r="AD134" s="188" t="n">
        <v>0</v>
      </c>
      <c r="AE134" s="33" t="n"/>
      <c r="AF134" s="341" t="n"/>
      <c r="AG134" s="350" t="n"/>
      <c r="AH134" s="122" t="n"/>
      <c r="AI134" s="196" t="n"/>
      <c r="AJ134" s="363" t="n"/>
      <c r="AK134" s="15" t="n"/>
      <c r="AS134" s="339" t="n"/>
    </row>
    <row r="135" ht="15.5" customHeight="1" s="139">
      <c r="A135" s="268" t="inlineStr">
        <is>
          <t>용전동</t>
        </is>
      </c>
      <c r="B135" s="287" t="inlineStr">
        <is>
          <t>상</t>
        </is>
      </c>
      <c r="C135" s="316" t="inlineStr">
        <is>
          <t>하</t>
        </is>
      </c>
      <c r="D135" s="328" t="inlineStr">
        <is>
          <t>신동아</t>
        </is>
      </c>
      <c r="E135" s="270" t="n">
        <v>31</v>
      </c>
      <c r="F135" s="270" t="n">
        <v>2</v>
      </c>
      <c r="G135" s="270" t="n">
        <v>2.02</v>
      </c>
      <c r="H135" s="289" t="n">
        <v>1990.09</v>
      </c>
      <c r="I135" s="289" t="n">
        <v>914</v>
      </c>
      <c r="J135" s="272" t="n">
        <v>36.91000000000008</v>
      </c>
      <c r="K135" s="289" t="n">
        <v>101</v>
      </c>
      <c r="L135" s="289" t="n">
        <v>84</v>
      </c>
      <c r="M135" s="289" t="n">
        <v>31</v>
      </c>
      <c r="N135" s="413" t="n">
        <v>20000</v>
      </c>
      <c r="O135" s="414" t="n">
        <v>20200</v>
      </c>
      <c r="P135" s="408" t="n">
        <v>-200</v>
      </c>
      <c r="Q135" s="277" t="n">
        <v>1.01</v>
      </c>
      <c r="R135" s="414" t="n">
        <v>31000</v>
      </c>
      <c r="S135" s="415" t="n">
        <v>21500</v>
      </c>
      <c r="T135" s="293" t="inlineStr">
        <is>
          <t>계단식</t>
        </is>
      </c>
      <c r="U135" s="289" t="n">
        <v>3</v>
      </c>
      <c r="V135" s="289" t="n">
        <v>2</v>
      </c>
      <c r="W135" s="289" t="n">
        <v>524</v>
      </c>
      <c r="X135" s="331" t="n"/>
      <c r="Y135" s="331" t="n"/>
      <c r="Z135" s="280" t="n">
        <v>31</v>
      </c>
      <c r="AA135" s="410" t="n"/>
      <c r="AB135" s="410" t="n"/>
      <c r="AC135" s="282" t="e">
        <v>#DIV/0!</v>
      </c>
      <c r="AD135" s="283" t="n">
        <v>0</v>
      </c>
      <c r="AE135" s="317" t="n"/>
      <c r="AF135" s="347" t="n"/>
      <c r="AG135" s="353" t="n"/>
      <c r="AH135" s="296" t="n"/>
      <c r="AI135" s="297" t="n"/>
      <c r="AJ135" s="363" t="n"/>
    </row>
    <row r="136" ht="16" customHeight="1" s="139" thickBot="1">
      <c r="A136" s="268" t="inlineStr">
        <is>
          <t>용전동</t>
        </is>
      </c>
      <c r="B136" s="287" t="inlineStr">
        <is>
          <t>상</t>
        </is>
      </c>
      <c r="C136" s="316" t="inlineStr">
        <is>
          <t>하</t>
        </is>
      </c>
      <c r="D136" s="328" t="inlineStr">
        <is>
          <t>신동아</t>
        </is>
      </c>
      <c r="E136" s="270" t="n">
        <v>25</v>
      </c>
      <c r="F136" s="270" t="n">
        <v>1.6</v>
      </c>
      <c r="G136" s="270" t="n">
        <v>1.4</v>
      </c>
      <c r="H136" s="298" t="n">
        <v>1990.09</v>
      </c>
      <c r="I136" s="298" t="n">
        <v>914</v>
      </c>
      <c r="J136" s="272" t="n">
        <v>36.91000000000008</v>
      </c>
      <c r="K136" s="298" t="n">
        <v>82</v>
      </c>
      <c r="L136" s="298" t="n">
        <v>67</v>
      </c>
      <c r="M136" s="298" t="n">
        <v>25</v>
      </c>
      <c r="N136" s="429" t="n">
        <v>16000</v>
      </c>
      <c r="O136" s="430" t="n">
        <v>14000</v>
      </c>
      <c r="P136" s="408" t="n">
        <v>2000</v>
      </c>
      <c r="Q136" s="277" t="n">
        <v>0.875</v>
      </c>
      <c r="R136" s="414" t="n">
        <v>20500</v>
      </c>
      <c r="S136" s="431" t="n">
        <v>15000</v>
      </c>
      <c r="T136" s="302" t="inlineStr">
        <is>
          <t>계단식</t>
        </is>
      </c>
      <c r="U136" s="298" t="n">
        <v>3</v>
      </c>
      <c r="V136" s="298" t="n">
        <v>1</v>
      </c>
      <c r="W136" s="298" t="n">
        <v>240</v>
      </c>
      <c r="X136" s="331" t="n">
        <v>2025.02</v>
      </c>
      <c r="Y136" s="331" t="n">
        <v>0.02</v>
      </c>
      <c r="Z136" s="280" t="n">
        <v>25</v>
      </c>
      <c r="AA136" s="410" t="n">
        <v>16333</v>
      </c>
      <c r="AB136" s="410" t="n">
        <v>13281</v>
      </c>
      <c r="AC136" s="282" t="e">
        <v>#DIV/0!</v>
      </c>
      <c r="AD136" s="283" t="n">
        <v>0</v>
      </c>
      <c r="AE136" s="317" t="n"/>
      <c r="AF136" s="347" t="n"/>
      <c r="AG136" s="353" t="n"/>
      <c r="AH136" s="296" t="n"/>
      <c r="AI136" s="297" t="n"/>
      <c r="AJ136" s="363" t="n"/>
      <c r="AS136" s="357" t="n"/>
    </row>
    <row r="137" ht="15.5" customHeight="1" s="139">
      <c r="A137" s="268" t="inlineStr">
        <is>
          <t>용전동</t>
        </is>
      </c>
      <c r="B137" s="287" t="inlineStr">
        <is>
          <t>상</t>
        </is>
      </c>
      <c r="C137" s="269" t="inlineStr">
        <is>
          <t>하</t>
        </is>
      </c>
      <c r="D137" s="328" t="inlineStr">
        <is>
          <t>신동아</t>
        </is>
      </c>
      <c r="E137" s="270" t="n">
        <v>39</v>
      </c>
      <c r="F137" s="270" t="n">
        <v>0</v>
      </c>
      <c r="G137" s="270" t="n">
        <v>0</v>
      </c>
      <c r="H137" s="273" t="n">
        <v>1990.09</v>
      </c>
      <c r="I137" s="273" t="n">
        <v>914</v>
      </c>
      <c r="J137" s="272" t="n">
        <v>36.91000000000008</v>
      </c>
      <c r="K137" s="273" t="n">
        <v>130</v>
      </c>
      <c r="L137" s="273" t="n">
        <v>111</v>
      </c>
      <c r="M137" s="273" t="n">
        <v>39</v>
      </c>
      <c r="N137" s="406" t="n">
        <v>0</v>
      </c>
      <c r="O137" s="407" t="n">
        <v>0</v>
      </c>
      <c r="P137" s="408" t="n">
        <v>0</v>
      </c>
      <c r="Q137" s="277" t="e">
        <v>#DIV/0!</v>
      </c>
      <c r="R137" s="407" t="n">
        <v>0</v>
      </c>
      <c r="S137" s="409" t="n">
        <v>0</v>
      </c>
      <c r="T137" s="279" t="inlineStr">
        <is>
          <t>계단식</t>
        </is>
      </c>
      <c r="U137" s="273" t="n">
        <v>4</v>
      </c>
      <c r="V137" s="273" t="n">
        <v>2</v>
      </c>
      <c r="W137" s="273" t="n">
        <v>90</v>
      </c>
      <c r="X137" s="331" t="n">
        <v>2023.09</v>
      </c>
      <c r="Y137" s="331" t="n">
        <v>0.04</v>
      </c>
      <c r="Z137" s="280" t="n">
        <v>39</v>
      </c>
      <c r="AA137" s="410" t="n">
        <v>24800</v>
      </c>
      <c r="AB137" s="410" t="n">
        <v>24800</v>
      </c>
      <c r="AC137" s="282" t="e">
        <v>#DIV/0!</v>
      </c>
      <c r="AD137" s="283" t="n">
        <v>0</v>
      </c>
      <c r="AE137" s="317" t="n"/>
      <c r="AF137" s="347" t="n"/>
      <c r="AG137" s="353" t="n"/>
      <c r="AH137" s="296" t="n"/>
      <c r="AI137" s="297" t="n"/>
      <c r="AJ137" s="363" t="n"/>
    </row>
    <row r="138" ht="15.5" customHeight="1" s="139">
      <c r="A138" s="268" t="inlineStr">
        <is>
          <t>용전동</t>
        </is>
      </c>
      <c r="B138" s="287" t="inlineStr">
        <is>
          <t>상</t>
        </is>
      </c>
      <c r="C138" s="316" t="inlineStr">
        <is>
          <t>하</t>
        </is>
      </c>
      <c r="D138" s="328" t="inlineStr">
        <is>
          <t>신동아</t>
        </is>
      </c>
      <c r="E138" s="270" t="n">
        <v>44</v>
      </c>
      <c r="F138" s="270" t="n">
        <v>0</v>
      </c>
      <c r="G138" s="270" t="n">
        <v>0</v>
      </c>
      <c r="H138" s="289" t="n">
        <v>1990.09</v>
      </c>
      <c r="I138" s="289" t="n">
        <v>914</v>
      </c>
      <c r="J138" s="272" t="n">
        <v>36.91000000000008</v>
      </c>
      <c r="K138" s="289" t="n">
        <v>145</v>
      </c>
      <c r="L138" s="289" t="n">
        <v>126</v>
      </c>
      <c r="M138" s="289" t="n">
        <v>44</v>
      </c>
      <c r="N138" s="413" t="n">
        <v>0</v>
      </c>
      <c r="O138" s="414" t="n">
        <v>0</v>
      </c>
      <c r="P138" s="408" t="n">
        <v>0</v>
      </c>
      <c r="Q138" s="277" t="e">
        <v>#DIV/0!</v>
      </c>
      <c r="R138" s="414" t="n">
        <v>0</v>
      </c>
      <c r="S138" s="415" t="n">
        <v>0</v>
      </c>
      <c r="T138" s="293" t="inlineStr">
        <is>
          <t>계단식</t>
        </is>
      </c>
      <c r="U138" s="289" t="n">
        <v>4</v>
      </c>
      <c r="V138" s="289" t="n">
        <v>2</v>
      </c>
      <c r="W138" s="289" t="n">
        <v>60</v>
      </c>
      <c r="X138" s="331" t="n"/>
      <c r="Y138" s="331" t="n"/>
      <c r="Z138" s="280" t="n">
        <v>44</v>
      </c>
      <c r="AA138" s="410" t="n"/>
      <c r="AB138" s="410" t="n"/>
      <c r="AC138" s="282" t="e">
        <v>#DIV/0!</v>
      </c>
      <c r="AD138" s="283" t="n">
        <v>0</v>
      </c>
      <c r="AE138" s="317" t="n"/>
      <c r="AF138" s="347" t="n"/>
      <c r="AG138" s="353" t="n"/>
      <c r="AH138" s="296" t="n"/>
      <c r="AI138" s="297" t="n"/>
      <c r="AJ138" s="363" t="n"/>
      <c r="AK138" s="16" t="n"/>
      <c r="AS138" s="339" t="n"/>
    </row>
    <row r="139" ht="16" customHeight="1" s="139" thickBot="1">
      <c r="A139" s="48" t="inlineStr">
        <is>
          <t>성남동</t>
        </is>
      </c>
      <c r="B139" s="191" t="inlineStr">
        <is>
          <t>상</t>
        </is>
      </c>
      <c r="C139" s="178" t="inlineStr">
        <is>
          <t>상</t>
        </is>
      </c>
      <c r="D139" s="329" t="inlineStr">
        <is>
          <t>스마트뷰</t>
        </is>
      </c>
      <c r="E139" s="34" t="n">
        <v>30</v>
      </c>
      <c r="F139" s="34" t="n">
        <v>3.5</v>
      </c>
      <c r="G139" s="34" t="n">
        <v>2.2</v>
      </c>
      <c r="H139" s="42" t="n">
        <v>2011.12</v>
      </c>
      <c r="I139" s="42" t="n">
        <v>1115</v>
      </c>
      <c r="J139" s="35" t="n">
        <v>15.88000000000011</v>
      </c>
      <c r="K139" s="42" t="inlineStr">
        <is>
          <t>98B, 98A</t>
        </is>
      </c>
      <c r="L139" s="42" t="n">
        <v>74</v>
      </c>
      <c r="M139" s="42" t="n">
        <v>30</v>
      </c>
      <c r="N139" s="418" t="n">
        <v>35000</v>
      </c>
      <c r="O139" s="419" t="n">
        <v>22000</v>
      </c>
      <c r="P139" s="420" t="n">
        <v>13000</v>
      </c>
      <c r="Q139" s="183" t="n">
        <v>0.6285714285714286</v>
      </c>
      <c r="R139" s="419" t="n">
        <v>42000</v>
      </c>
      <c r="S139" s="421" t="n">
        <v>30000</v>
      </c>
      <c r="T139" s="60" t="inlineStr">
        <is>
          <t>계단식</t>
        </is>
      </c>
      <c r="U139" s="42" t="n">
        <v>3</v>
      </c>
      <c r="V139" s="42" t="n">
        <v>2</v>
      </c>
      <c r="W139" s="42" t="n">
        <v>55</v>
      </c>
      <c r="X139" s="332" t="n">
        <v>2023.08</v>
      </c>
      <c r="Y139" s="332" t="n">
        <v>0.01</v>
      </c>
      <c r="Z139" s="185" t="n">
        <v>30</v>
      </c>
      <c r="AA139" s="422" t="n">
        <v>32900</v>
      </c>
      <c r="AB139" s="422" t="n">
        <v>29000</v>
      </c>
      <c r="AC139" s="187" t="e">
        <v>#DIV/0!</v>
      </c>
      <c r="AD139" s="188" t="n">
        <v>0</v>
      </c>
      <c r="AE139" s="189" t="n"/>
      <c r="AF139" s="341" t="n"/>
      <c r="AG139" s="350" t="n"/>
      <c r="AH139" s="122" t="n"/>
      <c r="AI139" s="196" t="n"/>
      <c r="AJ139" s="363" t="n"/>
      <c r="AS139" s="350" t="inlineStr">
        <is>
          <t>&gt;&gt;&gt; 투자 적용 및 질문 등으로 파트 나눠볼 수 있음</t>
        </is>
      </c>
    </row>
    <row r="140" ht="15.5" customHeight="1" s="139">
      <c r="A140" s="48" t="inlineStr">
        <is>
          <t>성남동</t>
        </is>
      </c>
      <c r="B140" s="191" t="inlineStr">
        <is>
          <t>상</t>
        </is>
      </c>
      <c r="C140" s="172" t="inlineStr">
        <is>
          <t>상</t>
        </is>
      </c>
      <c r="D140" s="329" t="inlineStr">
        <is>
          <t>스마트뷰</t>
        </is>
      </c>
      <c r="E140" s="34" t="n">
        <v>34</v>
      </c>
      <c r="F140" s="34" t="n">
        <v>3.3</v>
      </c>
      <c r="G140" s="34" t="n">
        <v>2.6</v>
      </c>
      <c r="H140" s="40" t="n">
        <v>2011.12</v>
      </c>
      <c r="I140" s="40" t="n">
        <v>1115</v>
      </c>
      <c r="J140" s="35" t="n">
        <v>15.88000000000011</v>
      </c>
      <c r="K140" s="40" t="inlineStr">
        <is>
          <t>111A, 111B, 111C</t>
        </is>
      </c>
      <c r="L140" s="40" t="n">
        <v>84</v>
      </c>
      <c r="M140" s="40" t="n">
        <v>34</v>
      </c>
      <c r="N140" s="423" t="n">
        <v>33000</v>
      </c>
      <c r="O140" s="424" t="n">
        <v>26000</v>
      </c>
      <c r="P140" s="420" t="n">
        <v>7000</v>
      </c>
      <c r="Q140" s="183" t="n">
        <v>0.7878787878787878</v>
      </c>
      <c r="R140" s="424" t="n">
        <v>44800</v>
      </c>
      <c r="S140" s="425" t="n">
        <v>31800</v>
      </c>
      <c r="T140" s="58" t="inlineStr">
        <is>
          <t>계단식</t>
        </is>
      </c>
      <c r="U140" s="40" t="n">
        <v>3</v>
      </c>
      <c r="V140" s="40" t="n">
        <v>2</v>
      </c>
      <c r="W140" s="40" t="n">
        <v>964</v>
      </c>
      <c r="X140" s="332" t="n"/>
      <c r="Y140" s="332" t="n"/>
      <c r="Z140" s="185" t="n">
        <v>34</v>
      </c>
      <c r="AA140" s="422" t="n"/>
      <c r="AB140" s="422" t="n"/>
      <c r="AC140" s="187" t="e">
        <v>#DIV/0!</v>
      </c>
      <c r="AD140" s="188" t="n">
        <v>0</v>
      </c>
      <c r="AE140" s="189" t="n"/>
      <c r="AF140" s="341" t="n"/>
      <c r="AG140" s="350" t="n"/>
      <c r="AH140" s="122" t="n"/>
      <c r="AI140" s="196" t="n"/>
      <c r="AJ140" s="363" t="n"/>
      <c r="AK140" s="16" t="n"/>
    </row>
    <row r="141" ht="15.5" customHeight="1" s="139">
      <c r="A141" s="48" t="inlineStr">
        <is>
          <t>성남동</t>
        </is>
      </c>
      <c r="B141" s="191" t="inlineStr">
        <is>
          <t>상</t>
        </is>
      </c>
      <c r="C141" s="178" t="inlineStr">
        <is>
          <t>상</t>
        </is>
      </c>
      <c r="D141" s="329" t="inlineStr">
        <is>
          <t>스마트뷰</t>
        </is>
      </c>
      <c r="E141" s="34" t="n">
        <v>45</v>
      </c>
      <c r="F141" s="34" t="n">
        <v>0</v>
      </c>
      <c r="G141" s="34" t="n">
        <v>0</v>
      </c>
      <c r="H141" s="41" t="n">
        <v>2011.12</v>
      </c>
      <c r="I141" s="41" t="n">
        <v>1115</v>
      </c>
      <c r="J141" s="35" t="n">
        <v>15.88000000000011</v>
      </c>
      <c r="K141" s="41" t="inlineStr">
        <is>
          <t>148, 151P</t>
        </is>
      </c>
      <c r="L141" s="41" t="n">
        <v>118</v>
      </c>
      <c r="M141" s="41" t="n">
        <v>45</v>
      </c>
      <c r="N141" s="426" t="n">
        <v>0</v>
      </c>
      <c r="O141" s="427" t="n">
        <v>0</v>
      </c>
      <c r="P141" s="420" t="n">
        <v>0</v>
      </c>
      <c r="Q141" s="183" t="e">
        <v>#DIV/0!</v>
      </c>
      <c r="R141" s="427" t="n">
        <v>0</v>
      </c>
      <c r="S141" s="428" t="n">
        <v>0</v>
      </c>
      <c r="T141" s="59" t="inlineStr">
        <is>
          <t>계단식</t>
        </is>
      </c>
      <c r="U141" s="41" t="n">
        <v>4</v>
      </c>
      <c r="V141" s="41" t="n">
        <v>2</v>
      </c>
      <c r="W141" s="41" t="n">
        <v>96</v>
      </c>
      <c r="X141" s="332" t="n">
        <v>2020.01</v>
      </c>
      <c r="Y141" s="332" t="n">
        <v>0.04</v>
      </c>
      <c r="Z141" s="185" t="n">
        <v>45</v>
      </c>
      <c r="AA141" s="422" t="n">
        <v>34200</v>
      </c>
      <c r="AB141" s="422" t="n">
        <v>30000</v>
      </c>
      <c r="AC141" s="187" t="e">
        <v>#DIV/0!</v>
      </c>
      <c r="AD141" s="188" t="n">
        <v>0</v>
      </c>
      <c r="AE141" s="33" t="n"/>
      <c r="AF141" s="341" t="n"/>
      <c r="AG141" s="350" t="n"/>
      <c r="AH141" s="122" t="n"/>
      <c r="AI141" s="196" t="n"/>
      <c r="AJ141" s="363" t="n"/>
      <c r="AK141" s="16" t="n"/>
      <c r="AS141" s="350" t="inlineStr">
        <is>
          <t>★중요한 것은 스스로 생각해보고 결론 내어보고 매임까지 하면서 [검증]해 나가는 것</t>
        </is>
      </c>
    </row>
    <row r="142" ht="16" customHeight="1" s="139" thickBot="1">
      <c r="A142" s="268" t="inlineStr">
        <is>
          <t>성남동</t>
        </is>
      </c>
      <c r="B142" s="287" t="inlineStr">
        <is>
          <t>상</t>
        </is>
      </c>
      <c r="C142" s="316" t="inlineStr">
        <is>
          <t>하</t>
        </is>
      </c>
      <c r="D142" s="328" t="inlineStr">
        <is>
          <t>석촌주공</t>
        </is>
      </c>
      <c r="E142" s="270" t="n">
        <v>33</v>
      </c>
      <c r="F142" s="270" t="n">
        <v>2.65</v>
      </c>
      <c r="G142" s="270" t="n">
        <v>1.4</v>
      </c>
      <c r="H142" s="298" t="n">
        <v>2000.07</v>
      </c>
      <c r="I142" s="298" t="n">
        <v>451</v>
      </c>
      <c r="J142" s="272" t="n">
        <v>26.93000000000006</v>
      </c>
      <c r="K142" s="298" t="n">
        <v>110</v>
      </c>
      <c r="L142" s="298" t="n">
        <v>84</v>
      </c>
      <c r="M142" s="298" t="n">
        <v>33</v>
      </c>
      <c r="N142" s="429" t="n">
        <v>26500</v>
      </c>
      <c r="O142" s="430" t="n">
        <v>14000</v>
      </c>
      <c r="P142" s="408" t="n">
        <v>12500</v>
      </c>
      <c r="Q142" s="277" t="n">
        <v>0.5283018867924528</v>
      </c>
      <c r="R142" s="430" t="n">
        <v>36000</v>
      </c>
      <c r="S142" s="431" t="n">
        <v>28000</v>
      </c>
      <c r="T142" s="302" t="inlineStr">
        <is>
          <t>복도식</t>
        </is>
      </c>
      <c r="U142" s="298" t="n">
        <v>3</v>
      </c>
      <c r="V142" s="298" t="n">
        <v>2</v>
      </c>
      <c r="W142" s="298" t="n">
        <v>125</v>
      </c>
      <c r="X142" s="331" t="n">
        <v>2024.05</v>
      </c>
      <c r="Y142" s="331" t="n">
        <v>0.04</v>
      </c>
      <c r="Z142" s="280" t="n">
        <v>33</v>
      </c>
      <c r="AA142" s="410" t="n">
        <v>25000</v>
      </c>
      <c r="AB142" s="410" t="n">
        <v>23500</v>
      </c>
      <c r="AC142" s="282" t="e">
        <v>#DIV/0!</v>
      </c>
      <c r="AD142" s="283" t="n">
        <v>0</v>
      </c>
      <c r="AE142" s="284" t="n"/>
      <c r="AF142" s="347" t="n"/>
      <c r="AG142" s="353" t="n"/>
      <c r="AH142" s="296" t="n"/>
      <c r="AI142" s="297" t="n"/>
      <c r="AJ142" s="363" t="n"/>
      <c r="AS142" s="350" t="inlineStr">
        <is>
          <t>&gt;&gt;&gt; 결론 (찾은 내용을 바탕으로 기준 및 우선순위 정리)</t>
        </is>
      </c>
    </row>
    <row r="143" ht="15.5" customHeight="1" s="139">
      <c r="A143" s="268" t="inlineStr">
        <is>
          <t>성남동</t>
        </is>
      </c>
      <c r="B143" s="269" t="inlineStr">
        <is>
          <t>상</t>
        </is>
      </c>
      <c r="C143" s="269" t="inlineStr">
        <is>
          <t>하</t>
        </is>
      </c>
      <c r="D143" s="328" t="inlineStr">
        <is>
          <t>석촌주공</t>
        </is>
      </c>
      <c r="E143" s="270" t="n">
        <v>24</v>
      </c>
      <c r="F143" s="270" t="n">
        <v>2.4</v>
      </c>
      <c r="G143" s="270" t="n">
        <v>1.6</v>
      </c>
      <c r="H143" s="273" t="n">
        <v>2000.07</v>
      </c>
      <c r="I143" s="273" t="n">
        <v>451</v>
      </c>
      <c r="J143" s="272" t="n">
        <v>26.93000000000006</v>
      </c>
      <c r="K143" s="273" t="n">
        <v>78</v>
      </c>
      <c r="L143" s="273" t="n">
        <v>59</v>
      </c>
      <c r="M143" s="273" t="n">
        <v>24</v>
      </c>
      <c r="N143" s="406" t="n">
        <v>24000</v>
      </c>
      <c r="O143" s="407" t="n">
        <v>16000</v>
      </c>
      <c r="P143" s="408" t="n">
        <v>8000</v>
      </c>
      <c r="Q143" s="277" t="n">
        <v>0.6666666666666666</v>
      </c>
      <c r="R143" s="407" t="n">
        <v>27000</v>
      </c>
      <c r="S143" s="409" t="n">
        <v>25000</v>
      </c>
      <c r="T143" s="279" t="inlineStr">
        <is>
          <t>복도식</t>
        </is>
      </c>
      <c r="U143" s="273" t="n">
        <v>3</v>
      </c>
      <c r="V143" s="273" t="n">
        <v>1</v>
      </c>
      <c r="W143" s="273" t="n">
        <v>59</v>
      </c>
      <c r="X143" s="331" t="n">
        <v>2023.09</v>
      </c>
      <c r="Y143" s="331" t="n">
        <v>0.01</v>
      </c>
      <c r="Z143" s="280" t="n">
        <v>24</v>
      </c>
      <c r="AA143" s="410" t="n">
        <v>19833</v>
      </c>
      <c r="AB143" s="410" t="n">
        <v>16500</v>
      </c>
      <c r="AC143" s="282" t="e">
        <v>#DIV/0!</v>
      </c>
      <c r="AD143" s="283" t="n">
        <v>0</v>
      </c>
      <c r="AE143" s="284" t="n"/>
      <c r="AF143" s="347" t="n"/>
      <c r="AG143" s="353" t="n"/>
      <c r="AH143" s="296" t="n"/>
      <c r="AI143" s="297" t="n"/>
      <c r="AJ143" s="363" t="n"/>
      <c r="AS143" s="350" t="inlineStr">
        <is>
          <t>&gt;&gt;&gt; 인사이트 (가격을 통해 찾은 내용)</t>
        </is>
      </c>
    </row>
    <row r="144" ht="15.5" customHeight="1" s="139">
      <c r="A144" s="268" t="inlineStr">
        <is>
          <t>성남동</t>
        </is>
      </c>
      <c r="B144" s="287" t="inlineStr">
        <is>
          <t>상</t>
        </is>
      </c>
      <c r="C144" s="316" t="inlineStr">
        <is>
          <t>하</t>
        </is>
      </c>
      <c r="D144" s="328" t="inlineStr">
        <is>
          <t>석촌주공</t>
        </is>
      </c>
      <c r="E144" s="270" t="n">
        <v>24</v>
      </c>
      <c r="F144" s="270" t="n">
        <v>2.15</v>
      </c>
      <c r="G144" s="270" t="n">
        <v>1.7</v>
      </c>
      <c r="H144" s="289" t="n">
        <v>2000.07</v>
      </c>
      <c r="I144" s="289" t="n">
        <v>451</v>
      </c>
      <c r="J144" s="272" t="n">
        <v>26.93000000000006</v>
      </c>
      <c r="K144" s="289" t="inlineStr">
        <is>
          <t>78B, 78A</t>
        </is>
      </c>
      <c r="L144" s="289" t="n">
        <v>59</v>
      </c>
      <c r="M144" s="289" t="n">
        <v>24</v>
      </c>
      <c r="N144" s="413" t="n">
        <v>21500</v>
      </c>
      <c r="O144" s="414" t="n">
        <v>17000</v>
      </c>
      <c r="P144" s="408" t="n">
        <v>4500</v>
      </c>
      <c r="Q144" s="277" t="n">
        <v>0.7906976744186046</v>
      </c>
      <c r="R144" s="414" t="n">
        <v>26000</v>
      </c>
      <c r="S144" s="415" t="n">
        <v>25000</v>
      </c>
      <c r="T144" s="293" t="inlineStr">
        <is>
          <t>계단식</t>
        </is>
      </c>
      <c r="U144" s="289" t="n">
        <v>2</v>
      </c>
      <c r="V144" s="289" t="n">
        <v>1</v>
      </c>
      <c r="W144" s="289" t="n">
        <v>129</v>
      </c>
      <c r="X144" s="331" t="n">
        <v>2023.09</v>
      </c>
      <c r="Y144" s="331" t="n">
        <v>0.01</v>
      </c>
      <c r="Z144" s="280" t="n">
        <v>24</v>
      </c>
      <c r="AA144" s="410" t="n">
        <v>19833</v>
      </c>
      <c r="AB144" s="410" t="n">
        <v>16500</v>
      </c>
      <c r="AC144" s="282" t="e">
        <v>#DIV/0!</v>
      </c>
      <c r="AD144" s="283" t="n">
        <v>0</v>
      </c>
      <c r="AE144" s="284" t="n"/>
      <c r="AF144" s="347" t="n"/>
      <c r="AG144" s="353" t="n"/>
      <c r="AH144" s="296" t="n"/>
      <c r="AI144" s="297" t="n"/>
      <c r="AJ144" s="363" t="n"/>
      <c r="AS144" s="350" t="e">
        <v>#NAME?</v>
      </c>
    </row>
    <row r="145" ht="15.5" customHeight="1" s="139">
      <c r="A145" s="268" t="inlineStr">
        <is>
          <t>성남동</t>
        </is>
      </c>
      <c r="B145" s="287" t="inlineStr">
        <is>
          <t>상</t>
        </is>
      </c>
      <c r="C145" s="316" t="inlineStr">
        <is>
          <t>하</t>
        </is>
      </c>
      <c r="D145" s="328" t="inlineStr">
        <is>
          <t>석촌주공</t>
        </is>
      </c>
      <c r="E145" s="270" t="n">
        <v>20</v>
      </c>
      <c r="F145" s="270" t="n">
        <v>1.8</v>
      </c>
      <c r="G145" s="270" t="n">
        <v>1.57</v>
      </c>
      <c r="H145" s="289" t="n">
        <v>2000.07</v>
      </c>
      <c r="I145" s="289" t="n">
        <v>451</v>
      </c>
      <c r="J145" s="272" t="n">
        <v>26.93000000000006</v>
      </c>
      <c r="K145" s="289" t="n">
        <v>65</v>
      </c>
      <c r="L145" s="289" t="n">
        <v>49</v>
      </c>
      <c r="M145" s="289" t="n">
        <v>20</v>
      </c>
      <c r="N145" s="413" t="n">
        <v>18000</v>
      </c>
      <c r="O145" s="414" t="n">
        <v>15700</v>
      </c>
      <c r="P145" s="408" t="n">
        <v>2300</v>
      </c>
      <c r="Q145" s="277" t="n">
        <v>0.8722222222222222</v>
      </c>
      <c r="R145" s="414" t="n">
        <v>22000</v>
      </c>
      <c r="S145" s="415" t="n">
        <v>16500</v>
      </c>
      <c r="T145" s="293" t="inlineStr">
        <is>
          <t>복도식</t>
        </is>
      </c>
      <c r="U145" s="289" t="n">
        <v>2</v>
      </c>
      <c r="V145" s="289" t="n">
        <v>1</v>
      </c>
      <c r="W145" s="289" t="n">
        <v>94</v>
      </c>
      <c r="X145" s="331" t="n">
        <v>2025.01</v>
      </c>
      <c r="Y145" s="331" t="n">
        <v>0.03</v>
      </c>
      <c r="Z145" s="280" t="n">
        <v>20</v>
      </c>
      <c r="AA145" s="410" t="n">
        <v>12000</v>
      </c>
      <c r="AB145" s="410" t="n">
        <v>10500</v>
      </c>
      <c r="AC145" s="282" t="e">
        <v>#DIV/0!</v>
      </c>
      <c r="AD145" s="283" t="n">
        <v>0</v>
      </c>
      <c r="AE145" s="284" t="n"/>
      <c r="AF145" s="347" t="n"/>
      <c r="AG145" s="353" t="n"/>
      <c r="AH145" s="296" t="n"/>
      <c r="AI145" s="297" t="n"/>
      <c r="AJ145" s="363" t="n"/>
      <c r="AS145" s="350" t="e">
        <v>#NAME?</v>
      </c>
    </row>
    <row r="146" ht="15.5" customHeight="1" s="139">
      <c r="A146" s="268" t="inlineStr">
        <is>
          <t>성남동</t>
        </is>
      </c>
      <c r="B146" s="287" t="inlineStr">
        <is>
          <t>상</t>
        </is>
      </c>
      <c r="C146" s="316" t="inlineStr">
        <is>
          <t>하</t>
        </is>
      </c>
      <c r="D146" s="328" t="inlineStr">
        <is>
          <t>석촌주공</t>
        </is>
      </c>
      <c r="E146" s="270" t="n">
        <v>20</v>
      </c>
      <c r="F146" s="270" t="n">
        <v>1.8</v>
      </c>
      <c r="G146" s="270" t="n">
        <v>0.9</v>
      </c>
      <c r="H146" s="289" t="n">
        <v>2000.07</v>
      </c>
      <c r="I146" s="289" t="n">
        <v>451</v>
      </c>
      <c r="J146" s="272" t="n">
        <v>26.93000000000006</v>
      </c>
      <c r="K146" s="289" t="n">
        <v>65</v>
      </c>
      <c r="L146" s="289" t="n">
        <v>49</v>
      </c>
      <c r="M146" s="289" t="n">
        <v>20</v>
      </c>
      <c r="N146" s="413" t="n">
        <v>18000</v>
      </c>
      <c r="O146" s="414" t="n">
        <v>9000</v>
      </c>
      <c r="P146" s="408" t="n">
        <v>9000</v>
      </c>
      <c r="Q146" s="277" t="n">
        <v>0.5</v>
      </c>
      <c r="R146" s="414" t="n">
        <v>22000</v>
      </c>
      <c r="S146" s="415" t="n">
        <v>20000</v>
      </c>
      <c r="T146" s="293" t="inlineStr">
        <is>
          <t>계단식</t>
        </is>
      </c>
      <c r="U146" s="289" t="n">
        <v>2</v>
      </c>
      <c r="V146" s="289" t="n">
        <v>1</v>
      </c>
      <c r="W146" s="289" t="n">
        <v>44</v>
      </c>
      <c r="X146" s="331" t="n">
        <v>2025.01</v>
      </c>
      <c r="Y146" s="331" t="n">
        <v>0.03</v>
      </c>
      <c r="Z146" s="280" t="n">
        <v>20</v>
      </c>
      <c r="AA146" s="410" t="n">
        <v>12000</v>
      </c>
      <c r="AB146" s="410" t="n">
        <v>10500</v>
      </c>
      <c r="AC146" s="282" t="e">
        <v>#DIV/0!</v>
      </c>
      <c r="AD146" s="283" t="n">
        <v>0</v>
      </c>
      <c r="AE146" s="284" t="n"/>
      <c r="AF146" s="343" t="n"/>
      <c r="AG146" s="284" t="n"/>
      <c r="AH146" s="296" t="n"/>
      <c r="AI146" s="297" t="n"/>
      <c r="AJ146" s="363" t="n"/>
      <c r="AK146" s="16" t="n"/>
    </row>
    <row r="147" ht="47" customHeight="1" s="139" thickBot="1">
      <c r="A147" s="45" t="inlineStr">
        <is>
          <t>대동</t>
        </is>
      </c>
      <c r="B147" s="191" t="inlineStr">
        <is>
          <t>상</t>
        </is>
      </c>
      <c r="C147" s="178" t="inlineStr">
        <is>
          <t>중</t>
        </is>
      </c>
      <c r="D147" s="330" t="inlineStr">
        <is>
          <t>새들뫼휴먼시아1단지</t>
        </is>
      </c>
      <c r="E147" s="34" t="n">
        <v>34</v>
      </c>
      <c r="F147" s="34" t="n">
        <v>4.1</v>
      </c>
      <c r="G147" s="34" t="n">
        <v>3.5</v>
      </c>
      <c r="H147" s="375" t="n">
        <v>2010.1</v>
      </c>
      <c r="I147" s="375" t="n">
        <v>897</v>
      </c>
      <c r="J147" s="35" t="n">
        <v>16.90000000000009</v>
      </c>
      <c r="K147" s="375" t="inlineStr">
        <is>
          <t>112E, 112C, 112C-, 113A, 113D, 113B, 113B-, 113A-</t>
        </is>
      </c>
      <c r="L147" s="375" t="n">
        <v>84</v>
      </c>
      <c r="M147" s="375" t="n">
        <v>34</v>
      </c>
      <c r="N147" s="455" t="n">
        <v>41000</v>
      </c>
      <c r="O147" s="456" t="n">
        <v>35000</v>
      </c>
      <c r="P147" s="420" t="n">
        <v>6000</v>
      </c>
      <c r="Q147" s="183" t="n">
        <v>0.8536585365853658</v>
      </c>
      <c r="R147" s="456" t="n">
        <v>37000</v>
      </c>
      <c r="S147" s="457" t="n">
        <v>25000</v>
      </c>
      <c r="T147" s="390" t="inlineStr">
        <is>
          <t>계단식</t>
        </is>
      </c>
      <c r="U147" s="375" t="n">
        <v>3</v>
      </c>
      <c r="V147" s="375" t="n">
        <v>2</v>
      </c>
      <c r="W147" s="375" t="n">
        <v>788</v>
      </c>
      <c r="X147" s="337" t="n"/>
      <c r="Y147" s="332" t="n"/>
      <c r="Z147" s="185" t="n">
        <v>34</v>
      </c>
      <c r="AA147" s="422" t="n"/>
      <c r="AB147" s="422" t="n"/>
      <c r="AC147" s="187" t="e">
        <v>#DIV/0!</v>
      </c>
      <c r="AD147" s="188" t="n">
        <v>0</v>
      </c>
      <c r="AE147" s="189" t="n"/>
      <c r="AF147" s="465" t="n"/>
      <c r="AG147" s="466" t="n">
        <v>0</v>
      </c>
      <c r="AH147" s="362" t="e">
        <v>#DIV/0!</v>
      </c>
      <c r="AI147" s="196" t="e">
        <v>#DIV/0!</v>
      </c>
      <c r="AJ147" s="363" t="n"/>
    </row>
    <row r="148" ht="279" customHeight="1" s="139">
      <c r="A148" s="45" t="inlineStr">
        <is>
          <t>대동</t>
        </is>
      </c>
      <c r="B148" s="191" t="inlineStr">
        <is>
          <t>상</t>
        </is>
      </c>
      <c r="C148" s="13" t="inlineStr">
        <is>
          <t>중</t>
        </is>
      </c>
      <c r="D148" s="330" t="inlineStr">
        <is>
          <t>새들뫼휴먼시아1단지</t>
        </is>
      </c>
      <c r="E148" s="34" t="n">
        <v>28</v>
      </c>
      <c r="F148" s="34" t="n">
        <v>3.7</v>
      </c>
      <c r="G148" s="34" t="n">
        <v>2.4</v>
      </c>
      <c r="H148" s="46" t="n">
        <v>2010.1</v>
      </c>
      <c r="I148" s="46" t="n">
        <v>897</v>
      </c>
      <c r="J148" s="35" t="n">
        <v>16.90000000000009</v>
      </c>
      <c r="K148" s="46" t="inlineStr">
        <is>
          <t>99, 99-</t>
        </is>
      </c>
      <c r="L148" s="46" t="n">
        <v>74</v>
      </c>
      <c r="M148" s="46" t="n">
        <v>28</v>
      </c>
      <c r="N148" s="458" t="n">
        <v>37000</v>
      </c>
      <c r="O148" s="459" t="n">
        <v>24000</v>
      </c>
      <c r="P148" s="420" t="n">
        <v>13000</v>
      </c>
      <c r="Q148" s="183" t="n">
        <v>0.6486486486486487</v>
      </c>
      <c r="R148" s="459" t="n">
        <v>43000</v>
      </c>
      <c r="S148" s="460" t="n">
        <v>34500</v>
      </c>
      <c r="T148" s="64" t="inlineStr">
        <is>
          <t>계단식</t>
        </is>
      </c>
      <c r="U148" s="46" t="n">
        <v>3</v>
      </c>
      <c r="V148" s="46" t="n">
        <v>2</v>
      </c>
      <c r="W148" s="46" t="n">
        <v>25</v>
      </c>
      <c r="X148" s="337" t="n">
        <v>2022.07</v>
      </c>
      <c r="Y148" s="332" t="n">
        <v>0.02</v>
      </c>
      <c r="Z148" s="185" t="n">
        <v>28</v>
      </c>
      <c r="AA148" s="422" t="n">
        <v>50000</v>
      </c>
      <c r="AB148" s="422" t="n">
        <v>43000</v>
      </c>
      <c r="AC148" s="187" t="e">
        <v>#DIV/0!</v>
      </c>
      <c r="AD148" s="188" t="n">
        <v>0</v>
      </c>
      <c r="AE148" s="189" t="n"/>
      <c r="AF148" s="465" t="n"/>
      <c r="AG148" s="466" t="n">
        <v>0</v>
      </c>
      <c r="AH148" s="362" t="e">
        <v>#DIV/0!</v>
      </c>
      <c r="AI148" s="196" t="e">
        <v>#DIV/0!</v>
      </c>
      <c r="AJ148" s="363" t="n"/>
      <c r="AS148" s="339" t="n"/>
    </row>
    <row r="149" ht="62" customHeight="1" s="139">
      <c r="A149" s="45" t="inlineStr">
        <is>
          <t>대동</t>
        </is>
      </c>
      <c r="B149" s="191" t="inlineStr">
        <is>
          <t>상</t>
        </is>
      </c>
      <c r="C149" s="178" t="inlineStr">
        <is>
          <t>중</t>
        </is>
      </c>
      <c r="D149" s="330" t="inlineStr">
        <is>
          <t>새들뫼휴먼시아1단지</t>
        </is>
      </c>
      <c r="E149" s="34" t="n">
        <v>48</v>
      </c>
      <c r="F149" s="34" t="n">
        <v>0</v>
      </c>
      <c r="G149" s="34" t="n">
        <v>0</v>
      </c>
      <c r="H149" s="47" t="n">
        <v>2010.1</v>
      </c>
      <c r="I149" s="47" t="n">
        <v>897</v>
      </c>
      <c r="J149" s="35" t="n">
        <v>16.90000000000009</v>
      </c>
      <c r="K149" s="47" t="inlineStr">
        <is>
          <t>157, 157-</t>
        </is>
      </c>
      <c r="L149" s="47" t="n">
        <v>118</v>
      </c>
      <c r="M149" s="47" t="n">
        <v>48</v>
      </c>
      <c r="N149" s="452" t="n">
        <v>0</v>
      </c>
      <c r="O149" s="453" t="n">
        <v>0</v>
      </c>
      <c r="P149" s="420" t="n">
        <v>0</v>
      </c>
      <c r="Q149" s="183" t="e">
        <v>#DIV/0!</v>
      </c>
      <c r="R149" s="453" t="n">
        <v>0</v>
      </c>
      <c r="S149" s="454" t="n">
        <v>0</v>
      </c>
      <c r="T149" s="63" t="inlineStr">
        <is>
          <t>계단식</t>
        </is>
      </c>
      <c r="U149" s="47" t="n">
        <v>4</v>
      </c>
      <c r="V149" s="47" t="n">
        <v>2</v>
      </c>
      <c r="W149" s="47" t="n">
        <v>84</v>
      </c>
      <c r="X149" s="337" t="n"/>
      <c r="Y149" s="332" t="n"/>
      <c r="Z149" s="185" t="n">
        <v>48</v>
      </c>
      <c r="AA149" s="422" t="n"/>
      <c r="AB149" s="422" t="n"/>
      <c r="AC149" s="187" t="e">
        <v>#DIV/0!</v>
      </c>
      <c r="AD149" s="188" t="n">
        <v>0</v>
      </c>
      <c r="AE149" s="189" t="n"/>
      <c r="AF149" s="465" t="n"/>
      <c r="AG149" s="466" t="n">
        <v>0</v>
      </c>
      <c r="AH149" s="190" t="e">
        <v>#DIV/0!</v>
      </c>
      <c r="AI149" s="196" t="e">
        <v>#DIV/0!</v>
      </c>
      <c r="AJ149" s="363" t="n"/>
    </row>
    <row r="150" ht="31" customHeight="1" s="139">
      <c r="A150" s="268" t="inlineStr">
        <is>
          <t>용운동</t>
        </is>
      </c>
      <c r="B150" s="287" t="inlineStr">
        <is>
          <t>하</t>
        </is>
      </c>
      <c r="C150" s="316" t="inlineStr">
        <is>
          <t>하</t>
        </is>
      </c>
      <c r="D150" s="328" t="inlineStr">
        <is>
          <t>삼정하이츠타운</t>
        </is>
      </c>
      <c r="E150" s="270" t="n">
        <v>29</v>
      </c>
      <c r="F150" s="270" t="n">
        <v>1.63</v>
      </c>
      <c r="G150" s="270" t="n">
        <v>1.2</v>
      </c>
      <c r="H150" s="289" t="n">
        <v>1990.07</v>
      </c>
      <c r="I150" s="289" t="n">
        <v>360</v>
      </c>
      <c r="J150" s="272" t="n">
        <v>36.93000000000006</v>
      </c>
      <c r="K150" s="289" t="n">
        <v>97</v>
      </c>
      <c r="L150" s="289" t="n">
        <v>84</v>
      </c>
      <c r="M150" s="289" t="n">
        <v>29</v>
      </c>
      <c r="N150" s="413" t="n">
        <v>16300</v>
      </c>
      <c r="O150" s="414" t="n">
        <v>12000</v>
      </c>
      <c r="P150" s="408" t="n">
        <v>4300</v>
      </c>
      <c r="Q150" s="277" t="n">
        <v>0.7361963190184049</v>
      </c>
      <c r="R150" s="414" t="n">
        <v>18700</v>
      </c>
      <c r="S150" s="415" t="n">
        <v>16500</v>
      </c>
      <c r="T150" s="293" t="inlineStr">
        <is>
          <t>계단식</t>
        </is>
      </c>
      <c r="U150" s="289" t="n">
        <v>3</v>
      </c>
      <c r="V150" s="289" t="n">
        <v>2</v>
      </c>
      <c r="W150" s="289" t="n">
        <v>80</v>
      </c>
      <c r="X150" s="331" t="n"/>
      <c r="Y150" s="331" t="n"/>
      <c r="Z150" s="280" t="n">
        <v>29</v>
      </c>
      <c r="AA150" s="410" t="n"/>
      <c r="AB150" s="410" t="n"/>
      <c r="AC150" s="282" t="e">
        <v>#DIV/0!</v>
      </c>
      <c r="AD150" s="283" t="n">
        <v>0</v>
      </c>
      <c r="AE150" s="284" t="n"/>
      <c r="AF150" s="347" t="n"/>
      <c r="AG150" s="353" t="n"/>
      <c r="AH150" s="296" t="n"/>
      <c r="AI150" s="297" t="n"/>
      <c r="AJ150" s="363" t="n"/>
    </row>
    <row r="151" ht="16" customHeight="1" s="139" thickBot="1">
      <c r="A151" s="268" t="inlineStr">
        <is>
          <t>용운동</t>
        </is>
      </c>
      <c r="B151" s="287" t="inlineStr">
        <is>
          <t>하</t>
        </is>
      </c>
      <c r="C151" s="316" t="inlineStr">
        <is>
          <t>하</t>
        </is>
      </c>
      <c r="D151" s="328" t="inlineStr">
        <is>
          <t>삼정하이츠타운</t>
        </is>
      </c>
      <c r="E151" s="270" t="n">
        <v>25</v>
      </c>
      <c r="F151" s="270" t="n">
        <v>1.3</v>
      </c>
      <c r="G151" s="270" t="n">
        <v>1.2</v>
      </c>
      <c r="H151" s="298" t="n">
        <v>1990.07</v>
      </c>
      <c r="I151" s="298" t="n">
        <v>360</v>
      </c>
      <c r="J151" s="272" t="n">
        <v>36.93000000000006</v>
      </c>
      <c r="K151" s="298" t="n">
        <v>84</v>
      </c>
      <c r="L151" s="298" t="n">
        <v>72</v>
      </c>
      <c r="M151" s="298" t="n">
        <v>25</v>
      </c>
      <c r="N151" s="429" t="n">
        <v>13000</v>
      </c>
      <c r="O151" s="430" t="n">
        <v>12000</v>
      </c>
      <c r="P151" s="408" t="n">
        <v>1000</v>
      </c>
      <c r="Q151" s="277" t="n">
        <v>0.9230769230769231</v>
      </c>
      <c r="R151" s="430" t="n">
        <v>16900</v>
      </c>
      <c r="S151" s="431" t="n">
        <v>14000</v>
      </c>
      <c r="T151" s="302" t="inlineStr">
        <is>
          <t>계단식</t>
        </is>
      </c>
      <c r="U151" s="298" t="n">
        <v>3</v>
      </c>
      <c r="V151" s="298" t="n">
        <v>1</v>
      </c>
      <c r="W151" s="298" t="n">
        <v>120</v>
      </c>
      <c r="X151" s="331" t="n">
        <v>2022.03</v>
      </c>
      <c r="Y151" s="331" t="n">
        <v>0.01</v>
      </c>
      <c r="Z151" s="280" t="n">
        <v>25</v>
      </c>
      <c r="AA151" s="410" t="n">
        <v>14200</v>
      </c>
      <c r="AB151" s="410" t="n">
        <v>11500</v>
      </c>
      <c r="AC151" s="282" t="e">
        <v>#DIV/0!</v>
      </c>
      <c r="AD151" s="283" t="n">
        <v>0</v>
      </c>
      <c r="AE151" s="284" t="n"/>
      <c r="AF151" s="347" t="n"/>
      <c r="AG151" s="353" t="n"/>
      <c r="AH151" s="296" t="n"/>
      <c r="AI151" s="297" t="n"/>
      <c r="AJ151" s="363" t="n"/>
      <c r="AS151" s="339" t="n"/>
    </row>
    <row r="152" ht="31" customHeight="1" s="139">
      <c r="A152" s="268" t="inlineStr">
        <is>
          <t>용운동</t>
        </is>
      </c>
      <c r="B152" s="287" t="inlineStr">
        <is>
          <t>하</t>
        </is>
      </c>
      <c r="C152" s="269" t="inlineStr">
        <is>
          <t>하</t>
        </is>
      </c>
      <c r="D152" s="328" t="inlineStr">
        <is>
          <t>삼정하이츠타운</t>
        </is>
      </c>
      <c r="E152" s="270" t="n">
        <v>20</v>
      </c>
      <c r="F152" s="270" t="n">
        <v>1.1</v>
      </c>
      <c r="G152" s="270" t="n">
        <v>0.85</v>
      </c>
      <c r="H152" s="273" t="n">
        <v>1990.07</v>
      </c>
      <c r="I152" s="273" t="n">
        <v>360</v>
      </c>
      <c r="J152" s="272" t="n">
        <v>36.93000000000006</v>
      </c>
      <c r="K152" s="273" t="n">
        <v>66</v>
      </c>
      <c r="L152" s="273" t="n">
        <v>55</v>
      </c>
      <c r="M152" s="273" t="n">
        <v>20</v>
      </c>
      <c r="N152" s="406" t="n">
        <v>11000</v>
      </c>
      <c r="O152" s="407" t="n">
        <v>8500</v>
      </c>
      <c r="P152" s="408" t="n">
        <v>2500</v>
      </c>
      <c r="Q152" s="277" t="n">
        <v>0.7727272727272727</v>
      </c>
      <c r="R152" s="407" t="n">
        <v>20000</v>
      </c>
      <c r="S152" s="409" t="n">
        <v>16000</v>
      </c>
      <c r="T152" s="279" t="inlineStr">
        <is>
          <t>계단식</t>
        </is>
      </c>
      <c r="U152" s="273" t="n">
        <v>3</v>
      </c>
      <c r="V152" s="273" t="n">
        <v>1</v>
      </c>
      <c r="W152" s="273" t="n">
        <v>160</v>
      </c>
      <c r="X152" s="331" t="n">
        <v>2021.05</v>
      </c>
      <c r="Y152" s="331" t="n">
        <v>0.02</v>
      </c>
      <c r="Z152" s="280" t="n">
        <v>20</v>
      </c>
      <c r="AA152" s="410" t="n">
        <v>9510</v>
      </c>
      <c r="AB152" s="410" t="n">
        <v>11000</v>
      </c>
      <c r="AC152" s="282" t="e">
        <v>#DIV/0!</v>
      </c>
      <c r="AD152" s="283" t="n">
        <v>0</v>
      </c>
      <c r="AE152" s="284" t="n"/>
      <c r="AF152" s="347" t="n"/>
      <c r="AG152" s="353" t="n"/>
      <c r="AH152" s="285" t="n"/>
      <c r="AI152" s="297" t="n"/>
      <c r="AJ152" s="363" t="n"/>
      <c r="AK152" s="207" t="n"/>
      <c r="AL152" s="350" t="n"/>
      <c r="AM152" s="350" t="n"/>
      <c r="AN152" s="350" t="n"/>
      <c r="AO152" s="350" t="n"/>
      <c r="AP152" s="350" t="n"/>
      <c r="AQ152" s="350" t="n"/>
      <c r="AR152" s="350" t="n"/>
      <c r="AS152" s="350" t="n"/>
      <c r="AT152" s="350" t="n"/>
      <c r="AU152" s="350" t="n"/>
      <c r="AV152" s="350" t="n"/>
    </row>
    <row r="153" ht="15.5" customHeight="1" s="139">
      <c r="A153" s="48" t="inlineStr">
        <is>
          <t>판암동</t>
        </is>
      </c>
      <c r="B153" s="191" t="inlineStr">
        <is>
          <t>상</t>
        </is>
      </c>
      <c r="C153" s="178" t="inlineStr">
        <is>
          <t>중</t>
        </is>
      </c>
      <c r="D153" s="329" t="inlineStr">
        <is>
          <t>삼정그린코아포레2</t>
        </is>
      </c>
      <c r="E153" s="34" t="n">
        <v>32</v>
      </c>
      <c r="F153" s="34" t="n">
        <v>3.65</v>
      </c>
      <c r="G153" s="34" t="n">
        <v>2.5</v>
      </c>
      <c r="H153" s="41" t="n">
        <v>2018.07</v>
      </c>
      <c r="I153" s="41" t="n">
        <v>320</v>
      </c>
      <c r="J153" s="35" t="n">
        <v>8.930000000000064</v>
      </c>
      <c r="K153" s="41" t="n">
        <v>104</v>
      </c>
      <c r="L153" s="41" t="n">
        <v>76</v>
      </c>
      <c r="M153" s="41" t="n">
        <v>32</v>
      </c>
      <c r="N153" s="426" t="n">
        <v>36500</v>
      </c>
      <c r="O153" s="427" t="n">
        <v>25000</v>
      </c>
      <c r="P153" s="420" t="n">
        <v>11500</v>
      </c>
      <c r="Q153" s="183" t="n">
        <v>0.684931506849315</v>
      </c>
      <c r="R153" s="427" t="n">
        <v>44000</v>
      </c>
      <c r="S153" s="428" t="n">
        <v>35000</v>
      </c>
      <c r="T153" s="59" t="inlineStr">
        <is>
          <t>계단식</t>
        </is>
      </c>
      <c r="U153" s="41" t="n">
        <v>3</v>
      </c>
      <c r="V153" s="41" t="n">
        <v>2</v>
      </c>
      <c r="W153" s="41" t="n">
        <v>38</v>
      </c>
      <c r="X153" s="332" t="n">
        <v>2021.08</v>
      </c>
      <c r="Y153" s="332" t="n">
        <v>0.01</v>
      </c>
      <c r="Z153" s="185" t="n">
        <v>32</v>
      </c>
      <c r="AA153" s="422" t="n">
        <v>45500</v>
      </c>
      <c r="AB153" s="422" t="n">
        <v>36667</v>
      </c>
      <c r="AC153" s="187" t="e">
        <v>#DIV/0!</v>
      </c>
      <c r="AD153" s="188" t="n">
        <v>0</v>
      </c>
      <c r="AE153" s="189" t="n"/>
      <c r="AF153" s="341" t="n"/>
      <c r="AG153" s="350" t="n"/>
      <c r="AH153" s="190" t="n"/>
      <c r="AI153" s="196" t="n"/>
      <c r="AJ153" s="363" t="n"/>
      <c r="AK153" s="207" t="n"/>
      <c r="AL153" s="350" t="n"/>
      <c r="AM153" s="350" t="n"/>
      <c r="AN153" s="350" t="n"/>
      <c r="AO153" s="350" t="n"/>
      <c r="AP153" s="350" t="n"/>
      <c r="AQ153" s="350" t="n"/>
      <c r="AR153" s="350" t="n"/>
      <c r="AS153" s="350" t="n"/>
      <c r="AT153" s="350" t="n"/>
      <c r="AU153" s="350" t="n"/>
      <c r="AV153" s="350" t="n"/>
    </row>
    <row r="154" ht="31" customHeight="1" s="139">
      <c r="A154" s="48" t="inlineStr">
        <is>
          <t>판암동</t>
        </is>
      </c>
      <c r="B154" s="191" t="inlineStr">
        <is>
          <t>상</t>
        </is>
      </c>
      <c r="C154" s="178" t="inlineStr">
        <is>
          <t>중</t>
        </is>
      </c>
      <c r="D154" s="329" t="inlineStr">
        <is>
          <t>삼정그린코아포레2</t>
        </is>
      </c>
      <c r="E154" s="34" t="n">
        <v>30</v>
      </c>
      <c r="F154" s="34" t="n">
        <v>3.45</v>
      </c>
      <c r="G154" s="34" t="n">
        <v>2.5</v>
      </c>
      <c r="H154" s="41" t="n">
        <v>2018.07</v>
      </c>
      <c r="I154" s="41" t="n">
        <v>320</v>
      </c>
      <c r="J154" s="35" t="n">
        <v>8.930000000000064</v>
      </c>
      <c r="K154" s="41" t="n">
        <v>98</v>
      </c>
      <c r="L154" s="41" t="n">
        <v>72</v>
      </c>
      <c r="M154" s="41" t="n">
        <v>30</v>
      </c>
      <c r="N154" s="426" t="n">
        <v>34500</v>
      </c>
      <c r="O154" s="427" t="n">
        <v>25000</v>
      </c>
      <c r="P154" s="420" t="n">
        <v>9500</v>
      </c>
      <c r="Q154" s="183" t="n">
        <v>0.7246376811594203</v>
      </c>
      <c r="R154" s="427" t="n">
        <v>40000</v>
      </c>
      <c r="S154" s="428" t="n">
        <v>32500</v>
      </c>
      <c r="T154" s="59" t="inlineStr">
        <is>
          <t>계단식</t>
        </is>
      </c>
      <c r="U154" s="41" t="n">
        <v>3</v>
      </c>
      <c r="V154" s="41" t="n">
        <v>2</v>
      </c>
      <c r="W154" s="41" t="n">
        <v>64</v>
      </c>
      <c r="X154" s="332" t="n"/>
      <c r="Y154" s="332" t="n"/>
      <c r="Z154" s="185" t="n">
        <v>30</v>
      </c>
      <c r="AA154" s="422" t="n"/>
      <c r="AB154" s="422" t="n"/>
      <c r="AC154" s="187" t="e">
        <v>#DIV/0!</v>
      </c>
      <c r="AD154" s="188" t="n">
        <v>0</v>
      </c>
      <c r="AE154" s="189" t="n"/>
      <c r="AF154" s="341" t="n"/>
      <c r="AG154" s="350" t="n"/>
      <c r="AH154" s="190" t="n"/>
      <c r="AI154" s="196" t="n"/>
      <c r="AJ154" s="363" t="n"/>
      <c r="AK154" s="207" t="n"/>
      <c r="AL154" s="350" t="n"/>
      <c r="AM154" s="350" t="n"/>
      <c r="AN154" s="350" t="n"/>
      <c r="AO154" s="350" t="n"/>
      <c r="AP154" s="350" t="n"/>
      <c r="AQ154" s="350" t="n"/>
      <c r="AR154" s="350" t="n"/>
      <c r="AS154" s="350" t="n"/>
      <c r="AT154" s="350" t="n"/>
      <c r="AU154" s="350" t="n"/>
      <c r="AV154" s="350" t="n"/>
    </row>
    <row r="155" ht="31.5" customHeight="1" s="139" thickBot="1">
      <c r="A155" s="48" t="inlineStr">
        <is>
          <t>판암동</t>
        </is>
      </c>
      <c r="B155" s="191" t="inlineStr">
        <is>
          <t>상</t>
        </is>
      </c>
      <c r="C155" s="178" t="inlineStr">
        <is>
          <t>중</t>
        </is>
      </c>
      <c r="D155" s="329" t="inlineStr">
        <is>
          <t>삼정그린코아포레2</t>
        </is>
      </c>
      <c r="E155" s="34" t="n">
        <v>29</v>
      </c>
      <c r="F155" s="34" t="n">
        <v>3.4</v>
      </c>
      <c r="G155" s="34" t="n">
        <v>2.55</v>
      </c>
      <c r="H155" s="44" t="n">
        <v>2018.07</v>
      </c>
      <c r="I155" s="44" t="n">
        <v>320</v>
      </c>
      <c r="J155" s="35" t="n">
        <v>8.930000000000064</v>
      </c>
      <c r="K155" s="44" t="inlineStr">
        <is>
          <t>95B, 95A</t>
        </is>
      </c>
      <c r="L155" s="44" t="n">
        <v>69</v>
      </c>
      <c r="M155" s="44" t="n">
        <v>29</v>
      </c>
      <c r="N155" s="449" t="n">
        <v>34000</v>
      </c>
      <c r="O155" s="450" t="n">
        <v>25500</v>
      </c>
      <c r="P155" s="420" t="n">
        <v>8500</v>
      </c>
      <c r="Q155" s="183" t="n">
        <v>0.75</v>
      </c>
      <c r="R155" s="450" t="n">
        <v>37000</v>
      </c>
      <c r="S155" s="451" t="n">
        <v>31000</v>
      </c>
      <c r="T155" s="62" t="inlineStr">
        <is>
          <t>계단식</t>
        </is>
      </c>
      <c r="U155" s="44" t="n">
        <v>3</v>
      </c>
      <c r="V155" s="44" t="n">
        <v>2</v>
      </c>
      <c r="W155" s="44" t="n">
        <v>89</v>
      </c>
      <c r="X155" s="332" t="n">
        <v>2020.03</v>
      </c>
      <c r="Y155" s="332" t="n">
        <v>0.08</v>
      </c>
      <c r="Z155" s="185" t="n">
        <v>29</v>
      </c>
      <c r="AA155" s="422" t="n">
        <v>30233</v>
      </c>
      <c r="AB155" s="422" t="n">
        <v>26000</v>
      </c>
      <c r="AC155" s="187" t="e">
        <v>#DIV/0!</v>
      </c>
      <c r="AD155" s="188" t="n">
        <v>0</v>
      </c>
      <c r="AE155" s="189" t="n"/>
      <c r="AF155" s="341" t="n"/>
      <c r="AG155" s="350" t="n"/>
      <c r="AH155" s="190" t="n"/>
      <c r="AI155" s="196" t="n"/>
      <c r="AJ155" s="363" t="n"/>
      <c r="AK155" s="207" t="n"/>
      <c r="AL155" s="350" t="n"/>
      <c r="AM155" s="350" t="n"/>
      <c r="AN155" s="350" t="n"/>
      <c r="AO155" s="350" t="n"/>
      <c r="AP155" s="350" t="n"/>
      <c r="AQ155" s="350" t="n"/>
      <c r="AR155" s="350" t="n"/>
      <c r="AS155" s="350" t="n"/>
      <c r="AT155" s="350" t="n"/>
      <c r="AU155" s="350" t="n"/>
      <c r="AV155" s="350" t="n"/>
    </row>
    <row r="156" ht="15.5" customHeight="1" s="139">
      <c r="A156" s="48" t="inlineStr">
        <is>
          <t>판암동</t>
        </is>
      </c>
      <c r="B156" s="191" t="inlineStr">
        <is>
          <t>상</t>
        </is>
      </c>
      <c r="C156" s="66" t="inlineStr">
        <is>
          <t>중</t>
        </is>
      </c>
      <c r="D156" s="329" t="inlineStr">
        <is>
          <t>삼정그린코아포레2</t>
        </is>
      </c>
      <c r="E156" s="34" t="n">
        <v>25</v>
      </c>
      <c r="F156" s="34" t="n">
        <v>3.1</v>
      </c>
      <c r="G156" s="34" t="n">
        <v>2.65</v>
      </c>
      <c r="H156" s="40" t="n">
        <v>2018.07</v>
      </c>
      <c r="I156" s="40" t="n">
        <v>320</v>
      </c>
      <c r="J156" s="35" t="n">
        <v>8.930000000000064</v>
      </c>
      <c r="K156" s="40" t="inlineStr">
        <is>
          <t>82A</t>
        </is>
      </c>
      <c r="L156" s="40" t="n">
        <v>59</v>
      </c>
      <c r="M156" s="40" t="n">
        <v>25</v>
      </c>
      <c r="N156" s="423" t="n">
        <v>31000</v>
      </c>
      <c r="O156" s="424" t="n">
        <v>26500</v>
      </c>
      <c r="P156" s="420" t="n">
        <v>4500</v>
      </c>
      <c r="Q156" s="183" t="n">
        <v>0.8548387096774194</v>
      </c>
      <c r="R156" s="424" t="n">
        <v>35500</v>
      </c>
      <c r="S156" s="425" t="n">
        <v>26500</v>
      </c>
      <c r="T156" s="58" t="inlineStr">
        <is>
          <t>계단식</t>
        </is>
      </c>
      <c r="U156" s="40" t="n">
        <v>3</v>
      </c>
      <c r="V156" s="40" t="n">
        <v>2</v>
      </c>
      <c r="W156" s="40" t="n">
        <v>129</v>
      </c>
      <c r="X156" s="332" t="n"/>
      <c r="Y156" s="332" t="n"/>
      <c r="Z156" s="185" t="n">
        <v>25</v>
      </c>
      <c r="AA156" s="422" t="n"/>
      <c r="AB156" s="422" t="n"/>
      <c r="AC156" s="187" t="e">
        <v>#DIV/0!</v>
      </c>
      <c r="AD156" s="188" t="n">
        <v>0</v>
      </c>
      <c r="AE156" s="189" t="n"/>
      <c r="AF156" s="341" t="n"/>
      <c r="AG156" s="350" t="n"/>
      <c r="AH156" s="190" t="n"/>
      <c r="AI156" s="196" t="n"/>
      <c r="AJ156" s="363" t="n"/>
      <c r="AK156" s="207" t="n"/>
      <c r="AL156" s="350" t="n"/>
      <c r="AM156" s="350" t="n"/>
      <c r="AN156" s="350" t="n"/>
      <c r="AO156" s="350" t="n"/>
      <c r="AP156" s="350" t="n"/>
      <c r="AQ156" s="350" t="n"/>
      <c r="AR156" s="350" t="n"/>
      <c r="AS156" s="350" t="n"/>
      <c r="AT156" s="350" t="n"/>
      <c r="AU156" s="350" t="n"/>
      <c r="AV156" s="350" t="n"/>
    </row>
    <row r="157" ht="15.5" customHeight="1" s="139">
      <c r="A157" s="268" t="inlineStr">
        <is>
          <t>판암동</t>
        </is>
      </c>
      <c r="B157" s="287" t="inlineStr">
        <is>
          <t>상</t>
        </is>
      </c>
      <c r="C157" s="316" t="inlineStr">
        <is>
          <t>상</t>
        </is>
      </c>
      <c r="D157" s="328" t="inlineStr">
        <is>
          <t>삼정그린코아포레1</t>
        </is>
      </c>
      <c r="E157" s="270" t="n">
        <v>36</v>
      </c>
      <c r="F157" s="270" t="n">
        <v>6.9</v>
      </c>
      <c r="G157" s="270" t="n">
        <v>2.5</v>
      </c>
      <c r="H157" s="289" t="n">
        <v>2018.07</v>
      </c>
      <c r="I157" s="289" t="n">
        <v>1245</v>
      </c>
      <c r="J157" s="272" t="n">
        <v>8.930000000000064</v>
      </c>
      <c r="K157" s="289" t="n">
        <v>118</v>
      </c>
      <c r="L157" s="289" t="n">
        <v>84</v>
      </c>
      <c r="M157" s="289" t="n">
        <v>36</v>
      </c>
      <c r="N157" s="413" t="n">
        <v>51500</v>
      </c>
      <c r="O157" s="414" t="n">
        <v>25000</v>
      </c>
      <c r="P157" s="408" t="n">
        <v>44000</v>
      </c>
      <c r="Q157" s="277" t="n">
        <v>0.3623188405797101</v>
      </c>
      <c r="R157" s="414" t="n">
        <v>61500</v>
      </c>
      <c r="S157" s="415" t="n">
        <v>51500</v>
      </c>
      <c r="T157" s="293" t="inlineStr">
        <is>
          <t>계단식</t>
        </is>
      </c>
      <c r="U157" s="289" t="n">
        <v>3</v>
      </c>
      <c r="V157" s="289" t="n">
        <v>3</v>
      </c>
      <c r="W157" s="289" t="n">
        <v>6</v>
      </c>
      <c r="X157" s="331" t="n"/>
      <c r="Y157" s="331" t="n"/>
      <c r="Z157" s="280" t="n">
        <v>36</v>
      </c>
      <c r="AA157" s="410" t="n"/>
      <c r="AB157" s="410" t="n"/>
      <c r="AC157" s="282" t="e">
        <v>#DIV/0!</v>
      </c>
      <c r="AD157" s="283" t="n">
        <v>0</v>
      </c>
      <c r="AE157" s="284" t="n"/>
      <c r="AF157" s="347" t="n"/>
      <c r="AG157" s="353" t="n"/>
      <c r="AH157" s="285" t="n"/>
      <c r="AI157" s="297" t="n"/>
      <c r="AJ157" s="363" t="n"/>
      <c r="AK157" s="207" t="n"/>
      <c r="AL157" s="350" t="n"/>
      <c r="AM157" s="350" t="n"/>
      <c r="AN157" s="350" t="n"/>
      <c r="AO157" s="350" t="n"/>
      <c r="AP157" s="350" t="n"/>
      <c r="AQ157" s="350" t="n"/>
      <c r="AR157" s="350" t="n"/>
      <c r="AS157" s="350" t="n"/>
      <c r="AT157" s="350" t="n"/>
      <c r="AU157" s="350" t="n"/>
      <c r="AV157" s="350" t="n"/>
    </row>
    <row r="158" ht="15.5" customHeight="1" s="139">
      <c r="A158" s="268" t="inlineStr">
        <is>
          <t>판암동</t>
        </is>
      </c>
      <c r="B158" s="287" t="inlineStr">
        <is>
          <t>상</t>
        </is>
      </c>
      <c r="C158" s="316" t="inlineStr">
        <is>
          <t>상</t>
        </is>
      </c>
      <c r="D158" s="328" t="inlineStr">
        <is>
          <t>삼정그린코아포레1</t>
        </is>
      </c>
      <c r="E158" s="270" t="n">
        <v>31</v>
      </c>
      <c r="F158" s="270" t="n">
        <v>4</v>
      </c>
      <c r="G158" s="270" t="n">
        <v>3.1</v>
      </c>
      <c r="H158" s="289" t="n">
        <v>2018.07</v>
      </c>
      <c r="I158" s="289" t="n">
        <v>1245</v>
      </c>
      <c r="J158" s="272" t="n">
        <v>8.930000000000064</v>
      </c>
      <c r="K158" s="289" t="n">
        <v>103</v>
      </c>
      <c r="L158" s="289" t="n">
        <v>76</v>
      </c>
      <c r="M158" s="289" t="n">
        <v>31</v>
      </c>
      <c r="N158" s="413" t="n">
        <v>40000</v>
      </c>
      <c r="O158" s="414" t="n">
        <v>31000</v>
      </c>
      <c r="P158" s="408" t="n">
        <v>9000</v>
      </c>
      <c r="Q158" s="277" t="n">
        <v>0.775</v>
      </c>
      <c r="R158" s="414" t="n">
        <v>49000</v>
      </c>
      <c r="S158" s="415" t="n">
        <v>37000</v>
      </c>
      <c r="T158" s="293" t="inlineStr">
        <is>
          <t>계단식</t>
        </is>
      </c>
      <c r="U158" s="289" t="n">
        <v>3</v>
      </c>
      <c r="V158" s="289" t="n">
        <v>2</v>
      </c>
      <c r="W158" s="289" t="n">
        <v>163</v>
      </c>
      <c r="X158" s="331" t="n">
        <v>2021.08</v>
      </c>
      <c r="Y158" s="331" t="n">
        <v>0.01</v>
      </c>
      <c r="Z158" s="280" t="n">
        <v>31</v>
      </c>
      <c r="AA158" s="410" t="n">
        <v>45500</v>
      </c>
      <c r="AB158" s="410" t="n">
        <v>36667</v>
      </c>
      <c r="AC158" s="282" t="e">
        <v>#DIV/0!</v>
      </c>
      <c r="AD158" s="283" t="n">
        <v>0</v>
      </c>
      <c r="AE158" s="284" t="n"/>
      <c r="AF158" s="347" t="n"/>
      <c r="AG158" s="353" t="n"/>
      <c r="AH158" s="285" t="n"/>
      <c r="AI158" s="297" t="n"/>
      <c r="AJ158" s="363" t="n"/>
      <c r="AK158" s="207" t="n"/>
      <c r="AL158" s="350" t="n"/>
      <c r="AM158" s="350" t="n"/>
      <c r="AN158" s="350" t="n"/>
      <c r="AO158" s="350" t="n"/>
      <c r="AP158" s="350" t="n"/>
      <c r="AQ158" s="350" t="n"/>
      <c r="AR158" s="350" t="n"/>
      <c r="AS158" s="350" t="n"/>
      <c r="AT158" s="350" t="n"/>
      <c r="AU158" s="350" t="n"/>
      <c r="AV158" s="350" t="n"/>
    </row>
    <row r="159" ht="16" customHeight="1" s="139" thickBot="1">
      <c r="A159" s="268" t="inlineStr">
        <is>
          <t>판암동</t>
        </is>
      </c>
      <c r="B159" s="287" t="inlineStr">
        <is>
          <t>상</t>
        </is>
      </c>
      <c r="C159" s="316" t="inlineStr">
        <is>
          <t>상</t>
        </is>
      </c>
      <c r="D159" s="328" t="inlineStr">
        <is>
          <t>삼정그린코아포레1</t>
        </is>
      </c>
      <c r="E159" s="270" t="n">
        <v>28</v>
      </c>
      <c r="F159" s="270" t="n">
        <v>3.7</v>
      </c>
      <c r="G159" s="270" t="n">
        <v>2.5</v>
      </c>
      <c r="H159" s="298" t="n">
        <v>2018.07</v>
      </c>
      <c r="I159" s="298" t="n">
        <v>1245</v>
      </c>
      <c r="J159" s="272" t="n">
        <v>8.930000000000064</v>
      </c>
      <c r="K159" s="298" t="inlineStr">
        <is>
          <t>94A, 94B</t>
        </is>
      </c>
      <c r="L159" s="298" t="n">
        <v>69</v>
      </c>
      <c r="M159" s="298" t="n">
        <v>28</v>
      </c>
      <c r="N159" s="429" t="n">
        <v>37000</v>
      </c>
      <c r="O159" s="430" t="n">
        <v>25000</v>
      </c>
      <c r="P159" s="408" t="n">
        <v>12000</v>
      </c>
      <c r="Q159" s="277" t="n">
        <v>0.6756756756756757</v>
      </c>
      <c r="R159" s="430" t="n">
        <v>44000</v>
      </c>
      <c r="S159" s="431" t="n">
        <v>32000</v>
      </c>
      <c r="T159" s="302" t="inlineStr">
        <is>
          <t>계단식</t>
        </is>
      </c>
      <c r="U159" s="298" t="n">
        <v>3</v>
      </c>
      <c r="V159" s="298" t="n">
        <v>2</v>
      </c>
      <c r="W159" s="298" t="n">
        <v>156</v>
      </c>
      <c r="X159" s="331" t="n">
        <v>2020.03</v>
      </c>
      <c r="Y159" s="331" t="n">
        <v>0.08</v>
      </c>
      <c r="Z159" s="280" t="n">
        <v>28</v>
      </c>
      <c r="AA159" s="410" t="n">
        <v>30233</v>
      </c>
      <c r="AB159" s="410" t="n">
        <v>26000</v>
      </c>
      <c r="AC159" s="282" t="e">
        <v>#DIV/0!</v>
      </c>
      <c r="AD159" s="283" t="n">
        <v>0</v>
      </c>
      <c r="AE159" s="284" t="n"/>
      <c r="AF159" s="347" t="n"/>
      <c r="AG159" s="353" t="n"/>
      <c r="AH159" s="285" t="n"/>
      <c r="AI159" s="297" t="n"/>
      <c r="AJ159" s="363" t="n"/>
      <c r="AK159" s="207" t="n"/>
      <c r="AL159" s="350" t="n"/>
      <c r="AM159" s="350" t="n"/>
      <c r="AN159" s="350" t="n"/>
      <c r="AO159" s="350" t="n"/>
      <c r="AP159" s="350" t="n"/>
      <c r="AQ159" s="350" t="n"/>
      <c r="AR159" s="350" t="n"/>
      <c r="AS159" s="350" t="n"/>
      <c r="AT159" s="350" t="n"/>
      <c r="AU159" s="350" t="n"/>
      <c r="AV159" s="350" t="n"/>
    </row>
    <row r="160" ht="15.5" customHeight="1" s="139">
      <c r="A160" s="268" t="inlineStr">
        <is>
          <t>판암동</t>
        </is>
      </c>
      <c r="B160" s="287" t="inlineStr">
        <is>
          <t>상</t>
        </is>
      </c>
      <c r="C160" s="316" t="inlineStr">
        <is>
          <t>상</t>
        </is>
      </c>
      <c r="D160" s="328" t="inlineStr">
        <is>
          <t>삼정그린코아포레1</t>
        </is>
      </c>
      <c r="E160" s="270" t="n">
        <v>29</v>
      </c>
      <c r="F160" s="270" t="n">
        <v>3.7</v>
      </c>
      <c r="G160" s="270" t="n">
        <v>3</v>
      </c>
      <c r="H160" s="273" t="n">
        <v>2018.07</v>
      </c>
      <c r="I160" s="273" t="n">
        <v>1245</v>
      </c>
      <c r="J160" s="272" t="n">
        <v>8.930000000000064</v>
      </c>
      <c r="K160" s="273" t="n">
        <v>97</v>
      </c>
      <c r="L160" s="273" t="n">
        <v>72</v>
      </c>
      <c r="M160" s="273" t="n">
        <v>29</v>
      </c>
      <c r="N160" s="406" t="n">
        <v>37000</v>
      </c>
      <c r="O160" s="407" t="n">
        <v>30000</v>
      </c>
      <c r="P160" s="408" t="n">
        <v>7000</v>
      </c>
      <c r="Q160" s="277" t="n">
        <v>0.8108108108108109</v>
      </c>
      <c r="R160" s="407" t="n">
        <v>46100</v>
      </c>
      <c r="S160" s="409" t="n">
        <v>34000</v>
      </c>
      <c r="T160" s="279" t="inlineStr">
        <is>
          <t>계단식</t>
        </is>
      </c>
      <c r="U160" s="273" t="n">
        <v>3</v>
      </c>
      <c r="V160" s="273" t="n">
        <v>2</v>
      </c>
      <c r="W160" s="273" t="n">
        <v>523</v>
      </c>
      <c r="X160" s="331" t="n"/>
      <c r="Y160" s="331" t="n"/>
      <c r="Z160" s="280" t="n">
        <v>29</v>
      </c>
      <c r="AA160" s="410" t="n"/>
      <c r="AB160" s="410" t="n"/>
      <c r="AC160" s="282" t="e">
        <v>#DIV/0!</v>
      </c>
      <c r="AD160" s="283" t="n">
        <v>0</v>
      </c>
      <c r="AE160" s="284" t="n"/>
      <c r="AF160" s="347" t="n"/>
      <c r="AG160" s="353" t="n"/>
      <c r="AH160" s="285" t="n"/>
      <c r="AI160" s="297" t="n"/>
      <c r="AJ160" s="363" t="n"/>
      <c r="AK160" s="207" t="n"/>
      <c r="AL160" s="350" t="n"/>
      <c r="AM160" s="350" t="n"/>
      <c r="AN160" s="350" t="n"/>
      <c r="AO160" s="350" t="n"/>
      <c r="AP160" s="350" t="n"/>
      <c r="AQ160" s="350" t="n"/>
      <c r="AR160" s="350" t="n"/>
      <c r="AS160" s="350" t="n"/>
      <c r="AT160" s="350" t="n"/>
      <c r="AU160" s="350" t="n"/>
      <c r="AV160" s="350" t="n"/>
    </row>
    <row r="161" ht="15.5" customHeight="1" s="139">
      <c r="A161" s="268" t="inlineStr">
        <is>
          <t>판암동</t>
        </is>
      </c>
      <c r="B161" s="287" t="inlineStr">
        <is>
          <t>상</t>
        </is>
      </c>
      <c r="C161" s="316" t="inlineStr">
        <is>
          <t>상</t>
        </is>
      </c>
      <c r="D161" s="328" t="inlineStr">
        <is>
          <t>삼정그린코아포레1</t>
        </is>
      </c>
      <c r="E161" s="270" t="n">
        <v>25</v>
      </c>
      <c r="F161" s="270" t="n">
        <v>3.3</v>
      </c>
      <c r="G161" s="270" t="n">
        <v>2.75</v>
      </c>
      <c r="H161" s="289" t="n">
        <v>2018.07</v>
      </c>
      <c r="I161" s="289" t="n">
        <v>1245</v>
      </c>
      <c r="J161" s="272" t="n">
        <v>8.930000000000064</v>
      </c>
      <c r="K161" s="289" t="inlineStr">
        <is>
          <t>81A, 82B</t>
        </is>
      </c>
      <c r="L161" s="289" t="n">
        <v>59</v>
      </c>
      <c r="M161" s="289" t="n">
        <v>25</v>
      </c>
      <c r="N161" s="413" t="n">
        <v>33000</v>
      </c>
      <c r="O161" s="414" t="n">
        <v>27500</v>
      </c>
      <c r="P161" s="408" t="n">
        <v>5500</v>
      </c>
      <c r="Q161" s="277" t="n">
        <v>0.8333333333333334</v>
      </c>
      <c r="R161" s="414" t="n">
        <v>40000</v>
      </c>
      <c r="S161" s="415" t="n">
        <v>27900</v>
      </c>
      <c r="T161" s="293" t="inlineStr">
        <is>
          <t>계단식</t>
        </is>
      </c>
      <c r="U161" s="289" t="n">
        <v>3</v>
      </c>
      <c r="V161" s="289" t="n">
        <v>2</v>
      </c>
      <c r="W161" s="289" t="n">
        <v>397</v>
      </c>
      <c r="X161" s="331" t="n"/>
      <c r="Y161" s="331" t="n"/>
      <c r="Z161" s="280" t="n">
        <v>25</v>
      </c>
      <c r="AA161" s="410" t="n"/>
      <c r="AB161" s="410" t="n"/>
      <c r="AC161" s="282" t="e">
        <v>#DIV/0!</v>
      </c>
      <c r="AD161" s="283" t="n">
        <v>0</v>
      </c>
      <c r="AE161" s="284" t="n"/>
      <c r="AF161" s="347" t="n"/>
      <c r="AG161" s="353" t="n"/>
      <c r="AH161" s="285" t="n"/>
      <c r="AI161" s="297" t="n"/>
      <c r="AJ161" s="363" t="n"/>
      <c r="AK161" s="207" t="n"/>
      <c r="AL161" s="350" t="n"/>
      <c r="AM161" s="350" t="n"/>
      <c r="AN161" s="350" t="n"/>
      <c r="AO161" s="350" t="n"/>
      <c r="AP161" s="350" t="n"/>
      <c r="AQ161" s="350" t="n"/>
      <c r="AR161" s="350" t="n"/>
      <c r="AS161" s="350" t="n"/>
      <c r="AT161" s="350" t="n"/>
      <c r="AU161" s="350" t="n"/>
      <c r="AV161" s="350" t="n"/>
    </row>
    <row r="162" ht="15.5" customHeight="1" s="139">
      <c r="A162" s="48" t="inlineStr">
        <is>
          <t>대성동</t>
        </is>
      </c>
      <c r="B162" s="65" t="inlineStr">
        <is>
          <t>중</t>
        </is>
      </c>
      <c r="C162" s="178" t="inlineStr">
        <is>
          <t>하</t>
        </is>
      </c>
      <c r="D162" s="329" t="inlineStr">
        <is>
          <t>삼익세라믹</t>
        </is>
      </c>
      <c r="E162" s="34" t="n">
        <v>27</v>
      </c>
      <c r="F162" s="34" t="n">
        <v>1.55</v>
      </c>
      <c r="G162" s="34" t="n">
        <v>1.3</v>
      </c>
      <c r="H162" s="41" t="n">
        <v>1991.08</v>
      </c>
      <c r="I162" s="41" t="n">
        <v>633</v>
      </c>
      <c r="J162" s="35" t="n">
        <v>35.92000000000007</v>
      </c>
      <c r="K162" s="41" t="n">
        <v>88</v>
      </c>
      <c r="L162" s="41" t="n">
        <v>72</v>
      </c>
      <c r="M162" s="41" t="n">
        <v>27</v>
      </c>
      <c r="N162" s="426" t="n">
        <v>15500</v>
      </c>
      <c r="O162" s="427" t="n">
        <v>13000</v>
      </c>
      <c r="P162" s="420" t="n">
        <v>2500</v>
      </c>
      <c r="Q162" s="183" t="n">
        <v>0.8387096774193549</v>
      </c>
      <c r="R162" s="427" t="n">
        <v>17000</v>
      </c>
      <c r="S162" s="428" t="n">
        <v>16000</v>
      </c>
      <c r="T162" s="59" t="inlineStr">
        <is>
          <t>계단식</t>
        </is>
      </c>
      <c r="U162" s="41" t="n">
        <v>3</v>
      </c>
      <c r="V162" s="41" t="n">
        <v>1</v>
      </c>
      <c r="W162" s="41" t="n">
        <v>191</v>
      </c>
      <c r="X162" s="332" t="n">
        <v>2020.09</v>
      </c>
      <c r="Y162" s="332" t="n">
        <v>0.06</v>
      </c>
      <c r="Z162" s="185" t="n">
        <v>27</v>
      </c>
      <c r="AA162" s="422" t="n">
        <v>12992</v>
      </c>
      <c r="AB162" s="422" t="n">
        <v>13000</v>
      </c>
      <c r="AC162" s="187" t="e">
        <v>#DIV/0!</v>
      </c>
      <c r="AD162" s="188" t="n">
        <v>0</v>
      </c>
      <c r="AE162" s="189" t="n"/>
      <c r="AF162" s="341" t="n"/>
      <c r="AG162" s="350" t="n"/>
      <c r="AH162" s="190" t="n"/>
      <c r="AI162" s="196" t="n"/>
      <c r="AJ162" s="363" t="n"/>
      <c r="AK162" s="207" t="n"/>
      <c r="AL162" s="350" t="n"/>
      <c r="AM162" s="350" t="n"/>
      <c r="AN162" s="350" t="n"/>
      <c r="AO162" s="350" t="n"/>
      <c r="AP162" s="350" t="n"/>
      <c r="AQ162" s="350" t="n"/>
      <c r="AR162" s="350" t="n"/>
      <c r="AS162" s="350" t="n"/>
      <c r="AT162" s="350" t="n"/>
      <c r="AU162" s="350" t="n"/>
      <c r="AV162" s="350" t="n"/>
    </row>
    <row r="163" ht="15.5" customHeight="1" s="139">
      <c r="A163" s="48" t="inlineStr">
        <is>
          <t>대성동</t>
        </is>
      </c>
      <c r="B163" s="191" t="inlineStr">
        <is>
          <t>중</t>
        </is>
      </c>
      <c r="C163" s="178" t="inlineStr">
        <is>
          <t>하</t>
        </is>
      </c>
      <c r="D163" s="329" t="inlineStr">
        <is>
          <t>삼익세라믹</t>
        </is>
      </c>
      <c r="E163" s="34" t="n">
        <v>31</v>
      </c>
      <c r="F163" s="34" t="n">
        <v>1.5</v>
      </c>
      <c r="G163" s="34" t="n">
        <v>1.4</v>
      </c>
      <c r="H163" s="41" t="n">
        <v>1991.08</v>
      </c>
      <c r="I163" s="41" t="n">
        <v>633</v>
      </c>
      <c r="J163" s="35" t="n">
        <v>35.92000000000007</v>
      </c>
      <c r="K163" s="41" t="n">
        <v>102</v>
      </c>
      <c r="L163" s="41" t="n">
        <v>84</v>
      </c>
      <c r="M163" s="41" t="n">
        <v>31</v>
      </c>
      <c r="N163" s="426" t="n">
        <v>15000</v>
      </c>
      <c r="O163" s="427" t="n">
        <v>14000</v>
      </c>
      <c r="P163" s="420" t="n">
        <v>1000</v>
      </c>
      <c r="Q163" s="183" t="n">
        <v>0.9333333333333333</v>
      </c>
      <c r="R163" s="427" t="n">
        <v>24200</v>
      </c>
      <c r="S163" s="428" t="n">
        <v>14500</v>
      </c>
      <c r="T163" s="59" t="inlineStr">
        <is>
          <t>계단식</t>
        </is>
      </c>
      <c r="U163" s="41" t="n">
        <v>3</v>
      </c>
      <c r="V163" s="41" t="n">
        <v>2</v>
      </c>
      <c r="W163" s="41" t="n">
        <v>442</v>
      </c>
      <c r="X163" s="332" t="n">
        <v>2020.02</v>
      </c>
      <c r="Y163" s="332" t="n">
        <v>0.01</v>
      </c>
      <c r="Z163" s="185" t="n">
        <v>31</v>
      </c>
      <c r="AA163" s="422" t="n">
        <v>14143</v>
      </c>
      <c r="AB163" s="422" t="n">
        <v>12000</v>
      </c>
      <c r="AC163" s="187" t="e">
        <v>#DIV/0!</v>
      </c>
      <c r="AD163" s="188" t="n">
        <v>0</v>
      </c>
      <c r="AE163" s="189" t="n"/>
      <c r="AF163" s="341" t="n"/>
      <c r="AG163" s="350" t="n"/>
      <c r="AH163" s="190" t="n"/>
      <c r="AI163" s="196" t="n"/>
      <c r="AJ163" s="363" t="n"/>
      <c r="AK163" s="207" t="n"/>
      <c r="AL163" s="350" t="n"/>
      <c r="AM163" s="350" t="n"/>
      <c r="AN163" s="350" t="n"/>
      <c r="AO163" s="350" t="n"/>
      <c r="AP163" s="350" t="n"/>
      <c r="AQ163" s="350" t="n"/>
      <c r="AR163" s="350" t="n"/>
      <c r="AS163" s="350" t="n"/>
      <c r="AT163" s="350" t="n"/>
      <c r="AU163" s="350" t="n"/>
      <c r="AV163" s="350" t="n"/>
    </row>
    <row r="164" ht="15.5" customHeight="1" s="139">
      <c r="A164" s="268" t="inlineStr">
        <is>
          <t>천동</t>
        </is>
      </c>
      <c r="B164" s="287" t="inlineStr">
        <is>
          <t>상</t>
        </is>
      </c>
      <c r="C164" s="316" t="inlineStr">
        <is>
          <t>상</t>
        </is>
      </c>
      <c r="D164" s="328" t="inlineStr">
        <is>
          <t>리더스시티5BL</t>
        </is>
      </c>
      <c r="E164" s="270" t="n">
        <v>34</v>
      </c>
      <c r="F164" s="270" t="n">
        <v>5</v>
      </c>
      <c r="G164" s="270" t="n">
        <v>3.5</v>
      </c>
      <c r="H164" s="289" t="n">
        <v>2024.12</v>
      </c>
      <c r="I164" s="289" t="n">
        <v>2135</v>
      </c>
      <c r="J164" s="272" t="n">
        <v>2.880000000000109</v>
      </c>
      <c r="K164" s="289" t="inlineStr">
        <is>
          <t>113A</t>
        </is>
      </c>
      <c r="L164" s="289" t="n">
        <v>84</v>
      </c>
      <c r="M164" s="289" t="n">
        <v>34</v>
      </c>
      <c r="N164" s="413" t="n">
        <v>50000</v>
      </c>
      <c r="O164" s="414" t="n">
        <v>35000</v>
      </c>
      <c r="P164" s="408" t="n">
        <v>15000</v>
      </c>
      <c r="Q164" s="277" t="n">
        <v>0.7</v>
      </c>
      <c r="R164" s="414" t="n">
        <v>44000</v>
      </c>
      <c r="S164" s="415" t="n">
        <v>39000</v>
      </c>
      <c r="T164" s="293" t="inlineStr">
        <is>
          <t>계단식</t>
        </is>
      </c>
      <c r="U164" s="289" t="n">
        <v>4</v>
      </c>
      <c r="V164" s="289" t="n">
        <v>2</v>
      </c>
      <c r="W164" s="289" t="n">
        <v>228</v>
      </c>
      <c r="X164" s="331" t="n"/>
      <c r="Y164" s="331" t="n"/>
      <c r="Z164" s="280" t="n">
        <v>34</v>
      </c>
      <c r="AA164" s="410" t="n"/>
      <c r="AB164" s="410" t="n"/>
      <c r="AC164" s="282" t="e">
        <v>#DIV/0!</v>
      </c>
      <c r="AD164" s="283" t="n">
        <v>0</v>
      </c>
      <c r="AE164" s="284" t="n"/>
      <c r="AF164" s="347" t="n"/>
      <c r="AG164" s="353" t="n"/>
      <c r="AH164" s="296" t="n"/>
      <c r="AI164" s="297" t="n"/>
      <c r="AJ164" s="363" t="n"/>
    </row>
    <row r="165" ht="15.5" customHeight="1" s="139">
      <c r="A165" s="268" t="inlineStr">
        <is>
          <t>천동</t>
        </is>
      </c>
      <c r="B165" s="287" t="inlineStr">
        <is>
          <t>상</t>
        </is>
      </c>
      <c r="C165" s="316" t="inlineStr">
        <is>
          <t>상</t>
        </is>
      </c>
      <c r="D165" s="328" t="inlineStr">
        <is>
          <t>리더스시티5BL</t>
        </is>
      </c>
      <c r="E165" s="270" t="n">
        <v>30</v>
      </c>
      <c r="F165" s="270" t="n">
        <v>4.8</v>
      </c>
      <c r="G165" s="270" t="n">
        <v>2.6</v>
      </c>
      <c r="H165" s="289" t="n">
        <v>2024.12</v>
      </c>
      <c r="I165" s="289" t="n">
        <v>2135</v>
      </c>
      <c r="J165" s="272" t="n">
        <v>2.880000000000109</v>
      </c>
      <c r="K165" s="289" t="inlineStr">
        <is>
          <t>100A, 100B</t>
        </is>
      </c>
      <c r="L165" s="289" t="n">
        <v>74</v>
      </c>
      <c r="M165" s="289" t="n">
        <v>30</v>
      </c>
      <c r="N165" s="413" t="n">
        <v>48000</v>
      </c>
      <c r="O165" s="414" t="n">
        <v>26000</v>
      </c>
      <c r="P165" s="408" t="n">
        <v>22000</v>
      </c>
      <c r="Q165" s="277" t="n">
        <v>0.5416666666666666</v>
      </c>
      <c r="R165" s="414" t="n">
        <v>39000</v>
      </c>
      <c r="S165" s="415" t="n">
        <v>35800</v>
      </c>
      <c r="T165" s="293" t="inlineStr">
        <is>
          <t>계단식</t>
        </is>
      </c>
      <c r="U165" s="289" t="n">
        <v>3</v>
      </c>
      <c r="V165" s="289" t="n">
        <v>2</v>
      </c>
      <c r="W165" s="289" t="n">
        <v>536</v>
      </c>
      <c r="X165" s="331" t="n"/>
      <c r="Y165" s="331" t="n"/>
      <c r="Z165" s="280" t="n">
        <v>30</v>
      </c>
      <c r="AA165" s="410" t="n"/>
      <c r="AB165" s="410" t="n"/>
      <c r="AC165" s="282" t="e">
        <v>#DIV/0!</v>
      </c>
      <c r="AD165" s="283" t="n">
        <v>0</v>
      </c>
      <c r="AE165" s="284" t="n"/>
      <c r="AF165" s="347" t="n"/>
      <c r="AG165" s="353" t="n"/>
      <c r="AH165" s="296" t="n"/>
      <c r="AI165" s="297" t="n"/>
      <c r="AJ165" s="363" t="n"/>
      <c r="AK165" s="16" t="n"/>
      <c r="AS165" s="339" t="n"/>
    </row>
    <row r="166" ht="16" customHeight="1" s="139" thickBot="1">
      <c r="A166" s="268" t="inlineStr">
        <is>
          <t>천동</t>
        </is>
      </c>
      <c r="B166" s="287" t="inlineStr">
        <is>
          <t>상</t>
        </is>
      </c>
      <c r="C166" s="316" t="inlineStr">
        <is>
          <t>상</t>
        </is>
      </c>
      <c r="D166" s="328" t="inlineStr">
        <is>
          <t>리더스시티5BL</t>
        </is>
      </c>
      <c r="E166" s="270" t="n">
        <v>34</v>
      </c>
      <c r="F166" s="270" t="n">
        <v>4.2</v>
      </c>
      <c r="G166" s="270" t="n">
        <v>2.7</v>
      </c>
      <c r="H166" s="298" t="n">
        <v>2024.12</v>
      </c>
      <c r="I166" s="298" t="n">
        <v>2135</v>
      </c>
      <c r="J166" s="272" t="n">
        <v>2.880000000000109</v>
      </c>
      <c r="K166" s="298" t="inlineStr">
        <is>
          <t>113B</t>
        </is>
      </c>
      <c r="L166" s="298" t="n">
        <v>84</v>
      </c>
      <c r="M166" s="298" t="n">
        <v>34</v>
      </c>
      <c r="N166" s="429" t="n">
        <v>42000</v>
      </c>
      <c r="O166" s="430" t="n">
        <v>27000</v>
      </c>
      <c r="P166" s="408" t="n">
        <v>15000</v>
      </c>
      <c r="Q166" s="277" t="n">
        <v>0.6428571428571429</v>
      </c>
      <c r="R166" s="430" t="n">
        <v>44000</v>
      </c>
      <c r="S166" s="431" t="n">
        <v>39800</v>
      </c>
      <c r="T166" s="302" t="inlineStr">
        <is>
          <t>계단식</t>
        </is>
      </c>
      <c r="U166" s="298" t="n">
        <v>3</v>
      </c>
      <c r="V166" s="298" t="n">
        <v>2</v>
      </c>
      <c r="W166" s="298" t="n">
        <v>108</v>
      </c>
      <c r="X166" s="331" t="n"/>
      <c r="Y166" s="331" t="n"/>
      <c r="Z166" s="280" t="n">
        <v>34</v>
      </c>
      <c r="AA166" s="410" t="n"/>
      <c r="AB166" s="410" t="n"/>
      <c r="AC166" s="282" t="e">
        <v>#DIV/0!</v>
      </c>
      <c r="AD166" s="283" t="n">
        <v>0</v>
      </c>
      <c r="AE166" s="284" t="n"/>
      <c r="AF166" s="347" t="n"/>
      <c r="AG166" s="353" t="n"/>
      <c r="AH166" s="285" t="n"/>
      <c r="AI166" s="297" t="n"/>
      <c r="AJ166" s="363" t="n"/>
      <c r="AK166" s="207" t="n"/>
      <c r="AL166" s="350" t="n"/>
      <c r="AM166" s="350" t="n"/>
      <c r="AN166" s="350" t="n"/>
      <c r="AO166" s="350" t="n"/>
      <c r="AP166" s="350" t="n"/>
      <c r="AQ166" s="350" t="n"/>
      <c r="AR166" s="350" t="n"/>
      <c r="AS166" s="350" t="n"/>
      <c r="AT166" s="350" t="n"/>
      <c r="AU166" s="350" t="n"/>
      <c r="AV166" s="350" t="n"/>
    </row>
    <row r="167" ht="46.5" customHeight="1" s="139">
      <c r="A167" s="268" t="inlineStr">
        <is>
          <t>천동</t>
        </is>
      </c>
      <c r="B167" s="287" t="inlineStr">
        <is>
          <t>상</t>
        </is>
      </c>
      <c r="C167" s="316" t="inlineStr">
        <is>
          <t>상</t>
        </is>
      </c>
      <c r="D167" s="328" t="inlineStr">
        <is>
          <t>리더스시티5BL</t>
        </is>
      </c>
      <c r="E167" s="270" t="n">
        <v>25</v>
      </c>
      <c r="F167" s="270" t="n">
        <v>3.8</v>
      </c>
      <c r="G167" s="270" t="n">
        <v>3.1</v>
      </c>
      <c r="H167" s="273" t="n">
        <v>2024.12</v>
      </c>
      <c r="I167" s="273" t="n">
        <v>2135</v>
      </c>
      <c r="J167" s="272" t="n">
        <v>2.880000000000109</v>
      </c>
      <c r="K167" s="273" t="inlineStr">
        <is>
          <t>81A, 81B</t>
        </is>
      </c>
      <c r="L167" s="273" t="n">
        <v>59</v>
      </c>
      <c r="M167" s="273" t="n">
        <v>25</v>
      </c>
      <c r="N167" s="406" t="n">
        <v>38000</v>
      </c>
      <c r="O167" s="407" t="n">
        <v>31000</v>
      </c>
      <c r="P167" s="408" t="n">
        <v>7000</v>
      </c>
      <c r="Q167" s="277" t="n">
        <v>0.8157894736842105</v>
      </c>
      <c r="R167" s="407" t="n">
        <v>31000</v>
      </c>
      <c r="S167" s="409" t="n">
        <v>29000</v>
      </c>
      <c r="T167" s="279" t="inlineStr">
        <is>
          <t>계단식</t>
        </is>
      </c>
      <c r="U167" s="273" t="n">
        <v>3</v>
      </c>
      <c r="V167" s="273" t="n">
        <v>2</v>
      </c>
      <c r="W167" s="273" t="n">
        <v>551</v>
      </c>
      <c r="X167" s="331" t="n"/>
      <c r="Y167" s="331" t="n"/>
      <c r="Z167" s="280" t="n">
        <v>25</v>
      </c>
      <c r="AA167" s="410" t="n"/>
      <c r="AB167" s="410" t="n"/>
      <c r="AC167" s="282" t="e">
        <v>#DIV/0!</v>
      </c>
      <c r="AD167" s="283" t="n">
        <v>0</v>
      </c>
      <c r="AE167" s="284" t="n"/>
      <c r="AF167" s="342" t="n"/>
      <c r="AG167" s="284" t="n"/>
      <c r="AH167" s="296" t="n"/>
      <c r="AI167" s="297" t="n"/>
      <c r="AJ167" s="363" t="n"/>
    </row>
    <row r="168" ht="47" customHeight="1" s="139" thickBot="1">
      <c r="A168" s="48" t="inlineStr">
        <is>
          <t>천동</t>
        </is>
      </c>
      <c r="B168" s="191" t="inlineStr">
        <is>
          <t>상</t>
        </is>
      </c>
      <c r="C168" s="178" t="inlineStr">
        <is>
          <t>상</t>
        </is>
      </c>
      <c r="D168" s="329" t="inlineStr">
        <is>
          <t>리더스시티4BL</t>
        </is>
      </c>
      <c r="E168" s="34" t="n">
        <v>34</v>
      </c>
      <c r="F168" s="34" t="n">
        <v>5.5</v>
      </c>
      <c r="G168" s="34" t="n">
        <v>4</v>
      </c>
      <c r="H168" s="42" t="n">
        <v>2024.07</v>
      </c>
      <c r="I168" s="42" t="n">
        <v>1328</v>
      </c>
      <c r="J168" s="35" t="n">
        <v>2.930000000000064</v>
      </c>
      <c r="K168" s="42" t="inlineStr">
        <is>
          <t>111B</t>
        </is>
      </c>
      <c r="L168" s="42" t="n">
        <v>84</v>
      </c>
      <c r="M168" s="42" t="n">
        <v>34</v>
      </c>
      <c r="N168" s="418" t="n">
        <v>52000</v>
      </c>
      <c r="O168" s="419" t="n">
        <v>40000</v>
      </c>
      <c r="P168" s="420" t="n">
        <v>15000</v>
      </c>
      <c r="Q168" s="183" t="n">
        <v>0.7272727272727273</v>
      </c>
      <c r="R168" s="419" t="n">
        <v>42000</v>
      </c>
      <c r="S168" s="421" t="n">
        <v>36000</v>
      </c>
      <c r="T168" s="60" t="inlineStr">
        <is>
          <t>계단식</t>
        </is>
      </c>
      <c r="U168" s="42" t="n">
        <v>3</v>
      </c>
      <c r="V168" s="42" t="n">
        <v>2</v>
      </c>
      <c r="W168" s="42" t="n">
        <v>122</v>
      </c>
      <c r="X168" s="332" t="n"/>
      <c r="Y168" s="332" t="n"/>
      <c r="Z168" s="185" t="n">
        <v>34</v>
      </c>
      <c r="AA168" s="422" t="n"/>
      <c r="AB168" s="422" t="n"/>
      <c r="AC168" s="187" t="e">
        <v>#DIV/0!</v>
      </c>
      <c r="AD168" s="188" t="n">
        <v>0</v>
      </c>
      <c r="AE168" s="189" t="n"/>
      <c r="AF168" s="400" t="n"/>
      <c r="AG168" s="189" t="n"/>
      <c r="AH168" s="122" t="n"/>
      <c r="AI168" s="196" t="n"/>
      <c r="AJ168" s="363" t="n"/>
      <c r="AS168" s="357" t="n"/>
    </row>
    <row r="169" ht="15.5" customHeight="1" s="139">
      <c r="A169" s="48" t="inlineStr">
        <is>
          <t>천동</t>
        </is>
      </c>
      <c r="B169" s="172" t="inlineStr">
        <is>
          <t>상</t>
        </is>
      </c>
      <c r="C169" s="172" t="inlineStr">
        <is>
          <t>상</t>
        </is>
      </c>
      <c r="D169" s="329" t="inlineStr">
        <is>
          <t>리더스시티4BL</t>
        </is>
      </c>
      <c r="E169" s="34" t="n">
        <v>30</v>
      </c>
      <c r="F169" s="34" t="n">
        <v>4.7</v>
      </c>
      <c r="G169" s="34" t="n">
        <v>2.3</v>
      </c>
      <c r="H169" s="40" t="n">
        <v>2024.07</v>
      </c>
      <c r="I169" s="40" t="n">
        <v>1328</v>
      </c>
      <c r="J169" s="35" t="n">
        <v>2.930000000000064</v>
      </c>
      <c r="K169" s="40" t="inlineStr">
        <is>
          <t>98A, 99B</t>
        </is>
      </c>
      <c r="L169" s="40" t="n">
        <v>74</v>
      </c>
      <c r="M169" s="40" t="n">
        <v>30</v>
      </c>
      <c r="N169" s="423" t="n">
        <v>45000</v>
      </c>
      <c r="O169" s="424" t="n">
        <v>32000</v>
      </c>
      <c r="P169" s="420" t="n">
        <v>24000</v>
      </c>
      <c r="Q169" s="183" t="n">
        <v>0.4893617021276596</v>
      </c>
      <c r="R169" s="424" t="n">
        <v>35800</v>
      </c>
      <c r="S169" s="425" t="n">
        <v>33800</v>
      </c>
      <c r="T169" s="58" t="inlineStr">
        <is>
          <t>계단식</t>
        </is>
      </c>
      <c r="U169" s="40" t="n">
        <v>3</v>
      </c>
      <c r="V169" s="40" t="n">
        <v>2</v>
      </c>
      <c r="W169" s="40" t="n">
        <v>516</v>
      </c>
      <c r="X169" s="332" t="n"/>
      <c r="Y169" s="332" t="n"/>
      <c r="Z169" s="185" t="n">
        <v>30</v>
      </c>
      <c r="AA169" s="422" t="n"/>
      <c r="AB169" s="422" t="n"/>
      <c r="AC169" s="187" t="e">
        <v>#DIV/0!</v>
      </c>
      <c r="AD169" s="188" t="n">
        <v>0</v>
      </c>
      <c r="AE169" s="189" t="n"/>
      <c r="AF169" s="397" t="n"/>
      <c r="AG169" s="189" t="n"/>
      <c r="AH169" s="122" t="n"/>
      <c r="AI169" s="196" t="n"/>
      <c r="AJ169" s="363" t="n"/>
      <c r="AS169" s="339" t="n"/>
    </row>
    <row r="170" ht="16" customHeight="1" s="139" thickBot="1">
      <c r="A170" s="48" t="inlineStr">
        <is>
          <t>천동</t>
        </is>
      </c>
      <c r="B170" s="191" t="inlineStr">
        <is>
          <t>상</t>
        </is>
      </c>
      <c r="C170" s="178" t="inlineStr">
        <is>
          <t>상</t>
        </is>
      </c>
      <c r="D170" s="329" t="inlineStr">
        <is>
          <t>리더스시티4BL</t>
        </is>
      </c>
      <c r="E170" s="34" t="n">
        <v>24</v>
      </c>
      <c r="F170" s="34" t="n">
        <v>3.65</v>
      </c>
      <c r="G170" s="34" t="n">
        <v>2.1</v>
      </c>
      <c r="H170" s="42" t="n">
        <v>2024.07</v>
      </c>
      <c r="I170" s="42" t="n">
        <v>1328</v>
      </c>
      <c r="J170" s="35" t="n">
        <v>2.930000000000064</v>
      </c>
      <c r="K170" s="42" t="inlineStr">
        <is>
          <t>79B, 80A, 80C</t>
        </is>
      </c>
      <c r="L170" s="42" t="n">
        <v>59</v>
      </c>
      <c r="M170" s="42" t="n">
        <v>24</v>
      </c>
      <c r="N170" s="418" t="n">
        <v>36500</v>
      </c>
      <c r="O170" s="419" t="n">
        <v>21000</v>
      </c>
      <c r="P170" s="420" t="n">
        <v>15500</v>
      </c>
      <c r="Q170" s="183" t="n">
        <v>0.5753424657534246</v>
      </c>
      <c r="R170" s="419" t="n">
        <v>29600</v>
      </c>
      <c r="S170" s="421" t="n">
        <v>28400</v>
      </c>
      <c r="T170" s="60" t="inlineStr">
        <is>
          <t>계단식</t>
        </is>
      </c>
      <c r="U170" s="42" t="n">
        <v>3</v>
      </c>
      <c r="V170" s="42" t="n">
        <v>2</v>
      </c>
      <c r="W170" s="42" t="n">
        <v>456</v>
      </c>
      <c r="X170" s="332" t="n"/>
      <c r="Y170" s="332" t="n"/>
      <c r="Z170" s="185" t="n">
        <v>24</v>
      </c>
      <c r="AA170" s="422" t="n"/>
      <c r="AB170" s="422" t="n"/>
      <c r="AC170" s="187" t="e">
        <v>#DIV/0!</v>
      </c>
      <c r="AD170" s="188" t="n">
        <v>0</v>
      </c>
      <c r="AE170" s="189" t="n"/>
      <c r="AF170" s="400" t="n"/>
      <c r="AG170" s="189" t="n"/>
      <c r="AH170" s="122" t="n"/>
      <c r="AI170" s="196" t="n"/>
      <c r="AJ170" s="363" t="n"/>
    </row>
    <row r="171" ht="16" customHeight="1" s="139" thickBot="1">
      <c r="A171" s="48" t="inlineStr">
        <is>
          <t>천동</t>
        </is>
      </c>
      <c r="B171" s="191" t="inlineStr">
        <is>
          <t>상</t>
        </is>
      </c>
      <c r="C171" s="172" t="inlineStr">
        <is>
          <t>상</t>
        </is>
      </c>
      <c r="D171" s="329" t="inlineStr">
        <is>
          <t>리더스시티4BL</t>
        </is>
      </c>
      <c r="E171" s="34" t="n">
        <v>34</v>
      </c>
      <c r="F171" s="34" t="n">
        <v>5.4</v>
      </c>
      <c r="G171" s="34" t="n">
        <v>3.8</v>
      </c>
      <c r="H171" s="40" t="n">
        <v>2024.07</v>
      </c>
      <c r="I171" s="40" t="n">
        <v>1328</v>
      </c>
      <c r="J171" s="35" t="n">
        <v>2.930000000000064</v>
      </c>
      <c r="K171" s="40" t="inlineStr">
        <is>
          <t>111A</t>
        </is>
      </c>
      <c r="L171" s="40" t="n">
        <v>84</v>
      </c>
      <c r="M171" s="40" t="n">
        <v>34</v>
      </c>
      <c r="N171" s="423" t="n"/>
      <c r="O171" s="424" t="n"/>
      <c r="P171" s="420" t="n">
        <v>16000</v>
      </c>
      <c r="Q171" s="183" t="n">
        <v>0.7037037037037037</v>
      </c>
      <c r="R171" s="424" t="n">
        <v>43000</v>
      </c>
      <c r="S171" s="425" t="n">
        <v>37000</v>
      </c>
      <c r="T171" s="58" t="inlineStr">
        <is>
          <t>계단식</t>
        </is>
      </c>
      <c r="U171" s="40" t="n">
        <v>4</v>
      </c>
      <c r="V171" s="40" t="n">
        <v>2</v>
      </c>
      <c r="W171" s="40" t="n">
        <v>234</v>
      </c>
      <c r="X171" s="332" t="n"/>
      <c r="Y171" s="332" t="n"/>
      <c r="Z171" s="185" t="n">
        <v>34</v>
      </c>
      <c r="AA171" s="422" t="n"/>
      <c r="AB171" s="422" t="n"/>
      <c r="AC171" s="187" t="e">
        <v>#DIV/0!</v>
      </c>
      <c r="AD171" s="188" t="n">
        <v>0</v>
      </c>
      <c r="AE171" s="189" t="n"/>
      <c r="AF171" s="397" t="n"/>
      <c r="AG171" s="189" t="n"/>
      <c r="AH171" s="122" t="n"/>
      <c r="AI171" s="196" t="n"/>
      <c r="AJ171" s="363" t="n"/>
    </row>
    <row r="172" ht="15.5" customHeight="1" s="139">
      <c r="A172" s="268" t="inlineStr">
        <is>
          <t>자양동</t>
        </is>
      </c>
      <c r="B172" s="287" t="inlineStr">
        <is>
          <t>하</t>
        </is>
      </c>
      <c r="C172" s="316" t="inlineStr">
        <is>
          <t>하</t>
        </is>
      </c>
      <c r="D172" s="328" t="inlineStr">
        <is>
          <t>동아</t>
        </is>
      </c>
      <c r="E172" s="270" t="n">
        <v>31</v>
      </c>
      <c r="F172" s="270" t="n">
        <v>1.85</v>
      </c>
      <c r="G172" s="270" t="n">
        <v>1.35</v>
      </c>
      <c r="H172" s="289" t="n">
        <v>1990.1</v>
      </c>
      <c r="I172" s="289" t="n">
        <v>590</v>
      </c>
      <c r="J172" s="272" t="n">
        <v>36.90000000000009</v>
      </c>
      <c r="K172" s="289" t="n">
        <v>102</v>
      </c>
      <c r="L172" s="289" t="n">
        <v>84</v>
      </c>
      <c r="M172" s="289" t="n">
        <v>31</v>
      </c>
      <c r="N172" s="413" t="n">
        <v>18500</v>
      </c>
      <c r="O172" s="407" t="n">
        <v>13500</v>
      </c>
      <c r="P172" s="408" t="n">
        <v>5000</v>
      </c>
      <c r="Q172" s="277" t="n">
        <v>0.7297297297297297</v>
      </c>
      <c r="R172" s="414" t="n">
        <v>24300</v>
      </c>
      <c r="S172" s="415" t="n">
        <v>22000</v>
      </c>
      <c r="T172" s="293" t="inlineStr">
        <is>
          <t>계단식</t>
        </is>
      </c>
      <c r="U172" s="289" t="n">
        <v>3</v>
      </c>
      <c r="V172" s="289" t="n">
        <v>2</v>
      </c>
      <c r="W172" s="289" t="n">
        <v>410</v>
      </c>
      <c r="X172" s="331" t="n"/>
      <c r="Y172" s="331" t="n"/>
      <c r="Z172" s="280" t="n">
        <v>31</v>
      </c>
      <c r="AA172" s="410" t="n"/>
      <c r="AB172" s="410" t="n"/>
      <c r="AC172" s="282" t="e">
        <v>#DIV/0!</v>
      </c>
      <c r="AD172" s="283" t="n">
        <v>0</v>
      </c>
      <c r="AE172" s="284" t="n"/>
      <c r="AF172" s="343" t="n"/>
      <c r="AG172" s="284" t="n"/>
      <c r="AH172" s="296" t="n"/>
      <c r="AI172" s="297" t="n"/>
      <c r="AJ172" s="363" t="n"/>
    </row>
    <row r="173" ht="15.5" customHeight="1" s="139">
      <c r="A173" s="268" t="inlineStr">
        <is>
          <t>자양동</t>
        </is>
      </c>
      <c r="B173" s="287" t="inlineStr">
        <is>
          <t>하</t>
        </is>
      </c>
      <c r="C173" s="316" t="inlineStr">
        <is>
          <t>하</t>
        </is>
      </c>
      <c r="D173" s="328" t="inlineStr">
        <is>
          <t>동아</t>
        </is>
      </c>
      <c r="E173" s="270" t="n">
        <v>47</v>
      </c>
      <c r="F173" s="270" t="n">
        <v>0</v>
      </c>
      <c r="G173" s="270" t="n">
        <v>0</v>
      </c>
      <c r="H173" s="289" t="n">
        <v>1990.1</v>
      </c>
      <c r="I173" s="289" t="n">
        <v>590</v>
      </c>
      <c r="J173" s="272" t="n">
        <v>36.90000000000009</v>
      </c>
      <c r="K173" s="289" t="n">
        <v>155</v>
      </c>
      <c r="L173" s="289" t="n">
        <v>134</v>
      </c>
      <c r="M173" s="289" t="n">
        <v>47</v>
      </c>
      <c r="N173" s="413" t="n">
        <v>0</v>
      </c>
      <c r="O173" s="414" t="n">
        <v>0</v>
      </c>
      <c r="P173" s="408" t="n">
        <v>0</v>
      </c>
      <c r="Q173" s="277" t="e">
        <v>#DIV/0!</v>
      </c>
      <c r="R173" s="414" t="n">
        <v>0</v>
      </c>
      <c r="S173" s="415" t="n">
        <v>0</v>
      </c>
      <c r="T173" s="293" t="inlineStr">
        <is>
          <t>계단식</t>
        </is>
      </c>
      <c r="U173" s="289" t="n">
        <v>4</v>
      </c>
      <c r="V173" s="289" t="n">
        <v>2</v>
      </c>
      <c r="W173" s="289" t="n">
        <v>180</v>
      </c>
      <c r="X173" s="331" t="n">
        <v>2022.04</v>
      </c>
      <c r="Y173" s="331" t="n">
        <v>0.02</v>
      </c>
      <c r="Z173" s="280" t="n">
        <v>47</v>
      </c>
      <c r="AA173" s="410" t="n">
        <v>30167</v>
      </c>
      <c r="AB173" s="410" t="n">
        <v>24500</v>
      </c>
      <c r="AC173" s="282" t="e">
        <v>#DIV/0!</v>
      </c>
      <c r="AD173" s="283" t="n">
        <v>0</v>
      </c>
      <c r="AE173" s="284" t="n"/>
      <c r="AF173" s="343" t="n"/>
      <c r="AG173" s="284" t="n"/>
      <c r="AH173" s="296" t="n"/>
      <c r="AI173" s="297" t="n"/>
      <c r="AJ173" s="363" t="n"/>
    </row>
    <row r="174" ht="31" customHeight="1" s="139">
      <c r="A174" s="48" t="inlineStr">
        <is>
          <t>가양동</t>
        </is>
      </c>
      <c r="B174" s="191" t="inlineStr">
        <is>
          <t>하</t>
        </is>
      </c>
      <c r="C174" s="178" t="inlineStr">
        <is>
          <t>하</t>
        </is>
      </c>
      <c r="D174" s="329" t="inlineStr">
        <is>
          <t>대주파크빌</t>
        </is>
      </c>
      <c r="E174" s="34" t="n">
        <v>31</v>
      </c>
      <c r="F174" s="34" t="n">
        <v>2.8</v>
      </c>
      <c r="G174" s="34" t="n">
        <v>2.2</v>
      </c>
      <c r="H174" s="54" t="n">
        <v>2006.01</v>
      </c>
      <c r="I174" s="54" t="n">
        <v>670</v>
      </c>
      <c r="J174" s="35" t="n">
        <v>20.99000000000001</v>
      </c>
      <c r="K174" s="41" t="inlineStr">
        <is>
          <t>102C, 102A, 102B</t>
        </is>
      </c>
      <c r="L174" s="41" t="n">
        <v>81</v>
      </c>
      <c r="M174" s="41" t="n">
        <v>31</v>
      </c>
      <c r="N174" s="426" t="n">
        <v>28000</v>
      </c>
      <c r="O174" s="427" t="n">
        <v>22000</v>
      </c>
      <c r="P174" s="420" t="n">
        <v>6000</v>
      </c>
      <c r="Q174" s="183" t="n">
        <v>0.7857142857142857</v>
      </c>
      <c r="R174" s="427" t="n">
        <v>33800</v>
      </c>
      <c r="S174" s="428" t="n">
        <v>25800</v>
      </c>
      <c r="T174" s="59" t="inlineStr">
        <is>
          <t>계단식</t>
        </is>
      </c>
      <c r="U174" s="41" t="n">
        <v>3</v>
      </c>
      <c r="V174" s="41" t="n">
        <v>2</v>
      </c>
      <c r="W174" s="41" t="n">
        <v>308</v>
      </c>
      <c r="X174" s="337" t="n">
        <v>2020.06</v>
      </c>
      <c r="Y174" s="332" t="n">
        <v>0.05</v>
      </c>
      <c r="Z174" s="185" t="n">
        <v>31</v>
      </c>
      <c r="AA174" s="422" t="n">
        <v>23117</v>
      </c>
      <c r="AB174" s="422" t="n">
        <v>19000</v>
      </c>
      <c r="AC174" s="187" t="e">
        <v>#DIV/0!</v>
      </c>
      <c r="AD174" s="188" t="n">
        <v>0</v>
      </c>
      <c r="AE174" s="189" t="n"/>
      <c r="AF174" s="467" t="n"/>
      <c r="AG174" s="468" t="n">
        <v>0</v>
      </c>
      <c r="AH174" s="190" t="e">
        <v>#DIV/0!</v>
      </c>
      <c r="AI174" s="196" t="e">
        <v>#DIV/0!</v>
      </c>
      <c r="AJ174" s="363" t="n"/>
      <c r="AK174" s="16" t="n"/>
      <c r="AS174" s="19" t="inlineStr">
        <is>
          <t>선명한 앞마당을 만들어 줄 '찐' 수익률분석 [나알이]</t>
        </is>
      </c>
      <c r="AT174" s="18" t="n"/>
      <c r="AU174" s="18" t="n"/>
      <c r="AV174" s="18" t="n"/>
    </row>
    <row r="175" ht="15.5" customHeight="1" s="139">
      <c r="A175" s="48" t="inlineStr">
        <is>
          <t>가양동</t>
        </is>
      </c>
      <c r="B175" s="191" t="inlineStr">
        <is>
          <t>하</t>
        </is>
      </c>
      <c r="C175" s="178" t="inlineStr">
        <is>
          <t>하</t>
        </is>
      </c>
      <c r="D175" s="329" t="inlineStr">
        <is>
          <t>대주파크빌</t>
        </is>
      </c>
      <c r="E175" s="34" t="n">
        <v>33</v>
      </c>
      <c r="F175" s="34" t="n">
        <v>2.8</v>
      </c>
      <c r="G175" s="34" t="n">
        <v>1.9</v>
      </c>
      <c r="H175" s="54" t="n">
        <v>2006.01</v>
      </c>
      <c r="I175" s="54" t="n">
        <v>670</v>
      </c>
      <c r="J175" s="35" t="n">
        <v>20.99000000000001</v>
      </c>
      <c r="K175" s="41" t="inlineStr">
        <is>
          <t>108A, 108B</t>
        </is>
      </c>
      <c r="L175" s="41" t="n">
        <v>84</v>
      </c>
      <c r="M175" s="41" t="n">
        <v>33</v>
      </c>
      <c r="N175" s="426" t="n">
        <v>28000</v>
      </c>
      <c r="O175" s="427" t="n">
        <v>19000</v>
      </c>
      <c r="P175" s="420" t="n">
        <v>9000</v>
      </c>
      <c r="Q175" s="183" t="n">
        <v>0.6785714285714286</v>
      </c>
      <c r="R175" s="427" t="n">
        <v>37700</v>
      </c>
      <c r="S175" s="428" t="n">
        <v>30000</v>
      </c>
      <c r="T175" s="59" t="inlineStr">
        <is>
          <t>계단식</t>
        </is>
      </c>
      <c r="U175" s="41" t="n">
        <v>3</v>
      </c>
      <c r="V175" s="41" t="n">
        <v>2</v>
      </c>
      <c r="W175" s="41" t="n">
        <v>166</v>
      </c>
      <c r="X175" s="337" t="n">
        <v>2020.01</v>
      </c>
      <c r="Y175" s="332" t="n">
        <v>0.03</v>
      </c>
      <c r="Z175" s="185" t="n">
        <v>33</v>
      </c>
      <c r="AA175" s="422" t="n">
        <v>23000</v>
      </c>
      <c r="AB175" s="422" t="n">
        <v>19000</v>
      </c>
      <c r="AC175" s="187" t="e">
        <v>#DIV/0!</v>
      </c>
      <c r="AD175" s="188" t="n">
        <v>0</v>
      </c>
      <c r="AE175" s="189" t="n"/>
      <c r="AF175" s="467" t="n"/>
      <c r="AG175" s="468" t="n">
        <v>0</v>
      </c>
      <c r="AH175" s="190" t="e">
        <v>#DIV/0!</v>
      </c>
      <c r="AI175" s="196" t="e">
        <v>#DIV/0!</v>
      </c>
      <c r="AJ175" s="363" t="n"/>
      <c r="AK175" s="15" t="inlineStr">
        <is>
          <t>결론</t>
        </is>
      </c>
      <c r="AS175" s="350" t="inlineStr">
        <is>
          <t>https://weolbu.com/s/MhxRTz9ZpG</t>
        </is>
      </c>
    </row>
    <row r="176" ht="62" customHeight="1" s="139">
      <c r="A176" s="48" t="inlineStr">
        <is>
          <t>가양동</t>
        </is>
      </c>
      <c r="B176" s="214" t="inlineStr">
        <is>
          <t>하</t>
        </is>
      </c>
      <c r="C176" s="215" t="inlineStr">
        <is>
          <t>하</t>
        </is>
      </c>
      <c r="D176" s="329" t="inlineStr">
        <is>
          <t>대주파크빌</t>
        </is>
      </c>
      <c r="E176" s="34" t="n">
        <v>25</v>
      </c>
      <c r="F176" s="34" t="n">
        <v>2.3</v>
      </c>
      <c r="G176" s="34" t="n">
        <v>1.4</v>
      </c>
      <c r="H176" s="54" t="n">
        <v>2006.01</v>
      </c>
      <c r="I176" s="54" t="n">
        <v>670</v>
      </c>
      <c r="J176" s="35" t="n">
        <v>20.99000000000001</v>
      </c>
      <c r="K176" s="41" t="inlineStr">
        <is>
          <t>82B, 82A</t>
        </is>
      </c>
      <c r="L176" s="41" t="n">
        <v>63</v>
      </c>
      <c r="M176" s="41" t="n">
        <v>25</v>
      </c>
      <c r="N176" s="426" t="n">
        <v>23000</v>
      </c>
      <c r="O176" s="427" t="n">
        <v>14000</v>
      </c>
      <c r="P176" s="420" t="n">
        <v>9000</v>
      </c>
      <c r="Q176" s="183" t="n">
        <v>0.6086956521739131</v>
      </c>
      <c r="R176" s="427" t="n">
        <v>27500</v>
      </c>
      <c r="S176" s="428" t="n">
        <v>21500</v>
      </c>
      <c r="T176" s="59" t="inlineStr">
        <is>
          <t>계단식</t>
        </is>
      </c>
      <c r="U176" s="41" t="n">
        <v>3</v>
      </c>
      <c r="V176" s="41" t="n">
        <v>2</v>
      </c>
      <c r="W176" s="41" t="n">
        <v>196</v>
      </c>
      <c r="X176" s="169" t="n">
        <v>2020.03</v>
      </c>
      <c r="Y176" s="216" t="n">
        <v>0.11</v>
      </c>
      <c r="Z176" s="185" t="n">
        <v>25</v>
      </c>
      <c r="AA176" s="422" t="n">
        <v>19633</v>
      </c>
      <c r="AB176" s="422" t="n">
        <v>16000</v>
      </c>
      <c r="AC176" s="187" t="e">
        <v>#DIV/0!</v>
      </c>
      <c r="AD176" s="188" t="n">
        <v>0</v>
      </c>
      <c r="AE176" s="395" t="n"/>
      <c r="AF176" s="469" t="n"/>
      <c r="AG176" s="470" t="n">
        <v>0</v>
      </c>
      <c r="AH176" s="217" t="e">
        <v>#DIV/0!</v>
      </c>
      <c r="AI176" s="218" t="e">
        <v>#DIV/0!</v>
      </c>
      <c r="AJ176" s="363" t="n"/>
      <c r="AK176" s="16" t="n"/>
    </row>
    <row r="177" ht="31.5" customHeight="1" s="139" thickBot="1">
      <c r="A177" s="268" t="inlineStr">
        <is>
          <t>낭월동</t>
        </is>
      </c>
      <c r="B177" s="326" t="inlineStr">
        <is>
          <t>하</t>
        </is>
      </c>
      <c r="C177" s="321" t="inlineStr">
        <is>
          <t>중</t>
        </is>
      </c>
      <c r="D177" s="328" t="inlineStr">
        <is>
          <t>남대전e편한세상</t>
        </is>
      </c>
      <c r="E177" s="270" t="n">
        <v>34</v>
      </c>
      <c r="F177" s="270" t="n">
        <v>2.9</v>
      </c>
      <c r="G177" s="270" t="n">
        <v>2</v>
      </c>
      <c r="H177" s="298" t="n">
        <v>2011.09</v>
      </c>
      <c r="I177" s="298" t="n">
        <v>713</v>
      </c>
      <c r="J177" s="272" t="n">
        <v>15.91000000000008</v>
      </c>
      <c r="K177" s="298" t="inlineStr">
        <is>
          <t>111A1, 111B1, 112A2, 112B2</t>
        </is>
      </c>
      <c r="L177" s="298" t="n">
        <v>84</v>
      </c>
      <c r="M177" s="298" t="n">
        <v>34</v>
      </c>
      <c r="N177" s="429" t="n">
        <v>29000</v>
      </c>
      <c r="O177" s="429" t="n">
        <v>20000</v>
      </c>
      <c r="P177" s="408" t="n">
        <v>9000</v>
      </c>
      <c r="Q177" s="277" t="n">
        <v>0.6896551724137931</v>
      </c>
      <c r="R177" s="429" t="n">
        <v>36700</v>
      </c>
      <c r="S177" s="471" t="n">
        <v>27000</v>
      </c>
      <c r="T177" s="302" t="inlineStr">
        <is>
          <t>계단식</t>
        </is>
      </c>
      <c r="U177" s="298" t="n">
        <v>3</v>
      </c>
      <c r="V177" s="298" t="n">
        <v>2</v>
      </c>
      <c r="W177" s="298" t="n">
        <v>488</v>
      </c>
      <c r="X177" s="336" t="n">
        <v>2020.02</v>
      </c>
      <c r="Y177" s="331" t="n">
        <v>0.01</v>
      </c>
      <c r="Z177" s="280" t="n">
        <v>34</v>
      </c>
      <c r="AA177" s="410" t="n">
        <v>23472</v>
      </c>
      <c r="AB177" s="410" t="n">
        <v>19333</v>
      </c>
      <c r="AC177" s="282" t="e">
        <v>#DIV/0!</v>
      </c>
      <c r="AD177" s="283" t="n">
        <v>0</v>
      </c>
      <c r="AE177" s="284" t="n"/>
      <c r="AF177" s="472" t="n"/>
      <c r="AG177" s="412" t="n">
        <v>0</v>
      </c>
      <c r="AH177" s="285" t="e">
        <v>#DIV/0!</v>
      </c>
      <c r="AI177" s="297" t="e">
        <v>#DIV/0!</v>
      </c>
      <c r="AJ177" s="358" t="n"/>
    </row>
    <row r="178" ht="46.5" customHeight="1" s="139">
      <c r="A178" s="268" t="inlineStr">
        <is>
          <t>낭월동</t>
        </is>
      </c>
      <c r="B178" s="326" t="inlineStr">
        <is>
          <t>하</t>
        </is>
      </c>
      <c r="C178" s="269" t="inlineStr">
        <is>
          <t>중</t>
        </is>
      </c>
      <c r="D178" s="328" t="inlineStr">
        <is>
          <t>남대전e편한세상</t>
        </is>
      </c>
      <c r="E178" s="270" t="n">
        <v>39</v>
      </c>
      <c r="F178" s="270" t="n">
        <v>0</v>
      </c>
      <c r="G178" s="270" t="n">
        <v>0</v>
      </c>
      <c r="H178" s="273" t="n">
        <v>2011.09</v>
      </c>
      <c r="I178" s="273" t="n">
        <v>713</v>
      </c>
      <c r="J178" s="272" t="n">
        <v>15.91000000000008</v>
      </c>
      <c r="K178" s="273" t="n">
        <v>128</v>
      </c>
      <c r="L178" s="273" t="n">
        <v>101</v>
      </c>
      <c r="M178" s="273" t="n">
        <v>39</v>
      </c>
      <c r="N178" s="406" t="n">
        <v>0</v>
      </c>
      <c r="O178" s="407" t="n">
        <v>0</v>
      </c>
      <c r="P178" s="408" t="n">
        <v>0</v>
      </c>
      <c r="Q178" s="277" t="e">
        <v>#DIV/0!</v>
      </c>
      <c r="R178" s="407" t="n">
        <v>0</v>
      </c>
      <c r="S178" s="409" t="n">
        <v>0</v>
      </c>
      <c r="T178" s="279" t="inlineStr">
        <is>
          <t>계단식</t>
        </is>
      </c>
      <c r="U178" s="273" t="n">
        <v>3</v>
      </c>
      <c r="V178" s="273" t="n">
        <v>2</v>
      </c>
      <c r="W178" s="273" t="n">
        <v>140</v>
      </c>
      <c r="X178" s="336" t="n">
        <v>2020.04</v>
      </c>
      <c r="Y178" s="331" t="n">
        <v>0.08</v>
      </c>
      <c r="Z178" s="280" t="n">
        <v>39</v>
      </c>
      <c r="AA178" s="410" t="n">
        <v>27274</v>
      </c>
      <c r="AB178" s="410" t="n">
        <v>23000</v>
      </c>
      <c r="AC178" s="282" t="e">
        <v>#DIV/0!</v>
      </c>
      <c r="AD178" s="283" t="n">
        <v>0</v>
      </c>
      <c r="AE178" s="284" t="n"/>
      <c r="AF178" s="473" t="n"/>
      <c r="AG178" s="412" t="n">
        <v>0</v>
      </c>
      <c r="AH178" s="285" t="e">
        <v>#DIV/0!</v>
      </c>
      <c r="AI178" s="297" t="e">
        <v>#DIV/0!</v>
      </c>
      <c r="AJ178" s="358" t="n"/>
    </row>
    <row r="179" ht="15.5" customHeight="1" s="139">
      <c r="A179" s="268" t="inlineStr">
        <is>
          <t>낭월동</t>
        </is>
      </c>
      <c r="B179" s="326" t="inlineStr">
        <is>
          <t>하</t>
        </is>
      </c>
      <c r="C179" s="316" t="inlineStr">
        <is>
          <t>중</t>
        </is>
      </c>
      <c r="D179" s="328" t="inlineStr">
        <is>
          <t>남대전e편한세상</t>
        </is>
      </c>
      <c r="E179" s="270" t="n">
        <v>42</v>
      </c>
      <c r="F179" s="270" t="n">
        <v>0</v>
      </c>
      <c r="G179" s="270" t="n">
        <v>0</v>
      </c>
      <c r="H179" s="289" t="n">
        <v>2011.09</v>
      </c>
      <c r="I179" s="289" t="n">
        <v>713</v>
      </c>
      <c r="J179" s="272" t="n">
        <v>15.91000000000008</v>
      </c>
      <c r="K179" s="289" t="n">
        <v>139</v>
      </c>
      <c r="L179" s="289" t="n">
        <v>105</v>
      </c>
      <c r="M179" s="289" t="n">
        <v>42</v>
      </c>
      <c r="N179" s="413" t="n">
        <v>0</v>
      </c>
      <c r="O179" s="414" t="n">
        <v>0</v>
      </c>
      <c r="P179" s="408" t="n">
        <v>0</v>
      </c>
      <c r="Q179" s="277" t="e">
        <v>#DIV/0!</v>
      </c>
      <c r="R179" s="414" t="n">
        <v>0</v>
      </c>
      <c r="S179" s="415" t="n">
        <v>0</v>
      </c>
      <c r="T179" s="293" t="inlineStr">
        <is>
          <t>계단식</t>
        </is>
      </c>
      <c r="U179" s="289" t="n">
        <v>4</v>
      </c>
      <c r="V179" s="289" t="n">
        <v>2</v>
      </c>
      <c r="W179" s="289" t="n">
        <v>9</v>
      </c>
      <c r="X179" s="336" t="n"/>
      <c r="Y179" s="331" t="n"/>
      <c r="Z179" s="280" t="n">
        <v>42</v>
      </c>
      <c r="AA179" s="410" t="n"/>
      <c r="AB179" s="410" t="n"/>
      <c r="AC179" s="282" t="e">
        <v>#DIV/0!</v>
      </c>
      <c r="AD179" s="283" t="n">
        <v>0</v>
      </c>
      <c r="AE179" s="284" t="n"/>
      <c r="AF179" s="474" t="n"/>
      <c r="AG179" s="412" t="n">
        <v>0</v>
      </c>
      <c r="AH179" s="285" t="e">
        <v>#DIV/0!</v>
      </c>
      <c r="AI179" s="297" t="e">
        <v>#DIV/0!</v>
      </c>
      <c r="AJ179" s="358" t="n"/>
      <c r="AS179" s="339" t="n"/>
    </row>
    <row r="180" ht="16" customHeight="1" s="139" thickBot="1">
      <c r="A180" s="268" t="inlineStr">
        <is>
          <t>낭월동</t>
        </is>
      </c>
      <c r="B180" s="326" t="inlineStr">
        <is>
          <t>하</t>
        </is>
      </c>
      <c r="C180" s="316" t="inlineStr">
        <is>
          <t>중</t>
        </is>
      </c>
      <c r="D180" s="328" t="inlineStr">
        <is>
          <t>남대전e편한세상</t>
        </is>
      </c>
      <c r="E180" s="270" t="n">
        <v>46</v>
      </c>
      <c r="F180" s="270" t="n">
        <v>0</v>
      </c>
      <c r="G180" s="270" t="n">
        <v>0</v>
      </c>
      <c r="H180" s="298" t="n">
        <v>2011.09</v>
      </c>
      <c r="I180" s="298" t="n">
        <v>713</v>
      </c>
      <c r="J180" s="272" t="n">
        <v>15.91000000000008</v>
      </c>
      <c r="K180" s="298" t="n">
        <v>153</v>
      </c>
      <c r="L180" s="298" t="n">
        <v>122</v>
      </c>
      <c r="M180" s="298" t="n">
        <v>46</v>
      </c>
      <c r="N180" s="429" t="n">
        <v>0</v>
      </c>
      <c r="O180" s="430" t="n">
        <v>0</v>
      </c>
      <c r="P180" s="408" t="n">
        <v>0</v>
      </c>
      <c r="Q180" s="277" t="e">
        <v>#DIV/0!</v>
      </c>
      <c r="R180" s="430" t="n">
        <v>0</v>
      </c>
      <c r="S180" s="431" t="n">
        <v>0</v>
      </c>
      <c r="T180" s="302" t="inlineStr">
        <is>
          <t>계단식</t>
        </is>
      </c>
      <c r="U180" s="298" t="n">
        <v>4</v>
      </c>
      <c r="V180" s="298" t="n">
        <v>2</v>
      </c>
      <c r="W180" s="298" t="n">
        <v>76</v>
      </c>
      <c r="X180" s="336" t="n">
        <v>2020.02</v>
      </c>
      <c r="Y180" s="331" t="n">
        <v>0.05</v>
      </c>
      <c r="Z180" s="280" t="n">
        <v>46</v>
      </c>
      <c r="AA180" s="410" t="n">
        <v>29950</v>
      </c>
      <c r="AB180" s="410" t="n">
        <v>26000</v>
      </c>
      <c r="AC180" s="282" t="e">
        <v>#DIV/0!</v>
      </c>
      <c r="AD180" s="283" t="n">
        <v>0</v>
      </c>
      <c r="AE180" s="284" t="n"/>
      <c r="AF180" s="416" t="n"/>
      <c r="AG180" s="417" t="n">
        <v>0</v>
      </c>
      <c r="AH180" s="285" t="e">
        <v>#DIV/0!</v>
      </c>
      <c r="AI180" s="297" t="e">
        <v>#DIV/0!</v>
      </c>
      <c r="AJ180" s="358" t="n"/>
      <c r="AS180" s="339" t="n"/>
    </row>
    <row r="181" ht="31" customHeight="1" s="139">
      <c r="A181" s="48" t="inlineStr">
        <is>
          <t>가양동</t>
        </is>
      </c>
      <c r="B181" s="177" t="inlineStr">
        <is>
          <t>하</t>
        </is>
      </c>
      <c r="C181" s="172" t="inlineStr">
        <is>
          <t>하</t>
        </is>
      </c>
      <c r="D181" s="329" t="inlineStr">
        <is>
          <t>고운하이플러스</t>
        </is>
      </c>
      <c r="E181" s="34" t="n">
        <v>32</v>
      </c>
      <c r="F181" s="34" t="n">
        <v>3.8</v>
      </c>
      <c r="G181" s="34" t="n">
        <v>2.3</v>
      </c>
      <c r="H181" s="53" t="n">
        <v>2023.05</v>
      </c>
      <c r="I181" s="53" t="n">
        <v>430</v>
      </c>
      <c r="J181" s="35" t="n">
        <v>3.950000000000045</v>
      </c>
      <c r="K181" s="40" t="n">
        <v>107</v>
      </c>
      <c r="L181" s="40" t="n">
        <v>79</v>
      </c>
      <c r="M181" s="40" t="n">
        <v>32</v>
      </c>
      <c r="N181" s="423" t="n">
        <v>38000</v>
      </c>
      <c r="O181" s="424" t="n">
        <v>23000</v>
      </c>
      <c r="P181" s="420" t="n">
        <v>15000</v>
      </c>
      <c r="Q181" s="183" t="n">
        <v>0.6052631578947368</v>
      </c>
      <c r="R181" s="424" t="n">
        <v>40000</v>
      </c>
      <c r="S181" s="425" t="n">
        <v>35800</v>
      </c>
      <c r="T181" s="58" t="inlineStr">
        <is>
          <t>계단식</t>
        </is>
      </c>
      <c r="U181" s="40" t="n">
        <v>3</v>
      </c>
      <c r="V181" s="40" t="n">
        <v>2</v>
      </c>
      <c r="W181" s="40" t="n">
        <v>100</v>
      </c>
      <c r="X181" s="337" t="n"/>
      <c r="Y181" s="332" t="n"/>
      <c r="Z181" s="185" t="n">
        <v>32</v>
      </c>
      <c r="AA181" s="422" t="n"/>
      <c r="AB181" s="422" t="n"/>
      <c r="AC181" s="187" t="e">
        <v>#DIV/0!</v>
      </c>
      <c r="AD181" s="188" t="n">
        <v>0</v>
      </c>
      <c r="AE181" s="189" t="n"/>
      <c r="AF181" s="465" t="n"/>
      <c r="AG181" s="466" t="n">
        <v>0</v>
      </c>
      <c r="AH181" s="190" t="e">
        <v>#DIV/0!</v>
      </c>
      <c r="AI181" s="196" t="e">
        <v>#DIV/0!</v>
      </c>
      <c r="AJ181" s="358" t="n"/>
      <c r="AK181" s="16" t="n"/>
      <c r="AS181" s="350" t="inlineStr">
        <is>
          <t>2. 각 단지들 투자하기 좋았던 시기 기록 (전세가율 80% 이상인 시기, 투자기회를 얼마나 주었는가?)</t>
        </is>
      </c>
    </row>
    <row r="182" ht="15.5" customHeight="1" s="139">
      <c r="A182" s="48" t="inlineStr">
        <is>
          <t>가양동</t>
        </is>
      </c>
      <c r="B182" s="177" t="inlineStr">
        <is>
          <t>하</t>
        </is>
      </c>
      <c r="C182" s="178" t="inlineStr">
        <is>
          <t>하</t>
        </is>
      </c>
      <c r="D182" s="329" t="inlineStr">
        <is>
          <t>고운하이플러스</t>
        </is>
      </c>
      <c r="E182" s="34" t="n">
        <v>25</v>
      </c>
      <c r="F182" s="34" t="n">
        <v>2.95</v>
      </c>
      <c r="G182" s="34" t="n">
        <v>2.2</v>
      </c>
      <c r="H182" s="54" t="n">
        <v>2023.05</v>
      </c>
      <c r="I182" s="54" t="n">
        <v>430</v>
      </c>
      <c r="J182" s="35" t="n">
        <v>3.950000000000045</v>
      </c>
      <c r="K182" s="41" t="n">
        <v>81</v>
      </c>
      <c r="L182" s="41" t="n">
        <v>59</v>
      </c>
      <c r="M182" s="41" t="n">
        <v>25</v>
      </c>
      <c r="N182" s="426" t="n">
        <v>29500</v>
      </c>
      <c r="O182" s="427" t="n">
        <v>22000</v>
      </c>
      <c r="P182" s="420" t="n">
        <v>7500</v>
      </c>
      <c r="Q182" s="183" t="n">
        <v>0.7457627118644068</v>
      </c>
      <c r="R182" s="427" t="n">
        <v>32000</v>
      </c>
      <c r="S182" s="428" t="n">
        <v>25000</v>
      </c>
      <c r="T182" s="59" t="inlineStr">
        <is>
          <t>계단식</t>
        </is>
      </c>
      <c r="U182" s="41" t="n">
        <v>3</v>
      </c>
      <c r="V182" s="41" t="n">
        <v>2</v>
      </c>
      <c r="W182" s="41" t="n">
        <v>281</v>
      </c>
      <c r="X182" s="337" t="n"/>
      <c r="Y182" s="332" t="n"/>
      <c r="Z182" s="185" t="n">
        <v>25</v>
      </c>
      <c r="AA182" s="422" t="n"/>
      <c r="AB182" s="422" t="n"/>
      <c r="AC182" s="187" t="e">
        <v>#DIV/0!</v>
      </c>
      <c r="AD182" s="188" t="n">
        <v>0</v>
      </c>
      <c r="AE182" s="189" t="n"/>
      <c r="AF182" s="465" t="n"/>
      <c r="AG182" s="466" t="n">
        <v>0</v>
      </c>
      <c r="AH182" s="190" t="e">
        <v>#DIV/0!</v>
      </c>
      <c r="AI182" s="196" t="e">
        <v>#DIV/0!</v>
      </c>
      <c r="AJ182" s="358" t="n"/>
      <c r="AK182" s="16" t="n"/>
      <c r="AS182" s="350" t="inlineStr">
        <is>
          <t>1. 생활권 별 / 선호도 별 단지 추출 (상중하)</t>
        </is>
      </c>
      <c r="AT182" s="339" t="n"/>
      <c r="AU182" s="339" t="n"/>
      <c r="AV182" s="339" t="n"/>
    </row>
    <row r="183" ht="15.5" customHeight="1" s="139">
      <c r="A183" s="48" t="inlineStr">
        <is>
          <t>가양동</t>
        </is>
      </c>
      <c r="B183" s="177" t="inlineStr">
        <is>
          <t>하</t>
        </is>
      </c>
      <c r="C183" s="178" t="inlineStr">
        <is>
          <t>하</t>
        </is>
      </c>
      <c r="D183" s="329" t="inlineStr">
        <is>
          <t>고운하이플러스</t>
        </is>
      </c>
      <c r="E183" s="34" t="n">
        <v>22</v>
      </c>
      <c r="F183" s="34" t="n">
        <v>2.9</v>
      </c>
      <c r="G183" s="34" t="n">
        <v>1.8</v>
      </c>
      <c r="H183" s="54" t="n">
        <v>2023.05</v>
      </c>
      <c r="I183" s="54" t="n">
        <v>430</v>
      </c>
      <c r="J183" s="35" t="n">
        <v>3.950000000000045</v>
      </c>
      <c r="K183" s="41" t="n">
        <v>73</v>
      </c>
      <c r="L183" s="41" t="n">
        <v>53</v>
      </c>
      <c r="M183" s="41" t="n">
        <v>22</v>
      </c>
      <c r="N183" s="426" t="n">
        <v>29000</v>
      </c>
      <c r="O183" s="427" t="n">
        <v>18000</v>
      </c>
      <c r="P183" s="420" t="n">
        <v>11000</v>
      </c>
      <c r="Q183" s="183" t="n">
        <v>0.6206896551724138</v>
      </c>
      <c r="R183" s="427" t="n">
        <v>27000</v>
      </c>
      <c r="S183" s="428" t="n">
        <v>27000</v>
      </c>
      <c r="T183" s="59" t="inlineStr">
        <is>
          <t>계단식</t>
        </is>
      </c>
      <c r="U183" s="41" t="n">
        <v>2</v>
      </c>
      <c r="V183" s="41" t="n">
        <v>2</v>
      </c>
      <c r="W183" s="41" t="n">
        <v>42</v>
      </c>
      <c r="X183" s="337" t="n"/>
      <c r="Y183" s="332" t="n"/>
      <c r="Z183" s="185" t="n">
        <v>22</v>
      </c>
      <c r="AA183" s="422" t="n"/>
      <c r="AB183" s="422" t="n"/>
      <c r="AC183" s="187" t="e">
        <v>#DIV/0!</v>
      </c>
      <c r="AD183" s="188" t="n">
        <v>0</v>
      </c>
      <c r="AE183" s="189" t="n"/>
      <c r="AF183" s="465" t="n"/>
      <c r="AG183" s="466" t="n">
        <v>0</v>
      </c>
      <c r="AH183" s="190" t="e">
        <v>#DIV/0!</v>
      </c>
      <c r="AI183" s="196" t="e">
        <v>#DIV/0!</v>
      </c>
      <c r="AJ183" s="358" t="n"/>
      <c r="AK183" s="15" t="inlineStr">
        <is>
          <t>나만의 인싸이트</t>
        </is>
      </c>
      <c r="AS183" s="350" t="inlineStr">
        <is>
          <t xml:space="preserve">감사합니다 튜터님 ㅎㅎㅎ 정리하자면 </t>
        </is>
      </c>
    </row>
    <row r="184" ht="16" customHeight="1" s="139" thickBot="1">
      <c r="A184" s="48" t="inlineStr">
        <is>
          <t>가양동</t>
        </is>
      </c>
      <c r="B184" s="177" t="inlineStr">
        <is>
          <t>하</t>
        </is>
      </c>
      <c r="C184" s="178" t="inlineStr">
        <is>
          <t>하</t>
        </is>
      </c>
      <c r="D184" s="329" t="inlineStr">
        <is>
          <t>고운하이플러스</t>
        </is>
      </c>
      <c r="E184" s="34" t="n">
        <v>35</v>
      </c>
      <c r="F184" s="34" t="n">
        <v>0</v>
      </c>
      <c r="G184" s="34" t="n">
        <v>0</v>
      </c>
      <c r="H184" s="67" t="n">
        <v>2023.05</v>
      </c>
      <c r="I184" s="67" t="n">
        <v>430</v>
      </c>
      <c r="J184" s="35" t="n">
        <v>3.950000000000045</v>
      </c>
      <c r="K184" s="42" t="inlineStr">
        <is>
          <t>117C, 118B, 119A</t>
        </is>
      </c>
      <c r="L184" s="42" t="n">
        <v>84</v>
      </c>
      <c r="M184" s="42" t="n">
        <v>35</v>
      </c>
      <c r="N184" s="418" t="n">
        <v>0</v>
      </c>
      <c r="O184" s="419" t="n">
        <v>0</v>
      </c>
      <c r="P184" s="420" t="n">
        <v>0</v>
      </c>
      <c r="Q184" s="183" t="e">
        <v>#DIV/0!</v>
      </c>
      <c r="R184" s="419" t="n">
        <v>0</v>
      </c>
      <c r="S184" s="421" t="n">
        <v>0</v>
      </c>
      <c r="T184" s="60" t="inlineStr">
        <is>
          <t>계단식</t>
        </is>
      </c>
      <c r="U184" s="42" t="n">
        <v>3</v>
      </c>
      <c r="V184" s="42" t="n">
        <v>2</v>
      </c>
      <c r="W184" s="42" t="n">
        <v>5</v>
      </c>
      <c r="X184" s="337" t="n"/>
      <c r="Y184" s="332" t="n"/>
      <c r="Z184" s="185" t="n">
        <v>35</v>
      </c>
      <c r="AA184" s="422" t="n"/>
      <c r="AB184" s="422" t="n"/>
      <c r="AC184" s="187" t="e">
        <v>#DIV/0!</v>
      </c>
      <c r="AD184" s="188" t="n">
        <v>0</v>
      </c>
      <c r="AE184" s="189" t="n"/>
      <c r="AF184" s="465" t="n"/>
      <c r="AG184" s="466" t="n">
        <v>0</v>
      </c>
      <c r="AH184" s="190" t="e">
        <v>#DIV/0!</v>
      </c>
      <c r="AI184" s="196" t="e">
        <v>#DIV/0!</v>
      </c>
      <c r="AJ184" s="358" t="n"/>
      <c r="AK184" s="16" t="n"/>
      <c r="AS184" s="350" t="inlineStr">
        <is>
          <t>3. 그 단지들 전고점 시기 기록</t>
        </is>
      </c>
      <c r="AT184" s="339" t="n"/>
      <c r="AU184" s="339" t="n"/>
      <c r="AV184" s="339" t="n"/>
    </row>
    <row r="185" ht="46.5" customHeight="1" s="139">
      <c r="A185" s="48" t="inlineStr">
        <is>
          <t>가양동</t>
        </is>
      </c>
      <c r="B185" s="172" t="inlineStr">
        <is>
          <t>하</t>
        </is>
      </c>
      <c r="C185" s="172" t="inlineStr">
        <is>
          <t>하</t>
        </is>
      </c>
      <c r="D185" s="329" t="inlineStr">
        <is>
          <t>고운하이플러스</t>
        </is>
      </c>
      <c r="E185" s="34" t="n">
        <v>48</v>
      </c>
      <c r="F185" s="34" t="n">
        <v>0</v>
      </c>
      <c r="G185" s="34" t="n">
        <v>0</v>
      </c>
      <c r="H185" s="53" t="n">
        <v>2023.05</v>
      </c>
      <c r="I185" s="53" t="n">
        <v>430</v>
      </c>
      <c r="J185" s="35" t="n">
        <v>3.950000000000045</v>
      </c>
      <c r="K185" s="40" t="n">
        <v>160</v>
      </c>
      <c r="L185" s="40" t="n">
        <v>114</v>
      </c>
      <c r="M185" s="40" t="n">
        <v>48</v>
      </c>
      <c r="N185" s="423" t="n">
        <v>0</v>
      </c>
      <c r="O185" s="424" t="n">
        <v>0</v>
      </c>
      <c r="P185" s="420" t="n">
        <v>0</v>
      </c>
      <c r="Q185" s="183" t="e">
        <v>#DIV/0!</v>
      </c>
      <c r="R185" s="424" t="n">
        <v>0</v>
      </c>
      <c r="S185" s="425" t="n">
        <v>0</v>
      </c>
      <c r="T185" s="58" t="inlineStr">
        <is>
          <t>계단식</t>
        </is>
      </c>
      <c r="U185" s="40" t="n">
        <v>3</v>
      </c>
      <c r="V185" s="40" t="n">
        <v>2</v>
      </c>
      <c r="W185" s="40" t="n">
        <v>2</v>
      </c>
      <c r="X185" s="337" t="n"/>
      <c r="Y185" s="332" t="n"/>
      <c r="Z185" s="185" t="n">
        <v>48</v>
      </c>
      <c r="AA185" s="422" t="n"/>
      <c r="AB185" s="422" t="n"/>
      <c r="AC185" s="187" t="e">
        <v>#DIV/0!</v>
      </c>
      <c r="AD185" s="188" t="n">
        <v>0</v>
      </c>
      <c r="AE185" s="189" t="n"/>
      <c r="AF185" s="465" t="n"/>
      <c r="AG185" s="466" t="n">
        <v>0</v>
      </c>
      <c r="AH185" s="190" t="e">
        <v>#DIV/0!</v>
      </c>
      <c r="AI185" s="196" t="e">
        <v>#DIV/0!</v>
      </c>
      <c r="AJ185" s="358" t="n"/>
      <c r="AK185" s="16" t="n"/>
      <c r="AS185" s="350" t="inlineStr">
        <is>
          <t>4. [2번 시기]에 투자했을 때 [3번 시기] 기준 수익률 분석</t>
        </is>
      </c>
    </row>
    <row r="186" ht="15.5" customHeight="1" s="139">
      <c r="A186" s="268" t="inlineStr">
        <is>
          <t>용운동</t>
        </is>
      </c>
      <c r="B186" s="326" t="inlineStr">
        <is>
          <t>하</t>
        </is>
      </c>
      <c r="C186" s="316" t="inlineStr">
        <is>
          <t>상</t>
        </is>
      </c>
      <c r="D186" s="328" t="inlineStr">
        <is>
          <t>e편한세상대전에코포레</t>
        </is>
      </c>
      <c r="E186" s="270" t="n">
        <v>34</v>
      </c>
      <c r="F186" s="270" t="n">
        <v>4.1</v>
      </c>
      <c r="G186" s="270" t="n">
        <v>2.8</v>
      </c>
      <c r="H186" s="289" t="n">
        <v>2020.11</v>
      </c>
      <c r="I186" s="289" t="n">
        <v>2267</v>
      </c>
      <c r="J186" s="272" t="n">
        <v>6.8900000000001</v>
      </c>
      <c r="K186" s="289" t="n">
        <v>112</v>
      </c>
      <c r="L186" s="289" t="n">
        <v>84</v>
      </c>
      <c r="M186" s="289" t="n">
        <v>34</v>
      </c>
      <c r="N186" s="413" t="n">
        <v>42500</v>
      </c>
      <c r="O186" s="414" t="n">
        <v>28000</v>
      </c>
      <c r="P186" s="408" t="n">
        <v>13000</v>
      </c>
      <c r="Q186" s="277" t="n">
        <v>0.6829268292682927</v>
      </c>
      <c r="R186" s="414" t="n">
        <v>59000</v>
      </c>
      <c r="S186" s="415" t="n">
        <v>41000</v>
      </c>
      <c r="T186" s="293" t="inlineStr">
        <is>
          <t>계단식</t>
        </is>
      </c>
      <c r="U186" s="289" t="n">
        <v>3</v>
      </c>
      <c r="V186" s="289" t="n">
        <v>2</v>
      </c>
      <c r="W186" s="289" t="n">
        <v>448</v>
      </c>
      <c r="X186" s="331" t="n"/>
      <c r="Y186" s="331" t="n"/>
      <c r="Z186" s="280" t="n">
        <v>34</v>
      </c>
      <c r="AA186" s="410" t="n"/>
      <c r="AB186" s="410" t="n"/>
      <c r="AC186" s="282" t="e">
        <v>#DIV/0!</v>
      </c>
      <c r="AD186" s="283" t="n">
        <v>0</v>
      </c>
      <c r="AE186" s="284" t="n"/>
      <c r="AF186" s="347" t="n"/>
      <c r="AG186" s="353" t="n"/>
      <c r="AH186" s="296" t="n"/>
      <c r="AI186" s="297" t="n"/>
      <c r="AJ186" s="358" t="n"/>
    </row>
    <row r="187" ht="31" customHeight="1" s="139">
      <c r="A187" s="268" t="inlineStr">
        <is>
          <t>용운동</t>
        </is>
      </c>
      <c r="B187" s="326" t="inlineStr">
        <is>
          <t>하</t>
        </is>
      </c>
      <c r="C187" s="316" t="inlineStr">
        <is>
          <t>상</t>
        </is>
      </c>
      <c r="D187" s="328" t="inlineStr">
        <is>
          <t>e편한세상대전에코포레</t>
        </is>
      </c>
      <c r="E187" s="270" t="n">
        <v>31</v>
      </c>
      <c r="F187" s="270" t="n">
        <v>3.75</v>
      </c>
      <c r="G187" s="270" t="n">
        <v>3</v>
      </c>
      <c r="H187" s="289" t="n">
        <v>2020.11</v>
      </c>
      <c r="I187" s="289" t="n">
        <v>2267</v>
      </c>
      <c r="J187" s="272" t="n">
        <v>6.8900000000001</v>
      </c>
      <c r="K187" s="289" t="n">
        <v>101</v>
      </c>
      <c r="L187" s="289" t="n">
        <v>75</v>
      </c>
      <c r="M187" s="289" t="n">
        <v>31</v>
      </c>
      <c r="N187" s="413" t="n">
        <v>37500</v>
      </c>
      <c r="O187" s="414" t="n">
        <v>30000</v>
      </c>
      <c r="P187" s="408" t="n">
        <v>7500</v>
      </c>
      <c r="Q187" s="277" t="n">
        <v>0.8</v>
      </c>
      <c r="R187" s="414" t="n">
        <v>53000</v>
      </c>
      <c r="S187" s="415" t="n">
        <v>34000</v>
      </c>
      <c r="T187" s="293" t="inlineStr">
        <is>
          <t>계단식</t>
        </is>
      </c>
      <c r="U187" s="289" t="n">
        <v>3</v>
      </c>
      <c r="V187" s="289" t="n">
        <v>2</v>
      </c>
      <c r="W187" s="289" t="n">
        <v>363</v>
      </c>
      <c r="X187" s="331" t="n"/>
      <c r="Y187" s="331" t="n"/>
      <c r="Z187" s="280" t="n">
        <v>31</v>
      </c>
      <c r="AA187" s="410" t="n"/>
      <c r="AB187" s="410" t="n"/>
      <c r="AC187" s="282" t="e">
        <v>#DIV/0!</v>
      </c>
      <c r="AD187" s="283" t="n">
        <v>0</v>
      </c>
      <c r="AE187" s="284" t="n"/>
      <c r="AF187" s="347" t="n"/>
      <c r="AG187" s="353" t="n"/>
      <c r="AH187" s="355" t="n"/>
      <c r="AI187" s="356" t="n"/>
      <c r="AJ187" s="358" t="n"/>
    </row>
    <row r="188" ht="31" customHeight="1" s="139">
      <c r="A188" s="268" t="inlineStr">
        <is>
          <t>용운동</t>
        </is>
      </c>
      <c r="B188" s="326" t="inlineStr">
        <is>
          <t>하</t>
        </is>
      </c>
      <c r="C188" s="316" t="inlineStr">
        <is>
          <t>상</t>
        </is>
      </c>
      <c r="D188" s="328" t="inlineStr">
        <is>
          <t>e편한세상대전에코포레</t>
        </is>
      </c>
      <c r="E188" s="270" t="n">
        <v>30</v>
      </c>
      <c r="F188" s="270" t="n">
        <v>3.4</v>
      </c>
      <c r="G188" s="270" t="n">
        <v>2.8</v>
      </c>
      <c r="H188" s="289" t="n">
        <v>2020.11</v>
      </c>
      <c r="I188" s="289" t="n">
        <v>2267</v>
      </c>
      <c r="J188" s="272" t="n">
        <v>6.8900000000001</v>
      </c>
      <c r="K188" s="289" t="n">
        <v>98</v>
      </c>
      <c r="L188" s="289" t="n">
        <v>72</v>
      </c>
      <c r="M188" s="289" t="n">
        <v>30</v>
      </c>
      <c r="N188" s="413" t="n">
        <v>34000</v>
      </c>
      <c r="O188" s="414" t="n">
        <v>28000</v>
      </c>
      <c r="P188" s="408" t="n">
        <v>6000</v>
      </c>
      <c r="Q188" s="277" t="n">
        <v>0.8235294117647058</v>
      </c>
      <c r="R188" s="414" t="n">
        <v>51000</v>
      </c>
      <c r="S188" s="415" t="n">
        <v>35000</v>
      </c>
      <c r="T188" s="293" t="inlineStr">
        <is>
          <t>계단식</t>
        </is>
      </c>
      <c r="U188" s="289" t="n">
        <v>3</v>
      </c>
      <c r="V188" s="289" t="n">
        <v>2</v>
      </c>
      <c r="W188" s="289" t="n">
        <v>477</v>
      </c>
      <c r="X188" s="331" t="n"/>
      <c r="Y188" s="331" t="n"/>
      <c r="Z188" s="280" t="n">
        <v>30</v>
      </c>
      <c r="AA188" s="410" t="n"/>
      <c r="AB188" s="410" t="n"/>
      <c r="AC188" s="282" t="e">
        <v>#DIV/0!</v>
      </c>
      <c r="AD188" s="283" t="n">
        <v>0</v>
      </c>
      <c r="AE188" s="284" t="n"/>
      <c r="AF188" s="347" t="n"/>
      <c r="AG188" s="353" t="n"/>
      <c r="AH188" s="355" t="n"/>
      <c r="AI188" s="356" t="n"/>
      <c r="AJ188" s="358" t="n"/>
    </row>
    <row r="189" ht="15.5" customHeight="1" s="139">
      <c r="A189" s="268" t="inlineStr">
        <is>
          <t>용운동</t>
        </is>
      </c>
      <c r="B189" s="326" t="inlineStr">
        <is>
          <t>하</t>
        </is>
      </c>
      <c r="C189" s="316" t="inlineStr">
        <is>
          <t>상</t>
        </is>
      </c>
      <c r="D189" s="328" t="inlineStr">
        <is>
          <t>e편한세상대전에코포레</t>
        </is>
      </c>
      <c r="E189" s="270" t="n">
        <v>25</v>
      </c>
      <c r="F189" s="270" t="n">
        <v>2.9</v>
      </c>
      <c r="G189" s="270" t="n">
        <v>2.5</v>
      </c>
      <c r="H189" s="289" t="n">
        <v>2020.11</v>
      </c>
      <c r="I189" s="289" t="n">
        <v>2267</v>
      </c>
      <c r="J189" s="272" t="n">
        <v>6.8900000000001</v>
      </c>
      <c r="K189" s="289" t="n">
        <v>83</v>
      </c>
      <c r="L189" s="289" t="n">
        <v>59</v>
      </c>
      <c r="M189" s="289" t="n">
        <v>25</v>
      </c>
      <c r="N189" s="413" t="n">
        <v>29000</v>
      </c>
      <c r="O189" s="414" t="n">
        <v>25000</v>
      </c>
      <c r="P189" s="408" t="n">
        <v>4000</v>
      </c>
      <c r="Q189" s="277" t="n">
        <v>0.8620689655172413</v>
      </c>
      <c r="R189" s="414" t="n">
        <v>44000</v>
      </c>
      <c r="S189" s="415" t="n">
        <v>29500</v>
      </c>
      <c r="T189" s="293" t="inlineStr">
        <is>
          <t>계단식</t>
        </is>
      </c>
      <c r="U189" s="289" t="n">
        <v>3</v>
      </c>
      <c r="V189" s="289" t="n">
        <v>2</v>
      </c>
      <c r="W189" s="289" t="n">
        <v>879</v>
      </c>
      <c r="X189" s="331" t="n"/>
      <c r="Y189" s="331" t="n"/>
      <c r="Z189" s="280" t="n">
        <v>25</v>
      </c>
      <c r="AA189" s="410" t="n"/>
      <c r="AB189" s="410" t="n"/>
      <c r="AC189" s="282" t="e">
        <v>#DIV/0!</v>
      </c>
      <c r="AD189" s="283" t="n">
        <v>0</v>
      </c>
      <c r="AE189" s="284" t="n"/>
      <c r="AF189" s="347" t="n"/>
      <c r="AG189" s="353" t="n"/>
      <c r="AH189" s="355" t="n"/>
      <c r="AI189" s="356" t="n"/>
      <c r="AJ189" s="358" t="n"/>
    </row>
    <row r="190" ht="16" customHeight="1" s="139" thickBot="1">
      <c r="A190" s="268" t="inlineStr">
        <is>
          <t>용운동</t>
        </is>
      </c>
      <c r="B190" s="326" t="inlineStr">
        <is>
          <t>하</t>
        </is>
      </c>
      <c r="C190" s="316" t="inlineStr">
        <is>
          <t>상</t>
        </is>
      </c>
      <c r="D190" s="328" t="inlineStr">
        <is>
          <t>e편한세상대전에코포레</t>
        </is>
      </c>
      <c r="E190" s="270" t="n">
        <v>19</v>
      </c>
      <c r="F190" s="270" t="n">
        <v>2.35</v>
      </c>
      <c r="G190" s="270" t="n">
        <v>2</v>
      </c>
      <c r="H190" s="298" t="n">
        <v>2020.11</v>
      </c>
      <c r="I190" s="298" t="n">
        <v>2267</v>
      </c>
      <c r="J190" s="272" t="n">
        <v>6.8900000000001</v>
      </c>
      <c r="K190" s="298" t="n">
        <v>64</v>
      </c>
      <c r="L190" s="298" t="n">
        <v>43</v>
      </c>
      <c r="M190" s="298" t="n">
        <v>19</v>
      </c>
      <c r="N190" s="429" t="n">
        <v>23500</v>
      </c>
      <c r="O190" s="430" t="n">
        <v>20000</v>
      </c>
      <c r="P190" s="408" t="n">
        <v>3500</v>
      </c>
      <c r="Q190" s="277" t="n">
        <v>0.851063829787234</v>
      </c>
      <c r="R190" s="430" t="n">
        <v>30000</v>
      </c>
      <c r="S190" s="431" t="n">
        <v>23000</v>
      </c>
      <c r="T190" s="302" t="inlineStr">
        <is>
          <t>계단식</t>
        </is>
      </c>
      <c r="U190" s="298" t="n">
        <v>2</v>
      </c>
      <c r="V190" s="298" t="n">
        <v>1</v>
      </c>
      <c r="W190" s="298" t="n">
        <v>100</v>
      </c>
      <c r="X190" s="331" t="n"/>
      <c r="Y190" s="331" t="n"/>
      <c r="Z190" s="280" t="n">
        <v>19</v>
      </c>
      <c r="AA190" s="410" t="n"/>
      <c r="AB190" s="410" t="n"/>
      <c r="AC190" s="282" t="e">
        <v>#DIV/0!</v>
      </c>
      <c r="AD190" s="283" t="n">
        <v>0</v>
      </c>
      <c r="AE190" s="284" t="n"/>
      <c r="AF190" s="347" t="n"/>
      <c r="AG190" s="353" t="n"/>
      <c r="AH190" s="356" t="n"/>
      <c r="AI190" s="356" t="n"/>
      <c r="AJ190" s="358" t="n"/>
      <c r="AS190" s="339" t="n"/>
    </row>
  </sheetData>
  <autoFilter ref="A4:AV4">
    <sortState ref="A5:AV190">
      <sortCondition descending="1" ref="D4"/>
    </sortState>
  </autoFilter>
  <mergeCells count="3">
    <mergeCell ref="AE3:AI3"/>
    <mergeCell ref="B3:C3"/>
    <mergeCell ref="D3:AD3"/>
  </mergeCells>
  <conditionalFormatting sqref="B6:C9 B11:C12 B14:C15 B17:C19 B22:C23">
    <cfRule type="cellIs" priority="179" operator="equal" dxfId="1">
      <formula>"중"</formula>
    </cfRule>
    <cfRule type="cellIs" priority="180" operator="equal" dxfId="0">
      <formula>"상"</formula>
    </cfRule>
  </conditionalFormatting>
  <conditionalFormatting sqref="AI1:AI1048576">
    <cfRule type="dataBar" priority="181">
      <dataBar>
        <cfvo type="min"/>
        <cfvo type="max"/>
        <color rgb="FF63C384"/>
      </dataBar>
    </cfRule>
  </conditionalFormatting>
  <conditionalFormatting sqref="B1">
    <cfRule type="cellIs" priority="177" operator="equal" dxfId="1">
      <formula>"중"</formula>
    </cfRule>
    <cfRule type="cellIs" priority="178" operator="equal" dxfId="0">
      <formula>"상"</formula>
    </cfRule>
  </conditionalFormatting>
  <conditionalFormatting sqref="C1">
    <cfRule type="cellIs" priority="175" operator="equal" dxfId="1">
      <formula>"중"</formula>
    </cfRule>
    <cfRule type="cellIs" priority="176" operator="equal" dxfId="0">
      <formula>"상"</formula>
    </cfRule>
  </conditionalFormatting>
  <conditionalFormatting sqref="B2">
    <cfRule type="cellIs" priority="173" operator="equal" dxfId="1">
      <formula>"중"</formula>
    </cfRule>
    <cfRule type="cellIs" priority="174" operator="equal" dxfId="0">
      <formula>"상"</formula>
    </cfRule>
  </conditionalFormatting>
  <conditionalFormatting sqref="B27:C29 B31:C33 B35:C35 B37:C38 B40:C41 B43:C43">
    <cfRule type="cellIs" priority="171" operator="equal" dxfId="1">
      <formula>"중"</formula>
    </cfRule>
    <cfRule type="cellIs" priority="172" operator="equal" dxfId="0">
      <formula>"상"</formula>
    </cfRule>
  </conditionalFormatting>
  <conditionalFormatting sqref="B5">
    <cfRule type="cellIs" priority="169" operator="equal" dxfId="1">
      <formula>"중"</formula>
    </cfRule>
    <cfRule type="cellIs" priority="170" operator="equal" dxfId="0">
      <formula>"상"</formula>
    </cfRule>
  </conditionalFormatting>
  <conditionalFormatting sqref="C5">
    <cfRule type="cellIs" priority="167" operator="equal" dxfId="1">
      <formula>"중"</formula>
    </cfRule>
    <cfRule type="cellIs" priority="168" operator="equal" dxfId="0">
      <formula>"상"</formula>
    </cfRule>
  </conditionalFormatting>
  <conditionalFormatting sqref="B10">
    <cfRule type="cellIs" priority="165" operator="equal" dxfId="1">
      <formula>"중"</formula>
    </cfRule>
    <cfRule type="cellIs" priority="166" operator="equal" dxfId="0">
      <formula>"상"</formula>
    </cfRule>
  </conditionalFormatting>
  <conditionalFormatting sqref="C10">
    <cfRule type="cellIs" priority="163" operator="equal" dxfId="1">
      <formula>"중"</formula>
    </cfRule>
    <cfRule type="cellIs" priority="164" operator="equal" dxfId="0">
      <formula>"상"</formula>
    </cfRule>
  </conditionalFormatting>
  <conditionalFormatting sqref="B13">
    <cfRule type="cellIs" priority="161" operator="equal" dxfId="1">
      <formula>"중"</formula>
    </cfRule>
    <cfRule type="cellIs" priority="162" operator="equal" dxfId="0">
      <formula>"상"</formula>
    </cfRule>
  </conditionalFormatting>
  <conditionalFormatting sqref="C13">
    <cfRule type="cellIs" priority="159" operator="equal" dxfId="1">
      <formula>"중"</formula>
    </cfRule>
    <cfRule type="cellIs" priority="160" operator="equal" dxfId="0">
      <formula>"상"</formula>
    </cfRule>
  </conditionalFormatting>
  <conditionalFormatting sqref="B16">
    <cfRule type="cellIs" priority="157" operator="equal" dxfId="1">
      <formula>"중"</formula>
    </cfRule>
    <cfRule type="cellIs" priority="158" operator="equal" dxfId="0">
      <formula>"상"</formula>
    </cfRule>
  </conditionalFormatting>
  <conditionalFormatting sqref="C16">
    <cfRule type="cellIs" priority="155" operator="equal" dxfId="1">
      <formula>"중"</formula>
    </cfRule>
    <cfRule type="cellIs" priority="156" operator="equal" dxfId="0">
      <formula>"상"</formula>
    </cfRule>
  </conditionalFormatting>
  <conditionalFormatting sqref="B36">
    <cfRule type="cellIs" priority="153" operator="equal" dxfId="1">
      <formula>"중"</formula>
    </cfRule>
    <cfRule type="cellIs" priority="154" operator="equal" dxfId="0">
      <formula>"상"</formula>
    </cfRule>
  </conditionalFormatting>
  <conditionalFormatting sqref="B39">
    <cfRule type="cellIs" priority="151" operator="equal" dxfId="1">
      <formula>"중"</formula>
    </cfRule>
    <cfRule type="cellIs" priority="152" operator="equal" dxfId="0">
      <formula>"상"</formula>
    </cfRule>
  </conditionalFormatting>
  <conditionalFormatting sqref="B42">
    <cfRule type="cellIs" priority="149" operator="equal" dxfId="1">
      <formula>"중"</formula>
    </cfRule>
    <cfRule type="cellIs" priority="150" operator="equal" dxfId="0">
      <formula>"상"</formula>
    </cfRule>
  </conditionalFormatting>
  <conditionalFormatting sqref="B75">
    <cfRule type="cellIs" priority="147" operator="equal" dxfId="1">
      <formula>"중"</formula>
    </cfRule>
    <cfRule type="cellIs" priority="148" operator="equal" dxfId="0">
      <formula>"상"</formula>
    </cfRule>
  </conditionalFormatting>
  <conditionalFormatting sqref="B83">
    <cfRule type="cellIs" priority="145" operator="equal" dxfId="1">
      <formula>"중"</formula>
    </cfRule>
    <cfRule type="cellIs" priority="146" operator="equal" dxfId="0">
      <formula>"상"</formula>
    </cfRule>
  </conditionalFormatting>
  <conditionalFormatting sqref="C36">
    <cfRule type="cellIs" priority="143" operator="equal" dxfId="1">
      <formula>"중"</formula>
    </cfRule>
    <cfRule type="cellIs" priority="144" operator="equal" dxfId="0">
      <formula>"상"</formula>
    </cfRule>
  </conditionalFormatting>
  <conditionalFormatting sqref="C42">
    <cfRule type="cellIs" priority="141" operator="equal" dxfId="1">
      <formula>"중"</formula>
    </cfRule>
    <cfRule type="cellIs" priority="142" operator="equal" dxfId="0">
      <formula>"상"</formula>
    </cfRule>
  </conditionalFormatting>
  <conditionalFormatting sqref="C39">
    <cfRule type="cellIs" priority="139" operator="equal" dxfId="1">
      <formula>"중"</formula>
    </cfRule>
    <cfRule type="cellIs" priority="140" operator="equal" dxfId="0">
      <formula>"상"</formula>
    </cfRule>
  </conditionalFormatting>
  <conditionalFormatting sqref="C75">
    <cfRule type="cellIs" priority="137" operator="equal" dxfId="1">
      <formula>"중"</formula>
    </cfRule>
    <cfRule type="cellIs" priority="138" operator="equal" dxfId="0">
      <formula>"상"</formula>
    </cfRule>
  </conditionalFormatting>
  <conditionalFormatting sqref="B20">
    <cfRule type="cellIs" priority="135" operator="equal" dxfId="1">
      <formula>"중"</formula>
    </cfRule>
    <cfRule type="cellIs" priority="136" operator="equal" dxfId="0">
      <formula>"상"</formula>
    </cfRule>
  </conditionalFormatting>
  <conditionalFormatting sqref="C20">
    <cfRule type="cellIs" priority="133" operator="equal" dxfId="1">
      <formula>"중"</formula>
    </cfRule>
    <cfRule type="cellIs" priority="134" operator="equal" dxfId="0">
      <formula>"상"</formula>
    </cfRule>
  </conditionalFormatting>
  <conditionalFormatting sqref="B21">
    <cfRule type="cellIs" priority="131" operator="equal" dxfId="1">
      <formula>"중"</formula>
    </cfRule>
    <cfRule type="cellIs" priority="132" operator="equal" dxfId="0">
      <formula>"상"</formula>
    </cfRule>
  </conditionalFormatting>
  <conditionalFormatting sqref="C21">
    <cfRule type="cellIs" priority="129" operator="equal" dxfId="1">
      <formula>"중"</formula>
    </cfRule>
    <cfRule type="cellIs" priority="130" operator="equal" dxfId="0">
      <formula>"상"</formula>
    </cfRule>
  </conditionalFormatting>
  <conditionalFormatting sqref="C24">
    <cfRule type="cellIs" priority="127" operator="equal" dxfId="1">
      <formula>"중"</formula>
    </cfRule>
    <cfRule type="cellIs" priority="128" operator="equal" dxfId="0">
      <formula>"상"</formula>
    </cfRule>
  </conditionalFormatting>
  <conditionalFormatting sqref="C25">
    <cfRule type="cellIs" priority="125" operator="equal" dxfId="1">
      <formula>"중"</formula>
    </cfRule>
    <cfRule type="cellIs" priority="126" operator="equal" dxfId="0">
      <formula>"상"</formula>
    </cfRule>
  </conditionalFormatting>
  <conditionalFormatting sqref="C26">
    <cfRule type="cellIs" priority="123" operator="equal" dxfId="1">
      <formula>"중"</formula>
    </cfRule>
    <cfRule type="cellIs" priority="124" operator="equal" dxfId="0">
      <formula>"상"</formula>
    </cfRule>
  </conditionalFormatting>
  <conditionalFormatting sqref="B30">
    <cfRule type="cellIs" priority="121" operator="equal" dxfId="1">
      <formula>"중"</formula>
    </cfRule>
    <cfRule type="cellIs" priority="122" operator="equal" dxfId="0">
      <formula>"상"</formula>
    </cfRule>
  </conditionalFormatting>
  <conditionalFormatting sqref="B24">
    <cfRule type="cellIs" priority="119" operator="equal" dxfId="1">
      <formula>"중"</formula>
    </cfRule>
    <cfRule type="cellIs" priority="120" operator="equal" dxfId="0">
      <formula>"상"</formula>
    </cfRule>
  </conditionalFormatting>
  <conditionalFormatting sqref="B25">
    <cfRule type="cellIs" priority="117" operator="equal" dxfId="1">
      <formula>"중"</formula>
    </cfRule>
    <cfRule type="cellIs" priority="118" operator="equal" dxfId="0">
      <formula>"상"</formula>
    </cfRule>
  </conditionalFormatting>
  <conditionalFormatting sqref="B26">
    <cfRule type="cellIs" priority="115" operator="equal" dxfId="1">
      <formula>"중"</formula>
    </cfRule>
    <cfRule type="cellIs" priority="116" operator="equal" dxfId="0">
      <formula>"상"</formula>
    </cfRule>
  </conditionalFormatting>
  <conditionalFormatting sqref="C30">
    <cfRule type="cellIs" priority="113" operator="equal" dxfId="1">
      <formula>"중"</formula>
    </cfRule>
    <cfRule type="cellIs" priority="114" operator="equal" dxfId="0">
      <formula>"상"</formula>
    </cfRule>
  </conditionalFormatting>
  <conditionalFormatting sqref="B34">
    <cfRule type="cellIs" priority="111" operator="equal" dxfId="1">
      <formula>"중"</formula>
    </cfRule>
    <cfRule type="cellIs" priority="112" operator="equal" dxfId="0">
      <formula>"상"</formula>
    </cfRule>
  </conditionalFormatting>
  <conditionalFormatting sqref="C34">
    <cfRule type="cellIs" priority="109" operator="equal" dxfId="1">
      <formula>"중"</formula>
    </cfRule>
    <cfRule type="cellIs" priority="110" operator="equal" dxfId="0">
      <formula>"상"</formula>
    </cfRule>
  </conditionalFormatting>
  <conditionalFormatting sqref="C46">
    <cfRule type="cellIs" priority="107" operator="equal" dxfId="1">
      <formula>"중"</formula>
    </cfRule>
    <cfRule type="cellIs" priority="108" operator="equal" dxfId="0">
      <formula>"상"</formula>
    </cfRule>
  </conditionalFormatting>
  <conditionalFormatting sqref="B46">
    <cfRule type="cellIs" priority="105" operator="equal" dxfId="1">
      <formula>"중"</formula>
    </cfRule>
    <cfRule type="cellIs" priority="106" operator="equal" dxfId="0">
      <formula>"상"</formula>
    </cfRule>
  </conditionalFormatting>
  <conditionalFormatting sqref="B48">
    <cfRule type="cellIs" priority="103" operator="equal" dxfId="1">
      <formula>"중"</formula>
    </cfRule>
    <cfRule type="cellIs" priority="104" operator="equal" dxfId="0">
      <formula>"상"</formula>
    </cfRule>
  </conditionalFormatting>
  <conditionalFormatting sqref="C48">
    <cfRule type="cellIs" priority="101" operator="equal" dxfId="1">
      <formula>"중"</formula>
    </cfRule>
    <cfRule type="cellIs" priority="102" operator="equal" dxfId="0">
      <formula>"상"</formula>
    </cfRule>
  </conditionalFormatting>
  <conditionalFormatting sqref="C51">
    <cfRule type="cellIs" priority="99" operator="equal" dxfId="1">
      <formula>"중"</formula>
    </cfRule>
    <cfRule type="cellIs" priority="100" operator="equal" dxfId="0">
      <formula>"상"</formula>
    </cfRule>
  </conditionalFormatting>
  <conditionalFormatting sqref="C55">
    <cfRule type="cellIs" priority="97" operator="equal" dxfId="1">
      <formula>"중"</formula>
    </cfRule>
    <cfRule type="cellIs" priority="98" operator="equal" dxfId="0">
      <formula>"상"</formula>
    </cfRule>
  </conditionalFormatting>
  <conditionalFormatting sqref="B51">
    <cfRule type="cellIs" priority="95" operator="equal" dxfId="1">
      <formula>"중"</formula>
    </cfRule>
    <cfRule type="cellIs" priority="96" operator="equal" dxfId="0">
      <formula>"상"</formula>
    </cfRule>
  </conditionalFormatting>
  <conditionalFormatting sqref="B56">
    <cfRule type="cellIs" priority="93" operator="equal" dxfId="1">
      <formula>"중"</formula>
    </cfRule>
    <cfRule type="cellIs" priority="94" operator="equal" dxfId="0">
      <formula>"상"</formula>
    </cfRule>
  </conditionalFormatting>
  <conditionalFormatting sqref="B55">
    <cfRule type="cellIs" priority="91" operator="equal" dxfId="1">
      <formula>"중"</formula>
    </cfRule>
    <cfRule type="cellIs" priority="92" operator="equal" dxfId="0">
      <formula>"상"</formula>
    </cfRule>
  </conditionalFormatting>
  <conditionalFormatting sqref="B60">
    <cfRule type="cellIs" priority="89" operator="equal" dxfId="1">
      <formula>"중"</formula>
    </cfRule>
    <cfRule type="cellIs" priority="90" operator="equal" dxfId="0">
      <formula>"상"</formula>
    </cfRule>
  </conditionalFormatting>
  <conditionalFormatting sqref="C60">
    <cfRule type="cellIs" priority="87" operator="equal" dxfId="1">
      <formula>"중"</formula>
    </cfRule>
    <cfRule type="cellIs" priority="88" operator="equal" dxfId="0">
      <formula>"상"</formula>
    </cfRule>
  </conditionalFormatting>
  <conditionalFormatting sqref="B58">
    <cfRule type="cellIs" priority="85" operator="equal" dxfId="1">
      <formula>"중"</formula>
    </cfRule>
    <cfRule type="cellIs" priority="86" operator="equal" dxfId="0">
      <formula>"상"</formula>
    </cfRule>
  </conditionalFormatting>
  <conditionalFormatting sqref="C58">
    <cfRule type="cellIs" priority="83" operator="equal" dxfId="1">
      <formula>"중"</formula>
    </cfRule>
    <cfRule type="cellIs" priority="84" operator="equal" dxfId="0">
      <formula>"상"</formula>
    </cfRule>
  </conditionalFormatting>
  <conditionalFormatting sqref="C63">
    <cfRule type="cellIs" priority="81" operator="equal" dxfId="1">
      <formula>"중"</formula>
    </cfRule>
    <cfRule type="cellIs" priority="82" operator="equal" dxfId="0">
      <formula>"상"</formula>
    </cfRule>
  </conditionalFormatting>
  <conditionalFormatting sqref="C68">
    <cfRule type="cellIs" priority="79" operator="equal" dxfId="1">
      <formula>"중"</formula>
    </cfRule>
    <cfRule type="cellIs" priority="80" operator="equal" dxfId="0">
      <formula>"상"</formula>
    </cfRule>
  </conditionalFormatting>
  <conditionalFormatting sqref="C71">
    <cfRule type="cellIs" priority="77" operator="equal" dxfId="1">
      <formula>"중"</formula>
    </cfRule>
    <cfRule type="cellIs" priority="78" operator="equal" dxfId="0">
      <formula>"상"</formula>
    </cfRule>
  </conditionalFormatting>
  <conditionalFormatting sqref="C80">
    <cfRule type="cellIs" priority="75" operator="equal" dxfId="1">
      <formula>"중"</formula>
    </cfRule>
    <cfRule type="cellIs" priority="76" operator="equal" dxfId="0">
      <formula>"상"</formula>
    </cfRule>
  </conditionalFormatting>
  <conditionalFormatting sqref="B80">
    <cfRule type="cellIs" priority="73" operator="equal" dxfId="1">
      <formula>"중"</formula>
    </cfRule>
    <cfRule type="cellIs" priority="74" operator="equal" dxfId="0">
      <formula>"상"</formula>
    </cfRule>
  </conditionalFormatting>
  <conditionalFormatting sqref="C83">
    <cfRule type="cellIs" priority="71" operator="equal" dxfId="1">
      <formula>"중"</formula>
    </cfRule>
    <cfRule type="cellIs" priority="72" operator="equal" dxfId="0">
      <formula>"상"</formula>
    </cfRule>
  </conditionalFormatting>
  <conditionalFormatting sqref="C133">
    <cfRule type="cellIs" priority="27" operator="equal" dxfId="1">
      <formula>"중"</formula>
    </cfRule>
    <cfRule type="cellIs" priority="28" operator="equal" dxfId="0">
      <formula>"상"</formula>
    </cfRule>
  </conditionalFormatting>
  <conditionalFormatting sqref="C87">
    <cfRule type="cellIs" priority="67" operator="equal" dxfId="1">
      <formula>"중"</formula>
    </cfRule>
    <cfRule type="cellIs" priority="68" operator="equal" dxfId="0">
      <formula>"상"</formula>
    </cfRule>
  </conditionalFormatting>
  <conditionalFormatting sqref="C143">
    <cfRule type="cellIs" priority="21" operator="equal" dxfId="1">
      <formula>"중"</formula>
    </cfRule>
    <cfRule type="cellIs" priority="22" operator="equal" dxfId="0">
      <formula>"상"</formula>
    </cfRule>
  </conditionalFormatting>
  <conditionalFormatting sqref="C92">
    <cfRule type="cellIs" priority="63" operator="equal" dxfId="1">
      <formula>"중"</formula>
    </cfRule>
    <cfRule type="cellIs" priority="64" operator="equal" dxfId="0">
      <formula>"상"</formula>
    </cfRule>
  </conditionalFormatting>
  <conditionalFormatting sqref="C95">
    <cfRule type="cellIs" priority="61" operator="equal" dxfId="1">
      <formula>"중"</formula>
    </cfRule>
    <cfRule type="cellIs" priority="62" operator="equal" dxfId="0">
      <formula>"상"</formula>
    </cfRule>
  </conditionalFormatting>
  <conditionalFormatting sqref="B169">
    <cfRule type="cellIs" priority="13" operator="equal" dxfId="1">
      <formula>"중"</formula>
    </cfRule>
    <cfRule type="cellIs" priority="14" operator="equal" dxfId="0">
      <formula>"상"</formula>
    </cfRule>
  </conditionalFormatting>
  <conditionalFormatting sqref="C100">
    <cfRule type="cellIs" priority="57" operator="equal" dxfId="1">
      <formula>"중"</formula>
    </cfRule>
    <cfRule type="cellIs" priority="58" operator="equal" dxfId="0">
      <formula>"상"</formula>
    </cfRule>
  </conditionalFormatting>
  <conditionalFormatting sqref="C106">
    <cfRule type="cellIs" priority="55" operator="equal" dxfId="1">
      <formula>"중"</formula>
    </cfRule>
    <cfRule type="cellIs" priority="56" operator="equal" dxfId="0">
      <formula>"상"</formula>
    </cfRule>
  </conditionalFormatting>
  <conditionalFormatting sqref="C110">
    <cfRule type="cellIs" priority="53" operator="equal" dxfId="1">
      <formula>"중"</formula>
    </cfRule>
    <cfRule type="cellIs" priority="54" operator="equal" dxfId="0">
      <formula>"상"</formula>
    </cfRule>
  </conditionalFormatting>
  <conditionalFormatting sqref="C114">
    <cfRule type="cellIs" priority="51" operator="equal" dxfId="1">
      <formula>"중"</formula>
    </cfRule>
    <cfRule type="cellIs" priority="52" operator="equal" dxfId="0">
      <formula>"상"</formula>
    </cfRule>
  </conditionalFormatting>
  <conditionalFormatting sqref="C118">
    <cfRule type="cellIs" priority="49" operator="equal" dxfId="1">
      <formula>"중"</formula>
    </cfRule>
    <cfRule type="cellIs" priority="50" operator="equal" dxfId="0">
      <formula>"상"</formula>
    </cfRule>
  </conditionalFormatting>
  <conditionalFormatting sqref="B118">
    <cfRule type="cellIs" priority="47" operator="equal" dxfId="1">
      <formula>"중"</formula>
    </cfRule>
    <cfRule type="cellIs" priority="48" operator="equal" dxfId="0">
      <formula>"상"</formula>
    </cfRule>
  </conditionalFormatting>
  <conditionalFormatting sqref="B95">
    <cfRule type="cellIs" priority="45" operator="equal" dxfId="1">
      <formula>"중"</formula>
    </cfRule>
    <cfRule type="cellIs" priority="46" operator="equal" dxfId="0">
      <formula>"상"</formula>
    </cfRule>
  </conditionalFormatting>
  <conditionalFormatting sqref="B92">
    <cfRule type="cellIs" priority="43" operator="equal" dxfId="1">
      <formula>"중"</formula>
    </cfRule>
    <cfRule type="cellIs" priority="44" operator="equal" dxfId="0">
      <formula>"상"</formula>
    </cfRule>
  </conditionalFormatting>
  <conditionalFormatting sqref="B87">
    <cfRule type="cellIs" priority="41" operator="equal" dxfId="1">
      <formula>"중"</formula>
    </cfRule>
    <cfRule type="cellIs" priority="42" operator="equal" dxfId="0">
      <formula>"상"</formula>
    </cfRule>
  </conditionalFormatting>
  <conditionalFormatting sqref="B122">
    <cfRule type="cellIs" priority="39" operator="equal" dxfId="1">
      <formula>"중"</formula>
    </cfRule>
    <cfRule type="cellIs" priority="40" operator="equal" dxfId="0">
      <formula>"상"</formula>
    </cfRule>
  </conditionalFormatting>
  <conditionalFormatting sqref="C122">
    <cfRule type="cellIs" priority="37" operator="equal" dxfId="1">
      <formula>"중"</formula>
    </cfRule>
    <cfRule type="cellIs" priority="38" operator="equal" dxfId="0">
      <formula>"상"</formula>
    </cfRule>
  </conditionalFormatting>
  <conditionalFormatting sqref="C127">
    <cfRule type="cellIs" priority="35" operator="equal" dxfId="1">
      <formula>"중"</formula>
    </cfRule>
    <cfRule type="cellIs" priority="36" operator="equal" dxfId="0">
      <formula>"상"</formula>
    </cfRule>
  </conditionalFormatting>
  <conditionalFormatting sqref="B127">
    <cfRule type="cellIs" priority="33" operator="equal" dxfId="1">
      <formula>"중"</formula>
    </cfRule>
    <cfRule type="cellIs" priority="34" operator="equal" dxfId="0">
      <formula>"상"</formula>
    </cfRule>
  </conditionalFormatting>
  <conditionalFormatting sqref="B129">
    <cfRule type="cellIs" priority="31" operator="equal" dxfId="1">
      <formula>"중"</formula>
    </cfRule>
    <cfRule type="cellIs" priority="32" operator="equal" dxfId="0">
      <formula>"상"</formula>
    </cfRule>
  </conditionalFormatting>
  <conditionalFormatting sqref="C129">
    <cfRule type="cellIs" priority="29" operator="equal" dxfId="1">
      <formula>"중"</formula>
    </cfRule>
    <cfRule type="cellIs" priority="30" operator="equal" dxfId="0">
      <formula>"상"</formula>
    </cfRule>
  </conditionalFormatting>
  <conditionalFormatting sqref="C137">
    <cfRule type="cellIs" priority="25" operator="equal" dxfId="1">
      <formula>"중"</formula>
    </cfRule>
    <cfRule type="cellIs" priority="26" operator="equal" dxfId="0">
      <formula>"상"</formula>
    </cfRule>
  </conditionalFormatting>
  <conditionalFormatting sqref="C140">
    <cfRule type="cellIs" priority="23" operator="equal" dxfId="1">
      <formula>"중"</formula>
    </cfRule>
    <cfRule type="cellIs" priority="24" operator="equal" dxfId="0">
      <formula>"상"</formula>
    </cfRule>
  </conditionalFormatting>
  <conditionalFormatting sqref="B143">
    <cfRule type="cellIs" priority="19" operator="equal" dxfId="1">
      <formula>"중"</formula>
    </cfRule>
    <cfRule type="cellIs" priority="20" operator="equal" dxfId="0">
      <formula>"상"</formula>
    </cfRule>
  </conditionalFormatting>
  <conditionalFormatting sqref="C148">
    <cfRule type="cellIs" priority="17" operator="equal" dxfId="1">
      <formula>"중"</formula>
    </cfRule>
    <cfRule type="cellIs" priority="18" operator="equal" dxfId="0">
      <formula>"상"</formula>
    </cfRule>
  </conditionalFormatting>
  <conditionalFormatting sqref="C152">
    <cfRule type="cellIs" priority="15" operator="equal" dxfId="1">
      <formula>"중"</formula>
    </cfRule>
    <cfRule type="cellIs" priority="16" operator="equal" dxfId="0">
      <formula>"상"</formula>
    </cfRule>
  </conditionalFormatting>
  <conditionalFormatting sqref="C169">
    <cfRule type="cellIs" priority="11" operator="equal" dxfId="1">
      <formula>"중"</formula>
    </cfRule>
    <cfRule type="cellIs" priority="12" operator="equal" dxfId="0">
      <formula>"상"</formula>
    </cfRule>
  </conditionalFormatting>
  <conditionalFormatting sqref="C171">
    <cfRule type="cellIs" priority="9" operator="equal" dxfId="1">
      <formula>"중"</formula>
    </cfRule>
    <cfRule type="cellIs" priority="10" operator="equal" dxfId="0">
      <formula>"상"</formula>
    </cfRule>
  </conditionalFormatting>
  <conditionalFormatting sqref="C178">
    <cfRule type="cellIs" priority="7" operator="equal" dxfId="1">
      <formula>"중"</formula>
    </cfRule>
    <cfRule type="cellIs" priority="8" operator="equal" dxfId="0">
      <formula>"상"</formula>
    </cfRule>
  </conditionalFormatting>
  <conditionalFormatting sqref="C181">
    <cfRule type="cellIs" priority="5" operator="equal" dxfId="1">
      <formula>"중"</formula>
    </cfRule>
    <cfRule type="cellIs" priority="6" operator="equal" dxfId="0">
      <formula>"상"</formula>
    </cfRule>
  </conditionalFormatting>
  <conditionalFormatting sqref="C185">
    <cfRule type="cellIs" priority="3" operator="equal" dxfId="1">
      <formula>"중"</formula>
    </cfRule>
    <cfRule type="cellIs" priority="4" operator="equal" dxfId="0">
      <formula>"상"</formula>
    </cfRule>
  </conditionalFormatting>
  <conditionalFormatting sqref="B185">
    <cfRule type="cellIs" priority="1" operator="equal" dxfId="1">
      <formula>"중"</formula>
    </cfRule>
    <cfRule type="cellIs" priority="2" operator="equal" dxfId="0">
      <formula>"상"</formula>
    </cfRule>
  </conditionalFormatting>
  <hyperlinks>
    <hyperlink xmlns:r="http://schemas.openxmlformats.org/officeDocument/2006/relationships" ref="D5" r:id="rId1"/>
    <hyperlink xmlns:r="http://schemas.openxmlformats.org/officeDocument/2006/relationships" ref="D6" r:id="rId2"/>
    <hyperlink xmlns:r="http://schemas.openxmlformats.org/officeDocument/2006/relationships" ref="D7" r:id="rId3"/>
    <hyperlink xmlns:r="http://schemas.openxmlformats.org/officeDocument/2006/relationships" ref="D8" r:id="rId4"/>
    <hyperlink xmlns:r="http://schemas.openxmlformats.org/officeDocument/2006/relationships" ref="D9" r:id="rId5"/>
    <hyperlink xmlns:r="http://schemas.openxmlformats.org/officeDocument/2006/relationships" ref="D10" r:id="rId6"/>
    <hyperlink xmlns:r="http://schemas.openxmlformats.org/officeDocument/2006/relationships" ref="D11" r:id="rId7"/>
    <hyperlink xmlns:r="http://schemas.openxmlformats.org/officeDocument/2006/relationships" ref="D12" r:id="rId8"/>
    <hyperlink xmlns:r="http://schemas.openxmlformats.org/officeDocument/2006/relationships" ref="D13" r:id="rId9"/>
    <hyperlink xmlns:r="http://schemas.openxmlformats.org/officeDocument/2006/relationships" ref="D14" r:id="rId10"/>
    <hyperlink xmlns:r="http://schemas.openxmlformats.org/officeDocument/2006/relationships" ref="D15" r:id="rId11"/>
    <hyperlink xmlns:r="http://schemas.openxmlformats.org/officeDocument/2006/relationships" ref="D16" r:id="rId12"/>
    <hyperlink xmlns:r="http://schemas.openxmlformats.org/officeDocument/2006/relationships" ref="D17" r:id="rId13"/>
    <hyperlink xmlns:r="http://schemas.openxmlformats.org/officeDocument/2006/relationships" ref="D18" r:id="rId14"/>
    <hyperlink xmlns:r="http://schemas.openxmlformats.org/officeDocument/2006/relationships" ref="D19" r:id="rId15"/>
    <hyperlink xmlns:r="http://schemas.openxmlformats.org/officeDocument/2006/relationships" ref="D20" r:id="rId16"/>
    <hyperlink xmlns:r="http://schemas.openxmlformats.org/officeDocument/2006/relationships" ref="D21" r:id="rId17"/>
    <hyperlink xmlns:r="http://schemas.openxmlformats.org/officeDocument/2006/relationships" ref="D22" r:id="rId18"/>
    <hyperlink xmlns:r="http://schemas.openxmlformats.org/officeDocument/2006/relationships" ref="D23" r:id="rId19"/>
    <hyperlink xmlns:r="http://schemas.openxmlformats.org/officeDocument/2006/relationships" ref="D24" r:id="rId20"/>
    <hyperlink xmlns:r="http://schemas.openxmlformats.org/officeDocument/2006/relationships" ref="D25" r:id="rId21"/>
    <hyperlink xmlns:r="http://schemas.openxmlformats.org/officeDocument/2006/relationships" ref="D26" r:id="rId22"/>
    <hyperlink xmlns:r="http://schemas.openxmlformats.org/officeDocument/2006/relationships" ref="D27" r:id="rId23"/>
    <hyperlink xmlns:r="http://schemas.openxmlformats.org/officeDocument/2006/relationships" ref="D28" r:id="rId24"/>
    <hyperlink xmlns:r="http://schemas.openxmlformats.org/officeDocument/2006/relationships" ref="D29" r:id="rId25"/>
    <hyperlink xmlns:r="http://schemas.openxmlformats.org/officeDocument/2006/relationships" ref="D30" r:id="rId26"/>
    <hyperlink xmlns:r="http://schemas.openxmlformats.org/officeDocument/2006/relationships" ref="D31" r:id="rId27"/>
    <hyperlink xmlns:r="http://schemas.openxmlformats.org/officeDocument/2006/relationships" ref="D32" r:id="rId28"/>
    <hyperlink xmlns:r="http://schemas.openxmlformats.org/officeDocument/2006/relationships" ref="D33" r:id="rId29"/>
    <hyperlink xmlns:r="http://schemas.openxmlformats.org/officeDocument/2006/relationships" ref="D34" r:id="rId30"/>
    <hyperlink xmlns:r="http://schemas.openxmlformats.org/officeDocument/2006/relationships" ref="D35" r:id="rId31"/>
    <hyperlink xmlns:r="http://schemas.openxmlformats.org/officeDocument/2006/relationships" ref="D36" r:id="rId32"/>
    <hyperlink xmlns:r="http://schemas.openxmlformats.org/officeDocument/2006/relationships" ref="D37" r:id="rId33"/>
    <hyperlink xmlns:r="http://schemas.openxmlformats.org/officeDocument/2006/relationships" ref="D38" r:id="rId34"/>
    <hyperlink xmlns:r="http://schemas.openxmlformats.org/officeDocument/2006/relationships" ref="D39" r:id="rId35"/>
    <hyperlink xmlns:r="http://schemas.openxmlformats.org/officeDocument/2006/relationships" ref="D40" r:id="rId36"/>
    <hyperlink xmlns:r="http://schemas.openxmlformats.org/officeDocument/2006/relationships" ref="D41" r:id="rId37"/>
    <hyperlink xmlns:r="http://schemas.openxmlformats.org/officeDocument/2006/relationships" ref="D42" r:id="rId38"/>
    <hyperlink xmlns:r="http://schemas.openxmlformats.org/officeDocument/2006/relationships" ref="D43" r:id="rId39"/>
    <hyperlink xmlns:r="http://schemas.openxmlformats.org/officeDocument/2006/relationships" ref="D44" r:id="rId40"/>
    <hyperlink xmlns:r="http://schemas.openxmlformats.org/officeDocument/2006/relationships" ref="D45" r:id="rId41"/>
    <hyperlink xmlns:r="http://schemas.openxmlformats.org/officeDocument/2006/relationships" ref="D46" r:id="rId42"/>
    <hyperlink xmlns:r="http://schemas.openxmlformats.org/officeDocument/2006/relationships" ref="D47" r:id="rId43"/>
    <hyperlink xmlns:r="http://schemas.openxmlformats.org/officeDocument/2006/relationships" ref="D48" r:id="rId44"/>
    <hyperlink xmlns:r="http://schemas.openxmlformats.org/officeDocument/2006/relationships" ref="D49" r:id="rId45"/>
    <hyperlink xmlns:r="http://schemas.openxmlformats.org/officeDocument/2006/relationships" ref="D50" r:id="rId46"/>
    <hyperlink xmlns:r="http://schemas.openxmlformats.org/officeDocument/2006/relationships" ref="D51" r:id="rId47"/>
    <hyperlink xmlns:r="http://schemas.openxmlformats.org/officeDocument/2006/relationships" ref="D52" r:id="rId48"/>
    <hyperlink xmlns:r="http://schemas.openxmlformats.org/officeDocument/2006/relationships" ref="D53" r:id="rId49"/>
    <hyperlink xmlns:r="http://schemas.openxmlformats.org/officeDocument/2006/relationships" ref="D54" r:id="rId50"/>
    <hyperlink xmlns:r="http://schemas.openxmlformats.org/officeDocument/2006/relationships" ref="D55" r:id="rId51"/>
    <hyperlink xmlns:r="http://schemas.openxmlformats.org/officeDocument/2006/relationships" ref="D56" r:id="rId52"/>
    <hyperlink xmlns:r="http://schemas.openxmlformats.org/officeDocument/2006/relationships" ref="D57" r:id="rId53"/>
    <hyperlink xmlns:r="http://schemas.openxmlformats.org/officeDocument/2006/relationships" ref="D58" r:id="rId54"/>
    <hyperlink xmlns:r="http://schemas.openxmlformats.org/officeDocument/2006/relationships" ref="D59" r:id="rId55"/>
    <hyperlink xmlns:r="http://schemas.openxmlformats.org/officeDocument/2006/relationships" ref="D60" r:id="rId56"/>
    <hyperlink xmlns:r="http://schemas.openxmlformats.org/officeDocument/2006/relationships" ref="D61" r:id="rId57"/>
    <hyperlink xmlns:r="http://schemas.openxmlformats.org/officeDocument/2006/relationships" ref="D62" r:id="rId58"/>
    <hyperlink xmlns:r="http://schemas.openxmlformats.org/officeDocument/2006/relationships" ref="D63" r:id="rId59"/>
    <hyperlink xmlns:r="http://schemas.openxmlformats.org/officeDocument/2006/relationships" ref="D64" r:id="rId60"/>
    <hyperlink xmlns:r="http://schemas.openxmlformats.org/officeDocument/2006/relationships" ref="D65" r:id="rId61"/>
    <hyperlink xmlns:r="http://schemas.openxmlformats.org/officeDocument/2006/relationships" ref="D66" r:id="rId62"/>
    <hyperlink xmlns:r="http://schemas.openxmlformats.org/officeDocument/2006/relationships" ref="D67" r:id="rId63"/>
    <hyperlink xmlns:r="http://schemas.openxmlformats.org/officeDocument/2006/relationships" ref="D68" r:id="rId64"/>
    <hyperlink xmlns:r="http://schemas.openxmlformats.org/officeDocument/2006/relationships" ref="D69" r:id="rId65"/>
    <hyperlink xmlns:r="http://schemas.openxmlformats.org/officeDocument/2006/relationships" ref="D70" r:id="rId66"/>
    <hyperlink xmlns:r="http://schemas.openxmlformats.org/officeDocument/2006/relationships" ref="D71" r:id="rId67"/>
    <hyperlink xmlns:r="http://schemas.openxmlformats.org/officeDocument/2006/relationships" ref="D72" r:id="rId68"/>
    <hyperlink xmlns:r="http://schemas.openxmlformats.org/officeDocument/2006/relationships" ref="D73" r:id="rId69"/>
    <hyperlink xmlns:r="http://schemas.openxmlformats.org/officeDocument/2006/relationships" ref="D74" r:id="rId70"/>
    <hyperlink xmlns:r="http://schemas.openxmlformats.org/officeDocument/2006/relationships" ref="D75" r:id="rId71"/>
    <hyperlink xmlns:r="http://schemas.openxmlformats.org/officeDocument/2006/relationships" ref="D76" r:id="rId72"/>
    <hyperlink xmlns:r="http://schemas.openxmlformats.org/officeDocument/2006/relationships" ref="D77" r:id="rId73"/>
    <hyperlink xmlns:r="http://schemas.openxmlformats.org/officeDocument/2006/relationships" ref="D78" r:id="rId74"/>
    <hyperlink xmlns:r="http://schemas.openxmlformats.org/officeDocument/2006/relationships" ref="D79" r:id="rId75"/>
    <hyperlink xmlns:r="http://schemas.openxmlformats.org/officeDocument/2006/relationships" ref="D80" r:id="rId76"/>
    <hyperlink xmlns:r="http://schemas.openxmlformats.org/officeDocument/2006/relationships" ref="D81" r:id="rId77"/>
    <hyperlink xmlns:r="http://schemas.openxmlformats.org/officeDocument/2006/relationships" ref="D82" r:id="rId78"/>
    <hyperlink xmlns:r="http://schemas.openxmlformats.org/officeDocument/2006/relationships" ref="D83" r:id="rId79"/>
    <hyperlink xmlns:r="http://schemas.openxmlformats.org/officeDocument/2006/relationships" ref="D84" r:id="rId80"/>
    <hyperlink xmlns:r="http://schemas.openxmlformats.org/officeDocument/2006/relationships" ref="D85" r:id="rId81"/>
    <hyperlink xmlns:r="http://schemas.openxmlformats.org/officeDocument/2006/relationships" ref="D86" r:id="rId82"/>
    <hyperlink xmlns:r="http://schemas.openxmlformats.org/officeDocument/2006/relationships" ref="D87" r:id="rId83"/>
    <hyperlink xmlns:r="http://schemas.openxmlformats.org/officeDocument/2006/relationships" ref="D88" r:id="rId84"/>
    <hyperlink xmlns:r="http://schemas.openxmlformats.org/officeDocument/2006/relationships" ref="D89" r:id="rId85"/>
    <hyperlink xmlns:r="http://schemas.openxmlformats.org/officeDocument/2006/relationships" ref="D90" r:id="rId86"/>
    <hyperlink xmlns:r="http://schemas.openxmlformats.org/officeDocument/2006/relationships" ref="D91" r:id="rId87"/>
    <hyperlink xmlns:r="http://schemas.openxmlformats.org/officeDocument/2006/relationships" ref="D92" r:id="rId88"/>
    <hyperlink xmlns:r="http://schemas.openxmlformats.org/officeDocument/2006/relationships" ref="D93" r:id="rId89"/>
    <hyperlink xmlns:r="http://schemas.openxmlformats.org/officeDocument/2006/relationships" ref="D94" r:id="rId90"/>
    <hyperlink xmlns:r="http://schemas.openxmlformats.org/officeDocument/2006/relationships" ref="D95" r:id="rId91"/>
    <hyperlink xmlns:r="http://schemas.openxmlformats.org/officeDocument/2006/relationships" ref="D96" r:id="rId92"/>
    <hyperlink xmlns:r="http://schemas.openxmlformats.org/officeDocument/2006/relationships" ref="D97" r:id="rId93"/>
    <hyperlink xmlns:r="http://schemas.openxmlformats.org/officeDocument/2006/relationships" ref="D98" r:id="rId94"/>
    <hyperlink xmlns:r="http://schemas.openxmlformats.org/officeDocument/2006/relationships" ref="D99" r:id="rId95"/>
    <hyperlink xmlns:r="http://schemas.openxmlformats.org/officeDocument/2006/relationships" ref="D100" r:id="rId96"/>
    <hyperlink xmlns:r="http://schemas.openxmlformats.org/officeDocument/2006/relationships" ref="D101" r:id="rId97"/>
    <hyperlink xmlns:r="http://schemas.openxmlformats.org/officeDocument/2006/relationships" ref="D102" r:id="rId98"/>
    <hyperlink xmlns:r="http://schemas.openxmlformats.org/officeDocument/2006/relationships" ref="D103" r:id="rId99"/>
    <hyperlink xmlns:r="http://schemas.openxmlformats.org/officeDocument/2006/relationships" ref="D104" r:id="rId100"/>
    <hyperlink xmlns:r="http://schemas.openxmlformats.org/officeDocument/2006/relationships" ref="D105" r:id="rId101"/>
    <hyperlink xmlns:r="http://schemas.openxmlformats.org/officeDocument/2006/relationships" ref="D106" r:id="rId102"/>
    <hyperlink xmlns:r="http://schemas.openxmlformats.org/officeDocument/2006/relationships" ref="D107" r:id="rId103"/>
    <hyperlink xmlns:r="http://schemas.openxmlformats.org/officeDocument/2006/relationships" ref="D108" r:id="rId104"/>
    <hyperlink xmlns:r="http://schemas.openxmlformats.org/officeDocument/2006/relationships" ref="D109" r:id="rId105"/>
    <hyperlink xmlns:r="http://schemas.openxmlformats.org/officeDocument/2006/relationships" ref="D110" r:id="rId106"/>
    <hyperlink xmlns:r="http://schemas.openxmlformats.org/officeDocument/2006/relationships" ref="D111" r:id="rId107"/>
    <hyperlink xmlns:r="http://schemas.openxmlformats.org/officeDocument/2006/relationships" ref="D112" r:id="rId108"/>
    <hyperlink xmlns:r="http://schemas.openxmlformats.org/officeDocument/2006/relationships" ref="D113" r:id="rId109"/>
    <hyperlink xmlns:r="http://schemas.openxmlformats.org/officeDocument/2006/relationships" ref="D114" r:id="rId110"/>
    <hyperlink xmlns:r="http://schemas.openxmlformats.org/officeDocument/2006/relationships" ref="D115" r:id="rId111"/>
    <hyperlink xmlns:r="http://schemas.openxmlformats.org/officeDocument/2006/relationships" ref="D116" r:id="rId112"/>
    <hyperlink xmlns:r="http://schemas.openxmlformats.org/officeDocument/2006/relationships" ref="D117" r:id="rId113"/>
    <hyperlink xmlns:r="http://schemas.openxmlformats.org/officeDocument/2006/relationships" ref="D118" r:id="rId114"/>
    <hyperlink xmlns:r="http://schemas.openxmlformats.org/officeDocument/2006/relationships" ref="D119" r:id="rId115"/>
    <hyperlink xmlns:r="http://schemas.openxmlformats.org/officeDocument/2006/relationships" ref="D120" r:id="rId116"/>
    <hyperlink xmlns:r="http://schemas.openxmlformats.org/officeDocument/2006/relationships" ref="D121" r:id="rId117"/>
    <hyperlink xmlns:r="http://schemas.openxmlformats.org/officeDocument/2006/relationships" ref="D122" r:id="rId118"/>
    <hyperlink xmlns:r="http://schemas.openxmlformats.org/officeDocument/2006/relationships" ref="D123" r:id="rId119"/>
    <hyperlink xmlns:r="http://schemas.openxmlformats.org/officeDocument/2006/relationships" ref="D124" r:id="rId120"/>
    <hyperlink xmlns:r="http://schemas.openxmlformats.org/officeDocument/2006/relationships" ref="D125" r:id="rId121"/>
    <hyperlink xmlns:r="http://schemas.openxmlformats.org/officeDocument/2006/relationships" ref="D126" r:id="rId122"/>
    <hyperlink xmlns:r="http://schemas.openxmlformats.org/officeDocument/2006/relationships" ref="D127" r:id="rId123"/>
    <hyperlink xmlns:r="http://schemas.openxmlformats.org/officeDocument/2006/relationships" ref="D128" r:id="rId124"/>
    <hyperlink xmlns:r="http://schemas.openxmlformats.org/officeDocument/2006/relationships" ref="D129" r:id="rId125"/>
    <hyperlink xmlns:r="http://schemas.openxmlformats.org/officeDocument/2006/relationships" ref="D130" r:id="rId126"/>
    <hyperlink xmlns:r="http://schemas.openxmlformats.org/officeDocument/2006/relationships" ref="D131" r:id="rId127"/>
    <hyperlink xmlns:r="http://schemas.openxmlformats.org/officeDocument/2006/relationships" ref="D132" r:id="rId128"/>
    <hyperlink xmlns:r="http://schemas.openxmlformats.org/officeDocument/2006/relationships" ref="D133" r:id="rId129"/>
    <hyperlink xmlns:r="http://schemas.openxmlformats.org/officeDocument/2006/relationships" ref="D134" r:id="rId130"/>
    <hyperlink xmlns:r="http://schemas.openxmlformats.org/officeDocument/2006/relationships" ref="D135" r:id="rId131"/>
    <hyperlink xmlns:r="http://schemas.openxmlformats.org/officeDocument/2006/relationships" ref="D136" r:id="rId132"/>
    <hyperlink xmlns:r="http://schemas.openxmlformats.org/officeDocument/2006/relationships" ref="D137" r:id="rId133"/>
    <hyperlink xmlns:r="http://schemas.openxmlformats.org/officeDocument/2006/relationships" ref="D138" r:id="rId134"/>
    <hyperlink xmlns:r="http://schemas.openxmlformats.org/officeDocument/2006/relationships" ref="D139" r:id="rId135"/>
    <hyperlink xmlns:r="http://schemas.openxmlformats.org/officeDocument/2006/relationships" ref="D140" r:id="rId136"/>
    <hyperlink xmlns:r="http://schemas.openxmlformats.org/officeDocument/2006/relationships" ref="D141" r:id="rId137"/>
    <hyperlink xmlns:r="http://schemas.openxmlformats.org/officeDocument/2006/relationships" ref="D142" r:id="rId138"/>
    <hyperlink xmlns:r="http://schemas.openxmlformats.org/officeDocument/2006/relationships" ref="D143" r:id="rId139"/>
    <hyperlink xmlns:r="http://schemas.openxmlformats.org/officeDocument/2006/relationships" ref="D144" r:id="rId140"/>
    <hyperlink xmlns:r="http://schemas.openxmlformats.org/officeDocument/2006/relationships" ref="D145" r:id="rId141"/>
    <hyperlink xmlns:r="http://schemas.openxmlformats.org/officeDocument/2006/relationships" ref="D146" r:id="rId142"/>
    <hyperlink xmlns:r="http://schemas.openxmlformats.org/officeDocument/2006/relationships" ref="D147" r:id="rId143"/>
    <hyperlink xmlns:r="http://schemas.openxmlformats.org/officeDocument/2006/relationships" ref="D148" r:id="rId144"/>
    <hyperlink xmlns:r="http://schemas.openxmlformats.org/officeDocument/2006/relationships" ref="D149" r:id="rId145"/>
    <hyperlink xmlns:r="http://schemas.openxmlformats.org/officeDocument/2006/relationships" ref="D150" r:id="rId146"/>
    <hyperlink xmlns:r="http://schemas.openxmlformats.org/officeDocument/2006/relationships" ref="D151" r:id="rId147"/>
    <hyperlink xmlns:r="http://schemas.openxmlformats.org/officeDocument/2006/relationships" ref="D152" r:id="rId148"/>
    <hyperlink xmlns:r="http://schemas.openxmlformats.org/officeDocument/2006/relationships" ref="D153" r:id="rId149"/>
    <hyperlink xmlns:r="http://schemas.openxmlformats.org/officeDocument/2006/relationships" ref="D154" r:id="rId150"/>
    <hyperlink xmlns:r="http://schemas.openxmlformats.org/officeDocument/2006/relationships" ref="D155" r:id="rId151"/>
    <hyperlink xmlns:r="http://schemas.openxmlformats.org/officeDocument/2006/relationships" ref="D156" r:id="rId152"/>
    <hyperlink xmlns:r="http://schemas.openxmlformats.org/officeDocument/2006/relationships" ref="D157" r:id="rId153"/>
    <hyperlink xmlns:r="http://schemas.openxmlformats.org/officeDocument/2006/relationships" ref="D158" r:id="rId154"/>
    <hyperlink xmlns:r="http://schemas.openxmlformats.org/officeDocument/2006/relationships" ref="D159" r:id="rId155"/>
    <hyperlink xmlns:r="http://schemas.openxmlformats.org/officeDocument/2006/relationships" ref="D160" r:id="rId156"/>
    <hyperlink xmlns:r="http://schemas.openxmlformats.org/officeDocument/2006/relationships" ref="D161" r:id="rId157"/>
    <hyperlink xmlns:r="http://schemas.openxmlformats.org/officeDocument/2006/relationships" ref="D162" r:id="rId158"/>
    <hyperlink xmlns:r="http://schemas.openxmlformats.org/officeDocument/2006/relationships" ref="D163" r:id="rId159"/>
    <hyperlink xmlns:r="http://schemas.openxmlformats.org/officeDocument/2006/relationships" ref="D164" r:id="rId160"/>
    <hyperlink xmlns:r="http://schemas.openxmlformats.org/officeDocument/2006/relationships" ref="D165" r:id="rId161"/>
    <hyperlink xmlns:r="http://schemas.openxmlformats.org/officeDocument/2006/relationships" ref="D166" r:id="rId162"/>
    <hyperlink xmlns:r="http://schemas.openxmlformats.org/officeDocument/2006/relationships" ref="D167" r:id="rId163"/>
    <hyperlink xmlns:r="http://schemas.openxmlformats.org/officeDocument/2006/relationships" ref="D168" r:id="rId164"/>
    <hyperlink xmlns:r="http://schemas.openxmlformats.org/officeDocument/2006/relationships" ref="D169" r:id="rId165"/>
    <hyperlink xmlns:r="http://schemas.openxmlformats.org/officeDocument/2006/relationships" ref="D170" r:id="rId166"/>
    <hyperlink xmlns:r="http://schemas.openxmlformats.org/officeDocument/2006/relationships" ref="D171" r:id="rId167"/>
    <hyperlink xmlns:r="http://schemas.openxmlformats.org/officeDocument/2006/relationships" ref="D172" r:id="rId168"/>
    <hyperlink xmlns:r="http://schemas.openxmlformats.org/officeDocument/2006/relationships" ref="D173" r:id="rId169"/>
    <hyperlink xmlns:r="http://schemas.openxmlformats.org/officeDocument/2006/relationships" ref="D174" r:id="rId170"/>
    <hyperlink xmlns:r="http://schemas.openxmlformats.org/officeDocument/2006/relationships" ref="D175" r:id="rId171"/>
    <hyperlink xmlns:r="http://schemas.openxmlformats.org/officeDocument/2006/relationships" ref="D176" r:id="rId172"/>
    <hyperlink xmlns:r="http://schemas.openxmlformats.org/officeDocument/2006/relationships" ref="D177" r:id="rId173"/>
    <hyperlink xmlns:r="http://schemas.openxmlformats.org/officeDocument/2006/relationships" ref="D178" r:id="rId174"/>
    <hyperlink xmlns:r="http://schemas.openxmlformats.org/officeDocument/2006/relationships" ref="D179" r:id="rId175"/>
    <hyperlink xmlns:r="http://schemas.openxmlformats.org/officeDocument/2006/relationships" ref="D180" r:id="rId176"/>
    <hyperlink xmlns:r="http://schemas.openxmlformats.org/officeDocument/2006/relationships" ref="D181" r:id="rId177"/>
    <hyperlink xmlns:r="http://schemas.openxmlformats.org/officeDocument/2006/relationships" ref="D182" r:id="rId178"/>
    <hyperlink xmlns:r="http://schemas.openxmlformats.org/officeDocument/2006/relationships" ref="D183" r:id="rId179"/>
    <hyperlink xmlns:r="http://schemas.openxmlformats.org/officeDocument/2006/relationships" ref="D184" r:id="rId180"/>
    <hyperlink xmlns:r="http://schemas.openxmlformats.org/officeDocument/2006/relationships" ref="D185" r:id="rId181"/>
    <hyperlink xmlns:r="http://schemas.openxmlformats.org/officeDocument/2006/relationships" ref="D186" r:id="rId182"/>
    <hyperlink xmlns:r="http://schemas.openxmlformats.org/officeDocument/2006/relationships" ref="D187" r:id="rId183"/>
    <hyperlink xmlns:r="http://schemas.openxmlformats.org/officeDocument/2006/relationships" ref="D188" r:id="rId184"/>
    <hyperlink xmlns:r="http://schemas.openxmlformats.org/officeDocument/2006/relationships" ref="D189" r:id="rId185"/>
    <hyperlink xmlns:r="http://schemas.openxmlformats.org/officeDocument/2006/relationships" ref="D190" r:id="rId186"/>
  </hyperlinks>
  <pageMargins left="0.25" right="0.25" top="0.75" bottom="0.75" header="0.3" footer="0.3"/>
  <pageSetup orientation="landscape" paperSize="9" scale="4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AY255"/>
  <sheetViews>
    <sheetView zoomScale="55" zoomScaleNormal="55" workbookViewId="0">
      <pane ySplit="4" topLeftCell="A197" activePane="bottomLeft" state="frozen"/>
      <selection pane="bottomLeft" activeCell="J42" sqref="J42"/>
    </sheetView>
  </sheetViews>
  <sheetFormatPr baseColWidth="8" defaultRowHeight="14"/>
  <cols>
    <col width="8.7265625" customWidth="1" style="164" min="1" max="1"/>
    <col width="7.81640625" bestFit="1" customWidth="1" style="9" min="2" max="2"/>
    <col width="9.453125" customWidth="1" style="10" min="3" max="3"/>
    <col width="9.453125" customWidth="1" style="164" min="4" max="4"/>
    <col width="33.453125" bestFit="1" customWidth="1" style="17" min="5" max="5"/>
    <col width="9.54296875" customWidth="1" style="21" min="6" max="6"/>
    <col width="7.81640625" customWidth="1" style="21" min="7" max="7"/>
    <col width="5.90625" customWidth="1" style="21" min="8" max="8"/>
    <col width="6.7265625" customWidth="1" style="136" min="9" max="10"/>
    <col width="5.453125" customWidth="1" style="136" min="11" max="11"/>
    <col hidden="1" width="6.6328125" customWidth="1" style="136" min="12" max="12"/>
    <col hidden="1" width="5.08984375" customWidth="1" style="136" min="13" max="13"/>
    <col hidden="1" width="7.08984375" customWidth="1" style="136" min="14" max="14"/>
    <col hidden="1" width="6.6328125" customWidth="1" style="136" min="15" max="15"/>
    <col hidden="1" width="5" customWidth="1" style="136" min="16" max="16"/>
    <col width="11" bestFit="1" customWidth="1" style="136" min="17" max="18"/>
    <col width="9.81640625" customWidth="1" style="136" min="19" max="19"/>
    <col width="9.81640625" bestFit="1" customWidth="1" style="136" min="20" max="20"/>
    <col width="9.6328125" bestFit="1" customWidth="1" style="136" min="21" max="22"/>
    <col width="6.90625" bestFit="1" customWidth="1" style="155" min="23" max="23"/>
    <col width="3.90625" bestFit="1" customWidth="1" style="136" min="24" max="25"/>
    <col width="5.7265625" customWidth="1" style="136" min="26" max="26"/>
    <col width="9.81640625" bestFit="1" customWidth="1" style="164" min="27" max="27"/>
    <col width="10.26953125" customWidth="1" style="164" min="28" max="28"/>
    <col width="10.90625" customWidth="1" style="164" min="29" max="29"/>
    <col width="9.81640625" bestFit="1" customWidth="1" style="139" min="30" max="31"/>
    <col width="9.81640625" customWidth="1" style="139" min="32" max="32"/>
    <col width="7.81640625" bestFit="1" customWidth="1" style="139" min="33" max="33"/>
    <col width="9.81640625" bestFit="1" customWidth="1" style="11" min="34" max="34"/>
    <col width="9.81640625" bestFit="1" customWidth="1" style="139" min="35" max="36"/>
    <col width="8.54296875" bestFit="1" customWidth="1" style="140" min="37" max="37"/>
    <col width="7.81640625" bestFit="1" customWidth="1" style="140" min="38" max="38"/>
    <col width="8.7265625" customWidth="1" style="2" min="39" max="39"/>
    <col width="11.1796875" customWidth="1" style="1" min="40" max="40"/>
    <col width="8.453125" bestFit="1" customWidth="1" style="139" min="48" max="48"/>
  </cols>
  <sheetData>
    <row r="1">
      <c r="B1" s="12" t="inlineStr">
        <is>
          <t>상</t>
        </is>
      </c>
      <c r="C1" s="13" t="inlineStr">
        <is>
          <t>중</t>
        </is>
      </c>
      <c r="D1" s="165" t="n"/>
      <c r="AH1" s="339" t="n"/>
      <c r="AM1" s="357" t="n"/>
    </row>
    <row r="2">
      <c r="B2" s="12" t="inlineStr">
        <is>
          <t>하</t>
        </is>
      </c>
      <c r="C2" s="12" t="n"/>
      <c r="AH2" s="339" t="n"/>
      <c r="AM2" s="357" t="n"/>
    </row>
    <row r="3" ht="20" customHeight="1" s="139">
      <c r="A3" s="164" t="n">
        <v>84</v>
      </c>
      <c r="B3" s="366" t="inlineStr">
        <is>
          <t>선호도</t>
        </is>
      </c>
      <c r="C3" s="367" t="n"/>
      <c r="D3" s="72" t="n"/>
      <c r="E3" s="73" t="inlineStr">
        <is>
          <t>단지정보 (30평)</t>
        </is>
      </c>
      <c r="F3" s="365" t="n"/>
      <c r="G3" s="365" t="n"/>
      <c r="H3" s="365" t="n"/>
      <c r="I3" s="365" t="n"/>
      <c r="J3" s="365" t="n"/>
      <c r="K3" s="365" t="n"/>
      <c r="L3" s="365" t="n"/>
      <c r="M3" s="365" t="n"/>
      <c r="N3" s="365" t="n"/>
      <c r="O3" s="365" t="n"/>
      <c r="P3" s="365" t="n"/>
      <c r="Q3" s="365" t="n"/>
      <c r="R3" s="365" t="n"/>
      <c r="S3" s="365" t="n"/>
      <c r="T3" s="365" t="n"/>
      <c r="U3" s="365" t="n"/>
      <c r="V3" s="365" t="n"/>
      <c r="W3" s="365" t="n"/>
      <c r="X3" s="365" t="n"/>
      <c r="Y3" s="365" t="n"/>
      <c r="Z3" s="365" t="n"/>
      <c r="AA3" s="365" t="n"/>
      <c r="AB3" s="365" t="n"/>
      <c r="AC3" s="365" t="n"/>
      <c r="AD3" s="365" t="n"/>
      <c r="AE3" s="365" t="n"/>
      <c r="AF3" s="365" t="n"/>
      <c r="AG3" s="365" t="n"/>
      <c r="AH3" s="368" t="inlineStr">
        <is>
          <t>투자결과</t>
        </is>
      </c>
      <c r="AI3" s="365" t="n"/>
      <c r="AJ3" s="365" t="n"/>
      <c r="AK3" s="365" t="n"/>
      <c r="AL3" s="367" t="n"/>
    </row>
    <row r="4" ht="17.5" customHeight="1" s="139" thickBot="1">
      <c r="B4" s="9" t="inlineStr">
        <is>
          <t>생활권</t>
        </is>
      </c>
      <c r="C4" s="10" t="inlineStr">
        <is>
          <t>생활권 내</t>
        </is>
      </c>
      <c r="D4" s="339" t="inlineStr">
        <is>
          <t>단지코드</t>
        </is>
      </c>
      <c r="E4" s="339" t="inlineStr">
        <is>
          <t>단지명</t>
        </is>
      </c>
      <c r="F4" s="339" t="inlineStr">
        <is>
          <t>사용승인일</t>
        </is>
      </c>
      <c r="G4" s="339" t="inlineStr">
        <is>
          <t>총세대수</t>
        </is>
      </c>
      <c r="H4" s="22" t="inlineStr">
        <is>
          <t>나이</t>
        </is>
      </c>
      <c r="I4" s="68" t="inlineStr">
        <is>
          <t>타입</t>
        </is>
      </c>
      <c r="J4" s="68" t="inlineStr">
        <is>
          <t>공급면적</t>
        </is>
      </c>
      <c r="K4" s="116" t="inlineStr">
        <is>
          <t>전용면적</t>
        </is>
      </c>
      <c r="L4" s="116" t="inlineStr">
        <is>
          <t>평형</t>
        </is>
      </c>
      <c r="M4" s="339" t="inlineStr">
        <is>
          <t>구조</t>
        </is>
      </c>
      <c r="N4" s="339" t="inlineStr">
        <is>
          <t>방수</t>
        </is>
      </c>
      <c r="O4" s="339" t="inlineStr">
        <is>
          <t>욕실수</t>
        </is>
      </c>
      <c r="P4" s="339" t="inlineStr">
        <is>
          <t>평형별 세대수</t>
        </is>
      </c>
      <c r="Q4" s="116" t="inlineStr">
        <is>
          <t>매</t>
        </is>
      </c>
      <c r="R4" s="116" t="inlineStr">
        <is>
          <t>전</t>
        </is>
      </c>
      <c r="S4" s="116" t="inlineStr">
        <is>
          <t>차</t>
        </is>
      </c>
      <c r="T4" s="116" t="inlineStr">
        <is>
          <t>전세가율</t>
        </is>
      </c>
      <c r="U4" s="116" t="inlineStr">
        <is>
          <t>전고</t>
        </is>
      </c>
      <c r="V4" s="116" t="inlineStr">
        <is>
          <t>전저</t>
        </is>
      </c>
      <c r="W4" s="57" t="inlineStr">
        <is>
          <t>계/복</t>
        </is>
      </c>
      <c r="X4" s="116" t="inlineStr">
        <is>
          <t>방</t>
        </is>
      </c>
      <c r="Y4" s="116" t="inlineStr">
        <is>
          <t>화</t>
        </is>
      </c>
      <c r="Z4" s="116" t="inlineStr">
        <is>
          <t>면적세대수</t>
        </is>
      </c>
      <c r="AA4" s="164" t="inlineStr">
        <is>
          <t>시기(년)</t>
        </is>
      </c>
      <c r="AB4" s="357" t="inlineStr">
        <is>
          <t>(전세가율80%이상인)기간</t>
        </is>
      </c>
      <c r="AC4" s="164" t="inlineStr">
        <is>
          <t>평형</t>
        </is>
      </c>
      <c r="AD4" s="164" t="inlineStr">
        <is>
          <t>매매가</t>
        </is>
      </c>
      <c r="AE4" s="164" t="inlineStr">
        <is>
          <t>전세가</t>
        </is>
      </c>
      <c r="AF4" s="164" t="inlineStr">
        <is>
          <t>전세가율</t>
        </is>
      </c>
      <c r="AG4" s="24" t="inlineStr">
        <is>
          <t>투자금</t>
        </is>
      </c>
      <c r="AH4" s="9" t="inlineStr">
        <is>
          <t>시기(년)</t>
        </is>
      </c>
      <c r="AI4" s="9" t="inlineStr">
        <is>
          <t>매매가</t>
        </is>
      </c>
      <c r="AJ4" s="9" t="inlineStr">
        <is>
          <t>수익금</t>
        </is>
      </c>
      <c r="AK4" s="25" t="inlineStr">
        <is>
          <t>상승율</t>
        </is>
      </c>
      <c r="AL4" s="26" t="inlineStr">
        <is>
          <t>수익율</t>
        </is>
      </c>
      <c r="AN4" s="14" t="n"/>
    </row>
    <row r="5" ht="18" customHeight="1" s="139" thickBot="1">
      <c r="A5" s="86" t="inlineStr">
        <is>
          <t>신부동</t>
        </is>
      </c>
      <c r="B5" s="12" t="n"/>
      <c r="C5" s="12" t="n"/>
      <c r="D5" s="339" t="n">
        <v>143063</v>
      </c>
      <c r="E5" s="148" t="inlineStr">
        <is>
          <t>포레나천안신부</t>
        </is>
      </c>
      <c r="F5" s="92" t="n">
        <v>2023.12</v>
      </c>
      <c r="G5" s="92" t="n">
        <v>602</v>
      </c>
      <c r="H5" s="93">
        <f>2026-F5+1</f>
        <v/>
      </c>
      <c r="I5" s="95" t="inlineStr">
        <is>
          <t>110A, 111B</t>
        </is>
      </c>
      <c r="J5" s="95" t="n">
        <v>110</v>
      </c>
      <c r="K5" s="95" t="n">
        <v>84</v>
      </c>
      <c r="L5" s="92" t="n">
        <v>33</v>
      </c>
      <c r="M5" s="92" t="inlineStr">
        <is>
          <t>계단식</t>
        </is>
      </c>
      <c r="N5" s="92" t="n">
        <v>3</v>
      </c>
      <c r="O5" s="92" t="n">
        <v>2</v>
      </c>
      <c r="P5" s="92" t="n">
        <v>222</v>
      </c>
      <c r="Q5" s="475" t="n">
        <v>47000</v>
      </c>
      <c r="R5" s="476" t="n">
        <v>32000</v>
      </c>
      <c r="S5" s="477">
        <f>Q5-R5</f>
        <v/>
      </c>
      <c r="T5" s="71">
        <f>R5/Q5</f>
        <v/>
      </c>
      <c r="U5" s="476" t="n"/>
      <c r="V5" s="478" t="n"/>
      <c r="W5" s="92" t="inlineStr">
        <is>
          <t>계단식</t>
        </is>
      </c>
      <c r="X5" s="92" t="n">
        <v>3</v>
      </c>
      <c r="Y5" s="92" t="n">
        <v>2</v>
      </c>
      <c r="Z5" s="92" t="n">
        <v>222</v>
      </c>
      <c r="AA5" s="37" t="n">
        <v>2025.01</v>
      </c>
      <c r="AB5" s="37" t="n">
        <v>0.01</v>
      </c>
      <c r="AC5" s="37">
        <f>L5</f>
        <v/>
      </c>
      <c r="AD5" s="479" t="n">
        <v>36000</v>
      </c>
      <c r="AE5" s="479" t="n">
        <v>34000</v>
      </c>
      <c r="AF5" s="38">
        <f>AE5/AD5</f>
        <v/>
      </c>
      <c r="AG5" s="39">
        <f>AD5-AE5</f>
        <v/>
      </c>
      <c r="AH5" s="33" t="n">
        <v>2026.04</v>
      </c>
      <c r="AI5" s="33" t="n">
        <v>47000</v>
      </c>
      <c r="AJ5" s="33">
        <f>AI5-AD5</f>
        <v/>
      </c>
      <c r="AK5" s="129">
        <f>(AI5-AD5)/AD5</f>
        <v/>
      </c>
      <c r="AL5" s="28">
        <f>AJ5/AG5</f>
        <v/>
      </c>
      <c r="AM5" s="357" t="n"/>
      <c r="AO5" s="339" t="n"/>
      <c r="AP5" s="339" t="n"/>
      <c r="AQ5" s="339" t="n"/>
      <c r="AR5" s="339" t="n"/>
      <c r="AS5" s="339" t="n"/>
      <c r="AT5" s="339" t="n"/>
      <c r="AU5" s="339" t="n"/>
      <c r="AW5" s="339" t="n"/>
      <c r="AX5" s="339" t="n"/>
      <c r="AY5" s="339" t="n"/>
    </row>
    <row r="6" ht="18" customHeight="1" s="139">
      <c r="A6" s="132" t="inlineStr">
        <is>
          <t>청당동</t>
        </is>
      </c>
      <c r="B6" s="88" t="n"/>
      <c r="C6" s="89" t="n"/>
      <c r="D6" s="132" t="n">
        <v>151758</v>
      </c>
      <c r="E6" s="135" t="inlineStr">
        <is>
          <t>천안롯데캐슬더청당</t>
        </is>
      </c>
      <c r="F6" s="132" t="n">
        <v>2025.08</v>
      </c>
      <c r="G6" s="132" t="n">
        <v>1199</v>
      </c>
      <c r="H6" s="132">
        <f>2026-F6+1</f>
        <v/>
      </c>
      <c r="I6" s="132" t="inlineStr">
        <is>
          <t>113A, 114B, 114C</t>
        </is>
      </c>
      <c r="J6" s="132" t="n">
        <v>113</v>
      </c>
      <c r="K6" s="132" t="n">
        <v>84</v>
      </c>
      <c r="L6" s="132" t="n">
        <v>34</v>
      </c>
      <c r="M6" s="132" t="inlineStr">
        <is>
          <t>계단식</t>
        </is>
      </c>
      <c r="N6" s="132" t="n">
        <v>3</v>
      </c>
      <c r="O6" s="132" t="n">
        <v>2</v>
      </c>
      <c r="P6" s="132" t="n">
        <v>942</v>
      </c>
      <c r="Q6" s="475" t="n">
        <v>47000</v>
      </c>
      <c r="R6" s="476" t="n">
        <v>35000</v>
      </c>
      <c r="S6" s="477">
        <f>Q6-R6</f>
        <v/>
      </c>
      <c r="T6" s="71">
        <f>R6/Q6</f>
        <v/>
      </c>
      <c r="U6" s="476" t="n"/>
      <c r="V6" s="478" t="n"/>
      <c r="W6" s="339" t="inlineStr">
        <is>
          <t>계단식</t>
        </is>
      </c>
      <c r="X6" s="339" t="n">
        <v>3</v>
      </c>
      <c r="Y6" s="339" t="n">
        <v>2</v>
      </c>
      <c r="Z6" s="339" t="n">
        <v>942</v>
      </c>
      <c r="AA6" s="98" t="n"/>
      <c r="AB6" s="99" t="n"/>
      <c r="AC6" s="99">
        <f>L6</f>
        <v/>
      </c>
      <c r="AD6" s="99" t="n"/>
      <c r="AE6" s="99" t="n"/>
      <c r="AF6" s="99">
        <f>AE6/AD6</f>
        <v/>
      </c>
      <c r="AG6" s="100">
        <f>AD6-AE6</f>
        <v/>
      </c>
      <c r="AH6" s="339" t="n">
        <v>2026.04</v>
      </c>
      <c r="AI6" s="339" t="n">
        <v>47000</v>
      </c>
      <c r="AJ6" s="339">
        <f>AI6-AD6</f>
        <v/>
      </c>
      <c r="AK6" s="129">
        <f>(AI6-AD6)/AD6</f>
        <v/>
      </c>
      <c r="AL6" s="101">
        <f>AJ6/AG6</f>
        <v/>
      </c>
      <c r="AM6" s="133" t="n"/>
      <c r="AN6" s="133" t="n"/>
      <c r="AO6" s="339" t="n"/>
      <c r="AP6" s="339" t="n"/>
      <c r="AQ6" s="339" t="n"/>
      <c r="AR6" s="339" t="n"/>
      <c r="AS6" s="339" t="n"/>
      <c r="AT6" s="339" t="n"/>
      <c r="AU6" s="339" t="n"/>
      <c r="AV6" s="133" t="n"/>
      <c r="AW6" s="339" t="n"/>
      <c r="AX6" s="339" t="n"/>
      <c r="AY6" s="339" t="n"/>
    </row>
    <row r="7" ht="18" customHeight="1" s="139">
      <c r="A7" s="132" t="inlineStr">
        <is>
          <t>봉명동</t>
        </is>
      </c>
      <c r="B7" s="88" t="n"/>
      <c r="C7" s="89" t="n"/>
      <c r="D7" s="132" t="n">
        <v>137226</v>
      </c>
      <c r="E7" s="135" t="inlineStr">
        <is>
          <t>봉명역센트럴시티</t>
        </is>
      </c>
      <c r="F7" s="132" t="n">
        <v>2025.01</v>
      </c>
      <c r="G7" s="132" t="n">
        <v>816</v>
      </c>
      <c r="H7" s="132">
        <f>2026-F7+1</f>
        <v/>
      </c>
      <c r="I7" s="132" t="inlineStr">
        <is>
          <t>114A, 114B</t>
        </is>
      </c>
      <c r="J7" s="132" t="n">
        <v>114</v>
      </c>
      <c r="K7" s="132" t="n">
        <v>84</v>
      </c>
      <c r="L7" s="132" t="n">
        <v>34</v>
      </c>
      <c r="M7" s="132" t="inlineStr">
        <is>
          <t>계단식</t>
        </is>
      </c>
      <c r="N7" s="132" t="n">
        <v>3</v>
      </c>
      <c r="O7" s="132" t="n">
        <v>2</v>
      </c>
      <c r="P7" s="132" t="n">
        <v>146</v>
      </c>
      <c r="Q7" s="480" t="n">
        <v>43800</v>
      </c>
      <c r="R7" s="481" t="n">
        <v>30000</v>
      </c>
      <c r="S7" s="477">
        <f>Q7-R7</f>
        <v/>
      </c>
      <c r="T7" s="71">
        <f>R7/Q7</f>
        <v/>
      </c>
      <c r="U7" s="481" t="n"/>
      <c r="V7" s="481" t="n"/>
      <c r="W7" s="339" t="inlineStr">
        <is>
          <t>계단식</t>
        </is>
      </c>
      <c r="X7" s="339" t="n">
        <v>3</v>
      </c>
      <c r="Y7" s="339" t="n">
        <v>2</v>
      </c>
      <c r="Z7" s="339" t="n">
        <v>146</v>
      </c>
      <c r="AA7" s="98" t="n"/>
      <c r="AB7" s="99" t="n"/>
      <c r="AC7" s="77">
        <f>L7</f>
        <v/>
      </c>
      <c r="AD7" s="482" t="n"/>
      <c r="AE7" s="482" t="n"/>
      <c r="AF7" s="78">
        <f>AE7/AD7</f>
        <v/>
      </c>
      <c r="AG7" s="79">
        <f>AD7-AE7</f>
        <v/>
      </c>
      <c r="AH7" s="339" t="n">
        <v>2026.04</v>
      </c>
      <c r="AI7" s="339" t="n">
        <v>43800</v>
      </c>
      <c r="AJ7" s="339">
        <f>AI7-AD7</f>
        <v/>
      </c>
      <c r="AK7" s="129">
        <f>(AI7-AD7)/AD7</f>
        <v/>
      </c>
      <c r="AL7" s="80">
        <f>AJ7/AG7</f>
        <v/>
      </c>
      <c r="AM7" s="141" t="n"/>
      <c r="AN7" s="133" t="n"/>
      <c r="AV7" s="132" t="inlineStr">
        <is>
          <t>★중요한 것은 스스로 생각해보고 결론 내어보고 매임까지 하면서 [검증]해 나가는 것</t>
        </is>
      </c>
    </row>
    <row r="8" ht="18" customHeight="1" s="139">
      <c r="A8" s="339" t="inlineStr">
        <is>
          <t>문화동</t>
        </is>
      </c>
      <c r="B8" s="2" t="n"/>
      <c r="C8" s="90" t="n"/>
      <c r="D8" s="339" t="n">
        <v>121930</v>
      </c>
      <c r="E8" s="150" t="inlineStr">
        <is>
          <t>힐스테이트천안(주상복합)</t>
        </is>
      </c>
      <c r="F8" s="339" t="n">
        <v>2021.03</v>
      </c>
      <c r="G8" s="339" t="n">
        <v>451</v>
      </c>
      <c r="H8" s="339">
        <f>2026-F8+1</f>
        <v/>
      </c>
      <c r="I8" s="339" t="inlineStr">
        <is>
          <t>120</t>
        </is>
      </c>
      <c r="J8" s="339" t="n">
        <v>120</v>
      </c>
      <c r="K8" s="339" t="n">
        <v>84</v>
      </c>
      <c r="L8" s="339" t="n">
        <v>36</v>
      </c>
      <c r="M8" s="339" t="inlineStr">
        <is>
          <t>계단식</t>
        </is>
      </c>
      <c r="N8" s="339" t="n">
        <v>3</v>
      </c>
      <c r="O8" s="339" t="n">
        <v>2</v>
      </c>
      <c r="P8" s="339" t="n">
        <v>164</v>
      </c>
      <c r="Q8" s="483" t="n">
        <v>42000</v>
      </c>
      <c r="R8" s="484" t="n">
        <v>28000</v>
      </c>
      <c r="S8" s="477">
        <f>Q8-R8</f>
        <v/>
      </c>
      <c r="T8" s="71">
        <f>R8/Q8</f>
        <v/>
      </c>
      <c r="U8" s="484" t="n">
        <v>45000</v>
      </c>
      <c r="V8" s="484" t="n">
        <v>39000</v>
      </c>
      <c r="W8" s="339" t="inlineStr">
        <is>
          <t>계단식</t>
        </is>
      </c>
      <c r="X8" s="339" t="n">
        <v>3</v>
      </c>
      <c r="Y8" s="339" t="n">
        <v>2</v>
      </c>
      <c r="Z8" s="339" t="n">
        <v>164</v>
      </c>
      <c r="AA8" s="69" t="n"/>
      <c r="AB8" s="37" t="n"/>
      <c r="AC8" s="37">
        <f>L8</f>
        <v/>
      </c>
      <c r="AD8" s="479" t="n"/>
      <c r="AE8" s="479" t="n"/>
      <c r="AF8" s="38">
        <f>AE8/AD8</f>
        <v/>
      </c>
      <c r="AG8" s="39">
        <f>AD8-AE8</f>
        <v/>
      </c>
      <c r="AH8" s="339" t="n">
        <v>2026.04</v>
      </c>
      <c r="AI8" s="339" t="n">
        <v>42000</v>
      </c>
      <c r="AJ8" s="339">
        <f>AI8-AD8</f>
        <v/>
      </c>
      <c r="AK8" s="129">
        <f>(AI8-AD8)/AD8</f>
        <v/>
      </c>
      <c r="AL8" s="29">
        <f>AJ8/AG8</f>
        <v/>
      </c>
      <c r="AM8" s="357" t="n"/>
      <c r="AO8" s="339" t="n"/>
      <c r="AP8" s="339" t="n"/>
      <c r="AQ8" s="339" t="n"/>
      <c r="AR8" s="339" t="n"/>
      <c r="AS8" s="339" t="n"/>
      <c r="AT8" s="339" t="n"/>
      <c r="AU8" s="339" t="n"/>
      <c r="AV8" s="339" t="n"/>
      <c r="AW8" s="339" t="n"/>
      <c r="AX8" s="339" t="n"/>
      <c r="AY8" s="339" t="n"/>
    </row>
    <row r="9" ht="18" customFormat="1" customHeight="1" s="132">
      <c r="A9" s="132" t="inlineStr">
        <is>
          <t>삼룡동</t>
        </is>
      </c>
      <c r="B9" s="88" t="n"/>
      <c r="C9" s="89" t="n"/>
      <c r="D9" s="132" t="n">
        <v>146718</v>
      </c>
      <c r="E9" s="135" t="inlineStr">
        <is>
          <t>호반써밋포레센트</t>
        </is>
      </c>
      <c r="F9" s="132" t="n">
        <v>2023.12</v>
      </c>
      <c r="G9" s="132" t="n">
        <v>594</v>
      </c>
      <c r="H9" s="132">
        <f>2026-F9+1</f>
        <v/>
      </c>
      <c r="I9" s="132" t="inlineStr">
        <is>
          <t>109C, 109B, 111A</t>
        </is>
      </c>
      <c r="J9" s="132" t="n">
        <v>109</v>
      </c>
      <c r="K9" s="132" t="n">
        <v>84</v>
      </c>
      <c r="L9" s="132" t="n">
        <v>33</v>
      </c>
      <c r="M9" s="132" t="inlineStr">
        <is>
          <t>계단식</t>
        </is>
      </c>
      <c r="N9" s="132" t="n">
        <v>3</v>
      </c>
      <c r="O9" s="132" t="n">
        <v>2</v>
      </c>
      <c r="P9" s="132" t="n">
        <v>430</v>
      </c>
      <c r="Q9" s="480" t="n">
        <v>42000</v>
      </c>
      <c r="R9" s="481" t="n">
        <v>30000</v>
      </c>
      <c r="S9" s="477">
        <f>Q9-R9</f>
        <v/>
      </c>
      <c r="T9" s="71">
        <f>R9/Q9</f>
        <v/>
      </c>
      <c r="U9" s="481" t="n"/>
      <c r="V9" s="481" t="n"/>
      <c r="W9" s="339" t="inlineStr">
        <is>
          <t>계단식</t>
        </is>
      </c>
      <c r="X9" s="339" t="n">
        <v>3</v>
      </c>
      <c r="Y9" s="339" t="n">
        <v>2</v>
      </c>
      <c r="Z9" s="339" t="n">
        <v>430</v>
      </c>
      <c r="AA9" s="98" t="n"/>
      <c r="AB9" s="99" t="n"/>
      <c r="AC9" s="77">
        <f>L9</f>
        <v/>
      </c>
      <c r="AD9" s="482" t="n"/>
      <c r="AE9" s="482" t="n"/>
      <c r="AF9" s="78">
        <f>AE9/AD9</f>
        <v/>
      </c>
      <c r="AG9" s="79">
        <f>AD9-AE9</f>
        <v/>
      </c>
      <c r="AH9" s="339" t="n">
        <v>2026.04</v>
      </c>
      <c r="AI9" s="339" t="n">
        <v>42000</v>
      </c>
      <c r="AJ9" s="339">
        <f>AI9-AD9</f>
        <v/>
      </c>
      <c r="AK9" s="129">
        <f>(AI9-AD9)/AD9</f>
        <v/>
      </c>
      <c r="AL9" s="80">
        <f>AJ9/AG9</f>
        <v/>
      </c>
      <c r="AM9" s="141" t="n"/>
      <c r="AN9" s="133" t="n"/>
      <c r="AO9" s="339" t="n"/>
      <c r="AP9" s="339" t="n"/>
      <c r="AQ9" s="339" t="n"/>
      <c r="AR9" s="339" t="n"/>
      <c r="AS9" s="339" t="n"/>
      <c r="AT9" s="339" t="n"/>
      <c r="AU9" s="339" t="n"/>
      <c r="AV9" s="133" t="n"/>
      <c r="AW9" s="339" t="n"/>
      <c r="AX9" s="339" t="n"/>
      <c r="AY9" s="339" t="n"/>
    </row>
    <row r="10" ht="18" customFormat="1" customHeight="1" s="132">
      <c r="A10" s="339" t="inlineStr">
        <is>
          <t>신부동</t>
        </is>
      </c>
      <c r="B10" s="9" t="n"/>
      <c r="C10" s="10" t="n"/>
      <c r="D10" s="339" t="n">
        <v>143063</v>
      </c>
      <c r="E10" s="150" t="inlineStr">
        <is>
          <t>포레나천안신부</t>
        </is>
      </c>
      <c r="F10" s="339" t="n">
        <v>2023.12</v>
      </c>
      <c r="G10" s="339" t="n">
        <v>602</v>
      </c>
      <c r="H10" s="339">
        <f>2026-F10+1</f>
        <v/>
      </c>
      <c r="I10" s="339" t="inlineStr">
        <is>
          <t>101</t>
        </is>
      </c>
      <c r="J10" s="339" t="n">
        <v>101</v>
      </c>
      <c r="K10" s="339" t="n">
        <v>76</v>
      </c>
      <c r="L10" s="339" t="n">
        <v>31</v>
      </c>
      <c r="M10" s="339" t="inlineStr">
        <is>
          <t>계단식</t>
        </is>
      </c>
      <c r="N10" s="339" t="n">
        <v>3</v>
      </c>
      <c r="O10" s="339" t="n">
        <v>2</v>
      </c>
      <c r="P10" s="339" t="n">
        <v>123</v>
      </c>
      <c r="Q10" s="483" t="n">
        <v>42000</v>
      </c>
      <c r="R10" s="484" t="n">
        <v>32000</v>
      </c>
      <c r="S10" s="477">
        <f>Q10-R10</f>
        <v/>
      </c>
      <c r="T10" s="71">
        <f>R10/Q10</f>
        <v/>
      </c>
      <c r="U10" s="484" t="n"/>
      <c r="V10" s="484" t="n"/>
      <c r="W10" s="339" t="inlineStr">
        <is>
          <t>계단식</t>
        </is>
      </c>
      <c r="X10" s="339" t="n">
        <v>3</v>
      </c>
      <c r="Y10" s="339" t="n">
        <v>2</v>
      </c>
      <c r="Z10" s="339" t="n">
        <v>123</v>
      </c>
      <c r="AA10" s="69" t="n">
        <v>2024.03</v>
      </c>
      <c r="AB10" s="37" t="n">
        <v>0.06</v>
      </c>
      <c r="AC10" s="37">
        <f>L10</f>
        <v/>
      </c>
      <c r="AD10" s="479" t="n">
        <v>33000</v>
      </c>
      <c r="AE10" s="479" t="n">
        <v>28429</v>
      </c>
      <c r="AF10" s="38">
        <f>AE10/AD10</f>
        <v/>
      </c>
      <c r="AG10" s="39">
        <f>AD10-AE10</f>
        <v/>
      </c>
      <c r="AH10" s="339" t="n">
        <v>2026.04</v>
      </c>
      <c r="AI10" s="339" t="n">
        <v>42000</v>
      </c>
      <c r="AJ10" s="339">
        <f>AI10-AD10</f>
        <v/>
      </c>
      <c r="AK10" s="129">
        <f>(AI10-AD10)/AD10</f>
        <v/>
      </c>
      <c r="AL10" s="29">
        <f>AJ10/AG10</f>
        <v/>
      </c>
      <c r="AM10" s="357" t="n"/>
      <c r="AN10" s="1" t="n"/>
      <c r="AO10" s="339" t="n"/>
      <c r="AP10" s="339" t="n"/>
      <c r="AQ10" s="339" t="n"/>
      <c r="AR10" s="339" t="n"/>
      <c r="AS10" s="339" t="n"/>
      <c r="AT10" s="339" t="n"/>
      <c r="AU10" s="339" t="n"/>
      <c r="AW10" s="339" t="n"/>
      <c r="AX10" s="339" t="n"/>
      <c r="AY10" s="339" t="n"/>
    </row>
    <row r="11" ht="18" customFormat="1" customHeight="1" s="132">
      <c r="A11" s="339" t="inlineStr">
        <is>
          <t>용곡동</t>
        </is>
      </c>
      <c r="B11" s="9" t="n"/>
      <c r="C11" s="10" t="n"/>
      <c r="D11" s="339" t="n">
        <v>186759</v>
      </c>
      <c r="E11" s="150" t="inlineStr">
        <is>
          <t>천안용곡두산위브</t>
        </is>
      </c>
      <c r="F11" s="339" t="n">
        <v>2025.1</v>
      </c>
      <c r="G11" s="339" t="n">
        <v>409</v>
      </c>
      <c r="H11" s="339">
        <f>2026-F11+1</f>
        <v/>
      </c>
      <c r="I11" s="339" t="inlineStr">
        <is>
          <t>109C</t>
        </is>
      </c>
      <c r="J11" s="339" t="n">
        <v>109</v>
      </c>
      <c r="K11" s="339" t="n">
        <v>84</v>
      </c>
      <c r="L11" s="339" t="n">
        <v>33</v>
      </c>
      <c r="M11" s="339" t="inlineStr">
        <is>
          <t>계단식</t>
        </is>
      </c>
      <c r="N11" s="339" t="n">
        <v>4</v>
      </c>
      <c r="O11" s="339" t="n">
        <v>2</v>
      </c>
      <c r="P11" s="339" t="n">
        <v>3</v>
      </c>
      <c r="Q11" s="426" t="n">
        <v>42000</v>
      </c>
      <c r="R11" s="427" t="n">
        <v>25000</v>
      </c>
      <c r="S11" s="477">
        <f>Q11-R11</f>
        <v/>
      </c>
      <c r="T11" s="71">
        <f>R11/Q11</f>
        <v/>
      </c>
      <c r="U11" s="427" t="n"/>
      <c r="V11" s="427" t="n"/>
      <c r="W11" s="339" t="inlineStr">
        <is>
          <t>계단식</t>
        </is>
      </c>
      <c r="X11" s="339" t="n">
        <v>4</v>
      </c>
      <c r="Y11" s="339" t="n">
        <v>2</v>
      </c>
      <c r="Z11" s="339" t="n">
        <v>3</v>
      </c>
      <c r="AA11" s="70" t="n"/>
      <c r="AB11" s="37" t="n"/>
      <c r="AC11" s="37">
        <f>L11</f>
        <v/>
      </c>
      <c r="AD11" s="479" t="n"/>
      <c r="AE11" s="479" t="n"/>
      <c r="AF11" s="38">
        <f>AE11/AD11</f>
        <v/>
      </c>
      <c r="AG11" s="39">
        <f>AD11-AE11</f>
        <v/>
      </c>
      <c r="AH11" s="339" t="n">
        <v>2026.04</v>
      </c>
      <c r="AI11" s="405" t="n">
        <v>42000</v>
      </c>
      <c r="AJ11" s="405">
        <f>AI11-AD11</f>
        <v/>
      </c>
      <c r="AK11" s="129">
        <f>(AI11-AD11)/AD11</f>
        <v/>
      </c>
      <c r="AL11" s="29">
        <f>AJ11/AG11</f>
        <v/>
      </c>
      <c r="AM11" s="357" t="n"/>
      <c r="AN11" s="16" t="n"/>
      <c r="AO11" s="339" t="n"/>
      <c r="AP11" s="339" t="n"/>
      <c r="AQ11" s="339" t="n"/>
      <c r="AR11" s="339" t="n"/>
      <c r="AS11" s="339" t="n"/>
      <c r="AT11" s="339" t="n"/>
      <c r="AU11" s="339" t="n"/>
      <c r="AW11" s="339" t="n"/>
      <c r="AX11" s="339" t="n"/>
      <c r="AY11" s="339" t="n"/>
    </row>
    <row r="12" ht="18" customFormat="1" customHeight="1" s="132">
      <c r="A12" s="339" t="inlineStr">
        <is>
          <t>신부동</t>
        </is>
      </c>
      <c r="B12" s="9" t="n"/>
      <c r="C12" s="10" t="n"/>
      <c r="D12" s="339" t="n">
        <v>152942</v>
      </c>
      <c r="E12" s="150" t="inlineStr">
        <is>
          <t>더샵신부센트라</t>
        </is>
      </c>
      <c r="F12" s="339" t="n">
        <v>2025.06</v>
      </c>
      <c r="G12" s="339" t="n">
        <v>592</v>
      </c>
      <c r="H12" s="339">
        <f>2026-F12+1</f>
        <v/>
      </c>
      <c r="I12" s="339" t="inlineStr">
        <is>
          <t>110A, 112B, 112C</t>
        </is>
      </c>
      <c r="J12" s="339" t="n">
        <v>110</v>
      </c>
      <c r="K12" s="339" t="n">
        <v>84</v>
      </c>
      <c r="L12" s="339" t="n">
        <v>33</v>
      </c>
      <c r="M12" s="339" t="inlineStr">
        <is>
          <t>계단식</t>
        </is>
      </c>
      <c r="N12" s="339" t="n">
        <v>3</v>
      </c>
      <c r="O12" s="339" t="n">
        <v>2</v>
      </c>
      <c r="P12" s="339" t="n">
        <v>446</v>
      </c>
      <c r="Q12" s="483" t="n">
        <v>41760</v>
      </c>
      <c r="R12" s="484" t="n">
        <v>33000</v>
      </c>
      <c r="S12" s="477">
        <f>Q12-R12</f>
        <v/>
      </c>
      <c r="T12" s="71">
        <f>R12/Q12</f>
        <v/>
      </c>
      <c r="U12" s="484" t="n"/>
      <c r="V12" s="484" t="n"/>
      <c r="W12" s="339" t="inlineStr">
        <is>
          <t>계단식</t>
        </is>
      </c>
      <c r="X12" s="339" t="n">
        <v>3</v>
      </c>
      <c r="Y12" s="339" t="n">
        <v>2</v>
      </c>
      <c r="Z12" s="339" t="n">
        <v>446</v>
      </c>
      <c r="AA12" s="69" t="n"/>
      <c r="AB12" s="37" t="n"/>
      <c r="AC12" s="37">
        <f>L12</f>
        <v/>
      </c>
      <c r="AD12" s="479" t="n"/>
      <c r="AE12" s="479" t="n"/>
      <c r="AF12" s="38">
        <f>AE12/AD12</f>
        <v/>
      </c>
      <c r="AG12" s="39">
        <f>AD12-AE12</f>
        <v/>
      </c>
      <c r="AH12" s="339" t="n">
        <v>2026.04</v>
      </c>
      <c r="AI12" s="339" t="n">
        <v>41760</v>
      </c>
      <c r="AJ12" s="339">
        <f>AI12-AD12</f>
        <v/>
      </c>
      <c r="AK12" s="129">
        <f>(AI12-AD12)/AD12</f>
        <v/>
      </c>
      <c r="AL12" s="29">
        <f>AJ12/AG12</f>
        <v/>
      </c>
      <c r="AM12" s="357" t="n"/>
      <c r="AN12" s="1" t="n"/>
      <c r="AO12" s="339" t="n"/>
      <c r="AP12" s="339" t="n"/>
      <c r="AQ12" s="339" t="n"/>
      <c r="AR12" s="339" t="n"/>
      <c r="AS12" s="339" t="n"/>
      <c r="AT12" s="339" t="n"/>
      <c r="AU12" s="339" t="n"/>
      <c r="AW12" s="339" t="n"/>
      <c r="AX12" s="339" t="n"/>
      <c r="AY12" s="339" t="n"/>
    </row>
    <row r="13" ht="18" customHeight="1" s="139">
      <c r="A13" s="132" t="inlineStr">
        <is>
          <t>용곡동</t>
        </is>
      </c>
      <c r="B13" s="88" t="n"/>
      <c r="C13" s="89" t="n"/>
      <c r="D13" s="132" t="n">
        <v>153265</v>
      </c>
      <c r="E13" s="135" t="inlineStr">
        <is>
          <t>호반써밋센트럴파크Ⅰ</t>
        </is>
      </c>
      <c r="F13" s="132" t="n">
        <v>2025.12</v>
      </c>
      <c r="G13" s="132" t="n">
        <v>453</v>
      </c>
      <c r="H13" s="132">
        <f>2026-F13+1</f>
        <v/>
      </c>
      <c r="I13" s="132" t="inlineStr">
        <is>
          <t>108B</t>
        </is>
      </c>
      <c r="J13" s="132" t="n">
        <v>108</v>
      </c>
      <c r="K13" s="132" t="n">
        <v>84</v>
      </c>
      <c r="L13" s="132" t="n">
        <v>33</v>
      </c>
      <c r="M13" s="132" t="inlineStr">
        <is>
          <t>계단식</t>
        </is>
      </c>
      <c r="N13" s="132" t="n">
        <v>3</v>
      </c>
      <c r="O13" s="132" t="n">
        <v>2</v>
      </c>
      <c r="P13" s="132" t="n">
        <v>85</v>
      </c>
      <c r="Q13" s="96" t="n">
        <v>41000</v>
      </c>
      <c r="R13" s="96" t="n">
        <v>28000</v>
      </c>
      <c r="S13" s="477">
        <f>Q13-R13</f>
        <v/>
      </c>
      <c r="T13" s="71">
        <f>R13/Q13</f>
        <v/>
      </c>
      <c r="U13" s="96" t="n"/>
      <c r="V13" s="96" t="n"/>
      <c r="W13" s="339" t="inlineStr">
        <is>
          <t>계단식</t>
        </is>
      </c>
      <c r="X13" s="339" t="n">
        <v>3</v>
      </c>
      <c r="Y13" s="339" t="n">
        <v>2</v>
      </c>
      <c r="Z13" s="339" t="n">
        <v>85</v>
      </c>
      <c r="AA13" s="98" t="n"/>
      <c r="AB13" s="99" t="n"/>
      <c r="AC13" s="99">
        <f>L13</f>
        <v/>
      </c>
      <c r="AD13" s="99" t="n"/>
      <c r="AE13" s="99" t="n"/>
      <c r="AF13" s="99">
        <f>AE13/AD13</f>
        <v/>
      </c>
      <c r="AG13" s="100">
        <f>AD13-AE13</f>
        <v/>
      </c>
      <c r="AH13" s="339" t="n">
        <v>2026.04</v>
      </c>
      <c r="AI13" s="339" t="n">
        <v>41000</v>
      </c>
      <c r="AJ13" s="339">
        <f>AI13-AD13</f>
        <v/>
      </c>
      <c r="AK13" s="129">
        <f>(AI13-AD13)/AD13</f>
        <v/>
      </c>
      <c r="AL13" s="101">
        <f>AJ13/AG13</f>
        <v/>
      </c>
      <c r="AM13" s="133" t="n"/>
      <c r="AN13" s="133" t="n"/>
      <c r="AV13" s="133" t="n"/>
    </row>
    <row r="14" ht="18" customHeight="1" s="139">
      <c r="A14" s="132" t="inlineStr">
        <is>
          <t>청당동</t>
        </is>
      </c>
      <c r="B14" s="88" t="n"/>
      <c r="C14" s="89" t="n"/>
      <c r="D14" s="132" t="n">
        <v>134767</v>
      </c>
      <c r="E14" s="135" t="inlineStr">
        <is>
          <t>행정타운센트럴두산위브</t>
        </is>
      </c>
      <c r="F14" s="132" t="n">
        <v>2023.02</v>
      </c>
      <c r="G14" s="132" t="n">
        <v>655</v>
      </c>
      <c r="H14" s="132">
        <f>2026-F14+1</f>
        <v/>
      </c>
      <c r="I14" s="132" t="inlineStr">
        <is>
          <t>111A, 111D, 111C, 111B, 113F, 114E, 114G</t>
        </is>
      </c>
      <c r="J14" s="132" t="n">
        <v>111</v>
      </c>
      <c r="K14" s="132" t="n">
        <v>84</v>
      </c>
      <c r="L14" s="132" t="n">
        <v>34</v>
      </c>
      <c r="M14" s="132" t="inlineStr">
        <is>
          <t>계단식</t>
        </is>
      </c>
      <c r="N14" s="132" t="n">
        <v>3</v>
      </c>
      <c r="O14" s="132" t="n">
        <v>2</v>
      </c>
      <c r="P14" s="132" t="n">
        <v>399</v>
      </c>
      <c r="Q14" s="96" t="n">
        <v>40500</v>
      </c>
      <c r="R14" s="96" t="n">
        <v>33000</v>
      </c>
      <c r="S14" s="477">
        <f>Q14-R14</f>
        <v/>
      </c>
      <c r="T14" s="71">
        <f>R14/Q14</f>
        <v/>
      </c>
      <c r="U14" s="96" t="n"/>
      <c r="V14" s="96" t="n">
        <v>37500</v>
      </c>
      <c r="W14" s="339" t="inlineStr">
        <is>
          <t>계단식</t>
        </is>
      </c>
      <c r="X14" s="339" t="n">
        <v>3</v>
      </c>
      <c r="Y14" s="339" t="n">
        <v>2</v>
      </c>
      <c r="Z14" s="339" t="n">
        <v>399</v>
      </c>
      <c r="AA14" s="98" t="n"/>
      <c r="AB14" s="99" t="n"/>
      <c r="AC14" s="99">
        <f>L14</f>
        <v/>
      </c>
      <c r="AD14" s="99" t="n"/>
      <c r="AE14" s="99" t="n"/>
      <c r="AF14" s="99">
        <f>AE14/AD14</f>
        <v/>
      </c>
      <c r="AG14" s="100">
        <f>AD14-AE14</f>
        <v/>
      </c>
      <c r="AH14" s="339" t="n">
        <v>2026.04</v>
      </c>
      <c r="AI14" s="339" t="n">
        <v>40500</v>
      </c>
      <c r="AJ14" s="339">
        <f>AI14-AD14</f>
        <v/>
      </c>
      <c r="AK14" s="129">
        <f>(AI14-AD14)/AD14</f>
        <v/>
      </c>
      <c r="AL14" s="101">
        <f>AJ14/AG14</f>
        <v/>
      </c>
      <c r="AM14" s="133" t="n"/>
      <c r="AN14" s="133" t="n"/>
      <c r="AO14" s="339" t="n"/>
      <c r="AP14" s="339" t="n"/>
      <c r="AQ14" s="339" t="n"/>
      <c r="AR14" s="339" t="n"/>
      <c r="AS14" s="339" t="n"/>
      <c r="AT14" s="339" t="n"/>
      <c r="AU14" s="339" t="n"/>
      <c r="AV14" s="133" t="n"/>
      <c r="AW14" s="339" t="n"/>
      <c r="AX14" s="339" t="n"/>
      <c r="AY14" s="339" t="n"/>
    </row>
    <row r="15" ht="18" customFormat="1" customHeight="1" s="132">
      <c r="A15" s="132" t="inlineStr">
        <is>
          <t>삼룡동</t>
        </is>
      </c>
      <c r="B15" s="88" t="n"/>
      <c r="C15" s="89" t="n"/>
      <c r="D15" s="132" t="n">
        <v>146718</v>
      </c>
      <c r="E15" s="135" t="inlineStr">
        <is>
          <t>호반써밋포레센트</t>
        </is>
      </c>
      <c r="F15" s="132" t="n">
        <v>2023.12</v>
      </c>
      <c r="G15" s="132" t="n">
        <v>594</v>
      </c>
      <c r="H15" s="132">
        <f>2026-F15+1</f>
        <v/>
      </c>
      <c r="I15" s="132" t="inlineStr">
        <is>
          <t>100C, 101B, 102A</t>
        </is>
      </c>
      <c r="J15" s="132" t="n">
        <v>100</v>
      </c>
      <c r="K15" s="132" t="n">
        <v>76</v>
      </c>
      <c r="L15" s="132" t="n">
        <v>30</v>
      </c>
      <c r="M15" s="132" t="inlineStr">
        <is>
          <t>계단식</t>
        </is>
      </c>
      <c r="N15" s="132" t="n">
        <v>3</v>
      </c>
      <c r="O15" s="132" t="n">
        <v>2</v>
      </c>
      <c r="P15" s="132" t="n">
        <v>160</v>
      </c>
      <c r="Q15" s="480" t="n">
        <v>40000</v>
      </c>
      <c r="R15" s="481" t="n">
        <v>22000</v>
      </c>
      <c r="S15" s="477">
        <f>Q15-R15</f>
        <v/>
      </c>
      <c r="T15" s="71">
        <f>R15/Q15</f>
        <v/>
      </c>
      <c r="U15" s="481" t="n"/>
      <c r="V15" s="481" t="n"/>
      <c r="W15" s="339" t="inlineStr">
        <is>
          <t>계단식</t>
        </is>
      </c>
      <c r="X15" s="339" t="n">
        <v>3</v>
      </c>
      <c r="Y15" s="339" t="n">
        <v>2</v>
      </c>
      <c r="Z15" s="339" t="n">
        <v>160</v>
      </c>
      <c r="AA15" s="98" t="n"/>
      <c r="AB15" s="99" t="n"/>
      <c r="AC15" s="77">
        <f>L15</f>
        <v/>
      </c>
      <c r="AD15" s="482" t="n"/>
      <c r="AE15" s="482" t="n"/>
      <c r="AF15" s="78">
        <f>AE15/AD15</f>
        <v/>
      </c>
      <c r="AG15" s="79">
        <f>AD15-AE15</f>
        <v/>
      </c>
      <c r="AH15" s="339" t="n">
        <v>2026.04</v>
      </c>
      <c r="AI15" s="339" t="n">
        <v>40000</v>
      </c>
      <c r="AJ15" s="339">
        <f>AI15-AD15</f>
        <v/>
      </c>
      <c r="AK15" s="129">
        <f>(AI15-AD15)/AD15</f>
        <v/>
      </c>
      <c r="AL15" s="80">
        <f>AJ15/AG15</f>
        <v/>
      </c>
      <c r="AM15" s="141" t="n"/>
      <c r="AN15" s="133" t="n"/>
      <c r="AO15" s="339" t="n"/>
      <c r="AP15" s="339" t="n"/>
      <c r="AQ15" s="339" t="n"/>
      <c r="AR15" s="339" t="n"/>
      <c r="AS15" s="339" t="n"/>
      <c r="AT15" s="339" t="n"/>
      <c r="AU15" s="339" t="n"/>
      <c r="AV15" s="133" t="n"/>
      <c r="AW15" s="339" t="n"/>
      <c r="AX15" s="339" t="n"/>
      <c r="AY15" s="339" t="n"/>
    </row>
    <row r="16" ht="15.5" customHeight="1" s="139">
      <c r="A16" s="339" t="inlineStr">
        <is>
          <t>용곡동</t>
        </is>
      </c>
      <c r="D16" s="339" t="n">
        <v>186759</v>
      </c>
      <c r="E16" s="150" t="inlineStr">
        <is>
          <t>천안용곡두산위브</t>
        </is>
      </c>
      <c r="F16" s="339" t="n">
        <v>2025.1</v>
      </c>
      <c r="G16" s="339" t="n">
        <v>409</v>
      </c>
      <c r="H16" s="339">
        <f>2026-F16+1</f>
        <v/>
      </c>
      <c r="I16" s="339" t="inlineStr">
        <is>
          <t>109A, 110B</t>
        </is>
      </c>
      <c r="J16" s="339" t="n">
        <v>109</v>
      </c>
      <c r="K16" s="339" t="n">
        <v>84</v>
      </c>
      <c r="L16" s="339" t="n">
        <v>33</v>
      </c>
      <c r="M16" s="339" t="inlineStr">
        <is>
          <t>계단식</t>
        </is>
      </c>
      <c r="N16" s="339" t="n">
        <v>3</v>
      </c>
      <c r="O16" s="339" t="n">
        <v>2</v>
      </c>
      <c r="P16" s="339" t="n">
        <v>34</v>
      </c>
      <c r="Q16" s="426" t="n">
        <v>39500</v>
      </c>
      <c r="R16" s="427" t="n">
        <v>25000</v>
      </c>
      <c r="S16" s="477">
        <f>Q16-R16</f>
        <v/>
      </c>
      <c r="T16" s="71">
        <f>R16/Q16</f>
        <v/>
      </c>
      <c r="U16" s="427" t="n"/>
      <c r="V16" s="427" t="n"/>
      <c r="W16" s="339" t="inlineStr">
        <is>
          <t>계단식</t>
        </is>
      </c>
      <c r="X16" s="339" t="n">
        <v>3</v>
      </c>
      <c r="Y16" s="339" t="n">
        <v>2</v>
      </c>
      <c r="Z16" s="339" t="n">
        <v>34</v>
      </c>
      <c r="AA16" s="70" t="n"/>
      <c r="AB16" s="37" t="n"/>
      <c r="AC16" s="37">
        <f>L16</f>
        <v/>
      </c>
      <c r="AD16" s="479" t="n"/>
      <c r="AE16" s="479" t="n"/>
      <c r="AF16" s="38">
        <f>AE16/AD16</f>
        <v/>
      </c>
      <c r="AG16" s="39">
        <f>AD16-AE16</f>
        <v/>
      </c>
      <c r="AH16" s="339" t="n">
        <v>2026.04</v>
      </c>
      <c r="AI16" s="405" t="n">
        <v>39500</v>
      </c>
      <c r="AJ16" s="405">
        <f>AI16-AD16</f>
        <v/>
      </c>
      <c r="AK16" s="129">
        <f>(AI16-AD16)/AD16</f>
        <v/>
      </c>
      <c r="AL16" s="29">
        <f>AJ16/AG16</f>
        <v/>
      </c>
      <c r="AM16" s="357" t="n"/>
      <c r="AN16" s="16" t="n"/>
    </row>
    <row r="17" ht="18" customHeight="1" s="139">
      <c r="A17" s="132" t="inlineStr">
        <is>
          <t>문화동</t>
        </is>
      </c>
      <c r="B17" s="88" t="n"/>
      <c r="C17" s="89" t="n"/>
      <c r="D17" s="132" t="n">
        <v>126749</v>
      </c>
      <c r="E17" s="135" t="inlineStr">
        <is>
          <t>천안역필하우스에듀시티1단지</t>
        </is>
      </c>
      <c r="F17" s="132" t="n">
        <v>2022.04</v>
      </c>
      <c r="G17" s="132" t="n">
        <v>1532</v>
      </c>
      <c r="H17" s="132">
        <f>2026-F17+1</f>
        <v/>
      </c>
      <c r="I17" s="132" t="inlineStr">
        <is>
          <t>112A, 113B, 114C, 114D</t>
        </is>
      </c>
      <c r="J17" s="132" t="n">
        <v>112</v>
      </c>
      <c r="K17" s="132" t="n">
        <v>84</v>
      </c>
      <c r="L17" s="132" t="n">
        <v>34</v>
      </c>
      <c r="M17" s="132" t="inlineStr">
        <is>
          <t>계단식</t>
        </is>
      </c>
      <c r="N17" s="132" t="n">
        <v>3</v>
      </c>
      <c r="O17" s="132" t="n">
        <v>2</v>
      </c>
      <c r="P17" s="132" t="n">
        <v>913</v>
      </c>
      <c r="Q17" s="480" t="n">
        <v>38800</v>
      </c>
      <c r="R17" s="481" t="n">
        <v>29000</v>
      </c>
      <c r="S17" s="477">
        <f>Q17-R17</f>
        <v/>
      </c>
      <c r="T17" s="71">
        <f>R17/Q17</f>
        <v/>
      </c>
      <c r="U17" s="481" t="n">
        <v>35500</v>
      </c>
      <c r="V17" s="481" t="n">
        <v>30000</v>
      </c>
      <c r="W17" s="339" t="inlineStr">
        <is>
          <t>계단식</t>
        </is>
      </c>
      <c r="X17" s="339" t="n">
        <v>3</v>
      </c>
      <c r="Y17" s="339" t="n">
        <v>2</v>
      </c>
      <c r="Z17" s="339" t="n">
        <v>913</v>
      </c>
      <c r="AA17" s="76" t="n"/>
      <c r="AB17" s="77" t="n"/>
      <c r="AC17" s="77">
        <f>L17</f>
        <v/>
      </c>
      <c r="AD17" s="482" t="n"/>
      <c r="AE17" s="482" t="n"/>
      <c r="AF17" s="78">
        <f>AE17/AD17</f>
        <v/>
      </c>
      <c r="AG17" s="79">
        <f>AD17-AE17</f>
        <v/>
      </c>
      <c r="AH17" s="339" t="n">
        <v>2026.04</v>
      </c>
      <c r="AI17" s="339" t="n">
        <v>38800</v>
      </c>
      <c r="AJ17" s="339">
        <f>AI17-AD17</f>
        <v/>
      </c>
      <c r="AK17" s="129">
        <f>(AI17-AD17)/AD17</f>
        <v/>
      </c>
      <c r="AL17" s="80">
        <f>AJ17/AG17</f>
        <v/>
      </c>
      <c r="AM17" s="141" t="n"/>
      <c r="AN17" s="81" t="n"/>
      <c r="AO17" s="339" t="n"/>
      <c r="AP17" s="339" t="n"/>
      <c r="AQ17" s="339" t="n"/>
      <c r="AR17" s="339" t="n"/>
      <c r="AS17" s="339" t="n"/>
      <c r="AT17" s="339" t="n"/>
      <c r="AU17" s="339" t="n"/>
      <c r="AV17" s="132" t="n"/>
      <c r="AW17" s="339" t="n"/>
      <c r="AX17" s="339" t="n"/>
      <c r="AY17" s="339" t="n"/>
    </row>
    <row r="18" ht="18" customHeight="1" s="139">
      <c r="A18" s="339" t="inlineStr">
        <is>
          <t>신부동</t>
        </is>
      </c>
      <c r="D18" s="339" t="n">
        <v>110256</v>
      </c>
      <c r="E18" s="150" t="inlineStr">
        <is>
          <t>힐스테이트천안신부</t>
        </is>
      </c>
      <c r="F18" s="339" t="n">
        <v>2017.08</v>
      </c>
      <c r="G18" s="339" t="n">
        <v>984</v>
      </c>
      <c r="H18" s="339">
        <f>2026-F18+1</f>
        <v/>
      </c>
      <c r="I18" s="339" t="inlineStr">
        <is>
          <t>113</t>
        </is>
      </c>
      <c r="J18" s="339" t="n">
        <v>113</v>
      </c>
      <c r="K18" s="339" t="n">
        <v>84</v>
      </c>
      <c r="L18" s="339" t="n">
        <v>34</v>
      </c>
      <c r="M18" s="339" t="inlineStr">
        <is>
          <t>계단식</t>
        </is>
      </c>
      <c r="N18" s="339" t="n">
        <v>3</v>
      </c>
      <c r="O18" s="339" t="n">
        <v>2</v>
      </c>
      <c r="P18" s="339" t="n">
        <v>262</v>
      </c>
      <c r="Q18" s="483" t="n">
        <v>37800</v>
      </c>
      <c r="R18" s="484" t="n">
        <v>31000</v>
      </c>
      <c r="S18" s="477">
        <f>Q18-R18</f>
        <v/>
      </c>
      <c r="T18" s="71">
        <f>R18/Q18</f>
        <v/>
      </c>
      <c r="U18" s="484" t="n">
        <v>56000</v>
      </c>
      <c r="V18" s="484" t="n">
        <v>36600</v>
      </c>
      <c r="W18" s="339" t="inlineStr">
        <is>
          <t>계단식</t>
        </is>
      </c>
      <c r="X18" s="339" t="n">
        <v>3</v>
      </c>
      <c r="Y18" s="339" t="n">
        <v>2</v>
      </c>
      <c r="Z18" s="339" t="n">
        <v>262</v>
      </c>
      <c r="AA18" s="69" t="n"/>
      <c r="AB18" s="37" t="n"/>
      <c r="AC18" s="37">
        <f>L18</f>
        <v/>
      </c>
      <c r="AD18" s="479" t="n"/>
      <c r="AE18" s="479" t="n"/>
      <c r="AF18" s="38">
        <f>AE18/AD18</f>
        <v/>
      </c>
      <c r="AG18" s="39">
        <f>AD18-AE18</f>
        <v/>
      </c>
      <c r="AH18" s="339" t="n">
        <v>2026.04</v>
      </c>
      <c r="AI18" s="339" t="n">
        <v>37800</v>
      </c>
      <c r="AJ18" s="339">
        <f>AI18-AD18</f>
        <v/>
      </c>
      <c r="AK18" s="129">
        <f>(AI18-AD18)/AD18</f>
        <v/>
      </c>
      <c r="AL18" s="29">
        <f>AJ18/AG18</f>
        <v/>
      </c>
      <c r="AM18" s="357" t="n"/>
      <c r="AO18" s="339" t="n"/>
      <c r="AP18" s="339" t="n"/>
      <c r="AQ18" s="339" t="n"/>
      <c r="AR18" s="339" t="n"/>
      <c r="AS18" s="339" t="n"/>
      <c r="AT18" s="339" t="n"/>
      <c r="AU18" s="339" t="n"/>
      <c r="AW18" s="339" t="n"/>
      <c r="AX18" s="339" t="n"/>
      <c r="AY18" s="339" t="n"/>
    </row>
    <row r="19" ht="18" customFormat="1" customHeight="1" s="132">
      <c r="A19" s="339" t="inlineStr">
        <is>
          <t>다가동</t>
        </is>
      </c>
      <c r="B19" s="9" t="n"/>
      <c r="C19" s="10" t="n"/>
      <c r="D19" s="339" t="n">
        <v>145699</v>
      </c>
      <c r="E19" s="150" t="inlineStr">
        <is>
          <t>천안극동스타클래스더퍼스트</t>
        </is>
      </c>
      <c r="F19" s="339" t="n">
        <v>2025.01</v>
      </c>
      <c r="G19" s="339" t="n">
        <v>1225</v>
      </c>
      <c r="H19" s="339">
        <f>2026-F19+1</f>
        <v/>
      </c>
      <c r="I19" s="339" t="inlineStr">
        <is>
          <t>112A, 113B</t>
        </is>
      </c>
      <c r="J19" s="339" t="n">
        <v>112</v>
      </c>
      <c r="K19" s="339" t="n">
        <v>84</v>
      </c>
      <c r="L19" s="339" t="n">
        <v>34</v>
      </c>
      <c r="M19" s="339" t="inlineStr">
        <is>
          <t>계단식</t>
        </is>
      </c>
      <c r="N19" s="339" t="n">
        <v>3</v>
      </c>
      <c r="O19" s="339" t="n">
        <v>2</v>
      </c>
      <c r="P19" s="339" t="n">
        <v>123</v>
      </c>
      <c r="Q19" s="483" t="n">
        <v>37000</v>
      </c>
      <c r="R19" s="484" t="n">
        <v>24000</v>
      </c>
      <c r="S19" s="477">
        <f>Q19-R19</f>
        <v/>
      </c>
      <c r="T19" s="71">
        <f>R19/Q19</f>
        <v/>
      </c>
      <c r="U19" s="484" t="n"/>
      <c r="V19" s="484" t="n"/>
      <c r="W19" s="339" t="inlineStr">
        <is>
          <t>계단식</t>
        </is>
      </c>
      <c r="X19" s="339" t="n">
        <v>3</v>
      </c>
      <c r="Y19" s="339" t="n">
        <v>2</v>
      </c>
      <c r="Z19" s="339" t="n">
        <v>123</v>
      </c>
      <c r="AA19" s="70" t="n"/>
      <c r="AB19" s="37" t="n"/>
      <c r="AC19" s="37">
        <f>L19</f>
        <v/>
      </c>
      <c r="AD19" s="479" t="n"/>
      <c r="AE19" s="479" t="n"/>
      <c r="AF19" s="38">
        <f>AE19/AD19</f>
        <v/>
      </c>
      <c r="AG19" s="39">
        <f>AD19-AE19</f>
        <v/>
      </c>
      <c r="AH19" s="339" t="n">
        <v>2026.04</v>
      </c>
      <c r="AI19" s="405" t="n">
        <v>37000</v>
      </c>
      <c r="AJ19" s="405">
        <f>AI19-AD19</f>
        <v/>
      </c>
      <c r="AK19" s="129">
        <f>(AI19-AD19)/AD19</f>
        <v/>
      </c>
      <c r="AL19" s="29">
        <f>AJ19/AG19</f>
        <v/>
      </c>
      <c r="AM19" s="357" t="n"/>
      <c r="AN19" s="1" t="n"/>
      <c r="AO19" s="339" t="n"/>
      <c r="AP19" s="339" t="n"/>
      <c r="AQ19" s="339" t="n"/>
      <c r="AR19" s="339" t="n"/>
      <c r="AS19" s="339" t="n"/>
      <c r="AT19" s="339" t="n"/>
      <c r="AU19" s="339" t="n"/>
      <c r="AW19" s="339" t="n"/>
      <c r="AX19" s="339" t="n"/>
      <c r="AY19" s="339" t="n"/>
    </row>
    <row r="20" ht="18" customFormat="1" customHeight="1" s="132">
      <c r="A20" s="339" t="inlineStr">
        <is>
          <t>문화동</t>
        </is>
      </c>
      <c r="B20" s="2" t="n"/>
      <c r="C20" s="90" t="n"/>
      <c r="D20" s="339" t="n">
        <v>121930</v>
      </c>
      <c r="E20" s="150" t="inlineStr">
        <is>
          <t>힐스테이트천안(주상복합)</t>
        </is>
      </c>
      <c r="F20" s="339" t="n">
        <v>2021.03</v>
      </c>
      <c r="G20" s="339" t="n">
        <v>451</v>
      </c>
      <c r="H20" s="339">
        <f>2026-F20+1</f>
        <v/>
      </c>
      <c r="I20" s="339" t="inlineStr">
        <is>
          <t>106</t>
        </is>
      </c>
      <c r="J20" s="339" t="n">
        <v>106</v>
      </c>
      <c r="K20" s="339" t="n">
        <v>74</v>
      </c>
      <c r="L20" s="339" t="n">
        <v>32</v>
      </c>
      <c r="M20" s="339" t="inlineStr">
        <is>
          <t>계단식</t>
        </is>
      </c>
      <c r="N20" s="339" t="n">
        <v>3</v>
      </c>
      <c r="O20" s="339" t="n">
        <v>2</v>
      </c>
      <c r="P20" s="339" t="n">
        <v>123</v>
      </c>
      <c r="Q20" s="483" t="n">
        <v>37000</v>
      </c>
      <c r="R20" s="484" t="n">
        <v>25000</v>
      </c>
      <c r="S20" s="477">
        <f>Q20-R20</f>
        <v/>
      </c>
      <c r="T20" s="71">
        <f>R20/Q20</f>
        <v/>
      </c>
      <c r="U20" s="484" t="n">
        <v>41800</v>
      </c>
      <c r="V20" s="484" t="n">
        <v>39000</v>
      </c>
      <c r="W20" s="339" t="inlineStr">
        <is>
          <t>계단식</t>
        </is>
      </c>
      <c r="X20" s="339" t="n">
        <v>3</v>
      </c>
      <c r="Y20" s="339" t="n">
        <v>2</v>
      </c>
      <c r="Z20" s="339" t="n">
        <v>123</v>
      </c>
      <c r="AA20" s="69" t="n"/>
      <c r="AB20" s="37" t="n"/>
      <c r="AC20" s="37">
        <f>L20</f>
        <v/>
      </c>
      <c r="AD20" s="479" t="n"/>
      <c r="AE20" s="479" t="n"/>
      <c r="AF20" s="38">
        <f>AE20/AD20</f>
        <v/>
      </c>
      <c r="AG20" s="39">
        <f>AD20-AE20</f>
        <v/>
      </c>
      <c r="AH20" s="339" t="n">
        <v>2026.04</v>
      </c>
      <c r="AI20" s="339" t="n">
        <v>37000</v>
      </c>
      <c r="AJ20" s="339">
        <f>AI20-AD20</f>
        <v/>
      </c>
      <c r="AK20" s="129">
        <f>(AI20-AD20)/AD20</f>
        <v/>
      </c>
      <c r="AL20" s="29">
        <f>AJ20/AG20</f>
        <v/>
      </c>
      <c r="AM20" s="357" t="n"/>
      <c r="AN20" s="1" t="n"/>
      <c r="AO20" s="339" t="n"/>
      <c r="AP20" s="339" t="n"/>
      <c r="AQ20" s="339" t="n"/>
      <c r="AR20" s="339" t="n"/>
      <c r="AS20" s="339" t="n"/>
      <c r="AT20" s="339" t="n"/>
      <c r="AU20" s="339" t="n"/>
      <c r="AV20" s="339" t="n"/>
      <c r="AW20" s="339" t="n"/>
      <c r="AX20" s="339" t="n"/>
      <c r="AY20" s="339" t="n"/>
    </row>
    <row r="21" ht="18" customFormat="1" customHeight="1" s="132">
      <c r="A21" s="339" t="inlineStr">
        <is>
          <t>봉명동</t>
        </is>
      </c>
      <c r="B21" s="9" t="n"/>
      <c r="C21" s="10" t="n"/>
      <c r="D21" s="339" t="n">
        <v>124679</v>
      </c>
      <c r="E21" s="150" t="inlineStr">
        <is>
          <t>e편한세상봉명아너리움</t>
        </is>
      </c>
      <c r="F21" s="339" t="n">
        <v>2020.06</v>
      </c>
      <c r="G21" s="339" t="n">
        <v>459</v>
      </c>
      <c r="H21" s="339">
        <f>2026-F21+1</f>
        <v/>
      </c>
      <c r="I21" s="339" t="inlineStr">
        <is>
          <t>113</t>
        </is>
      </c>
      <c r="J21" s="339" t="n">
        <v>113</v>
      </c>
      <c r="K21" s="339" t="n">
        <v>84</v>
      </c>
      <c r="L21" s="339" t="n">
        <v>34</v>
      </c>
      <c r="M21" s="339" t="inlineStr">
        <is>
          <t>계단식</t>
        </is>
      </c>
      <c r="N21" s="339" t="n">
        <v>3</v>
      </c>
      <c r="O21" s="339" t="n">
        <v>2</v>
      </c>
      <c r="P21" s="339" t="n">
        <v>98</v>
      </c>
      <c r="Q21" s="483" t="n">
        <v>37000</v>
      </c>
      <c r="R21" s="484" t="n">
        <v>30000</v>
      </c>
      <c r="S21" s="477">
        <f>Q21-R21</f>
        <v/>
      </c>
      <c r="T21" s="71">
        <f>R21/Q21</f>
        <v/>
      </c>
      <c r="U21" s="484" t="n"/>
      <c r="V21" s="484" t="n">
        <v>34400</v>
      </c>
      <c r="W21" s="339" t="inlineStr">
        <is>
          <t>계단식</t>
        </is>
      </c>
      <c r="X21" s="339" t="n">
        <v>3</v>
      </c>
      <c r="Y21" s="339" t="n">
        <v>2</v>
      </c>
      <c r="Z21" s="339" t="n">
        <v>98</v>
      </c>
      <c r="AA21" s="69" t="n"/>
      <c r="AB21" s="37" t="n"/>
      <c r="AC21" s="37">
        <f>L21</f>
        <v/>
      </c>
      <c r="AD21" s="479" t="n"/>
      <c r="AE21" s="479" t="n"/>
      <c r="AF21" s="38">
        <f>AE21/AD21</f>
        <v/>
      </c>
      <c r="AG21" s="39">
        <f>AD21-AE21</f>
        <v/>
      </c>
      <c r="AH21" s="339" t="n">
        <v>2026.04</v>
      </c>
      <c r="AI21" s="339" t="n">
        <v>37000</v>
      </c>
      <c r="AJ21" s="339">
        <f>AI21-AD21</f>
        <v/>
      </c>
      <c r="AK21" s="129">
        <f>(AI21-AD21)/AD21</f>
        <v/>
      </c>
      <c r="AL21" s="29">
        <f>AJ21/AG21</f>
        <v/>
      </c>
      <c r="AM21" s="357" t="n"/>
      <c r="AN21" s="1" t="n"/>
      <c r="AO21" s="339" t="n"/>
      <c r="AP21" s="339" t="n"/>
      <c r="AQ21" s="339" t="n"/>
      <c r="AR21" s="339" t="n"/>
      <c r="AS21" s="339" t="n"/>
      <c r="AT21" s="339" t="n"/>
      <c r="AU21" s="339" t="n"/>
      <c r="AV21" s="339" t="inlineStr">
        <is>
          <t>&gt;&gt;&gt; 인사이트 (가격을 통해 찾은 내용)</t>
        </is>
      </c>
      <c r="AW21" s="339" t="n"/>
      <c r="AX21" s="339" t="n"/>
      <c r="AY21" s="339" t="n"/>
    </row>
    <row r="22" ht="18" customFormat="1" customHeight="1" s="132">
      <c r="A22" s="339" t="inlineStr">
        <is>
          <t>신부동</t>
        </is>
      </c>
      <c r="B22" s="9" t="n"/>
      <c r="C22" s="10" t="n"/>
      <c r="D22" s="339" t="n">
        <v>109735</v>
      </c>
      <c r="E22" s="150" t="inlineStr">
        <is>
          <t>신부디이스트</t>
        </is>
      </c>
      <c r="F22" s="339" t="n">
        <v>2018.05</v>
      </c>
      <c r="G22" s="339" t="n">
        <v>2144</v>
      </c>
      <c r="H22" s="339">
        <f>2026-F22+1</f>
        <v/>
      </c>
      <c r="I22" s="339" t="inlineStr">
        <is>
          <t>113A, 114B</t>
        </is>
      </c>
      <c r="J22" s="339" t="n">
        <v>113</v>
      </c>
      <c r="K22" s="339" t="n">
        <v>84</v>
      </c>
      <c r="L22" s="339" t="n">
        <v>34</v>
      </c>
      <c r="M22" s="339" t="inlineStr">
        <is>
          <t>계단식</t>
        </is>
      </c>
      <c r="N22" s="339" t="n">
        <v>3</v>
      </c>
      <c r="O22" s="339" t="n">
        <v>2</v>
      </c>
      <c r="P22" s="339" t="n">
        <v>448</v>
      </c>
      <c r="Q22" s="485" t="n">
        <v>37000</v>
      </c>
      <c r="R22" s="486" t="n">
        <v>32000</v>
      </c>
      <c r="S22" s="477">
        <f>Q22-R22</f>
        <v/>
      </c>
      <c r="T22" s="71">
        <f>R22/Q22</f>
        <v/>
      </c>
      <c r="U22" s="484" t="n">
        <v>56800</v>
      </c>
      <c r="V22" s="484" t="n">
        <v>37500</v>
      </c>
      <c r="W22" s="339" t="inlineStr">
        <is>
          <t>계단식</t>
        </is>
      </c>
      <c r="X22" s="339" t="n">
        <v>3</v>
      </c>
      <c r="Y22" s="339" t="n">
        <v>2</v>
      </c>
      <c r="Z22" s="339" t="n">
        <v>448</v>
      </c>
      <c r="AA22" s="69" t="n">
        <v>2020.01</v>
      </c>
      <c r="AB22" s="37" t="n">
        <v>0.01</v>
      </c>
      <c r="AC22" s="37">
        <f>L22</f>
        <v/>
      </c>
      <c r="AD22" s="479" t="n">
        <v>33525</v>
      </c>
      <c r="AE22" s="479" t="n">
        <v>27167</v>
      </c>
      <c r="AF22" s="38">
        <f>AE22/AD22</f>
        <v/>
      </c>
      <c r="AG22" s="39">
        <f>AD22-AE22</f>
        <v/>
      </c>
      <c r="AH22" s="339" t="n">
        <v>2026.04</v>
      </c>
      <c r="AI22" s="339" t="n">
        <v>37000</v>
      </c>
      <c r="AJ22" s="339">
        <f>AI22-AD22</f>
        <v/>
      </c>
      <c r="AK22" s="129">
        <f>(AI22-AD22)/AD22</f>
        <v/>
      </c>
      <c r="AL22" s="29">
        <f>AJ22/AG22</f>
        <v/>
      </c>
      <c r="AM22" s="357" t="n"/>
      <c r="AN22" s="1" t="n"/>
      <c r="AO22" s="339" t="n"/>
      <c r="AP22" s="339" t="n"/>
      <c r="AQ22" s="339" t="n"/>
      <c r="AR22" s="339" t="n"/>
      <c r="AS22" s="339" t="n"/>
      <c r="AT22" s="339" t="n"/>
      <c r="AU22" s="339" t="n"/>
      <c r="AW22" s="339" t="n"/>
      <c r="AX22" s="339" t="n"/>
      <c r="AY22" s="339" t="n"/>
    </row>
    <row r="23" ht="18" customFormat="1" customHeight="1" s="132">
      <c r="A23" s="132" t="inlineStr">
        <is>
          <t>청당동</t>
        </is>
      </c>
      <c r="B23" s="88" t="n"/>
      <c r="C23" s="89" t="n"/>
      <c r="D23" s="132" t="n">
        <v>129755</v>
      </c>
      <c r="E23" s="135" t="inlineStr">
        <is>
          <t>청당서희스타힐스</t>
        </is>
      </c>
      <c r="F23" s="132" t="n">
        <v>2022.12</v>
      </c>
      <c r="G23" s="132" t="n">
        <v>741</v>
      </c>
      <c r="H23" s="132">
        <f>2026-F23+1</f>
        <v/>
      </c>
      <c r="I23" s="132" t="inlineStr">
        <is>
          <t>111</t>
        </is>
      </c>
      <c r="J23" s="132" t="n">
        <v>111</v>
      </c>
      <c r="K23" s="132" t="n">
        <v>84</v>
      </c>
      <c r="L23" s="132" t="n">
        <v>34</v>
      </c>
      <c r="M23" s="132" t="inlineStr">
        <is>
          <t>계단식</t>
        </is>
      </c>
      <c r="N23" s="132" t="n">
        <v>3</v>
      </c>
      <c r="O23" s="132" t="n">
        <v>2</v>
      </c>
      <c r="P23" s="132" t="n">
        <v>227</v>
      </c>
      <c r="Q23" s="96" t="n">
        <v>37000</v>
      </c>
      <c r="R23" s="96" t="n">
        <v>32000</v>
      </c>
      <c r="S23" s="477">
        <f>Q23-R23</f>
        <v/>
      </c>
      <c r="T23" s="71">
        <f>R23/Q23</f>
        <v/>
      </c>
      <c r="U23" s="96" t="n">
        <v>33020</v>
      </c>
      <c r="V23" s="96" t="n">
        <v>32500</v>
      </c>
      <c r="W23" s="339" t="inlineStr">
        <is>
          <t>계단식</t>
        </is>
      </c>
      <c r="X23" s="339" t="n">
        <v>3</v>
      </c>
      <c r="Y23" s="339" t="n">
        <v>2</v>
      </c>
      <c r="Z23" s="339" t="n">
        <v>227</v>
      </c>
      <c r="AA23" s="98" t="n"/>
      <c r="AB23" s="99" t="n"/>
      <c r="AC23" s="99">
        <f>L23</f>
        <v/>
      </c>
      <c r="AD23" s="99" t="n"/>
      <c r="AE23" s="99" t="n"/>
      <c r="AF23" s="99">
        <f>AE23/AD23</f>
        <v/>
      </c>
      <c r="AG23" s="100">
        <f>AD23-AE23</f>
        <v/>
      </c>
      <c r="AH23" s="339" t="n">
        <v>2026.04</v>
      </c>
      <c r="AI23" s="339" t="n">
        <v>37000</v>
      </c>
      <c r="AJ23" s="339">
        <f>AI23-AD23</f>
        <v/>
      </c>
      <c r="AK23" s="129">
        <f>(AI23-AD23)/AD23</f>
        <v/>
      </c>
      <c r="AL23" s="101">
        <f>AJ23/AG23</f>
        <v/>
      </c>
      <c r="AM23" s="133" t="n"/>
      <c r="AN23" s="133" t="n"/>
      <c r="AO23" s="339" t="n"/>
      <c r="AP23" s="339" t="n"/>
      <c r="AQ23" s="339" t="n"/>
      <c r="AR23" s="339" t="n"/>
      <c r="AS23" s="339" t="n"/>
      <c r="AT23" s="339" t="n"/>
      <c r="AU23" s="339" t="n"/>
      <c r="AV23" s="133" t="n"/>
      <c r="AW23" s="339" t="n"/>
      <c r="AX23" s="339" t="n"/>
      <c r="AY23" s="339" t="n"/>
    </row>
    <row r="24" ht="18" customHeight="1" s="139">
      <c r="A24" s="132" t="inlineStr">
        <is>
          <t>청당동</t>
        </is>
      </c>
      <c r="B24" s="88" t="n"/>
      <c r="C24" s="89" t="n"/>
      <c r="D24" s="132" t="n">
        <v>134767</v>
      </c>
      <c r="E24" s="135" t="inlineStr">
        <is>
          <t>행정타운센트럴두산위브</t>
        </is>
      </c>
      <c r="F24" s="132" t="n">
        <v>2023.02</v>
      </c>
      <c r="G24" s="132" t="n">
        <v>655</v>
      </c>
      <c r="H24" s="132">
        <f>2026-F24+1</f>
        <v/>
      </c>
      <c r="I24" s="132" t="inlineStr">
        <is>
          <t>98A, 98B</t>
        </is>
      </c>
      <c r="J24" s="132" t="n">
        <v>98</v>
      </c>
      <c r="K24" s="132" t="n">
        <v>74</v>
      </c>
      <c r="L24" s="132" t="n">
        <v>30</v>
      </c>
      <c r="M24" s="132" t="inlineStr">
        <is>
          <t>계단식</t>
        </is>
      </c>
      <c r="N24" s="132" t="n">
        <v>3</v>
      </c>
      <c r="O24" s="132" t="n">
        <v>2</v>
      </c>
      <c r="P24" s="132" t="n">
        <v>256</v>
      </c>
      <c r="Q24" s="96" t="n">
        <v>37000</v>
      </c>
      <c r="R24" s="96" t="n">
        <v>25000</v>
      </c>
      <c r="S24" s="477">
        <f>Q24-R24</f>
        <v/>
      </c>
      <c r="T24" s="71">
        <f>R24/Q24</f>
        <v/>
      </c>
      <c r="U24" s="96" t="n"/>
      <c r="V24" s="96" t="n">
        <v>30300</v>
      </c>
      <c r="W24" s="339" t="inlineStr">
        <is>
          <t>계단식</t>
        </is>
      </c>
      <c r="X24" s="339" t="n">
        <v>3</v>
      </c>
      <c r="Y24" s="339" t="n">
        <v>2</v>
      </c>
      <c r="Z24" s="339" t="n">
        <v>256</v>
      </c>
      <c r="AA24" s="98" t="n"/>
      <c r="AB24" s="99" t="n"/>
      <c r="AC24" s="99">
        <f>L24</f>
        <v/>
      </c>
      <c r="AD24" s="99" t="n"/>
      <c r="AE24" s="99" t="n"/>
      <c r="AF24" s="99">
        <f>AE24/AD24</f>
        <v/>
      </c>
      <c r="AG24" s="100">
        <f>AD24-AE24</f>
        <v/>
      </c>
      <c r="AH24" s="339" t="n">
        <v>2026.04</v>
      </c>
      <c r="AI24" s="339" t="n">
        <v>37000</v>
      </c>
      <c r="AJ24" s="339">
        <f>AI24-AD24</f>
        <v/>
      </c>
      <c r="AK24" s="129">
        <f>(AI24-AD24)/AD24</f>
        <v/>
      </c>
      <c r="AL24" s="101">
        <f>AJ24/AG24</f>
        <v/>
      </c>
      <c r="AM24" s="133" t="n"/>
      <c r="AN24" s="133" t="n"/>
      <c r="AV24" s="133" t="n"/>
    </row>
    <row r="25" ht="18" customHeight="1" s="139">
      <c r="A25" s="132" t="inlineStr">
        <is>
          <t>청당동</t>
        </is>
      </c>
      <c r="B25" s="88" t="n"/>
      <c r="C25" s="89" t="n"/>
      <c r="D25" s="132" t="n">
        <v>107332</v>
      </c>
      <c r="E25" s="135" t="inlineStr">
        <is>
          <t>청수포레나</t>
        </is>
      </c>
      <c r="F25" s="132" t="n">
        <v>2015.07</v>
      </c>
      <c r="G25" s="132" t="n">
        <v>468</v>
      </c>
      <c r="H25" s="132">
        <f>2026-F25+1</f>
        <v/>
      </c>
      <c r="I25" s="132" t="inlineStr">
        <is>
          <t>112B, 113A, 113C</t>
        </is>
      </c>
      <c r="J25" s="132" t="n">
        <v>112</v>
      </c>
      <c r="K25" s="132" t="n">
        <v>86</v>
      </c>
      <c r="L25" s="132" t="n">
        <v>34</v>
      </c>
      <c r="M25" s="132" t="inlineStr">
        <is>
          <t>계단식</t>
        </is>
      </c>
      <c r="N25" s="132" t="n">
        <v>3</v>
      </c>
      <c r="O25" s="132" t="n">
        <v>2</v>
      </c>
      <c r="P25" s="132" t="n">
        <v>416</v>
      </c>
      <c r="Q25" s="96" t="n">
        <v>36000</v>
      </c>
      <c r="R25" s="96" t="n">
        <v>25000</v>
      </c>
      <c r="S25" s="477">
        <f>Q25-R25</f>
        <v/>
      </c>
      <c r="T25" s="71">
        <f>R25/Q25</f>
        <v/>
      </c>
      <c r="U25" s="96" t="n">
        <v>52500</v>
      </c>
      <c r="V25" s="96" t="n">
        <v>33000</v>
      </c>
      <c r="W25" s="339" t="inlineStr">
        <is>
          <t>계단식</t>
        </is>
      </c>
      <c r="X25" s="339" t="n">
        <v>3</v>
      </c>
      <c r="Y25" s="339" t="n">
        <v>2</v>
      </c>
      <c r="Z25" s="339" t="n">
        <v>416</v>
      </c>
      <c r="AA25" s="98" t="n">
        <v>2020.01</v>
      </c>
      <c r="AB25" s="99" t="n">
        <v>0.01</v>
      </c>
      <c r="AC25" s="99">
        <f>L25</f>
        <v/>
      </c>
      <c r="AD25" s="99" t="n">
        <v>31900</v>
      </c>
      <c r="AE25" s="99" t="n">
        <v>27000</v>
      </c>
      <c r="AF25" s="99">
        <f>AE25/AD25</f>
        <v/>
      </c>
      <c r="AG25" s="100">
        <f>AD25-AE25</f>
        <v/>
      </c>
      <c r="AH25" s="339" t="n">
        <v>2026.04</v>
      </c>
      <c r="AI25" s="339" t="n">
        <v>36000</v>
      </c>
      <c r="AJ25" s="339">
        <f>AI25-AD25</f>
        <v/>
      </c>
      <c r="AK25" s="129">
        <f>(AI25-AD25)/AD25</f>
        <v/>
      </c>
      <c r="AL25" s="101">
        <f>AJ25/AG25</f>
        <v/>
      </c>
      <c r="AM25" s="133" t="n"/>
      <c r="AN25" s="133" t="n"/>
      <c r="AO25" s="339" t="n"/>
      <c r="AP25" s="339" t="n"/>
      <c r="AQ25" s="339" t="n"/>
      <c r="AR25" s="339" t="n"/>
      <c r="AS25" s="339" t="n"/>
      <c r="AT25" s="339" t="n"/>
      <c r="AU25" s="339" t="n"/>
      <c r="AV25" s="133" t="n"/>
      <c r="AW25" s="339" t="n"/>
      <c r="AX25" s="339" t="n"/>
      <c r="AY25" s="339" t="n"/>
    </row>
    <row r="26" ht="18" customHeight="1" s="139">
      <c r="A26" s="132" t="inlineStr">
        <is>
          <t>청수동</t>
        </is>
      </c>
      <c r="B26" s="133" t="n"/>
      <c r="C26" s="133" t="n"/>
      <c r="D26" s="132" t="n">
        <v>133523</v>
      </c>
      <c r="E26" s="135" t="inlineStr">
        <is>
          <t>청수행정타운금호어울림</t>
        </is>
      </c>
      <c r="F26" s="132" t="n">
        <v>2023.01</v>
      </c>
      <c r="G26" s="132" t="n">
        <v>584</v>
      </c>
      <c r="H26" s="132">
        <f>2026-F26+1</f>
        <v/>
      </c>
      <c r="I26" s="132" t="inlineStr">
        <is>
          <t>109</t>
        </is>
      </c>
      <c r="J26" s="132" t="n">
        <v>109</v>
      </c>
      <c r="K26" s="132" t="n">
        <v>84</v>
      </c>
      <c r="L26" s="132" t="n">
        <v>33</v>
      </c>
      <c r="M26" s="132" t="inlineStr">
        <is>
          <t>계단식</t>
        </is>
      </c>
      <c r="N26" s="132" t="n">
        <v>3</v>
      </c>
      <c r="O26" s="132" t="n">
        <v>2</v>
      </c>
      <c r="P26" s="132" t="n">
        <v>102</v>
      </c>
      <c r="Q26" s="96" t="n">
        <v>36000</v>
      </c>
      <c r="R26" s="96" t="n">
        <v>23000</v>
      </c>
      <c r="S26" s="477">
        <f>Q26-R26</f>
        <v/>
      </c>
      <c r="T26" s="71">
        <f>R26/Q26</f>
        <v/>
      </c>
      <c r="U26" s="96" t="n"/>
      <c r="V26" s="96" t="n">
        <v>30790</v>
      </c>
      <c r="W26" s="339" t="inlineStr">
        <is>
          <t>계단식</t>
        </is>
      </c>
      <c r="X26" s="339" t="n">
        <v>3</v>
      </c>
      <c r="Y26" s="339" t="n">
        <v>2</v>
      </c>
      <c r="Z26" s="339" t="n">
        <v>102</v>
      </c>
      <c r="AA26" s="98" t="n"/>
      <c r="AB26" s="99" t="n"/>
      <c r="AC26" s="99">
        <f>L26</f>
        <v/>
      </c>
      <c r="AD26" s="99" t="n"/>
      <c r="AE26" s="99" t="n"/>
      <c r="AF26" s="99">
        <f>AE26/AD26</f>
        <v/>
      </c>
      <c r="AG26" s="100">
        <f>AD26-AE26</f>
        <v/>
      </c>
      <c r="AH26" s="339" t="n">
        <v>2026.04</v>
      </c>
      <c r="AI26" s="339" t="n">
        <v>36000</v>
      </c>
      <c r="AJ26" s="339">
        <f>AI26-AD26</f>
        <v/>
      </c>
      <c r="AK26" s="129">
        <f>(AI26-AD26)/AD26</f>
        <v/>
      </c>
      <c r="AL26" s="101">
        <f>AJ26/AG26</f>
        <v/>
      </c>
      <c r="AM26" s="133" t="n"/>
      <c r="AN26" s="133" t="n"/>
      <c r="AO26" s="339" t="n"/>
      <c r="AP26" s="339" t="n"/>
      <c r="AQ26" s="339" t="n"/>
      <c r="AR26" s="339" t="n"/>
      <c r="AS26" s="339" t="n"/>
      <c r="AT26" s="339" t="n"/>
      <c r="AU26" s="339" t="n"/>
      <c r="AV26" s="133" t="n"/>
      <c r="AW26" s="339" t="n"/>
      <c r="AX26" s="339" t="n"/>
      <c r="AY26" s="339" t="n"/>
    </row>
    <row r="27" ht="18" customHeight="1" s="139">
      <c r="A27" s="132" t="inlineStr">
        <is>
          <t>봉명동</t>
        </is>
      </c>
      <c r="B27" s="133" t="n"/>
      <c r="C27" s="133" t="n"/>
      <c r="D27" s="132" t="n">
        <v>113728</v>
      </c>
      <c r="E27" s="135" t="inlineStr">
        <is>
          <t>봉서산아이파크</t>
        </is>
      </c>
      <c r="F27" s="132" t="n">
        <v>2018.1</v>
      </c>
      <c r="G27" s="132" t="n">
        <v>665</v>
      </c>
      <c r="H27" s="132">
        <f>2026-F27+1</f>
        <v/>
      </c>
      <c r="I27" s="132" t="inlineStr">
        <is>
          <t>114A, 114B, 115C</t>
        </is>
      </c>
      <c r="J27" s="132" t="n">
        <v>114</v>
      </c>
      <c r="K27" s="132" t="n">
        <v>84</v>
      </c>
      <c r="L27" s="132" t="n">
        <v>34</v>
      </c>
      <c r="M27" s="132" t="inlineStr">
        <is>
          <t>계단식</t>
        </is>
      </c>
      <c r="N27" s="132" t="n">
        <v>3</v>
      </c>
      <c r="O27" s="132" t="n">
        <v>2</v>
      </c>
      <c r="P27" s="132" t="n">
        <v>431</v>
      </c>
      <c r="Q27" s="480" t="n">
        <v>35000</v>
      </c>
      <c r="R27" s="481" t="n">
        <v>32000</v>
      </c>
      <c r="S27" s="477">
        <f>Q27-R27</f>
        <v/>
      </c>
      <c r="T27" s="71">
        <f>R27/Q27</f>
        <v/>
      </c>
      <c r="U27" s="481" t="n">
        <v>46800</v>
      </c>
      <c r="V27" s="481" t="n">
        <v>36000</v>
      </c>
      <c r="W27" s="339" t="inlineStr">
        <is>
          <t>계단식</t>
        </is>
      </c>
      <c r="X27" s="339" t="n">
        <v>3</v>
      </c>
      <c r="Y27" s="339" t="n">
        <v>2</v>
      </c>
      <c r="Z27" s="339" t="n">
        <v>431</v>
      </c>
      <c r="AA27" s="98" t="n"/>
      <c r="AB27" s="99" t="n"/>
      <c r="AC27" s="77">
        <f>L27</f>
        <v/>
      </c>
      <c r="AD27" s="482" t="n"/>
      <c r="AE27" s="482" t="n"/>
      <c r="AF27" s="78">
        <f>AE27/AD27</f>
        <v/>
      </c>
      <c r="AG27" s="79">
        <f>AD27-AE27</f>
        <v/>
      </c>
      <c r="AH27" s="339" t="n">
        <v>2026.04</v>
      </c>
      <c r="AI27" s="339" t="n">
        <v>35000</v>
      </c>
      <c r="AJ27" s="339">
        <f>AI27-AD27</f>
        <v/>
      </c>
      <c r="AK27" s="129">
        <f>(AI27-AD27)/AD27</f>
        <v/>
      </c>
      <c r="AL27" s="80">
        <f>AJ27/AG27</f>
        <v/>
      </c>
      <c r="AM27" s="141" t="n"/>
      <c r="AN27" s="133" t="n"/>
      <c r="AO27" s="339" t="n"/>
      <c r="AP27" s="339" t="n"/>
      <c r="AQ27" s="339" t="n"/>
      <c r="AR27" s="339" t="n"/>
      <c r="AS27" s="339" t="n"/>
      <c r="AT27" s="339" t="n"/>
      <c r="AU27" s="339" t="n"/>
      <c r="AV27" s="133" t="n"/>
      <c r="AW27" s="339" t="n"/>
      <c r="AX27" s="339" t="n"/>
      <c r="AY27" s="339" t="n"/>
    </row>
    <row r="28" ht="18" customHeight="1" s="139">
      <c r="A28" s="339" t="inlineStr">
        <is>
          <t>신방동</t>
        </is>
      </c>
      <c r="D28" s="339" t="n">
        <v>135648</v>
      </c>
      <c r="E28" s="150" t="inlineStr">
        <is>
          <t>천안신방삼부르네상스</t>
        </is>
      </c>
      <c r="F28" s="339" t="n">
        <v>2023.05</v>
      </c>
      <c r="G28" s="339" t="n">
        <v>830</v>
      </c>
      <c r="H28" s="339">
        <f>2026-F28+1</f>
        <v/>
      </c>
      <c r="I28" s="339" t="inlineStr">
        <is>
          <t>111A</t>
        </is>
      </c>
      <c r="J28" s="339" t="n">
        <v>111</v>
      </c>
      <c r="K28" s="339" t="n">
        <v>84</v>
      </c>
      <c r="L28" s="339" t="n">
        <v>34</v>
      </c>
      <c r="M28" s="339" t="inlineStr">
        <is>
          <t>계단식</t>
        </is>
      </c>
      <c r="N28" s="339" t="n">
        <v>3</v>
      </c>
      <c r="O28" s="339" t="n">
        <v>2</v>
      </c>
      <c r="P28" s="339" t="n">
        <v>94</v>
      </c>
      <c r="Q28" s="483" t="n">
        <v>35000</v>
      </c>
      <c r="R28" s="484" t="n">
        <v>30000</v>
      </c>
      <c r="S28" s="477">
        <f>Q28-R28</f>
        <v/>
      </c>
      <c r="T28" s="71">
        <f>R28/Q28</f>
        <v/>
      </c>
      <c r="U28" s="484" t="n"/>
      <c r="V28" s="484" t="n">
        <v>32230</v>
      </c>
      <c r="W28" s="339" t="inlineStr">
        <is>
          <t>계단식</t>
        </is>
      </c>
      <c r="X28" s="339" t="n">
        <v>3</v>
      </c>
      <c r="Y28" s="339" t="n">
        <v>2</v>
      </c>
      <c r="Z28" s="339" t="n">
        <v>94</v>
      </c>
      <c r="AA28" s="69" t="n"/>
      <c r="AB28" s="37" t="n"/>
      <c r="AC28" s="37">
        <f>L28</f>
        <v/>
      </c>
      <c r="AD28" s="479" t="n"/>
      <c r="AE28" s="479" t="n"/>
      <c r="AF28" s="38">
        <f>AE28/AD28</f>
        <v/>
      </c>
      <c r="AG28" s="39">
        <f>AD28-AE28</f>
        <v/>
      </c>
      <c r="AH28" s="339" t="n">
        <v>2026.04</v>
      </c>
      <c r="AI28" s="339" t="n">
        <v>35000</v>
      </c>
      <c r="AJ28" s="339">
        <f>AI28-AD28</f>
        <v/>
      </c>
      <c r="AK28" s="129">
        <f>(AI28-AD28)/AD28</f>
        <v/>
      </c>
      <c r="AL28" s="29">
        <f>AJ28/AG28</f>
        <v/>
      </c>
      <c r="AM28" s="357" t="n"/>
    </row>
    <row r="29" ht="18" customHeight="1" s="139">
      <c r="A29" s="339" t="inlineStr">
        <is>
          <t>청당동</t>
        </is>
      </c>
      <c r="D29" s="339" t="n">
        <v>116435</v>
      </c>
      <c r="E29" s="150" t="inlineStr">
        <is>
          <t>청당코오롱하늘채</t>
        </is>
      </c>
      <c r="F29" s="339" t="n">
        <v>2019.12</v>
      </c>
      <c r="G29" s="339" t="n">
        <v>1534</v>
      </c>
      <c r="H29" s="339">
        <f>2026-F29+1</f>
        <v/>
      </c>
      <c r="I29" s="339" t="inlineStr">
        <is>
          <t>111</t>
        </is>
      </c>
      <c r="J29" s="339" t="n">
        <v>111</v>
      </c>
      <c r="K29" s="339" t="n">
        <v>84</v>
      </c>
      <c r="L29" s="339" t="n">
        <v>34</v>
      </c>
      <c r="M29" s="339" t="inlineStr">
        <is>
          <t>계단식</t>
        </is>
      </c>
      <c r="N29" s="339" t="n">
        <v>3</v>
      </c>
      <c r="O29" s="339" t="n">
        <v>2</v>
      </c>
      <c r="P29" s="339" t="n">
        <v>354</v>
      </c>
      <c r="Q29" s="104" t="n">
        <v>35000</v>
      </c>
      <c r="R29" s="104" t="n">
        <v>28000</v>
      </c>
      <c r="S29" s="477">
        <f>Q29-R29</f>
        <v/>
      </c>
      <c r="T29" s="71">
        <f>R29/Q29</f>
        <v/>
      </c>
      <c r="U29" s="104" t="n">
        <v>50200</v>
      </c>
      <c r="V29" s="104" t="n">
        <v>33800</v>
      </c>
      <c r="W29" s="339" t="inlineStr">
        <is>
          <t>계단식</t>
        </is>
      </c>
      <c r="X29" s="339" t="n">
        <v>3</v>
      </c>
      <c r="Y29" s="339" t="n">
        <v>2</v>
      </c>
      <c r="Z29" s="339" t="n">
        <v>354</v>
      </c>
      <c r="AA29" s="69" t="n">
        <v>2020.09</v>
      </c>
      <c r="AB29" s="37" t="n">
        <v>0.04</v>
      </c>
      <c r="AC29" s="37">
        <f>L29</f>
        <v/>
      </c>
      <c r="AD29" s="108" t="n">
        <v>30112</v>
      </c>
      <c r="AE29" s="108" t="n">
        <v>25857</v>
      </c>
      <c r="AF29" s="108">
        <f>AE29/AD29</f>
        <v/>
      </c>
      <c r="AG29" s="109">
        <f>AD29-AE29</f>
        <v/>
      </c>
      <c r="AH29" s="339" t="n">
        <v>2026.04</v>
      </c>
      <c r="AI29" s="339" t="n">
        <v>35000</v>
      </c>
      <c r="AJ29" s="339">
        <f>AI29-AD29</f>
        <v/>
      </c>
      <c r="AK29" s="129">
        <f>(AI29-AD29)/AD29</f>
        <v/>
      </c>
      <c r="AL29" s="29">
        <f>AJ29/AG29</f>
        <v/>
      </c>
      <c r="AM29" s="357" t="n"/>
      <c r="AO29" s="339" t="n"/>
      <c r="AP29" s="339" t="n"/>
      <c r="AQ29" s="339" t="n"/>
      <c r="AR29" s="339" t="n"/>
      <c r="AS29" s="339" t="n"/>
      <c r="AT29" s="339" t="n"/>
      <c r="AU29" s="339" t="n"/>
      <c r="AW29" s="339" t="n"/>
      <c r="AX29" s="339" t="n"/>
      <c r="AY29" s="339" t="n"/>
    </row>
    <row r="30" ht="18" customHeight="1" s="139">
      <c r="A30" s="132" t="inlineStr">
        <is>
          <t>문화동</t>
        </is>
      </c>
      <c r="B30" s="133" t="n"/>
      <c r="C30" s="133" t="n"/>
      <c r="D30" s="132" t="n">
        <v>126749</v>
      </c>
      <c r="E30" s="135" t="inlineStr">
        <is>
          <t>천안역필하우스에듀시티1단지</t>
        </is>
      </c>
      <c r="F30" s="132" t="n">
        <v>2022.04</v>
      </c>
      <c r="G30" s="132" t="n">
        <v>1532</v>
      </c>
      <c r="H30" s="132">
        <f>2026-F30+1</f>
        <v/>
      </c>
      <c r="I30" s="132" t="inlineStr">
        <is>
          <t>98A, 102C</t>
        </is>
      </c>
      <c r="J30" s="132" t="n">
        <v>98</v>
      </c>
      <c r="K30" s="132" t="n">
        <v>73</v>
      </c>
      <c r="L30" s="132" t="n">
        <v>30</v>
      </c>
      <c r="M30" s="132" t="inlineStr">
        <is>
          <t>계단식</t>
        </is>
      </c>
      <c r="N30" s="132" t="n">
        <v>3</v>
      </c>
      <c r="O30" s="132" t="n">
        <v>2</v>
      </c>
      <c r="P30" s="132" t="n">
        <v>401</v>
      </c>
      <c r="Q30" s="480" t="n">
        <v>34000</v>
      </c>
      <c r="R30" s="481" t="n">
        <v>27500</v>
      </c>
      <c r="S30" s="477">
        <f>Q30-R30</f>
        <v/>
      </c>
      <c r="T30" s="71">
        <f>R30/Q30</f>
        <v/>
      </c>
      <c r="U30" s="481" t="n">
        <v>32000</v>
      </c>
      <c r="V30" s="481" t="n">
        <v>30000</v>
      </c>
      <c r="W30" s="339" t="inlineStr">
        <is>
          <t>계단식</t>
        </is>
      </c>
      <c r="X30" s="339" t="n">
        <v>3</v>
      </c>
      <c r="Y30" s="339" t="n">
        <v>2</v>
      </c>
      <c r="Z30" s="339" t="n">
        <v>401</v>
      </c>
      <c r="AA30" s="76" t="n"/>
      <c r="AB30" s="77" t="n"/>
      <c r="AC30" s="77">
        <f>L30</f>
        <v/>
      </c>
      <c r="AD30" s="482" t="n"/>
      <c r="AE30" s="482" t="n"/>
      <c r="AF30" s="78">
        <f>AE30/AD30</f>
        <v/>
      </c>
      <c r="AG30" s="79">
        <f>AD30-AE30</f>
        <v/>
      </c>
      <c r="AH30" s="339" t="n">
        <v>2026.04</v>
      </c>
      <c r="AI30" s="339" t="n">
        <v>34000</v>
      </c>
      <c r="AJ30" s="339">
        <f>AI30-AD30</f>
        <v/>
      </c>
      <c r="AK30" s="129">
        <f>(AI30-AD30)/AD30</f>
        <v/>
      </c>
      <c r="AL30" s="80">
        <f>AJ30/AG30</f>
        <v/>
      </c>
      <c r="AM30" s="141" t="n"/>
      <c r="AN30" s="81" t="n"/>
      <c r="AO30" s="339" t="n"/>
      <c r="AP30" s="339" t="n"/>
      <c r="AQ30" s="339" t="n"/>
      <c r="AR30" s="339" t="n"/>
      <c r="AS30" s="339" t="n"/>
      <c r="AT30" s="339" t="n"/>
      <c r="AU30" s="339" t="n"/>
      <c r="AV30" s="132" t="n"/>
      <c r="AW30" s="339" t="n"/>
      <c r="AX30" s="339" t="n"/>
      <c r="AY30" s="339" t="n"/>
    </row>
    <row r="31" ht="18" customFormat="1" customHeight="1" s="2">
      <c r="A31" s="132" t="inlineStr">
        <is>
          <t>봉명동</t>
        </is>
      </c>
      <c r="B31" s="133" t="n"/>
      <c r="C31" s="133" t="n"/>
      <c r="D31" s="132" t="n">
        <v>137226</v>
      </c>
      <c r="E31" s="135" t="inlineStr">
        <is>
          <t>봉명역센트럴시티</t>
        </is>
      </c>
      <c r="F31" s="132" t="n">
        <v>2025.01</v>
      </c>
      <c r="G31" s="132" t="n">
        <v>816</v>
      </c>
      <c r="H31" s="132">
        <f>2026-F31+1</f>
        <v/>
      </c>
      <c r="I31" s="132" t="inlineStr">
        <is>
          <t>101B, 101A</t>
        </is>
      </c>
      <c r="J31" s="132" t="n">
        <v>101</v>
      </c>
      <c r="K31" s="132" t="n">
        <v>74</v>
      </c>
      <c r="L31" s="132" t="n">
        <v>31</v>
      </c>
      <c r="M31" s="132" t="inlineStr">
        <is>
          <t>계단식</t>
        </is>
      </c>
      <c r="N31" s="132" t="n">
        <v>3</v>
      </c>
      <c r="O31" s="132" t="n">
        <v>2</v>
      </c>
      <c r="P31" s="132" t="n">
        <v>288</v>
      </c>
      <c r="Q31" s="480" t="n">
        <v>34000</v>
      </c>
      <c r="R31" s="481" t="n">
        <v>27000</v>
      </c>
      <c r="S31" s="477">
        <f>Q31-R31</f>
        <v/>
      </c>
      <c r="T31" s="71">
        <f>R31/Q31</f>
        <v/>
      </c>
      <c r="U31" s="481" t="n"/>
      <c r="V31" s="481" t="n"/>
      <c r="W31" s="339" t="inlineStr">
        <is>
          <t>계단식</t>
        </is>
      </c>
      <c r="X31" s="339" t="n">
        <v>3</v>
      </c>
      <c r="Y31" s="339" t="n">
        <v>2</v>
      </c>
      <c r="Z31" s="339" t="n">
        <v>288</v>
      </c>
      <c r="AA31" s="76" t="n"/>
      <c r="AB31" s="77" t="n"/>
      <c r="AC31" s="77">
        <f>L31</f>
        <v/>
      </c>
      <c r="AD31" s="482" t="n"/>
      <c r="AE31" s="482" t="n"/>
      <c r="AF31" s="78">
        <f>AE31/AD31</f>
        <v/>
      </c>
      <c r="AG31" s="79">
        <f>AD31-AE31</f>
        <v/>
      </c>
      <c r="AH31" s="339" t="n">
        <v>2026.04</v>
      </c>
      <c r="AI31" s="339" t="n">
        <v>34000</v>
      </c>
      <c r="AJ31" s="339">
        <f>AI31-AD31</f>
        <v/>
      </c>
      <c r="AK31" s="129">
        <f>(AI31-AD31)/AD31</f>
        <v/>
      </c>
      <c r="AL31" s="80">
        <f>AJ31/AG31</f>
        <v/>
      </c>
      <c r="AM31" s="141" t="n"/>
      <c r="AN31" s="133" t="n"/>
      <c r="AO31" s="339" t="n"/>
      <c r="AP31" s="339" t="n"/>
      <c r="AQ31" s="339" t="n"/>
      <c r="AR31" s="339" t="n"/>
      <c r="AS31" s="339" t="n"/>
      <c r="AT31" s="339" t="n"/>
      <c r="AU31" s="339" t="n"/>
      <c r="AV31" s="88" t="n"/>
      <c r="AW31" s="339" t="n"/>
      <c r="AX31" s="339" t="n"/>
      <c r="AY31" s="339" t="n"/>
    </row>
    <row r="32" ht="18" customFormat="1" customHeight="1" s="2">
      <c r="A32" s="339" t="inlineStr">
        <is>
          <t>신부동</t>
        </is>
      </c>
      <c r="B32" s="164" t="n"/>
      <c r="C32" s="164" t="n"/>
      <c r="D32" s="339" t="n">
        <v>109735</v>
      </c>
      <c r="E32" s="150" t="inlineStr">
        <is>
          <t>신부디이스트</t>
        </is>
      </c>
      <c r="F32" s="339" t="n">
        <v>2018.05</v>
      </c>
      <c r="G32" s="339" t="n">
        <v>2144</v>
      </c>
      <c r="H32" s="339">
        <f>2026-F32+1</f>
        <v/>
      </c>
      <c r="I32" s="339" t="inlineStr">
        <is>
          <t>100A1, 100B1, 100C</t>
        </is>
      </c>
      <c r="J32" s="339" t="n">
        <v>100</v>
      </c>
      <c r="K32" s="339" t="n">
        <v>74</v>
      </c>
      <c r="L32" s="339" t="n">
        <v>30</v>
      </c>
      <c r="M32" s="339" t="inlineStr">
        <is>
          <t>계단식</t>
        </is>
      </c>
      <c r="N32" s="339" t="n">
        <v>3</v>
      </c>
      <c r="O32" s="339" t="n">
        <v>2</v>
      </c>
      <c r="P32" s="339" t="n">
        <v>633</v>
      </c>
      <c r="Q32" s="483" t="n">
        <v>34000</v>
      </c>
      <c r="R32" s="484" t="n">
        <v>30000</v>
      </c>
      <c r="S32" s="477">
        <f>Q32-R32</f>
        <v/>
      </c>
      <c r="T32" s="71">
        <f>R32/Q32</f>
        <v/>
      </c>
      <c r="U32" s="484" t="n">
        <v>48000</v>
      </c>
      <c r="V32" s="484" t="n">
        <v>29250</v>
      </c>
      <c r="W32" s="339" t="inlineStr">
        <is>
          <t>계단식</t>
        </is>
      </c>
      <c r="X32" s="339" t="n">
        <v>3</v>
      </c>
      <c r="Y32" s="339" t="n">
        <v>2</v>
      </c>
      <c r="Z32" s="339" t="n">
        <v>633</v>
      </c>
      <c r="AA32" s="69" t="n">
        <v>2020.01</v>
      </c>
      <c r="AB32" s="37" t="n">
        <v>0.02</v>
      </c>
      <c r="AC32" s="37">
        <f>L32</f>
        <v/>
      </c>
      <c r="AD32" s="479" t="n">
        <v>27623</v>
      </c>
      <c r="AE32" s="479" t="n">
        <v>23750</v>
      </c>
      <c r="AF32" s="38">
        <f>AE32/AD32</f>
        <v/>
      </c>
      <c r="AG32" s="39">
        <f>AD32-AE32</f>
        <v/>
      </c>
      <c r="AH32" s="339" t="n">
        <v>2026.04</v>
      </c>
      <c r="AI32" s="339" t="n">
        <v>34000</v>
      </c>
      <c r="AJ32" s="339">
        <f>AI32-AD32</f>
        <v/>
      </c>
      <c r="AK32" s="129">
        <f>(AI32-AD32)/AD32</f>
        <v/>
      </c>
      <c r="AL32" s="29">
        <f>AJ32/AG32</f>
        <v/>
      </c>
      <c r="AM32" s="357" t="n"/>
      <c r="AN32" s="1" t="n"/>
      <c r="AO32" s="339" t="n"/>
      <c r="AP32" s="339" t="n"/>
      <c r="AQ32" s="339" t="n"/>
      <c r="AR32" s="339" t="n"/>
      <c r="AS32" s="339" t="n"/>
      <c r="AT32" s="339" t="n"/>
      <c r="AU32" s="339" t="n"/>
      <c r="AV32" s="112" t="n"/>
      <c r="AW32" s="339" t="n"/>
      <c r="AX32" s="339" t="n"/>
      <c r="AY32" s="339" t="n"/>
    </row>
    <row r="33" ht="18" customFormat="1" customHeight="1" s="2">
      <c r="A33" s="132" t="inlineStr">
        <is>
          <t>청당동</t>
        </is>
      </c>
      <c r="B33" s="88" t="n"/>
      <c r="C33" s="88" t="n"/>
      <c r="D33" s="132" t="n">
        <v>129755</v>
      </c>
      <c r="E33" s="135" t="inlineStr">
        <is>
          <t>청당서희스타힐스</t>
        </is>
      </c>
      <c r="F33" s="132" t="n">
        <v>2022.12</v>
      </c>
      <c r="G33" s="132" t="n">
        <v>741</v>
      </c>
      <c r="H33" s="132">
        <f>2026-F33+1</f>
        <v/>
      </c>
      <c r="I33" s="132" t="inlineStr">
        <is>
          <t>98A, 98B</t>
        </is>
      </c>
      <c r="J33" s="132" t="n">
        <v>98</v>
      </c>
      <c r="K33" s="132" t="n">
        <v>74</v>
      </c>
      <c r="L33" s="132" t="n">
        <v>30</v>
      </c>
      <c r="M33" s="132" t="inlineStr">
        <is>
          <t>계단식</t>
        </is>
      </c>
      <c r="N33" s="132" t="n">
        <v>3</v>
      </c>
      <c r="O33" s="132" t="n">
        <v>2</v>
      </c>
      <c r="P33" s="132" t="n">
        <v>389</v>
      </c>
      <c r="Q33" s="96" t="n">
        <v>34000</v>
      </c>
      <c r="R33" s="96" t="n">
        <v>27000</v>
      </c>
      <c r="S33" s="477">
        <f>Q33-R33</f>
        <v/>
      </c>
      <c r="T33" s="71">
        <f>R33/Q33</f>
        <v/>
      </c>
      <c r="U33" s="96" t="n">
        <v>35500</v>
      </c>
      <c r="V33" s="96" t="n">
        <v>27150</v>
      </c>
      <c r="W33" s="339" t="inlineStr">
        <is>
          <t>계단식</t>
        </is>
      </c>
      <c r="X33" s="339" t="n">
        <v>3</v>
      </c>
      <c r="Y33" s="339" t="n">
        <v>2</v>
      </c>
      <c r="Z33" s="339" t="n">
        <v>389</v>
      </c>
      <c r="AA33" s="98" t="n"/>
      <c r="AB33" s="99" t="n"/>
      <c r="AC33" s="99">
        <f>L33</f>
        <v/>
      </c>
      <c r="AD33" s="99" t="n"/>
      <c r="AE33" s="99" t="n"/>
      <c r="AF33" s="99">
        <f>AE33/AD33</f>
        <v/>
      </c>
      <c r="AG33" s="100">
        <f>AD33-AE33</f>
        <v/>
      </c>
      <c r="AH33" s="339" t="n">
        <v>2026.04</v>
      </c>
      <c r="AI33" s="339" t="n">
        <v>34000</v>
      </c>
      <c r="AJ33" s="339">
        <f>AI33-AD33</f>
        <v/>
      </c>
      <c r="AK33" s="129">
        <f>(AI33-AD33)/AD33</f>
        <v/>
      </c>
      <c r="AL33" s="101">
        <f>AJ33/AG33</f>
        <v/>
      </c>
      <c r="AM33" s="133" t="n"/>
      <c r="AN33" s="133" t="n"/>
      <c r="AO33" s="339" t="n"/>
      <c r="AP33" s="339" t="n"/>
      <c r="AQ33" s="339" t="n"/>
      <c r="AR33" s="339" t="n"/>
      <c r="AS33" s="339" t="n"/>
      <c r="AT33" s="339" t="n"/>
      <c r="AU33" s="339" t="n"/>
      <c r="AV33" s="88" t="n"/>
      <c r="AW33" s="339" t="n"/>
      <c r="AX33" s="339" t="n"/>
      <c r="AY33" s="339" t="n"/>
    </row>
    <row r="34" ht="18" customFormat="1" customHeight="1" s="2">
      <c r="A34" s="132" t="inlineStr">
        <is>
          <t>청당동</t>
        </is>
      </c>
      <c r="B34" s="133" t="n"/>
      <c r="C34" s="133" t="n"/>
      <c r="D34" s="132" t="n">
        <v>151758</v>
      </c>
      <c r="E34" s="135" t="inlineStr">
        <is>
          <t>천안롯데캐슬더청당</t>
        </is>
      </c>
      <c r="F34" s="132" t="n">
        <v>2025.08</v>
      </c>
      <c r="G34" s="132" t="n">
        <v>1199</v>
      </c>
      <c r="H34" s="132">
        <f>2026-F34+1</f>
        <v/>
      </c>
      <c r="I34" s="132" t="inlineStr">
        <is>
          <t>82A, 82B</t>
        </is>
      </c>
      <c r="J34" s="132" t="n">
        <v>82</v>
      </c>
      <c r="K34" s="132" t="n">
        <v>59</v>
      </c>
      <c r="L34" s="132" t="n">
        <v>25</v>
      </c>
      <c r="M34" s="132" t="inlineStr">
        <is>
          <t>계단식</t>
        </is>
      </c>
      <c r="N34" s="132" t="n">
        <v>3</v>
      </c>
      <c r="O34" s="132" t="n">
        <v>2</v>
      </c>
      <c r="P34" s="132" t="n">
        <v>145</v>
      </c>
      <c r="Q34" s="96" t="n">
        <v>34000</v>
      </c>
      <c r="R34" s="96" t="n">
        <v>23000</v>
      </c>
      <c r="S34" s="477">
        <f>Q34-R34</f>
        <v/>
      </c>
      <c r="T34" s="71">
        <f>R34/Q34</f>
        <v/>
      </c>
      <c r="U34" s="96" t="n"/>
      <c r="V34" s="96" t="n"/>
      <c r="W34" s="339" t="inlineStr">
        <is>
          <t>계단식</t>
        </is>
      </c>
      <c r="X34" s="339" t="n">
        <v>3</v>
      </c>
      <c r="Y34" s="339" t="n">
        <v>2</v>
      </c>
      <c r="Z34" s="339" t="n">
        <v>145</v>
      </c>
      <c r="AA34" s="98" t="n"/>
      <c r="AB34" s="99" t="n"/>
      <c r="AC34" s="99">
        <f>L34</f>
        <v/>
      </c>
      <c r="AD34" s="99" t="n"/>
      <c r="AE34" s="99" t="n"/>
      <c r="AF34" s="99">
        <f>AE34/AD34</f>
        <v/>
      </c>
      <c r="AG34" s="100">
        <f>AD34-AE34</f>
        <v/>
      </c>
      <c r="AH34" s="339" t="n">
        <v>2026.04</v>
      </c>
      <c r="AI34" s="339" t="n">
        <v>34000</v>
      </c>
      <c r="AJ34" s="339">
        <f>AI34-AD34</f>
        <v/>
      </c>
      <c r="AK34" s="129">
        <f>(AI34-AD34)/AD34</f>
        <v/>
      </c>
      <c r="AL34" s="101">
        <f>AJ34/AG34</f>
        <v/>
      </c>
      <c r="AM34" s="133" t="n"/>
      <c r="AN34" s="133" t="n"/>
      <c r="AO34" s="339" t="n"/>
      <c r="AP34" s="339" t="n"/>
      <c r="AQ34" s="339" t="n"/>
      <c r="AR34" s="339" t="n"/>
      <c r="AS34" s="339" t="n"/>
      <c r="AT34" s="339" t="n"/>
      <c r="AU34" s="339" t="n"/>
      <c r="AV34" s="133" t="n"/>
      <c r="AW34" s="339" t="n"/>
      <c r="AX34" s="339" t="n"/>
      <c r="AY34" s="339" t="n"/>
    </row>
    <row r="35" ht="18" customFormat="1" customHeight="1" s="2">
      <c r="A35" s="339" t="inlineStr">
        <is>
          <t>청당동</t>
        </is>
      </c>
      <c r="B35" s="164" t="n"/>
      <c r="C35" s="164" t="n"/>
      <c r="D35" s="339" t="n">
        <v>111627</v>
      </c>
      <c r="E35" s="150" t="inlineStr">
        <is>
          <t>청당한양수자인블루시티</t>
        </is>
      </c>
      <c r="F35" s="339" t="n">
        <v>2018.03</v>
      </c>
      <c r="G35" s="339" t="n">
        <v>999</v>
      </c>
      <c r="H35" s="339">
        <f>2026-F35+1</f>
        <v/>
      </c>
      <c r="I35" s="339" t="inlineStr">
        <is>
          <t>113A, 114B</t>
        </is>
      </c>
      <c r="J35" s="339" t="n">
        <v>113</v>
      </c>
      <c r="K35" s="339" t="n">
        <v>84</v>
      </c>
      <c r="L35" s="339" t="n">
        <v>34</v>
      </c>
      <c r="M35" s="339" t="inlineStr">
        <is>
          <t>계단식</t>
        </is>
      </c>
      <c r="N35" s="339" t="n">
        <v>3</v>
      </c>
      <c r="O35" s="339" t="n">
        <v>2</v>
      </c>
      <c r="P35" s="339" t="n">
        <v>622</v>
      </c>
      <c r="Q35" s="104" t="n">
        <v>33000</v>
      </c>
      <c r="R35" s="104" t="n">
        <v>28000</v>
      </c>
      <c r="S35" s="477">
        <f>Q35-R35</f>
        <v/>
      </c>
      <c r="T35" s="71">
        <f>R35/Q35</f>
        <v/>
      </c>
      <c r="U35" s="104" t="n">
        <v>50000</v>
      </c>
      <c r="V35" s="104" t="n">
        <v>29000</v>
      </c>
      <c r="W35" s="339" t="inlineStr">
        <is>
          <t>계단식</t>
        </is>
      </c>
      <c r="X35" s="339" t="n">
        <v>3</v>
      </c>
      <c r="Y35" s="339" t="n">
        <v>2</v>
      </c>
      <c r="Z35" s="339" t="n">
        <v>622</v>
      </c>
      <c r="AA35" s="69" t="n"/>
      <c r="AB35" s="37" t="n"/>
      <c r="AC35" s="37">
        <f>L35</f>
        <v/>
      </c>
      <c r="AD35" s="108" t="n"/>
      <c r="AE35" s="108" t="n"/>
      <c r="AF35" s="108">
        <f>AE35/AD35</f>
        <v/>
      </c>
      <c r="AG35" s="109">
        <f>AD35-AE35</f>
        <v/>
      </c>
      <c r="AH35" s="339" t="n">
        <v>2026.04</v>
      </c>
      <c r="AI35" s="339" t="n">
        <v>33000</v>
      </c>
      <c r="AJ35" s="339">
        <f>AI35-AD35</f>
        <v/>
      </c>
      <c r="AK35" s="129">
        <f>(AI35-AD35)/AD35</f>
        <v/>
      </c>
      <c r="AL35" s="29">
        <f>AJ35/AG35</f>
        <v/>
      </c>
      <c r="AM35" s="357" t="n"/>
      <c r="AN35" s="1" t="n"/>
      <c r="AO35" s="339" t="n"/>
      <c r="AP35" s="339" t="n"/>
      <c r="AQ35" s="339" t="n"/>
      <c r="AR35" s="339" t="n"/>
      <c r="AS35" s="339" t="n"/>
      <c r="AT35" s="339" t="n"/>
      <c r="AU35" s="339" t="n"/>
      <c r="AW35" s="339" t="n"/>
      <c r="AX35" s="339" t="n"/>
      <c r="AY35" s="339" t="n"/>
    </row>
    <row r="36" ht="18" customFormat="1" customHeight="1" s="2">
      <c r="A36" s="339" t="inlineStr">
        <is>
          <t>봉명동</t>
        </is>
      </c>
      <c r="B36" s="164" t="n"/>
      <c r="C36" s="164" t="n"/>
      <c r="D36" s="339" t="n">
        <v>124679</v>
      </c>
      <c r="E36" s="150" t="inlineStr">
        <is>
          <t>e편한세상봉명아너리움</t>
        </is>
      </c>
      <c r="F36" s="339" t="n">
        <v>2020.06</v>
      </c>
      <c r="G36" s="339" t="n">
        <v>459</v>
      </c>
      <c r="H36" s="339">
        <f>2026-F36+1</f>
        <v/>
      </c>
      <c r="I36" s="339" t="inlineStr">
        <is>
          <t>109</t>
        </is>
      </c>
      <c r="J36" s="339" t="n">
        <v>109</v>
      </c>
      <c r="K36" s="339" t="n">
        <v>79</v>
      </c>
      <c r="L36" s="339" t="n">
        <v>33</v>
      </c>
      <c r="M36" s="339" t="inlineStr">
        <is>
          <t>계단식</t>
        </is>
      </c>
      <c r="N36" s="339" t="n">
        <v>3</v>
      </c>
      <c r="O36" s="339" t="n">
        <v>2</v>
      </c>
      <c r="P36" s="339" t="n">
        <v>80</v>
      </c>
      <c r="Q36" s="483" t="n">
        <v>32500</v>
      </c>
      <c r="R36" s="484" t="n">
        <v>27000</v>
      </c>
      <c r="S36" s="477">
        <f>Q36-R36</f>
        <v/>
      </c>
      <c r="T36" s="71">
        <f>R36/Q36</f>
        <v/>
      </c>
      <c r="U36" s="484" t="n">
        <v>37500</v>
      </c>
      <c r="V36" s="484" t="n">
        <v>32000</v>
      </c>
      <c r="W36" s="339" t="inlineStr">
        <is>
          <t>계단식</t>
        </is>
      </c>
      <c r="X36" s="339" t="n">
        <v>3</v>
      </c>
      <c r="Y36" s="339" t="n">
        <v>2</v>
      </c>
      <c r="Z36" s="339" t="n">
        <v>80</v>
      </c>
      <c r="AA36" s="69" t="n">
        <v>2024.06</v>
      </c>
      <c r="AB36" s="37" t="n">
        <v>0.01</v>
      </c>
      <c r="AC36" s="37">
        <f>L36</f>
        <v/>
      </c>
      <c r="AD36" s="479" t="n">
        <v>34100</v>
      </c>
      <c r="AE36" s="479" t="n">
        <v>28000</v>
      </c>
      <c r="AF36" s="38">
        <f>AE36/AD36</f>
        <v/>
      </c>
      <c r="AG36" s="39">
        <f>AD36-AE36</f>
        <v/>
      </c>
      <c r="AH36" s="339" t="n">
        <v>2026.04</v>
      </c>
      <c r="AI36" s="339" t="n">
        <v>32500</v>
      </c>
      <c r="AJ36" s="339">
        <f>AI36-AD36</f>
        <v/>
      </c>
      <c r="AK36" s="129">
        <f>(AI36-AD36)/AD36</f>
        <v/>
      </c>
      <c r="AL36" s="29">
        <f>AJ36/AG36</f>
        <v/>
      </c>
      <c r="AM36" s="357" t="n"/>
      <c r="AN36" s="1" t="n"/>
      <c r="AO36" s="339" t="n"/>
      <c r="AP36" s="339" t="n"/>
      <c r="AQ36" s="339" t="n"/>
      <c r="AR36" s="339" t="n"/>
      <c r="AS36" s="339" t="n"/>
      <c r="AT36" s="339" t="n"/>
      <c r="AU36" s="339" t="n"/>
      <c r="AV36" s="339">
        <f t="array" ref="AV36">- 엑셀에 값 입력 후 생각정리</f>
        <v/>
      </c>
      <c r="AW36" s="339" t="n"/>
      <c r="AX36" s="339" t="n"/>
      <c r="AY36" s="339" t="n"/>
    </row>
    <row r="37" ht="18" customFormat="1" customHeight="1" s="2">
      <c r="A37" s="339" t="inlineStr">
        <is>
          <t>신부동</t>
        </is>
      </c>
      <c r="B37" s="164" t="n"/>
      <c r="C37" s="164" t="n"/>
      <c r="D37" s="339" t="n">
        <v>110256</v>
      </c>
      <c r="E37" s="150" t="inlineStr">
        <is>
          <t>힐스테이트천안신부</t>
        </is>
      </c>
      <c r="F37" s="339" t="n">
        <v>2017.08</v>
      </c>
      <c r="G37" s="339" t="n">
        <v>984</v>
      </c>
      <c r="H37" s="339">
        <f>2026-F37+1</f>
        <v/>
      </c>
      <c r="I37" s="339" t="inlineStr">
        <is>
          <t>100</t>
        </is>
      </c>
      <c r="J37" s="339" t="n">
        <v>100</v>
      </c>
      <c r="K37" s="339" t="n">
        <v>74</v>
      </c>
      <c r="L37" s="339" t="n">
        <v>30</v>
      </c>
      <c r="M37" s="339" t="inlineStr">
        <is>
          <t>계단식</t>
        </is>
      </c>
      <c r="N37" s="339" t="n">
        <v>3</v>
      </c>
      <c r="O37" s="339" t="n">
        <v>2</v>
      </c>
      <c r="P37" s="339" t="n">
        <v>337</v>
      </c>
      <c r="Q37" s="483" t="n">
        <v>32500</v>
      </c>
      <c r="R37" s="484" t="n">
        <v>26000</v>
      </c>
      <c r="S37" s="477">
        <f>Q37-R37</f>
        <v/>
      </c>
      <c r="T37" s="71">
        <f>R37/Q37</f>
        <v/>
      </c>
      <c r="U37" s="484" t="n">
        <v>44300</v>
      </c>
      <c r="V37" s="484" t="n">
        <v>30000</v>
      </c>
      <c r="W37" s="339" t="inlineStr">
        <is>
          <t>계단식</t>
        </is>
      </c>
      <c r="X37" s="339" t="n">
        <v>3</v>
      </c>
      <c r="Y37" s="339" t="n">
        <v>2</v>
      </c>
      <c r="Z37" s="339" t="n">
        <v>337</v>
      </c>
      <c r="AA37" s="69" t="n">
        <v>2020.02</v>
      </c>
      <c r="AB37" s="37" t="n">
        <v>0.01</v>
      </c>
      <c r="AC37" s="37">
        <f>L37</f>
        <v/>
      </c>
      <c r="AD37" s="479" t="n">
        <v>29512</v>
      </c>
      <c r="AE37" s="479" t="n">
        <v>23750</v>
      </c>
      <c r="AF37" s="38">
        <f>AE37/AD37</f>
        <v/>
      </c>
      <c r="AG37" s="39">
        <f>AD37-AE37</f>
        <v/>
      </c>
      <c r="AH37" s="339" t="n">
        <v>2026.04</v>
      </c>
      <c r="AI37" s="339" t="n">
        <v>32500</v>
      </c>
      <c r="AJ37" s="339">
        <f>AI37-AD37</f>
        <v/>
      </c>
      <c r="AK37" s="129">
        <f>(AI37-AD37)/AD37</f>
        <v/>
      </c>
      <c r="AL37" s="29">
        <f>AJ37/AG37</f>
        <v/>
      </c>
      <c r="AM37" s="357" t="n"/>
      <c r="AN37" s="1" t="n"/>
      <c r="AO37" s="339" t="n"/>
      <c r="AP37" s="339" t="n"/>
      <c r="AQ37" s="339" t="n"/>
      <c r="AR37" s="339" t="n"/>
      <c r="AS37" s="339" t="n"/>
      <c r="AT37" s="339" t="n"/>
      <c r="AU37" s="339" t="n"/>
      <c r="AW37" s="339" t="n"/>
      <c r="AX37" s="339" t="n"/>
      <c r="AY37" s="339" t="n"/>
    </row>
    <row r="38" ht="18" customFormat="1" customHeight="1" s="2">
      <c r="A38" s="132" t="inlineStr">
        <is>
          <t>문화동</t>
        </is>
      </c>
      <c r="B38" s="88" t="n"/>
      <c r="C38" s="88" t="n"/>
      <c r="D38" s="132" t="n">
        <v>126749</v>
      </c>
      <c r="E38" s="135" t="inlineStr">
        <is>
          <t>천안역필하우스에듀시티1단지</t>
        </is>
      </c>
      <c r="F38" s="132" t="n">
        <v>2022.04</v>
      </c>
      <c r="G38" s="132" t="n">
        <v>1532</v>
      </c>
      <c r="H38" s="132">
        <f>2026-F38+1</f>
        <v/>
      </c>
      <c r="I38" s="132" t="inlineStr">
        <is>
          <t>83A, 84B</t>
        </is>
      </c>
      <c r="J38" s="132" t="n">
        <v>83</v>
      </c>
      <c r="K38" s="132" t="n">
        <v>59</v>
      </c>
      <c r="L38" s="132" t="n">
        <v>25</v>
      </c>
      <c r="M38" s="132" t="inlineStr">
        <is>
          <t>계단식</t>
        </is>
      </c>
      <c r="N38" s="132" t="n">
        <v>3</v>
      </c>
      <c r="O38" s="132" t="n">
        <v>2</v>
      </c>
      <c r="P38" s="132" t="n">
        <v>144</v>
      </c>
      <c r="Q38" s="480" t="n">
        <v>32000</v>
      </c>
      <c r="R38" s="481" t="n">
        <v>25000</v>
      </c>
      <c r="S38" s="477">
        <f>Q38-R38</f>
        <v/>
      </c>
      <c r="T38" s="71">
        <f>R38/Q38</f>
        <v/>
      </c>
      <c r="U38" s="481" t="n"/>
      <c r="V38" s="481" t="n">
        <v>26000</v>
      </c>
      <c r="W38" s="339" t="inlineStr">
        <is>
          <t>계단식</t>
        </is>
      </c>
      <c r="X38" s="339" t="n">
        <v>3</v>
      </c>
      <c r="Y38" s="339" t="n">
        <v>2</v>
      </c>
      <c r="Z38" s="339" t="n">
        <v>144</v>
      </c>
      <c r="AA38" s="76" t="n"/>
      <c r="AB38" s="77" t="n"/>
      <c r="AC38" s="77">
        <f>L38</f>
        <v/>
      </c>
      <c r="AD38" s="482" t="n"/>
      <c r="AE38" s="482" t="n"/>
      <c r="AF38" s="78">
        <f>AE38/AD38</f>
        <v/>
      </c>
      <c r="AG38" s="79">
        <f>AD38-AE38</f>
        <v/>
      </c>
      <c r="AH38" s="339" t="n">
        <v>2026.04</v>
      </c>
      <c r="AI38" s="339" t="n">
        <v>32000</v>
      </c>
      <c r="AJ38" s="339">
        <f>AI38-AD38</f>
        <v/>
      </c>
      <c r="AK38" s="129">
        <f>(AI38-AD38)/AD38</f>
        <v/>
      </c>
      <c r="AL38" s="80">
        <f>AJ38/AG38</f>
        <v/>
      </c>
      <c r="AM38" s="141" t="n"/>
      <c r="AN38" s="81" t="n"/>
      <c r="AO38" s="339" t="n"/>
      <c r="AP38" s="339" t="n"/>
      <c r="AQ38" s="339" t="n"/>
      <c r="AR38" s="339" t="n"/>
      <c r="AS38" s="339" t="n"/>
      <c r="AT38" s="339" t="n"/>
      <c r="AU38" s="339" t="n"/>
      <c r="AV38" s="110" t="n"/>
      <c r="AW38" s="339" t="n"/>
      <c r="AX38" s="339" t="n"/>
      <c r="AY38" s="339" t="n"/>
    </row>
    <row r="39" ht="18" customFormat="1" customHeight="1" s="2">
      <c r="A39" s="339" t="inlineStr">
        <is>
          <t>신부동</t>
        </is>
      </c>
      <c r="B39" s="9" t="n"/>
      <c r="C39" s="9" t="n"/>
      <c r="D39" s="339" t="n">
        <v>152942</v>
      </c>
      <c r="E39" s="150" t="inlineStr">
        <is>
          <t>더샵신부센트라</t>
        </is>
      </c>
      <c r="F39" s="339" t="n">
        <v>2025.06</v>
      </c>
      <c r="G39" s="339" t="n">
        <v>592</v>
      </c>
      <c r="H39" s="339">
        <f>2026-F39+1</f>
        <v/>
      </c>
      <c r="I39" s="339" t="inlineStr">
        <is>
          <t>82B, 85A</t>
        </is>
      </c>
      <c r="J39" s="339" t="n">
        <v>82</v>
      </c>
      <c r="K39" s="339" t="n">
        <v>59</v>
      </c>
      <c r="L39" s="339" t="n">
        <v>25</v>
      </c>
      <c r="M39" s="339" t="inlineStr">
        <is>
          <t>계단식</t>
        </is>
      </c>
      <c r="N39" s="339" t="n">
        <v>3</v>
      </c>
      <c r="O39" s="339" t="n">
        <v>2</v>
      </c>
      <c r="P39" s="339" t="n">
        <v>102</v>
      </c>
      <c r="Q39" s="483" t="n">
        <v>32000</v>
      </c>
      <c r="R39" s="484" t="inlineStr">
        <is>
          <t>-</t>
        </is>
      </c>
      <c r="S39" s="477">
        <f>Q39-R39</f>
        <v/>
      </c>
      <c r="T39" s="71">
        <f>R39/Q39</f>
        <v/>
      </c>
      <c r="U39" s="484" t="n"/>
      <c r="V39" s="484" t="n"/>
      <c r="W39" s="339" t="inlineStr">
        <is>
          <t>계단식</t>
        </is>
      </c>
      <c r="X39" s="339" t="n">
        <v>3</v>
      </c>
      <c r="Y39" s="339" t="n">
        <v>2</v>
      </c>
      <c r="Z39" s="339" t="n">
        <v>102</v>
      </c>
      <c r="AA39" s="69" t="n"/>
      <c r="AB39" s="37" t="n"/>
      <c r="AC39" s="37">
        <f>L39</f>
        <v/>
      </c>
      <c r="AD39" s="479" t="n"/>
      <c r="AE39" s="479" t="n"/>
      <c r="AF39" s="38">
        <f>AE39/AD39</f>
        <v/>
      </c>
      <c r="AG39" s="39">
        <f>AD39-AE39</f>
        <v/>
      </c>
      <c r="AH39" s="339" t="n">
        <v>2026.04</v>
      </c>
      <c r="AI39" s="339" t="n">
        <v>32000</v>
      </c>
      <c r="AJ39" s="339">
        <f>AI39-AD39</f>
        <v/>
      </c>
      <c r="AK39" s="129">
        <f>(AI39-AD39)/AD39</f>
        <v/>
      </c>
      <c r="AL39" s="29">
        <f>AJ39/AG39</f>
        <v/>
      </c>
      <c r="AM39" s="357" t="n"/>
      <c r="AN39" s="1" t="n"/>
      <c r="AO39" s="339" t="n"/>
      <c r="AP39" s="339" t="n"/>
      <c r="AQ39" s="339" t="n"/>
      <c r="AR39" s="339" t="n"/>
      <c r="AS39" s="339" t="n"/>
      <c r="AT39" s="339" t="n"/>
      <c r="AU39" s="339" t="n"/>
      <c r="AW39" s="339" t="n"/>
      <c r="AX39" s="339" t="n"/>
      <c r="AY39" s="339" t="n"/>
    </row>
    <row r="40" ht="18" customFormat="1" customHeight="1" s="2">
      <c r="A40" s="132" t="inlineStr">
        <is>
          <t>신부동</t>
        </is>
      </c>
      <c r="B40" s="88" t="n"/>
      <c r="C40" s="88" t="n"/>
      <c r="D40" s="132" t="n">
        <v>26534</v>
      </c>
      <c r="E40" s="135" t="inlineStr">
        <is>
          <t>휴먼시아</t>
        </is>
      </c>
      <c r="F40" s="132" t="n">
        <v>2009.09</v>
      </c>
      <c r="G40" s="132" t="n">
        <v>497</v>
      </c>
      <c r="H40" s="132">
        <f>2026-F40+1</f>
        <v/>
      </c>
      <c r="I40" s="132" t="inlineStr">
        <is>
          <t>112A, 112B, 113C, 113D</t>
        </is>
      </c>
      <c r="J40" s="132" t="n">
        <v>112</v>
      </c>
      <c r="K40" s="132" t="n">
        <v>84</v>
      </c>
      <c r="L40" s="132" t="n">
        <v>34</v>
      </c>
      <c r="M40" s="132" t="inlineStr">
        <is>
          <t>계단식</t>
        </is>
      </c>
      <c r="N40" s="132" t="n">
        <v>3</v>
      </c>
      <c r="O40" s="132" t="n">
        <v>2</v>
      </c>
      <c r="P40" s="132" t="n">
        <v>351</v>
      </c>
      <c r="Q40" s="480" t="n">
        <v>32000</v>
      </c>
      <c r="R40" s="481" t="n">
        <v>28000</v>
      </c>
      <c r="S40" s="477">
        <f>Q40-R40</f>
        <v/>
      </c>
      <c r="T40" s="71">
        <f>R40/Q40</f>
        <v/>
      </c>
      <c r="U40" s="481" t="n">
        <v>42700</v>
      </c>
      <c r="V40" s="481" t="n">
        <v>30200</v>
      </c>
      <c r="W40" s="339" t="inlineStr">
        <is>
          <t>계단식</t>
        </is>
      </c>
      <c r="X40" s="339" t="n">
        <v>3</v>
      </c>
      <c r="Y40" s="339" t="n">
        <v>2</v>
      </c>
      <c r="Z40" s="339" t="n">
        <v>351</v>
      </c>
      <c r="AA40" s="98" t="n">
        <v>2021.09</v>
      </c>
      <c r="AB40" s="99" t="n">
        <v>0.01</v>
      </c>
      <c r="AC40" s="77">
        <f>L40</f>
        <v/>
      </c>
      <c r="AD40" s="482" t="n">
        <v>35275</v>
      </c>
      <c r="AE40" s="482" t="n">
        <v>30667</v>
      </c>
      <c r="AF40" s="78">
        <f>AE40/AD40</f>
        <v/>
      </c>
      <c r="AG40" s="79">
        <f>AD40-AE40</f>
        <v/>
      </c>
      <c r="AH40" s="339" t="n">
        <v>2026.04</v>
      </c>
      <c r="AI40" s="339" t="n">
        <v>32000</v>
      </c>
      <c r="AJ40" s="339">
        <f>AI40-AD40</f>
        <v/>
      </c>
      <c r="AK40" s="129">
        <f>(AI40-AD40)/AD40</f>
        <v/>
      </c>
      <c r="AL40" s="80">
        <f>AJ40/AG40</f>
        <v/>
      </c>
      <c r="AM40" s="141" t="n"/>
      <c r="AN40" s="133" t="n"/>
      <c r="AO40" s="339" t="n"/>
      <c r="AP40" s="339" t="n"/>
      <c r="AQ40" s="339" t="n"/>
      <c r="AR40" s="339" t="n"/>
      <c r="AS40" s="339" t="n"/>
      <c r="AT40" s="339" t="n"/>
      <c r="AU40" s="339" t="n"/>
      <c r="AV40" s="88" t="n"/>
      <c r="AW40" s="339" t="n"/>
      <c r="AX40" s="339" t="n"/>
      <c r="AY40" s="339" t="n"/>
    </row>
    <row r="41" ht="15.5" customFormat="1" customHeight="1" s="2">
      <c r="A41" s="132" t="inlineStr">
        <is>
          <t>용곡동</t>
        </is>
      </c>
      <c r="B41" s="133" t="n"/>
      <c r="C41" s="133" t="n"/>
      <c r="D41" s="132" t="n">
        <v>26258</v>
      </c>
      <c r="E41" s="135" t="inlineStr">
        <is>
          <t>용곡한라비발디</t>
        </is>
      </c>
      <c r="F41" s="132" t="n">
        <v>2010.06</v>
      </c>
      <c r="G41" s="132" t="n">
        <v>1163</v>
      </c>
      <c r="H41" s="132">
        <f>2026-F41+1</f>
        <v/>
      </c>
      <c r="I41" s="132" t="inlineStr">
        <is>
          <t>115B, 115A, 120</t>
        </is>
      </c>
      <c r="J41" s="132" t="n">
        <v>115</v>
      </c>
      <c r="K41" s="132" t="n">
        <v>84</v>
      </c>
      <c r="L41" s="132" t="n">
        <v>35</v>
      </c>
      <c r="M41" s="132" t="inlineStr">
        <is>
          <t>계단식</t>
        </is>
      </c>
      <c r="N41" s="132" t="n">
        <v>3</v>
      </c>
      <c r="O41" s="132" t="n">
        <v>2</v>
      </c>
      <c r="P41" s="132" t="n">
        <v>605</v>
      </c>
      <c r="Q41" s="480" t="n">
        <v>32000</v>
      </c>
      <c r="R41" s="481" t="n">
        <v>25000</v>
      </c>
      <c r="S41" s="477">
        <f>Q41-R41</f>
        <v/>
      </c>
      <c r="T41" s="71">
        <f>R41/Q41</f>
        <v/>
      </c>
      <c r="U41" s="481" t="n">
        <v>40000</v>
      </c>
      <c r="V41" s="481" t="n">
        <v>32000</v>
      </c>
      <c r="W41" s="339" t="inlineStr">
        <is>
          <t>계단식</t>
        </is>
      </c>
      <c r="X41" s="339" t="n">
        <v>3</v>
      </c>
      <c r="Y41" s="339" t="n">
        <v>2</v>
      </c>
      <c r="Z41" s="339" t="n">
        <v>605</v>
      </c>
      <c r="AA41" s="98" t="n">
        <v>2021.02</v>
      </c>
      <c r="AB41" s="99" t="n">
        <v>0.01</v>
      </c>
      <c r="AC41" s="77">
        <f>L41</f>
        <v/>
      </c>
      <c r="AD41" s="482" t="n">
        <v>31647</v>
      </c>
      <c r="AE41" s="482" t="n">
        <v>29500</v>
      </c>
      <c r="AF41" s="78">
        <f>AE41/AD41</f>
        <v/>
      </c>
      <c r="AG41" s="79">
        <f>AD41-AE41</f>
        <v/>
      </c>
      <c r="AH41" s="339" t="n">
        <v>2026.04</v>
      </c>
      <c r="AI41" s="339" t="n">
        <v>32000</v>
      </c>
      <c r="AJ41" s="339">
        <f>AI41-AD41</f>
        <v/>
      </c>
      <c r="AK41" s="129">
        <f>(AI41-AD41)/AD41</f>
        <v/>
      </c>
      <c r="AL41" s="101">
        <f>AJ41/AG41</f>
        <v/>
      </c>
      <c r="AM41" s="133" t="n"/>
      <c r="AN41" s="133" t="n"/>
      <c r="AO41" s="339" t="n"/>
      <c r="AP41" s="339" t="n"/>
      <c r="AQ41" s="339" t="n"/>
      <c r="AR41" s="339" t="n"/>
      <c r="AS41" s="339" t="n"/>
      <c r="AT41" s="339" t="n"/>
      <c r="AU41" s="339" t="n"/>
      <c r="AV41" s="133" t="n"/>
      <c r="AW41" s="339" t="n"/>
      <c r="AX41" s="339" t="n"/>
      <c r="AY41" s="339" t="n"/>
    </row>
    <row r="42" ht="15.5" customFormat="1" customHeight="1" s="2">
      <c r="A42" s="132" t="inlineStr">
        <is>
          <t>봉명동</t>
        </is>
      </c>
      <c r="B42" s="133" t="n"/>
      <c r="C42" s="133" t="n"/>
      <c r="D42" s="132" t="n">
        <v>113728</v>
      </c>
      <c r="E42" s="135" t="inlineStr">
        <is>
          <t>봉서산아이파크</t>
        </is>
      </c>
      <c r="F42" s="132" t="n">
        <v>2018.1</v>
      </c>
      <c r="G42" s="132" t="n">
        <v>665</v>
      </c>
      <c r="H42" s="132">
        <f>2026-F42+1</f>
        <v/>
      </c>
      <c r="I42" s="132" t="inlineStr">
        <is>
          <t>86</t>
        </is>
      </c>
      <c r="J42" s="132" t="n">
        <v>86</v>
      </c>
      <c r="K42" s="132" t="n">
        <v>59</v>
      </c>
      <c r="L42" s="132" t="n">
        <v>26</v>
      </c>
      <c r="M42" s="132" t="inlineStr">
        <is>
          <t>계단식</t>
        </is>
      </c>
      <c r="N42" s="132" t="n">
        <v>3</v>
      </c>
      <c r="O42" s="132" t="n">
        <v>2</v>
      </c>
      <c r="P42" s="132" t="n">
        <v>110</v>
      </c>
      <c r="Q42" s="480" t="n">
        <v>31000</v>
      </c>
      <c r="R42" s="481" t="n">
        <v>24000</v>
      </c>
      <c r="S42" s="477">
        <f>Q42-R42</f>
        <v/>
      </c>
      <c r="T42" s="71">
        <f>R42/Q42</f>
        <v/>
      </c>
      <c r="U42" s="481" t="n">
        <v>36900</v>
      </c>
      <c r="V42" s="481" t="n">
        <v>26000</v>
      </c>
      <c r="W42" s="339" t="inlineStr">
        <is>
          <t>계단식</t>
        </is>
      </c>
      <c r="X42" s="339" t="n">
        <v>3</v>
      </c>
      <c r="Y42" s="339" t="n">
        <v>2</v>
      </c>
      <c r="Z42" s="339" t="n">
        <v>110</v>
      </c>
      <c r="AA42" s="98" t="n"/>
      <c r="AB42" s="99" t="n"/>
      <c r="AC42" s="77">
        <f>L42</f>
        <v/>
      </c>
      <c r="AD42" s="482" t="n"/>
      <c r="AE42" s="482" t="n"/>
      <c r="AF42" s="78">
        <f>AE42/AD42</f>
        <v/>
      </c>
      <c r="AG42" s="79">
        <f>AD42-AE42</f>
        <v/>
      </c>
      <c r="AH42" s="339" t="n">
        <v>2026.04</v>
      </c>
      <c r="AI42" s="339" t="n">
        <v>31000</v>
      </c>
      <c r="AJ42" s="339">
        <f>AI42-AD42</f>
        <v/>
      </c>
      <c r="AK42" s="129">
        <f>(AI42-AD42)/AD42</f>
        <v/>
      </c>
      <c r="AL42" s="80">
        <f>AJ42/AG42</f>
        <v/>
      </c>
      <c r="AM42" s="141" t="n"/>
      <c r="AN42" s="133" t="n"/>
      <c r="AO42" s="339" t="n"/>
      <c r="AP42" s="339" t="n"/>
      <c r="AQ42" s="339" t="n"/>
      <c r="AR42" s="339" t="n"/>
      <c r="AS42" s="339" t="n"/>
      <c r="AT42" s="339" t="n"/>
      <c r="AU42" s="339" t="n"/>
      <c r="AV42" s="88" t="n"/>
      <c r="AW42" s="339" t="n"/>
      <c r="AX42" s="339" t="n"/>
      <c r="AY42" s="339" t="n"/>
    </row>
    <row r="43" ht="15.5" customFormat="1" customHeight="1" s="2">
      <c r="A43" s="339" t="inlineStr">
        <is>
          <t>신부동</t>
        </is>
      </c>
      <c r="B43" s="164" t="n"/>
      <c r="C43" s="164" t="n"/>
      <c r="D43" s="339" t="n">
        <v>109735</v>
      </c>
      <c r="E43" s="150" t="inlineStr">
        <is>
          <t>신부디이스트</t>
        </is>
      </c>
      <c r="F43" s="339" t="n">
        <v>2018.05</v>
      </c>
      <c r="G43" s="339" t="n">
        <v>2144</v>
      </c>
      <c r="H43" s="339">
        <f>2026-F43+1</f>
        <v/>
      </c>
      <c r="I43" s="339" t="inlineStr">
        <is>
          <t>99A, 99B</t>
        </is>
      </c>
      <c r="J43" s="339" t="n">
        <v>99</v>
      </c>
      <c r="K43" s="339" t="n">
        <v>72</v>
      </c>
      <c r="L43" s="339" t="n">
        <v>30</v>
      </c>
      <c r="M43" s="339" t="inlineStr">
        <is>
          <t>계단식</t>
        </is>
      </c>
      <c r="N43" s="339" t="n">
        <v>3</v>
      </c>
      <c r="O43" s="339" t="n">
        <v>2</v>
      </c>
      <c r="P43" s="339" t="n">
        <v>437</v>
      </c>
      <c r="Q43" s="483" t="n">
        <v>31000</v>
      </c>
      <c r="R43" s="484" t="n">
        <v>25000</v>
      </c>
      <c r="S43" s="477">
        <f>Q43-R43</f>
        <v/>
      </c>
      <c r="T43" s="71">
        <f>R43/Q43</f>
        <v/>
      </c>
      <c r="U43" s="484" t="n">
        <v>40000</v>
      </c>
      <c r="V43" s="484" t="n">
        <v>29250</v>
      </c>
      <c r="W43" s="339" t="inlineStr">
        <is>
          <t>계단식</t>
        </is>
      </c>
      <c r="X43" s="339" t="n">
        <v>3</v>
      </c>
      <c r="Y43" s="339" t="n">
        <v>2</v>
      </c>
      <c r="Z43" s="339" t="n">
        <v>437</v>
      </c>
      <c r="AA43" s="69" t="n">
        <v>2020.01</v>
      </c>
      <c r="AB43" s="37" t="n">
        <v>0.01</v>
      </c>
      <c r="AC43" s="37">
        <f>L43</f>
        <v/>
      </c>
      <c r="AD43" s="479" t="n">
        <v>26850</v>
      </c>
      <c r="AE43" s="479" t="n">
        <v>23000</v>
      </c>
      <c r="AF43" s="38">
        <f>AE43/AD43</f>
        <v/>
      </c>
      <c r="AG43" s="39">
        <f>AD43-AE43</f>
        <v/>
      </c>
      <c r="AH43" s="339" t="n">
        <v>2026.04</v>
      </c>
      <c r="AI43" s="339" t="n">
        <v>31000</v>
      </c>
      <c r="AJ43" s="339">
        <f>AI43-AD43</f>
        <v/>
      </c>
      <c r="AK43" s="129">
        <f>(AI43-AD43)/AD43</f>
        <v/>
      </c>
      <c r="AL43" s="29">
        <f>AJ43/AG43</f>
        <v/>
      </c>
      <c r="AM43" s="357" t="n"/>
      <c r="AN43" s="1" t="n"/>
      <c r="AO43" s="339" t="n"/>
      <c r="AP43" s="339" t="n"/>
      <c r="AQ43" s="339" t="n"/>
      <c r="AR43" s="339" t="n"/>
      <c r="AS43" s="339" t="n"/>
      <c r="AT43" s="339" t="n"/>
      <c r="AU43" s="339" t="n"/>
      <c r="AW43" s="339" t="n"/>
      <c r="AX43" s="339" t="n"/>
      <c r="AY43" s="339" t="n"/>
    </row>
    <row r="44" ht="15.5" customHeight="1" s="139">
      <c r="A44" s="339" t="inlineStr">
        <is>
          <t>청당동</t>
        </is>
      </c>
      <c r="B44" s="164" t="n"/>
      <c r="C44" s="164" t="n"/>
      <c r="D44" s="339" t="n">
        <v>110995</v>
      </c>
      <c r="E44" s="150" t="inlineStr">
        <is>
          <t>행정타운두산위브더파크</t>
        </is>
      </c>
      <c r="F44" s="339" t="n">
        <v>2018.05</v>
      </c>
      <c r="G44" s="339" t="n">
        <v>1105</v>
      </c>
      <c r="H44" s="339">
        <f>2026-F44+1</f>
        <v/>
      </c>
      <c r="I44" s="339" t="inlineStr">
        <is>
          <t>112A, 112C, 112B</t>
        </is>
      </c>
      <c r="J44" s="339" t="n">
        <v>112</v>
      </c>
      <c r="K44" s="339" t="n">
        <v>84</v>
      </c>
      <c r="L44" s="339" t="n">
        <v>34</v>
      </c>
      <c r="M44" s="339" t="inlineStr">
        <is>
          <t>계단식</t>
        </is>
      </c>
      <c r="N44" s="339" t="n">
        <v>3</v>
      </c>
      <c r="O44" s="339" t="n">
        <v>2</v>
      </c>
      <c r="P44" s="339" t="n">
        <v>942</v>
      </c>
      <c r="Q44" s="104" t="n">
        <v>31000</v>
      </c>
      <c r="R44" s="104" t="n">
        <v>27000</v>
      </c>
      <c r="S44" s="477">
        <f>Q44-R44</f>
        <v/>
      </c>
      <c r="T44" s="71">
        <f>R44/Q44</f>
        <v/>
      </c>
      <c r="U44" s="104" t="n">
        <v>50000</v>
      </c>
      <c r="V44" s="104" t="n">
        <v>29000</v>
      </c>
      <c r="W44" s="339" t="inlineStr">
        <is>
          <t>계단식</t>
        </is>
      </c>
      <c r="X44" s="339" t="n">
        <v>3</v>
      </c>
      <c r="Y44" s="339" t="n">
        <v>2</v>
      </c>
      <c r="Z44" s="339" t="n">
        <v>942</v>
      </c>
      <c r="AA44" s="69" t="n"/>
      <c r="AB44" s="37" t="n"/>
      <c r="AC44" s="37">
        <f>L44</f>
        <v/>
      </c>
      <c r="AD44" s="108" t="n"/>
      <c r="AE44" s="108" t="n"/>
      <c r="AF44" s="108">
        <f>AE44/AD44</f>
        <v/>
      </c>
      <c r="AG44" s="109">
        <f>AD44-AE44</f>
        <v/>
      </c>
      <c r="AH44" s="339" t="n">
        <v>2026.04</v>
      </c>
      <c r="AI44" s="339" t="n">
        <v>31000</v>
      </c>
      <c r="AJ44" s="339">
        <f>AI44-AD44</f>
        <v/>
      </c>
      <c r="AK44" s="129">
        <f>(AI44-AD44)/AD44</f>
        <v/>
      </c>
      <c r="AL44" s="29">
        <f>AJ44/AG44</f>
        <v/>
      </c>
      <c r="AM44" s="357" t="n"/>
      <c r="AV44" s="357" t="n"/>
    </row>
    <row r="45" ht="15.5" customHeight="1" s="139">
      <c r="A45" s="339" t="inlineStr">
        <is>
          <t>청당동</t>
        </is>
      </c>
      <c r="D45" s="339" t="n">
        <v>116435</v>
      </c>
      <c r="E45" s="150" t="inlineStr">
        <is>
          <t>청당코오롱하늘채</t>
        </is>
      </c>
      <c r="F45" s="339" t="n">
        <v>2019.12</v>
      </c>
      <c r="G45" s="339" t="n">
        <v>1534</v>
      </c>
      <c r="H45" s="339">
        <f>2026-F45+1</f>
        <v/>
      </c>
      <c r="I45" s="339" t="inlineStr">
        <is>
          <t>94</t>
        </is>
      </c>
      <c r="J45" s="339" t="n">
        <v>94</v>
      </c>
      <c r="K45" s="339" t="n">
        <v>71</v>
      </c>
      <c r="L45" s="339" t="n">
        <v>28</v>
      </c>
      <c r="M45" s="339" t="inlineStr">
        <is>
          <t>계단식</t>
        </is>
      </c>
      <c r="N45" s="339" t="n">
        <v>3</v>
      </c>
      <c r="O45" s="339" t="n">
        <v>2</v>
      </c>
      <c r="P45" s="339" t="n">
        <v>588</v>
      </c>
      <c r="Q45" s="104" t="n">
        <v>31000</v>
      </c>
      <c r="R45" s="104" t="n">
        <v>26000</v>
      </c>
      <c r="S45" s="477">
        <f>Q45-R45</f>
        <v/>
      </c>
      <c r="T45" s="71">
        <f>R45/Q45</f>
        <v/>
      </c>
      <c r="U45" s="104" t="n">
        <v>42800</v>
      </c>
      <c r="V45" s="104" t="n">
        <v>26000</v>
      </c>
      <c r="W45" s="339" t="inlineStr">
        <is>
          <t>계단식</t>
        </is>
      </c>
      <c r="X45" s="339" t="n">
        <v>3</v>
      </c>
      <c r="Y45" s="339" t="n">
        <v>2</v>
      </c>
      <c r="Z45" s="339" t="n">
        <v>588</v>
      </c>
      <c r="AA45" s="69" t="n">
        <v>2021.04</v>
      </c>
      <c r="AB45" s="37" t="n">
        <v>0.05</v>
      </c>
      <c r="AC45" s="37">
        <f>L45</f>
        <v/>
      </c>
      <c r="AD45" s="93" t="n">
        <v>34080</v>
      </c>
      <c r="AE45" s="93" t="n">
        <v>32167</v>
      </c>
      <c r="AF45" s="93">
        <f>AE45/AD45</f>
        <v/>
      </c>
      <c r="AG45" s="128">
        <f>AD45-AE45</f>
        <v/>
      </c>
      <c r="AH45" s="339" t="n">
        <v>2026.04</v>
      </c>
      <c r="AI45" s="339" t="n">
        <v>31000</v>
      </c>
      <c r="AJ45" s="339">
        <f>AI45-AD45</f>
        <v/>
      </c>
      <c r="AK45" s="129">
        <f>(AI45-AD45)/AD45</f>
        <v/>
      </c>
      <c r="AL45" s="29">
        <f>AJ45/AG45</f>
        <v/>
      </c>
      <c r="AM45" s="357" t="n"/>
    </row>
    <row r="46" ht="15.5" customHeight="1" s="139">
      <c r="A46" s="132" t="inlineStr">
        <is>
          <t>청수동</t>
        </is>
      </c>
      <c r="B46" s="88" t="n"/>
      <c r="C46" s="89" t="n"/>
      <c r="D46" s="132" t="n">
        <v>133523</v>
      </c>
      <c r="E46" s="135" t="inlineStr">
        <is>
          <t>청수행정타운금호어울림</t>
        </is>
      </c>
      <c r="F46" s="132" t="n">
        <v>2023.01</v>
      </c>
      <c r="G46" s="132" t="n">
        <v>584</v>
      </c>
      <c r="H46" s="132">
        <f>2026-F46+1</f>
        <v/>
      </c>
      <c r="I46" s="132" t="inlineStr">
        <is>
          <t>96</t>
        </is>
      </c>
      <c r="J46" s="132" t="n">
        <v>96</v>
      </c>
      <c r="K46" s="132" t="n">
        <v>72</v>
      </c>
      <c r="L46" s="132" t="n">
        <v>29</v>
      </c>
      <c r="M46" s="132" t="inlineStr">
        <is>
          <t>계단식</t>
        </is>
      </c>
      <c r="N46" s="132" t="n">
        <v>3</v>
      </c>
      <c r="O46" s="132" t="n">
        <v>2</v>
      </c>
      <c r="P46" s="132" t="n">
        <v>224</v>
      </c>
      <c r="Q46" s="96" t="n">
        <v>30500</v>
      </c>
      <c r="R46" s="96" t="n">
        <v>21500</v>
      </c>
      <c r="S46" s="477">
        <f>Q46-R46</f>
        <v/>
      </c>
      <c r="T46" s="71">
        <f>R46/Q46</f>
        <v/>
      </c>
      <c r="U46" s="96" t="n"/>
      <c r="V46" s="96" t="n">
        <v>27000</v>
      </c>
      <c r="W46" s="339" t="inlineStr">
        <is>
          <t>계단식</t>
        </is>
      </c>
      <c r="X46" s="339" t="n">
        <v>3</v>
      </c>
      <c r="Y46" s="339" t="n">
        <v>2</v>
      </c>
      <c r="Z46" s="339" t="n">
        <v>224</v>
      </c>
      <c r="AA46" s="98" t="n"/>
      <c r="AB46" s="99" t="n"/>
      <c r="AC46" s="99">
        <f>L46</f>
        <v/>
      </c>
      <c r="AD46" s="99" t="n"/>
      <c r="AE46" s="99" t="n"/>
      <c r="AF46" s="99">
        <f>AE46/AD46</f>
        <v/>
      </c>
      <c r="AG46" s="100">
        <f>AD46-AE46</f>
        <v/>
      </c>
      <c r="AH46" s="339" t="n">
        <v>2026.04</v>
      </c>
      <c r="AI46" s="339" t="n">
        <v>30500</v>
      </c>
      <c r="AJ46" s="339">
        <f>AI46-AD46</f>
        <v/>
      </c>
      <c r="AK46" s="129">
        <f>(AI46-AD46)/AD46</f>
        <v/>
      </c>
      <c r="AL46" s="101">
        <f>AJ46/AG46</f>
        <v/>
      </c>
      <c r="AM46" s="133" t="n"/>
      <c r="AN46" s="133" t="n"/>
      <c r="AV46" s="133" t="n"/>
    </row>
    <row r="47" ht="15.5" customHeight="1" s="139">
      <c r="A47" s="339" t="inlineStr">
        <is>
          <t>문화동</t>
        </is>
      </c>
      <c r="B47" s="357" t="n"/>
      <c r="C47" s="357" t="n"/>
      <c r="D47" s="339" t="n">
        <v>121930</v>
      </c>
      <c r="E47" s="150" t="inlineStr">
        <is>
          <t>힐스테이트천안(주상복합)</t>
        </is>
      </c>
      <c r="F47" s="339" t="n">
        <v>2021.03</v>
      </c>
      <c r="G47" s="339" t="n">
        <v>451</v>
      </c>
      <c r="H47" s="339">
        <f>2026-F47+1</f>
        <v/>
      </c>
      <c r="I47" s="339" t="inlineStr">
        <is>
          <t>86</t>
        </is>
      </c>
      <c r="J47" s="339" t="n">
        <v>86</v>
      </c>
      <c r="K47" s="339" t="n">
        <v>59</v>
      </c>
      <c r="L47" s="339" t="n">
        <v>26</v>
      </c>
      <c r="M47" s="339" t="inlineStr">
        <is>
          <t>계단식</t>
        </is>
      </c>
      <c r="N47" s="339" t="n">
        <v>3</v>
      </c>
      <c r="O47" s="339" t="n">
        <v>2</v>
      </c>
      <c r="P47" s="339" t="n">
        <v>164</v>
      </c>
      <c r="Q47" s="483" t="n">
        <v>30000</v>
      </c>
      <c r="R47" s="484" t="n">
        <v>26000</v>
      </c>
      <c r="S47" s="477">
        <f>Q47-R47</f>
        <v/>
      </c>
      <c r="T47" s="71">
        <f>R47/Q47</f>
        <v/>
      </c>
      <c r="U47" s="484" t="n">
        <v>39000</v>
      </c>
      <c r="V47" s="484" t="n">
        <v>28700</v>
      </c>
      <c r="W47" s="339" t="inlineStr">
        <is>
          <t>계단식</t>
        </is>
      </c>
      <c r="X47" s="339" t="n">
        <v>3</v>
      </c>
      <c r="Y47" s="339" t="n">
        <v>2</v>
      </c>
      <c r="Z47" s="339" t="n">
        <v>164</v>
      </c>
      <c r="AA47" s="69" t="n"/>
      <c r="AB47" s="37" t="n"/>
      <c r="AC47" s="37">
        <f>L47</f>
        <v/>
      </c>
      <c r="AD47" s="479" t="n"/>
      <c r="AE47" s="479" t="n"/>
      <c r="AF47" s="38">
        <f>AE47/AD47</f>
        <v/>
      </c>
      <c r="AG47" s="39">
        <f>AD47-AE47</f>
        <v/>
      </c>
      <c r="AH47" s="339" t="n">
        <v>2026.04</v>
      </c>
      <c r="AI47" s="339" t="n">
        <v>30000</v>
      </c>
      <c r="AJ47" s="339">
        <f>AI47-AD47</f>
        <v/>
      </c>
      <c r="AK47" s="129">
        <f>(AI47-AD47)/AD47</f>
        <v/>
      </c>
      <c r="AL47" s="29">
        <f>AJ47/AG47</f>
        <v/>
      </c>
      <c r="AM47" s="357" t="n"/>
      <c r="AO47" s="339" t="n"/>
      <c r="AP47" s="339" t="n"/>
      <c r="AQ47" s="339" t="n"/>
      <c r="AR47" s="339" t="n"/>
      <c r="AS47" s="339" t="n"/>
      <c r="AT47" s="339" t="n"/>
      <c r="AU47" s="339" t="n"/>
      <c r="AV47" s="339" t="n"/>
      <c r="AW47" s="339" t="n"/>
      <c r="AX47" s="339" t="n"/>
      <c r="AY47" s="339" t="n"/>
    </row>
    <row r="48" ht="15.5" customHeight="1" s="139">
      <c r="A48" s="132" t="inlineStr">
        <is>
          <t>봉명동</t>
        </is>
      </c>
      <c r="B48" s="133" t="n"/>
      <c r="C48" s="133" t="n"/>
      <c r="D48" s="132" t="n">
        <v>137226</v>
      </c>
      <c r="E48" s="135" t="inlineStr">
        <is>
          <t>봉명역센트럴시티</t>
        </is>
      </c>
      <c r="F48" s="132" t="n">
        <v>2025.01</v>
      </c>
      <c r="G48" s="132" t="n">
        <v>816</v>
      </c>
      <c r="H48" s="132">
        <f>2026-F48+1</f>
        <v/>
      </c>
      <c r="I48" s="132" t="inlineStr">
        <is>
          <t>88B, 88A</t>
        </is>
      </c>
      <c r="J48" s="132" t="n">
        <v>88</v>
      </c>
      <c r="K48" s="132" t="n">
        <v>64</v>
      </c>
      <c r="L48" s="132" t="n">
        <v>27</v>
      </c>
      <c r="M48" s="132" t="inlineStr">
        <is>
          <t>계단식</t>
        </is>
      </c>
      <c r="N48" s="132" t="n">
        <v>3</v>
      </c>
      <c r="O48" s="132" t="n">
        <v>2</v>
      </c>
      <c r="P48" s="132" t="n">
        <v>122</v>
      </c>
      <c r="Q48" s="480" t="n">
        <v>29000</v>
      </c>
      <c r="R48" s="481" t="n">
        <v>24000</v>
      </c>
      <c r="S48" s="477">
        <f>Q48-R48</f>
        <v/>
      </c>
      <c r="T48" s="71">
        <f>R48/Q48</f>
        <v/>
      </c>
      <c r="U48" s="481" t="n"/>
      <c r="V48" s="481" t="n"/>
      <c r="W48" s="339" t="inlineStr">
        <is>
          <t>계단식</t>
        </is>
      </c>
      <c r="X48" s="339" t="n">
        <v>3</v>
      </c>
      <c r="Y48" s="339" t="n">
        <v>2</v>
      </c>
      <c r="Z48" s="339" t="n">
        <v>122</v>
      </c>
      <c r="AA48" s="76" t="n"/>
      <c r="AB48" s="77" t="n"/>
      <c r="AC48" s="77">
        <f>L48</f>
        <v/>
      </c>
      <c r="AD48" s="482" t="n"/>
      <c r="AE48" s="482" t="n"/>
      <c r="AF48" s="78">
        <f>AE48/AD48</f>
        <v/>
      </c>
      <c r="AG48" s="79">
        <f>AD48-AE48</f>
        <v/>
      </c>
      <c r="AH48" s="339" t="n">
        <v>2026.04</v>
      </c>
      <c r="AI48" s="339" t="n">
        <v>29000</v>
      </c>
      <c r="AJ48" s="339">
        <f>AI48-AD48</f>
        <v/>
      </c>
      <c r="AK48" s="129">
        <f>(AI48-AD48)/AD48</f>
        <v/>
      </c>
      <c r="AL48" s="80">
        <f>AJ48/AG48</f>
        <v/>
      </c>
      <c r="AM48" s="141" t="n"/>
      <c r="AN48" s="133" t="n"/>
      <c r="AV48" s="132" t="inlineStr">
        <is>
          <t>&gt;&gt;&gt; 투자 적용 및 질문 등으로 파트 나눠볼 수 있음</t>
        </is>
      </c>
    </row>
    <row r="49" ht="15.5" customHeight="1" s="139">
      <c r="A49" s="339" t="inlineStr">
        <is>
          <t>청당동</t>
        </is>
      </c>
      <c r="B49" s="164" t="n"/>
      <c r="C49" s="164" t="n"/>
      <c r="D49" s="339" t="n">
        <v>26891</v>
      </c>
      <c r="E49" s="150" t="inlineStr">
        <is>
          <t>천안청수한양수자인</t>
        </is>
      </c>
      <c r="F49" s="339" t="n">
        <v>2011.01</v>
      </c>
      <c r="G49" s="339" t="n">
        <v>1020</v>
      </c>
      <c r="H49" s="339">
        <f>2026-F49+1</f>
        <v/>
      </c>
      <c r="I49" s="339" t="inlineStr">
        <is>
          <t>110A, 110B, 110C, 111D, 112E</t>
        </is>
      </c>
      <c r="J49" s="339" t="n">
        <v>110</v>
      </c>
      <c r="K49" s="339" t="n">
        <v>84</v>
      </c>
      <c r="L49" s="339" t="n">
        <v>33</v>
      </c>
      <c r="M49" s="339" t="inlineStr">
        <is>
          <t>계단식</t>
        </is>
      </c>
      <c r="N49" s="339" t="n">
        <v>3</v>
      </c>
      <c r="O49" s="339" t="n">
        <v>2</v>
      </c>
      <c r="P49" s="339" t="n">
        <v>1020</v>
      </c>
      <c r="Q49" s="104" t="n">
        <v>29000</v>
      </c>
      <c r="R49" s="104" t="n">
        <v>30000</v>
      </c>
      <c r="S49" s="477">
        <f>Q49-R49</f>
        <v/>
      </c>
      <c r="T49" s="71">
        <f>R49/Q49</f>
        <v/>
      </c>
      <c r="U49" s="104" t="n">
        <v>50000</v>
      </c>
      <c r="V49" s="104" t="n">
        <v>20000</v>
      </c>
      <c r="W49" s="339" t="inlineStr">
        <is>
          <t>계단식</t>
        </is>
      </c>
      <c r="X49" s="339" t="n">
        <v>3</v>
      </c>
      <c r="Y49" s="339" t="n">
        <v>2</v>
      </c>
      <c r="Z49" s="339" t="n">
        <v>1020</v>
      </c>
      <c r="AA49" s="69" t="n"/>
      <c r="AB49" s="37" t="n"/>
      <c r="AC49" s="37">
        <f>L49</f>
        <v/>
      </c>
      <c r="AD49" s="108" t="n"/>
      <c r="AE49" s="108" t="n"/>
      <c r="AF49" s="108">
        <f>AE49/AD49</f>
        <v/>
      </c>
      <c r="AG49" s="109">
        <f>AD49-AE49</f>
        <v/>
      </c>
      <c r="AH49" s="339" t="n">
        <v>2026.04</v>
      </c>
      <c r="AI49" s="339" t="n">
        <v>29000</v>
      </c>
      <c r="AJ49" s="339">
        <f>AI49-AD49</f>
        <v/>
      </c>
      <c r="AK49" s="129">
        <f>(AI49-AD49)/AD49</f>
        <v/>
      </c>
      <c r="AL49" s="29">
        <f>AJ49/AG49</f>
        <v/>
      </c>
      <c r="AM49" s="357" t="n"/>
    </row>
    <row r="50" ht="15.5" customHeight="1" s="139">
      <c r="A50" s="132" t="inlineStr">
        <is>
          <t>청당동</t>
        </is>
      </c>
      <c r="B50" s="88" t="n"/>
      <c r="C50" s="89" t="n"/>
      <c r="D50" s="132" t="n">
        <v>129755</v>
      </c>
      <c r="E50" s="135" t="inlineStr">
        <is>
          <t>청당서희스타힐스</t>
        </is>
      </c>
      <c r="F50" s="132" t="n">
        <v>2022.12</v>
      </c>
      <c r="G50" s="132" t="n">
        <v>741</v>
      </c>
      <c r="H50" s="132">
        <f>2026-F50+1</f>
        <v/>
      </c>
      <c r="I50" s="132" t="inlineStr">
        <is>
          <t>78A, 81B</t>
        </is>
      </c>
      <c r="J50" s="132" t="n">
        <v>78</v>
      </c>
      <c r="K50" s="132" t="n">
        <v>59</v>
      </c>
      <c r="L50" s="132" t="n">
        <v>24</v>
      </c>
      <c r="M50" s="132" t="inlineStr">
        <is>
          <t>계단식</t>
        </is>
      </c>
      <c r="N50" s="132" t="n">
        <v>3</v>
      </c>
      <c r="O50" s="132" t="n">
        <v>2</v>
      </c>
      <c r="P50" s="132" t="n">
        <v>125</v>
      </c>
      <c r="Q50" s="96" t="n">
        <v>29000</v>
      </c>
      <c r="R50" s="96" t="n">
        <v>26000</v>
      </c>
      <c r="S50" s="477">
        <f>Q50-R50</f>
        <v/>
      </c>
      <c r="T50" s="71">
        <f>R50/Q50</f>
        <v/>
      </c>
      <c r="U50" s="96" t="n">
        <v>24470</v>
      </c>
      <c r="V50" s="96" t="n">
        <v>23500</v>
      </c>
      <c r="W50" s="339" t="inlineStr">
        <is>
          <t>계단식</t>
        </is>
      </c>
      <c r="X50" s="339" t="n">
        <v>3</v>
      </c>
      <c r="Y50" s="339" t="n">
        <v>2</v>
      </c>
      <c r="Z50" s="339" t="n">
        <v>125</v>
      </c>
      <c r="AA50" s="98" t="n">
        <v>2023.09</v>
      </c>
      <c r="AB50" s="99" t="n">
        <v>0.02</v>
      </c>
      <c r="AC50" s="99">
        <f>L50</f>
        <v/>
      </c>
      <c r="AD50" s="99" t="n">
        <v>24750</v>
      </c>
      <c r="AE50" s="99" t="n">
        <v>20850</v>
      </c>
      <c r="AF50" s="99">
        <f>AE50/AD50</f>
        <v/>
      </c>
      <c r="AG50" s="100">
        <f>AD50-AE50</f>
        <v/>
      </c>
      <c r="AH50" s="339" t="n">
        <v>2026.04</v>
      </c>
      <c r="AI50" s="339" t="n">
        <v>29000</v>
      </c>
      <c r="AJ50" s="339">
        <f>AI50-AD50</f>
        <v/>
      </c>
      <c r="AK50" s="129">
        <f>(AI50-AD50)/AD50</f>
        <v/>
      </c>
      <c r="AL50" s="101">
        <f>AJ50/AG50</f>
        <v/>
      </c>
      <c r="AM50" s="133" t="n"/>
      <c r="AN50" s="133" t="n"/>
      <c r="AV50" s="133" t="n"/>
    </row>
    <row r="51" ht="15.5" customHeight="1" s="139">
      <c r="A51" s="339" t="inlineStr">
        <is>
          <t>청당동</t>
        </is>
      </c>
      <c r="D51" s="339" t="n">
        <v>110995</v>
      </c>
      <c r="E51" s="150" t="inlineStr">
        <is>
          <t>행정타운두산위브더파크</t>
        </is>
      </c>
      <c r="F51" s="339" t="n">
        <v>2018.05</v>
      </c>
      <c r="G51" s="339" t="n">
        <v>1105</v>
      </c>
      <c r="H51" s="339">
        <f>2026-F51+1</f>
        <v/>
      </c>
      <c r="I51" s="339" t="inlineStr">
        <is>
          <t>98A, 99B</t>
        </is>
      </c>
      <c r="J51" s="339" t="n">
        <v>98</v>
      </c>
      <c r="K51" s="339" t="n">
        <v>72</v>
      </c>
      <c r="L51" s="339" t="n">
        <v>30</v>
      </c>
      <c r="M51" s="339" t="inlineStr">
        <is>
          <t>계단식</t>
        </is>
      </c>
      <c r="N51" s="339" t="n">
        <v>3</v>
      </c>
      <c r="O51" s="339" t="n">
        <v>2</v>
      </c>
      <c r="P51" s="339" t="n">
        <v>163</v>
      </c>
      <c r="Q51" s="104" t="n">
        <v>29000</v>
      </c>
      <c r="R51" s="104" t="n">
        <v>22000</v>
      </c>
      <c r="S51" s="477">
        <f>Q51-R51</f>
        <v/>
      </c>
      <c r="T51" s="71">
        <f>R51/Q51</f>
        <v/>
      </c>
      <c r="U51" s="104" t="n">
        <v>38500</v>
      </c>
      <c r="V51" s="104" t="n">
        <v>29500</v>
      </c>
      <c r="W51" s="339" t="inlineStr">
        <is>
          <t>계단식</t>
        </is>
      </c>
      <c r="X51" s="339" t="n">
        <v>3</v>
      </c>
      <c r="Y51" s="339" t="n">
        <v>2</v>
      </c>
      <c r="Z51" s="339" t="n">
        <v>163</v>
      </c>
      <c r="AA51" s="69" t="n">
        <v>2019.12</v>
      </c>
      <c r="AB51" s="37" t="n">
        <v>0.01</v>
      </c>
      <c r="AC51" s="37">
        <f>L51</f>
        <v/>
      </c>
      <c r="AD51" s="108" t="n">
        <v>24968</v>
      </c>
      <c r="AE51" s="108" t="n">
        <v>20000</v>
      </c>
      <c r="AF51" s="108">
        <f>AE51/AD51</f>
        <v/>
      </c>
      <c r="AG51" s="109">
        <f>AD51-AE51</f>
        <v/>
      </c>
      <c r="AH51" s="339" t="n">
        <v>2026.04</v>
      </c>
      <c r="AI51" s="339" t="n">
        <v>29000</v>
      </c>
      <c r="AJ51" s="339">
        <f>AI51-AD51</f>
        <v/>
      </c>
      <c r="AK51" s="129">
        <f>(AI51-AD51)/AD51</f>
        <v/>
      </c>
      <c r="AL51" s="29">
        <f>AJ51/AG51</f>
        <v/>
      </c>
      <c r="AM51" s="357" t="n"/>
      <c r="AO51" s="339" t="n"/>
      <c r="AP51" s="339" t="n"/>
      <c r="AQ51" s="339" t="n"/>
      <c r="AR51" s="339" t="n"/>
      <c r="AS51" s="339" t="n"/>
      <c r="AT51" s="339" t="n"/>
      <c r="AU51" s="339" t="n"/>
      <c r="AW51" s="339" t="n"/>
      <c r="AX51" s="339" t="n"/>
      <c r="AY51" s="339" t="n"/>
    </row>
    <row r="52" ht="15.5" customHeight="1" s="139">
      <c r="A52" s="339" t="inlineStr">
        <is>
          <t>신부동</t>
        </is>
      </c>
      <c r="D52" s="339" t="n">
        <v>110256</v>
      </c>
      <c r="E52" s="150" t="inlineStr">
        <is>
          <t>힐스테이트천안신부</t>
        </is>
      </c>
      <c r="F52" s="339" t="n">
        <v>2017.08</v>
      </c>
      <c r="G52" s="339" t="n">
        <v>984</v>
      </c>
      <c r="H52" s="339">
        <f>2026-F52+1</f>
        <v/>
      </c>
      <c r="I52" s="339" t="inlineStr">
        <is>
          <t>80</t>
        </is>
      </c>
      <c r="J52" s="339" t="n">
        <v>80</v>
      </c>
      <c r="K52" s="339" t="n">
        <v>59</v>
      </c>
      <c r="L52" s="339" t="n">
        <v>24</v>
      </c>
      <c r="M52" s="339" t="inlineStr">
        <is>
          <t>계단식</t>
        </is>
      </c>
      <c r="N52" s="339" t="n">
        <v>3</v>
      </c>
      <c r="O52" s="339" t="n">
        <v>2</v>
      </c>
      <c r="P52" s="339" t="n">
        <v>385</v>
      </c>
      <c r="Q52" s="483" t="n">
        <v>28500</v>
      </c>
      <c r="R52" s="484" t="n">
        <v>24000</v>
      </c>
      <c r="S52" s="477">
        <f>Q52-R52</f>
        <v/>
      </c>
      <c r="T52" s="71">
        <f>R52/Q52</f>
        <v/>
      </c>
      <c r="U52" s="484" t="n">
        <v>38500</v>
      </c>
      <c r="V52" s="484" t="n">
        <v>25000</v>
      </c>
      <c r="W52" s="339" t="inlineStr">
        <is>
          <t>계단식</t>
        </is>
      </c>
      <c r="X52" s="339" t="n">
        <v>3</v>
      </c>
      <c r="Y52" s="339" t="n">
        <v>2</v>
      </c>
      <c r="Z52" s="339" t="n">
        <v>385</v>
      </c>
      <c r="AA52" s="69" t="n"/>
      <c r="AB52" s="37" t="n"/>
      <c r="AC52" s="37">
        <f>L52</f>
        <v/>
      </c>
      <c r="AD52" s="479" t="n"/>
      <c r="AE52" s="479" t="n"/>
      <c r="AF52" s="38">
        <f>AE52/AD52</f>
        <v/>
      </c>
      <c r="AG52" s="39">
        <f>AD52-AE52</f>
        <v/>
      </c>
      <c r="AH52" s="339" t="n">
        <v>2026.04</v>
      </c>
      <c r="AI52" s="339" t="n">
        <v>28500</v>
      </c>
      <c r="AJ52" s="339">
        <f>AI52-AD52</f>
        <v/>
      </c>
      <c r="AK52" s="129">
        <f>(AI52-AD52)/AD52</f>
        <v/>
      </c>
      <c r="AL52" s="29">
        <f>AJ52/AG52</f>
        <v/>
      </c>
      <c r="AM52" s="357" t="n"/>
      <c r="AO52" s="339" t="n"/>
      <c r="AP52" s="339" t="n"/>
      <c r="AQ52" s="339" t="n"/>
      <c r="AR52" s="339" t="n"/>
      <c r="AS52" s="339" t="n"/>
      <c r="AT52" s="339" t="n"/>
      <c r="AU52" s="339" t="n"/>
      <c r="AV52" s="357" t="n"/>
      <c r="AW52" s="339" t="n"/>
      <c r="AX52" s="339" t="n"/>
      <c r="AY52" s="339" t="n"/>
    </row>
    <row r="53" ht="15.5" customHeight="1" s="139">
      <c r="A53" s="339" t="inlineStr">
        <is>
          <t>청당동</t>
        </is>
      </c>
      <c r="B53" s="164" t="n"/>
      <c r="C53" s="164" t="n"/>
      <c r="D53" s="339" t="n">
        <v>111627</v>
      </c>
      <c r="E53" s="150" t="inlineStr">
        <is>
          <t>청당한양수자인블루시티</t>
        </is>
      </c>
      <c r="F53" s="339" t="n">
        <v>2018.03</v>
      </c>
      <c r="G53" s="339" t="n">
        <v>999</v>
      </c>
      <c r="H53" s="339">
        <f>2026-F53+1</f>
        <v/>
      </c>
      <c r="I53" s="339" t="inlineStr">
        <is>
          <t>99B, 99A</t>
        </is>
      </c>
      <c r="J53" s="339" t="n">
        <v>99</v>
      </c>
      <c r="K53" s="339" t="n">
        <v>73</v>
      </c>
      <c r="L53" s="339" t="n">
        <v>30</v>
      </c>
      <c r="M53" s="339" t="inlineStr">
        <is>
          <t>계단식</t>
        </is>
      </c>
      <c r="N53" s="339" t="n">
        <v>3</v>
      </c>
      <c r="O53" s="339" t="n">
        <v>2</v>
      </c>
      <c r="P53" s="339" t="n">
        <v>377</v>
      </c>
      <c r="Q53" s="104" t="n">
        <v>28500</v>
      </c>
      <c r="R53" s="104" t="n">
        <v>25000</v>
      </c>
      <c r="S53" s="477">
        <f>Q53-R53</f>
        <v/>
      </c>
      <c r="T53" s="71">
        <f>R53/Q53</f>
        <v/>
      </c>
      <c r="U53" s="104" t="n">
        <v>42000</v>
      </c>
      <c r="V53" s="104" t="n">
        <v>25000</v>
      </c>
      <c r="W53" s="339" t="inlineStr">
        <is>
          <t>계단식</t>
        </is>
      </c>
      <c r="X53" s="339" t="n">
        <v>3</v>
      </c>
      <c r="Y53" s="339" t="n">
        <v>2</v>
      </c>
      <c r="Z53" s="339" t="n">
        <v>377</v>
      </c>
      <c r="AA53" s="69" t="n"/>
      <c r="AB53" s="37" t="n"/>
      <c r="AC53" s="37">
        <f>L53</f>
        <v/>
      </c>
      <c r="AD53" s="108" t="n"/>
      <c r="AE53" s="108" t="n"/>
      <c r="AF53" s="108">
        <f>AE53/AD53</f>
        <v/>
      </c>
      <c r="AG53" s="109">
        <f>AD53-AE53</f>
        <v/>
      </c>
      <c r="AH53" s="339" t="n">
        <v>2026.04</v>
      </c>
      <c r="AI53" s="339" t="n">
        <v>28500</v>
      </c>
      <c r="AJ53" s="339">
        <f>AI53-AD53</f>
        <v/>
      </c>
      <c r="AK53" s="129">
        <f>(AI53-AD53)/AD53</f>
        <v/>
      </c>
      <c r="AL53" s="29">
        <f>AJ53/AG53</f>
        <v/>
      </c>
      <c r="AM53" s="357" t="n"/>
      <c r="AV53" s="357" t="n"/>
    </row>
    <row r="54" ht="15.5" customHeight="1" s="139">
      <c r="A54" s="339" t="inlineStr">
        <is>
          <t>봉명동</t>
        </is>
      </c>
      <c r="B54" s="164" t="n"/>
      <c r="C54" s="164" t="n"/>
      <c r="D54" s="339" t="n">
        <v>124679</v>
      </c>
      <c r="E54" s="150" t="inlineStr">
        <is>
          <t>e편한세상봉명아너리움</t>
        </is>
      </c>
      <c r="F54" s="339" t="n">
        <v>2020.06</v>
      </c>
      <c r="G54" s="339" t="n">
        <v>459</v>
      </c>
      <c r="H54" s="339">
        <f>2026-F54+1</f>
        <v/>
      </c>
      <c r="I54" s="339" t="inlineStr">
        <is>
          <t>84</t>
        </is>
      </c>
      <c r="J54" s="339" t="n">
        <v>84</v>
      </c>
      <c r="K54" s="339" t="n">
        <v>59</v>
      </c>
      <c r="L54" s="339" t="n">
        <v>25</v>
      </c>
      <c r="M54" s="339" t="inlineStr">
        <is>
          <t>계단식</t>
        </is>
      </c>
      <c r="N54" s="339" t="n">
        <v>3</v>
      </c>
      <c r="O54" s="339" t="n">
        <v>2</v>
      </c>
      <c r="P54" s="339" t="n">
        <v>281</v>
      </c>
      <c r="Q54" s="483" t="n">
        <v>28000</v>
      </c>
      <c r="R54" s="484" t="n">
        <v>22000</v>
      </c>
      <c r="S54" s="477">
        <f>Q54-R54</f>
        <v/>
      </c>
      <c r="T54" s="71">
        <f>R54/Q54</f>
        <v/>
      </c>
      <c r="U54" s="484" t="n">
        <v>33000</v>
      </c>
      <c r="V54" s="484" t="n">
        <v>25500</v>
      </c>
      <c r="W54" s="339" t="inlineStr">
        <is>
          <t>계단식</t>
        </is>
      </c>
      <c r="X54" s="339" t="n">
        <v>3</v>
      </c>
      <c r="Y54" s="339" t="n">
        <v>2</v>
      </c>
      <c r="Z54" s="339" t="n">
        <v>281</v>
      </c>
      <c r="AA54" s="69" t="n"/>
      <c r="AB54" s="37" t="n"/>
      <c r="AC54" s="37">
        <f>L54</f>
        <v/>
      </c>
      <c r="AD54" s="479" t="n"/>
      <c r="AE54" s="479" t="n"/>
      <c r="AF54" s="38">
        <f>AE54/AD54</f>
        <v/>
      </c>
      <c r="AG54" s="39">
        <f>AD54-AE54</f>
        <v/>
      </c>
      <c r="AH54" s="339" t="n">
        <v>2026.04</v>
      </c>
      <c r="AI54" s="339" t="n">
        <v>28000</v>
      </c>
      <c r="AJ54" s="339">
        <f>AI54-AD54</f>
        <v/>
      </c>
      <c r="AK54" s="129">
        <f>(AI54-AD54)/AD54</f>
        <v/>
      </c>
      <c r="AL54" s="29">
        <f>AJ54/AG54</f>
        <v/>
      </c>
      <c r="AM54" s="357" t="n"/>
    </row>
    <row r="55" ht="15.5" customHeight="1" s="139">
      <c r="A55" s="132" t="inlineStr">
        <is>
          <t>봉명동</t>
        </is>
      </c>
      <c r="B55" s="133" t="n"/>
      <c r="C55" s="133" t="n"/>
      <c r="D55" s="132" t="n">
        <v>137226</v>
      </c>
      <c r="E55" s="135" t="inlineStr">
        <is>
          <t>봉명역센트럴시티</t>
        </is>
      </c>
      <c r="F55" s="132" t="n">
        <v>2025.01</v>
      </c>
      <c r="G55" s="132" t="n">
        <v>816</v>
      </c>
      <c r="H55" s="132">
        <f>2026-F55+1</f>
        <v/>
      </c>
      <c r="I55" s="132" t="inlineStr">
        <is>
          <t>82</t>
        </is>
      </c>
      <c r="J55" s="132" t="n">
        <v>82</v>
      </c>
      <c r="K55" s="132" t="n">
        <v>59</v>
      </c>
      <c r="L55" s="132" t="n">
        <v>25</v>
      </c>
      <c r="M55" s="132" t="inlineStr">
        <is>
          <t>계단식</t>
        </is>
      </c>
      <c r="N55" s="132" t="n">
        <v>3</v>
      </c>
      <c r="O55" s="132" t="n">
        <v>2</v>
      </c>
      <c r="P55" s="132" t="n">
        <v>210</v>
      </c>
      <c r="Q55" s="480" t="n">
        <v>28000</v>
      </c>
      <c r="R55" s="481" t="n">
        <v>22000</v>
      </c>
      <c r="S55" s="477">
        <f>Q55-R55</f>
        <v/>
      </c>
      <c r="T55" s="71">
        <f>R55/Q55</f>
        <v/>
      </c>
      <c r="U55" s="481" t="n"/>
      <c r="V55" s="481" t="n"/>
      <c r="W55" s="339" t="inlineStr">
        <is>
          <t>계단식</t>
        </is>
      </c>
      <c r="X55" s="339" t="n">
        <v>3</v>
      </c>
      <c r="Y55" s="339" t="n">
        <v>2</v>
      </c>
      <c r="Z55" s="339" t="n">
        <v>210</v>
      </c>
      <c r="AA55" s="76" t="n"/>
      <c r="AB55" s="77" t="n"/>
      <c r="AC55" s="77">
        <f>L55</f>
        <v/>
      </c>
      <c r="AD55" s="482" t="n"/>
      <c r="AE55" s="482" t="n"/>
      <c r="AF55" s="78">
        <f>AE55/AD55</f>
        <v/>
      </c>
      <c r="AG55" s="79">
        <f>AD55-AE55</f>
        <v/>
      </c>
      <c r="AH55" s="339" t="n">
        <v>2026.04</v>
      </c>
      <c r="AI55" s="339" t="n">
        <v>28000</v>
      </c>
      <c r="AJ55" s="339">
        <f>AI55-AD55</f>
        <v/>
      </c>
      <c r="AK55" s="129">
        <f>(AI55-AD55)/AD55</f>
        <v/>
      </c>
      <c r="AL55" s="80">
        <f>AJ55/AG55</f>
        <v/>
      </c>
      <c r="AM55" s="141" t="n"/>
      <c r="AN55" s="133" t="n"/>
      <c r="AV55" s="132" t="inlineStr">
        <is>
          <t>&gt;&gt;&gt; 결론 (찾은 내용을 바탕으로 기준 및 우선순위 정리)</t>
        </is>
      </c>
    </row>
    <row r="56" ht="15.5" customHeight="1" s="139">
      <c r="A56" s="339" t="inlineStr">
        <is>
          <t>신부동</t>
        </is>
      </c>
      <c r="B56" s="164" t="n"/>
      <c r="C56" s="164" t="n"/>
      <c r="D56" s="339" t="n">
        <v>109735</v>
      </c>
      <c r="E56" s="150" t="inlineStr">
        <is>
          <t>신부디이스트</t>
        </is>
      </c>
      <c r="F56" s="339" t="n">
        <v>2018.05</v>
      </c>
      <c r="G56" s="339" t="n">
        <v>2144</v>
      </c>
      <c r="H56" s="339">
        <f>2026-F56+1</f>
        <v/>
      </c>
      <c r="I56" s="339" t="inlineStr">
        <is>
          <t>81B, 81C, 82A</t>
        </is>
      </c>
      <c r="J56" s="339" t="n">
        <v>81</v>
      </c>
      <c r="K56" s="339" t="n">
        <v>59</v>
      </c>
      <c r="L56" s="339" t="n">
        <v>25</v>
      </c>
      <c r="M56" s="339" t="inlineStr">
        <is>
          <t>계단식</t>
        </is>
      </c>
      <c r="N56" s="339" t="n">
        <v>3</v>
      </c>
      <c r="O56" s="339" t="n">
        <v>2</v>
      </c>
      <c r="P56" s="339" t="n">
        <v>626</v>
      </c>
      <c r="Q56" s="483" t="n">
        <v>27000</v>
      </c>
      <c r="R56" s="484" t="n">
        <v>24000</v>
      </c>
      <c r="S56" s="477">
        <f>Q56-R56</f>
        <v/>
      </c>
      <c r="T56" s="71">
        <f>R56/Q56</f>
        <v/>
      </c>
      <c r="U56" s="484" t="n">
        <v>35900</v>
      </c>
      <c r="V56" s="484" t="n">
        <v>26000</v>
      </c>
      <c r="W56" s="339" t="inlineStr">
        <is>
          <t>계단식</t>
        </is>
      </c>
      <c r="X56" s="339" t="n">
        <v>3</v>
      </c>
      <c r="Y56" s="339" t="n">
        <v>2</v>
      </c>
      <c r="Z56" s="339" t="n">
        <v>626</v>
      </c>
      <c r="AC56" s="37">
        <f>L56</f>
        <v/>
      </c>
      <c r="AD56" s="479" t="n"/>
      <c r="AE56" s="479" t="n"/>
      <c r="AF56" s="38">
        <f>AE56/AD56</f>
        <v/>
      </c>
      <c r="AG56" s="39">
        <f>AD56-AE56</f>
        <v/>
      </c>
      <c r="AH56" s="339" t="n">
        <v>2026.04</v>
      </c>
      <c r="AI56" s="339" t="n">
        <v>27000</v>
      </c>
      <c r="AJ56" s="339">
        <f>AI56-AD56</f>
        <v/>
      </c>
      <c r="AK56" s="129">
        <f>(AI56-AD56)/AD56</f>
        <v/>
      </c>
      <c r="AL56" s="29">
        <f>AJ56/AG56</f>
        <v/>
      </c>
      <c r="AM56" s="357" t="n"/>
      <c r="AV56" s="357" t="n"/>
    </row>
    <row r="57" ht="15.5" customHeight="1" s="139">
      <c r="A57" s="132" t="inlineStr">
        <is>
          <t>용곡동</t>
        </is>
      </c>
      <c r="B57" s="133" t="n"/>
      <c r="C57" s="133" t="n"/>
      <c r="D57" s="132" t="n">
        <v>107116</v>
      </c>
      <c r="E57" s="135" t="inlineStr">
        <is>
          <t>용곡동일하이빌하이씨티4단지</t>
        </is>
      </c>
      <c r="F57" s="132" t="n">
        <v>2015.08</v>
      </c>
      <c r="G57" s="132" t="n">
        <v>379</v>
      </c>
      <c r="H57" s="132">
        <f>2026-F57+1</f>
        <v/>
      </c>
      <c r="I57" s="132" t="inlineStr">
        <is>
          <t>111</t>
        </is>
      </c>
      <c r="J57" s="132" t="n">
        <v>111</v>
      </c>
      <c r="K57" s="132" t="n">
        <v>84</v>
      </c>
      <c r="L57" s="132" t="n">
        <v>34</v>
      </c>
      <c r="M57" s="132" t="inlineStr">
        <is>
          <t>계단식</t>
        </is>
      </c>
      <c r="N57" s="132" t="n">
        <v>3</v>
      </c>
      <c r="O57" s="132" t="n">
        <v>2</v>
      </c>
      <c r="P57" s="132" t="n">
        <v>265</v>
      </c>
      <c r="Q57" s="480" t="n">
        <v>27000</v>
      </c>
      <c r="R57" s="481" t="n">
        <v>22000</v>
      </c>
      <c r="S57" s="477">
        <f>Q57-R57</f>
        <v/>
      </c>
      <c r="T57" s="71">
        <f>R57/Q57</f>
        <v/>
      </c>
      <c r="U57" s="481" t="n">
        <v>36500</v>
      </c>
      <c r="V57" s="481" t="n">
        <v>30000</v>
      </c>
      <c r="W57" s="339" t="inlineStr">
        <is>
          <t>계단식</t>
        </is>
      </c>
      <c r="X57" s="339" t="n">
        <v>3</v>
      </c>
      <c r="Y57" s="339" t="n">
        <v>2</v>
      </c>
      <c r="Z57" s="339" t="n">
        <v>265</v>
      </c>
      <c r="AA57" s="133" t="n">
        <v>2025.08</v>
      </c>
      <c r="AB57" s="133" t="n">
        <v>0.01</v>
      </c>
      <c r="AC57" s="77">
        <f>L57</f>
        <v/>
      </c>
      <c r="AD57" s="482" t="n">
        <v>28900</v>
      </c>
      <c r="AE57" s="482" t="n">
        <v>23200</v>
      </c>
      <c r="AF57" s="78">
        <f>AE57/AD57</f>
        <v/>
      </c>
      <c r="AG57" s="79">
        <f>AD57-AE57</f>
        <v/>
      </c>
      <c r="AH57" s="339" t="n">
        <v>2026.04</v>
      </c>
      <c r="AI57" s="339" t="n">
        <v>27000</v>
      </c>
      <c r="AJ57" s="339">
        <f>AI57-AD57</f>
        <v/>
      </c>
      <c r="AK57" s="129">
        <f>(AI57-AD57)/AD57</f>
        <v/>
      </c>
      <c r="AL57" s="80">
        <f>AJ57/AG57</f>
        <v/>
      </c>
      <c r="AM57" s="141" t="n"/>
      <c r="AN57" s="133" t="n"/>
      <c r="AV57" s="133" t="n"/>
    </row>
    <row r="58" ht="15.5" customHeight="1" s="139">
      <c r="A58" s="132" t="inlineStr">
        <is>
          <t>다가동</t>
        </is>
      </c>
      <c r="B58" s="134" t="n"/>
      <c r="C58" s="134" t="n"/>
      <c r="D58" s="132" t="n">
        <v>110996</v>
      </c>
      <c r="E58" s="135" t="inlineStr">
        <is>
          <t>일봉산해피트리</t>
        </is>
      </c>
      <c r="F58" s="132" t="n">
        <v>2017.12</v>
      </c>
      <c r="G58" s="132" t="n">
        <v>546</v>
      </c>
      <c r="H58" s="132">
        <f>2026-F58+1</f>
        <v/>
      </c>
      <c r="I58" s="132" t="inlineStr">
        <is>
          <t>114C, 115A, 115B</t>
        </is>
      </c>
      <c r="J58" s="132" t="n">
        <v>114</v>
      </c>
      <c r="K58" s="132" t="n">
        <v>84</v>
      </c>
      <c r="L58" s="132" t="n">
        <v>34</v>
      </c>
      <c r="M58" s="132" t="inlineStr">
        <is>
          <t>계단식</t>
        </is>
      </c>
      <c r="N58" s="132" t="n">
        <v>3</v>
      </c>
      <c r="O58" s="132" t="n">
        <v>2</v>
      </c>
      <c r="P58" s="132" t="n">
        <v>546</v>
      </c>
      <c r="Q58" s="480" t="n">
        <v>26000</v>
      </c>
      <c r="R58" s="480" t="n">
        <v>21000</v>
      </c>
      <c r="S58" s="477">
        <f>Q58-R58</f>
        <v/>
      </c>
      <c r="T58" s="71">
        <f>R58/Q58</f>
        <v/>
      </c>
      <c r="U58" s="480" t="n">
        <v>34000</v>
      </c>
      <c r="V58" s="480" t="n">
        <v>22000</v>
      </c>
      <c r="W58" s="339" t="inlineStr">
        <is>
          <t>계단식</t>
        </is>
      </c>
      <c r="X58" s="339" t="n">
        <v>3</v>
      </c>
      <c r="Y58" s="339" t="n">
        <v>2</v>
      </c>
      <c r="Z58" s="339" t="n">
        <v>546</v>
      </c>
      <c r="AA58" s="144" t="n">
        <v>2021.02</v>
      </c>
      <c r="AB58" s="134" t="n">
        <v>0.04</v>
      </c>
      <c r="AC58" s="77">
        <f>L58</f>
        <v/>
      </c>
      <c r="AD58" s="482" t="n">
        <v>26893</v>
      </c>
      <c r="AE58" s="482" t="n">
        <v>23278</v>
      </c>
      <c r="AF58" s="78">
        <f>AE58/AD58</f>
        <v/>
      </c>
      <c r="AG58" s="79">
        <f>AD58-AE58</f>
        <v/>
      </c>
      <c r="AH58" s="110" t="n">
        <v>2026.04</v>
      </c>
      <c r="AI58" s="487" t="n">
        <v>26000</v>
      </c>
      <c r="AJ58" s="487">
        <f>AI58-AD58</f>
        <v/>
      </c>
      <c r="AK58" s="129">
        <f>(AI58-AD58)/AD58</f>
        <v/>
      </c>
      <c r="AL58" s="80">
        <f>AJ58/AG58</f>
        <v/>
      </c>
      <c r="AM58" s="141" t="n"/>
      <c r="AN58" s="81" t="n"/>
      <c r="AO58" s="132" t="n"/>
      <c r="AP58" s="132" t="n"/>
      <c r="AQ58" s="132" t="n"/>
      <c r="AR58" s="132" t="n"/>
      <c r="AS58" s="132" t="n"/>
      <c r="AT58" s="132" t="n"/>
      <c r="AU58" s="132" t="n"/>
      <c r="AV58" s="133" t="n"/>
      <c r="AW58" s="132" t="n"/>
      <c r="AX58" s="132" t="n"/>
      <c r="AY58" s="132" t="n"/>
    </row>
    <row r="59" ht="15.5" customHeight="1" s="139">
      <c r="A59" s="132" t="inlineStr">
        <is>
          <t>청수동</t>
        </is>
      </c>
      <c r="B59" s="88" t="n"/>
      <c r="C59" s="89" t="n"/>
      <c r="D59" s="132" t="n">
        <v>133523</v>
      </c>
      <c r="E59" s="135" t="inlineStr">
        <is>
          <t>청수행정타운금호어울림</t>
        </is>
      </c>
      <c r="F59" s="132" t="n">
        <v>2023.01</v>
      </c>
      <c r="G59" s="132" t="n">
        <v>584</v>
      </c>
      <c r="H59" s="132">
        <f>2026-F59+1</f>
        <v/>
      </c>
      <c r="I59" s="132" t="inlineStr">
        <is>
          <t>80</t>
        </is>
      </c>
      <c r="J59" s="132" t="n">
        <v>80</v>
      </c>
      <c r="K59" s="132" t="n">
        <v>59</v>
      </c>
      <c r="L59" s="132" t="n">
        <v>24</v>
      </c>
      <c r="M59" s="132" t="inlineStr">
        <is>
          <t>계단식</t>
        </is>
      </c>
      <c r="N59" s="132" t="n">
        <v>3</v>
      </c>
      <c r="O59" s="132" t="n">
        <v>2</v>
      </c>
      <c r="P59" s="132" t="n">
        <v>258</v>
      </c>
      <c r="Q59" s="96" t="n">
        <v>26000</v>
      </c>
      <c r="R59" s="96" t="n">
        <v>22000</v>
      </c>
      <c r="S59" s="477">
        <f>Q59-R59</f>
        <v/>
      </c>
      <c r="T59" s="71">
        <f>R59/Q59</f>
        <v/>
      </c>
      <c r="U59" s="96" t="n"/>
      <c r="V59" s="96" t="n">
        <v>20500</v>
      </c>
      <c r="W59" s="339" t="inlineStr">
        <is>
          <t>계단식</t>
        </is>
      </c>
      <c r="X59" s="339" t="n">
        <v>3</v>
      </c>
      <c r="Y59" s="339" t="n">
        <v>2</v>
      </c>
      <c r="Z59" s="339" t="n">
        <v>258</v>
      </c>
      <c r="AA59" s="133" t="n"/>
      <c r="AB59" s="133" t="n"/>
      <c r="AC59" s="99">
        <f>L59</f>
        <v/>
      </c>
      <c r="AD59" s="99" t="n"/>
      <c r="AE59" s="99" t="n"/>
      <c r="AF59" s="99">
        <f>AE59/AD59</f>
        <v/>
      </c>
      <c r="AG59" s="100">
        <f>AD59-AE59</f>
        <v/>
      </c>
      <c r="AH59" s="339" t="n">
        <v>2026.04</v>
      </c>
      <c r="AI59" s="339" t="n">
        <v>26000</v>
      </c>
      <c r="AJ59" s="339">
        <f>AI59-AD59</f>
        <v/>
      </c>
      <c r="AK59" s="129">
        <f>(AI59-AD59)/AD59</f>
        <v/>
      </c>
      <c r="AL59" s="101">
        <f>AJ59/AG59</f>
        <v/>
      </c>
      <c r="AM59" s="133" t="n"/>
      <c r="AN59" s="133" t="n"/>
      <c r="AV59" s="133" t="n"/>
    </row>
    <row r="60" ht="15.5" customHeight="1" s="139">
      <c r="A60" s="132" t="inlineStr">
        <is>
          <t>신부동</t>
        </is>
      </c>
      <c r="B60" s="133" t="n"/>
      <c r="C60" s="133" t="n"/>
      <c r="D60" s="132" t="n">
        <v>26534</v>
      </c>
      <c r="E60" s="135" t="inlineStr">
        <is>
          <t>휴먼시아</t>
        </is>
      </c>
      <c r="F60" s="132" t="n">
        <v>2009.09</v>
      </c>
      <c r="G60" s="132" t="n">
        <v>497</v>
      </c>
      <c r="H60" s="132">
        <f>2026-F60+1</f>
        <v/>
      </c>
      <c r="I60" s="132" t="inlineStr">
        <is>
          <t>79A, 79B</t>
        </is>
      </c>
      <c r="J60" s="132" t="n">
        <v>79</v>
      </c>
      <c r="K60" s="132" t="n">
        <v>59</v>
      </c>
      <c r="L60" s="132" t="n">
        <v>24</v>
      </c>
      <c r="M60" s="132" t="inlineStr">
        <is>
          <t>계단식</t>
        </is>
      </c>
      <c r="N60" s="132" t="n">
        <v>3</v>
      </c>
      <c r="O60" s="132" t="n">
        <v>2</v>
      </c>
      <c r="P60" s="132" t="n">
        <v>82</v>
      </c>
      <c r="Q60" s="480" t="n">
        <v>25700</v>
      </c>
      <c r="R60" s="481" t="n">
        <v>22000</v>
      </c>
      <c r="S60" s="477">
        <f>Q60-R60</f>
        <v/>
      </c>
      <c r="T60" s="71">
        <f>R60/Q60</f>
        <v/>
      </c>
      <c r="U60" s="481" t="n">
        <v>27000</v>
      </c>
      <c r="V60" s="481" t="n">
        <v>23800</v>
      </c>
      <c r="W60" s="339" t="inlineStr">
        <is>
          <t>계단식</t>
        </is>
      </c>
      <c r="X60" s="339" t="n">
        <v>3</v>
      </c>
      <c r="Y60" s="339" t="n">
        <v>2</v>
      </c>
      <c r="Z60" s="339" t="n">
        <v>82</v>
      </c>
      <c r="AA60" s="133" t="n">
        <v>2019.05</v>
      </c>
      <c r="AB60" s="133" t="n">
        <v>0.01</v>
      </c>
      <c r="AC60" s="77">
        <f>L60</f>
        <v/>
      </c>
      <c r="AD60" s="482" t="n">
        <v>21625</v>
      </c>
      <c r="AE60" s="482" t="n">
        <v>17583</v>
      </c>
      <c r="AF60" s="78">
        <f>AE60/AD60</f>
        <v/>
      </c>
      <c r="AG60" s="79">
        <f>AD60-AE60</f>
        <v/>
      </c>
      <c r="AH60" s="339" t="n">
        <v>2026.04</v>
      </c>
      <c r="AI60" s="339" t="n">
        <v>25700</v>
      </c>
      <c r="AJ60" s="339">
        <f>AI60-AD60</f>
        <v/>
      </c>
      <c r="AK60" s="129">
        <f>(AI60-AD60)/AD60</f>
        <v/>
      </c>
      <c r="AL60" s="80">
        <f>AJ60/AG60</f>
        <v/>
      </c>
      <c r="AM60" s="141" t="n"/>
      <c r="AN60" s="133" t="n"/>
      <c r="AV60" s="132">
        <f t="array" ref="AV60">- 호갱노노 그래프</f>
        <v/>
      </c>
    </row>
    <row r="61" ht="15.5" customHeight="1" s="139">
      <c r="A61" s="339" t="inlineStr">
        <is>
          <t>다가동</t>
        </is>
      </c>
      <c r="B61" s="164" t="n"/>
      <c r="C61" s="164" t="n"/>
      <c r="D61" s="339" t="n">
        <v>145699</v>
      </c>
      <c r="E61" s="150" t="inlineStr">
        <is>
          <t>천안극동스타클래스더퍼스트</t>
        </is>
      </c>
      <c r="F61" s="339" t="n">
        <v>2025.01</v>
      </c>
      <c r="G61" s="339" t="n">
        <v>1225</v>
      </c>
      <c r="H61" s="339">
        <f>2026-F61+1</f>
        <v/>
      </c>
      <c r="I61" s="339" t="inlineStr">
        <is>
          <t>80A, 81B</t>
        </is>
      </c>
      <c r="J61" s="339" t="n">
        <v>80</v>
      </c>
      <c r="K61" s="339" t="n">
        <v>59</v>
      </c>
      <c r="L61" s="339" t="n">
        <v>24</v>
      </c>
      <c r="M61" s="339" t="inlineStr">
        <is>
          <t>계단식</t>
        </is>
      </c>
      <c r="N61" s="339" t="n">
        <v>3</v>
      </c>
      <c r="O61" s="339" t="n">
        <v>2</v>
      </c>
      <c r="P61" s="339" t="n">
        <v>664</v>
      </c>
      <c r="Q61" s="483" t="n">
        <v>25500</v>
      </c>
      <c r="R61" s="484" t="n">
        <v>22000</v>
      </c>
      <c r="S61" s="477">
        <f>Q61-R61</f>
        <v/>
      </c>
      <c r="T61" s="71">
        <f>R61/Q61</f>
        <v/>
      </c>
      <c r="U61" s="484" t="n"/>
      <c r="V61" s="484" t="n"/>
      <c r="W61" s="339" t="inlineStr">
        <is>
          <t>계단식</t>
        </is>
      </c>
      <c r="X61" s="339" t="n">
        <v>3</v>
      </c>
      <c r="Y61" s="339" t="n">
        <v>2</v>
      </c>
      <c r="Z61" s="339" t="n">
        <v>664</v>
      </c>
      <c r="AA61" s="337" t="n"/>
      <c r="AC61" s="37">
        <f>L61</f>
        <v/>
      </c>
      <c r="AD61" s="479" t="n"/>
      <c r="AE61" s="479" t="n"/>
      <c r="AF61" s="38">
        <f>AE61/AD61</f>
        <v/>
      </c>
      <c r="AG61" s="39">
        <f>AD61-AE61</f>
        <v/>
      </c>
      <c r="AH61" s="339" t="n">
        <v>2026.04</v>
      </c>
      <c r="AI61" s="405" t="n">
        <v>25500</v>
      </c>
      <c r="AJ61" s="405">
        <f>AI61-AD61</f>
        <v/>
      </c>
      <c r="AK61" s="129">
        <f>(AI61-AD61)/AD61</f>
        <v/>
      </c>
      <c r="AL61" s="29">
        <f>AJ61/AG61</f>
        <v/>
      </c>
      <c r="AM61" s="357" t="n"/>
    </row>
    <row r="62" ht="15.5" customHeight="1" s="139">
      <c r="A62" s="132" t="inlineStr">
        <is>
          <t>신방동</t>
        </is>
      </c>
      <c r="B62" s="133" t="n"/>
      <c r="C62" s="133" t="n"/>
      <c r="D62" s="132" t="n">
        <v>100359</v>
      </c>
      <c r="E62" s="135" t="inlineStr">
        <is>
          <t>신방한성필하우스</t>
        </is>
      </c>
      <c r="F62" s="132" t="n">
        <v>2010.06</v>
      </c>
      <c r="G62" s="132" t="n">
        <v>1049</v>
      </c>
      <c r="H62" s="132">
        <f>2026-F62+1</f>
        <v/>
      </c>
      <c r="I62" s="132" t="inlineStr">
        <is>
          <t>111C, 111A, 111B</t>
        </is>
      </c>
      <c r="J62" s="132" t="n">
        <v>111</v>
      </c>
      <c r="K62" s="132" t="n">
        <v>84</v>
      </c>
      <c r="L62" s="132" t="n">
        <v>34</v>
      </c>
      <c r="M62" s="132" t="inlineStr">
        <is>
          <t>계단식</t>
        </is>
      </c>
      <c r="N62" s="132" t="n">
        <v>3</v>
      </c>
      <c r="O62" s="132" t="n">
        <v>2</v>
      </c>
      <c r="P62" s="132" t="n">
        <v>515</v>
      </c>
      <c r="Q62" s="480" t="n">
        <v>25500</v>
      </c>
      <c r="R62" s="481" t="n">
        <v>23000</v>
      </c>
      <c r="S62" s="477">
        <f>Q62-R62</f>
        <v/>
      </c>
      <c r="T62" s="71">
        <f>R62/Q62</f>
        <v/>
      </c>
      <c r="U62" s="481" t="n">
        <v>39900</v>
      </c>
      <c r="V62" s="481" t="n">
        <v>27000</v>
      </c>
      <c r="W62" s="339" t="inlineStr">
        <is>
          <t>계단식</t>
        </is>
      </c>
      <c r="X62" s="339" t="n">
        <v>3</v>
      </c>
      <c r="Y62" s="339" t="n">
        <v>2</v>
      </c>
      <c r="Z62" s="339" t="n">
        <v>515</v>
      </c>
      <c r="AA62" s="144" t="n">
        <v>2026.04</v>
      </c>
      <c r="AB62" s="133" t="n">
        <v>0.03</v>
      </c>
      <c r="AC62" s="77">
        <f>L62</f>
        <v/>
      </c>
      <c r="AD62" s="482" t="n">
        <v>25529</v>
      </c>
      <c r="AE62" s="482" t="n">
        <v>22000</v>
      </c>
      <c r="AF62" s="78">
        <f>AE62/AD62</f>
        <v/>
      </c>
      <c r="AG62" s="79">
        <f>AD62-AE62</f>
        <v/>
      </c>
      <c r="AH62" s="339" t="n">
        <v>2026.04</v>
      </c>
      <c r="AI62" s="405" t="n">
        <v>25500</v>
      </c>
      <c r="AJ62" s="405">
        <f>AI62-AD62</f>
        <v/>
      </c>
      <c r="AK62" s="129">
        <f>(AI62-AD62)/AD62</f>
        <v/>
      </c>
      <c r="AL62" s="80">
        <f>AJ62/AG62</f>
        <v/>
      </c>
      <c r="AM62" s="141" t="n"/>
      <c r="AN62" s="83" t="n"/>
      <c r="AO62" s="339" t="n"/>
      <c r="AP62" s="339" t="n"/>
      <c r="AQ62" s="339" t="n"/>
      <c r="AR62" s="339" t="n"/>
      <c r="AS62" s="339" t="n"/>
      <c r="AT62" s="339" t="n"/>
      <c r="AU62" s="339" t="n"/>
      <c r="AV62" s="133" t="n"/>
      <c r="AW62" s="339" t="n"/>
      <c r="AX62" s="339" t="n"/>
      <c r="AY62" s="339" t="n"/>
    </row>
    <row r="63" ht="15.5" customHeight="1" s="139">
      <c r="A63" s="339" t="inlineStr">
        <is>
          <t>용곡동</t>
        </is>
      </c>
      <c r="B63" s="164" t="n"/>
      <c r="C63" s="164" t="n"/>
      <c r="D63" s="339" t="n">
        <v>26813</v>
      </c>
      <c r="E63" s="150" t="inlineStr">
        <is>
          <t>용곡우림필유</t>
        </is>
      </c>
      <c r="F63" s="339" t="n">
        <v>2009.1</v>
      </c>
      <c r="G63" s="339" t="n">
        <v>499</v>
      </c>
      <c r="H63" s="339">
        <f>2026-F63+1</f>
        <v/>
      </c>
      <c r="I63" s="339" t="inlineStr">
        <is>
          <t>117B, 118A</t>
        </is>
      </c>
      <c r="J63" s="339" t="n">
        <v>117</v>
      </c>
      <c r="K63" s="339" t="n">
        <v>84</v>
      </c>
      <c r="L63" s="339" t="n">
        <v>35</v>
      </c>
      <c r="M63" s="339" t="inlineStr">
        <is>
          <t>계단식</t>
        </is>
      </c>
      <c r="N63" s="339" t="n">
        <v>3</v>
      </c>
      <c r="O63" s="339" t="n">
        <v>2</v>
      </c>
      <c r="P63" s="339" t="n">
        <v>323</v>
      </c>
      <c r="Q63" s="426" t="n">
        <v>25500</v>
      </c>
      <c r="R63" s="427" t="n">
        <v>22000</v>
      </c>
      <c r="S63" s="477">
        <f>Q63-R63</f>
        <v/>
      </c>
      <c r="T63" s="71">
        <f>R63/Q63</f>
        <v/>
      </c>
      <c r="U63" s="427" t="n">
        <v>33000</v>
      </c>
      <c r="V63" s="427" t="n">
        <v>24000</v>
      </c>
      <c r="W63" s="339" t="inlineStr">
        <is>
          <t>계단식</t>
        </is>
      </c>
      <c r="X63" s="339" t="n">
        <v>3</v>
      </c>
      <c r="Y63" s="339" t="n">
        <v>2</v>
      </c>
      <c r="Z63" s="339" t="n">
        <v>323</v>
      </c>
      <c r="AA63" s="339" t="n">
        <v>2020.03</v>
      </c>
      <c r="AB63" s="339" t="n">
        <v>0.01</v>
      </c>
      <c r="AC63" s="37">
        <f>L63</f>
        <v/>
      </c>
      <c r="AD63" s="479" t="n">
        <v>23000</v>
      </c>
      <c r="AE63" s="479" t="n">
        <v>19833</v>
      </c>
      <c r="AF63" s="38">
        <f>AE63/AD63</f>
        <v/>
      </c>
      <c r="AG63" s="39">
        <f>AD63-AE63</f>
        <v/>
      </c>
      <c r="AH63" s="339" t="n">
        <v>2026.04</v>
      </c>
      <c r="AI63" s="339" t="n">
        <v>25500</v>
      </c>
      <c r="AJ63" s="339">
        <f>AI63-AD63</f>
        <v/>
      </c>
      <c r="AK63" s="129">
        <f>(AI63-AD63)/AD63</f>
        <v/>
      </c>
      <c r="AL63" s="29">
        <f>AJ63/AG63</f>
        <v/>
      </c>
      <c r="AM63" s="357" t="n"/>
      <c r="AO63" s="339" t="n"/>
      <c r="AP63" s="339" t="n"/>
      <c r="AQ63" s="339" t="n"/>
      <c r="AR63" s="339" t="n"/>
      <c r="AS63" s="339" t="n"/>
      <c r="AT63" s="339" t="n"/>
      <c r="AU63" s="339" t="n"/>
      <c r="AW63" s="339" t="n"/>
      <c r="AX63" s="339" t="n"/>
      <c r="AY63" s="339" t="n"/>
    </row>
    <row r="64" ht="15.5" customHeight="1" s="139">
      <c r="A64" s="339" t="inlineStr">
        <is>
          <t>청당동</t>
        </is>
      </c>
      <c r="B64" s="164" t="n"/>
      <c r="C64" s="164" t="n"/>
      <c r="D64" s="339" t="n">
        <v>116435</v>
      </c>
      <c r="E64" s="150" t="inlineStr">
        <is>
          <t>청당코오롱하늘채</t>
        </is>
      </c>
      <c r="F64" s="339" t="n">
        <v>2019.12</v>
      </c>
      <c r="G64" s="339" t="n">
        <v>1534</v>
      </c>
      <c r="H64" s="339">
        <f>2026-F64+1</f>
        <v/>
      </c>
      <c r="I64" s="339" t="inlineStr">
        <is>
          <t>79A, 80C, 80B</t>
        </is>
      </c>
      <c r="J64" s="339" t="n">
        <v>79</v>
      </c>
      <c r="K64" s="339" t="n">
        <v>59</v>
      </c>
      <c r="L64" s="339" t="n">
        <v>24</v>
      </c>
      <c r="M64" s="339" t="inlineStr">
        <is>
          <t>계단식</t>
        </is>
      </c>
      <c r="N64" s="339" t="n">
        <v>3</v>
      </c>
      <c r="O64" s="339" t="n">
        <v>2</v>
      </c>
      <c r="P64" s="339" t="n">
        <v>592</v>
      </c>
      <c r="Q64" s="104" t="n">
        <v>25000</v>
      </c>
      <c r="R64" s="104" t="n">
        <v>23000</v>
      </c>
      <c r="S64" s="477">
        <f>Q64-R64</f>
        <v/>
      </c>
      <c r="T64" s="71">
        <f>R64/Q64</f>
        <v/>
      </c>
      <c r="U64" s="104" t="n">
        <v>33000</v>
      </c>
      <c r="V64" s="104" t="n">
        <v>22000</v>
      </c>
      <c r="W64" s="339" t="inlineStr">
        <is>
          <t>계단식</t>
        </is>
      </c>
      <c r="X64" s="339" t="n">
        <v>3</v>
      </c>
      <c r="Y64" s="339" t="n">
        <v>2</v>
      </c>
      <c r="Z64" s="339" t="n">
        <v>592</v>
      </c>
      <c r="AC64" s="37">
        <f>L64</f>
        <v/>
      </c>
      <c r="AD64" s="108" t="n"/>
      <c r="AE64" s="108" t="n"/>
      <c r="AF64" s="108">
        <f>AE64/AD64</f>
        <v/>
      </c>
      <c r="AG64" s="109">
        <f>AD64-AE64</f>
        <v/>
      </c>
      <c r="AH64" s="339" t="n">
        <v>2026.04</v>
      </c>
      <c r="AI64" s="339" t="n">
        <v>25000</v>
      </c>
      <c r="AJ64" s="339">
        <f>AI64-AD64</f>
        <v/>
      </c>
      <c r="AK64" s="129">
        <f>(AI64-AD64)/AD64</f>
        <v/>
      </c>
      <c r="AL64" s="29">
        <f>AJ64/AG64</f>
        <v/>
      </c>
      <c r="AM64" s="357" t="n"/>
    </row>
    <row r="65" ht="15.5" customHeight="1" s="139">
      <c r="A65" s="339" t="inlineStr">
        <is>
          <t>청당동</t>
        </is>
      </c>
      <c r="D65" s="339" t="n">
        <v>110018</v>
      </c>
      <c r="E65" s="150" t="inlineStr">
        <is>
          <t>중흥에스클래스산운마을</t>
        </is>
      </c>
      <c r="F65" s="339" t="n">
        <v>2009.12</v>
      </c>
      <c r="G65" s="339" t="n">
        <v>504</v>
      </c>
      <c r="H65" s="339">
        <f>2026-F65+1</f>
        <v/>
      </c>
      <c r="I65" s="339" t="inlineStr">
        <is>
          <t>109B, 110A</t>
        </is>
      </c>
      <c r="J65" s="339" t="n">
        <v>109</v>
      </c>
      <c r="K65" s="339" t="n">
        <v>84</v>
      </c>
      <c r="L65" s="339" t="n">
        <v>33</v>
      </c>
      <c r="M65" s="339" t="inlineStr">
        <is>
          <t>계단식</t>
        </is>
      </c>
      <c r="N65" s="339" t="n">
        <v>3</v>
      </c>
      <c r="O65" s="339" t="n">
        <v>2</v>
      </c>
      <c r="P65" s="339" t="n">
        <v>499</v>
      </c>
      <c r="Q65" s="104" t="n">
        <v>25000</v>
      </c>
      <c r="R65" s="104" t="n">
        <v>23000</v>
      </c>
      <c r="S65" s="477">
        <f>Q65-R65</f>
        <v/>
      </c>
      <c r="T65" s="71">
        <f>R65/Q65</f>
        <v/>
      </c>
      <c r="U65" s="104" t="n">
        <v>33900</v>
      </c>
      <c r="V65" s="104" t="n">
        <v>19000</v>
      </c>
      <c r="W65" s="339" t="inlineStr">
        <is>
          <t>계단식</t>
        </is>
      </c>
      <c r="X65" s="339" t="n">
        <v>3</v>
      </c>
      <c r="Y65" s="339" t="n">
        <v>2</v>
      </c>
      <c r="Z65" s="339" t="n">
        <v>499</v>
      </c>
      <c r="AA65" s="339" t="n">
        <v>2024.12</v>
      </c>
      <c r="AB65" s="339" t="n">
        <v>0.01</v>
      </c>
      <c r="AC65" s="37">
        <f>L65</f>
        <v/>
      </c>
      <c r="AD65" s="93" t="n">
        <v>26962</v>
      </c>
      <c r="AE65" s="93" t="n">
        <v>22000</v>
      </c>
      <c r="AF65" s="93">
        <f>AE65/AD65</f>
        <v/>
      </c>
      <c r="AG65" s="128">
        <f>AD65-AE65</f>
        <v/>
      </c>
      <c r="AH65" s="339" t="n">
        <v>2026.04</v>
      </c>
      <c r="AI65" s="339" t="n">
        <v>25000</v>
      </c>
      <c r="AJ65" s="339">
        <f>AI65-AD65</f>
        <v/>
      </c>
      <c r="AK65" s="129">
        <f>(AI65-AD65)/AD65</f>
        <v/>
      </c>
      <c r="AL65" s="29">
        <f>AJ65/AG65</f>
        <v/>
      </c>
      <c r="AM65" s="357" t="n"/>
    </row>
    <row r="66" ht="15.5" customHeight="1" s="139">
      <c r="A66" s="132" t="inlineStr">
        <is>
          <t>구성동</t>
        </is>
      </c>
      <c r="B66" s="74" t="n"/>
      <c r="C66" s="75" t="n"/>
      <c r="D66" s="132" t="n">
        <v>26577</v>
      </c>
      <c r="E66" s="135" t="inlineStr">
        <is>
          <t>휴먼시아</t>
        </is>
      </c>
      <c r="F66" s="132" t="n">
        <v>2010.07</v>
      </c>
      <c r="G66" s="132" t="n">
        <v>473</v>
      </c>
      <c r="H66" s="132">
        <f>2026-F66+1</f>
        <v/>
      </c>
      <c r="I66" s="132" t="inlineStr">
        <is>
          <t>113A</t>
        </is>
      </c>
      <c r="J66" s="132" t="n">
        <v>113</v>
      </c>
      <c r="K66" s="132" t="n">
        <v>84</v>
      </c>
      <c r="L66" s="132" t="n">
        <v>34</v>
      </c>
      <c r="M66" s="132" t="inlineStr">
        <is>
          <t>복합식</t>
        </is>
      </c>
      <c r="N66" s="132" t="n">
        <v>3</v>
      </c>
      <c r="O66" s="132" t="n">
        <v>2</v>
      </c>
      <c r="P66" s="132" t="n">
        <v>214</v>
      </c>
      <c r="Q66" s="480" t="n">
        <v>24000</v>
      </c>
      <c r="R66" s="481" t="n">
        <v>19000</v>
      </c>
      <c r="S66" s="477">
        <f>Q66-R66</f>
        <v/>
      </c>
      <c r="T66" s="71">
        <f>R66/Q66</f>
        <v/>
      </c>
      <c r="U66" s="481" t="n">
        <v>30000</v>
      </c>
      <c r="V66" s="481" t="n">
        <v>22900</v>
      </c>
      <c r="W66" s="339" t="inlineStr">
        <is>
          <t>복합식</t>
        </is>
      </c>
      <c r="X66" s="339" t="n">
        <v>3</v>
      </c>
      <c r="Y66" s="339" t="n">
        <v>2</v>
      </c>
      <c r="Z66" s="339" t="n">
        <v>214</v>
      </c>
      <c r="AA66" s="144" t="n">
        <v>2026.02</v>
      </c>
      <c r="AB66" s="134" t="n">
        <v>0.05</v>
      </c>
      <c r="AC66" s="77">
        <f>L66</f>
        <v/>
      </c>
      <c r="AD66" s="482" t="n">
        <v>20575</v>
      </c>
      <c r="AE66" s="482" t="n">
        <v>18333</v>
      </c>
      <c r="AF66" s="78">
        <f>AE66/AD66</f>
        <v/>
      </c>
      <c r="AG66" s="79">
        <f>AD66-AE66</f>
        <v/>
      </c>
      <c r="AH66" s="110" t="n">
        <v>2026.04</v>
      </c>
      <c r="AI66" s="487" t="n">
        <v>24000</v>
      </c>
      <c r="AJ66" s="487">
        <f>AI66-AD66</f>
        <v/>
      </c>
      <c r="AK66" s="129">
        <f>(AI66-AD66)/AD66</f>
        <v/>
      </c>
      <c r="AL66" s="80">
        <f>AJ66/AG66</f>
        <v/>
      </c>
      <c r="AM66" s="141" t="n"/>
      <c r="AN66" s="83" t="n"/>
      <c r="AO66" s="132" t="n"/>
      <c r="AP66" s="132" t="n"/>
      <c r="AQ66" s="132" t="n"/>
      <c r="AR66" s="132" t="n"/>
      <c r="AS66" s="132" t="n"/>
      <c r="AT66" s="132" t="n"/>
      <c r="AU66" s="132" t="n"/>
      <c r="AV66" s="132" t="inlineStr">
        <is>
          <t>1. 생활권 별 / 선호도 별 단지 추출 (상중하)</t>
        </is>
      </c>
      <c r="AW66" s="132" t="n"/>
      <c r="AX66" s="132" t="n"/>
      <c r="AY66" s="132" t="n"/>
    </row>
    <row r="67" ht="15.5" customHeight="1" s="139">
      <c r="A67" s="132" t="inlineStr">
        <is>
          <t>풍세면</t>
        </is>
      </c>
      <c r="B67" s="88" t="n"/>
      <c r="C67" s="89" t="n"/>
      <c r="D67" s="132" t="n">
        <v>140850</v>
      </c>
      <c r="E67" s="135" t="inlineStr">
        <is>
          <t>천안한양수자인에코시티</t>
        </is>
      </c>
      <c r="F67" s="132" t="n">
        <v>2023.12</v>
      </c>
      <c r="G67" s="132" t="n">
        <v>3200</v>
      </c>
      <c r="H67" s="132">
        <f>2026-F67+1</f>
        <v/>
      </c>
      <c r="I67" s="132" t="inlineStr">
        <is>
          <t>96</t>
        </is>
      </c>
      <c r="J67" s="132" t="n">
        <v>96</v>
      </c>
      <c r="K67" s="132" t="n">
        <v>75</v>
      </c>
      <c r="L67" s="132" t="n">
        <v>29</v>
      </c>
      <c r="M67" s="132" t="inlineStr">
        <is>
          <t>계단식</t>
        </is>
      </c>
      <c r="N67" s="132" t="n">
        <v>3</v>
      </c>
      <c r="O67" s="132" t="n">
        <v>2</v>
      </c>
      <c r="P67" s="132" t="n">
        <v>524</v>
      </c>
      <c r="Q67" s="96" t="n">
        <v>24000</v>
      </c>
      <c r="R67" s="96" t="n">
        <v>17000</v>
      </c>
      <c r="S67" s="477">
        <f>Q67-R67</f>
        <v/>
      </c>
      <c r="T67" s="71">
        <f>R67/Q67</f>
        <v/>
      </c>
      <c r="U67" s="96" t="n"/>
      <c r="V67" s="96" t="n"/>
      <c r="W67" s="339" t="inlineStr">
        <is>
          <t>계단식</t>
        </is>
      </c>
      <c r="X67" s="339" t="n">
        <v>3</v>
      </c>
      <c r="Y67" s="339" t="n">
        <v>2</v>
      </c>
      <c r="Z67" s="339" t="n">
        <v>524</v>
      </c>
      <c r="AA67" s="133" t="n"/>
      <c r="AB67" s="133" t="n"/>
      <c r="AC67" s="99">
        <f>L67</f>
        <v/>
      </c>
      <c r="AD67" s="99" t="n"/>
      <c r="AE67" s="99" t="n"/>
      <c r="AF67" s="99">
        <f>AE67/AD67</f>
        <v/>
      </c>
      <c r="AG67" s="100">
        <f>AD67-AE67</f>
        <v/>
      </c>
      <c r="AH67" s="339" t="n">
        <v>2026.04</v>
      </c>
      <c r="AI67" s="339" t="n">
        <v>24000</v>
      </c>
      <c r="AJ67" s="339">
        <f>AI67-AD67</f>
        <v/>
      </c>
      <c r="AK67" s="129">
        <f>(AI67-AD67)/AD67</f>
        <v/>
      </c>
      <c r="AL67" s="101">
        <f>AJ67/AG67</f>
        <v/>
      </c>
      <c r="AM67" s="133" t="n"/>
      <c r="AN67" s="133" t="n"/>
      <c r="AO67" s="339" t="n"/>
      <c r="AP67" s="339" t="n"/>
      <c r="AQ67" s="339" t="n"/>
      <c r="AR67" s="339" t="n"/>
      <c r="AS67" s="339" t="n"/>
      <c r="AT67" s="339" t="n"/>
      <c r="AU67" s="339" t="n"/>
      <c r="AV67" s="133" t="n"/>
      <c r="AW67" s="339" t="n"/>
      <c r="AX67" s="339" t="n"/>
      <c r="AY67" s="339" t="n"/>
    </row>
    <row r="68" ht="15.5" customHeight="1" s="139">
      <c r="A68" s="87" t="n"/>
      <c r="B68" s="164" t="inlineStr">
        <is>
          <t>하</t>
        </is>
      </c>
      <c r="C68" s="164" t="inlineStr">
        <is>
          <t>상</t>
        </is>
      </c>
      <c r="E68" s="91" t="n"/>
      <c r="F68" s="87" t="n">
        <v>2020.11</v>
      </c>
      <c r="G68" s="87" t="n">
        <v>2267</v>
      </c>
      <c r="H68" s="94">
        <f>2026-F68+1</f>
        <v/>
      </c>
      <c r="I68" s="87" t="n">
        <v>64</v>
      </c>
      <c r="J68" s="87" t="n">
        <v>64</v>
      </c>
      <c r="K68" s="87" t="n">
        <v>43</v>
      </c>
      <c r="L68" s="87" t="n">
        <v>19</v>
      </c>
      <c r="M68" s="87" t="n"/>
      <c r="N68" s="87" t="n"/>
      <c r="O68" s="87" t="n"/>
      <c r="P68" s="87" t="n"/>
      <c r="Q68" s="426" t="n">
        <v>23500</v>
      </c>
      <c r="R68" s="427" t="n">
        <v>20000</v>
      </c>
      <c r="S68" s="477">
        <f>Q68-R68</f>
        <v/>
      </c>
      <c r="T68" s="71">
        <f>R68/Q68</f>
        <v/>
      </c>
      <c r="U68" s="427" t="n">
        <v>30000</v>
      </c>
      <c r="V68" s="427" t="n">
        <v>23000</v>
      </c>
      <c r="W68" s="97" t="inlineStr">
        <is>
          <t>계단식</t>
        </is>
      </c>
      <c r="X68" s="87" t="n">
        <v>2</v>
      </c>
      <c r="Y68" s="87" t="n">
        <v>1</v>
      </c>
      <c r="Z68" s="87" t="n">
        <v>100</v>
      </c>
      <c r="AC68" s="37">
        <f>L68</f>
        <v/>
      </c>
      <c r="AD68" s="479" t="n"/>
      <c r="AE68" s="479" t="n"/>
      <c r="AF68" s="38">
        <f>AE68/AD68</f>
        <v/>
      </c>
      <c r="AG68" s="39">
        <f>AD68-AE68</f>
        <v/>
      </c>
      <c r="AI68" s="339" t="n"/>
      <c r="AJ68" s="339" t="n"/>
      <c r="AK68" s="27" t="n"/>
      <c r="AL68" s="29" t="n"/>
      <c r="AM68" s="357" t="n"/>
      <c r="AO68" s="339" t="n"/>
      <c r="AP68" s="339" t="n"/>
      <c r="AQ68" s="339" t="n"/>
      <c r="AR68" s="339" t="n"/>
      <c r="AS68" s="339" t="n"/>
      <c r="AT68" s="339" t="n"/>
      <c r="AU68" s="339" t="n"/>
      <c r="AW68" s="339" t="n"/>
      <c r="AX68" s="339" t="n"/>
      <c r="AY68" s="339" t="n"/>
    </row>
    <row r="69" ht="15.5" customHeight="1" s="139">
      <c r="A69" s="132" t="inlineStr">
        <is>
          <t>신방동</t>
        </is>
      </c>
      <c r="B69" s="133" t="n"/>
      <c r="C69" s="133" t="n"/>
      <c r="D69" s="132" t="n">
        <v>26517</v>
      </c>
      <c r="E69" s="135" t="inlineStr">
        <is>
          <t>천안신방푸르지오</t>
        </is>
      </c>
      <c r="F69" s="132" t="n">
        <v>2009.01</v>
      </c>
      <c r="G69" s="132" t="n">
        <v>417</v>
      </c>
      <c r="H69" s="132">
        <f>2026-F69+1</f>
        <v/>
      </c>
      <c r="I69" s="132" t="inlineStr">
        <is>
          <t>105C, 106A, 106B</t>
        </is>
      </c>
      <c r="J69" s="132" t="n">
        <v>105</v>
      </c>
      <c r="K69" s="132" t="n">
        <v>84</v>
      </c>
      <c r="L69" s="132" t="n">
        <v>32</v>
      </c>
      <c r="M69" s="132" t="inlineStr">
        <is>
          <t>계단식</t>
        </is>
      </c>
      <c r="N69" s="132" t="n">
        <v>3</v>
      </c>
      <c r="O69" s="132" t="n">
        <v>2</v>
      </c>
      <c r="P69" s="132" t="n">
        <v>417</v>
      </c>
      <c r="Q69" s="480" t="n">
        <v>22500</v>
      </c>
      <c r="R69" s="481" t="n">
        <v>23000</v>
      </c>
      <c r="S69" s="477">
        <f>Q69-R69</f>
        <v/>
      </c>
      <c r="T69" s="71">
        <f>R69/Q69</f>
        <v/>
      </c>
      <c r="U69" s="481" t="n">
        <v>30500</v>
      </c>
      <c r="V69" s="481" t="n">
        <v>18000</v>
      </c>
      <c r="W69" s="339" t="inlineStr">
        <is>
          <t>계단식</t>
        </is>
      </c>
      <c r="X69" s="339" t="n">
        <v>3</v>
      </c>
      <c r="Y69" s="339" t="n">
        <v>2</v>
      </c>
      <c r="Z69" s="339" t="n">
        <v>417</v>
      </c>
      <c r="AA69" s="133" t="n">
        <v>2020.02</v>
      </c>
      <c r="AB69" s="133" t="n">
        <v>0.02</v>
      </c>
      <c r="AC69" s="77">
        <f>L69</f>
        <v/>
      </c>
      <c r="AD69" s="482" t="n">
        <v>19196</v>
      </c>
      <c r="AE69" s="482" t="n">
        <v>15972</v>
      </c>
      <c r="AF69" s="78">
        <f>AE69/AD69</f>
        <v/>
      </c>
      <c r="AG69" s="79">
        <f>AD69-AE69</f>
        <v/>
      </c>
      <c r="AH69" s="339" t="n">
        <v>2026.04</v>
      </c>
      <c r="AI69" s="339" t="n">
        <v>22500</v>
      </c>
      <c r="AJ69" s="339">
        <f>AI69-AD69</f>
        <v/>
      </c>
      <c r="AK69" s="129">
        <f>(AI69-AD69)/AD69</f>
        <v/>
      </c>
      <c r="AL69" s="80">
        <f>AJ69/AG69</f>
        <v/>
      </c>
      <c r="AM69" s="141" t="n"/>
      <c r="AN69" s="133" t="n"/>
      <c r="AO69" s="339" t="n"/>
      <c r="AP69" s="339" t="n"/>
      <c r="AQ69" s="339" t="n"/>
      <c r="AR69" s="339" t="n"/>
      <c r="AS69" s="339" t="n"/>
      <c r="AT69" s="339" t="n"/>
      <c r="AU69" s="339" t="n"/>
      <c r="AV69" s="133" t="n"/>
      <c r="AW69" s="339" t="n"/>
      <c r="AX69" s="339" t="n"/>
      <c r="AY69" s="339" t="n"/>
    </row>
    <row r="70" ht="15.5" customHeight="1" s="139">
      <c r="A70" s="132" t="inlineStr">
        <is>
          <t>청당동</t>
        </is>
      </c>
      <c r="B70" s="133" t="n"/>
      <c r="C70" s="133" t="n"/>
      <c r="D70" s="132" t="n">
        <v>114402</v>
      </c>
      <c r="E70" s="135" t="inlineStr">
        <is>
          <t>청당포레스트더힐</t>
        </is>
      </c>
      <c r="F70" s="132" t="n">
        <v>2011.09</v>
      </c>
      <c r="G70" s="132" t="n">
        <v>449</v>
      </c>
      <c r="H70" s="132">
        <f>2026-F70+1</f>
        <v/>
      </c>
      <c r="I70" s="132" t="inlineStr">
        <is>
          <t>112</t>
        </is>
      </c>
      <c r="J70" s="132" t="n">
        <v>112</v>
      </c>
      <c r="K70" s="132" t="n">
        <v>84</v>
      </c>
      <c r="L70" s="132" t="n">
        <v>34</v>
      </c>
      <c r="M70" s="132" t="inlineStr">
        <is>
          <t>계단식</t>
        </is>
      </c>
      <c r="N70" s="132" t="n">
        <v>3</v>
      </c>
      <c r="O70" s="132" t="n">
        <v>2</v>
      </c>
      <c r="P70" s="132" t="n">
        <v>449</v>
      </c>
      <c r="Q70" s="96" t="n">
        <v>22500</v>
      </c>
      <c r="R70" s="96" t="n">
        <v>20000</v>
      </c>
      <c r="S70" s="477">
        <f>Q70-R70</f>
        <v/>
      </c>
      <c r="T70" s="71">
        <f>R70/Q70</f>
        <v/>
      </c>
      <c r="U70" s="96" t="n">
        <v>50000</v>
      </c>
      <c r="V70" s="96" t="n">
        <v>20000</v>
      </c>
      <c r="W70" s="339" t="inlineStr">
        <is>
          <t>계단식</t>
        </is>
      </c>
      <c r="X70" s="339" t="n">
        <v>3</v>
      </c>
      <c r="Y70" s="339" t="n">
        <v>2</v>
      </c>
      <c r="Z70" s="339" t="n">
        <v>449</v>
      </c>
      <c r="AA70" s="133" t="n"/>
      <c r="AB70" s="133" t="n"/>
      <c r="AC70" s="99">
        <f>L70</f>
        <v/>
      </c>
      <c r="AD70" s="99" t="n"/>
      <c r="AE70" s="99" t="n"/>
      <c r="AF70" s="99">
        <f>AE70/AD70</f>
        <v/>
      </c>
      <c r="AG70" s="100">
        <f>AD70-AE70</f>
        <v/>
      </c>
      <c r="AH70" s="339" t="n">
        <v>2026.04</v>
      </c>
      <c r="AI70" s="339" t="n">
        <v>22500</v>
      </c>
      <c r="AJ70" s="339">
        <f>AI70-AD70</f>
        <v/>
      </c>
      <c r="AK70" s="129">
        <f>(AI70-AD70)/AD70</f>
        <v/>
      </c>
      <c r="AL70" s="101">
        <f>AJ70/AG70</f>
        <v/>
      </c>
      <c r="AM70" s="133" t="n"/>
      <c r="AN70" s="133" t="n"/>
      <c r="AO70" s="339" t="n"/>
      <c r="AP70" s="339" t="n"/>
      <c r="AQ70" s="339" t="n"/>
      <c r="AR70" s="339" t="n"/>
      <c r="AS70" s="339" t="n"/>
      <c r="AT70" s="339" t="n"/>
      <c r="AU70" s="339" t="n"/>
      <c r="AV70" s="133" t="n"/>
      <c r="AW70" s="339" t="n"/>
      <c r="AX70" s="339" t="n"/>
      <c r="AY70" s="339" t="n"/>
    </row>
    <row r="71" ht="15.5" customHeight="1" s="139">
      <c r="A71" s="132" t="inlineStr">
        <is>
          <t>청당동</t>
        </is>
      </c>
      <c r="B71" s="133" t="n"/>
      <c r="C71" s="133" t="n"/>
      <c r="D71" s="132" t="n">
        <v>24363</v>
      </c>
      <c r="E71" s="135" t="inlineStr">
        <is>
          <t>청당마을벽산블루밍</t>
        </is>
      </c>
      <c r="F71" s="132" t="n">
        <v>2007.09</v>
      </c>
      <c r="G71" s="132" t="n">
        <v>1647</v>
      </c>
      <c r="H71" s="132">
        <f>2026-F71+1</f>
        <v/>
      </c>
      <c r="I71" s="132" t="inlineStr">
        <is>
          <t>106A, 107C, 107B</t>
        </is>
      </c>
      <c r="J71" s="132" t="n">
        <v>106</v>
      </c>
      <c r="K71" s="132" t="n">
        <v>84</v>
      </c>
      <c r="L71" s="132" t="n">
        <v>32</v>
      </c>
      <c r="M71" s="132" t="inlineStr">
        <is>
          <t>계단식</t>
        </is>
      </c>
      <c r="N71" s="132" t="n">
        <v>3</v>
      </c>
      <c r="O71" s="132" t="n">
        <v>2</v>
      </c>
      <c r="P71" s="132" t="n">
        <v>907</v>
      </c>
      <c r="Q71" s="96" t="n">
        <v>22300</v>
      </c>
      <c r="R71" s="96" t="n">
        <v>20000</v>
      </c>
      <c r="S71" s="477">
        <f>Q71-R71</f>
        <v/>
      </c>
      <c r="T71" s="71">
        <f>R71/Q71</f>
        <v/>
      </c>
      <c r="U71" s="96" t="n">
        <v>33000</v>
      </c>
      <c r="V71" s="96" t="n">
        <v>22600</v>
      </c>
      <c r="W71" s="339" t="inlineStr">
        <is>
          <t>계단식</t>
        </is>
      </c>
      <c r="X71" s="339" t="n">
        <v>3</v>
      </c>
      <c r="Y71" s="339" t="n">
        <v>2</v>
      </c>
      <c r="Z71" s="339" t="n">
        <v>907</v>
      </c>
      <c r="AA71" s="133" t="n">
        <v>2022.06</v>
      </c>
      <c r="AB71" s="133" t="n">
        <v>0.02</v>
      </c>
      <c r="AC71" s="99">
        <f>L71</f>
        <v/>
      </c>
      <c r="AD71" s="99" t="n">
        <v>29136</v>
      </c>
      <c r="AE71" s="99" t="n">
        <v>24987</v>
      </c>
      <c r="AF71" s="99">
        <f>AE71/AD71</f>
        <v/>
      </c>
      <c r="AG71" s="100">
        <f>AD71-AE71</f>
        <v/>
      </c>
      <c r="AH71" s="339" t="n">
        <v>2026.04</v>
      </c>
      <c r="AI71" s="339" t="n">
        <v>22300</v>
      </c>
      <c r="AJ71" s="339">
        <f>AI71-AD71</f>
        <v/>
      </c>
      <c r="AK71" s="129">
        <f>(AI71-AD71)/AD71</f>
        <v/>
      </c>
      <c r="AL71" s="101">
        <f>AJ71/AG71</f>
        <v/>
      </c>
      <c r="AM71" s="133" t="n"/>
      <c r="AN71" s="133" t="n"/>
      <c r="AO71" s="339" t="n"/>
      <c r="AP71" s="339" t="n"/>
      <c r="AQ71" s="339" t="n"/>
      <c r="AR71" s="339" t="n"/>
      <c r="AS71" s="339" t="n"/>
      <c r="AT71" s="339" t="n"/>
      <c r="AU71" s="339" t="n"/>
      <c r="AV71" s="133" t="n"/>
      <c r="AW71" s="339" t="n"/>
      <c r="AX71" s="339" t="n"/>
      <c r="AY71" s="339" t="n"/>
    </row>
    <row r="72" ht="15.5" customHeight="1" s="139">
      <c r="A72" s="339" t="inlineStr">
        <is>
          <t>신방동</t>
        </is>
      </c>
      <c r="D72" s="339" t="n">
        <v>135648</v>
      </c>
      <c r="E72" s="150" t="inlineStr">
        <is>
          <t>천안신방삼부르네상스</t>
        </is>
      </c>
      <c r="F72" s="339" t="n">
        <v>2023.05</v>
      </c>
      <c r="G72" s="339" t="n">
        <v>830</v>
      </c>
      <c r="H72" s="339">
        <f>2026-F72+1</f>
        <v/>
      </c>
      <c r="I72" s="339" t="inlineStr">
        <is>
          <t>81A, 82B</t>
        </is>
      </c>
      <c r="J72" s="339" t="n">
        <v>81</v>
      </c>
      <c r="K72" s="339" t="n">
        <v>59</v>
      </c>
      <c r="L72" s="339" t="n">
        <v>25</v>
      </c>
      <c r="M72" s="339" t="inlineStr">
        <is>
          <t>계단식</t>
        </is>
      </c>
      <c r="N72" s="339" t="n">
        <v>3</v>
      </c>
      <c r="O72" s="339" t="n">
        <v>2</v>
      </c>
      <c r="P72" s="339" t="n">
        <v>516</v>
      </c>
      <c r="Q72" s="483" t="n">
        <v>22000</v>
      </c>
      <c r="R72" s="484" t="n">
        <v>20000</v>
      </c>
      <c r="S72" s="477">
        <f>Q72-R72</f>
        <v/>
      </c>
      <c r="T72" s="71">
        <f>R72/Q72</f>
        <v/>
      </c>
      <c r="U72" s="484" t="n"/>
      <c r="V72" s="484" t="n">
        <v>22330</v>
      </c>
      <c r="W72" s="339" t="inlineStr">
        <is>
          <t>계단식</t>
        </is>
      </c>
      <c r="X72" s="339" t="n">
        <v>3</v>
      </c>
      <c r="Y72" s="339" t="n">
        <v>2</v>
      </c>
      <c r="Z72" s="339" t="n">
        <v>516</v>
      </c>
      <c r="AC72" s="37">
        <f>L72</f>
        <v/>
      </c>
      <c r="AD72" s="479" t="n"/>
      <c r="AE72" s="479" t="n"/>
      <c r="AF72" s="38">
        <f>AE72/AD72</f>
        <v/>
      </c>
      <c r="AG72" s="39">
        <f>AD72-AE72</f>
        <v/>
      </c>
      <c r="AH72" s="339" t="n">
        <v>2026.04</v>
      </c>
      <c r="AI72" s="339" t="n">
        <v>22000</v>
      </c>
      <c r="AJ72" s="339">
        <f>AI72-AD72</f>
        <v/>
      </c>
      <c r="AK72" s="129">
        <f>(AI72-AD72)/AD72</f>
        <v/>
      </c>
      <c r="AL72" s="29">
        <f>AJ72/AG72</f>
        <v/>
      </c>
      <c r="AM72" s="357" t="n"/>
    </row>
    <row r="73" ht="15.5" customHeight="1" s="139">
      <c r="A73" s="339" t="inlineStr">
        <is>
          <t>신부동</t>
        </is>
      </c>
      <c r="D73" s="339" t="n">
        <v>7421</v>
      </c>
      <c r="E73" s="150" t="inlineStr">
        <is>
          <t>경남아너스빌</t>
        </is>
      </c>
      <c r="F73" s="339" t="n">
        <v>2000.03</v>
      </c>
      <c r="G73" s="339" t="n">
        <v>619</v>
      </c>
      <c r="H73" s="339">
        <f>2026-F73+1</f>
        <v/>
      </c>
      <c r="I73" s="339" t="inlineStr">
        <is>
          <t>107</t>
        </is>
      </c>
      <c r="J73" s="339" t="n">
        <v>107</v>
      </c>
      <c r="K73" s="339" t="n">
        <v>84</v>
      </c>
      <c r="L73" s="339" t="n">
        <v>32</v>
      </c>
      <c r="M73" s="339" t="inlineStr">
        <is>
          <t>계단식</t>
        </is>
      </c>
      <c r="N73" s="339" t="n">
        <v>3</v>
      </c>
      <c r="O73" s="339" t="n">
        <v>2</v>
      </c>
      <c r="P73" s="339" t="n">
        <v>376</v>
      </c>
      <c r="Q73" s="483" t="n">
        <v>22000</v>
      </c>
      <c r="R73" s="484" t="n">
        <v>17000</v>
      </c>
      <c r="S73" s="477">
        <f>Q73-R73</f>
        <v/>
      </c>
      <c r="T73" s="71">
        <f>R73/Q73</f>
        <v/>
      </c>
      <c r="U73" s="484" t="n">
        <v>23000</v>
      </c>
      <c r="V73" s="484" t="n">
        <v>17000</v>
      </c>
      <c r="W73" s="339" t="inlineStr">
        <is>
          <t>계단식</t>
        </is>
      </c>
      <c r="X73" s="339" t="n">
        <v>3</v>
      </c>
      <c r="Y73" s="339" t="n">
        <v>2</v>
      </c>
      <c r="Z73" s="339" t="n">
        <v>376</v>
      </c>
      <c r="AA73" s="337" t="n">
        <v>2023.02</v>
      </c>
      <c r="AB73" s="339" t="n">
        <v>0.01</v>
      </c>
      <c r="AC73" s="37">
        <f>L73</f>
        <v/>
      </c>
      <c r="AD73" s="479" t="n">
        <v>20360</v>
      </c>
      <c r="AE73" s="479" t="n">
        <v>16500</v>
      </c>
      <c r="AF73" s="38">
        <f>AE73/AD73</f>
        <v/>
      </c>
      <c r="AG73" s="39">
        <f>AD73-AE73</f>
        <v/>
      </c>
      <c r="AH73" s="339" t="n">
        <v>2026.04</v>
      </c>
      <c r="AI73" s="405" t="n">
        <v>22000</v>
      </c>
      <c r="AJ73" s="405">
        <f>AI73-AD73</f>
        <v/>
      </c>
      <c r="AK73" s="129">
        <f>(AI73-AD73)/AD73</f>
        <v/>
      </c>
      <c r="AL73" s="29">
        <f>AJ73/AG73</f>
        <v/>
      </c>
      <c r="AM73" s="357" t="n"/>
    </row>
    <row r="74" ht="15.5" customHeight="1" s="139">
      <c r="A74" s="132" t="inlineStr">
        <is>
          <t>신부동</t>
        </is>
      </c>
      <c r="B74" s="88" t="n"/>
      <c r="C74" s="89" t="n"/>
      <c r="D74" s="132" t="n">
        <v>7416</v>
      </c>
      <c r="E74" s="135" t="inlineStr">
        <is>
          <t>대림한숲</t>
        </is>
      </c>
      <c r="F74" s="132" t="n">
        <v>1995.1</v>
      </c>
      <c r="G74" s="132" t="n">
        <v>451</v>
      </c>
      <c r="H74" s="132">
        <f>2026-F74+1</f>
        <v/>
      </c>
      <c r="I74" s="132" t="inlineStr">
        <is>
          <t>106</t>
        </is>
      </c>
      <c r="J74" s="132" t="n">
        <v>106</v>
      </c>
      <c r="K74" s="132" t="n">
        <v>84</v>
      </c>
      <c r="L74" s="132" t="n">
        <v>32</v>
      </c>
      <c r="M74" s="132" t="inlineStr">
        <is>
          <t>계단식</t>
        </is>
      </c>
      <c r="N74" s="132" t="n">
        <v>3</v>
      </c>
      <c r="O74" s="132" t="n">
        <v>2</v>
      </c>
      <c r="P74" s="132" t="n">
        <v>347</v>
      </c>
      <c r="Q74" s="480" t="n">
        <v>22000</v>
      </c>
      <c r="R74" s="481" t="n">
        <v>18000</v>
      </c>
      <c r="S74" s="477">
        <f>Q74-R74</f>
        <v/>
      </c>
      <c r="T74" s="71">
        <f>R74/Q74</f>
        <v/>
      </c>
      <c r="U74" s="481" t="n">
        <v>23500</v>
      </c>
      <c r="V74" s="481" t="n">
        <v>18700</v>
      </c>
      <c r="W74" s="339" t="inlineStr">
        <is>
          <t>계단식</t>
        </is>
      </c>
      <c r="X74" s="339" t="n">
        <v>3</v>
      </c>
      <c r="Y74" s="339" t="n">
        <v>2</v>
      </c>
      <c r="Z74" s="339" t="n">
        <v>347</v>
      </c>
      <c r="AA74" s="133" t="n">
        <v>2021.08</v>
      </c>
      <c r="AB74" s="133" t="n">
        <v>0.01</v>
      </c>
      <c r="AC74" s="77">
        <f>L74</f>
        <v/>
      </c>
      <c r="AD74" s="482" t="n">
        <v>20988</v>
      </c>
      <c r="AE74" s="482" t="n">
        <v>17050</v>
      </c>
      <c r="AF74" s="78">
        <f>AE74/AD74</f>
        <v/>
      </c>
      <c r="AG74" s="79">
        <f>AD74-AE74</f>
        <v/>
      </c>
      <c r="AH74" s="339" t="n">
        <v>2026.04</v>
      </c>
      <c r="AI74" s="339" t="n">
        <v>22000</v>
      </c>
      <c r="AJ74" s="339">
        <f>AI74-AD74</f>
        <v/>
      </c>
      <c r="AK74" s="129">
        <f>(AI74-AD74)/AD74</f>
        <v/>
      </c>
      <c r="AL74" s="80">
        <f>AJ74/AG74</f>
        <v/>
      </c>
      <c r="AM74" s="141" t="n"/>
      <c r="AN74" s="133" t="n"/>
      <c r="AV74" s="133" t="n"/>
    </row>
    <row r="75" ht="15.5" customHeight="1" s="139">
      <c r="A75" s="132" t="inlineStr">
        <is>
          <t>청당동</t>
        </is>
      </c>
      <c r="B75" s="133" t="n"/>
      <c r="C75" s="133" t="n"/>
      <c r="D75" s="132" t="n">
        <v>24363</v>
      </c>
      <c r="E75" s="135" t="inlineStr">
        <is>
          <t>청당마을벽산블루밍</t>
        </is>
      </c>
      <c r="F75" s="132" t="n">
        <v>2007.09</v>
      </c>
      <c r="G75" s="132" t="n">
        <v>1647</v>
      </c>
      <c r="H75" s="132">
        <f>2026-F75+1</f>
        <v/>
      </c>
      <c r="I75" s="132" t="inlineStr">
        <is>
          <t>95</t>
        </is>
      </c>
      <c r="J75" s="132" t="n">
        <v>95</v>
      </c>
      <c r="K75" s="132" t="n">
        <v>72</v>
      </c>
      <c r="L75" s="132" t="n">
        <v>29</v>
      </c>
      <c r="M75" s="132" t="inlineStr">
        <is>
          <t>계단식</t>
        </is>
      </c>
      <c r="N75" s="132" t="n">
        <v>3</v>
      </c>
      <c r="O75" s="132" t="n">
        <v>2</v>
      </c>
      <c r="P75" s="132" t="n">
        <v>82</v>
      </c>
      <c r="Q75" s="96" t="n">
        <v>22000</v>
      </c>
      <c r="R75" s="96" t="n">
        <v>16000</v>
      </c>
      <c r="S75" s="477">
        <f>Q75-R75</f>
        <v/>
      </c>
      <c r="T75" s="71">
        <f>R75/Q75</f>
        <v/>
      </c>
      <c r="U75" s="96" t="n">
        <v>26500</v>
      </c>
      <c r="V75" s="96" t="n">
        <v>22500</v>
      </c>
      <c r="W75" s="339" t="inlineStr">
        <is>
          <t>계단식</t>
        </is>
      </c>
      <c r="X75" s="339" t="n">
        <v>3</v>
      </c>
      <c r="Y75" s="339" t="n">
        <v>2</v>
      </c>
      <c r="Z75" s="339" t="n">
        <v>82</v>
      </c>
      <c r="AA75" s="133" t="n">
        <v>2019.04</v>
      </c>
      <c r="AB75" s="133" t="n">
        <v>0.03</v>
      </c>
      <c r="AC75" s="99">
        <f>L75</f>
        <v/>
      </c>
      <c r="AD75" s="99" t="n">
        <v>17325</v>
      </c>
      <c r="AE75" s="99" t="n">
        <v>15500</v>
      </c>
      <c r="AF75" s="99">
        <f>AE75/AD75</f>
        <v/>
      </c>
      <c r="AG75" s="100">
        <f>AD75-AE75</f>
        <v/>
      </c>
      <c r="AH75" s="339" t="n">
        <v>2026.04</v>
      </c>
      <c r="AI75" s="339" t="n">
        <v>22000</v>
      </c>
      <c r="AJ75" s="339">
        <f>AI75-AD75</f>
        <v/>
      </c>
      <c r="AK75" s="129">
        <f>(AI75-AD75)/AD75</f>
        <v/>
      </c>
      <c r="AL75" s="101">
        <f>AJ75/AG75</f>
        <v/>
      </c>
      <c r="AM75" s="133" t="n"/>
      <c r="AN75" s="133" t="n"/>
      <c r="AO75" s="339" t="n"/>
      <c r="AP75" s="339" t="n"/>
      <c r="AQ75" s="339" t="n"/>
      <c r="AR75" s="339" t="n"/>
      <c r="AS75" s="339" t="n"/>
      <c r="AT75" s="339" t="n"/>
      <c r="AU75" s="339" t="n"/>
      <c r="AV75" s="133" t="n"/>
      <c r="AW75" s="339" t="n"/>
      <c r="AX75" s="339" t="n"/>
      <c r="AY75" s="339" t="n"/>
    </row>
    <row r="76" ht="15.5" customHeight="1" s="139">
      <c r="A76" s="339" t="inlineStr">
        <is>
          <t>청수동</t>
        </is>
      </c>
      <c r="B76" s="164" t="n"/>
      <c r="C76" s="164" t="n"/>
      <c r="D76" s="339" t="n">
        <v>7572</v>
      </c>
      <c r="E76" s="150" t="inlineStr">
        <is>
          <t>청솔LG,SK</t>
        </is>
      </c>
      <c r="F76" s="339" t="n">
        <v>1999.02</v>
      </c>
      <c r="G76" s="339" t="n">
        <v>898</v>
      </c>
      <c r="H76" s="339">
        <f>2026-F76+1</f>
        <v/>
      </c>
      <c r="I76" s="339" t="inlineStr">
        <is>
          <t>107</t>
        </is>
      </c>
      <c r="J76" s="339" t="n">
        <v>107</v>
      </c>
      <c r="K76" s="339" t="n">
        <v>84</v>
      </c>
      <c r="L76" s="339" t="n">
        <v>32</v>
      </c>
      <c r="M76" s="339" t="inlineStr">
        <is>
          <t>계단식</t>
        </is>
      </c>
      <c r="N76" s="339" t="n">
        <v>3</v>
      </c>
      <c r="O76" s="339" t="n">
        <v>2</v>
      </c>
      <c r="P76" s="339" t="n">
        <v>238</v>
      </c>
      <c r="Q76" s="104" t="n">
        <v>22000</v>
      </c>
      <c r="R76" s="104" t="n">
        <v>20000</v>
      </c>
      <c r="S76" s="477">
        <f>Q76-R76</f>
        <v/>
      </c>
      <c r="T76" s="71">
        <f>R76/Q76</f>
        <v/>
      </c>
      <c r="U76" s="104" t="n">
        <v>24000</v>
      </c>
      <c r="V76" s="104" t="n">
        <v>20800</v>
      </c>
      <c r="W76" s="339" t="inlineStr">
        <is>
          <t>계단식</t>
        </is>
      </c>
      <c r="X76" s="339" t="n">
        <v>3</v>
      </c>
      <c r="Y76" s="339" t="n">
        <v>2</v>
      </c>
      <c r="Z76" s="339" t="n">
        <v>238</v>
      </c>
      <c r="AA76" s="339" t="n">
        <v>2019.08</v>
      </c>
      <c r="AB76" s="339" t="n">
        <v>0.02</v>
      </c>
      <c r="AC76" s="37">
        <f>L76</f>
        <v/>
      </c>
      <c r="AD76" s="108" t="n">
        <v>17100</v>
      </c>
      <c r="AE76" s="108" t="n">
        <v>14500</v>
      </c>
      <c r="AF76" s="108">
        <f>AE76/AD76</f>
        <v/>
      </c>
      <c r="AG76" s="109">
        <f>AD76-AE76</f>
        <v/>
      </c>
      <c r="AH76" s="339" t="n">
        <v>2026.04</v>
      </c>
      <c r="AI76" s="339" t="n">
        <v>22000</v>
      </c>
      <c r="AJ76" s="339">
        <f>AI76-AD76</f>
        <v/>
      </c>
      <c r="AK76" s="129">
        <f>(AI76-AD76)/AD76</f>
        <v/>
      </c>
      <c r="AL76" s="29">
        <f>AJ76/AG76</f>
        <v/>
      </c>
      <c r="AM76" s="357" t="n"/>
    </row>
    <row r="77" ht="15.5" customHeight="1" s="139">
      <c r="A77" s="339" t="inlineStr">
        <is>
          <t>용곡동</t>
        </is>
      </c>
      <c r="B77" s="164" t="n"/>
      <c r="C77" s="164" t="n"/>
      <c r="D77" s="339" t="n">
        <v>15430</v>
      </c>
      <c r="E77" s="150" t="inlineStr">
        <is>
          <t>용곡마을동일하이빌1단지</t>
        </is>
      </c>
      <c r="F77" s="339" t="n">
        <v>2005.12</v>
      </c>
      <c r="G77" s="339" t="n">
        <v>706</v>
      </c>
      <c r="H77" s="339">
        <f>2026-F77+1</f>
        <v/>
      </c>
      <c r="I77" s="339" t="inlineStr">
        <is>
          <t>111</t>
        </is>
      </c>
      <c r="J77" s="339" t="n">
        <v>111</v>
      </c>
      <c r="K77" s="339" t="n">
        <v>84</v>
      </c>
      <c r="L77" s="339" t="n">
        <v>34</v>
      </c>
      <c r="M77" s="339" t="inlineStr">
        <is>
          <t>계단식</t>
        </is>
      </c>
      <c r="N77" s="339" t="n">
        <v>3</v>
      </c>
      <c r="O77" s="339" t="n">
        <v>2</v>
      </c>
      <c r="P77" s="339" t="n">
        <v>323</v>
      </c>
      <c r="Q77" s="426" t="n">
        <v>21800</v>
      </c>
      <c r="R77" s="427" t="n">
        <v>21000</v>
      </c>
      <c r="S77" s="477">
        <f>Q77-R77</f>
        <v/>
      </c>
      <c r="T77" s="71">
        <f>R77/Q77</f>
        <v/>
      </c>
      <c r="U77" s="427" t="n">
        <v>29600</v>
      </c>
      <c r="V77" s="427" t="n">
        <v>21700</v>
      </c>
      <c r="W77" s="339" t="inlineStr">
        <is>
          <t>계단식</t>
        </is>
      </c>
      <c r="X77" s="339" t="n">
        <v>3</v>
      </c>
      <c r="Y77" s="339" t="n">
        <v>2</v>
      </c>
      <c r="Z77" s="339" t="n">
        <v>323</v>
      </c>
      <c r="AA77" s="339" t="n">
        <v>2019.09</v>
      </c>
      <c r="AB77" s="339" t="n">
        <v>0.02</v>
      </c>
      <c r="AC77" s="37">
        <f>L77</f>
        <v/>
      </c>
      <c r="AD77" s="479" t="n">
        <v>20450</v>
      </c>
      <c r="AE77" s="479" t="n">
        <v>17000</v>
      </c>
      <c r="AF77" s="38">
        <f>AE77/AD77</f>
        <v/>
      </c>
      <c r="AG77" s="39">
        <f>AD77-AE77</f>
        <v/>
      </c>
      <c r="AH77" s="339" t="n">
        <v>2026.04</v>
      </c>
      <c r="AI77" s="339" t="n">
        <v>21800</v>
      </c>
      <c r="AJ77" s="339">
        <f>AI77-AD77</f>
        <v/>
      </c>
      <c r="AK77" s="129">
        <f>(AI77-AD77)/AD77</f>
        <v/>
      </c>
      <c r="AL77" s="29">
        <f>AJ77/AG77</f>
        <v/>
      </c>
      <c r="AM77" s="357" t="n"/>
      <c r="AO77" s="339" t="n"/>
      <c r="AP77" s="339" t="n"/>
      <c r="AQ77" s="339" t="n"/>
      <c r="AR77" s="339" t="n"/>
      <c r="AS77" s="339" t="n"/>
      <c r="AT77" s="339" t="n"/>
      <c r="AU77" s="339" t="n"/>
      <c r="AW77" s="339" t="n"/>
      <c r="AX77" s="339" t="n"/>
      <c r="AY77" s="339" t="n"/>
    </row>
    <row r="78" ht="15.5" customHeight="1" s="139">
      <c r="A78" s="339" t="inlineStr">
        <is>
          <t>신방동</t>
        </is>
      </c>
      <c r="D78" s="339" t="n">
        <v>27682</v>
      </c>
      <c r="E78" s="150" t="inlineStr">
        <is>
          <t>신방한라비발디</t>
        </is>
      </c>
      <c r="F78" s="339" t="n">
        <v>2009.09</v>
      </c>
      <c r="G78" s="339" t="n">
        <v>764</v>
      </c>
      <c r="H78" s="339">
        <f>2026-F78+1</f>
        <v/>
      </c>
      <c r="I78" s="339" t="inlineStr">
        <is>
          <t>107, 110B, 112A</t>
        </is>
      </c>
      <c r="J78" s="339" t="n">
        <v>107</v>
      </c>
      <c r="K78" s="339" t="n">
        <v>84</v>
      </c>
      <c r="L78" s="339" t="n">
        <v>32</v>
      </c>
      <c r="M78" s="339" t="inlineStr">
        <is>
          <t>계단식</t>
        </is>
      </c>
      <c r="N78" s="339" t="n">
        <v>3</v>
      </c>
      <c r="O78" s="339" t="n">
        <v>2</v>
      </c>
      <c r="P78" s="339" t="n">
        <v>664</v>
      </c>
      <c r="Q78" s="483" t="n">
        <v>21500</v>
      </c>
      <c r="R78" s="484" t="n">
        <v>23000</v>
      </c>
      <c r="S78" s="477">
        <f>Q78-R78</f>
        <v/>
      </c>
      <c r="T78" s="71">
        <f>R78/Q78</f>
        <v/>
      </c>
      <c r="U78" s="484" t="n">
        <v>36000</v>
      </c>
      <c r="V78" s="484" t="n">
        <v>21500</v>
      </c>
      <c r="W78" s="339" t="inlineStr">
        <is>
          <t>계단식</t>
        </is>
      </c>
      <c r="X78" s="339" t="n">
        <v>3</v>
      </c>
      <c r="Y78" s="339" t="n">
        <v>2</v>
      </c>
      <c r="Z78" s="339" t="n">
        <v>664</v>
      </c>
      <c r="AA78" s="339" t="n">
        <v>2018.01</v>
      </c>
      <c r="AB78" s="339" t="n">
        <v>0.03</v>
      </c>
      <c r="AC78" s="37">
        <f>L78</f>
        <v/>
      </c>
      <c r="AD78" s="479" t="n">
        <v>20500</v>
      </c>
      <c r="AE78" s="479" t="n">
        <v>17050</v>
      </c>
      <c r="AF78" s="38">
        <f>AE78/AD78</f>
        <v/>
      </c>
      <c r="AG78" s="39">
        <f>AD78-AE78</f>
        <v/>
      </c>
      <c r="AH78" s="339" t="n">
        <v>2026.04</v>
      </c>
      <c r="AI78" s="339" t="n">
        <v>21500</v>
      </c>
      <c r="AJ78" s="339">
        <f>AI78-AD78</f>
        <v/>
      </c>
      <c r="AK78" s="129">
        <f>(AI78-AD78)/AD78</f>
        <v/>
      </c>
      <c r="AL78" s="29">
        <f>AJ78/AG78</f>
        <v/>
      </c>
      <c r="AM78" s="357" t="n"/>
    </row>
    <row r="79" ht="15.5" customHeight="1" s="139">
      <c r="A79" s="339" t="inlineStr">
        <is>
          <t>안서동</t>
        </is>
      </c>
      <c r="D79" s="339" t="n">
        <v>27431</v>
      </c>
      <c r="E79" s="150" t="inlineStr">
        <is>
          <t>안서금호어울림</t>
        </is>
      </c>
      <c r="F79" s="339" t="n">
        <v>2009.08</v>
      </c>
      <c r="G79" s="339" t="n">
        <v>498</v>
      </c>
      <c r="H79" s="339">
        <f>2026-F79+1</f>
        <v/>
      </c>
      <c r="I79" s="339" t="inlineStr">
        <is>
          <t>114A, 114B, 114B-1</t>
        </is>
      </c>
      <c r="J79" s="339" t="n">
        <v>114</v>
      </c>
      <c r="K79" s="339" t="n">
        <v>84</v>
      </c>
      <c r="L79" s="339" t="n">
        <v>34</v>
      </c>
      <c r="M79" s="339" t="inlineStr">
        <is>
          <t>계단식</t>
        </is>
      </c>
      <c r="N79" s="339" t="n">
        <v>3</v>
      </c>
      <c r="O79" s="339" t="n">
        <v>2</v>
      </c>
      <c r="P79" s="339" t="n">
        <v>342</v>
      </c>
      <c r="Q79" s="426" t="n">
        <v>21500</v>
      </c>
      <c r="R79" s="427" t="n">
        <v>21500</v>
      </c>
      <c r="S79" s="477">
        <f>Q79-R79</f>
        <v/>
      </c>
      <c r="T79" s="71">
        <f>R79/Q79</f>
        <v/>
      </c>
      <c r="U79" s="427" t="n">
        <v>26900</v>
      </c>
      <c r="V79" s="427" t="n">
        <v>21900</v>
      </c>
      <c r="W79" s="339" t="inlineStr">
        <is>
          <t>계단식</t>
        </is>
      </c>
      <c r="X79" s="339" t="n">
        <v>3</v>
      </c>
      <c r="Y79" s="339" t="n">
        <v>2</v>
      </c>
      <c r="Z79" s="339" t="n">
        <v>342</v>
      </c>
      <c r="AA79" s="339" t="n">
        <v>2019.09</v>
      </c>
      <c r="AB79" s="339" t="n">
        <v>0.03</v>
      </c>
      <c r="AC79" s="37">
        <f>L79</f>
        <v/>
      </c>
      <c r="AD79" s="479" t="n">
        <v>17920</v>
      </c>
      <c r="AE79" s="479" t="n">
        <v>15542</v>
      </c>
      <c r="AF79" s="38">
        <f>AE79/AD79</f>
        <v/>
      </c>
      <c r="AG79" s="39">
        <f>AD79-AE79</f>
        <v/>
      </c>
      <c r="AH79" s="339" t="n">
        <v>2026.04</v>
      </c>
      <c r="AI79" s="339" t="n">
        <v>21500</v>
      </c>
      <c r="AJ79" s="339">
        <f>AI79-AD79</f>
        <v/>
      </c>
      <c r="AK79" s="129">
        <f>(AI79-AD79)/AD79</f>
        <v/>
      </c>
      <c r="AL79" s="29">
        <f>AJ79/AG79</f>
        <v/>
      </c>
      <c r="AM79" s="357" t="n"/>
    </row>
    <row r="80" ht="15.5" customHeight="1" s="139">
      <c r="A80" s="132" t="inlineStr">
        <is>
          <t>신부동</t>
        </is>
      </c>
      <c r="B80" s="88" t="n"/>
      <c r="C80" s="89" t="n"/>
      <c r="D80" s="132" t="n">
        <v>7416</v>
      </c>
      <c r="E80" s="135" t="inlineStr">
        <is>
          <t>대림한숲</t>
        </is>
      </c>
      <c r="F80" s="132" t="n">
        <v>1995.1</v>
      </c>
      <c r="G80" s="132" t="n">
        <v>451</v>
      </c>
      <c r="H80" s="132">
        <f>2026-F80+1</f>
        <v/>
      </c>
      <c r="I80" s="132" t="inlineStr">
        <is>
          <t>90</t>
        </is>
      </c>
      <c r="J80" s="132" t="n">
        <v>90</v>
      </c>
      <c r="K80" s="132" t="n">
        <v>70</v>
      </c>
      <c r="L80" s="132" t="n">
        <v>27</v>
      </c>
      <c r="M80" s="132" t="inlineStr">
        <is>
          <t>계단식</t>
        </is>
      </c>
      <c r="N80" s="132" t="n">
        <v>3</v>
      </c>
      <c r="O80" s="132" t="n">
        <v>1</v>
      </c>
      <c r="P80" s="132" t="n">
        <v>104</v>
      </c>
      <c r="Q80" s="480" t="n">
        <v>21000</v>
      </c>
      <c r="R80" s="481" t="n">
        <v>17000</v>
      </c>
      <c r="S80" s="477">
        <f>Q80-R80</f>
        <v/>
      </c>
      <c r="T80" s="71">
        <f>R80/Q80</f>
        <v/>
      </c>
      <c r="U80" s="481" t="n">
        <v>21000</v>
      </c>
      <c r="V80" s="481" t="n">
        <v>18200</v>
      </c>
      <c r="W80" s="339" t="inlineStr">
        <is>
          <t>계단식</t>
        </is>
      </c>
      <c r="X80" s="339" t="n">
        <v>3</v>
      </c>
      <c r="Y80" s="339" t="n">
        <v>1</v>
      </c>
      <c r="Z80" s="339" t="n">
        <v>104</v>
      </c>
      <c r="AA80" s="133" t="n">
        <v>2019.01</v>
      </c>
      <c r="AB80" s="133" t="n">
        <v>1.04</v>
      </c>
      <c r="AC80" s="77">
        <f>L80</f>
        <v/>
      </c>
      <c r="AD80" s="482" t="n">
        <v>15200</v>
      </c>
      <c r="AE80" s="482" t="n">
        <v>13000</v>
      </c>
      <c r="AF80" s="78">
        <f>AE80/AD80</f>
        <v/>
      </c>
      <c r="AG80" s="79">
        <f>AD80-AE80</f>
        <v/>
      </c>
      <c r="AH80" s="339" t="n">
        <v>2026.04</v>
      </c>
      <c r="AI80" s="339" t="n">
        <v>21000</v>
      </c>
      <c r="AJ80" s="339">
        <f>AI80-AD80</f>
        <v/>
      </c>
      <c r="AK80" s="129">
        <f>(AI80-AD80)/AD80</f>
        <v/>
      </c>
      <c r="AL80" s="80">
        <f>AJ80/AG80</f>
        <v/>
      </c>
      <c r="AM80" s="141" t="n"/>
      <c r="AN80" s="133" t="n"/>
      <c r="AO80" s="339" t="n"/>
      <c r="AP80" s="339" t="n"/>
      <c r="AQ80" s="339" t="n"/>
      <c r="AR80" s="339" t="n"/>
      <c r="AS80" s="339" t="n"/>
      <c r="AT80" s="339" t="n"/>
      <c r="AU80" s="339" t="n"/>
      <c r="AV80" s="133" t="n"/>
      <c r="AW80" s="339" t="n"/>
      <c r="AX80" s="339" t="n"/>
      <c r="AY80" s="339" t="n"/>
    </row>
    <row r="81" ht="15.5" customHeight="1" s="139">
      <c r="A81" s="132" t="inlineStr">
        <is>
          <t>용곡동</t>
        </is>
      </c>
      <c r="B81" s="88" t="n"/>
      <c r="C81" s="89" t="n"/>
      <c r="D81" s="132" t="n">
        <v>26157</v>
      </c>
      <c r="E81" s="135" t="inlineStr">
        <is>
          <t>용곡마을세광엔리치타워2차</t>
        </is>
      </c>
      <c r="F81" s="132" t="n">
        <v>2007.1</v>
      </c>
      <c r="G81" s="132" t="n">
        <v>897</v>
      </c>
      <c r="H81" s="132">
        <f>2026-F81+1</f>
        <v/>
      </c>
      <c r="I81" s="132" t="inlineStr">
        <is>
          <t>115</t>
        </is>
      </c>
      <c r="J81" s="132" t="n">
        <v>115</v>
      </c>
      <c r="K81" s="132" t="n">
        <v>84</v>
      </c>
      <c r="L81" s="132" t="n">
        <v>35</v>
      </c>
      <c r="M81" s="132" t="inlineStr">
        <is>
          <t>계단식</t>
        </is>
      </c>
      <c r="N81" s="132" t="n">
        <v>3</v>
      </c>
      <c r="O81" s="132" t="n">
        <v>2</v>
      </c>
      <c r="P81" s="132" t="n">
        <v>427</v>
      </c>
      <c r="Q81" s="480" t="n">
        <v>21000</v>
      </c>
      <c r="R81" s="481" t="n">
        <v>16000</v>
      </c>
      <c r="S81" s="477">
        <f>Q81-R81</f>
        <v/>
      </c>
      <c r="T81" s="71">
        <f>R81/Q81</f>
        <v/>
      </c>
      <c r="U81" s="481" t="n">
        <v>28500</v>
      </c>
      <c r="V81" s="481" t="n">
        <v>20000</v>
      </c>
      <c r="W81" s="339" t="inlineStr">
        <is>
          <t>계단식</t>
        </is>
      </c>
      <c r="X81" s="339" t="n">
        <v>3</v>
      </c>
      <c r="Y81" s="339" t="n">
        <v>2</v>
      </c>
      <c r="Z81" s="339" t="n">
        <v>427</v>
      </c>
      <c r="AA81" s="133" t="n"/>
      <c r="AB81" s="133" t="n"/>
      <c r="AC81" s="77">
        <f>L81</f>
        <v/>
      </c>
      <c r="AD81" s="482" t="n"/>
      <c r="AE81" s="482" t="n"/>
      <c r="AF81" s="78">
        <f>AE81/AD81</f>
        <v/>
      </c>
      <c r="AG81" s="79">
        <f>AD81-AE81</f>
        <v/>
      </c>
      <c r="AH81" s="339" t="n">
        <v>2026.04</v>
      </c>
      <c r="AI81" s="339" t="n">
        <v>21000</v>
      </c>
      <c r="AJ81" s="339">
        <f>AI81-AD81</f>
        <v/>
      </c>
      <c r="AK81" s="129">
        <f>(AI81-AD81)/AD81</f>
        <v/>
      </c>
      <c r="AL81" s="80">
        <f>AJ81/AG81</f>
        <v/>
      </c>
      <c r="AM81" s="141" t="n"/>
      <c r="AN81" s="133" t="n"/>
      <c r="AV81" s="133" t="n"/>
    </row>
    <row r="82" ht="15.5" customHeight="1" s="139">
      <c r="A82" s="339" t="inlineStr">
        <is>
          <t>용곡동</t>
        </is>
      </c>
      <c r="B82" s="164" t="n"/>
      <c r="C82" s="164" t="n"/>
      <c r="D82" s="339" t="n">
        <v>19242</v>
      </c>
      <c r="E82" s="150" t="inlineStr">
        <is>
          <t>용곡마을아이파크</t>
        </is>
      </c>
      <c r="F82" s="339" t="n">
        <v>2006.09</v>
      </c>
      <c r="G82" s="339" t="n">
        <v>403</v>
      </c>
      <c r="H82" s="339">
        <f>2026-F82+1</f>
        <v/>
      </c>
      <c r="I82" s="339" t="inlineStr">
        <is>
          <t>114</t>
        </is>
      </c>
      <c r="J82" s="339" t="n">
        <v>114</v>
      </c>
      <c r="K82" s="339" t="n">
        <v>84</v>
      </c>
      <c r="L82" s="339" t="n">
        <v>34</v>
      </c>
      <c r="M82" s="339" t="inlineStr">
        <is>
          <t>계단식</t>
        </is>
      </c>
      <c r="N82" s="339" t="n">
        <v>3</v>
      </c>
      <c r="O82" s="339" t="n">
        <v>2</v>
      </c>
      <c r="P82" s="339" t="n">
        <v>232</v>
      </c>
      <c r="Q82" s="426" t="n">
        <v>21000</v>
      </c>
      <c r="R82" s="427" t="n">
        <v>15000</v>
      </c>
      <c r="S82" s="477">
        <f>Q82-R82</f>
        <v/>
      </c>
      <c r="T82" s="71">
        <f>R82/Q82</f>
        <v/>
      </c>
      <c r="U82" s="427" t="n">
        <v>30500</v>
      </c>
      <c r="V82" s="427" t="n">
        <v>20500</v>
      </c>
      <c r="W82" s="339" t="inlineStr">
        <is>
          <t>계단식</t>
        </is>
      </c>
      <c r="X82" s="339" t="n">
        <v>3</v>
      </c>
      <c r="Y82" s="339" t="n">
        <v>2</v>
      </c>
      <c r="Z82" s="339" t="n">
        <v>232</v>
      </c>
      <c r="AA82" s="339" t="n">
        <v>2021.08</v>
      </c>
      <c r="AB82" s="339" t="n">
        <v>0.03</v>
      </c>
      <c r="AC82" s="37">
        <f>L82</f>
        <v/>
      </c>
      <c r="AD82" s="479" t="n">
        <v>22844</v>
      </c>
      <c r="AE82" s="479" t="n">
        <v>21000</v>
      </c>
      <c r="AF82" s="38">
        <f>AE82/AD82</f>
        <v/>
      </c>
      <c r="AG82" s="39">
        <f>AD82-AE82</f>
        <v/>
      </c>
      <c r="AH82" s="339" t="n">
        <v>2026.04</v>
      </c>
      <c r="AI82" s="339" t="n">
        <v>21000</v>
      </c>
      <c r="AJ82" s="339">
        <f>AI82-AD82</f>
        <v/>
      </c>
      <c r="AK82" s="129">
        <f>(AI82-AD82)/AD82</f>
        <v/>
      </c>
      <c r="AL82" s="29">
        <f>AJ82/AG82</f>
        <v/>
      </c>
      <c r="AM82" s="357" t="n"/>
    </row>
    <row r="83" ht="15.5" customHeight="1" s="139">
      <c r="A83" s="339" t="inlineStr">
        <is>
          <t>다가동</t>
        </is>
      </c>
      <c r="B83" s="164" t="n"/>
      <c r="C83" s="164" t="n"/>
      <c r="D83" s="339" t="n">
        <v>145699</v>
      </c>
      <c r="E83" s="150" t="inlineStr">
        <is>
          <t>천안극동스타클래스더퍼스트</t>
        </is>
      </c>
      <c r="F83" s="339" t="n">
        <v>2025.01</v>
      </c>
      <c r="G83" s="339" t="n">
        <v>1225</v>
      </c>
      <c r="H83" s="339">
        <f>2026-F83+1</f>
        <v/>
      </c>
      <c r="I83" s="339" t="inlineStr">
        <is>
          <t>100B, 100A</t>
        </is>
      </c>
      <c r="J83" s="339" t="n">
        <v>100</v>
      </c>
      <c r="K83" s="339" t="n">
        <v>74</v>
      </c>
      <c r="L83" s="339" t="n">
        <v>30</v>
      </c>
      <c r="M83" s="339" t="inlineStr">
        <is>
          <t>계단식</t>
        </is>
      </c>
      <c r="N83" s="339" t="n">
        <v>3</v>
      </c>
      <c r="O83" s="339" t="n">
        <v>2</v>
      </c>
      <c r="P83" s="339" t="n">
        <v>438</v>
      </c>
      <c r="Q83" s="483" t="n">
        <v>20500</v>
      </c>
      <c r="R83" s="484" t="n">
        <v>21000</v>
      </c>
      <c r="S83" s="477">
        <f>Q83-R83</f>
        <v/>
      </c>
      <c r="T83" s="71">
        <f>R83/Q83</f>
        <v/>
      </c>
      <c r="U83" s="484" t="n"/>
      <c r="V83" s="484" t="n"/>
      <c r="W83" s="339" t="inlineStr">
        <is>
          <t>계단식</t>
        </is>
      </c>
      <c r="X83" s="339" t="n">
        <v>3</v>
      </c>
      <c r="Y83" s="339" t="n">
        <v>2</v>
      </c>
      <c r="Z83" s="339" t="n">
        <v>438</v>
      </c>
      <c r="AA83" s="337" t="n"/>
      <c r="AC83" s="37">
        <f>L83</f>
        <v/>
      </c>
      <c r="AD83" s="479" t="n"/>
      <c r="AE83" s="479" t="n"/>
      <c r="AF83" s="38">
        <f>AE83/AD83</f>
        <v/>
      </c>
      <c r="AG83" s="39">
        <f>AD83-AE83</f>
        <v/>
      </c>
      <c r="AH83" s="339" t="n">
        <v>2026.04</v>
      </c>
      <c r="AI83" s="405" t="n">
        <v>20500</v>
      </c>
      <c r="AJ83" s="405">
        <f>AI83-AD83</f>
        <v/>
      </c>
      <c r="AK83" s="129">
        <f>(AI83-AD83)/AD83</f>
        <v/>
      </c>
      <c r="AL83" s="29">
        <f>AJ83/AG83</f>
        <v/>
      </c>
      <c r="AM83" s="357" t="n"/>
      <c r="AO83" s="339" t="n"/>
      <c r="AP83" s="339" t="n"/>
      <c r="AQ83" s="339" t="n"/>
      <c r="AR83" s="339" t="n"/>
      <c r="AS83" s="339" t="n"/>
      <c r="AT83" s="339" t="n"/>
      <c r="AU83" s="339" t="n"/>
      <c r="AW83" s="339" t="n"/>
      <c r="AX83" s="339" t="n"/>
      <c r="AY83" s="339" t="n"/>
    </row>
    <row r="84" ht="15.5" customHeight="1" s="139">
      <c r="A84" s="339" t="inlineStr">
        <is>
          <t>신방동</t>
        </is>
      </c>
      <c r="B84" s="164" t="n"/>
      <c r="C84" s="164" t="n"/>
      <c r="D84" s="339" t="n">
        <v>135648</v>
      </c>
      <c r="E84" s="150" t="inlineStr">
        <is>
          <t>천안신방삼부르네상스</t>
        </is>
      </c>
      <c r="F84" s="339" t="n">
        <v>2023.05</v>
      </c>
      <c r="G84" s="339" t="n">
        <v>830</v>
      </c>
      <c r="H84" s="339">
        <f>2026-F84+1</f>
        <v/>
      </c>
      <c r="I84" s="339" t="inlineStr">
        <is>
          <t>98A</t>
        </is>
      </c>
      <c r="J84" s="339" t="n">
        <v>98</v>
      </c>
      <c r="K84" s="339" t="n">
        <v>75</v>
      </c>
      <c r="L84" s="339" t="n">
        <v>30</v>
      </c>
      <c r="M84" s="339" t="inlineStr">
        <is>
          <t>계단식</t>
        </is>
      </c>
      <c r="N84" s="339" t="n">
        <v>3</v>
      </c>
      <c r="O84" s="339" t="n">
        <v>2</v>
      </c>
      <c r="P84" s="339" t="n">
        <v>220</v>
      </c>
      <c r="Q84" s="483" t="n">
        <v>20500</v>
      </c>
      <c r="R84" s="484" t="n">
        <v>24000</v>
      </c>
      <c r="S84" s="477">
        <f>Q84-R84</f>
        <v/>
      </c>
      <c r="T84" s="71">
        <f>R84/Q84</f>
        <v/>
      </c>
      <c r="U84" s="484" t="n"/>
      <c r="V84" s="484" t="n">
        <v>30700</v>
      </c>
      <c r="W84" s="339" t="inlineStr">
        <is>
          <t>계단식</t>
        </is>
      </c>
      <c r="X84" s="339" t="n">
        <v>3</v>
      </c>
      <c r="Y84" s="339" t="n">
        <v>2</v>
      </c>
      <c r="Z84" s="339" t="n">
        <v>220</v>
      </c>
      <c r="AC84" s="37">
        <f>L84</f>
        <v/>
      </c>
      <c r="AD84" s="479" t="n"/>
      <c r="AE84" s="479" t="n"/>
      <c r="AF84" s="38">
        <f>AE84/AD84</f>
        <v/>
      </c>
      <c r="AG84" s="39">
        <f>AD84-AE84</f>
        <v/>
      </c>
      <c r="AH84" s="339" t="n">
        <v>2026.04</v>
      </c>
      <c r="AI84" s="339" t="n">
        <v>20500</v>
      </c>
      <c r="AJ84" s="339">
        <f>AI84-AD84</f>
        <v/>
      </c>
      <c r="AK84" s="129">
        <f>(AI84-AD84)/AD84</f>
        <v/>
      </c>
      <c r="AL84" s="29">
        <f>AJ84/AG84</f>
        <v/>
      </c>
      <c r="AM84" s="357" t="n"/>
    </row>
    <row r="85" ht="15.5" customHeight="1" s="139">
      <c r="A85" s="132" t="inlineStr">
        <is>
          <t>구성동</t>
        </is>
      </c>
      <c r="B85" s="74" t="n"/>
      <c r="C85" s="75" t="n"/>
      <c r="D85" s="132" t="n">
        <v>26577</v>
      </c>
      <c r="E85" s="135" t="inlineStr">
        <is>
          <t>휴먼시아1</t>
        </is>
      </c>
      <c r="F85" s="132" t="n">
        <v>2010.07</v>
      </c>
      <c r="G85" s="132" t="n">
        <v>473</v>
      </c>
      <c r="H85" s="132">
        <f>2026-F85+1</f>
        <v/>
      </c>
      <c r="I85" s="132" t="inlineStr">
        <is>
          <t>83</t>
        </is>
      </c>
      <c r="J85" s="132" t="n">
        <v>83</v>
      </c>
      <c r="K85" s="132" t="n">
        <v>59</v>
      </c>
      <c r="L85" s="132" t="n">
        <v>25</v>
      </c>
      <c r="M85" s="132" t="inlineStr">
        <is>
          <t>계단식</t>
        </is>
      </c>
      <c r="N85" s="132" t="n">
        <v>3</v>
      </c>
      <c r="O85" s="132" t="n">
        <v>1</v>
      </c>
      <c r="P85" s="132" t="n">
        <v>103</v>
      </c>
      <c r="Q85" s="480" t="n">
        <v>20000</v>
      </c>
      <c r="R85" s="481" t="n">
        <v>14000</v>
      </c>
      <c r="S85" s="477">
        <f>Q85-R85</f>
        <v/>
      </c>
      <c r="T85" s="71">
        <f>R85/Q85</f>
        <v/>
      </c>
      <c r="U85" s="481" t="n">
        <v>20000</v>
      </c>
      <c r="V85" s="481" t="n">
        <v>17200</v>
      </c>
      <c r="W85" s="339" t="inlineStr">
        <is>
          <t>계단식</t>
        </is>
      </c>
      <c r="X85" s="339" t="n">
        <v>3</v>
      </c>
      <c r="Y85" s="339" t="n">
        <v>1</v>
      </c>
      <c r="Z85" s="339" t="n">
        <v>103</v>
      </c>
      <c r="AA85" s="144" t="n">
        <v>2019.11</v>
      </c>
      <c r="AB85" s="134" t="n">
        <v>0.06</v>
      </c>
      <c r="AC85" s="77">
        <f>L85</f>
        <v/>
      </c>
      <c r="AD85" s="482" t="n">
        <v>16508</v>
      </c>
      <c r="AE85" s="482" t="n">
        <v>14500</v>
      </c>
      <c r="AF85" s="78">
        <f>AE85/AD85</f>
        <v/>
      </c>
      <c r="AG85" s="79">
        <f>AD85-AE85</f>
        <v/>
      </c>
      <c r="AH85" s="110" t="n">
        <v>2026.04</v>
      </c>
      <c r="AI85" s="487" t="n">
        <v>20000</v>
      </c>
      <c r="AJ85" s="487">
        <f>AI85-AD85</f>
        <v/>
      </c>
      <c r="AK85" s="129">
        <f>(AI85-AD85)/AD85</f>
        <v/>
      </c>
      <c r="AL85" s="80">
        <f>AJ85/AG85</f>
        <v/>
      </c>
      <c r="AM85" s="141" t="n"/>
      <c r="AN85" s="82" t="inlineStr">
        <is>
          <t>나만의 인싸이트</t>
        </is>
      </c>
      <c r="AO85" s="132" t="n"/>
      <c r="AP85" s="132" t="n"/>
      <c r="AQ85" s="132" t="n"/>
      <c r="AR85" s="132" t="n"/>
      <c r="AS85" s="132" t="n"/>
      <c r="AT85" s="132" t="n"/>
      <c r="AU85" s="132" t="n"/>
      <c r="AV85" s="132" t="inlineStr">
        <is>
          <t xml:space="preserve">감사합니다 튜터님 ㅎㅎㅎ 정리하자면 </t>
        </is>
      </c>
      <c r="AW85" s="132" t="n"/>
      <c r="AX85" s="132" t="n"/>
      <c r="AY85" s="132" t="n"/>
    </row>
    <row r="86" ht="15.5" customHeight="1" s="139">
      <c r="A86" s="339" t="inlineStr">
        <is>
          <t>원성동</t>
        </is>
      </c>
      <c r="D86" s="339" t="n">
        <v>7558</v>
      </c>
      <c r="E86" s="150" t="inlineStr">
        <is>
          <t>극동</t>
        </is>
      </c>
      <c r="F86" s="339" t="n">
        <v>1995.1</v>
      </c>
      <c r="G86" s="339" t="n">
        <v>341</v>
      </c>
      <c r="H86" s="339">
        <f>2026-F86+1</f>
        <v/>
      </c>
      <c r="I86" s="339" t="inlineStr">
        <is>
          <t>106</t>
        </is>
      </c>
      <c r="J86" s="339" t="n">
        <v>106</v>
      </c>
      <c r="K86" s="339" t="n">
        <v>84</v>
      </c>
      <c r="L86" s="339" t="n">
        <v>32</v>
      </c>
      <c r="M86" s="339" t="inlineStr">
        <is>
          <t>복도식</t>
        </is>
      </c>
      <c r="N86" s="339" t="n">
        <v>3</v>
      </c>
      <c r="O86" s="339" t="n">
        <v>2</v>
      </c>
      <c r="P86" s="339" t="n">
        <v>74</v>
      </c>
      <c r="Q86" s="104" t="n">
        <v>20000</v>
      </c>
      <c r="R86" s="104" t="n">
        <v>14000</v>
      </c>
      <c r="S86" s="477">
        <f>Q86-R86</f>
        <v/>
      </c>
      <c r="T86" s="71">
        <f>R86/Q86</f>
        <v/>
      </c>
      <c r="U86" s="104" t="n">
        <v>17250</v>
      </c>
      <c r="V86" s="104" t="n">
        <v>14400</v>
      </c>
      <c r="W86" s="339" t="inlineStr">
        <is>
          <t>복도식</t>
        </is>
      </c>
      <c r="X86" s="339" t="n">
        <v>3</v>
      </c>
      <c r="Y86" s="339" t="n">
        <v>2</v>
      </c>
      <c r="Z86" s="339" t="n">
        <v>74</v>
      </c>
      <c r="AA86" s="339" t="n">
        <v>2022.05</v>
      </c>
      <c r="AB86" s="339" t="n">
        <v>0.06</v>
      </c>
      <c r="AC86" s="37">
        <f>L86</f>
        <v/>
      </c>
      <c r="AD86" s="108" t="n">
        <v>14400</v>
      </c>
      <c r="AE86" s="108" t="n">
        <v>14500</v>
      </c>
      <c r="AF86" s="108">
        <f>AE86/AD86</f>
        <v/>
      </c>
      <c r="AG86" s="109">
        <f>AD86-AE86</f>
        <v/>
      </c>
      <c r="AH86" s="339" t="n">
        <v>2026.04</v>
      </c>
      <c r="AI86" s="339" t="n">
        <v>20000</v>
      </c>
      <c r="AJ86" s="339">
        <f>AI86-AD86</f>
        <v/>
      </c>
      <c r="AK86" s="129">
        <f>(AI86-AD86)/AD86</f>
        <v/>
      </c>
      <c r="AL86" s="29">
        <f>AJ86/AG86</f>
        <v/>
      </c>
      <c r="AM86" s="357" t="n"/>
      <c r="AO86" s="339" t="n"/>
      <c r="AP86" s="339" t="n"/>
      <c r="AQ86" s="339" t="n"/>
      <c r="AR86" s="339" t="n"/>
      <c r="AS86" s="339" t="n"/>
      <c r="AT86" s="339" t="n"/>
      <c r="AU86" s="339" t="n"/>
      <c r="AW86" s="339" t="n"/>
      <c r="AX86" s="339" t="n"/>
      <c r="AY86" s="339" t="n"/>
    </row>
    <row r="87" ht="15.5" customHeight="1" s="139">
      <c r="A87" s="132" t="inlineStr">
        <is>
          <t>풍세면</t>
        </is>
      </c>
      <c r="B87" s="88" t="n"/>
      <c r="C87" s="89" t="n"/>
      <c r="D87" s="132" t="n">
        <v>140850</v>
      </c>
      <c r="E87" s="135" t="inlineStr">
        <is>
          <t>천안한양수자인에코시티</t>
        </is>
      </c>
      <c r="F87" s="132" t="n">
        <v>2023.12</v>
      </c>
      <c r="G87" s="132" t="n">
        <v>3200</v>
      </c>
      <c r="H87" s="132">
        <f>2026-F87+1</f>
        <v/>
      </c>
      <c r="I87" s="132" t="inlineStr">
        <is>
          <t>77</t>
        </is>
      </c>
      <c r="J87" s="132" t="n">
        <v>77</v>
      </c>
      <c r="K87" s="132" t="n">
        <v>59</v>
      </c>
      <c r="L87" s="132" t="n">
        <v>23</v>
      </c>
      <c r="M87" s="132" t="inlineStr">
        <is>
          <t>계단식</t>
        </is>
      </c>
      <c r="N87" s="132" t="n">
        <v>3</v>
      </c>
      <c r="O87" s="132" t="n">
        <v>2</v>
      </c>
      <c r="P87" s="132" t="n">
        <v>554</v>
      </c>
      <c r="Q87" s="96" t="n">
        <v>19500</v>
      </c>
      <c r="R87" s="96" t="n">
        <v>16000</v>
      </c>
      <c r="S87" s="477">
        <f>Q87-R87</f>
        <v/>
      </c>
      <c r="T87" s="71">
        <f>R87/Q87</f>
        <v/>
      </c>
      <c r="U87" s="96" t="n"/>
      <c r="V87" s="96" t="n"/>
      <c r="W87" s="339" t="inlineStr">
        <is>
          <t>계단식</t>
        </is>
      </c>
      <c r="X87" s="339" t="n">
        <v>3</v>
      </c>
      <c r="Y87" s="339" t="n">
        <v>2</v>
      </c>
      <c r="Z87" s="339" t="n">
        <v>554</v>
      </c>
      <c r="AA87" s="133" t="n"/>
      <c r="AB87" s="133" t="n"/>
      <c r="AC87" s="99">
        <f>L87</f>
        <v/>
      </c>
      <c r="AD87" s="99" t="n"/>
      <c r="AE87" s="99" t="n"/>
      <c r="AF87" s="99">
        <f>AE87/AD87</f>
        <v/>
      </c>
      <c r="AG87" s="100">
        <f>AD87-AE87</f>
        <v/>
      </c>
      <c r="AH87" s="339" t="n">
        <v>2026.04</v>
      </c>
      <c r="AI87" s="339" t="n">
        <v>19500</v>
      </c>
      <c r="AJ87" s="339">
        <f>AI87-AD87</f>
        <v/>
      </c>
      <c r="AK87" s="129">
        <f>(AI87-AD87)/AD87</f>
        <v/>
      </c>
      <c r="AL87" s="101">
        <f>AJ87/AG87</f>
        <v/>
      </c>
      <c r="AM87" s="133" t="n"/>
      <c r="AN87" s="133" t="n"/>
      <c r="AV87" s="133" t="n"/>
    </row>
    <row r="88" ht="15.5" customHeight="1" s="139">
      <c r="A88" s="339" t="inlineStr">
        <is>
          <t>청수동</t>
        </is>
      </c>
      <c r="B88" s="164" t="n"/>
      <c r="C88" s="164" t="n"/>
      <c r="D88" s="339" t="n">
        <v>7572</v>
      </c>
      <c r="E88" s="150" t="inlineStr">
        <is>
          <t>청솔LG,SK</t>
        </is>
      </c>
      <c r="F88" s="339" t="n">
        <v>1999.02</v>
      </c>
      <c r="G88" s="339" t="n">
        <v>898</v>
      </c>
      <c r="H88" s="339">
        <f>2026-F88+1</f>
        <v/>
      </c>
      <c r="I88" s="339" t="inlineStr">
        <is>
          <t>92</t>
        </is>
      </c>
      <c r="J88" s="339" t="n">
        <v>92</v>
      </c>
      <c r="K88" s="339" t="n">
        <v>73</v>
      </c>
      <c r="L88" s="339" t="n">
        <v>28</v>
      </c>
      <c r="M88" s="339" t="inlineStr">
        <is>
          <t>계단식</t>
        </is>
      </c>
      <c r="N88" s="339" t="n">
        <v>3</v>
      </c>
      <c r="O88" s="339" t="n">
        <v>2</v>
      </c>
      <c r="P88" s="339" t="n">
        <v>120</v>
      </c>
      <c r="Q88" s="104" t="n">
        <v>19000</v>
      </c>
      <c r="R88" s="104" t="n">
        <v>16800</v>
      </c>
      <c r="S88" s="477">
        <f>Q88-R88</f>
        <v/>
      </c>
      <c r="T88" s="71">
        <f>R88/Q88</f>
        <v/>
      </c>
      <c r="U88" s="104" t="n">
        <v>20500</v>
      </c>
      <c r="V88" s="104" t="n">
        <v>15200</v>
      </c>
      <c r="W88" s="339" t="inlineStr">
        <is>
          <t>계단식</t>
        </is>
      </c>
      <c r="X88" s="339" t="n">
        <v>3</v>
      </c>
      <c r="Y88" s="339" t="n">
        <v>2</v>
      </c>
      <c r="Z88" s="339" t="n">
        <v>120</v>
      </c>
      <c r="AA88" s="339" t="n">
        <v>2019.01</v>
      </c>
      <c r="AB88" s="339" t="n">
        <v>0.06</v>
      </c>
      <c r="AC88" s="37">
        <f>L88</f>
        <v/>
      </c>
      <c r="AD88" s="108" t="n">
        <v>14500</v>
      </c>
      <c r="AE88" s="108" t="n">
        <v>13375</v>
      </c>
      <c r="AF88" s="108">
        <f>AE88/AD88</f>
        <v/>
      </c>
      <c r="AG88" s="109">
        <f>AD88-AE88</f>
        <v/>
      </c>
      <c r="AH88" s="339" t="n">
        <v>2026.04</v>
      </c>
      <c r="AI88" s="339" t="n">
        <v>19000</v>
      </c>
      <c r="AJ88" s="339">
        <f>AI88-AD88</f>
        <v/>
      </c>
      <c r="AK88" s="129">
        <f>(AI88-AD88)/AD88</f>
        <v/>
      </c>
      <c r="AL88" s="29">
        <f>AJ88/AG88</f>
        <v/>
      </c>
      <c r="AM88" s="357" t="n"/>
    </row>
    <row r="89" ht="15.5" customHeight="1" s="139">
      <c r="A89" s="339" t="inlineStr">
        <is>
          <t>신방동</t>
        </is>
      </c>
      <c r="B89" s="164" t="n"/>
      <c r="C89" s="164" t="n"/>
      <c r="D89" s="339" t="n">
        <v>7395</v>
      </c>
      <c r="E89" s="150" t="inlineStr">
        <is>
          <t>한라동백2차</t>
        </is>
      </c>
      <c r="F89" s="339" t="n">
        <v>1998.09</v>
      </c>
      <c r="G89" s="339" t="n">
        <v>1139</v>
      </c>
      <c r="H89" s="339">
        <f>2026-F89+1</f>
        <v/>
      </c>
      <c r="I89" s="339" t="inlineStr">
        <is>
          <t>108</t>
        </is>
      </c>
      <c r="J89" s="339" t="n">
        <v>108</v>
      </c>
      <c r="K89" s="339" t="n">
        <v>84</v>
      </c>
      <c r="L89" s="339" t="n">
        <v>33</v>
      </c>
      <c r="M89" s="339" t="inlineStr">
        <is>
          <t>계단식</t>
        </is>
      </c>
      <c r="N89" s="339" t="n">
        <v>3</v>
      </c>
      <c r="O89" s="339" t="n">
        <v>2</v>
      </c>
      <c r="P89" s="339" t="n">
        <v>403</v>
      </c>
      <c r="Q89" s="483" t="n">
        <v>18000</v>
      </c>
      <c r="R89" s="484" t="n">
        <v>17000</v>
      </c>
      <c r="S89" s="477">
        <f>Q89-R89</f>
        <v/>
      </c>
      <c r="T89" s="71">
        <f>R89/Q89</f>
        <v/>
      </c>
      <c r="U89" s="484" t="n">
        <v>23000</v>
      </c>
      <c r="V89" s="484" t="n">
        <v>16500</v>
      </c>
      <c r="W89" s="339" t="inlineStr">
        <is>
          <t>계단식</t>
        </is>
      </c>
      <c r="X89" s="339" t="n">
        <v>3</v>
      </c>
      <c r="Y89" s="339" t="n">
        <v>2</v>
      </c>
      <c r="Z89" s="339" t="n">
        <v>403</v>
      </c>
      <c r="AA89" s="337" t="n">
        <v>2019.07</v>
      </c>
      <c r="AB89" s="339" t="n">
        <v>0.01</v>
      </c>
      <c r="AC89" s="37">
        <f>L89</f>
        <v/>
      </c>
      <c r="AD89" s="479" t="n">
        <v>15838</v>
      </c>
      <c r="AE89" s="479" t="n">
        <v>14143</v>
      </c>
      <c r="AF89" s="38">
        <f>AE89/AD89</f>
        <v/>
      </c>
      <c r="AG89" s="39">
        <f>AD89-AE89</f>
        <v/>
      </c>
      <c r="AH89" s="339" t="n">
        <v>2026.04</v>
      </c>
      <c r="AI89" s="405" t="n">
        <v>18000</v>
      </c>
      <c r="AJ89" s="405">
        <f>AI89-AD89</f>
        <v/>
      </c>
      <c r="AK89" s="129">
        <f>(AI89-AD89)/AD89</f>
        <v/>
      </c>
      <c r="AL89" s="29">
        <f>AJ89/AG89</f>
        <v/>
      </c>
      <c r="AM89" s="357" t="n"/>
    </row>
    <row r="90" ht="15.5" customHeight="1" s="139">
      <c r="A90" s="132" t="inlineStr">
        <is>
          <t>신방동</t>
        </is>
      </c>
      <c r="B90" s="133" t="n"/>
      <c r="C90" s="133" t="n"/>
      <c r="D90" s="132" t="n">
        <v>7400</v>
      </c>
      <c r="E90" s="135" t="inlineStr">
        <is>
          <t>향촌현대</t>
        </is>
      </c>
      <c r="F90" s="132" t="n">
        <v>1997.12</v>
      </c>
      <c r="G90" s="132" t="n">
        <v>998</v>
      </c>
      <c r="H90" s="132">
        <f>2026-F90+1</f>
        <v/>
      </c>
      <c r="I90" s="132" t="inlineStr">
        <is>
          <t>107</t>
        </is>
      </c>
      <c r="J90" s="132" t="n">
        <v>107</v>
      </c>
      <c r="K90" s="132" t="n">
        <v>84</v>
      </c>
      <c r="L90" s="132" t="n">
        <v>32</v>
      </c>
      <c r="M90" s="132" t="inlineStr">
        <is>
          <t>계단식</t>
        </is>
      </c>
      <c r="N90" s="132" t="n">
        <v>3</v>
      </c>
      <c r="O90" s="132" t="n">
        <v>2</v>
      </c>
      <c r="P90" s="132" t="n">
        <v>484</v>
      </c>
      <c r="Q90" s="480" t="n">
        <v>18000</v>
      </c>
      <c r="R90" s="481" t="n">
        <v>16000</v>
      </c>
      <c r="S90" s="477">
        <f>Q90-R90</f>
        <v/>
      </c>
      <c r="T90" s="71">
        <f>R90/Q90</f>
        <v/>
      </c>
      <c r="U90" s="481" t="n">
        <v>23000</v>
      </c>
      <c r="V90" s="481" t="n">
        <v>18000</v>
      </c>
      <c r="W90" s="339" t="inlineStr">
        <is>
          <t>계단식</t>
        </is>
      </c>
      <c r="X90" s="339" t="n">
        <v>3</v>
      </c>
      <c r="Y90" s="339" t="n">
        <v>2</v>
      </c>
      <c r="Z90" s="339" t="n">
        <v>484</v>
      </c>
      <c r="AA90" s="133" t="n">
        <v>2019.06</v>
      </c>
      <c r="AB90" s="133" t="n">
        <v>0.09</v>
      </c>
      <c r="AC90" s="77">
        <f>L90</f>
        <v/>
      </c>
      <c r="AD90" s="482" t="n">
        <v>16223</v>
      </c>
      <c r="AE90" s="482" t="n">
        <v>14300</v>
      </c>
      <c r="AF90" s="78">
        <f>AE90/AD90</f>
        <v/>
      </c>
      <c r="AG90" s="79">
        <f>AD90-AE90</f>
        <v/>
      </c>
      <c r="AH90" s="339" t="n">
        <v>2026.04</v>
      </c>
      <c r="AI90" s="339" t="n">
        <v>18000</v>
      </c>
      <c r="AJ90" s="339">
        <f>AI90-AD90</f>
        <v/>
      </c>
      <c r="AK90" s="129">
        <f>(AI90-AD90)/AD90</f>
        <v/>
      </c>
      <c r="AL90" s="80">
        <f>AJ90/AG90</f>
        <v/>
      </c>
      <c r="AM90" s="141" t="n"/>
      <c r="AN90" s="133" t="n"/>
      <c r="AO90" s="339" t="n"/>
      <c r="AP90" s="339" t="n"/>
      <c r="AQ90" s="339" t="n"/>
      <c r="AR90" s="339" t="n"/>
      <c r="AS90" s="339" t="n"/>
      <c r="AT90" s="339" t="n"/>
      <c r="AU90" s="339" t="n"/>
      <c r="AV90" s="133" t="n"/>
      <c r="AW90" s="339" t="n"/>
      <c r="AX90" s="339" t="n"/>
      <c r="AY90" s="339" t="n"/>
    </row>
    <row r="91" ht="15.5" customHeight="1" s="139">
      <c r="A91" s="132" t="inlineStr">
        <is>
          <t>용곡동</t>
        </is>
      </c>
      <c r="B91" s="88" t="n"/>
      <c r="C91" s="89" t="n"/>
      <c r="D91" s="132" t="n">
        <v>15420</v>
      </c>
      <c r="E91" s="135" t="inlineStr">
        <is>
          <t>용곡세광엔리치타워1차</t>
        </is>
      </c>
      <c r="F91" s="132" t="n">
        <v>2005.08</v>
      </c>
      <c r="G91" s="132" t="n">
        <v>575</v>
      </c>
      <c r="H91" s="132">
        <f>2026-F91+1</f>
        <v/>
      </c>
      <c r="I91" s="132" t="inlineStr">
        <is>
          <t>104</t>
        </is>
      </c>
      <c r="J91" s="132" t="n">
        <v>104</v>
      </c>
      <c r="K91" s="132" t="n">
        <v>84</v>
      </c>
      <c r="L91" s="132" t="n">
        <v>31</v>
      </c>
      <c r="M91" s="132" t="inlineStr">
        <is>
          <t>계단식</t>
        </is>
      </c>
      <c r="N91" s="132" t="n">
        <v>3</v>
      </c>
      <c r="O91" s="132" t="n">
        <v>2</v>
      </c>
      <c r="P91" s="132" t="n">
        <v>240</v>
      </c>
      <c r="Q91" s="480" t="n">
        <v>18000</v>
      </c>
      <c r="R91" s="481" t="n">
        <v>16500</v>
      </c>
      <c r="S91" s="477">
        <f>Q91-R91</f>
        <v/>
      </c>
      <c r="T91" s="71">
        <f>R91/Q91</f>
        <v/>
      </c>
      <c r="U91" s="481" t="n">
        <v>29600</v>
      </c>
      <c r="V91" s="481" t="n">
        <v>21700</v>
      </c>
      <c r="W91" s="339" t="inlineStr">
        <is>
          <t>계단식</t>
        </is>
      </c>
      <c r="X91" s="339" t="n">
        <v>3</v>
      </c>
      <c r="Y91" s="339" t="n">
        <v>2</v>
      </c>
      <c r="Z91" s="339" t="n">
        <v>240</v>
      </c>
      <c r="AA91" s="133" t="n">
        <v>2022.06</v>
      </c>
      <c r="AB91" s="133" t="n">
        <v>0.02</v>
      </c>
      <c r="AC91" s="77">
        <f>L91</f>
        <v/>
      </c>
      <c r="AD91" s="482" t="n">
        <v>24950</v>
      </c>
      <c r="AE91" s="482" t="n">
        <v>22000</v>
      </c>
      <c r="AF91" s="78">
        <f>AE91/AD91</f>
        <v/>
      </c>
      <c r="AG91" s="79">
        <f>AD91-AE91</f>
        <v/>
      </c>
      <c r="AH91" s="339" t="n">
        <v>2026.04</v>
      </c>
      <c r="AI91" s="339" t="n">
        <v>18000</v>
      </c>
      <c r="AJ91" s="339">
        <f>AI91-AD91</f>
        <v/>
      </c>
      <c r="AK91" s="129">
        <f>(AI91-AD91)/AD91</f>
        <v/>
      </c>
      <c r="AL91" s="80">
        <f>AJ91/AG91</f>
        <v/>
      </c>
      <c r="AM91" s="141" t="n"/>
      <c r="AN91" s="133" t="n"/>
      <c r="AV91" s="133" t="n"/>
    </row>
    <row r="92" ht="15.5" customHeight="1" s="139">
      <c r="A92" s="339" t="inlineStr">
        <is>
          <t>청수동</t>
        </is>
      </c>
      <c r="D92" s="339" t="n">
        <v>7572</v>
      </c>
      <c r="E92" s="150" t="inlineStr">
        <is>
          <t>청솔LG,SK</t>
        </is>
      </c>
      <c r="F92" s="339" t="n">
        <v>1999.02</v>
      </c>
      <c r="G92" s="339" t="n">
        <v>898</v>
      </c>
      <c r="H92" s="339">
        <f>2026-F92+1</f>
        <v/>
      </c>
      <c r="I92" s="339" t="inlineStr">
        <is>
          <t>79</t>
        </is>
      </c>
      <c r="J92" s="339" t="n">
        <v>79</v>
      </c>
      <c r="K92" s="339" t="n">
        <v>59</v>
      </c>
      <c r="L92" s="339" t="n">
        <v>24</v>
      </c>
      <c r="M92" s="339" t="inlineStr">
        <is>
          <t>계단식</t>
        </is>
      </c>
      <c r="N92" s="339" t="n">
        <v>3</v>
      </c>
      <c r="O92" s="339" t="n">
        <v>1</v>
      </c>
      <c r="P92" s="339" t="n">
        <v>120</v>
      </c>
      <c r="Q92" s="104" t="n">
        <v>18000</v>
      </c>
      <c r="R92" s="106" t="inlineStr">
        <is>
          <t>-</t>
        </is>
      </c>
      <c r="S92" s="477">
        <f>Q92-R92</f>
        <v/>
      </c>
      <c r="T92" s="71">
        <f>R92/Q92</f>
        <v/>
      </c>
      <c r="U92" s="104" t="n">
        <v>17300</v>
      </c>
      <c r="V92" s="104" t="n">
        <v>13700</v>
      </c>
      <c r="W92" s="339" t="inlineStr">
        <is>
          <t>계단식</t>
        </is>
      </c>
      <c r="X92" s="339" t="n">
        <v>3</v>
      </c>
      <c r="Y92" s="339" t="n">
        <v>1</v>
      </c>
      <c r="Z92" s="339" t="n">
        <v>120</v>
      </c>
      <c r="AA92" s="339" t="n">
        <v>2019.05</v>
      </c>
      <c r="AB92" s="339" t="n">
        <v>0.04</v>
      </c>
      <c r="AC92" s="37">
        <f>L92</f>
        <v/>
      </c>
      <c r="AD92" s="108" t="n">
        <v>13500</v>
      </c>
      <c r="AE92" s="108" t="n">
        <v>11000</v>
      </c>
      <c r="AF92" s="108">
        <f>AE92/AD92</f>
        <v/>
      </c>
      <c r="AG92" s="109">
        <f>AD92-AE92</f>
        <v/>
      </c>
      <c r="AH92" s="339" t="n">
        <v>2026.04</v>
      </c>
      <c r="AI92" s="339" t="n">
        <v>18000</v>
      </c>
      <c r="AJ92" s="339">
        <f>AI92-AD92</f>
        <v/>
      </c>
      <c r="AK92" s="129">
        <f>(AI92-AD92)/AD92</f>
        <v/>
      </c>
      <c r="AL92" s="29">
        <f>AJ92/AG92</f>
        <v/>
      </c>
      <c r="AM92" s="357" t="n"/>
    </row>
    <row r="93" ht="15.5" customHeight="1" s="139">
      <c r="A93" s="339" t="inlineStr">
        <is>
          <t>청수동</t>
        </is>
      </c>
      <c r="B93" s="164" t="n"/>
      <c r="C93" s="164" t="n"/>
      <c r="D93" s="339" t="n">
        <v>7569</v>
      </c>
      <c r="E93" s="150" t="inlineStr">
        <is>
          <t>현대</t>
        </is>
      </c>
      <c r="F93" s="339" t="n">
        <v>1996.1</v>
      </c>
      <c r="G93" s="339" t="n">
        <v>520</v>
      </c>
      <c r="H93" s="339">
        <f>2026-F93+1</f>
        <v/>
      </c>
      <c r="I93" s="339" t="inlineStr">
        <is>
          <t>105</t>
        </is>
      </c>
      <c r="J93" s="339" t="n">
        <v>105</v>
      </c>
      <c r="K93" s="339" t="n">
        <v>84</v>
      </c>
      <c r="L93" s="339" t="n">
        <v>32</v>
      </c>
      <c r="M93" s="339" t="inlineStr">
        <is>
          <t>계단식</t>
        </is>
      </c>
      <c r="N93" s="339" t="n">
        <v>3</v>
      </c>
      <c r="O93" s="339" t="n">
        <v>2</v>
      </c>
      <c r="P93" s="339" t="n">
        <v>242</v>
      </c>
      <c r="Q93" s="104" t="n">
        <v>18000</v>
      </c>
      <c r="R93" s="106" t="inlineStr">
        <is>
          <t>-</t>
        </is>
      </c>
      <c r="S93" s="477">
        <f>Q93-R93</f>
        <v/>
      </c>
      <c r="T93" s="71">
        <f>R93/Q93</f>
        <v/>
      </c>
      <c r="U93" s="104" t="n">
        <v>20900</v>
      </c>
      <c r="V93" s="104" t="n">
        <v>15500</v>
      </c>
      <c r="W93" s="339" t="inlineStr">
        <is>
          <t>계단식</t>
        </is>
      </c>
      <c r="X93" s="339" t="n">
        <v>3</v>
      </c>
      <c r="Y93" s="339" t="n">
        <v>2</v>
      </c>
      <c r="Z93" s="339" t="n">
        <v>242</v>
      </c>
      <c r="AA93" s="339" t="n">
        <v>2019.08</v>
      </c>
      <c r="AB93" s="339" t="n">
        <v>1.04</v>
      </c>
      <c r="AC93" s="37">
        <f>L93</f>
        <v/>
      </c>
      <c r="AD93" s="108" t="n">
        <v>14050</v>
      </c>
      <c r="AE93" s="108" t="n">
        <v>13000</v>
      </c>
      <c r="AF93" s="108">
        <f>AE93/AD93</f>
        <v/>
      </c>
      <c r="AG93" s="109">
        <f>AD93-AE93</f>
        <v/>
      </c>
      <c r="AH93" s="339" t="n">
        <v>2026.04</v>
      </c>
      <c r="AI93" s="339" t="n">
        <v>18000</v>
      </c>
      <c r="AJ93" s="339">
        <f>AI93-AD93</f>
        <v/>
      </c>
      <c r="AK93" s="129">
        <f>(AI93-AD93)/AD93</f>
        <v/>
      </c>
      <c r="AL93" s="29">
        <f>AJ93/AG93</f>
        <v/>
      </c>
      <c r="AM93" s="357" t="n"/>
    </row>
    <row r="94" ht="15.5" customHeight="1" s="139">
      <c r="A94" s="339" t="inlineStr">
        <is>
          <t>신부동</t>
        </is>
      </c>
      <c r="B94" s="164" t="n"/>
      <c r="C94" s="164" t="n"/>
      <c r="D94" s="339" t="n">
        <v>7421</v>
      </c>
      <c r="E94" s="150" t="inlineStr">
        <is>
          <t>경남아너스빌</t>
        </is>
      </c>
      <c r="F94" s="339" t="n">
        <v>2000.03</v>
      </c>
      <c r="G94" s="339" t="n">
        <v>619</v>
      </c>
      <c r="H94" s="339">
        <f>2026-F94+1</f>
        <v/>
      </c>
      <c r="I94" s="339" t="inlineStr">
        <is>
          <t>77</t>
        </is>
      </c>
      <c r="J94" s="339" t="n">
        <v>77</v>
      </c>
      <c r="K94" s="339" t="n">
        <v>59</v>
      </c>
      <c r="L94" s="339" t="n">
        <v>23</v>
      </c>
      <c r="M94" s="339" t="inlineStr">
        <is>
          <t>계단식</t>
        </is>
      </c>
      <c r="N94" s="339" t="n">
        <v>2</v>
      </c>
      <c r="O94" s="339" t="n">
        <v>1</v>
      </c>
      <c r="P94" s="339" t="n">
        <v>17</v>
      </c>
      <c r="Q94" s="483" t="n">
        <v>17700</v>
      </c>
      <c r="R94" s="484" t="n">
        <v>18000</v>
      </c>
      <c r="S94" s="477">
        <f>Q94-R94</f>
        <v/>
      </c>
      <c r="T94" s="71">
        <f>R94/Q94</f>
        <v/>
      </c>
      <c r="U94" s="484" t="n">
        <v>19300</v>
      </c>
      <c r="V94" s="484" t="n">
        <v>15000</v>
      </c>
      <c r="W94" s="339" t="inlineStr">
        <is>
          <t>계단식</t>
        </is>
      </c>
      <c r="X94" s="339" t="n">
        <v>2</v>
      </c>
      <c r="Y94" s="339" t="n">
        <v>1</v>
      </c>
      <c r="Z94" s="339" t="n">
        <v>17</v>
      </c>
      <c r="AA94" s="337" t="n">
        <v>2023.12</v>
      </c>
      <c r="AB94" s="339" t="n">
        <v>0.04</v>
      </c>
      <c r="AC94" s="37">
        <f>L94</f>
        <v/>
      </c>
      <c r="AD94" s="479" t="n">
        <v>15000</v>
      </c>
      <c r="AE94" s="479" t="n">
        <v>14000</v>
      </c>
      <c r="AF94" s="38">
        <f>AE94/AD94</f>
        <v/>
      </c>
      <c r="AG94" s="39">
        <f>AD94-AE94</f>
        <v/>
      </c>
      <c r="AH94" s="339" t="n">
        <v>2026.04</v>
      </c>
      <c r="AI94" s="405" t="n">
        <v>17700</v>
      </c>
      <c r="AJ94" s="405">
        <f>AI94-AD94</f>
        <v/>
      </c>
      <c r="AK94" s="129">
        <f>(AI94-AD94)/AD94</f>
        <v/>
      </c>
      <c r="AL94" s="29">
        <f>AJ94/AG94</f>
        <v/>
      </c>
      <c r="AM94" s="357" t="n"/>
      <c r="AO94" s="339" t="n"/>
      <c r="AP94" s="339" t="n"/>
      <c r="AQ94" s="339" t="n"/>
      <c r="AR94" s="339" t="n"/>
      <c r="AS94" s="339" t="n"/>
      <c r="AT94" s="339" t="n"/>
      <c r="AU94" s="339" t="n"/>
      <c r="AW94" s="339" t="n"/>
      <c r="AX94" s="339" t="n"/>
      <c r="AY94" s="339" t="n"/>
    </row>
    <row r="95" ht="15.5" customHeight="1" s="139">
      <c r="A95" s="339" t="inlineStr">
        <is>
          <t>신부동</t>
        </is>
      </c>
      <c r="B95" s="164" t="n"/>
      <c r="C95" s="164" t="n"/>
      <c r="D95" s="339" t="n">
        <v>7421</v>
      </c>
      <c r="E95" s="150" t="inlineStr">
        <is>
          <t>경남아너스빌</t>
        </is>
      </c>
      <c r="F95" s="339" t="n">
        <v>2000.03</v>
      </c>
      <c r="G95" s="339" t="n">
        <v>619</v>
      </c>
      <c r="H95" s="339">
        <f>2026-F95+1</f>
        <v/>
      </c>
      <c r="I95" s="339" t="inlineStr">
        <is>
          <t>79</t>
        </is>
      </c>
      <c r="J95" s="339" t="n">
        <v>79</v>
      </c>
      <c r="K95" s="339" t="n">
        <v>59</v>
      </c>
      <c r="L95" s="339" t="n">
        <v>24</v>
      </c>
      <c r="M95" s="339" t="inlineStr">
        <is>
          <t>계단식</t>
        </is>
      </c>
      <c r="N95" s="339" t="n">
        <v>3</v>
      </c>
      <c r="O95" s="339" t="n">
        <v>1</v>
      </c>
      <c r="P95" s="339" t="n">
        <v>128</v>
      </c>
      <c r="Q95" s="483" t="n">
        <v>17700</v>
      </c>
      <c r="R95" s="484" t="n">
        <v>18000</v>
      </c>
      <c r="S95" s="477">
        <f>Q95-R95</f>
        <v/>
      </c>
      <c r="T95" s="71">
        <f>R95/Q95</f>
        <v/>
      </c>
      <c r="U95" s="484" t="n">
        <v>19300</v>
      </c>
      <c r="V95" s="484" t="n">
        <v>15000</v>
      </c>
      <c r="W95" s="339" t="inlineStr">
        <is>
          <t>계단식</t>
        </is>
      </c>
      <c r="X95" s="339" t="n">
        <v>3</v>
      </c>
      <c r="Y95" s="339" t="n">
        <v>1</v>
      </c>
      <c r="Z95" s="339" t="n">
        <v>128</v>
      </c>
      <c r="AA95" s="337" t="n">
        <v>2023.12</v>
      </c>
      <c r="AB95" s="339" t="n">
        <v>0.04</v>
      </c>
      <c r="AC95" s="37">
        <f>L95</f>
        <v/>
      </c>
      <c r="AD95" s="479" t="n">
        <v>15000</v>
      </c>
      <c r="AE95" s="479" t="n">
        <v>14000</v>
      </c>
      <c r="AF95" s="38">
        <f>AE95/AD95</f>
        <v/>
      </c>
      <c r="AG95" s="39">
        <f>AD95-AE95</f>
        <v/>
      </c>
      <c r="AH95" s="339" t="n">
        <v>2026.04</v>
      </c>
      <c r="AI95" s="405" t="n">
        <v>17700</v>
      </c>
      <c r="AJ95" s="405">
        <f>AI95-AD95</f>
        <v/>
      </c>
      <c r="AK95" s="129">
        <f>(AI95-AD95)/AD95</f>
        <v/>
      </c>
      <c r="AL95" s="29">
        <f>AJ95/AG95</f>
        <v/>
      </c>
      <c r="AM95" s="357" t="n"/>
      <c r="AO95" s="339" t="n"/>
      <c r="AP95" s="339" t="n"/>
      <c r="AQ95" s="339" t="n"/>
      <c r="AR95" s="339" t="n"/>
      <c r="AS95" s="339" t="n"/>
      <c r="AT95" s="339" t="n"/>
      <c r="AU95" s="339" t="n"/>
      <c r="AW95" s="339" t="n"/>
      <c r="AX95" s="339" t="n"/>
      <c r="AY95" s="339" t="n"/>
    </row>
    <row r="96" ht="15.5" customHeight="1" s="139">
      <c r="A96" s="339" t="inlineStr">
        <is>
          <t>신방동</t>
        </is>
      </c>
      <c r="B96" s="164" t="n"/>
      <c r="C96" s="164" t="n"/>
      <c r="D96" s="339" t="n">
        <v>7387</v>
      </c>
      <c r="E96" s="150" t="inlineStr">
        <is>
          <t>두레현대1차</t>
        </is>
      </c>
      <c r="F96" s="339" t="n">
        <v>1997.06</v>
      </c>
      <c r="G96" s="339" t="n">
        <v>676</v>
      </c>
      <c r="H96" s="339">
        <f>2026-F96+1</f>
        <v/>
      </c>
      <c r="I96" s="339" t="inlineStr">
        <is>
          <t>105</t>
        </is>
      </c>
      <c r="J96" s="339" t="n">
        <v>105</v>
      </c>
      <c r="K96" s="339" t="n">
        <v>84</v>
      </c>
      <c r="L96" s="339" t="n">
        <v>32</v>
      </c>
      <c r="M96" s="339" t="inlineStr">
        <is>
          <t>계단식</t>
        </is>
      </c>
      <c r="N96" s="339" t="n">
        <v>3</v>
      </c>
      <c r="O96" s="339" t="n">
        <v>2</v>
      </c>
      <c r="P96" s="339" t="n">
        <v>154</v>
      </c>
      <c r="Q96" s="483" t="n">
        <v>17500</v>
      </c>
      <c r="R96" s="484" t="n">
        <v>15000</v>
      </c>
      <c r="S96" s="477">
        <f>Q96-R96</f>
        <v/>
      </c>
      <c r="T96" s="71">
        <f>R96/Q96</f>
        <v/>
      </c>
      <c r="U96" s="484" t="n">
        <v>22250</v>
      </c>
      <c r="V96" s="484" t="n">
        <v>20000</v>
      </c>
      <c r="W96" s="339" t="inlineStr">
        <is>
          <t>계단식</t>
        </is>
      </c>
      <c r="X96" s="339" t="n">
        <v>3</v>
      </c>
      <c r="Y96" s="339" t="n">
        <v>2</v>
      </c>
      <c r="Z96" s="339" t="n">
        <v>154</v>
      </c>
      <c r="AA96" s="339" t="n">
        <v>2018.11</v>
      </c>
      <c r="AB96" s="339" t="n">
        <v>0.07000000000000001</v>
      </c>
      <c r="AC96" s="37">
        <f>L96</f>
        <v/>
      </c>
      <c r="AD96" s="479" t="n">
        <v>14500</v>
      </c>
      <c r="AE96" s="479" t="n">
        <v>14500</v>
      </c>
      <c r="AF96" s="38">
        <f>AE96/AD96</f>
        <v/>
      </c>
      <c r="AG96" s="39">
        <f>AD96-AE96</f>
        <v/>
      </c>
      <c r="AH96" s="339" t="n">
        <v>2026.04</v>
      </c>
      <c r="AI96" s="339" t="n">
        <v>17500</v>
      </c>
      <c r="AJ96" s="339">
        <f>AI96-AD96</f>
        <v/>
      </c>
      <c r="AK96" s="129">
        <f>(AI96-AD96)/AD96</f>
        <v/>
      </c>
      <c r="AL96" s="29">
        <f>AJ96/AG96</f>
        <v/>
      </c>
      <c r="AM96" s="357" t="n"/>
    </row>
    <row r="97" ht="15.5" customHeight="1" s="139">
      <c r="A97" s="132" t="inlineStr">
        <is>
          <t>신부동</t>
        </is>
      </c>
      <c r="B97" s="88" t="n"/>
      <c r="C97" s="89" t="n"/>
      <c r="D97" s="132" t="n">
        <v>7414</v>
      </c>
      <c r="E97" s="135" t="inlineStr">
        <is>
          <t>대림한내</t>
        </is>
      </c>
      <c r="F97" s="132" t="n">
        <v>1995.1</v>
      </c>
      <c r="G97" s="132" t="n">
        <v>556</v>
      </c>
      <c r="H97" s="132">
        <f>2026-F97+1</f>
        <v/>
      </c>
      <c r="I97" s="132" t="inlineStr">
        <is>
          <t>76</t>
        </is>
      </c>
      <c r="J97" s="132" t="n">
        <v>76</v>
      </c>
      <c r="K97" s="132" t="n">
        <v>59</v>
      </c>
      <c r="L97" s="132" t="n">
        <v>23</v>
      </c>
      <c r="M97" s="132" t="inlineStr">
        <is>
          <t>계단식</t>
        </is>
      </c>
      <c r="N97" s="132" t="n">
        <v>3</v>
      </c>
      <c r="O97" s="132" t="n">
        <v>1</v>
      </c>
      <c r="P97" s="132" t="n">
        <v>556</v>
      </c>
      <c r="Q97" s="480" t="n">
        <v>17500</v>
      </c>
      <c r="R97" s="481" t="n">
        <v>15000</v>
      </c>
      <c r="S97" s="477">
        <f>Q97-R97</f>
        <v/>
      </c>
      <c r="T97" s="71">
        <f>R97/Q97</f>
        <v/>
      </c>
      <c r="U97" s="481" t="n">
        <v>19200</v>
      </c>
      <c r="V97" s="481" t="n">
        <v>13900</v>
      </c>
      <c r="W97" s="339" t="inlineStr">
        <is>
          <t>계단식</t>
        </is>
      </c>
      <c r="X97" s="339" t="n">
        <v>3</v>
      </c>
      <c r="Y97" s="339" t="n">
        <v>1</v>
      </c>
      <c r="Z97" s="339" t="n">
        <v>556</v>
      </c>
      <c r="AA97" s="133" t="n">
        <v>2020.01</v>
      </c>
      <c r="AB97" s="133" t="n">
        <v>0.01</v>
      </c>
      <c r="AC97" s="77">
        <f>L97</f>
        <v/>
      </c>
      <c r="AD97" s="482" t="n">
        <v>14367</v>
      </c>
      <c r="AE97" s="482" t="n">
        <v>14000</v>
      </c>
      <c r="AF97" s="78">
        <f>AE97/AD97</f>
        <v/>
      </c>
      <c r="AG97" s="79">
        <f>AD97-AE97</f>
        <v/>
      </c>
      <c r="AH97" s="339" t="n">
        <v>2026.04</v>
      </c>
      <c r="AI97" s="339" t="n">
        <v>17500</v>
      </c>
      <c r="AJ97" s="339">
        <f>AI97-AD97</f>
        <v/>
      </c>
      <c r="AK97" s="129">
        <f>(AI97-AD97)/AD97</f>
        <v/>
      </c>
      <c r="AL97" s="80">
        <f>AJ97/AG97</f>
        <v/>
      </c>
      <c r="AM97" s="141" t="n"/>
      <c r="AN97" s="133" t="n"/>
      <c r="AV97" s="133" t="n"/>
    </row>
    <row r="98" ht="15.5" customHeight="1" s="139">
      <c r="A98" s="339" t="inlineStr">
        <is>
          <t>신방동</t>
        </is>
      </c>
      <c r="D98" s="339" t="n">
        <v>7392</v>
      </c>
      <c r="E98" s="150" t="inlineStr">
        <is>
          <t>성지새말2단지</t>
        </is>
      </c>
      <c r="F98" s="339" t="n">
        <v>1997.03</v>
      </c>
      <c r="G98" s="339" t="n">
        <v>840</v>
      </c>
      <c r="H98" s="339">
        <f>2026-F98+1</f>
        <v/>
      </c>
      <c r="I98" s="339" t="inlineStr">
        <is>
          <t>107</t>
        </is>
      </c>
      <c r="J98" s="339" t="n">
        <v>107</v>
      </c>
      <c r="K98" s="339" t="n">
        <v>84</v>
      </c>
      <c r="L98" s="339" t="n">
        <v>32</v>
      </c>
      <c r="M98" s="339" t="inlineStr">
        <is>
          <t>계단식</t>
        </is>
      </c>
      <c r="N98" s="339" t="n">
        <v>3</v>
      </c>
      <c r="O98" s="339" t="n">
        <v>2</v>
      </c>
      <c r="P98" s="339" t="n">
        <v>164</v>
      </c>
      <c r="Q98" s="483" t="n">
        <v>17000</v>
      </c>
      <c r="R98" s="484" t="n">
        <v>16000</v>
      </c>
      <c r="S98" s="477">
        <f>Q98-R98</f>
        <v/>
      </c>
      <c r="T98" s="71">
        <f>R98/Q98</f>
        <v/>
      </c>
      <c r="U98" s="484" t="n">
        <v>20880</v>
      </c>
      <c r="V98" s="484" t="n">
        <v>18100</v>
      </c>
      <c r="W98" s="339" t="inlineStr">
        <is>
          <t>계단식</t>
        </is>
      </c>
      <c r="X98" s="339" t="n">
        <v>3</v>
      </c>
      <c r="Y98" s="339" t="n">
        <v>2</v>
      </c>
      <c r="Z98" s="339" t="n">
        <v>164</v>
      </c>
      <c r="AA98" s="339" t="n">
        <v>2019.11</v>
      </c>
      <c r="AB98" s="339" t="n">
        <v>0.04</v>
      </c>
      <c r="AC98" s="37">
        <f>L98</f>
        <v/>
      </c>
      <c r="AD98" s="479" t="n">
        <v>14625</v>
      </c>
      <c r="AE98" s="479" t="n">
        <v>13667</v>
      </c>
      <c r="AF98" s="38">
        <f>AE98/AD98</f>
        <v/>
      </c>
      <c r="AG98" s="39">
        <f>AD98-AE98</f>
        <v/>
      </c>
      <c r="AH98" s="339" t="n">
        <v>2026.04</v>
      </c>
      <c r="AI98" s="339" t="n">
        <v>17000</v>
      </c>
      <c r="AJ98" s="339">
        <f>AI98-AD98</f>
        <v/>
      </c>
      <c r="AK98" s="129">
        <f>(AI98-AD98)/AD98</f>
        <v/>
      </c>
      <c r="AL98" s="29">
        <f>AJ98/AG98</f>
        <v/>
      </c>
      <c r="AM98" s="357" t="n"/>
    </row>
    <row r="99" ht="15.5" customHeight="1" s="139">
      <c r="A99" s="132" t="inlineStr">
        <is>
          <t>신방동</t>
        </is>
      </c>
      <c r="B99" s="88" t="n"/>
      <c r="C99" s="89" t="n"/>
      <c r="D99" s="132" t="n">
        <v>7400</v>
      </c>
      <c r="E99" s="135" t="inlineStr">
        <is>
          <t>향촌현대</t>
        </is>
      </c>
      <c r="F99" s="132" t="n">
        <v>1997.12</v>
      </c>
      <c r="G99" s="132" t="n">
        <v>998</v>
      </c>
      <c r="H99" s="132">
        <f>2026-F99+1</f>
        <v/>
      </c>
      <c r="I99" s="132" t="inlineStr">
        <is>
          <t>95</t>
        </is>
      </c>
      <c r="J99" s="132" t="n">
        <v>95</v>
      </c>
      <c r="K99" s="132" t="n">
        <v>74</v>
      </c>
      <c r="L99" s="132" t="n">
        <v>29</v>
      </c>
      <c r="M99" s="132" t="inlineStr">
        <is>
          <t>계단식</t>
        </is>
      </c>
      <c r="N99" s="132" t="n">
        <v>3</v>
      </c>
      <c r="O99" s="132" t="n">
        <v>1</v>
      </c>
      <c r="P99" s="132" t="n">
        <v>274</v>
      </c>
      <c r="Q99" s="480" t="n">
        <v>17000</v>
      </c>
      <c r="R99" s="481" t="n">
        <v>16000</v>
      </c>
      <c r="S99" s="477">
        <f>Q99-R99</f>
        <v/>
      </c>
      <c r="T99" s="71">
        <f>R99/Q99</f>
        <v/>
      </c>
      <c r="U99" s="481" t="n">
        <v>20500</v>
      </c>
      <c r="V99" s="481" t="n">
        <v>16000</v>
      </c>
      <c r="W99" s="339" t="inlineStr">
        <is>
          <t>계단식</t>
        </is>
      </c>
      <c r="X99" s="339" t="n">
        <v>3</v>
      </c>
      <c r="Y99" s="339" t="n">
        <v>1</v>
      </c>
      <c r="Z99" s="339" t="n">
        <v>274</v>
      </c>
      <c r="AA99" s="133" t="n">
        <v>2019.02</v>
      </c>
      <c r="AB99" s="133" t="n">
        <v>0.02</v>
      </c>
      <c r="AC99" s="77">
        <f>L99</f>
        <v/>
      </c>
      <c r="AD99" s="482" t="n">
        <v>15488</v>
      </c>
      <c r="AE99" s="482" t="n">
        <v>12786</v>
      </c>
      <c r="AF99" s="78">
        <f>AE99/AD99</f>
        <v/>
      </c>
      <c r="AG99" s="79">
        <f>AD99-AE99</f>
        <v/>
      </c>
      <c r="AH99" s="339" t="n">
        <v>2026.04</v>
      </c>
      <c r="AI99" s="339" t="n">
        <v>17000</v>
      </c>
      <c r="AJ99" s="339">
        <f>AI99-AD99</f>
        <v/>
      </c>
      <c r="AK99" s="129">
        <f>(AI99-AD99)/AD99</f>
        <v/>
      </c>
      <c r="AL99" s="80">
        <f>AJ99/AG99</f>
        <v/>
      </c>
      <c r="AM99" s="141" t="n"/>
      <c r="AN99" s="133" t="n"/>
      <c r="AO99" s="339" t="n"/>
      <c r="AP99" s="339" t="n"/>
      <c r="AQ99" s="339" t="n"/>
      <c r="AR99" s="339" t="n"/>
      <c r="AS99" s="339" t="n"/>
      <c r="AT99" s="339" t="n"/>
      <c r="AU99" s="339" t="n"/>
      <c r="AV99" s="133" t="n"/>
      <c r="AW99" s="339" t="n"/>
      <c r="AX99" s="339" t="n"/>
      <c r="AY99" s="339" t="n"/>
    </row>
    <row r="100" ht="15.5" customHeight="1" s="139">
      <c r="A100" s="132" t="inlineStr">
        <is>
          <t>신방동</t>
        </is>
      </c>
      <c r="B100" s="133" t="n"/>
      <c r="C100" s="133" t="n"/>
      <c r="D100" s="132" t="n">
        <v>17300</v>
      </c>
      <c r="E100" s="135" t="inlineStr">
        <is>
          <t>두레현대2차</t>
        </is>
      </c>
      <c r="F100" s="132" t="n">
        <v>1997.06</v>
      </c>
      <c r="G100" s="132" t="n">
        <v>740</v>
      </c>
      <c r="H100" s="132">
        <f>2026-F100+1</f>
        <v/>
      </c>
      <c r="I100" s="132" t="inlineStr">
        <is>
          <t>104</t>
        </is>
      </c>
      <c r="J100" s="132" t="n">
        <v>104</v>
      </c>
      <c r="K100" s="132" t="n">
        <v>84</v>
      </c>
      <c r="L100" s="132" t="n">
        <v>31</v>
      </c>
      <c r="M100" s="132" t="inlineStr">
        <is>
          <t>복도식</t>
        </is>
      </c>
      <c r="N100" s="132" t="n">
        <v>3</v>
      </c>
      <c r="O100" s="132" t="n">
        <v>2</v>
      </c>
      <c r="P100" s="132" t="n">
        <v>260</v>
      </c>
      <c r="Q100" s="480" t="n">
        <v>17000</v>
      </c>
      <c r="R100" s="481" t="inlineStr">
        <is>
          <t>-</t>
        </is>
      </c>
      <c r="S100" s="477">
        <f>Q100-R100</f>
        <v/>
      </c>
      <c r="T100" s="71">
        <f>R100/Q100</f>
        <v/>
      </c>
      <c r="U100" s="481" t="n">
        <v>24900</v>
      </c>
      <c r="V100" s="481" t="n">
        <v>14500</v>
      </c>
      <c r="W100" s="339" t="inlineStr">
        <is>
          <t>복도식</t>
        </is>
      </c>
      <c r="X100" s="339" t="n">
        <v>3</v>
      </c>
      <c r="Y100" s="339" t="n">
        <v>2</v>
      </c>
      <c r="Z100" s="339" t="n">
        <v>260</v>
      </c>
      <c r="AA100" s="133" t="n">
        <v>2018.01</v>
      </c>
      <c r="AB100" s="133" t="n">
        <v>0.02</v>
      </c>
      <c r="AC100" s="77">
        <f>L100</f>
        <v/>
      </c>
      <c r="AD100" s="482" t="n">
        <v>15500</v>
      </c>
      <c r="AE100" s="482" t="n">
        <v>15000</v>
      </c>
      <c r="AF100" s="78">
        <f>AE100/AD100</f>
        <v/>
      </c>
      <c r="AG100" s="79">
        <f>AD100-AE100</f>
        <v/>
      </c>
      <c r="AH100" s="339" t="n">
        <v>2026.04</v>
      </c>
      <c r="AI100" s="339" t="n">
        <v>17000</v>
      </c>
      <c r="AJ100" s="339">
        <f>AI100-AD100</f>
        <v/>
      </c>
      <c r="AK100" s="129">
        <f>(AI100-AD100)/AD100</f>
        <v/>
      </c>
      <c r="AL100" s="80">
        <f>AJ100/AG100</f>
        <v/>
      </c>
      <c r="AM100" s="141" t="n"/>
      <c r="AN100" s="133" t="n"/>
      <c r="AV100" s="133" t="n"/>
    </row>
    <row r="101" ht="15.5" customHeight="1" s="139">
      <c r="A101" s="339" t="inlineStr">
        <is>
          <t>청당동</t>
        </is>
      </c>
      <c r="D101" s="339" t="n">
        <v>19124</v>
      </c>
      <c r="E101" s="150" t="inlineStr">
        <is>
          <t>청당마을신도브래뉴</t>
        </is>
      </c>
      <c r="F101" s="339" t="n">
        <v>2006.08</v>
      </c>
      <c r="G101" s="339" t="n">
        <v>915</v>
      </c>
      <c r="H101" s="339">
        <f>2026-F101+1</f>
        <v/>
      </c>
      <c r="I101" s="339" t="inlineStr">
        <is>
          <t>105B, 106A, 106C, 106D</t>
        </is>
      </c>
      <c r="J101" s="339" t="n">
        <v>105</v>
      </c>
      <c r="K101" s="339" t="n">
        <v>84</v>
      </c>
      <c r="L101" s="339" t="n">
        <v>32</v>
      </c>
      <c r="M101" s="339" t="inlineStr">
        <is>
          <t>계단식</t>
        </is>
      </c>
      <c r="N101" s="339" t="n">
        <v>3</v>
      </c>
      <c r="O101" s="339" t="n">
        <v>2</v>
      </c>
      <c r="P101" s="339" t="n">
        <v>857</v>
      </c>
      <c r="Q101" s="104" t="n">
        <v>17000</v>
      </c>
      <c r="R101" s="104" t="n">
        <v>16000</v>
      </c>
      <c r="S101" s="477">
        <f>Q101-R101</f>
        <v/>
      </c>
      <c r="T101" s="71">
        <f>R101/Q101</f>
        <v/>
      </c>
      <c r="U101" s="104" t="n">
        <v>26000</v>
      </c>
      <c r="V101" s="104" t="n">
        <v>18000</v>
      </c>
      <c r="W101" s="339" t="inlineStr">
        <is>
          <t>계단식</t>
        </is>
      </c>
      <c r="X101" s="339" t="n">
        <v>3</v>
      </c>
      <c r="Y101" s="339" t="n">
        <v>2</v>
      </c>
      <c r="Z101" s="339" t="n">
        <v>857</v>
      </c>
      <c r="AC101" s="37">
        <f>L101</f>
        <v/>
      </c>
      <c r="AD101" s="108" t="n"/>
      <c r="AE101" s="108" t="n"/>
      <c r="AF101" s="108">
        <f>AE101/AD101</f>
        <v/>
      </c>
      <c r="AG101" s="109">
        <f>AD101-AE101</f>
        <v/>
      </c>
      <c r="AH101" s="339" t="n">
        <v>2026.04</v>
      </c>
      <c r="AI101" s="339" t="n">
        <v>17000</v>
      </c>
      <c r="AJ101" s="339">
        <f>AI101-AD101</f>
        <v/>
      </c>
      <c r="AK101" s="129">
        <f>(AI101-AD101)/AD101</f>
        <v/>
      </c>
      <c r="AL101" s="29">
        <f>AJ101/AG101</f>
        <v/>
      </c>
      <c r="AM101" s="357" t="n"/>
    </row>
    <row r="102" ht="15.5" customHeight="1" s="139">
      <c r="A102" s="132" t="inlineStr">
        <is>
          <t>신부동</t>
        </is>
      </c>
      <c r="B102" s="133" t="n"/>
      <c r="C102" s="133" t="n"/>
      <c r="D102" s="132" t="n">
        <v>7426</v>
      </c>
      <c r="E102" s="135" t="inlineStr">
        <is>
          <t>우방</t>
        </is>
      </c>
      <c r="F102" s="132" t="n">
        <v>1995.11</v>
      </c>
      <c r="G102" s="132" t="n">
        <v>436</v>
      </c>
      <c r="H102" s="132">
        <f>2026-F102+1</f>
        <v/>
      </c>
      <c r="I102" s="132" t="inlineStr">
        <is>
          <t>106</t>
        </is>
      </c>
      <c r="J102" s="132" t="n">
        <v>106</v>
      </c>
      <c r="K102" s="132" t="n">
        <v>84</v>
      </c>
      <c r="L102" s="132" t="n">
        <v>32</v>
      </c>
      <c r="M102" s="132" t="inlineStr">
        <is>
          <t>계단식</t>
        </is>
      </c>
      <c r="N102" s="132" t="n">
        <v>3</v>
      </c>
      <c r="O102" s="132" t="n">
        <v>2</v>
      </c>
      <c r="P102" s="132" t="n">
        <v>246</v>
      </c>
      <c r="Q102" s="480" t="n">
        <v>16800</v>
      </c>
      <c r="R102" s="481" t="n">
        <v>16000</v>
      </c>
      <c r="S102" s="477">
        <f>Q102-R102</f>
        <v/>
      </c>
      <c r="T102" s="71">
        <f>R102/Q102</f>
        <v/>
      </c>
      <c r="U102" s="481" t="n">
        <v>20700</v>
      </c>
      <c r="V102" s="481" t="n">
        <v>16500</v>
      </c>
      <c r="W102" s="339" t="inlineStr">
        <is>
          <t>계단식</t>
        </is>
      </c>
      <c r="X102" s="339" t="n">
        <v>3</v>
      </c>
      <c r="Y102" s="339" t="n">
        <v>2</v>
      </c>
      <c r="Z102" s="339" t="n">
        <v>246</v>
      </c>
      <c r="AA102" s="133" t="n">
        <v>2019.08</v>
      </c>
      <c r="AB102" s="133" t="n">
        <v>0.07000000000000001</v>
      </c>
      <c r="AC102" s="77">
        <f>L102</f>
        <v/>
      </c>
      <c r="AD102" s="482" t="n">
        <v>13662</v>
      </c>
      <c r="AE102" s="482" t="n">
        <v>12475</v>
      </c>
      <c r="AF102" s="78">
        <f>AE102/AD102</f>
        <v/>
      </c>
      <c r="AG102" s="79">
        <f>AD102-AE102</f>
        <v/>
      </c>
      <c r="AH102" s="339" t="n">
        <v>2026.04</v>
      </c>
      <c r="AI102" s="339" t="n">
        <v>16800</v>
      </c>
      <c r="AJ102" s="339">
        <f>AI102-AD102</f>
        <v/>
      </c>
      <c r="AK102" s="129">
        <f>(AI102-AD102)/AD102</f>
        <v/>
      </c>
      <c r="AL102" s="80">
        <f>AJ102/AG102</f>
        <v/>
      </c>
      <c r="AM102" s="141" t="n"/>
      <c r="AN102" s="133" t="n"/>
      <c r="AO102" s="339" t="n"/>
      <c r="AP102" s="339" t="n"/>
      <c r="AQ102" s="339" t="n"/>
      <c r="AR102" s="339" t="n"/>
      <c r="AS102" s="339" t="n"/>
      <c r="AT102" s="339" t="n"/>
      <c r="AU102" s="339" t="n"/>
      <c r="AV102" s="133" t="n"/>
      <c r="AW102" s="339" t="n"/>
      <c r="AX102" s="339" t="n"/>
      <c r="AY102" s="339" t="n"/>
    </row>
    <row r="103" ht="15.5" customHeight="1" s="139">
      <c r="A103" s="339" t="inlineStr">
        <is>
          <t>신방동</t>
        </is>
      </c>
      <c r="D103" s="339" t="n">
        <v>7395</v>
      </c>
      <c r="E103" s="150" t="inlineStr">
        <is>
          <t>한라동백2차</t>
        </is>
      </c>
      <c r="F103" s="339" t="n">
        <v>1998.09</v>
      </c>
      <c r="G103" s="339" t="n">
        <v>1139</v>
      </c>
      <c r="H103" s="339">
        <f>2026-F103+1</f>
        <v/>
      </c>
      <c r="I103" s="339" t="inlineStr">
        <is>
          <t>95</t>
        </is>
      </c>
      <c r="J103" s="339" t="n">
        <v>95</v>
      </c>
      <c r="K103" s="339" t="n">
        <v>74</v>
      </c>
      <c r="L103" s="339" t="n">
        <v>29</v>
      </c>
      <c r="M103" s="339" t="inlineStr">
        <is>
          <t>계단식</t>
        </is>
      </c>
      <c r="N103" s="339" t="n">
        <v>3</v>
      </c>
      <c r="O103" s="339" t="n">
        <v>2</v>
      </c>
      <c r="P103" s="339" t="n">
        <v>362</v>
      </c>
      <c r="Q103" s="483" t="n">
        <v>16500</v>
      </c>
      <c r="R103" s="484" t="n">
        <v>15500</v>
      </c>
      <c r="S103" s="477">
        <f>Q103-R103</f>
        <v/>
      </c>
      <c r="T103" s="71">
        <f>R103/Q103</f>
        <v/>
      </c>
      <c r="U103" s="484" t="n">
        <v>20000</v>
      </c>
      <c r="V103" s="484" t="n">
        <v>15800</v>
      </c>
      <c r="W103" s="339" t="inlineStr">
        <is>
          <t>계단식</t>
        </is>
      </c>
      <c r="X103" s="339" t="n">
        <v>3</v>
      </c>
      <c r="Y103" s="339" t="n">
        <v>2</v>
      </c>
      <c r="Z103" s="339" t="n">
        <v>362</v>
      </c>
      <c r="AA103" s="337" t="n">
        <v>2019.06</v>
      </c>
      <c r="AB103" s="339" t="n">
        <v>0.05</v>
      </c>
      <c r="AC103" s="37">
        <f>L103</f>
        <v/>
      </c>
      <c r="AD103" s="479" t="n">
        <v>14519</v>
      </c>
      <c r="AE103" s="479" t="n">
        <v>13786</v>
      </c>
      <c r="AF103" s="38">
        <f>AE103/AD103</f>
        <v/>
      </c>
      <c r="AG103" s="39">
        <f>AD103-AE103</f>
        <v/>
      </c>
      <c r="AH103" s="339" t="n">
        <v>2026.04</v>
      </c>
      <c r="AI103" s="405" t="n">
        <v>16500</v>
      </c>
      <c r="AJ103" s="405">
        <f>AI103-AD103</f>
        <v/>
      </c>
      <c r="AK103" s="129">
        <f>(AI103-AD103)/AD103</f>
        <v/>
      </c>
      <c r="AL103" s="29">
        <f>AJ103/AG103</f>
        <v/>
      </c>
      <c r="AM103" s="357" t="n"/>
    </row>
    <row r="104" ht="15.5" customHeight="1" s="139">
      <c r="A104" s="132" t="inlineStr">
        <is>
          <t>신방동</t>
        </is>
      </c>
      <c r="B104" s="88" t="n"/>
      <c r="C104" s="89" t="n"/>
      <c r="D104" s="132" t="n">
        <v>7389</v>
      </c>
      <c r="E104" s="135" t="inlineStr">
        <is>
          <t>성지새말1단지</t>
        </is>
      </c>
      <c r="F104" s="132" t="n">
        <v>1997.03</v>
      </c>
      <c r="G104" s="132" t="n">
        <v>612</v>
      </c>
      <c r="H104" s="132">
        <f>2026-F104+1</f>
        <v/>
      </c>
      <c r="I104" s="132" t="inlineStr">
        <is>
          <t>104</t>
        </is>
      </c>
      <c r="J104" s="132" t="n">
        <v>104</v>
      </c>
      <c r="K104" s="132" t="n">
        <v>84</v>
      </c>
      <c r="L104" s="132" t="n">
        <v>31</v>
      </c>
      <c r="M104" s="132" t="inlineStr">
        <is>
          <t>계단식</t>
        </is>
      </c>
      <c r="N104" s="132" t="n">
        <v>3</v>
      </c>
      <c r="O104" s="132" t="n">
        <v>2</v>
      </c>
      <c r="P104" s="132" t="n">
        <v>172</v>
      </c>
      <c r="Q104" s="480" t="n">
        <v>16500</v>
      </c>
      <c r="R104" s="481" t="n">
        <v>16000</v>
      </c>
      <c r="S104" s="477">
        <f>Q104-R104</f>
        <v/>
      </c>
      <c r="T104" s="71">
        <f>R104/Q104</f>
        <v/>
      </c>
      <c r="U104" s="481" t="n">
        <v>21900</v>
      </c>
      <c r="V104" s="481" t="n">
        <v>17000</v>
      </c>
      <c r="W104" s="339" t="inlineStr">
        <is>
          <t>계단식</t>
        </is>
      </c>
      <c r="X104" s="339" t="n">
        <v>3</v>
      </c>
      <c r="Y104" s="339" t="n">
        <v>2</v>
      </c>
      <c r="Z104" s="339" t="n">
        <v>172</v>
      </c>
      <c r="AA104" s="133" t="n">
        <v>2020.06</v>
      </c>
      <c r="AB104" s="133" t="n">
        <v>1</v>
      </c>
      <c r="AC104" s="77">
        <f>L104</f>
        <v/>
      </c>
      <c r="AD104" s="482" t="n">
        <v>14675</v>
      </c>
      <c r="AE104" s="482" t="n">
        <v>14000</v>
      </c>
      <c r="AF104" s="78">
        <f>AE104/AD104</f>
        <v/>
      </c>
      <c r="AG104" s="79">
        <f>AD104-AE104</f>
        <v/>
      </c>
      <c r="AH104" s="339" t="n">
        <v>2026.04</v>
      </c>
      <c r="AI104" s="339" t="n">
        <v>16500</v>
      </c>
      <c r="AJ104" s="339">
        <f>AI104-AD104</f>
        <v/>
      </c>
      <c r="AK104" s="129">
        <f>(AI104-AD104)/AD104</f>
        <v/>
      </c>
      <c r="AL104" s="80">
        <f>AJ104/AG104</f>
        <v/>
      </c>
      <c r="AM104" s="141" t="n"/>
      <c r="AN104" s="133" t="n"/>
      <c r="AV104" s="133" t="n"/>
    </row>
    <row r="105" ht="15.5" customHeight="1" s="139">
      <c r="A105" s="132" t="inlineStr">
        <is>
          <t>신방동</t>
        </is>
      </c>
      <c r="B105" s="88" t="n"/>
      <c r="C105" s="89" t="n"/>
      <c r="D105" s="132" t="n">
        <v>7393</v>
      </c>
      <c r="E105" s="135" t="inlineStr">
        <is>
          <t>신동아목련</t>
        </is>
      </c>
      <c r="F105" s="132" t="n">
        <v>1996.04</v>
      </c>
      <c r="G105" s="132" t="n">
        <v>498</v>
      </c>
      <c r="H105" s="132">
        <f>2026-F105+1</f>
        <v/>
      </c>
      <c r="I105" s="132" t="inlineStr">
        <is>
          <t>106</t>
        </is>
      </c>
      <c r="J105" s="132" t="n">
        <v>106</v>
      </c>
      <c r="K105" s="132" t="n">
        <v>84</v>
      </c>
      <c r="L105" s="132" t="n">
        <v>32</v>
      </c>
      <c r="M105" s="132" t="inlineStr">
        <is>
          <t>계단식</t>
        </is>
      </c>
      <c r="N105" s="132" t="n">
        <v>3</v>
      </c>
      <c r="O105" s="132" t="n">
        <v>2</v>
      </c>
      <c r="P105" s="132" t="n">
        <v>190</v>
      </c>
      <c r="Q105" s="480" t="n">
        <v>16000</v>
      </c>
      <c r="R105" s="481" t="n">
        <v>15000</v>
      </c>
      <c r="S105" s="477">
        <f>Q105-R105</f>
        <v/>
      </c>
      <c r="T105" s="71">
        <f>R105/Q105</f>
        <v/>
      </c>
      <c r="U105" s="481" t="n">
        <v>21500</v>
      </c>
      <c r="V105" s="481" t="n">
        <v>16500</v>
      </c>
      <c r="W105" s="339" t="inlineStr">
        <is>
          <t>계단식</t>
        </is>
      </c>
      <c r="X105" s="339" t="n">
        <v>3</v>
      </c>
      <c r="Y105" s="339" t="n">
        <v>2</v>
      </c>
      <c r="Z105" s="339" t="n">
        <v>190</v>
      </c>
      <c r="AA105" s="133" t="n">
        <v>2021.05</v>
      </c>
      <c r="AB105" s="133" t="n">
        <v>0.1</v>
      </c>
      <c r="AC105" s="77">
        <f>L105</f>
        <v/>
      </c>
      <c r="AD105" s="482" t="n">
        <v>13200</v>
      </c>
      <c r="AE105" s="482" t="n">
        <v>14100</v>
      </c>
      <c r="AF105" s="78">
        <f>AE105/AD105</f>
        <v/>
      </c>
      <c r="AG105" s="79">
        <f>AD105-AE105</f>
        <v/>
      </c>
      <c r="AH105" s="339" t="n">
        <v>2026.04</v>
      </c>
      <c r="AI105" s="339" t="n">
        <v>16000</v>
      </c>
      <c r="AJ105" s="339">
        <f>AI105-AD105</f>
        <v/>
      </c>
      <c r="AK105" s="129">
        <f>(AI105-AD105)/AD105</f>
        <v/>
      </c>
      <c r="AL105" s="80">
        <f>AJ105/AG105</f>
        <v/>
      </c>
      <c r="AM105" s="141" t="n"/>
      <c r="AN105" s="133" t="n"/>
      <c r="AO105" s="339" t="n"/>
      <c r="AP105" s="339" t="n"/>
      <c r="AQ105" s="339" t="n"/>
      <c r="AR105" s="339" t="n"/>
      <c r="AS105" s="339" t="n"/>
      <c r="AT105" s="339" t="n"/>
      <c r="AU105" s="339" t="n"/>
      <c r="AV105" s="133" t="n"/>
      <c r="AW105" s="339" t="n"/>
      <c r="AX105" s="339" t="n"/>
      <c r="AY105" s="339" t="n"/>
    </row>
    <row r="106" ht="15.5" customHeight="1" s="139">
      <c r="A106" s="132" t="inlineStr">
        <is>
          <t>신방동</t>
        </is>
      </c>
      <c r="B106" s="88" t="n"/>
      <c r="C106" s="89" t="n"/>
      <c r="D106" s="132" t="n">
        <v>17300</v>
      </c>
      <c r="E106" s="135" t="inlineStr">
        <is>
          <t>두레현대2차</t>
        </is>
      </c>
      <c r="F106" s="132" t="n">
        <v>1997.06</v>
      </c>
      <c r="G106" s="132" t="n">
        <v>740</v>
      </c>
      <c r="H106" s="132">
        <f>2026-F106+1</f>
        <v/>
      </c>
      <c r="I106" s="132" t="inlineStr">
        <is>
          <t>89</t>
        </is>
      </c>
      <c r="J106" s="132" t="n">
        <v>89</v>
      </c>
      <c r="K106" s="132" t="n">
        <v>71</v>
      </c>
      <c r="L106" s="132" t="n">
        <v>27</v>
      </c>
      <c r="M106" s="132" t="inlineStr">
        <is>
          <t>계단식</t>
        </is>
      </c>
      <c r="N106" s="132" t="n">
        <v>3</v>
      </c>
      <c r="O106" s="132" t="n">
        <v>1</v>
      </c>
      <c r="P106" s="132" t="n">
        <v>128</v>
      </c>
      <c r="Q106" s="480" t="n">
        <v>16000</v>
      </c>
      <c r="R106" s="481" t="n">
        <v>15000</v>
      </c>
      <c r="S106" s="477">
        <f>Q106-R106</f>
        <v/>
      </c>
      <c r="T106" s="71">
        <f>R106/Q106</f>
        <v/>
      </c>
      <c r="U106" s="481" t="n">
        <v>19700</v>
      </c>
      <c r="V106" s="481" t="n">
        <v>15200</v>
      </c>
      <c r="W106" s="339" t="inlineStr">
        <is>
          <t>계단식</t>
        </is>
      </c>
      <c r="X106" s="339" t="n">
        <v>3</v>
      </c>
      <c r="Y106" s="339" t="n">
        <v>1</v>
      </c>
      <c r="Z106" s="339" t="n">
        <v>128</v>
      </c>
      <c r="AA106" s="133" t="n">
        <v>2019.05</v>
      </c>
      <c r="AB106" s="133" t="n">
        <v>0.06</v>
      </c>
      <c r="AC106" s="77">
        <f>L106</f>
        <v/>
      </c>
      <c r="AD106" s="482" t="n">
        <v>13533</v>
      </c>
      <c r="AE106" s="482" t="n">
        <v>12750</v>
      </c>
      <c r="AF106" s="78">
        <f>AE106/AD106</f>
        <v/>
      </c>
      <c r="AG106" s="79">
        <f>AD106-AE106</f>
        <v/>
      </c>
      <c r="AH106" s="339" t="n">
        <v>2026.04</v>
      </c>
      <c r="AI106" s="339" t="n">
        <v>16000</v>
      </c>
      <c r="AJ106" s="339">
        <f>AI106-AD106</f>
        <v/>
      </c>
      <c r="AK106" s="129">
        <f>(AI106-AD106)/AD106</f>
        <v/>
      </c>
      <c r="AL106" s="80">
        <f>AJ106/AG106</f>
        <v/>
      </c>
      <c r="AM106" s="141" t="n"/>
      <c r="AN106" s="133" t="n"/>
      <c r="AO106" s="339" t="n"/>
      <c r="AP106" s="339" t="n"/>
      <c r="AQ106" s="339" t="n"/>
      <c r="AR106" s="339" t="n"/>
      <c r="AS106" s="339" t="n"/>
      <c r="AT106" s="339" t="n"/>
      <c r="AU106" s="339" t="n"/>
      <c r="AV106" s="133" t="n"/>
      <c r="AW106" s="339" t="n"/>
      <c r="AX106" s="339" t="n"/>
      <c r="AY106" s="339" t="n"/>
    </row>
    <row r="107" ht="15.5" customHeight="1" s="139">
      <c r="A107" s="339" t="inlineStr">
        <is>
          <t>신방동</t>
        </is>
      </c>
      <c r="D107" s="339" t="n">
        <v>7392</v>
      </c>
      <c r="E107" s="150" t="inlineStr">
        <is>
          <t>성지새말2단지</t>
        </is>
      </c>
      <c r="F107" s="339" t="n">
        <v>1997.03</v>
      </c>
      <c r="G107" s="339" t="n">
        <v>840</v>
      </c>
      <c r="H107" s="339">
        <f>2026-F107+1</f>
        <v/>
      </c>
      <c r="I107" s="339" t="inlineStr">
        <is>
          <t>91</t>
        </is>
      </c>
      <c r="J107" s="339" t="n">
        <v>91</v>
      </c>
      <c r="K107" s="339" t="n">
        <v>70</v>
      </c>
      <c r="L107" s="339" t="n">
        <v>28</v>
      </c>
      <c r="M107" s="339" t="inlineStr">
        <is>
          <t>계단식</t>
        </is>
      </c>
      <c r="N107" s="339" t="n">
        <v>3</v>
      </c>
      <c r="O107" s="339" t="n">
        <v>1</v>
      </c>
      <c r="P107" s="339" t="n">
        <v>120</v>
      </c>
      <c r="Q107" s="483" t="n">
        <v>16000</v>
      </c>
      <c r="R107" s="484" t="n">
        <v>14500</v>
      </c>
      <c r="S107" s="477">
        <f>Q107-R107</f>
        <v/>
      </c>
      <c r="T107" s="71">
        <f>R107/Q107</f>
        <v/>
      </c>
      <c r="U107" s="484" t="n">
        <v>19500</v>
      </c>
      <c r="V107" s="484" t="n">
        <v>17100</v>
      </c>
      <c r="W107" s="339" t="inlineStr">
        <is>
          <t>계단식</t>
        </is>
      </c>
      <c r="X107" s="339" t="n">
        <v>3</v>
      </c>
      <c r="Y107" s="339" t="n">
        <v>1</v>
      </c>
      <c r="Z107" s="339" t="n">
        <v>120</v>
      </c>
      <c r="AA107" s="339" t="n">
        <v>2019.01</v>
      </c>
      <c r="AB107" s="339" t="n">
        <v>0.06</v>
      </c>
      <c r="AC107" s="37">
        <f>L107</f>
        <v/>
      </c>
      <c r="AD107" s="479" t="n">
        <v>13567</v>
      </c>
      <c r="AE107" s="479" t="n">
        <v>12167</v>
      </c>
      <c r="AF107" s="38">
        <f>AE107/AD107</f>
        <v/>
      </c>
      <c r="AG107" s="39">
        <f>AD107-AE107</f>
        <v/>
      </c>
      <c r="AH107" s="339" t="n">
        <v>2026.04</v>
      </c>
      <c r="AI107" s="339" t="n">
        <v>16000</v>
      </c>
      <c r="AJ107" s="339">
        <f>AI107-AD107</f>
        <v/>
      </c>
      <c r="AK107" s="129">
        <f>(AI107-AD107)/AD107</f>
        <v/>
      </c>
      <c r="AL107" s="29">
        <f>AJ107/AG107</f>
        <v/>
      </c>
      <c r="AM107" s="357" t="n"/>
      <c r="AO107" s="339" t="n"/>
      <c r="AP107" s="339" t="n"/>
      <c r="AQ107" s="339" t="n"/>
      <c r="AR107" s="339" t="n"/>
      <c r="AS107" s="339" t="n"/>
      <c r="AT107" s="339" t="n"/>
      <c r="AU107" s="339" t="n"/>
      <c r="AW107" s="339" t="n"/>
      <c r="AX107" s="339" t="n"/>
      <c r="AY107" s="339" t="n"/>
    </row>
    <row r="108" ht="15.5" customHeight="1" s="139">
      <c r="A108" s="132" t="inlineStr">
        <is>
          <t>신방동</t>
        </is>
      </c>
      <c r="B108" s="133" t="n"/>
      <c r="C108" s="133" t="n"/>
      <c r="D108" s="132" t="n">
        <v>7400</v>
      </c>
      <c r="E108" s="135" t="inlineStr">
        <is>
          <t>향촌현대</t>
        </is>
      </c>
      <c r="F108" s="132" t="n">
        <v>1997.12</v>
      </c>
      <c r="G108" s="132" t="n">
        <v>998</v>
      </c>
      <c r="H108" s="132">
        <f>2026-F108+1</f>
        <v/>
      </c>
      <c r="I108" s="132" t="inlineStr">
        <is>
          <t>76</t>
        </is>
      </c>
      <c r="J108" s="132" t="n">
        <v>76</v>
      </c>
      <c r="K108" s="132" t="n">
        <v>59</v>
      </c>
      <c r="L108" s="132" t="n">
        <v>23</v>
      </c>
      <c r="M108" s="132" t="inlineStr">
        <is>
          <t>계단식</t>
        </is>
      </c>
      <c r="N108" s="132" t="n">
        <v>3</v>
      </c>
      <c r="O108" s="132" t="n">
        <v>1</v>
      </c>
      <c r="P108" s="132" t="n">
        <v>200</v>
      </c>
      <c r="Q108" s="480" t="n">
        <v>16000</v>
      </c>
      <c r="R108" s="481" t="n">
        <v>13500</v>
      </c>
      <c r="S108" s="477">
        <f>Q108-R108</f>
        <v/>
      </c>
      <c r="T108" s="71">
        <f>R108/Q108</f>
        <v/>
      </c>
      <c r="U108" s="481" t="n">
        <v>18900</v>
      </c>
      <c r="V108" s="481" t="n">
        <v>14500</v>
      </c>
      <c r="W108" s="339" t="inlineStr">
        <is>
          <t>계단식</t>
        </is>
      </c>
      <c r="X108" s="339" t="n">
        <v>3</v>
      </c>
      <c r="Y108" s="339" t="n">
        <v>1</v>
      </c>
      <c r="Z108" s="339" t="n">
        <v>200</v>
      </c>
      <c r="AA108" s="133" t="n">
        <v>2026.01</v>
      </c>
      <c r="AB108" s="133" t="n">
        <v>0.02</v>
      </c>
      <c r="AC108" s="77">
        <f>L108</f>
        <v/>
      </c>
      <c r="AD108" s="482" t="n">
        <v>15067</v>
      </c>
      <c r="AE108" s="482" t="n">
        <v>13500</v>
      </c>
      <c r="AF108" s="78">
        <f>AE108/AD108</f>
        <v/>
      </c>
      <c r="AG108" s="79">
        <f>AD108-AE108</f>
        <v/>
      </c>
      <c r="AH108" s="339" t="n">
        <v>2026.04</v>
      </c>
      <c r="AI108" s="339" t="n">
        <v>16000</v>
      </c>
      <c r="AJ108" s="339">
        <f>AI108-AD108</f>
        <v/>
      </c>
      <c r="AK108" s="129">
        <f>(AI108-AD108)/AD108</f>
        <v/>
      </c>
      <c r="AL108" s="80">
        <f>AJ108/AG108</f>
        <v/>
      </c>
      <c r="AM108" s="141" t="n"/>
      <c r="AN108" s="133" t="n"/>
      <c r="AV108" s="133" t="n"/>
    </row>
    <row r="109" ht="15.5" customHeight="1" s="139">
      <c r="A109" s="339" t="inlineStr">
        <is>
          <t>안서동</t>
        </is>
      </c>
      <c r="B109" s="164" t="n"/>
      <c r="C109" s="164" t="n"/>
      <c r="D109" s="339" t="n">
        <v>10920</v>
      </c>
      <c r="E109" s="150" t="inlineStr">
        <is>
          <t>부경파크빌2차</t>
        </is>
      </c>
      <c r="F109" s="339" t="n">
        <v>2004.07</v>
      </c>
      <c r="G109" s="339" t="n">
        <v>487</v>
      </c>
      <c r="H109" s="339">
        <f>2026-F109+1</f>
        <v/>
      </c>
      <c r="I109" s="339" t="inlineStr">
        <is>
          <t>116</t>
        </is>
      </c>
      <c r="J109" s="339" t="n">
        <v>116</v>
      </c>
      <c r="K109" s="339" t="n">
        <v>84</v>
      </c>
      <c r="L109" s="339" t="n">
        <v>35</v>
      </c>
      <c r="M109" s="339" t="inlineStr">
        <is>
          <t>계단식</t>
        </is>
      </c>
      <c r="N109" s="339" t="n">
        <v>3</v>
      </c>
      <c r="O109" s="339" t="n">
        <v>2</v>
      </c>
      <c r="P109" s="339" t="n">
        <v>296</v>
      </c>
      <c r="Q109" s="426" t="n">
        <v>16000</v>
      </c>
      <c r="R109" s="427" t="n">
        <v>15000</v>
      </c>
      <c r="S109" s="477">
        <f>Q109-R109</f>
        <v/>
      </c>
      <c r="T109" s="71">
        <f>R109/Q109</f>
        <v/>
      </c>
      <c r="U109" s="427" t="n">
        <v>23000</v>
      </c>
      <c r="V109" s="427" t="n">
        <v>19500</v>
      </c>
      <c r="W109" s="339" t="inlineStr">
        <is>
          <t>계단식</t>
        </is>
      </c>
      <c r="X109" s="339" t="n">
        <v>3</v>
      </c>
      <c r="Y109" s="339" t="n">
        <v>2</v>
      </c>
      <c r="Z109" s="339" t="n">
        <v>296</v>
      </c>
      <c r="AA109" s="337" t="n">
        <v>2019.12</v>
      </c>
      <c r="AB109" s="339" t="n">
        <v>0.02</v>
      </c>
      <c r="AC109" s="37">
        <f>L109</f>
        <v/>
      </c>
      <c r="AD109" s="479" t="n">
        <v>15043</v>
      </c>
      <c r="AE109" s="479" t="n">
        <v>12900</v>
      </c>
      <c r="AF109" s="38">
        <f>AE109/AD109</f>
        <v/>
      </c>
      <c r="AG109" s="39">
        <f>AD109-AE109</f>
        <v/>
      </c>
      <c r="AH109" s="339" t="n">
        <v>2026.04</v>
      </c>
      <c r="AI109" s="405" t="n">
        <v>16000</v>
      </c>
      <c r="AJ109" s="405">
        <f>AI109-AD109</f>
        <v/>
      </c>
      <c r="AK109" s="129">
        <f>(AI109-AD109)/AD109</f>
        <v/>
      </c>
      <c r="AL109" s="29">
        <f>AJ109/AG109</f>
        <v/>
      </c>
      <c r="AM109" s="357" t="n"/>
    </row>
    <row r="110" ht="15.5" customHeight="1" s="139">
      <c r="A110" s="132" t="inlineStr">
        <is>
          <t>풍세면</t>
        </is>
      </c>
      <c r="B110" s="133" t="n"/>
      <c r="C110" s="133" t="n"/>
      <c r="D110" s="132" t="n">
        <v>140850</v>
      </c>
      <c r="E110" s="135" t="inlineStr">
        <is>
          <t>천안한양수자인에코시티</t>
        </is>
      </c>
      <c r="F110" s="132" t="n">
        <v>2023.12</v>
      </c>
      <c r="G110" s="132" t="n">
        <v>3200</v>
      </c>
      <c r="H110" s="132">
        <f>2026-F110+1</f>
        <v/>
      </c>
      <c r="I110" s="132" t="inlineStr">
        <is>
          <t>107C, 108D</t>
        </is>
      </c>
      <c r="J110" s="132" t="n">
        <v>107</v>
      </c>
      <c r="K110" s="132" t="n">
        <v>84</v>
      </c>
      <c r="L110" s="132" t="n">
        <v>32</v>
      </c>
      <c r="M110" s="132" t="inlineStr">
        <is>
          <t>계단식</t>
        </is>
      </c>
      <c r="N110" s="132" t="n">
        <v>3</v>
      </c>
      <c r="O110" s="132" t="n">
        <v>2</v>
      </c>
      <c r="P110" s="132" t="n">
        <v>1160</v>
      </c>
      <c r="Q110" s="96" t="n">
        <v>16000</v>
      </c>
      <c r="R110" s="96" t="n">
        <v>25000</v>
      </c>
      <c r="S110" s="477">
        <f>Q110-R110</f>
        <v/>
      </c>
      <c r="T110" s="71">
        <f>R110/Q110</f>
        <v/>
      </c>
      <c r="U110" s="96" t="n"/>
      <c r="V110" s="96" t="n">
        <v>29290</v>
      </c>
      <c r="W110" s="339" t="inlineStr">
        <is>
          <t>계단식</t>
        </is>
      </c>
      <c r="X110" s="339" t="n">
        <v>3</v>
      </c>
      <c r="Y110" s="339" t="n">
        <v>2</v>
      </c>
      <c r="Z110" s="339" t="n">
        <v>1160</v>
      </c>
      <c r="AA110" s="133" t="n"/>
      <c r="AB110" s="133" t="n"/>
      <c r="AC110" s="99">
        <f>L110</f>
        <v/>
      </c>
      <c r="AD110" s="99" t="n"/>
      <c r="AE110" s="99" t="n"/>
      <c r="AF110" s="99">
        <f>AE110/AD110</f>
        <v/>
      </c>
      <c r="AG110" s="100">
        <f>AD110-AE110</f>
        <v/>
      </c>
      <c r="AH110" s="339" t="n">
        <v>2026.04</v>
      </c>
      <c r="AI110" s="339" t="n">
        <v>16000</v>
      </c>
      <c r="AJ110" s="339">
        <f>AI110-AD110</f>
        <v/>
      </c>
      <c r="AK110" s="129">
        <f>(AI110-AD110)/AD110</f>
        <v/>
      </c>
      <c r="AL110" s="101">
        <f>AJ110/AG110</f>
        <v/>
      </c>
      <c r="AM110" s="133" t="n"/>
      <c r="AN110" s="133" t="n"/>
      <c r="AV110" s="133" t="n"/>
    </row>
    <row r="111" ht="15.5" customHeight="1" s="139">
      <c r="A111" s="132" t="inlineStr">
        <is>
          <t>목천읍</t>
        </is>
      </c>
      <c r="B111" s="134" t="n"/>
      <c r="C111" s="134" t="n"/>
      <c r="D111" s="132" t="n">
        <v>12895</v>
      </c>
      <c r="E111" s="135" t="inlineStr">
        <is>
          <t>목천신도브래뉴1차</t>
        </is>
      </c>
      <c r="F111" s="132" t="n">
        <v>2004.12</v>
      </c>
      <c r="G111" s="132" t="n">
        <v>540</v>
      </c>
      <c r="H111" s="132">
        <f>2026-F111+1</f>
        <v/>
      </c>
      <c r="I111" s="132" t="inlineStr">
        <is>
          <t>111</t>
        </is>
      </c>
      <c r="J111" s="132" t="n">
        <v>111</v>
      </c>
      <c r="K111" s="132" t="n">
        <v>84</v>
      </c>
      <c r="L111" s="132" t="n">
        <v>34</v>
      </c>
      <c r="M111" s="132" t="inlineStr">
        <is>
          <t>계단식</t>
        </is>
      </c>
      <c r="N111" s="132" t="n">
        <v>3</v>
      </c>
      <c r="O111" s="132" t="n">
        <v>2</v>
      </c>
      <c r="P111" s="132" t="n">
        <v>380</v>
      </c>
      <c r="Q111" s="480" t="n">
        <v>15500</v>
      </c>
      <c r="R111" s="481" t="n">
        <v>14000</v>
      </c>
      <c r="S111" s="477">
        <f>Q111-R111</f>
        <v/>
      </c>
      <c r="T111" s="71">
        <f>R111/Q111</f>
        <v/>
      </c>
      <c r="U111" s="481" t="n">
        <v>17700</v>
      </c>
      <c r="V111" s="481" t="n">
        <v>14500</v>
      </c>
      <c r="W111" s="339" t="inlineStr">
        <is>
          <t>계단식</t>
        </is>
      </c>
      <c r="X111" s="339" t="n">
        <v>3</v>
      </c>
      <c r="Y111" s="339" t="n">
        <v>2</v>
      </c>
      <c r="Z111" s="339" t="n">
        <v>380</v>
      </c>
      <c r="AA111" s="144" t="n">
        <v>2019.07</v>
      </c>
      <c r="AB111" s="134" t="n">
        <v>0.02</v>
      </c>
      <c r="AC111" s="77">
        <f>L111</f>
        <v/>
      </c>
      <c r="AD111" s="482" t="n">
        <v>12714</v>
      </c>
      <c r="AE111" s="482" t="n">
        <v>10400</v>
      </c>
      <c r="AF111" s="78">
        <f>AE111/AD111</f>
        <v/>
      </c>
      <c r="AG111" s="79">
        <f>AD111-AE111</f>
        <v/>
      </c>
      <c r="AH111" s="110" t="n">
        <v>2026.04</v>
      </c>
      <c r="AI111" s="487" t="n">
        <v>15500</v>
      </c>
      <c r="AJ111" s="487">
        <f>AI111-AD111</f>
        <v/>
      </c>
      <c r="AK111" s="129">
        <f>(AI111-AD111)/AD111</f>
        <v/>
      </c>
      <c r="AL111" s="80">
        <f>AJ111/AG111</f>
        <v/>
      </c>
      <c r="AM111" s="141" t="n"/>
      <c r="AN111" s="83" t="n"/>
      <c r="AO111" s="132" t="n"/>
      <c r="AP111" s="132" t="n"/>
      <c r="AQ111" s="132" t="n"/>
      <c r="AR111" s="132" t="n"/>
      <c r="AS111" s="132" t="n"/>
      <c r="AT111" s="132" t="n"/>
      <c r="AU111" s="132" t="n"/>
      <c r="AV111" s="84" t="inlineStr">
        <is>
          <t>선명한 앞마당을 만들어 줄 '찐' 수익률분석 [나알이]</t>
        </is>
      </c>
      <c r="AW111" s="85" t="n"/>
      <c r="AX111" s="85" t="n"/>
      <c r="AY111" s="85" t="n"/>
    </row>
    <row r="112" ht="15.5" customHeight="1" s="139">
      <c r="A112" s="132" t="inlineStr">
        <is>
          <t>목천읍</t>
        </is>
      </c>
      <c r="B112" s="74" t="n"/>
      <c r="C112" s="75" t="n"/>
      <c r="D112" s="132" t="n">
        <v>13468</v>
      </c>
      <c r="E112" s="135" t="inlineStr">
        <is>
          <t>목천신도브래뉴2차</t>
        </is>
      </c>
      <c r="F112" s="132" t="n">
        <v>2005.06</v>
      </c>
      <c r="G112" s="132" t="n">
        <v>957</v>
      </c>
      <c r="H112" s="132">
        <f>2026-F112+1</f>
        <v/>
      </c>
      <c r="I112" s="132" t="inlineStr">
        <is>
          <t>109</t>
        </is>
      </c>
      <c r="J112" s="132" t="n">
        <v>109</v>
      </c>
      <c r="K112" s="132" t="n">
        <v>84</v>
      </c>
      <c r="L112" s="132" t="n">
        <v>33</v>
      </c>
      <c r="M112" s="132" t="inlineStr">
        <is>
          <t>계단식</t>
        </is>
      </c>
      <c r="N112" s="132" t="n">
        <v>3</v>
      </c>
      <c r="O112" s="132" t="n">
        <v>2</v>
      </c>
      <c r="P112" s="132" t="n">
        <v>568</v>
      </c>
      <c r="Q112" s="480" t="n">
        <v>15500</v>
      </c>
      <c r="R112" s="481" t="n">
        <v>14000</v>
      </c>
      <c r="S112" s="477">
        <f>Q112-R112</f>
        <v/>
      </c>
      <c r="T112" s="71">
        <f>R112/Q112</f>
        <v/>
      </c>
      <c r="U112" s="481" t="n">
        <v>22000</v>
      </c>
      <c r="V112" s="481" t="n">
        <v>17800</v>
      </c>
      <c r="W112" s="339" t="inlineStr">
        <is>
          <t>계단식</t>
        </is>
      </c>
      <c r="X112" s="339" t="n">
        <v>3</v>
      </c>
      <c r="Y112" s="339" t="n">
        <v>2</v>
      </c>
      <c r="Z112" s="339" t="n">
        <v>568</v>
      </c>
      <c r="AA112" s="134" t="n">
        <v>2019.02</v>
      </c>
      <c r="AB112" s="134" t="n">
        <v>0.01</v>
      </c>
      <c r="AC112" s="77">
        <f>L112</f>
        <v/>
      </c>
      <c r="AD112" s="482" t="n">
        <v>15710</v>
      </c>
      <c r="AE112" s="482" t="n">
        <v>12818</v>
      </c>
      <c r="AF112" s="78">
        <f>AE112/AD112</f>
        <v/>
      </c>
      <c r="AG112" s="79">
        <f>AD112-AE112</f>
        <v/>
      </c>
      <c r="AH112" s="110" t="n">
        <v>2026.04</v>
      </c>
      <c r="AI112" s="132" t="n">
        <v>15500</v>
      </c>
      <c r="AJ112" s="132">
        <f>AI112-AD112</f>
        <v/>
      </c>
      <c r="AK112" s="129">
        <f>(AI112-AD112)/AD112</f>
        <v/>
      </c>
      <c r="AL112" s="80">
        <f>AJ112/AG112</f>
        <v/>
      </c>
      <c r="AM112" s="141" t="n"/>
      <c r="AN112" s="81" t="n"/>
      <c r="AO112" s="132" t="n"/>
      <c r="AP112" s="132" t="n"/>
      <c r="AQ112" s="132" t="n"/>
      <c r="AR112" s="132" t="n"/>
      <c r="AS112" s="132" t="n"/>
      <c r="AT112" s="132" t="n"/>
      <c r="AU112" s="132" t="n"/>
      <c r="AV112" s="133" t="n"/>
      <c r="AW112" s="132" t="n"/>
      <c r="AX112" s="132" t="n"/>
      <c r="AY112" s="132" t="n"/>
    </row>
    <row r="113" ht="15.5" customHeight="1" s="139">
      <c r="A113" s="132" t="inlineStr">
        <is>
          <t>신방동</t>
        </is>
      </c>
      <c r="B113" s="88" t="n"/>
      <c r="C113" s="89" t="n"/>
      <c r="D113" s="132" t="n">
        <v>7389</v>
      </c>
      <c r="E113" s="135" t="inlineStr">
        <is>
          <t>성지새말1단지</t>
        </is>
      </c>
      <c r="F113" s="132" t="n">
        <v>1997.03</v>
      </c>
      <c r="G113" s="132" t="n">
        <v>612</v>
      </c>
      <c r="H113" s="132">
        <f>2026-F113+1</f>
        <v/>
      </c>
      <c r="I113" s="132" t="inlineStr">
        <is>
          <t>89</t>
        </is>
      </c>
      <c r="J113" s="132" t="n">
        <v>89</v>
      </c>
      <c r="K113" s="132" t="n">
        <v>70</v>
      </c>
      <c r="L113" s="132" t="n">
        <v>27</v>
      </c>
      <c r="M113" s="132" t="inlineStr">
        <is>
          <t>계단식</t>
        </is>
      </c>
      <c r="N113" s="132" t="n">
        <v>3</v>
      </c>
      <c r="O113" s="132" t="n">
        <v>1</v>
      </c>
      <c r="P113" s="132" t="n">
        <v>124</v>
      </c>
      <c r="Q113" s="480" t="n">
        <v>15500</v>
      </c>
      <c r="R113" s="481" t="n">
        <v>14000</v>
      </c>
      <c r="S113" s="477">
        <f>Q113-R113</f>
        <v/>
      </c>
      <c r="T113" s="71">
        <f>R113/Q113</f>
        <v/>
      </c>
      <c r="U113" s="481" t="n">
        <v>19600</v>
      </c>
      <c r="V113" s="481" t="n">
        <v>15290</v>
      </c>
      <c r="W113" s="339" t="inlineStr">
        <is>
          <t>계단식</t>
        </is>
      </c>
      <c r="X113" s="339" t="n">
        <v>3</v>
      </c>
      <c r="Y113" s="339" t="n">
        <v>1</v>
      </c>
      <c r="Z113" s="339" t="n">
        <v>124</v>
      </c>
      <c r="AA113" s="133" t="n">
        <v>2019.04</v>
      </c>
      <c r="AB113" s="133" t="n">
        <v>0.07000000000000001</v>
      </c>
      <c r="AC113" s="77">
        <f>L113</f>
        <v/>
      </c>
      <c r="AD113" s="482" t="n">
        <v>13900</v>
      </c>
      <c r="AE113" s="482" t="n">
        <v>11167</v>
      </c>
      <c r="AF113" s="78">
        <f>AE113/AD113</f>
        <v/>
      </c>
      <c r="AG113" s="79">
        <f>AD113-AE113</f>
        <v/>
      </c>
      <c r="AH113" s="339" t="n">
        <v>2026.04</v>
      </c>
      <c r="AI113" s="339" t="n">
        <v>15500</v>
      </c>
      <c r="AJ113" s="339">
        <f>AI113-AD113</f>
        <v/>
      </c>
      <c r="AK113" s="129">
        <f>(AI113-AD113)/AD113</f>
        <v/>
      </c>
      <c r="AL113" s="80">
        <f>AJ113/AG113</f>
        <v/>
      </c>
      <c r="AM113" s="141" t="n"/>
      <c r="AN113" s="133" t="n"/>
      <c r="AV113" s="133" t="n"/>
    </row>
    <row r="114" ht="15.5" customHeight="1" s="139">
      <c r="A114" s="132" t="inlineStr">
        <is>
          <t>신부동</t>
        </is>
      </c>
      <c r="B114" s="88" t="n"/>
      <c r="C114" s="89" t="n"/>
      <c r="D114" s="132" t="n">
        <v>7424</v>
      </c>
      <c r="E114" s="135" t="inlineStr">
        <is>
          <t>동아태조</t>
        </is>
      </c>
      <c r="F114" s="132" t="n">
        <v>1995.1</v>
      </c>
      <c r="G114" s="132" t="n">
        <v>800</v>
      </c>
      <c r="H114" s="132">
        <f>2026-F114+1</f>
        <v/>
      </c>
      <c r="I114" s="132" t="inlineStr">
        <is>
          <t>79</t>
        </is>
      </c>
      <c r="J114" s="132" t="n">
        <v>79</v>
      </c>
      <c r="K114" s="132" t="n">
        <v>59</v>
      </c>
      <c r="L114" s="132" t="n">
        <v>24</v>
      </c>
      <c r="M114" s="132" t="inlineStr">
        <is>
          <t>계단식</t>
        </is>
      </c>
      <c r="N114" s="132" t="n">
        <v>3</v>
      </c>
      <c r="O114" s="132" t="n">
        <v>1</v>
      </c>
      <c r="P114" s="132" t="n">
        <v>800</v>
      </c>
      <c r="Q114" s="480" t="n">
        <v>15000</v>
      </c>
      <c r="R114" s="481" t="inlineStr">
        <is>
          <t>-</t>
        </is>
      </c>
      <c r="S114" s="477">
        <f>Q114-R114</f>
        <v/>
      </c>
      <c r="T114" s="71">
        <f>R114/Q114</f>
        <v/>
      </c>
      <c r="U114" s="481" t="n">
        <v>19000</v>
      </c>
      <c r="V114" s="481" t="n">
        <v>12000</v>
      </c>
      <c r="W114" s="339" t="inlineStr">
        <is>
          <t>계단식</t>
        </is>
      </c>
      <c r="X114" s="339" t="n">
        <v>3</v>
      </c>
      <c r="Y114" s="339" t="n">
        <v>1</v>
      </c>
      <c r="Z114" s="339" t="n">
        <v>800</v>
      </c>
      <c r="AA114" s="133" t="n"/>
      <c r="AB114" s="133" t="n"/>
      <c r="AC114" s="77">
        <f>L114</f>
        <v/>
      </c>
      <c r="AD114" s="482" t="n"/>
      <c r="AE114" s="482" t="n"/>
      <c r="AF114" s="78">
        <f>AE114/AD114</f>
        <v/>
      </c>
      <c r="AG114" s="79">
        <f>AD114-AE114</f>
        <v/>
      </c>
      <c r="AH114" s="339" t="n">
        <v>2026.04</v>
      </c>
      <c r="AI114" s="339" t="n">
        <v>15000</v>
      </c>
      <c r="AJ114" s="339">
        <f>AI114-AD114</f>
        <v/>
      </c>
      <c r="AK114" s="129">
        <f>(AI114-AD114)/AD114</f>
        <v/>
      </c>
      <c r="AL114" s="80">
        <f>AJ114/AG114</f>
        <v/>
      </c>
      <c r="AM114" s="141" t="n"/>
      <c r="AN114" s="133" t="n"/>
      <c r="AV114" s="133" t="n"/>
    </row>
    <row r="115" ht="15.5" customHeight="1" s="139">
      <c r="A115" s="339" t="inlineStr">
        <is>
          <t>청수동</t>
        </is>
      </c>
      <c r="D115" s="339" t="n">
        <v>7569</v>
      </c>
      <c r="E115" s="150" t="inlineStr">
        <is>
          <t>현대</t>
        </is>
      </c>
      <c r="F115" s="339" t="n">
        <v>1996.1</v>
      </c>
      <c r="G115" s="339" t="n">
        <v>520</v>
      </c>
      <c r="H115" s="339">
        <f>2026-F115+1</f>
        <v/>
      </c>
      <c r="I115" s="339" t="inlineStr">
        <is>
          <t>79</t>
        </is>
      </c>
      <c r="J115" s="339" t="n">
        <v>79</v>
      </c>
      <c r="K115" s="339" t="n">
        <v>59</v>
      </c>
      <c r="L115" s="339" t="n">
        <v>24</v>
      </c>
      <c r="M115" s="339" t="inlineStr">
        <is>
          <t>계단식</t>
        </is>
      </c>
      <c r="N115" s="339" t="n">
        <v>3</v>
      </c>
      <c r="O115" s="339" t="n">
        <v>1</v>
      </c>
      <c r="P115" s="339" t="n">
        <v>244</v>
      </c>
      <c r="Q115" s="104" t="n">
        <v>15000</v>
      </c>
      <c r="R115" s="106" t="inlineStr">
        <is>
          <t>-</t>
        </is>
      </c>
      <c r="S115" s="477">
        <f>Q115-R115</f>
        <v/>
      </c>
      <c r="T115" s="71">
        <f>R115/Q115</f>
        <v/>
      </c>
      <c r="U115" s="104" t="n">
        <v>17000</v>
      </c>
      <c r="V115" s="104" t="n">
        <v>9000</v>
      </c>
      <c r="W115" s="339" t="inlineStr">
        <is>
          <t>계단식</t>
        </is>
      </c>
      <c r="X115" s="339" t="n">
        <v>3</v>
      </c>
      <c r="Y115" s="339" t="n">
        <v>1</v>
      </c>
      <c r="Z115" s="339" t="n">
        <v>244</v>
      </c>
      <c r="AA115" s="339" t="n">
        <v>2023.05</v>
      </c>
      <c r="AB115" s="339" t="n">
        <v>0.02</v>
      </c>
      <c r="AC115" s="37">
        <f>L115</f>
        <v/>
      </c>
      <c r="AD115" s="108" t="n">
        <v>11200</v>
      </c>
      <c r="AE115" s="108" t="n">
        <v>9800</v>
      </c>
      <c r="AF115" s="108">
        <f>AE115/AD115</f>
        <v/>
      </c>
      <c r="AG115" s="109">
        <f>AD115-AE115</f>
        <v/>
      </c>
      <c r="AH115" s="339" t="n">
        <v>2026.04</v>
      </c>
      <c r="AI115" s="339" t="n">
        <v>15000</v>
      </c>
      <c r="AJ115" s="339">
        <f>AI115-AD115</f>
        <v/>
      </c>
      <c r="AK115" s="129">
        <f>(AI115-AD115)/AD115</f>
        <v/>
      </c>
      <c r="AL115" s="29">
        <f>AJ115/AG115</f>
        <v/>
      </c>
      <c r="AM115" s="357" t="n"/>
    </row>
    <row r="116" ht="15.5" customHeight="1" s="139">
      <c r="A116" s="339" t="inlineStr">
        <is>
          <t>신방동</t>
        </is>
      </c>
      <c r="B116" s="164" t="n"/>
      <c r="C116" s="164" t="n"/>
      <c r="D116" s="339" t="n">
        <v>7387</v>
      </c>
      <c r="E116" s="150" t="inlineStr">
        <is>
          <t>두레현대1차</t>
        </is>
      </c>
      <c r="F116" s="339" t="n">
        <v>1997.06</v>
      </c>
      <c r="G116" s="339" t="n">
        <v>676</v>
      </c>
      <c r="H116" s="339">
        <f>2026-F116+1</f>
        <v/>
      </c>
      <c r="I116" s="339" t="inlineStr">
        <is>
          <t>89</t>
        </is>
      </c>
      <c r="J116" s="339" t="n">
        <v>89</v>
      </c>
      <c r="K116" s="339" t="n">
        <v>71</v>
      </c>
      <c r="L116" s="339" t="n">
        <v>27</v>
      </c>
      <c r="M116" s="339" t="inlineStr">
        <is>
          <t>계단식</t>
        </is>
      </c>
      <c r="N116" s="339" t="n">
        <v>3</v>
      </c>
      <c r="O116" s="339" t="n">
        <v>1</v>
      </c>
      <c r="P116" s="339" t="n">
        <v>126</v>
      </c>
      <c r="Q116" s="483" t="n">
        <v>14500</v>
      </c>
      <c r="R116" s="484" t="n">
        <v>15000</v>
      </c>
      <c r="S116" s="477">
        <f>Q116-R116</f>
        <v/>
      </c>
      <c r="T116" s="71">
        <f>R116/Q116</f>
        <v/>
      </c>
      <c r="U116" s="484" t="n">
        <v>20000</v>
      </c>
      <c r="V116" s="484" t="n">
        <v>15200</v>
      </c>
      <c r="W116" s="339" t="inlineStr">
        <is>
          <t>계단식</t>
        </is>
      </c>
      <c r="X116" s="339" t="n">
        <v>3</v>
      </c>
      <c r="Y116" s="339" t="n">
        <v>1</v>
      </c>
      <c r="Z116" s="339" t="n">
        <v>126</v>
      </c>
      <c r="AA116" s="337" t="n">
        <v>2019.1</v>
      </c>
      <c r="AB116" s="339" t="n">
        <v>0.01</v>
      </c>
      <c r="AC116" s="37">
        <f>L116</f>
        <v/>
      </c>
      <c r="AD116" s="479" t="n">
        <v>13300</v>
      </c>
      <c r="AE116" s="479" t="n">
        <v>13000</v>
      </c>
      <c r="AF116" s="38">
        <f>AE116/AD116</f>
        <v/>
      </c>
      <c r="AG116" s="39">
        <f>AD116-AE116</f>
        <v/>
      </c>
      <c r="AH116" s="339" t="n">
        <v>2026.04</v>
      </c>
      <c r="AI116" s="405" t="n">
        <v>14500</v>
      </c>
      <c r="AJ116" s="405">
        <f>AI116-AD116</f>
        <v/>
      </c>
      <c r="AK116" s="129">
        <f>(AI116-AD116)/AD116</f>
        <v/>
      </c>
      <c r="AL116" s="29">
        <f>AJ116/AG116</f>
        <v/>
      </c>
      <c r="AM116" s="357" t="n"/>
      <c r="AN116" s="16" t="n"/>
    </row>
    <row r="117" ht="15.5" customHeight="1" s="139">
      <c r="A117" s="339" t="inlineStr">
        <is>
          <t>청수동</t>
        </is>
      </c>
      <c r="D117" s="339" t="n">
        <v>7567</v>
      </c>
      <c r="E117" s="150" t="inlineStr">
        <is>
          <t>극동1차</t>
        </is>
      </c>
      <c r="F117" s="339" t="n">
        <v>1992.01</v>
      </c>
      <c r="G117" s="339" t="n">
        <v>450</v>
      </c>
      <c r="H117" s="339">
        <f>2026-F117+1</f>
        <v/>
      </c>
      <c r="I117" s="339" t="inlineStr">
        <is>
          <t>101A, 102B</t>
        </is>
      </c>
      <c r="J117" s="339" t="n">
        <v>101</v>
      </c>
      <c r="K117" s="339" t="n">
        <v>84</v>
      </c>
      <c r="L117" s="339" t="n">
        <v>31</v>
      </c>
      <c r="M117" s="339" t="inlineStr">
        <is>
          <t>계단식</t>
        </is>
      </c>
      <c r="N117" s="339" t="n">
        <v>3</v>
      </c>
      <c r="O117" s="339" t="n">
        <v>2</v>
      </c>
      <c r="P117" s="339" t="n">
        <v>270</v>
      </c>
      <c r="Q117" s="104" t="n">
        <v>14500</v>
      </c>
      <c r="R117" s="104" t="n">
        <v>13000</v>
      </c>
      <c r="S117" s="477">
        <f>Q117-R117</f>
        <v/>
      </c>
      <c r="T117" s="71">
        <f>R117/Q117</f>
        <v/>
      </c>
      <c r="U117" s="104" t="n">
        <v>19000</v>
      </c>
      <c r="V117" s="104" t="n">
        <v>13100</v>
      </c>
      <c r="W117" s="339" t="inlineStr">
        <is>
          <t>계단식</t>
        </is>
      </c>
      <c r="X117" s="339" t="n">
        <v>3</v>
      </c>
      <c r="Y117" s="339" t="n">
        <v>2</v>
      </c>
      <c r="Z117" s="339" t="n">
        <v>270</v>
      </c>
      <c r="AA117" s="339" t="n">
        <v>2019.11</v>
      </c>
      <c r="AB117" s="339" t="n">
        <v>0.01</v>
      </c>
      <c r="AC117" s="37">
        <f>L117</f>
        <v/>
      </c>
      <c r="AD117" s="108" t="n">
        <v>12033</v>
      </c>
      <c r="AE117" s="108" t="n">
        <v>11250</v>
      </c>
      <c r="AF117" s="108">
        <f>AE117/AD117</f>
        <v/>
      </c>
      <c r="AG117" s="109">
        <f>AD117-AE117</f>
        <v/>
      </c>
      <c r="AH117" s="339" t="n">
        <v>2026.04</v>
      </c>
      <c r="AI117" s="339" t="n">
        <v>14500</v>
      </c>
      <c r="AJ117" s="339">
        <f>AI117-AD117</f>
        <v/>
      </c>
      <c r="AK117" s="129">
        <f>(AI117-AD117)/AD117</f>
        <v/>
      </c>
      <c r="AL117" s="29">
        <f>AJ117/AG117</f>
        <v/>
      </c>
      <c r="AM117" s="357" t="n"/>
    </row>
    <row r="118" ht="15.5" customHeight="1" s="139">
      <c r="A118" s="339" t="inlineStr">
        <is>
          <t>신방동</t>
        </is>
      </c>
      <c r="D118" s="339" t="n">
        <v>7395</v>
      </c>
      <c r="E118" s="150" t="inlineStr">
        <is>
          <t>한라동백2차</t>
        </is>
      </c>
      <c r="F118" s="339" t="n">
        <v>1998.09</v>
      </c>
      <c r="G118" s="339" t="n">
        <v>1139</v>
      </c>
      <c r="H118" s="339">
        <f>2026-F118+1</f>
        <v/>
      </c>
      <c r="I118" s="339" t="inlineStr">
        <is>
          <t>80A</t>
        </is>
      </c>
      <c r="J118" s="339" t="n">
        <v>80</v>
      </c>
      <c r="K118" s="339" t="n">
        <v>59</v>
      </c>
      <c r="L118" s="339" t="n">
        <v>24</v>
      </c>
      <c r="M118" s="339" t="inlineStr">
        <is>
          <t>계단식</t>
        </is>
      </c>
      <c r="N118" s="339" t="n">
        <v>3</v>
      </c>
      <c r="O118" s="339" t="n">
        <v>1</v>
      </c>
      <c r="P118" s="339" t="n">
        <v>236</v>
      </c>
      <c r="Q118" s="483" t="n">
        <v>14000</v>
      </c>
      <c r="R118" s="484" t="n">
        <v>14000</v>
      </c>
      <c r="S118" s="477">
        <f>Q118-R118</f>
        <v/>
      </c>
      <c r="T118" s="71">
        <f>R118/Q118</f>
        <v/>
      </c>
      <c r="U118" s="484" t="n">
        <v>18500</v>
      </c>
      <c r="V118" s="484" t="n">
        <v>13000</v>
      </c>
      <c r="W118" s="339" t="inlineStr">
        <is>
          <t>계단식</t>
        </is>
      </c>
      <c r="X118" s="339" t="n">
        <v>3</v>
      </c>
      <c r="Y118" s="339" t="n">
        <v>1</v>
      </c>
      <c r="Z118" s="339" t="n">
        <v>236</v>
      </c>
      <c r="AA118" s="339" t="n">
        <v>2021.07</v>
      </c>
      <c r="AB118" s="339" t="n">
        <v>0.08</v>
      </c>
      <c r="AC118" s="37">
        <f>L118</f>
        <v/>
      </c>
      <c r="AD118" s="479" t="n">
        <v>14856</v>
      </c>
      <c r="AE118" s="479" t="n">
        <v>11991</v>
      </c>
      <c r="AF118" s="38">
        <f>AE118/AD118</f>
        <v/>
      </c>
      <c r="AG118" s="39">
        <f>AD118-AE118</f>
        <v/>
      </c>
      <c r="AH118" s="339" t="n">
        <v>2026.04</v>
      </c>
      <c r="AI118" s="339" t="n">
        <v>14000</v>
      </c>
      <c r="AJ118" s="339">
        <f>AI118-AD118</f>
        <v/>
      </c>
      <c r="AK118" s="129">
        <f>(AI118-AD118)/AD118</f>
        <v/>
      </c>
      <c r="AL118" s="29">
        <f>AJ118/AG118</f>
        <v/>
      </c>
      <c r="AM118" s="357" t="n"/>
    </row>
    <row r="119" ht="15.5" customHeight="1" s="139">
      <c r="A119" s="132" t="inlineStr">
        <is>
          <t>신부동</t>
        </is>
      </c>
      <c r="B119" s="133" t="n"/>
      <c r="C119" s="133" t="n"/>
      <c r="D119" s="132" t="n">
        <v>7426</v>
      </c>
      <c r="E119" s="135" t="inlineStr">
        <is>
          <t>우방</t>
        </is>
      </c>
      <c r="F119" s="132" t="n">
        <v>1995.11</v>
      </c>
      <c r="G119" s="132" t="n">
        <v>436</v>
      </c>
      <c r="H119" s="132">
        <f>2026-F119+1</f>
        <v/>
      </c>
      <c r="I119" s="132" t="inlineStr">
        <is>
          <t>79</t>
        </is>
      </c>
      <c r="J119" s="132" t="n">
        <v>79</v>
      </c>
      <c r="K119" s="132" t="n">
        <v>59</v>
      </c>
      <c r="L119" s="132" t="n">
        <v>24</v>
      </c>
      <c r="M119" s="132" t="inlineStr">
        <is>
          <t>계단식</t>
        </is>
      </c>
      <c r="N119" s="132" t="n">
        <v>3</v>
      </c>
      <c r="O119" s="132" t="n">
        <v>1</v>
      </c>
      <c r="P119" s="132" t="n">
        <v>190</v>
      </c>
      <c r="Q119" s="480" t="n">
        <v>14000</v>
      </c>
      <c r="R119" s="481" t="n">
        <v>13000</v>
      </c>
      <c r="S119" s="477">
        <f>Q119-R119</f>
        <v/>
      </c>
      <c r="T119" s="71">
        <f>R119/Q119</f>
        <v/>
      </c>
      <c r="U119" s="481" t="n">
        <v>17900</v>
      </c>
      <c r="V119" s="481" t="n">
        <v>12000</v>
      </c>
      <c r="W119" s="339" t="inlineStr">
        <is>
          <t>계단식</t>
        </is>
      </c>
      <c r="X119" s="339" t="n">
        <v>3</v>
      </c>
      <c r="Y119" s="339" t="n">
        <v>1</v>
      </c>
      <c r="Z119" s="339" t="n">
        <v>190</v>
      </c>
      <c r="AA119" s="133" t="n">
        <v>2019.12</v>
      </c>
      <c r="AB119" s="133" t="n">
        <v>0.1</v>
      </c>
      <c r="AC119" s="77">
        <f>L119</f>
        <v/>
      </c>
      <c r="AD119" s="482" t="n">
        <v>11162</v>
      </c>
      <c r="AE119" s="482" t="n">
        <v>10000</v>
      </c>
      <c r="AF119" s="78">
        <f>AE119/AD119</f>
        <v/>
      </c>
      <c r="AG119" s="79">
        <f>AD119-AE119</f>
        <v/>
      </c>
      <c r="AH119" s="339" t="n">
        <v>2026.04</v>
      </c>
      <c r="AI119" s="339" t="n">
        <v>14000</v>
      </c>
      <c r="AJ119" s="339">
        <f>AI119-AD119</f>
        <v/>
      </c>
      <c r="AK119" s="129">
        <f>(AI119-AD119)/AD119</f>
        <v/>
      </c>
      <c r="AL119" s="80">
        <f>AJ119/AG119</f>
        <v/>
      </c>
      <c r="AM119" s="141" t="n"/>
      <c r="AN119" s="133" t="n"/>
      <c r="AV119" s="133" t="n"/>
    </row>
    <row r="120" ht="15.5" customHeight="1" s="139">
      <c r="A120" s="132" t="inlineStr">
        <is>
          <t>청수동</t>
        </is>
      </c>
      <c r="B120" s="133" t="n"/>
      <c r="C120" s="133" t="n"/>
      <c r="D120" s="132" t="n">
        <v>102387</v>
      </c>
      <c r="E120" s="135" t="inlineStr">
        <is>
          <t>극동2차</t>
        </is>
      </c>
      <c r="F120" s="132" t="n">
        <v>1992.04</v>
      </c>
      <c r="G120" s="132" t="n">
        <v>510</v>
      </c>
      <c r="H120" s="132">
        <f>2026-F120+1</f>
        <v/>
      </c>
      <c r="I120" s="132" t="inlineStr">
        <is>
          <t>88</t>
        </is>
      </c>
      <c r="J120" s="132" t="n">
        <v>88</v>
      </c>
      <c r="K120" s="132" t="n">
        <v>72</v>
      </c>
      <c r="L120" s="132" t="n">
        <v>27</v>
      </c>
      <c r="M120" s="132" t="inlineStr">
        <is>
          <t>계단식</t>
        </is>
      </c>
      <c r="N120" s="132" t="n">
        <v>3</v>
      </c>
      <c r="O120" s="132" t="n">
        <v>1</v>
      </c>
      <c r="P120" s="132" t="n">
        <v>90</v>
      </c>
      <c r="Q120" s="96" t="n">
        <v>14000</v>
      </c>
      <c r="R120" s="102" t="inlineStr">
        <is>
          <t>-</t>
        </is>
      </c>
      <c r="S120" s="477">
        <f>Q120-R120</f>
        <v/>
      </c>
      <c r="T120" s="71">
        <f>R120/Q120</f>
        <v/>
      </c>
      <c r="U120" s="96" t="n">
        <v>16500</v>
      </c>
      <c r="V120" s="96" t="n">
        <v>14600</v>
      </c>
      <c r="W120" s="339" t="inlineStr">
        <is>
          <t>계단식</t>
        </is>
      </c>
      <c r="X120" s="339" t="n">
        <v>3</v>
      </c>
      <c r="Y120" s="339" t="n">
        <v>1</v>
      </c>
      <c r="Z120" s="339" t="n">
        <v>90</v>
      </c>
      <c r="AA120" s="133" t="n">
        <v>2020.03</v>
      </c>
      <c r="AB120" s="133" t="n">
        <v>0.01</v>
      </c>
      <c r="AC120" s="99">
        <f>L120</f>
        <v/>
      </c>
      <c r="AD120" s="99" t="n">
        <v>11238</v>
      </c>
      <c r="AE120" s="99" t="n">
        <v>9667</v>
      </c>
      <c r="AF120" s="99">
        <f>AE120/AD120</f>
        <v/>
      </c>
      <c r="AG120" s="100">
        <f>AD120-AE120</f>
        <v/>
      </c>
      <c r="AH120" s="339" t="n">
        <v>2026.04</v>
      </c>
      <c r="AI120" s="339" t="n">
        <v>14000</v>
      </c>
      <c r="AJ120" s="339">
        <f>AI120-AD120</f>
        <v/>
      </c>
      <c r="AK120" s="129">
        <f>(AI120-AD120)/AD120</f>
        <v/>
      </c>
      <c r="AL120" s="101">
        <f>AJ120/AG120</f>
        <v/>
      </c>
      <c r="AM120" s="133" t="n"/>
      <c r="AN120" s="133" t="n"/>
      <c r="AV120" s="133" t="n"/>
    </row>
    <row r="121" ht="15.5" customHeight="1" s="139">
      <c r="A121" s="339" t="inlineStr">
        <is>
          <t>신방동</t>
        </is>
      </c>
      <c r="D121" s="339" t="n">
        <v>7392</v>
      </c>
      <c r="E121" s="150" t="inlineStr">
        <is>
          <t>성지새말2단지</t>
        </is>
      </c>
      <c r="F121" s="339" t="n">
        <v>1997.03</v>
      </c>
      <c r="G121" s="339" t="n">
        <v>840</v>
      </c>
      <c r="H121" s="339">
        <f>2026-F121+1</f>
        <v/>
      </c>
      <c r="I121" s="339" t="inlineStr">
        <is>
          <t>79</t>
        </is>
      </c>
      <c r="J121" s="339" t="n">
        <v>79</v>
      </c>
      <c r="K121" s="339" t="n">
        <v>59</v>
      </c>
      <c r="L121" s="339" t="n">
        <v>24</v>
      </c>
      <c r="M121" s="339" t="inlineStr">
        <is>
          <t>계단식</t>
        </is>
      </c>
      <c r="N121" s="339" t="n">
        <v>3</v>
      </c>
      <c r="O121" s="339" t="n">
        <v>1</v>
      </c>
      <c r="P121" s="339" t="n">
        <v>556</v>
      </c>
      <c r="Q121" s="483" t="n">
        <v>13500</v>
      </c>
      <c r="R121" s="484" t="n">
        <v>12600</v>
      </c>
      <c r="S121" s="477">
        <f>Q121-R121</f>
        <v/>
      </c>
      <c r="T121" s="71">
        <f>R121/Q121</f>
        <v/>
      </c>
      <c r="U121" s="484" t="n">
        <v>19000</v>
      </c>
      <c r="V121" s="484" t="n">
        <v>10000</v>
      </c>
      <c r="W121" s="339" t="inlineStr">
        <is>
          <t>계단식</t>
        </is>
      </c>
      <c r="X121" s="339" t="n">
        <v>3</v>
      </c>
      <c r="Y121" s="339" t="n">
        <v>1</v>
      </c>
      <c r="Z121" s="339" t="n">
        <v>556</v>
      </c>
      <c r="AA121" s="339" t="n">
        <v>2019.12</v>
      </c>
      <c r="AB121" s="339" t="n">
        <v>0.03</v>
      </c>
      <c r="AC121" s="37">
        <f>L121</f>
        <v/>
      </c>
      <c r="AD121" s="479" t="n">
        <v>11599</v>
      </c>
      <c r="AE121" s="479" t="n">
        <v>9536</v>
      </c>
      <c r="AF121" s="38">
        <f>AE121/AD121</f>
        <v/>
      </c>
      <c r="AG121" s="39">
        <f>AD121-AE121</f>
        <v/>
      </c>
      <c r="AH121" s="339" t="n">
        <v>2026.04</v>
      </c>
      <c r="AI121" s="339" t="n">
        <v>13500</v>
      </c>
      <c r="AJ121" s="339">
        <f>AI121-AD121</f>
        <v/>
      </c>
      <c r="AK121" s="129">
        <f>(AI121-AD121)/AD121</f>
        <v/>
      </c>
      <c r="AL121" s="29">
        <f>AJ121/AG121</f>
        <v/>
      </c>
      <c r="AM121" s="357" t="n"/>
      <c r="AO121" s="339" t="n"/>
      <c r="AP121" s="339" t="n"/>
      <c r="AQ121" s="339" t="n"/>
      <c r="AR121" s="339" t="n"/>
      <c r="AS121" s="339" t="n"/>
      <c r="AT121" s="339" t="n"/>
      <c r="AU121" s="339" t="n"/>
      <c r="AW121" s="339" t="n"/>
      <c r="AX121" s="339" t="n"/>
      <c r="AY121" s="339" t="n"/>
    </row>
    <row r="122" ht="15.5" customHeight="1" s="139">
      <c r="A122" s="132" t="inlineStr">
        <is>
          <t>청수동</t>
        </is>
      </c>
      <c r="B122" s="88" t="n"/>
      <c r="C122" s="89" t="n"/>
      <c r="D122" s="132" t="n">
        <v>102387</v>
      </c>
      <c r="E122" s="135" t="inlineStr">
        <is>
          <t>극동2차</t>
        </is>
      </c>
      <c r="F122" s="132" t="n">
        <v>1992.04</v>
      </c>
      <c r="G122" s="132" t="n">
        <v>510</v>
      </c>
      <c r="H122" s="132">
        <f>2026-F122+1</f>
        <v/>
      </c>
      <c r="I122" s="132" t="inlineStr">
        <is>
          <t>102</t>
        </is>
      </c>
      <c r="J122" s="132" t="n">
        <v>102</v>
      </c>
      <c r="K122" s="132" t="n">
        <v>84</v>
      </c>
      <c r="L122" s="132" t="n">
        <v>31</v>
      </c>
      <c r="M122" s="132" t="inlineStr">
        <is>
          <t>계단식</t>
        </is>
      </c>
      <c r="N122" s="132" t="n">
        <v>3</v>
      </c>
      <c r="O122" s="132" t="n">
        <v>2</v>
      </c>
      <c r="P122" s="132" t="n">
        <v>300</v>
      </c>
      <c r="Q122" s="96" t="n">
        <v>13500</v>
      </c>
      <c r="R122" s="96" t="n">
        <v>13500</v>
      </c>
      <c r="S122" s="477">
        <f>Q122-R122</f>
        <v/>
      </c>
      <c r="T122" s="71">
        <f>R122/Q122</f>
        <v/>
      </c>
      <c r="U122" s="96" t="n">
        <v>18800</v>
      </c>
      <c r="V122" s="96" t="n">
        <v>13000</v>
      </c>
      <c r="W122" s="339" t="inlineStr">
        <is>
          <t>계단식</t>
        </is>
      </c>
      <c r="X122" s="339" t="n">
        <v>3</v>
      </c>
      <c r="Y122" s="339" t="n">
        <v>2</v>
      </c>
      <c r="Z122" s="339" t="n">
        <v>300</v>
      </c>
      <c r="AA122" s="133" t="n">
        <v>2019.02</v>
      </c>
      <c r="AB122" s="133" t="n">
        <v>0.02</v>
      </c>
      <c r="AC122" s="99">
        <f>L122</f>
        <v/>
      </c>
      <c r="AD122" s="99" t="n">
        <v>13175</v>
      </c>
      <c r="AE122" s="99" t="n">
        <v>11500</v>
      </c>
      <c r="AF122" s="99">
        <f>AE122/AD122</f>
        <v/>
      </c>
      <c r="AG122" s="100">
        <f>AD122-AE122</f>
        <v/>
      </c>
      <c r="AH122" s="339" t="n">
        <v>2026.04</v>
      </c>
      <c r="AI122" s="339" t="n">
        <v>13500</v>
      </c>
      <c r="AJ122" s="339">
        <f>AI122-AD122</f>
        <v/>
      </c>
      <c r="AK122" s="129">
        <f>(AI122-AD122)/AD122</f>
        <v/>
      </c>
      <c r="AL122" s="101">
        <f>AJ122/AG122</f>
        <v/>
      </c>
      <c r="AM122" s="133" t="n"/>
      <c r="AN122" s="133" t="n"/>
      <c r="AV122" s="133" t="n"/>
    </row>
    <row r="123" ht="15.5" customHeight="1" s="139">
      <c r="A123" s="339" t="inlineStr">
        <is>
          <t>다가동</t>
        </is>
      </c>
      <c r="D123" s="339" t="n">
        <v>7271</v>
      </c>
      <c r="E123" s="150" t="inlineStr">
        <is>
          <t>신성</t>
        </is>
      </c>
      <c r="F123" s="339" t="n">
        <v>1990.12</v>
      </c>
      <c r="G123" s="339" t="n">
        <v>364</v>
      </c>
      <c r="H123" s="339">
        <f>2026-F123+1</f>
        <v/>
      </c>
      <c r="I123" s="339" t="inlineStr">
        <is>
          <t>106</t>
        </is>
      </c>
      <c r="J123" s="339" t="n">
        <v>106</v>
      </c>
      <c r="K123" s="339" t="n">
        <v>84</v>
      </c>
      <c r="L123" s="339" t="n">
        <v>32</v>
      </c>
      <c r="M123" s="339" t="inlineStr">
        <is>
          <t>계단식</t>
        </is>
      </c>
      <c r="N123" s="339" t="n">
        <v>3</v>
      </c>
      <c r="O123" s="339" t="n">
        <v>2</v>
      </c>
      <c r="P123" s="339" t="n">
        <v>196</v>
      </c>
      <c r="Q123" s="483" t="n">
        <v>13000</v>
      </c>
      <c r="R123" s="484" t="n">
        <v>12000</v>
      </c>
      <c r="S123" s="477">
        <f>Q123-R123</f>
        <v/>
      </c>
      <c r="T123" s="71">
        <f>R123/Q123</f>
        <v/>
      </c>
      <c r="U123" s="484" t="n">
        <v>16800</v>
      </c>
      <c r="V123" s="484" t="n">
        <v>11000</v>
      </c>
      <c r="W123" s="339" t="inlineStr">
        <is>
          <t>계단식</t>
        </is>
      </c>
      <c r="X123" s="339" t="n">
        <v>3</v>
      </c>
      <c r="Y123" s="339" t="n">
        <v>2</v>
      </c>
      <c r="Z123" s="339" t="n">
        <v>196</v>
      </c>
      <c r="AA123" s="337" t="n">
        <v>2019.06</v>
      </c>
      <c r="AB123" s="339" t="n">
        <v>0.1</v>
      </c>
      <c r="AC123" s="37">
        <f>L123</f>
        <v/>
      </c>
      <c r="AD123" s="479" t="n">
        <v>11325</v>
      </c>
      <c r="AE123" s="479" t="n">
        <v>11000</v>
      </c>
      <c r="AF123" s="38">
        <f>AE123/AD123</f>
        <v/>
      </c>
      <c r="AG123" s="39">
        <f>AD123-AE123</f>
        <v/>
      </c>
      <c r="AH123" s="339" t="n">
        <v>2026.04</v>
      </c>
      <c r="AI123" s="405" t="n">
        <v>13000</v>
      </c>
      <c r="AJ123" s="405">
        <f>AI123-AD123</f>
        <v/>
      </c>
      <c r="AK123" s="129">
        <f>(AI123-AD123)/AD123</f>
        <v/>
      </c>
      <c r="AL123" s="29">
        <f>AJ123/AG123</f>
        <v/>
      </c>
      <c r="AM123" s="357" t="n"/>
      <c r="AN123" s="16" t="n"/>
      <c r="AV123" s="339" t="inlineStr">
        <is>
          <t>4. [2번 시기]에 투자했을 때 [3번 시기] 기준 수익률 분석</t>
        </is>
      </c>
    </row>
    <row r="124" ht="15.5" customHeight="1" s="139">
      <c r="A124" s="132" t="inlineStr">
        <is>
          <t>목천읍</t>
        </is>
      </c>
      <c r="B124" s="74" t="n"/>
      <c r="C124" s="75" t="n"/>
      <c r="D124" s="132" t="n">
        <v>12895</v>
      </c>
      <c r="E124" s="135" t="inlineStr">
        <is>
          <t>목천신도브래뉴1차</t>
        </is>
      </c>
      <c r="F124" s="132" t="n">
        <v>2004.12</v>
      </c>
      <c r="G124" s="132" t="n">
        <v>540</v>
      </c>
      <c r="H124" s="132">
        <f>2026-F124+1</f>
        <v/>
      </c>
      <c r="I124" s="132" t="inlineStr">
        <is>
          <t>86</t>
        </is>
      </c>
      <c r="J124" s="132" t="n">
        <v>86</v>
      </c>
      <c r="K124" s="132" t="n">
        <v>59</v>
      </c>
      <c r="L124" s="132" t="n">
        <v>26</v>
      </c>
      <c r="M124" s="132" t="inlineStr">
        <is>
          <t>계단식</t>
        </is>
      </c>
      <c r="N124" s="132" t="n">
        <v>3</v>
      </c>
      <c r="O124" s="132" t="n">
        <v>2</v>
      </c>
      <c r="P124" s="132" t="n">
        <v>160</v>
      </c>
      <c r="Q124" s="480" t="n">
        <v>13000</v>
      </c>
      <c r="R124" s="488" t="inlineStr">
        <is>
          <t>-</t>
        </is>
      </c>
      <c r="S124" s="477">
        <f>Q124-R124</f>
        <v/>
      </c>
      <c r="T124" s="71">
        <f>R124/Q124</f>
        <v/>
      </c>
      <c r="U124" s="481" t="n">
        <v>15500</v>
      </c>
      <c r="V124" s="481" t="n">
        <v>12100</v>
      </c>
      <c r="W124" s="339" t="inlineStr">
        <is>
          <t>계단식</t>
        </is>
      </c>
      <c r="X124" s="339" t="n">
        <v>3</v>
      </c>
      <c r="Y124" s="339" t="n">
        <v>2</v>
      </c>
      <c r="Z124" s="339" t="n">
        <v>160</v>
      </c>
      <c r="AA124" s="144" t="n">
        <v>2020.09</v>
      </c>
      <c r="AB124" s="134" t="n">
        <v>0.01</v>
      </c>
      <c r="AC124" s="77">
        <f>L124</f>
        <v/>
      </c>
      <c r="AD124" s="482" t="n">
        <v>10640</v>
      </c>
      <c r="AE124" s="482" t="n">
        <v>10000</v>
      </c>
      <c r="AF124" s="78">
        <f>AE124/AD124</f>
        <v/>
      </c>
      <c r="AG124" s="79">
        <f>AD124-AE124</f>
        <v/>
      </c>
      <c r="AH124" s="110" t="n">
        <v>2026.04</v>
      </c>
      <c r="AI124" s="487" t="n">
        <v>13000</v>
      </c>
      <c r="AJ124" s="487">
        <f>AI124-AD124</f>
        <v/>
      </c>
      <c r="AK124" s="129">
        <f>(AI124-AD124)/AD124</f>
        <v/>
      </c>
      <c r="AL124" s="80">
        <f>AJ124/AG124</f>
        <v/>
      </c>
      <c r="AM124" s="141" t="n"/>
      <c r="AN124" s="83" t="n"/>
      <c r="AO124" s="132" t="n"/>
      <c r="AP124" s="132" t="n"/>
      <c r="AQ124" s="132" t="n"/>
      <c r="AR124" s="132" t="n"/>
      <c r="AS124" s="132" t="n"/>
      <c r="AT124" s="132" t="n"/>
      <c r="AU124" s="132" t="n"/>
      <c r="AV124" s="133" t="n"/>
      <c r="AW124" s="132" t="n"/>
      <c r="AX124" s="132" t="n"/>
      <c r="AY124" s="132" t="n"/>
    </row>
    <row r="125" ht="15.5" customHeight="1" s="139">
      <c r="A125" s="132" t="inlineStr">
        <is>
          <t>목천읍</t>
        </is>
      </c>
      <c r="B125" s="134" t="n"/>
      <c r="C125" s="134" t="n"/>
      <c r="D125" s="132" t="n">
        <v>13468</v>
      </c>
      <c r="E125" s="135" t="inlineStr">
        <is>
          <t>목천신도브래뉴2차</t>
        </is>
      </c>
      <c r="F125" s="132" t="n">
        <v>2005.06</v>
      </c>
      <c r="G125" s="132" t="n">
        <v>957</v>
      </c>
      <c r="H125" s="132">
        <f>2026-F125+1</f>
        <v/>
      </c>
      <c r="I125" s="132" t="inlineStr">
        <is>
          <t>80</t>
        </is>
      </c>
      <c r="J125" s="132" t="n">
        <v>80</v>
      </c>
      <c r="K125" s="132" t="n">
        <v>59</v>
      </c>
      <c r="L125" s="132" t="n">
        <v>24</v>
      </c>
      <c r="M125" s="132" t="inlineStr">
        <is>
          <t>계단식</t>
        </is>
      </c>
      <c r="N125" s="132" t="n">
        <v>3</v>
      </c>
      <c r="O125" s="132" t="n">
        <v>2</v>
      </c>
      <c r="P125" s="132" t="n">
        <v>299</v>
      </c>
      <c r="Q125" s="480" t="n">
        <v>13000</v>
      </c>
      <c r="R125" s="481" t="n">
        <v>10000</v>
      </c>
      <c r="S125" s="477">
        <f>Q125-R125</f>
        <v/>
      </c>
      <c r="T125" s="71">
        <f>R125/Q125</f>
        <v/>
      </c>
      <c r="U125" s="481" t="n">
        <v>17800</v>
      </c>
      <c r="V125" s="481" t="n">
        <v>14000</v>
      </c>
      <c r="W125" s="339" t="inlineStr">
        <is>
          <t>계단식</t>
        </is>
      </c>
      <c r="X125" s="339" t="n">
        <v>3</v>
      </c>
      <c r="Y125" s="339" t="n">
        <v>2</v>
      </c>
      <c r="Z125" s="339" t="n">
        <v>299</v>
      </c>
      <c r="AA125" s="144" t="n">
        <v>2020.01</v>
      </c>
      <c r="AB125" s="134" t="n">
        <v>0.01</v>
      </c>
      <c r="AC125" s="77">
        <f>L125</f>
        <v/>
      </c>
      <c r="AD125" s="482" t="n">
        <v>12000</v>
      </c>
      <c r="AE125" s="482" t="n">
        <v>10000</v>
      </c>
      <c r="AF125" s="78">
        <f>AE125/AD125</f>
        <v/>
      </c>
      <c r="AG125" s="79">
        <f>AD125-AE125</f>
        <v/>
      </c>
      <c r="AH125" s="110" t="n">
        <v>2026.04</v>
      </c>
      <c r="AI125" s="487" t="n">
        <v>13000</v>
      </c>
      <c r="AJ125" s="487">
        <f>AI125-AD125</f>
        <v/>
      </c>
      <c r="AK125" s="129">
        <f>(AI125-AD125)/AD125</f>
        <v/>
      </c>
      <c r="AL125" s="80">
        <f>AJ125/AG125</f>
        <v/>
      </c>
      <c r="AM125" s="141" t="n"/>
      <c r="AN125" s="82" t="inlineStr">
        <is>
          <t>결론</t>
        </is>
      </c>
      <c r="AO125" s="132" t="n"/>
      <c r="AP125" s="132" t="n"/>
      <c r="AQ125" s="132" t="n"/>
      <c r="AR125" s="132" t="n"/>
      <c r="AS125" s="132" t="n"/>
      <c r="AT125" s="132" t="n"/>
      <c r="AU125" s="132" t="n"/>
      <c r="AV125" s="132" t="inlineStr">
        <is>
          <t>https://weolbu.com/s/MhxRTz9ZpG</t>
        </is>
      </c>
      <c r="AW125" s="132" t="n"/>
      <c r="AX125" s="132" t="n"/>
      <c r="AY125" s="132" t="n"/>
    </row>
    <row r="126" ht="15.5" customHeight="1" s="139">
      <c r="A126" s="132" t="inlineStr">
        <is>
          <t>신방동</t>
        </is>
      </c>
      <c r="B126" s="88" t="n"/>
      <c r="C126" s="89" t="n"/>
      <c r="D126" s="132" t="n">
        <v>7393</v>
      </c>
      <c r="E126" s="135" t="inlineStr">
        <is>
          <t>신동아목련</t>
        </is>
      </c>
      <c r="F126" s="132" t="n">
        <v>1996.04</v>
      </c>
      <c r="G126" s="132" t="n">
        <v>498</v>
      </c>
      <c r="H126" s="132">
        <f>2026-F126+1</f>
        <v/>
      </c>
      <c r="I126" s="132" t="inlineStr">
        <is>
          <t>77</t>
        </is>
      </c>
      <c r="J126" s="132" t="n">
        <v>77</v>
      </c>
      <c r="K126" s="132" t="n">
        <v>59</v>
      </c>
      <c r="L126" s="132" t="n">
        <v>23</v>
      </c>
      <c r="M126" s="132" t="inlineStr">
        <is>
          <t>계단식</t>
        </is>
      </c>
      <c r="N126" s="132" t="n">
        <v>3</v>
      </c>
      <c r="O126" s="132" t="n">
        <v>1</v>
      </c>
      <c r="P126" s="132" t="n">
        <v>206</v>
      </c>
      <c r="Q126" s="480" t="n">
        <v>13000</v>
      </c>
      <c r="R126" s="481" t="n">
        <v>12500</v>
      </c>
      <c r="S126" s="477">
        <f>Q126-R126</f>
        <v/>
      </c>
      <c r="T126" s="71">
        <f>R126/Q126</f>
        <v/>
      </c>
      <c r="U126" s="481" t="n">
        <v>18100</v>
      </c>
      <c r="V126" s="481" t="n">
        <v>13000</v>
      </c>
      <c r="W126" s="339" t="inlineStr">
        <is>
          <t>계단식</t>
        </is>
      </c>
      <c r="X126" s="339" t="n">
        <v>3</v>
      </c>
      <c r="Y126" s="339" t="n">
        <v>1</v>
      </c>
      <c r="Z126" s="339" t="n">
        <v>206</v>
      </c>
      <c r="AA126" s="144" t="n">
        <v>2020.02</v>
      </c>
      <c r="AB126" s="133" t="n">
        <v>0.01</v>
      </c>
      <c r="AC126" s="77">
        <f>L126</f>
        <v/>
      </c>
      <c r="AD126" s="482" t="n">
        <v>11600</v>
      </c>
      <c r="AE126" s="482" t="n">
        <v>10050</v>
      </c>
      <c r="AF126" s="78">
        <f>AE126/AD126</f>
        <v/>
      </c>
      <c r="AG126" s="79">
        <f>AD126-AE126</f>
        <v/>
      </c>
      <c r="AH126" s="339" t="n">
        <v>2026.04</v>
      </c>
      <c r="AI126" s="405" t="n">
        <v>13000</v>
      </c>
      <c r="AJ126" s="405">
        <f>AI126-AD126</f>
        <v/>
      </c>
      <c r="AK126" s="129">
        <f>(AI126-AD126)/AD126</f>
        <v/>
      </c>
      <c r="AL126" s="80">
        <f>AJ126/AG126</f>
        <v/>
      </c>
      <c r="AM126" s="141" t="n"/>
      <c r="AN126" s="83" t="n"/>
      <c r="AO126" s="339" t="n"/>
      <c r="AP126" s="339" t="n"/>
      <c r="AQ126" s="339" t="n"/>
      <c r="AR126" s="339" t="n"/>
      <c r="AS126" s="339" t="n"/>
      <c r="AT126" s="339" t="n"/>
      <c r="AU126" s="339" t="n"/>
      <c r="AV126" s="133" t="n"/>
      <c r="AW126" s="339" t="n"/>
      <c r="AX126" s="339" t="n"/>
      <c r="AY126" s="339" t="n"/>
    </row>
    <row r="127" ht="15.5" customHeight="1" s="139">
      <c r="A127" s="132" t="inlineStr">
        <is>
          <t>신방동</t>
        </is>
      </c>
      <c r="B127" s="88" t="n"/>
      <c r="C127" s="89" t="n"/>
      <c r="D127" s="132" t="n">
        <v>17300</v>
      </c>
      <c r="E127" s="135" t="inlineStr">
        <is>
          <t>두레현대2차</t>
        </is>
      </c>
      <c r="F127" s="132" t="n">
        <v>1997.06</v>
      </c>
      <c r="G127" s="132" t="n">
        <v>740</v>
      </c>
      <c r="H127" s="132">
        <f>2026-F127+1</f>
        <v/>
      </c>
      <c r="I127" s="132" t="inlineStr">
        <is>
          <t>77</t>
        </is>
      </c>
      <c r="J127" s="132" t="n">
        <v>77</v>
      </c>
      <c r="K127" s="132" t="n">
        <v>59</v>
      </c>
      <c r="L127" s="132" t="n">
        <v>23</v>
      </c>
      <c r="M127" s="132" t="inlineStr">
        <is>
          <t>계단식</t>
        </is>
      </c>
      <c r="N127" s="132" t="n">
        <v>3</v>
      </c>
      <c r="O127" s="132" t="n">
        <v>1</v>
      </c>
      <c r="P127" s="132" t="n">
        <v>352</v>
      </c>
      <c r="Q127" s="480" t="n">
        <v>13000</v>
      </c>
      <c r="R127" s="481" t="n">
        <v>13000</v>
      </c>
      <c r="S127" s="477">
        <f>Q127-R127</f>
        <v/>
      </c>
      <c r="T127" s="71">
        <f>R127/Q127</f>
        <v/>
      </c>
      <c r="U127" s="481" t="n">
        <v>19800</v>
      </c>
      <c r="V127" s="481" t="n">
        <v>12800</v>
      </c>
      <c r="W127" s="339" t="inlineStr">
        <is>
          <t>계단식</t>
        </is>
      </c>
      <c r="X127" s="339" t="n">
        <v>3</v>
      </c>
      <c r="Y127" s="339" t="n">
        <v>1</v>
      </c>
      <c r="Z127" s="339" t="n">
        <v>352</v>
      </c>
      <c r="AA127" s="133" t="n">
        <v>2019.07</v>
      </c>
      <c r="AB127" s="133" t="n">
        <v>0.01</v>
      </c>
      <c r="AC127" s="77">
        <f>L127</f>
        <v/>
      </c>
      <c r="AD127" s="482" t="n">
        <v>11667</v>
      </c>
      <c r="AE127" s="482" t="n">
        <v>9560</v>
      </c>
      <c r="AF127" s="78">
        <f>AE127/AD127</f>
        <v/>
      </c>
      <c r="AG127" s="79">
        <f>AD127-AE127</f>
        <v/>
      </c>
      <c r="AH127" s="339" t="n">
        <v>2026.04</v>
      </c>
      <c r="AI127" s="339" t="n">
        <v>13000</v>
      </c>
      <c r="AJ127" s="339">
        <f>AI127-AD127</f>
        <v/>
      </c>
      <c r="AK127" s="129">
        <f>(AI127-AD127)/AD127</f>
        <v/>
      </c>
      <c r="AL127" s="80">
        <f>AJ127/AG127</f>
        <v/>
      </c>
      <c r="AM127" s="141" t="n"/>
      <c r="AN127" s="133" t="n"/>
      <c r="AO127" s="339" t="n"/>
      <c r="AP127" s="339" t="n"/>
      <c r="AQ127" s="339" t="n"/>
      <c r="AR127" s="339" t="n"/>
      <c r="AS127" s="339" t="n"/>
      <c r="AT127" s="339" t="n"/>
      <c r="AU127" s="339" t="n"/>
      <c r="AV127" s="133" t="n"/>
      <c r="AW127" s="339" t="n"/>
      <c r="AX127" s="339" t="n"/>
      <c r="AY127" s="339" t="n"/>
    </row>
    <row r="128" ht="15.5" customHeight="1" s="139">
      <c r="A128" s="339" t="inlineStr">
        <is>
          <t>청수동</t>
        </is>
      </c>
      <c r="D128" s="339" t="n">
        <v>7567</v>
      </c>
      <c r="E128" s="150" t="inlineStr">
        <is>
          <t>극동1차</t>
        </is>
      </c>
      <c r="F128" s="339" t="n">
        <v>1992.01</v>
      </c>
      <c r="G128" s="339" t="n">
        <v>450</v>
      </c>
      <c r="H128" s="339">
        <f>2026-F128+1</f>
        <v/>
      </c>
      <c r="I128" s="339" t="inlineStr">
        <is>
          <t>88</t>
        </is>
      </c>
      <c r="J128" s="339" t="n">
        <v>88</v>
      </c>
      <c r="K128" s="339" t="n">
        <v>72</v>
      </c>
      <c r="L128" s="339" t="n">
        <v>27</v>
      </c>
      <c r="M128" s="339" t="inlineStr">
        <is>
          <t>계단식</t>
        </is>
      </c>
      <c r="N128" s="339" t="n">
        <v>3</v>
      </c>
      <c r="O128" s="339" t="n">
        <v>1</v>
      </c>
      <c r="P128" s="339" t="n">
        <v>120</v>
      </c>
      <c r="Q128" s="104" t="n">
        <v>13000</v>
      </c>
      <c r="R128" s="107" t="inlineStr">
        <is>
          <t>-</t>
        </is>
      </c>
      <c r="S128" s="477">
        <f>Q128-R128</f>
        <v/>
      </c>
      <c r="T128" s="71">
        <f>R128/Q128</f>
        <v/>
      </c>
      <c r="U128" s="104" t="n">
        <v>16700</v>
      </c>
      <c r="V128" s="104" t="n">
        <v>11000</v>
      </c>
      <c r="W128" s="339" t="inlineStr">
        <is>
          <t>계단식</t>
        </is>
      </c>
      <c r="X128" s="339" t="n">
        <v>3</v>
      </c>
      <c r="Y128" s="339" t="n">
        <v>1</v>
      </c>
      <c r="Z128" s="339" t="n">
        <v>120</v>
      </c>
      <c r="AA128" s="339" t="n">
        <v>2019.09</v>
      </c>
      <c r="AB128" s="339" t="n">
        <v>0.06</v>
      </c>
      <c r="AC128" s="37">
        <f>L128</f>
        <v/>
      </c>
      <c r="AD128" s="108" t="n">
        <v>10617</v>
      </c>
      <c r="AE128" s="108" t="n">
        <v>10000</v>
      </c>
      <c r="AF128" s="108">
        <f>AE128/AD128</f>
        <v/>
      </c>
      <c r="AG128" s="109">
        <f>AD128-AE128</f>
        <v/>
      </c>
      <c r="AH128" s="339" t="n">
        <v>2026.04</v>
      </c>
      <c r="AI128" s="339" t="n">
        <v>13000</v>
      </c>
      <c r="AJ128" s="339">
        <f>AI128-AD128</f>
        <v/>
      </c>
      <c r="AK128" s="129">
        <f>(AI128-AD128)/AD128</f>
        <v/>
      </c>
      <c r="AL128" s="29">
        <f>AJ128/AG128</f>
        <v/>
      </c>
      <c r="AM128" s="357" t="n"/>
      <c r="AO128" s="339" t="n"/>
      <c r="AP128" s="339" t="n"/>
      <c r="AQ128" s="339" t="n"/>
      <c r="AR128" s="339" t="n"/>
      <c r="AS128" s="339" t="n"/>
      <c r="AT128" s="339" t="n"/>
      <c r="AU128" s="339" t="n"/>
      <c r="AW128" s="339" t="n"/>
      <c r="AX128" s="339" t="n"/>
      <c r="AY128" s="339" t="n"/>
    </row>
    <row r="129" ht="15.5" customHeight="1" s="139">
      <c r="A129" s="132" t="inlineStr">
        <is>
          <t>목천읍</t>
        </is>
      </c>
      <c r="B129" s="88" t="n"/>
      <c r="C129" s="89" t="n"/>
      <c r="D129" s="132" t="n">
        <v>14265</v>
      </c>
      <c r="E129" s="135" t="inlineStr">
        <is>
          <t>천안목천동우1차</t>
        </is>
      </c>
      <c r="F129" s="132" t="n">
        <v>1997.08</v>
      </c>
      <c r="G129" s="132" t="n">
        <v>1922</v>
      </c>
      <c r="H129" s="132">
        <f>2026-F129+1</f>
        <v/>
      </c>
      <c r="I129" s="132" t="inlineStr">
        <is>
          <t>97</t>
        </is>
      </c>
      <c r="J129" s="132" t="n">
        <v>97</v>
      </c>
      <c r="K129" s="132" t="n">
        <v>84</v>
      </c>
      <c r="L129" s="132" t="n">
        <v>29</v>
      </c>
      <c r="M129" s="132" t="inlineStr">
        <is>
          <t>계단식</t>
        </is>
      </c>
      <c r="N129" s="132" t="n">
        <v>3</v>
      </c>
      <c r="O129" s="132" t="n">
        <v>2</v>
      </c>
      <c r="P129" s="132" t="n">
        <v>196</v>
      </c>
      <c r="Q129" s="480" t="n">
        <v>12000</v>
      </c>
      <c r="R129" s="481" t="n">
        <v>7000</v>
      </c>
      <c r="S129" s="477">
        <f>Q129-R129</f>
        <v/>
      </c>
      <c r="T129" s="71">
        <f>R129/Q129</f>
        <v/>
      </c>
      <c r="U129" s="481" t="n">
        <v>13500</v>
      </c>
      <c r="V129" s="481" t="n">
        <v>10000</v>
      </c>
      <c r="W129" s="339" t="inlineStr">
        <is>
          <t>계단식</t>
        </is>
      </c>
      <c r="X129" s="339" t="n">
        <v>3</v>
      </c>
      <c r="Y129" s="339" t="n">
        <v>2</v>
      </c>
      <c r="Z129" s="339" t="n">
        <v>196</v>
      </c>
      <c r="AA129" s="134" t="n">
        <v>2021.02</v>
      </c>
      <c r="AB129" s="134" t="n">
        <v>0.03</v>
      </c>
      <c r="AC129" s="77">
        <f>L129</f>
        <v/>
      </c>
      <c r="AD129" s="482" t="n">
        <v>9025</v>
      </c>
      <c r="AE129" s="482" t="n">
        <v>7500</v>
      </c>
      <c r="AF129" s="78">
        <f>AE129/AD129</f>
        <v/>
      </c>
      <c r="AG129" s="79">
        <f>AD129-AE129</f>
        <v/>
      </c>
      <c r="AH129" s="339" t="n">
        <v>2026.04</v>
      </c>
      <c r="AI129" s="339" t="n">
        <v>12000</v>
      </c>
      <c r="AJ129" s="339">
        <f>AI129-AD129</f>
        <v/>
      </c>
      <c r="AK129" s="129">
        <f>(AI129-AD129)/AD129</f>
        <v/>
      </c>
      <c r="AL129" s="80">
        <f>AJ129/AG129</f>
        <v/>
      </c>
      <c r="AM129" s="141" t="n"/>
      <c r="AN129" s="81" t="n"/>
      <c r="AO129" s="339" t="n"/>
      <c r="AP129" s="339" t="n"/>
      <c r="AQ129" s="339" t="n"/>
      <c r="AR129" s="339" t="n"/>
      <c r="AS129" s="339" t="n"/>
      <c r="AT129" s="339" t="n"/>
      <c r="AU129" s="339" t="n"/>
      <c r="AV129" s="132" t="n"/>
      <c r="AW129" s="339" t="n"/>
      <c r="AX129" s="339" t="n"/>
      <c r="AY129" s="339" t="n"/>
    </row>
    <row r="130" ht="15.5" customHeight="1" s="139">
      <c r="A130" s="339" t="inlineStr">
        <is>
          <t>신방동</t>
        </is>
      </c>
      <c r="B130" s="164" t="n"/>
      <c r="C130" s="164" t="n"/>
      <c r="D130" s="339" t="n">
        <v>7387</v>
      </c>
      <c r="E130" s="150" t="inlineStr">
        <is>
          <t>두레현대1차</t>
        </is>
      </c>
      <c r="F130" s="339" t="n">
        <v>1997.06</v>
      </c>
      <c r="G130" s="339" t="n">
        <v>676</v>
      </c>
      <c r="H130" s="339">
        <f>2026-F130+1</f>
        <v/>
      </c>
      <c r="I130" s="339" t="inlineStr">
        <is>
          <t>77</t>
        </is>
      </c>
      <c r="J130" s="339" t="n">
        <v>77</v>
      </c>
      <c r="K130" s="339" t="n">
        <v>59</v>
      </c>
      <c r="L130" s="339" t="n">
        <v>23</v>
      </c>
      <c r="M130" s="339" t="inlineStr">
        <is>
          <t>계단식</t>
        </is>
      </c>
      <c r="N130" s="339" t="n">
        <v>3</v>
      </c>
      <c r="O130" s="339" t="n">
        <v>1</v>
      </c>
      <c r="P130" s="339" t="n">
        <v>396</v>
      </c>
      <c r="Q130" s="483" t="n">
        <v>12000</v>
      </c>
      <c r="R130" s="484" t="n">
        <v>12800</v>
      </c>
      <c r="S130" s="477">
        <f>Q130-R130</f>
        <v/>
      </c>
      <c r="T130" s="71">
        <f>R130/Q130</f>
        <v/>
      </c>
      <c r="U130" s="484" t="n">
        <v>19100</v>
      </c>
      <c r="V130" s="484" t="n">
        <v>12800</v>
      </c>
      <c r="W130" s="339" t="inlineStr">
        <is>
          <t>계단식</t>
        </is>
      </c>
      <c r="X130" s="339" t="n">
        <v>3</v>
      </c>
      <c r="Y130" s="339" t="n">
        <v>1</v>
      </c>
      <c r="Z130" s="339" t="n">
        <v>396</v>
      </c>
      <c r="AA130" s="337" t="n">
        <v>2020.05</v>
      </c>
      <c r="AB130" s="339" t="n">
        <v>0.01</v>
      </c>
      <c r="AC130" s="37">
        <f>L130</f>
        <v/>
      </c>
      <c r="AD130" s="479" t="n">
        <v>12527</v>
      </c>
      <c r="AE130" s="479" t="n">
        <v>10108</v>
      </c>
      <c r="AF130" s="38">
        <f>AE130/AD130</f>
        <v/>
      </c>
      <c r="AG130" s="39">
        <f>AD130-AE130</f>
        <v/>
      </c>
      <c r="AH130" s="339" t="n">
        <v>2026.04</v>
      </c>
      <c r="AI130" s="405" t="n">
        <v>12000</v>
      </c>
      <c r="AJ130" s="405">
        <f>AI130-AD130</f>
        <v/>
      </c>
      <c r="AK130" s="129">
        <f>(AI130-AD130)/AD130</f>
        <v/>
      </c>
      <c r="AL130" s="29">
        <f>AJ130/AG130</f>
        <v/>
      </c>
      <c r="AM130" s="357" t="n"/>
      <c r="AN130" s="16" t="n"/>
      <c r="AO130" s="339" t="n"/>
      <c r="AP130" s="339" t="n"/>
      <c r="AQ130" s="339" t="n"/>
      <c r="AR130" s="339" t="n"/>
      <c r="AS130" s="339" t="n"/>
      <c r="AT130" s="339" t="n"/>
      <c r="AU130" s="339" t="n"/>
      <c r="AW130" s="339" t="n"/>
      <c r="AX130" s="339" t="n"/>
      <c r="AY130" s="339" t="n"/>
    </row>
    <row r="131" ht="15.5" customHeight="1" s="139">
      <c r="A131" s="339" t="inlineStr">
        <is>
          <t>봉명동</t>
        </is>
      </c>
      <c r="B131" s="164" t="n"/>
      <c r="C131" s="164" t="n"/>
      <c r="D131" s="339" t="n">
        <v>13053</v>
      </c>
      <c r="E131" s="150" t="inlineStr">
        <is>
          <t>봉명청솔</t>
        </is>
      </c>
      <c r="F131" s="339" t="n">
        <v>2001.1</v>
      </c>
      <c r="G131" s="339" t="n">
        <v>1380</v>
      </c>
      <c r="H131" s="339">
        <f>2026-F131+1</f>
        <v/>
      </c>
      <c r="I131" s="339" t="inlineStr">
        <is>
          <t>77</t>
        </is>
      </c>
      <c r="J131" s="339" t="n">
        <v>77</v>
      </c>
      <c r="K131" s="339" t="n">
        <v>56</v>
      </c>
      <c r="L131" s="339" t="n">
        <v>23</v>
      </c>
      <c r="M131" s="339" t="inlineStr">
        <is>
          <t>복도식</t>
        </is>
      </c>
      <c r="N131" s="339" t="n">
        <v>3</v>
      </c>
      <c r="O131" s="339" t="n">
        <v>1</v>
      </c>
      <c r="P131" s="339" t="n">
        <v>1380</v>
      </c>
      <c r="Q131" s="483" t="n">
        <v>11900</v>
      </c>
      <c r="R131" s="484" t="n">
        <v>11000</v>
      </c>
      <c r="S131" s="477">
        <f>Q131-R131</f>
        <v/>
      </c>
      <c r="T131" s="71">
        <f>R131/Q131</f>
        <v/>
      </c>
      <c r="U131" s="484" t="n">
        <v>15500</v>
      </c>
      <c r="V131" s="484" t="n">
        <v>10000</v>
      </c>
      <c r="W131" s="339" t="inlineStr">
        <is>
          <t>복도식</t>
        </is>
      </c>
      <c r="X131" s="339" t="n">
        <v>3</v>
      </c>
      <c r="Y131" s="339" t="n">
        <v>1</v>
      </c>
      <c r="Z131" s="339" t="n">
        <v>1380</v>
      </c>
      <c r="AC131" s="37">
        <f>L131</f>
        <v/>
      </c>
      <c r="AD131" s="479" t="n"/>
      <c r="AE131" s="479" t="n"/>
      <c r="AF131" s="38">
        <f>AE131/AD131</f>
        <v/>
      </c>
      <c r="AG131" s="39">
        <f>AD131-AE131</f>
        <v/>
      </c>
      <c r="AH131" s="339" t="n">
        <v>2026.04</v>
      </c>
      <c r="AI131" s="339" t="n">
        <v>11900</v>
      </c>
      <c r="AJ131" s="339">
        <f>AI131-AD131</f>
        <v/>
      </c>
      <c r="AK131" s="129">
        <f>(AI131-AD131)/AD131</f>
        <v/>
      </c>
      <c r="AL131" s="29">
        <f>AJ131/AG131</f>
        <v/>
      </c>
      <c r="AM131" s="357" t="n"/>
      <c r="AO131" s="339" t="n"/>
      <c r="AP131" s="339" t="n"/>
      <c r="AQ131" s="339" t="n"/>
      <c r="AR131" s="339" t="n"/>
      <c r="AS131" s="339" t="n"/>
      <c r="AT131" s="339" t="n"/>
      <c r="AU131" s="339" t="n"/>
      <c r="AW131" s="339" t="n"/>
      <c r="AX131" s="339" t="n"/>
      <c r="AY131" s="339" t="n"/>
    </row>
    <row r="132" ht="15.5" customHeight="1" s="139">
      <c r="A132" s="132" t="inlineStr">
        <is>
          <t>신방동</t>
        </is>
      </c>
      <c r="B132" s="88" t="n"/>
      <c r="C132" s="89" t="n"/>
      <c r="D132" s="132" t="n">
        <v>7389</v>
      </c>
      <c r="E132" s="135" t="inlineStr">
        <is>
          <t>성지새말1단지</t>
        </is>
      </c>
      <c r="F132" s="132" t="n">
        <v>1997.03</v>
      </c>
      <c r="G132" s="132" t="n">
        <v>612</v>
      </c>
      <c r="H132" s="132">
        <f>2026-F132+1</f>
        <v/>
      </c>
      <c r="I132" s="132" t="inlineStr">
        <is>
          <t>77</t>
        </is>
      </c>
      <c r="J132" s="132" t="n">
        <v>77</v>
      </c>
      <c r="K132" s="132" t="n">
        <v>59</v>
      </c>
      <c r="L132" s="132" t="n">
        <v>23</v>
      </c>
      <c r="M132" s="132" t="inlineStr">
        <is>
          <t>계단식</t>
        </is>
      </c>
      <c r="N132" s="132" t="n">
        <v>3</v>
      </c>
      <c r="O132" s="132" t="n">
        <v>1</v>
      </c>
      <c r="P132" s="132" t="n">
        <v>316</v>
      </c>
      <c r="Q132" s="480" t="n">
        <v>11500</v>
      </c>
      <c r="R132" s="481" t="n">
        <v>12000</v>
      </c>
      <c r="S132" s="477">
        <f>Q132-R132</f>
        <v/>
      </c>
      <c r="T132" s="71">
        <f>R132/Q132</f>
        <v/>
      </c>
      <c r="U132" s="481" t="n">
        <v>19000</v>
      </c>
      <c r="V132" s="481" t="n">
        <v>13300</v>
      </c>
      <c r="W132" s="339" t="inlineStr">
        <is>
          <t>계단식</t>
        </is>
      </c>
      <c r="X132" s="339" t="n">
        <v>3</v>
      </c>
      <c r="Y132" s="339" t="n">
        <v>1</v>
      </c>
      <c r="Z132" s="339" t="n">
        <v>316</v>
      </c>
      <c r="AA132" s="133" t="n">
        <v>2020.03</v>
      </c>
      <c r="AB132" s="133" t="n">
        <v>0.01</v>
      </c>
      <c r="AC132" s="77">
        <f>L132</f>
        <v/>
      </c>
      <c r="AD132" s="482" t="n">
        <v>11930</v>
      </c>
      <c r="AE132" s="482" t="n">
        <v>9545</v>
      </c>
      <c r="AF132" s="78">
        <f>AE132/AD132</f>
        <v/>
      </c>
      <c r="AG132" s="79">
        <f>AD132-AE132</f>
        <v/>
      </c>
      <c r="AH132" s="339" t="n">
        <v>2026.04</v>
      </c>
      <c r="AI132" s="339" t="n">
        <v>11500</v>
      </c>
      <c r="AJ132" s="339">
        <f>AI132-AD132</f>
        <v/>
      </c>
      <c r="AK132" s="129">
        <f>(AI132-AD132)/AD132</f>
        <v/>
      </c>
      <c r="AL132" s="80">
        <f>AJ132/AG132</f>
        <v/>
      </c>
      <c r="AM132" s="141" t="n"/>
      <c r="AN132" s="133" t="n"/>
      <c r="AO132" s="339" t="n"/>
      <c r="AP132" s="339" t="n"/>
      <c r="AQ132" s="339" t="n"/>
      <c r="AR132" s="339" t="n"/>
      <c r="AS132" s="339" t="n"/>
      <c r="AT132" s="339" t="n"/>
      <c r="AU132" s="339" t="n"/>
      <c r="AV132" s="133" t="n"/>
      <c r="AW132" s="339" t="n"/>
      <c r="AX132" s="339" t="n"/>
      <c r="AY132" s="339" t="n"/>
    </row>
    <row r="133" ht="15.5" customHeight="1" s="139">
      <c r="A133" s="132" t="inlineStr">
        <is>
          <t>병천면</t>
        </is>
      </c>
      <c r="B133" s="88" t="n"/>
      <c r="C133" s="89" t="n"/>
      <c r="D133" s="132" t="n">
        <v>104607</v>
      </c>
      <c r="E133" s="135" t="inlineStr">
        <is>
          <t>레이크팰리스</t>
        </is>
      </c>
      <c r="F133" s="132" t="n">
        <v>2010.05</v>
      </c>
      <c r="G133" s="132" t="n">
        <v>346</v>
      </c>
      <c r="H133" s="132">
        <f>2026-F133+1</f>
        <v/>
      </c>
      <c r="I133" s="132" t="inlineStr">
        <is>
          <t>98</t>
        </is>
      </c>
      <c r="J133" s="132" t="n">
        <v>98</v>
      </c>
      <c r="K133" s="132" t="n">
        <v>59</v>
      </c>
      <c r="L133" s="132" t="n">
        <v>30</v>
      </c>
      <c r="M133" s="132" t="inlineStr">
        <is>
          <t>계단식</t>
        </is>
      </c>
      <c r="N133" s="132" t="n">
        <v>3</v>
      </c>
      <c r="O133" s="132" t="n">
        <v>1</v>
      </c>
      <c r="P133" s="132" t="n">
        <v>48</v>
      </c>
      <c r="Q133" s="480" t="n">
        <v>9800</v>
      </c>
      <c r="R133" s="488" t="inlineStr">
        <is>
          <t>-</t>
        </is>
      </c>
      <c r="S133" s="477">
        <f>Q133-R133</f>
        <v/>
      </c>
      <c r="T133" s="71">
        <f>R133/Q133</f>
        <v/>
      </c>
      <c r="U133" s="481" t="n">
        <v>9600</v>
      </c>
      <c r="V133" s="481" t="n">
        <v>8500</v>
      </c>
      <c r="W133" s="339" t="inlineStr">
        <is>
          <t>계단식</t>
        </is>
      </c>
      <c r="X133" s="339" t="n">
        <v>3</v>
      </c>
      <c r="Y133" s="339" t="n">
        <v>1</v>
      </c>
      <c r="Z133" s="339" t="n">
        <v>48</v>
      </c>
      <c r="AA133" s="134" t="n"/>
      <c r="AB133" s="134" t="n"/>
      <c r="AC133" s="77">
        <f>L133</f>
        <v/>
      </c>
      <c r="AD133" s="482" t="n"/>
      <c r="AE133" s="482" t="n"/>
      <c r="AF133" s="78">
        <f>AE133/AD133</f>
        <v/>
      </c>
      <c r="AG133" s="79">
        <f>AD133-AE133</f>
        <v/>
      </c>
      <c r="AH133" s="339" t="n">
        <v>2026.04</v>
      </c>
      <c r="AI133" s="339" t="n">
        <v>9800</v>
      </c>
      <c r="AJ133" s="339">
        <f>AI133-AD133</f>
        <v/>
      </c>
      <c r="AK133" s="129">
        <f>(AI133-AD133)/AD133</f>
        <v/>
      </c>
      <c r="AL133" s="80">
        <f>AJ133/AG133</f>
        <v/>
      </c>
      <c r="AM133" s="141" t="n"/>
      <c r="AN133" s="133" t="n"/>
      <c r="AO133" s="339" t="n"/>
      <c r="AP133" s="339" t="n"/>
      <c r="AQ133" s="339" t="n"/>
      <c r="AR133" s="339" t="n"/>
      <c r="AS133" s="339" t="n"/>
      <c r="AT133" s="339" t="n"/>
      <c r="AU133" s="339" t="n"/>
      <c r="AV133" s="133" t="n"/>
      <c r="AW133" s="339" t="n"/>
      <c r="AX133" s="339" t="n"/>
      <c r="AY133" s="339" t="n"/>
    </row>
    <row r="134" ht="15.5" customHeight="1" s="139">
      <c r="A134" s="339" t="inlineStr">
        <is>
          <t>다가동</t>
        </is>
      </c>
      <c r="D134" s="339" t="n">
        <v>7271</v>
      </c>
      <c r="E134" s="150" t="inlineStr">
        <is>
          <t>신성</t>
        </is>
      </c>
      <c r="F134" s="339" t="n">
        <v>1990.12</v>
      </c>
      <c r="G134" s="339" t="n">
        <v>364</v>
      </c>
      <c r="H134" s="339">
        <f>2026-F134+1</f>
        <v/>
      </c>
      <c r="I134" s="339" t="inlineStr">
        <is>
          <t>94</t>
        </is>
      </c>
      <c r="J134" s="339" t="n">
        <v>94</v>
      </c>
      <c r="K134" s="339" t="n">
        <v>75</v>
      </c>
      <c r="L134" s="339" t="n">
        <v>28</v>
      </c>
      <c r="M134" s="339" t="inlineStr">
        <is>
          <t>계단식</t>
        </is>
      </c>
      <c r="N134" s="339" t="n">
        <v>3</v>
      </c>
      <c r="O134" s="339" t="n">
        <v>1</v>
      </c>
      <c r="P134" s="339" t="n">
        <v>168</v>
      </c>
      <c r="Q134" s="483" t="n">
        <v>9500</v>
      </c>
      <c r="R134" s="484" t="n">
        <v>9000</v>
      </c>
      <c r="S134" s="477">
        <f>Q134-R134</f>
        <v/>
      </c>
      <c r="T134" s="71">
        <f>R134/Q134</f>
        <v/>
      </c>
      <c r="U134" s="484" t="n">
        <v>14300</v>
      </c>
      <c r="V134" s="484" t="n">
        <v>10000</v>
      </c>
      <c r="W134" s="339" t="inlineStr">
        <is>
          <t>계단식</t>
        </is>
      </c>
      <c r="X134" s="339" t="n">
        <v>3</v>
      </c>
      <c r="Y134" s="339" t="n">
        <v>1</v>
      </c>
      <c r="Z134" s="339" t="n">
        <v>168</v>
      </c>
      <c r="AA134" s="337" t="n">
        <v>2021.01</v>
      </c>
      <c r="AB134" s="339" t="n">
        <v>0.06</v>
      </c>
      <c r="AC134" s="37">
        <f>L134</f>
        <v/>
      </c>
      <c r="AD134" s="479" t="n">
        <v>9167</v>
      </c>
      <c r="AE134" s="479" t="n">
        <v>9000</v>
      </c>
      <c r="AF134" s="38">
        <f>AE134/AD134</f>
        <v/>
      </c>
      <c r="AG134" s="39">
        <f>AD134-AE134</f>
        <v/>
      </c>
      <c r="AH134" s="339" t="n">
        <v>2026.04</v>
      </c>
      <c r="AI134" s="405" t="n">
        <v>9500</v>
      </c>
      <c r="AJ134" s="405">
        <f>AI134-AD134</f>
        <v/>
      </c>
      <c r="AK134" s="129">
        <f>(AI134-AD134)/AD134</f>
        <v/>
      </c>
      <c r="AL134" s="29">
        <f>AJ134/AG134</f>
        <v/>
      </c>
      <c r="AM134" s="357" t="n"/>
      <c r="AN134" s="16" t="n"/>
      <c r="AV134" s="339" t="inlineStr">
        <is>
          <t>3. 그 단지들 전고점 시기 기록</t>
        </is>
      </c>
    </row>
    <row r="135" ht="15.5" customHeight="1" s="139">
      <c r="A135" s="339" t="inlineStr">
        <is>
          <t>목천읍</t>
        </is>
      </c>
      <c r="D135" s="339" t="n">
        <v>109731</v>
      </c>
      <c r="E135" s="150" t="inlineStr">
        <is>
          <t>원앙마을부영2단지</t>
        </is>
      </c>
      <c r="F135" s="339" t="n">
        <v>1999.12</v>
      </c>
      <c r="G135" s="339" t="n">
        <v>847</v>
      </c>
      <c r="H135" s="339">
        <f>2026-F135+1</f>
        <v/>
      </c>
      <c r="I135" s="339" t="inlineStr">
        <is>
          <t>81</t>
        </is>
      </c>
      <c r="J135" s="339" t="n">
        <v>81</v>
      </c>
      <c r="K135" s="339" t="n">
        <v>59</v>
      </c>
      <c r="L135" s="339" t="n">
        <v>25</v>
      </c>
      <c r="M135" s="339" t="inlineStr">
        <is>
          <t>계단식</t>
        </is>
      </c>
      <c r="N135" s="339" t="n">
        <v>3</v>
      </c>
      <c r="O135" s="339" t="n">
        <v>1</v>
      </c>
      <c r="P135" s="339" t="n">
        <v>327</v>
      </c>
      <c r="Q135" s="483" t="n">
        <v>9500</v>
      </c>
      <c r="R135" s="484" t="n">
        <v>8000</v>
      </c>
      <c r="S135" s="477">
        <f>Q135-R135</f>
        <v/>
      </c>
      <c r="T135" s="71">
        <f>R135/Q135</f>
        <v/>
      </c>
      <c r="U135" s="484" t="n">
        <v>11100</v>
      </c>
      <c r="V135" s="484" t="n">
        <v>6900</v>
      </c>
      <c r="W135" s="339" t="inlineStr">
        <is>
          <t>계단식</t>
        </is>
      </c>
      <c r="X135" s="339" t="n">
        <v>3</v>
      </c>
      <c r="Y135" s="339" t="n">
        <v>1</v>
      </c>
      <c r="Z135" s="339" t="n">
        <v>327</v>
      </c>
      <c r="AC135" s="37">
        <f>L135</f>
        <v/>
      </c>
      <c r="AD135" s="479" t="n"/>
      <c r="AE135" s="479" t="n"/>
      <c r="AF135" s="38">
        <f>AE135/AD135</f>
        <v/>
      </c>
      <c r="AG135" s="39">
        <f>AD135-AE135</f>
        <v/>
      </c>
      <c r="AH135" s="339" t="n">
        <v>2026.04</v>
      </c>
      <c r="AI135" s="339" t="n">
        <v>9500</v>
      </c>
      <c r="AJ135" s="339">
        <f>AI135-AD135</f>
        <v/>
      </c>
      <c r="AK135" s="129">
        <f>(AI135-AD135)/AD135</f>
        <v/>
      </c>
      <c r="AL135" s="29">
        <f>AJ135/AG135</f>
        <v/>
      </c>
      <c r="AM135" s="357" t="n"/>
      <c r="AV135" s="357" t="n"/>
    </row>
    <row r="136" ht="15.5" customHeight="1" s="139">
      <c r="A136" s="339" t="inlineStr">
        <is>
          <t>목천읍</t>
        </is>
      </c>
      <c r="D136" s="339" t="n">
        <v>22847</v>
      </c>
      <c r="E136" s="150" t="inlineStr">
        <is>
          <t>목천프라임</t>
        </is>
      </c>
      <c r="F136" s="339" t="n">
        <v>2000.01</v>
      </c>
      <c r="G136" s="339" t="n">
        <v>899</v>
      </c>
      <c r="H136" s="339">
        <f>2026-F136+1</f>
        <v/>
      </c>
      <c r="I136" s="339" t="inlineStr">
        <is>
          <t>71</t>
        </is>
      </c>
      <c r="J136" s="339" t="n">
        <v>71</v>
      </c>
      <c r="K136" s="339" t="n">
        <v>55</v>
      </c>
      <c r="L136" s="339" t="n">
        <v>21</v>
      </c>
      <c r="M136" s="339" t="inlineStr">
        <is>
          <t>복도식</t>
        </is>
      </c>
      <c r="N136" s="339" t="n">
        <v>2</v>
      </c>
      <c r="O136" s="339" t="n">
        <v>1</v>
      </c>
      <c r="P136" s="339" t="n">
        <v>324</v>
      </c>
      <c r="Q136" s="483" t="n">
        <v>9000</v>
      </c>
      <c r="R136" s="489" t="inlineStr">
        <is>
          <t>-</t>
        </is>
      </c>
      <c r="S136" s="477">
        <f>Q136-R136</f>
        <v/>
      </c>
      <c r="T136" s="71">
        <f>R136/Q136</f>
        <v/>
      </c>
      <c r="U136" s="484" t="n">
        <v>10800</v>
      </c>
      <c r="V136" s="484" t="n">
        <v>8300</v>
      </c>
      <c r="W136" s="339" t="inlineStr">
        <is>
          <t>복도식</t>
        </is>
      </c>
      <c r="X136" s="339" t="n">
        <v>2</v>
      </c>
      <c r="Y136" s="339" t="n">
        <v>1</v>
      </c>
      <c r="Z136" s="339" t="n">
        <v>324</v>
      </c>
      <c r="AA136" s="339" t="n">
        <v>2018.01</v>
      </c>
      <c r="AB136" s="339" t="n">
        <v>0.01</v>
      </c>
      <c r="AC136" s="37">
        <f>L136</f>
        <v/>
      </c>
      <c r="AD136" s="479" t="n">
        <v>10000</v>
      </c>
      <c r="AE136" s="479" t="n">
        <v>8000</v>
      </c>
      <c r="AF136" s="38">
        <f>AE136/AD136</f>
        <v/>
      </c>
      <c r="AG136" s="39">
        <f>AD136-AE136</f>
        <v/>
      </c>
      <c r="AH136" s="339" t="n">
        <v>2026.04</v>
      </c>
      <c r="AI136" s="339" t="n">
        <v>9000</v>
      </c>
      <c r="AJ136" s="339">
        <f>AI136-AD136</f>
        <v/>
      </c>
      <c r="AK136" s="129">
        <f>(AI136-AD136)/AD136</f>
        <v/>
      </c>
      <c r="AL136" s="29">
        <f>AJ136/AG136</f>
        <v/>
      </c>
      <c r="AM136" s="357" t="n"/>
    </row>
    <row r="137" ht="15.5" customHeight="1" s="139">
      <c r="A137" s="132" t="inlineStr">
        <is>
          <t>목천읍</t>
        </is>
      </c>
      <c r="B137" s="133" t="n"/>
      <c r="C137" s="133" t="n"/>
      <c r="D137" s="132" t="n">
        <v>14265</v>
      </c>
      <c r="E137" s="135" t="inlineStr">
        <is>
          <t>천안목천동우1차</t>
        </is>
      </c>
      <c r="F137" s="132" t="n">
        <v>1997.08</v>
      </c>
      <c r="G137" s="132" t="n">
        <v>1922</v>
      </c>
      <c r="H137" s="132">
        <f>2026-F137+1</f>
        <v/>
      </c>
      <c r="I137" s="132" t="inlineStr">
        <is>
          <t>71</t>
        </is>
      </c>
      <c r="J137" s="132" t="n">
        <v>71</v>
      </c>
      <c r="K137" s="132" t="n">
        <v>59</v>
      </c>
      <c r="L137" s="132" t="n">
        <v>21</v>
      </c>
      <c r="M137" s="132" t="inlineStr">
        <is>
          <t>계단식</t>
        </is>
      </c>
      <c r="N137" s="132" t="n">
        <v>3</v>
      </c>
      <c r="O137" s="132" t="n">
        <v>1</v>
      </c>
      <c r="P137" s="132" t="n">
        <v>178</v>
      </c>
      <c r="Q137" s="480" t="n">
        <v>8300</v>
      </c>
      <c r="R137" s="488" t="inlineStr">
        <is>
          <t>-</t>
        </is>
      </c>
      <c r="S137" s="477">
        <f>Q137-R137</f>
        <v/>
      </c>
      <c r="T137" s="71">
        <f>R137/Q137</f>
        <v/>
      </c>
      <c r="U137" s="481" t="n">
        <v>9900</v>
      </c>
      <c r="V137" s="481" t="n">
        <v>7500</v>
      </c>
      <c r="W137" s="339" t="inlineStr">
        <is>
          <t>계단식</t>
        </is>
      </c>
      <c r="X137" s="339" t="n">
        <v>3</v>
      </c>
      <c r="Y137" s="339" t="n">
        <v>1</v>
      </c>
      <c r="Z137" s="339" t="n">
        <v>178</v>
      </c>
      <c r="AA137" s="134" t="n">
        <v>2019.03</v>
      </c>
      <c r="AB137" s="134" t="n">
        <v>0.02</v>
      </c>
      <c r="AC137" s="77">
        <f>L137</f>
        <v/>
      </c>
      <c r="AD137" s="482" t="n">
        <v>7388</v>
      </c>
      <c r="AE137" s="482" t="n">
        <v>6000</v>
      </c>
      <c r="AF137" s="78">
        <f>AE137/AD137</f>
        <v/>
      </c>
      <c r="AG137" s="79">
        <f>AD137-AE137</f>
        <v/>
      </c>
      <c r="AH137" s="339" t="n">
        <v>2026.04</v>
      </c>
      <c r="AI137" s="339" t="n">
        <v>8300</v>
      </c>
      <c r="AJ137" s="339">
        <f>AI137-AD137</f>
        <v/>
      </c>
      <c r="AK137" s="129">
        <f>(AI137-AD137)/AD137</f>
        <v/>
      </c>
      <c r="AL137" s="80">
        <f>AJ137/AG137</f>
        <v/>
      </c>
      <c r="AM137" s="141" t="n"/>
      <c r="AN137" s="81" t="n"/>
      <c r="AO137" s="339" t="n"/>
      <c r="AP137" s="339" t="n"/>
      <c r="AQ137" s="339" t="n"/>
      <c r="AR137" s="339" t="n"/>
      <c r="AS137" s="339" t="n"/>
      <c r="AT137" s="339" t="n"/>
      <c r="AU137" s="339" t="n"/>
      <c r="AV137" s="132" t="n"/>
      <c r="AW137" s="339" t="n"/>
      <c r="AX137" s="339" t="n"/>
      <c r="AY137" s="339" t="n"/>
    </row>
    <row r="138" ht="15.5" customHeight="1" s="139">
      <c r="A138" s="132" t="inlineStr">
        <is>
          <t>목천읍</t>
        </is>
      </c>
      <c r="B138" s="133" t="n"/>
      <c r="C138" s="133" t="n"/>
      <c r="D138" s="132" t="n">
        <v>109730</v>
      </c>
      <c r="E138" s="135" t="inlineStr">
        <is>
          <t>원앙마을부영1단지</t>
        </is>
      </c>
      <c r="F138" s="132" t="n">
        <v>1999.12</v>
      </c>
      <c r="G138" s="132" t="n">
        <v>1833</v>
      </c>
      <c r="H138" s="132">
        <f>2026-F138+1</f>
        <v/>
      </c>
      <c r="I138" s="132" t="inlineStr">
        <is>
          <t>82</t>
        </is>
      </c>
      <c r="J138" s="132" t="n">
        <v>82</v>
      </c>
      <c r="K138" s="132" t="n">
        <v>59</v>
      </c>
      <c r="L138" s="132" t="n">
        <v>25</v>
      </c>
      <c r="M138" s="132" t="inlineStr">
        <is>
          <t>계단식</t>
        </is>
      </c>
      <c r="N138" s="132" t="n">
        <v>3</v>
      </c>
      <c r="O138" s="132" t="n">
        <v>1</v>
      </c>
      <c r="P138" s="132" t="n">
        <v>814</v>
      </c>
      <c r="Q138" s="480" t="n">
        <v>8000</v>
      </c>
      <c r="R138" s="481" t="n">
        <v>9000</v>
      </c>
      <c r="S138" s="477">
        <f>Q138-R138</f>
        <v/>
      </c>
      <c r="T138" s="71">
        <f>R138/Q138</f>
        <v/>
      </c>
      <c r="U138" s="481" t="n">
        <v>11100</v>
      </c>
      <c r="V138" s="481" t="n">
        <v>6900</v>
      </c>
      <c r="W138" s="339" t="inlineStr">
        <is>
          <t>계단식</t>
        </is>
      </c>
      <c r="X138" s="339" t="n">
        <v>3</v>
      </c>
      <c r="Y138" s="339" t="n">
        <v>1</v>
      </c>
      <c r="Z138" s="339" t="n">
        <v>814</v>
      </c>
      <c r="AA138" s="134" t="n"/>
      <c r="AB138" s="134" t="n"/>
      <c r="AC138" s="77">
        <f>L138</f>
        <v/>
      </c>
      <c r="AD138" s="482" t="n"/>
      <c r="AE138" s="482" t="n"/>
      <c r="AF138" s="78">
        <f>AE138/AD138</f>
        <v/>
      </c>
      <c r="AG138" s="79">
        <f>AD138-AE138</f>
        <v/>
      </c>
      <c r="AH138" s="339" t="n">
        <v>2026.04</v>
      </c>
      <c r="AI138" s="339" t="n">
        <v>8000</v>
      </c>
      <c r="AJ138" s="339">
        <f>AI138-AD138</f>
        <v/>
      </c>
      <c r="AK138" s="129">
        <f>(AI138-AD138)/AD138</f>
        <v/>
      </c>
      <c r="AL138" s="80">
        <f>AJ138/AG138</f>
        <v/>
      </c>
      <c r="AM138" s="141" t="n"/>
      <c r="AN138" s="133" t="n"/>
      <c r="AV138" s="133" t="n"/>
    </row>
    <row r="139" ht="15.5" customHeight="1" s="139">
      <c r="A139" s="339" t="inlineStr">
        <is>
          <t>목천읍</t>
        </is>
      </c>
      <c r="B139" s="164" t="n"/>
      <c r="C139" s="164" t="n"/>
      <c r="D139" s="339" t="n">
        <v>109731</v>
      </c>
      <c r="E139" s="150" t="inlineStr">
        <is>
          <t>원앙마을부영2단지</t>
        </is>
      </c>
      <c r="F139" s="339" t="n">
        <v>1999.12</v>
      </c>
      <c r="G139" s="339" t="n">
        <v>847</v>
      </c>
      <c r="H139" s="339">
        <f>2026-F139+1</f>
        <v/>
      </c>
      <c r="I139" s="339" t="inlineStr">
        <is>
          <t>69</t>
        </is>
      </c>
      <c r="J139" s="339" t="n">
        <v>69</v>
      </c>
      <c r="K139" s="339" t="n">
        <v>49</v>
      </c>
      <c r="L139" s="339" t="n">
        <v>21</v>
      </c>
      <c r="M139" s="339" t="inlineStr">
        <is>
          <t>계단식</t>
        </is>
      </c>
      <c r="N139" s="339" t="n">
        <v>2</v>
      </c>
      <c r="O139" s="339" t="n">
        <v>1</v>
      </c>
      <c r="P139" s="339" t="n">
        <v>520</v>
      </c>
      <c r="Q139" s="483" t="n">
        <v>7800</v>
      </c>
      <c r="R139" s="489" t="inlineStr">
        <is>
          <t>-</t>
        </is>
      </c>
      <c r="S139" s="477">
        <f>Q139-R139</f>
        <v/>
      </c>
      <c r="T139" s="71">
        <f>R139/Q139</f>
        <v/>
      </c>
      <c r="U139" s="484" t="n">
        <v>9600</v>
      </c>
      <c r="V139" s="484" t="n">
        <v>6200</v>
      </c>
      <c r="W139" s="339" t="inlineStr">
        <is>
          <t>계단식</t>
        </is>
      </c>
      <c r="X139" s="339" t="n">
        <v>2</v>
      </c>
      <c r="Y139" s="339" t="n">
        <v>1</v>
      </c>
      <c r="Z139" s="339" t="n">
        <v>520</v>
      </c>
      <c r="AC139" s="37">
        <f>L139</f>
        <v/>
      </c>
      <c r="AD139" s="479" t="n"/>
      <c r="AE139" s="479" t="n"/>
      <c r="AF139" s="38">
        <f>AE139/AD139</f>
        <v/>
      </c>
      <c r="AG139" s="39">
        <f>AD139-AE139</f>
        <v/>
      </c>
      <c r="AH139" s="339" t="n">
        <v>2026.04</v>
      </c>
      <c r="AI139" s="339" t="n">
        <v>7800</v>
      </c>
      <c r="AJ139" s="339">
        <f>AI139-AD139</f>
        <v/>
      </c>
      <c r="AK139" s="129">
        <f>(AI139-AD139)/AD139</f>
        <v/>
      </c>
      <c r="AL139" s="29">
        <f>AJ139/AG139</f>
        <v/>
      </c>
      <c r="AM139" s="357" t="n"/>
      <c r="AV139" s="357" t="n"/>
    </row>
    <row r="140" ht="15.5" customHeight="1" s="139">
      <c r="A140" s="132" t="inlineStr">
        <is>
          <t>목천읍</t>
        </is>
      </c>
      <c r="B140" s="88" t="n"/>
      <c r="C140" s="89" t="n"/>
      <c r="D140" s="132" t="n">
        <v>109730</v>
      </c>
      <c r="E140" s="135" t="inlineStr">
        <is>
          <t>원앙마을부영1단지</t>
        </is>
      </c>
      <c r="F140" s="132" t="n">
        <v>1999.12</v>
      </c>
      <c r="G140" s="132" t="n">
        <v>1833</v>
      </c>
      <c r="H140" s="132">
        <f>2026-F140+1</f>
        <v/>
      </c>
      <c r="I140" s="132" t="inlineStr">
        <is>
          <t>70</t>
        </is>
      </c>
      <c r="J140" s="132" t="n">
        <v>70</v>
      </c>
      <c r="K140" s="132" t="n">
        <v>49</v>
      </c>
      <c r="L140" s="132" t="n">
        <v>21</v>
      </c>
      <c r="M140" s="132" t="inlineStr">
        <is>
          <t>계단식</t>
        </is>
      </c>
      <c r="N140" s="132" t="n">
        <v>2</v>
      </c>
      <c r="O140" s="132" t="n">
        <v>1</v>
      </c>
      <c r="P140" s="132" t="n">
        <v>1019</v>
      </c>
      <c r="Q140" s="480" t="n">
        <v>7200</v>
      </c>
      <c r="R140" s="488" t="inlineStr">
        <is>
          <t>-</t>
        </is>
      </c>
      <c r="S140" s="477">
        <f>Q140-R140</f>
        <v/>
      </c>
      <c r="T140" s="71">
        <f>R140/Q140</f>
        <v/>
      </c>
      <c r="U140" s="481" t="n">
        <v>9600</v>
      </c>
      <c r="V140" s="481" t="n">
        <v>6200</v>
      </c>
      <c r="W140" s="339" t="inlineStr">
        <is>
          <t>계단식</t>
        </is>
      </c>
      <c r="X140" s="339" t="n">
        <v>2</v>
      </c>
      <c r="Y140" s="339" t="n">
        <v>1</v>
      </c>
      <c r="Z140" s="339" t="n">
        <v>1019</v>
      </c>
      <c r="AA140" s="134" t="n"/>
      <c r="AB140" s="134" t="n"/>
      <c r="AC140" s="77">
        <f>L140</f>
        <v/>
      </c>
      <c r="AD140" s="482" t="n"/>
      <c r="AE140" s="482" t="n"/>
      <c r="AF140" s="78">
        <f>AE140/AD140</f>
        <v/>
      </c>
      <c r="AG140" s="79">
        <f>AD140-AE140</f>
        <v/>
      </c>
      <c r="AH140" s="339" t="n">
        <v>2026.04</v>
      </c>
      <c r="AI140" s="339" t="n">
        <v>7200</v>
      </c>
      <c r="AJ140" s="339">
        <f>AI140-AD140</f>
        <v/>
      </c>
      <c r="AK140" s="129">
        <f>(AI140-AD140)/AD140</f>
        <v/>
      </c>
      <c r="AL140" s="80">
        <f>AJ140/AG140</f>
        <v/>
      </c>
      <c r="AM140" s="141" t="n"/>
      <c r="AN140" s="133" t="n"/>
      <c r="AV140" s="133" t="n"/>
    </row>
    <row r="141" ht="15.5" customHeight="1" s="139">
      <c r="A141" s="339" t="inlineStr">
        <is>
          <t>목천읍</t>
        </is>
      </c>
      <c r="D141" s="339" t="n">
        <v>22847</v>
      </c>
      <c r="E141" s="150" t="inlineStr">
        <is>
          <t>목천프라임</t>
        </is>
      </c>
      <c r="F141" s="339" t="n">
        <v>2000.01</v>
      </c>
      <c r="G141" s="339" t="n">
        <v>899</v>
      </c>
      <c r="H141" s="339">
        <f>2026-F141+1</f>
        <v/>
      </c>
      <c r="I141" s="339" t="inlineStr">
        <is>
          <t>53</t>
        </is>
      </c>
      <c r="J141" s="339" t="n">
        <v>53</v>
      </c>
      <c r="K141" s="339" t="n">
        <v>39</v>
      </c>
      <c r="L141" s="339" t="n">
        <v>16</v>
      </c>
      <c r="M141" s="339" t="inlineStr">
        <is>
          <t>복도식</t>
        </is>
      </c>
      <c r="N141" s="339" t="n">
        <v>2</v>
      </c>
      <c r="O141" s="339" t="n">
        <v>1</v>
      </c>
      <c r="P141" s="339" t="n">
        <v>575</v>
      </c>
      <c r="Q141" s="483" t="n">
        <v>5900</v>
      </c>
      <c r="R141" s="489" t="inlineStr">
        <is>
          <t>-</t>
        </is>
      </c>
      <c r="S141" s="477">
        <f>Q141-R141</f>
        <v/>
      </c>
      <c r="T141" s="71">
        <f>R141/Q141</f>
        <v/>
      </c>
      <c r="U141" s="484" t="n">
        <v>6500</v>
      </c>
      <c r="V141" s="484" t="n">
        <v>4300</v>
      </c>
      <c r="W141" s="339" t="inlineStr">
        <is>
          <t>복도식</t>
        </is>
      </c>
      <c r="X141" s="339" t="n">
        <v>2</v>
      </c>
      <c r="Y141" s="339" t="n">
        <v>1</v>
      </c>
      <c r="Z141" s="339" t="n">
        <v>575</v>
      </c>
      <c r="AC141" s="37">
        <f>L141</f>
        <v/>
      </c>
      <c r="AD141" s="479" t="n"/>
      <c r="AE141" s="479" t="n"/>
      <c r="AF141" s="38">
        <f>AE141/AD141</f>
        <v/>
      </c>
      <c r="AG141" s="39">
        <f>AD141-AE141</f>
        <v/>
      </c>
      <c r="AH141" s="339" t="n">
        <v>2026.04</v>
      </c>
      <c r="AI141" s="339" t="n">
        <v>5900</v>
      </c>
      <c r="AJ141" s="339">
        <f>AI141-AD141</f>
        <v/>
      </c>
      <c r="AK141" s="129">
        <f>(AI141-AD141)/AD141</f>
        <v/>
      </c>
      <c r="AL141" s="29">
        <f>AJ141/AG141</f>
        <v/>
      </c>
      <c r="AM141" s="357" t="n"/>
    </row>
    <row r="142" ht="15.5" customHeight="1" s="139">
      <c r="A142" s="339" t="inlineStr">
        <is>
          <t>목천읍</t>
        </is>
      </c>
      <c r="B142" s="2" t="n"/>
      <c r="C142" s="90" t="n"/>
      <c r="D142" s="339" t="n">
        <v>106860</v>
      </c>
      <c r="E142" s="150" t="inlineStr">
        <is>
          <t>천안목천협성엠파이어</t>
        </is>
      </c>
      <c r="F142" s="339" t="n">
        <v>2013.1</v>
      </c>
      <c r="G142" s="339" t="n">
        <v>552</v>
      </c>
      <c r="H142" s="339">
        <f>2026-F142+1</f>
        <v/>
      </c>
      <c r="I142" s="339" t="inlineStr">
        <is>
          <t>57</t>
        </is>
      </c>
      <c r="J142" s="339" t="n">
        <v>57</v>
      </c>
      <c r="K142" s="339" t="n">
        <v>39</v>
      </c>
      <c r="L142" s="339" t="n">
        <v>17</v>
      </c>
      <c r="M142" s="339" t="inlineStr">
        <is>
          <t>복도식</t>
        </is>
      </c>
      <c r="N142" s="339" t="n">
        <v>2</v>
      </c>
      <c r="O142" s="339" t="n">
        <v>1</v>
      </c>
      <c r="P142" s="339" t="n">
        <v>552</v>
      </c>
      <c r="Q142" s="483" t="n">
        <v>5700</v>
      </c>
      <c r="R142" s="484" t="n">
        <v>5700</v>
      </c>
      <c r="S142" s="477">
        <f>Q142-R142</f>
        <v/>
      </c>
      <c r="T142" s="71">
        <f>R142/Q142</f>
        <v/>
      </c>
      <c r="U142" s="484" t="n">
        <v>7800</v>
      </c>
      <c r="V142" s="484" t="n">
        <v>5500</v>
      </c>
      <c r="W142" s="339" t="inlineStr">
        <is>
          <t>복도식</t>
        </is>
      </c>
      <c r="X142" s="339" t="n">
        <v>2</v>
      </c>
      <c r="Y142" s="339" t="n">
        <v>1</v>
      </c>
      <c r="Z142" s="339" t="n">
        <v>552</v>
      </c>
      <c r="AA142" s="339" t="n">
        <v>2018.01</v>
      </c>
      <c r="AB142" s="339" t="n">
        <v>0.01</v>
      </c>
      <c r="AC142" s="37">
        <f>L142</f>
        <v/>
      </c>
      <c r="AD142" s="479" t="n">
        <v>7100</v>
      </c>
      <c r="AE142" s="479" t="n">
        <v>6000</v>
      </c>
      <c r="AF142" s="38">
        <f>AE142/AD142</f>
        <v/>
      </c>
      <c r="AG142" s="39">
        <f>AD142-AE142</f>
        <v/>
      </c>
      <c r="AH142" s="339" t="n">
        <v>2026.04</v>
      </c>
      <c r="AI142" s="339" t="n">
        <v>5700</v>
      </c>
      <c r="AJ142" s="339">
        <f>AI142-AD142</f>
        <v/>
      </c>
      <c r="AK142" s="129">
        <f>(AI142-AD142)/AD142</f>
        <v/>
      </c>
      <c r="AL142" s="29">
        <f>AJ142/AG142</f>
        <v/>
      </c>
      <c r="AM142" s="357" t="n"/>
      <c r="AV142" s="339" t="n"/>
    </row>
    <row r="143" ht="15.5" customHeight="1" s="139">
      <c r="A143" s="132" t="inlineStr">
        <is>
          <t>병천면</t>
        </is>
      </c>
      <c r="B143" s="133" t="n"/>
      <c r="C143" s="133" t="n"/>
      <c r="D143" s="132" t="n">
        <v>104607</v>
      </c>
      <c r="E143" s="135" t="inlineStr">
        <is>
          <t>레이크팰리스</t>
        </is>
      </c>
      <c r="F143" s="132" t="n">
        <v>2010.05</v>
      </c>
      <c r="G143" s="132" t="n">
        <v>346</v>
      </c>
      <c r="H143" s="132">
        <f>2026-F143+1</f>
        <v/>
      </c>
      <c r="I143" s="132" t="inlineStr">
        <is>
          <t>86</t>
        </is>
      </c>
      <c r="J143" s="132" t="n">
        <v>86</v>
      </c>
      <c r="K143" s="132" t="n">
        <v>49</v>
      </c>
      <c r="L143" s="132" t="n">
        <v>26</v>
      </c>
      <c r="M143" s="132" t="inlineStr">
        <is>
          <t>계단식</t>
        </is>
      </c>
      <c r="N143" s="132" t="n">
        <v>3</v>
      </c>
      <c r="O143" s="132" t="n">
        <v>1</v>
      </c>
      <c r="P143" s="132" t="n">
        <v>106</v>
      </c>
      <c r="Q143" s="480" t="n">
        <v>5700</v>
      </c>
      <c r="R143" s="488" t="inlineStr">
        <is>
          <t>-</t>
        </is>
      </c>
      <c r="S143" s="477">
        <f>Q143-R143</f>
        <v/>
      </c>
      <c r="T143" s="71">
        <f>R143/Q143</f>
        <v/>
      </c>
      <c r="U143" s="481" t="n"/>
      <c r="V143" s="481" t="n"/>
      <c r="W143" s="339" t="inlineStr">
        <is>
          <t>계단식</t>
        </is>
      </c>
      <c r="X143" s="339" t="n">
        <v>3</v>
      </c>
      <c r="Y143" s="339" t="n">
        <v>1</v>
      </c>
      <c r="Z143" s="339" t="n">
        <v>106</v>
      </c>
      <c r="AA143" s="134" t="n"/>
      <c r="AB143" s="134" t="n"/>
      <c r="AC143" s="77">
        <f>L143</f>
        <v/>
      </c>
      <c r="AD143" s="482" t="n"/>
      <c r="AE143" s="482" t="n"/>
      <c r="AF143" s="78">
        <f>AE143/AD143</f>
        <v/>
      </c>
      <c r="AG143" s="79">
        <f>AD143-AE143</f>
        <v/>
      </c>
      <c r="AH143" s="339" t="n">
        <v>2026.04</v>
      </c>
      <c r="AI143" s="339" t="n">
        <v>5700</v>
      </c>
      <c r="AJ143" s="339">
        <f>AI143-AD143</f>
        <v/>
      </c>
      <c r="AK143" s="129">
        <f>(AI143-AD143)/AD143</f>
        <v/>
      </c>
      <c r="AL143" s="80">
        <f>AJ143/AG143</f>
        <v/>
      </c>
      <c r="AM143" s="141" t="n"/>
      <c r="AN143" s="81" t="n"/>
      <c r="AV143" s="132" t="n"/>
    </row>
    <row r="144" ht="15.5" customHeight="1" s="139">
      <c r="A144" s="132" t="inlineStr">
        <is>
          <t>병천면</t>
        </is>
      </c>
      <c r="B144" s="133" t="n"/>
      <c r="C144" s="133" t="n"/>
      <c r="D144" s="132" t="n">
        <v>104607</v>
      </c>
      <c r="E144" s="135" t="inlineStr">
        <is>
          <t>레이크팰리스</t>
        </is>
      </c>
      <c r="F144" s="132" t="n">
        <v>2010.05</v>
      </c>
      <c r="G144" s="132" t="n">
        <v>346</v>
      </c>
      <c r="H144" s="132">
        <f>2026-F144+1</f>
        <v/>
      </c>
      <c r="I144" s="132" t="inlineStr">
        <is>
          <t>70B, 70A</t>
        </is>
      </c>
      <c r="J144" s="132" t="n">
        <v>70</v>
      </c>
      <c r="K144" s="132" t="n">
        <v>39</v>
      </c>
      <c r="L144" s="132" t="n">
        <v>21</v>
      </c>
      <c r="M144" s="132" t="inlineStr">
        <is>
          <t>계단식</t>
        </is>
      </c>
      <c r="N144" s="132" t="n">
        <v>2</v>
      </c>
      <c r="O144" s="132" t="n">
        <v>1</v>
      </c>
      <c r="P144" s="132" t="n">
        <v>120</v>
      </c>
      <c r="Q144" s="480" t="n">
        <v>5500</v>
      </c>
      <c r="R144" s="488" t="inlineStr">
        <is>
          <t>-</t>
        </is>
      </c>
      <c r="S144" s="477">
        <f>Q144-R144</f>
        <v/>
      </c>
      <c r="T144" s="71">
        <f>R144/Q144</f>
        <v/>
      </c>
      <c r="U144" s="481" t="n">
        <v>5000</v>
      </c>
      <c r="V144" s="481" t="n">
        <v>4500</v>
      </c>
      <c r="W144" s="339" t="inlineStr">
        <is>
          <t>계단식</t>
        </is>
      </c>
      <c r="X144" s="339" t="n">
        <v>2</v>
      </c>
      <c r="Y144" s="339" t="n">
        <v>1</v>
      </c>
      <c r="Z144" s="339" t="n">
        <v>120</v>
      </c>
      <c r="AA144" s="134" t="n">
        <v>2020.09</v>
      </c>
      <c r="AB144" s="134" t="n">
        <v>0.04</v>
      </c>
      <c r="AC144" s="77">
        <f>L144</f>
        <v/>
      </c>
      <c r="AD144" s="482" t="n">
        <v>4550</v>
      </c>
      <c r="AE144" s="482" t="n">
        <v>4000</v>
      </c>
      <c r="AF144" s="78">
        <f>AE144/AD144</f>
        <v/>
      </c>
      <c r="AG144" s="79">
        <f>AD144-AE144</f>
        <v/>
      </c>
      <c r="AH144" s="339" t="n">
        <v>2026.04</v>
      </c>
      <c r="AI144" s="339" t="n">
        <v>5500</v>
      </c>
      <c r="AJ144" s="339">
        <f>AI144-AD144</f>
        <v/>
      </c>
      <c r="AK144" s="129">
        <f>(AI144-AD144)/AD144</f>
        <v/>
      </c>
      <c r="AL144" s="80">
        <f>AJ144/AG144</f>
        <v/>
      </c>
      <c r="AM144" s="141" t="n"/>
      <c r="AN144" s="81" t="n"/>
      <c r="AV144" s="132" t="n"/>
    </row>
    <row r="145" ht="15.5" customHeight="1" s="139">
      <c r="A145" s="132" t="inlineStr">
        <is>
          <t>병천면</t>
        </is>
      </c>
      <c r="B145" s="133" t="n"/>
      <c r="C145" s="133" t="n"/>
      <c r="D145" s="132" t="n">
        <v>104607</v>
      </c>
      <c r="E145" s="135" t="inlineStr">
        <is>
          <t>레이크팰리스</t>
        </is>
      </c>
      <c r="F145" s="132" t="n">
        <v>2010.05</v>
      </c>
      <c r="G145" s="132" t="n">
        <v>346</v>
      </c>
      <c r="H145" s="132">
        <f>2026-F145+1</f>
        <v/>
      </c>
      <c r="I145" s="132" t="inlineStr">
        <is>
          <t>50</t>
        </is>
      </c>
      <c r="J145" s="132" t="n">
        <v>50</v>
      </c>
      <c r="K145" s="132" t="n">
        <v>28</v>
      </c>
      <c r="L145" s="132" t="n">
        <v>15</v>
      </c>
      <c r="M145" s="132" t="inlineStr">
        <is>
          <t>계단식</t>
        </is>
      </c>
      <c r="N145" s="132" t="n">
        <v>1</v>
      </c>
      <c r="O145" s="132" t="n">
        <v>1</v>
      </c>
      <c r="P145" s="132" t="n">
        <v>72</v>
      </c>
      <c r="Q145" s="490" t="n">
        <v>3800</v>
      </c>
      <c r="R145" s="491" t="inlineStr">
        <is>
          <t>-</t>
        </is>
      </c>
      <c r="S145" s="477">
        <f>Q145-R145</f>
        <v/>
      </c>
      <c r="T145" s="71">
        <f>R145/Q145</f>
        <v/>
      </c>
      <c r="U145" s="492" t="n">
        <v>3500</v>
      </c>
      <c r="V145" s="493" t="n">
        <v>3000</v>
      </c>
      <c r="W145" s="339" t="inlineStr">
        <is>
          <t>계단식</t>
        </is>
      </c>
      <c r="X145" s="339" t="n">
        <v>1</v>
      </c>
      <c r="Y145" s="339" t="n">
        <v>1</v>
      </c>
      <c r="Z145" s="339" t="n">
        <v>72</v>
      </c>
      <c r="AA145" s="134" t="n"/>
      <c r="AB145" s="134" t="n"/>
      <c r="AC145" s="77">
        <f>L145</f>
        <v/>
      </c>
      <c r="AD145" s="482" t="n"/>
      <c r="AE145" s="482" t="n"/>
      <c r="AF145" s="78">
        <f>AE145/AD145</f>
        <v/>
      </c>
      <c r="AG145" s="79">
        <f>AD145-AE145</f>
        <v/>
      </c>
      <c r="AH145" s="339" t="n">
        <v>2026.04</v>
      </c>
      <c r="AI145" s="339" t="n">
        <v>3800</v>
      </c>
      <c r="AJ145" s="339">
        <f>AI145-AD145</f>
        <v/>
      </c>
      <c r="AK145" s="129">
        <f>(AI145-AD145)/AD145</f>
        <v/>
      </c>
      <c r="AL145" s="80">
        <f>AJ145/AG145</f>
        <v/>
      </c>
      <c r="AM145" s="141" t="n"/>
      <c r="AN145" s="81" t="n"/>
      <c r="AV145" s="132" t="n"/>
    </row>
    <row r="146" ht="15.5" customHeight="1" s="139">
      <c r="A146" s="132" t="inlineStr">
        <is>
          <t>목천읍</t>
        </is>
      </c>
      <c r="B146" s="133" t="n"/>
      <c r="C146" s="133" t="n"/>
      <c r="D146" s="132" t="n">
        <v>14265</v>
      </c>
      <c r="E146" s="135" t="inlineStr">
        <is>
          <t>천안목천동우1차</t>
        </is>
      </c>
      <c r="F146" s="132" t="n">
        <v>1997.08</v>
      </c>
      <c r="G146" s="132" t="n">
        <v>1922</v>
      </c>
      <c r="H146" s="132">
        <f>2026-F146+1</f>
        <v/>
      </c>
      <c r="I146" s="132" t="inlineStr">
        <is>
          <t>53</t>
        </is>
      </c>
      <c r="J146" s="132" t="n">
        <v>53</v>
      </c>
      <c r="K146" s="132" t="n">
        <v>39</v>
      </c>
      <c r="L146" s="132" t="n">
        <v>16</v>
      </c>
      <c r="M146" s="132" t="inlineStr">
        <is>
          <t>복도식</t>
        </is>
      </c>
      <c r="N146" s="132" t="n">
        <v>2</v>
      </c>
      <c r="O146" s="132" t="n">
        <v>1</v>
      </c>
      <c r="P146" s="132" t="n">
        <v>1548</v>
      </c>
      <c r="Q146" s="480" t="n">
        <v>3250</v>
      </c>
      <c r="R146" s="488" t="inlineStr">
        <is>
          <t>-</t>
        </is>
      </c>
      <c r="S146" s="477">
        <f>Q146-R146</f>
        <v/>
      </c>
      <c r="T146" s="71">
        <f>R146/Q146</f>
        <v/>
      </c>
      <c r="U146" s="481" t="n">
        <v>5500</v>
      </c>
      <c r="V146" s="494" t="n">
        <v>2500</v>
      </c>
      <c r="W146" s="339" t="inlineStr">
        <is>
          <t>복도식</t>
        </is>
      </c>
      <c r="X146" s="339" t="n">
        <v>2</v>
      </c>
      <c r="Y146" s="339" t="n">
        <v>1</v>
      </c>
      <c r="Z146" s="339" t="n">
        <v>1548</v>
      </c>
      <c r="AA146" s="134" t="n"/>
      <c r="AB146" s="134" t="n"/>
      <c r="AC146" s="77">
        <f>L146</f>
        <v/>
      </c>
      <c r="AD146" s="482" t="n"/>
      <c r="AE146" s="482" t="n"/>
      <c r="AF146" s="78">
        <f>AE146/AD146</f>
        <v/>
      </c>
      <c r="AG146" s="79">
        <f>AD146-AE146</f>
        <v/>
      </c>
      <c r="AH146" s="339" t="n">
        <v>2026.04</v>
      </c>
      <c r="AI146" s="339" t="n">
        <v>3250</v>
      </c>
      <c r="AJ146" s="339">
        <f>AI146-AD146</f>
        <v/>
      </c>
      <c r="AK146" s="129">
        <f>(AI146-AD146)/AD146</f>
        <v/>
      </c>
      <c r="AL146" s="80">
        <f>AJ146/AG146</f>
        <v/>
      </c>
      <c r="AM146" s="141" t="n"/>
      <c r="AN146" s="133" t="n"/>
      <c r="AV146" s="133" t="n"/>
    </row>
    <row r="147" ht="16" customHeight="1" s="139" thickBot="1">
      <c r="A147" s="339" t="inlineStr">
        <is>
          <t>구성동</t>
        </is>
      </c>
      <c r="D147" s="339" t="n">
        <v>17369</v>
      </c>
      <c r="E147" s="103" t="inlineStr">
        <is>
          <t>신성천안미소지움</t>
        </is>
      </c>
      <c r="F147" s="339" t="n">
        <v>2006.05</v>
      </c>
      <c r="G147" s="339" t="n">
        <v>1029</v>
      </c>
      <c r="H147" s="339">
        <f>2026-F147+1</f>
        <v/>
      </c>
      <c r="I147" s="339" t="inlineStr">
        <is>
          <t>107B, 107A</t>
        </is>
      </c>
      <c r="J147" s="339" t="n">
        <v>107</v>
      </c>
      <c r="K147" s="339" t="n">
        <v>84</v>
      </c>
      <c r="L147" s="339" t="n">
        <v>32</v>
      </c>
      <c r="M147" s="339" t="inlineStr">
        <is>
          <t>계단식</t>
        </is>
      </c>
      <c r="N147" s="339" t="n">
        <v>3</v>
      </c>
      <c r="O147" s="339" t="n">
        <v>2</v>
      </c>
      <c r="P147" s="339" t="n">
        <v>614</v>
      </c>
      <c r="Q147" s="495" t="n">
        <v>2000</v>
      </c>
      <c r="R147" s="496" t="n">
        <v>16000</v>
      </c>
      <c r="S147" s="477">
        <f>Q147-R147</f>
        <v/>
      </c>
      <c r="T147" s="71">
        <f>R147/Q147</f>
        <v/>
      </c>
      <c r="U147" s="496" t="n">
        <v>28000</v>
      </c>
      <c r="V147" s="497" t="n">
        <v>20250</v>
      </c>
      <c r="W147" s="339" t="inlineStr">
        <is>
          <t>계단식</t>
        </is>
      </c>
      <c r="X147" s="339" t="n">
        <v>3</v>
      </c>
      <c r="Y147" s="339" t="n">
        <v>2</v>
      </c>
      <c r="Z147" s="339" t="n">
        <v>614</v>
      </c>
      <c r="AA147" s="339" t="n">
        <v>2019.09</v>
      </c>
      <c r="AB147" s="339" t="n">
        <v>0.01</v>
      </c>
      <c r="AC147" s="37">
        <f>L147</f>
        <v/>
      </c>
      <c r="AD147" s="479" t="n">
        <v>17186</v>
      </c>
      <c r="AE147" s="479" t="n">
        <v>13800</v>
      </c>
      <c r="AF147" s="38">
        <f>AE147/AD147</f>
        <v/>
      </c>
      <c r="AG147" s="39">
        <f>AD147-AE147</f>
        <v/>
      </c>
      <c r="AH147" s="339" t="n">
        <v>2026.04</v>
      </c>
      <c r="AI147" s="339" t="n">
        <v>2000</v>
      </c>
      <c r="AJ147" s="339">
        <f>AI147-AD147</f>
        <v/>
      </c>
      <c r="AK147" s="129">
        <f>(AI147-AD147)/AD147</f>
        <v/>
      </c>
      <c r="AL147" s="29">
        <f>AJ147/AG147</f>
        <v/>
      </c>
      <c r="AM147" s="357" t="n"/>
    </row>
    <row r="148" ht="15.5" customHeight="1" s="139">
      <c r="A148" s="339" t="inlineStr">
        <is>
          <t>구성동</t>
        </is>
      </c>
      <c r="D148" s="339" t="n">
        <v>17369</v>
      </c>
      <c r="E148" s="103" t="inlineStr">
        <is>
          <t>신성천안미소지움</t>
        </is>
      </c>
      <c r="F148" s="339" t="n">
        <v>2006.05</v>
      </c>
      <c r="G148" s="339" t="n">
        <v>1029</v>
      </c>
      <c r="H148" s="339">
        <f>2026-F148+1</f>
        <v/>
      </c>
      <c r="I148" s="339" t="inlineStr">
        <is>
          <t>81A, 81B</t>
        </is>
      </c>
      <c r="J148" s="339" t="n">
        <v>81</v>
      </c>
      <c r="K148" s="339" t="n">
        <v>59</v>
      </c>
      <c r="L148" s="339" t="n">
        <v>25</v>
      </c>
      <c r="M148" s="339" t="inlineStr">
        <is>
          <t>계단식</t>
        </is>
      </c>
      <c r="N148" s="339" t="n">
        <v>3</v>
      </c>
      <c r="O148" s="339" t="n">
        <v>2</v>
      </c>
      <c r="P148" s="339" t="n">
        <v>355</v>
      </c>
      <c r="Q148" s="498" t="n">
        <v>1700</v>
      </c>
      <c r="R148" s="499" t="n">
        <v>15000</v>
      </c>
      <c r="S148" s="477">
        <f>Q148-R148</f>
        <v/>
      </c>
      <c r="T148" s="71">
        <f>R148/Q148</f>
        <v/>
      </c>
      <c r="U148" s="499" t="n">
        <v>18500</v>
      </c>
      <c r="V148" s="500" t="n">
        <v>12000</v>
      </c>
      <c r="W148" s="339" t="inlineStr">
        <is>
          <t>계단식</t>
        </is>
      </c>
      <c r="X148" s="339" t="n">
        <v>3</v>
      </c>
      <c r="Y148" s="339" t="n">
        <v>2</v>
      </c>
      <c r="Z148" s="339" t="n">
        <v>355</v>
      </c>
      <c r="AA148" s="339" t="n">
        <v>2018.01</v>
      </c>
      <c r="AB148" s="339" t="n">
        <v>0.01</v>
      </c>
      <c r="AC148" s="37">
        <f>L148</f>
        <v/>
      </c>
      <c r="AD148" s="479" t="n">
        <v>16600</v>
      </c>
      <c r="AE148" s="479" t="n">
        <v>14500</v>
      </c>
      <c r="AF148" s="38">
        <f>AE148/AD148</f>
        <v/>
      </c>
      <c r="AG148" s="39">
        <f>AD148-AE148</f>
        <v/>
      </c>
      <c r="AH148" s="339" t="n">
        <v>2026.04</v>
      </c>
      <c r="AI148" s="339" t="n">
        <v>1700</v>
      </c>
      <c r="AJ148" s="339">
        <f>AI148-AD148</f>
        <v/>
      </c>
      <c r="AK148" s="129">
        <f>(AI148-AD148)/AD148</f>
        <v/>
      </c>
      <c r="AL148" s="29">
        <f>AJ148/AG148</f>
        <v/>
      </c>
      <c r="AM148" s="357" t="n"/>
    </row>
    <row r="149" ht="15.5" customHeight="1" s="139">
      <c r="A149" s="132" t="inlineStr">
        <is>
          <t>구성동</t>
        </is>
      </c>
      <c r="B149" s="74" t="n"/>
      <c r="C149" s="75" t="n"/>
      <c r="D149" s="132" t="n">
        <v>26577</v>
      </c>
      <c r="E149" s="135" t="inlineStr">
        <is>
          <t>휴먼시아</t>
        </is>
      </c>
      <c r="F149" s="132" t="n">
        <v>2010.07</v>
      </c>
      <c r="G149" s="132" t="n">
        <v>473</v>
      </c>
      <c r="H149" s="132">
        <f>2026-F149+1</f>
        <v/>
      </c>
      <c r="I149" s="132" t="inlineStr">
        <is>
          <t>71</t>
        </is>
      </c>
      <c r="J149" s="132" t="n">
        <v>71</v>
      </c>
      <c r="K149" s="132" t="n">
        <v>51</v>
      </c>
      <c r="L149" s="132" t="n">
        <v>21</v>
      </c>
      <c r="M149" s="132" t="inlineStr">
        <is>
          <t>계단식</t>
        </is>
      </c>
      <c r="N149" s="132" t="n">
        <v>2</v>
      </c>
      <c r="O149" s="132" t="n">
        <v>1</v>
      </c>
      <c r="P149" s="132" t="n">
        <v>34</v>
      </c>
      <c r="Q149" s="480" t="n"/>
      <c r="R149" s="488" t="inlineStr">
        <is>
          <t>-</t>
        </is>
      </c>
      <c r="S149" s="477">
        <f>Q149-R149</f>
        <v/>
      </c>
      <c r="T149" s="71">
        <f>R149/Q149</f>
        <v/>
      </c>
      <c r="U149" s="481" t="n">
        <v>17200</v>
      </c>
      <c r="V149" s="494" t="n">
        <v>15000</v>
      </c>
      <c r="W149" s="339" t="inlineStr">
        <is>
          <t>계단식</t>
        </is>
      </c>
      <c r="X149" s="339" t="n">
        <v>2</v>
      </c>
      <c r="Y149" s="339" t="n">
        <v>1</v>
      </c>
      <c r="Z149" s="339" t="n">
        <v>34</v>
      </c>
      <c r="AA149" s="134" t="n">
        <v>2018.05</v>
      </c>
      <c r="AB149" s="134" t="n">
        <v>0.01</v>
      </c>
      <c r="AC149" s="77">
        <f>L149</f>
        <v/>
      </c>
      <c r="AD149" s="482" t="n">
        <v>15000</v>
      </c>
      <c r="AE149" s="482" t="n">
        <v>12000</v>
      </c>
      <c r="AF149" s="78">
        <f>AE149/AD149</f>
        <v/>
      </c>
      <c r="AG149" s="79">
        <f>AD149-AE149</f>
        <v/>
      </c>
      <c r="AH149" s="132" t="n">
        <v>2026.04</v>
      </c>
      <c r="AI149" s="132" t="n"/>
      <c r="AJ149" s="132">
        <f>AI149-AD149</f>
        <v/>
      </c>
      <c r="AK149" s="129">
        <f>(AI149-AD149)/AD149</f>
        <v/>
      </c>
      <c r="AL149" s="80">
        <f>AJ149/AG149</f>
        <v/>
      </c>
      <c r="AM149" s="141" t="n"/>
      <c r="AN149" s="81" t="n"/>
      <c r="AO149" s="132" t="n"/>
      <c r="AP149" s="132" t="n"/>
      <c r="AQ149" s="132" t="n"/>
      <c r="AR149" s="132" t="n"/>
      <c r="AS149" s="132" t="n"/>
      <c r="AT149" s="132" t="n"/>
      <c r="AU149" s="132" t="n"/>
      <c r="AV149" s="133" t="n"/>
      <c r="AW149" s="132" t="n"/>
      <c r="AX149" s="132" t="n"/>
      <c r="AY149" s="132" t="n"/>
    </row>
    <row r="150" ht="15.5" customHeight="1" s="139">
      <c r="A150" s="132" t="inlineStr">
        <is>
          <t>구성동</t>
        </is>
      </c>
      <c r="B150" s="74" t="n"/>
      <c r="C150" s="75" t="n"/>
      <c r="D150" s="132" t="n">
        <v>26577</v>
      </c>
      <c r="E150" s="135" t="inlineStr">
        <is>
          <t>휴먼시아</t>
        </is>
      </c>
      <c r="F150" s="132" t="n">
        <v>2010.07</v>
      </c>
      <c r="G150" s="132" t="n">
        <v>473</v>
      </c>
      <c r="H150" s="132">
        <f>2026-F150+1</f>
        <v/>
      </c>
      <c r="I150" s="132" t="inlineStr">
        <is>
          <t>113B</t>
        </is>
      </c>
      <c r="J150" s="132" t="n">
        <v>113</v>
      </c>
      <c r="K150" s="132" t="n">
        <v>84</v>
      </c>
      <c r="L150" s="132" t="n">
        <v>34</v>
      </c>
      <c r="M150" s="132" t="inlineStr">
        <is>
          <t>계단식</t>
        </is>
      </c>
      <c r="N150" s="132" t="n">
        <v>3</v>
      </c>
      <c r="O150" s="132" t="n">
        <v>2</v>
      </c>
      <c r="P150" s="132" t="n">
        <v>122</v>
      </c>
      <c r="Q150" s="480" t="n"/>
      <c r="R150" s="488" t="inlineStr">
        <is>
          <t>-</t>
        </is>
      </c>
      <c r="S150" s="477">
        <f>Q150-R150</f>
        <v/>
      </c>
      <c r="T150" s="71">
        <f>R150/Q150</f>
        <v/>
      </c>
      <c r="U150" s="481" t="n">
        <v>30000</v>
      </c>
      <c r="V150" s="494" t="n">
        <v>22900</v>
      </c>
      <c r="W150" s="339" t="inlineStr">
        <is>
          <t>계단식</t>
        </is>
      </c>
      <c r="X150" s="339" t="n">
        <v>3</v>
      </c>
      <c r="Y150" s="339" t="n">
        <v>2</v>
      </c>
      <c r="Z150" s="339" t="n">
        <v>122</v>
      </c>
      <c r="AA150" s="144" t="n">
        <v>2026.02</v>
      </c>
      <c r="AB150" s="134" t="n">
        <v>0.05</v>
      </c>
      <c r="AC150" s="77">
        <f>L150</f>
        <v/>
      </c>
      <c r="AD150" s="482" t="n">
        <v>20575</v>
      </c>
      <c r="AE150" s="482" t="n">
        <v>18333</v>
      </c>
      <c r="AF150" s="78">
        <f>AE150/AD150</f>
        <v/>
      </c>
      <c r="AG150" s="79">
        <f>AD150-AE150</f>
        <v/>
      </c>
      <c r="AH150" s="110" t="n">
        <v>2026.04</v>
      </c>
      <c r="AI150" s="487" t="n"/>
      <c r="AJ150" s="487">
        <f>AI150-AD150</f>
        <v/>
      </c>
      <c r="AK150" s="129">
        <f>(AI150-AD150)/AD150</f>
        <v/>
      </c>
      <c r="AL150" s="80">
        <f>AJ150/AG150</f>
        <v/>
      </c>
      <c r="AM150" s="141" t="n"/>
      <c r="AN150" s="83" t="n"/>
      <c r="AO150" s="132" t="n"/>
      <c r="AP150" s="132" t="n"/>
      <c r="AQ150" s="132" t="n"/>
      <c r="AR150" s="132" t="n"/>
      <c r="AS150" s="132" t="n"/>
      <c r="AT150" s="132" t="n"/>
      <c r="AU150" s="132" t="n"/>
      <c r="AV150" s="132" t="inlineStr">
        <is>
          <t>2. 각 단지들 투자하기 좋았던 시기 기록 (전세가율 80% 이상인 시기, 투자기회를 얼마나 주었는가?)</t>
        </is>
      </c>
      <c r="AW150" s="132" t="n"/>
      <c r="AX150" s="132" t="n"/>
      <c r="AY150" s="132" t="n"/>
    </row>
    <row r="151" ht="16" customHeight="1" s="139" thickBot="1">
      <c r="A151" s="339" t="inlineStr">
        <is>
          <t>구성동</t>
        </is>
      </c>
      <c r="B151" s="164" t="n"/>
      <c r="C151" s="164" t="n"/>
      <c r="D151" s="339" t="n">
        <v>17369</v>
      </c>
      <c r="E151" s="103" t="inlineStr">
        <is>
          <t>신성천안미소지움</t>
        </is>
      </c>
      <c r="F151" s="339" t="n">
        <v>2006.05</v>
      </c>
      <c r="G151" s="339" t="n">
        <v>1029</v>
      </c>
      <c r="H151" s="339">
        <f>2026-F151+1</f>
        <v/>
      </c>
      <c r="I151" s="339" t="inlineStr">
        <is>
          <t>143</t>
        </is>
      </c>
      <c r="J151" s="339" t="n">
        <v>143</v>
      </c>
      <c r="K151" s="339" t="n">
        <v>115</v>
      </c>
      <c r="L151" s="339" t="n">
        <v>43</v>
      </c>
      <c r="M151" s="339" t="inlineStr">
        <is>
          <t>계단식</t>
        </is>
      </c>
      <c r="N151" s="339" t="n">
        <v>4</v>
      </c>
      <c r="O151" s="339" t="n">
        <v>2</v>
      </c>
      <c r="P151" s="339" t="n">
        <v>60</v>
      </c>
      <c r="Q151" s="495" t="n"/>
      <c r="R151" s="501" t="inlineStr">
        <is>
          <t>-</t>
        </is>
      </c>
      <c r="S151" s="477">
        <f>Q151-R151</f>
        <v/>
      </c>
      <c r="T151" s="71">
        <f>R151/Q151</f>
        <v/>
      </c>
      <c r="U151" s="496" t="n">
        <v>24500</v>
      </c>
      <c r="V151" s="497" t="n"/>
      <c r="W151" s="339" t="inlineStr">
        <is>
          <t>계단식</t>
        </is>
      </c>
      <c r="X151" s="339" t="n">
        <v>4</v>
      </c>
      <c r="Y151" s="339" t="n">
        <v>2</v>
      </c>
      <c r="Z151" s="339" t="n">
        <v>60</v>
      </c>
      <c r="AA151" s="339" t="n">
        <v>2019.06</v>
      </c>
      <c r="AB151" s="339" t="n">
        <v>0.01</v>
      </c>
      <c r="AC151" s="37">
        <f>L151</f>
        <v/>
      </c>
      <c r="AD151" s="479" t="n">
        <v>22500</v>
      </c>
      <c r="AE151" s="479" t="n">
        <v>18000</v>
      </c>
      <c r="AF151" s="38">
        <f>AE151/AD151</f>
        <v/>
      </c>
      <c r="AG151" s="39">
        <f>AD151-AE151</f>
        <v/>
      </c>
      <c r="AH151" s="11" t="n">
        <v>2026.04</v>
      </c>
      <c r="AI151" s="339" t="n"/>
      <c r="AJ151" s="339">
        <f>AI151-AD151</f>
        <v/>
      </c>
      <c r="AK151" s="129">
        <f>(AI151-AD151)/AD151</f>
        <v/>
      </c>
      <c r="AL151" s="29">
        <f>AJ151/AG151</f>
        <v/>
      </c>
      <c r="AM151" s="357" t="n"/>
      <c r="AO151" s="339" t="n"/>
      <c r="AP151" s="339" t="n"/>
      <c r="AQ151" s="339" t="n"/>
      <c r="AR151" s="339" t="n"/>
      <c r="AS151" s="339" t="n"/>
      <c r="AT151" s="339" t="n"/>
      <c r="AU151" s="339" t="n"/>
      <c r="AW151" s="339" t="n"/>
      <c r="AX151" s="339" t="n"/>
      <c r="AY151" s="339" t="n"/>
    </row>
    <row r="152" ht="15.5" customHeight="1" s="139">
      <c r="A152" s="132" t="inlineStr">
        <is>
          <t>목천읍</t>
        </is>
      </c>
      <c r="B152" s="134" t="n"/>
      <c r="C152" s="134" t="n"/>
      <c r="D152" s="132" t="n">
        <v>13468</v>
      </c>
      <c r="E152" s="135" t="inlineStr">
        <is>
          <t>목천신도브래뉴2차</t>
        </is>
      </c>
      <c r="F152" s="132" t="n">
        <v>2005.06</v>
      </c>
      <c r="G152" s="132" t="n">
        <v>957</v>
      </c>
      <c r="H152" s="132">
        <f>2026-F152+1</f>
        <v/>
      </c>
      <c r="I152" s="132" t="inlineStr">
        <is>
          <t>95</t>
        </is>
      </c>
      <c r="J152" s="132" t="n">
        <v>95</v>
      </c>
      <c r="K152" s="132" t="n">
        <v>74</v>
      </c>
      <c r="L152" s="132" t="n">
        <v>29</v>
      </c>
      <c r="M152" s="132" t="inlineStr">
        <is>
          <t>계단식</t>
        </is>
      </c>
      <c r="N152" s="132" t="n">
        <v>3</v>
      </c>
      <c r="O152" s="132" t="n">
        <v>2</v>
      </c>
      <c r="P152" s="132" t="n">
        <v>90</v>
      </c>
      <c r="Q152" s="105" t="n"/>
      <c r="R152" s="161" t="inlineStr">
        <is>
          <t>-</t>
        </is>
      </c>
      <c r="S152" s="477">
        <f>Q152-R152</f>
        <v/>
      </c>
      <c r="T152" s="71">
        <f>R152/Q152</f>
        <v/>
      </c>
      <c r="U152" s="502" t="n">
        <v>19800</v>
      </c>
      <c r="V152" s="503" t="n">
        <v>15600</v>
      </c>
      <c r="W152" s="339" t="inlineStr">
        <is>
          <t>계단식</t>
        </is>
      </c>
      <c r="X152" s="339" t="n">
        <v>3</v>
      </c>
      <c r="Y152" s="339" t="n">
        <v>2</v>
      </c>
      <c r="Z152" s="339" t="n">
        <v>90</v>
      </c>
      <c r="AA152" s="134" t="n"/>
      <c r="AB152" s="134" t="n"/>
      <c r="AC152" s="77">
        <f>L152</f>
        <v/>
      </c>
      <c r="AD152" s="482" t="n"/>
      <c r="AE152" s="482" t="n"/>
      <c r="AF152" s="78">
        <f>AE152/AD152</f>
        <v/>
      </c>
      <c r="AG152" s="79">
        <f>AD152-AE152</f>
        <v/>
      </c>
      <c r="AH152" s="110" t="n">
        <v>2026.04</v>
      </c>
      <c r="AI152" s="132" t="n"/>
      <c r="AJ152" s="132">
        <f>AI152-AD152</f>
        <v/>
      </c>
      <c r="AK152" s="129">
        <f>(AI152-AD152)/AD152</f>
        <v/>
      </c>
      <c r="AL152" s="80">
        <f>AJ152/AG152</f>
        <v/>
      </c>
      <c r="AM152" s="141" t="n"/>
      <c r="AN152" s="81" t="n"/>
      <c r="AO152" s="132" t="n"/>
      <c r="AP152" s="132" t="n"/>
      <c r="AQ152" s="132" t="n"/>
      <c r="AR152" s="132" t="n"/>
      <c r="AS152" s="132" t="n"/>
      <c r="AT152" s="132" t="n"/>
      <c r="AU152" s="132" t="n"/>
      <c r="AV152" s="133" t="n"/>
      <c r="AW152" s="132" t="n"/>
      <c r="AX152" s="132" t="n"/>
      <c r="AY152" s="132" t="n"/>
    </row>
    <row r="153" ht="15.5" customHeight="1" s="139">
      <c r="A153" s="132" t="inlineStr">
        <is>
          <t>문화동</t>
        </is>
      </c>
      <c r="B153" s="133" t="n"/>
      <c r="C153" s="133" t="n"/>
      <c r="D153" s="132" t="n">
        <v>126749</v>
      </c>
      <c r="E153" s="135" t="inlineStr">
        <is>
          <t>천안역필하우스에듀시티1단지</t>
        </is>
      </c>
      <c r="F153" s="132" t="n">
        <v>2022.04</v>
      </c>
      <c r="G153" s="132" t="n">
        <v>1532</v>
      </c>
      <c r="H153" s="132">
        <f>2026-F153+1</f>
        <v/>
      </c>
      <c r="I153" s="132" t="inlineStr">
        <is>
          <t>140</t>
        </is>
      </c>
      <c r="J153" s="132" t="n">
        <v>140</v>
      </c>
      <c r="K153" s="132" t="n">
        <v>114</v>
      </c>
      <c r="L153" s="132" t="n">
        <v>42</v>
      </c>
      <c r="M153" s="132" t="inlineStr">
        <is>
          <t>계단식</t>
        </is>
      </c>
      <c r="N153" s="132" t="n">
        <v>4</v>
      </c>
      <c r="O153" s="132" t="n">
        <v>2</v>
      </c>
      <c r="P153" s="132" t="n">
        <v>74</v>
      </c>
      <c r="Q153" s="480" t="n"/>
      <c r="R153" s="488" t="inlineStr">
        <is>
          <t>-</t>
        </is>
      </c>
      <c r="S153" s="477">
        <f>Q153-R153</f>
        <v/>
      </c>
      <c r="T153" s="71">
        <f>R153/Q153</f>
        <v/>
      </c>
      <c r="U153" s="481" t="n"/>
      <c r="V153" s="494" t="n">
        <v>55000</v>
      </c>
      <c r="W153" s="339" t="inlineStr">
        <is>
          <t>계단식</t>
        </is>
      </c>
      <c r="X153" s="339" t="n">
        <v>4</v>
      </c>
      <c r="Y153" s="339" t="n">
        <v>2</v>
      </c>
      <c r="Z153" s="339" t="n">
        <v>74</v>
      </c>
      <c r="AA153" s="134" t="n"/>
      <c r="AB153" s="134" t="n"/>
      <c r="AC153" s="77">
        <f>L153</f>
        <v/>
      </c>
      <c r="AD153" s="482" t="n"/>
      <c r="AE153" s="482" t="n"/>
      <c r="AF153" s="78">
        <f>AE153/AD153</f>
        <v/>
      </c>
      <c r="AG153" s="79">
        <f>AD153-AE153</f>
        <v/>
      </c>
      <c r="AH153" s="339" t="n">
        <v>2026.04</v>
      </c>
      <c r="AI153" s="339" t="n"/>
      <c r="AJ153" s="339">
        <f>AI153-AD153</f>
        <v/>
      </c>
      <c r="AK153" s="129">
        <f>(AI153-AD153)/AD153</f>
        <v/>
      </c>
      <c r="AL153" s="80">
        <f>AJ153/AG153</f>
        <v/>
      </c>
      <c r="AM153" s="141" t="n"/>
      <c r="AN153" s="81" t="n"/>
      <c r="AO153" s="339" t="n"/>
      <c r="AP153" s="339" t="n"/>
      <c r="AQ153" s="339" t="n"/>
      <c r="AR153" s="339" t="n"/>
      <c r="AS153" s="339" t="n"/>
      <c r="AT153" s="339" t="n"/>
      <c r="AU153" s="339" t="n"/>
      <c r="AV153" s="132" t="n"/>
      <c r="AW153" s="339" t="n"/>
      <c r="AX153" s="339" t="n"/>
      <c r="AY153" s="339" t="n"/>
    </row>
    <row r="154" ht="15.5" customHeight="1" s="139">
      <c r="A154" s="132" t="inlineStr">
        <is>
          <t>병천면</t>
        </is>
      </c>
      <c r="B154" s="88" t="n"/>
      <c r="C154" s="89" t="n"/>
      <c r="D154" s="132" t="n">
        <v>26333</v>
      </c>
      <c r="E154" s="135" t="inlineStr">
        <is>
          <t>신한</t>
        </is>
      </c>
      <c r="F154" s="132" t="n">
        <v>1997.02</v>
      </c>
      <c r="G154" s="132" t="n">
        <v>474</v>
      </c>
      <c r="H154" s="132">
        <f>2026-F154+1</f>
        <v/>
      </c>
      <c r="I154" s="132" t="inlineStr">
        <is>
          <t>55</t>
        </is>
      </c>
      <c r="J154" s="132" t="n">
        <v>55</v>
      </c>
      <c r="K154" s="132" t="n">
        <v>38</v>
      </c>
      <c r="L154" s="132" t="n">
        <v>17</v>
      </c>
      <c r="M154" s="132" t="inlineStr">
        <is>
          <t>복도식</t>
        </is>
      </c>
      <c r="N154" s="132" t="n">
        <v>2</v>
      </c>
      <c r="O154" s="132" t="n">
        <v>1</v>
      </c>
      <c r="P154" s="132" t="n">
        <v>234</v>
      </c>
      <c r="Q154" s="480" t="n"/>
      <c r="R154" s="488" t="inlineStr">
        <is>
          <t>-</t>
        </is>
      </c>
      <c r="S154" s="477">
        <f>Q154-R154</f>
        <v/>
      </c>
      <c r="T154" s="71">
        <f>R154/Q154</f>
        <v/>
      </c>
      <c r="U154" s="481" t="n">
        <v>4900</v>
      </c>
      <c r="V154" s="494" t="n">
        <v>4900</v>
      </c>
      <c r="W154" s="339" t="inlineStr">
        <is>
          <t>복도식</t>
        </is>
      </c>
      <c r="X154" s="339" t="n">
        <v>2</v>
      </c>
      <c r="Y154" s="339" t="n">
        <v>1</v>
      </c>
      <c r="Z154" s="339" t="n">
        <v>234</v>
      </c>
      <c r="AA154" s="144" t="n"/>
      <c r="AB154" s="134" t="n"/>
      <c r="AC154" s="77">
        <f>L154</f>
        <v/>
      </c>
      <c r="AD154" s="482" t="n"/>
      <c r="AE154" s="482" t="n"/>
      <c r="AF154" s="78">
        <f>AE154/AD154</f>
        <v/>
      </c>
      <c r="AG154" s="79">
        <f>AD154-AE154</f>
        <v/>
      </c>
      <c r="AH154" s="339" t="n">
        <v>2026.04</v>
      </c>
      <c r="AI154" s="405" t="n"/>
      <c r="AJ154" s="405">
        <f>AI154-AD154</f>
        <v/>
      </c>
      <c r="AK154" s="129">
        <f>(AI154-AD154)/AD154</f>
        <v/>
      </c>
      <c r="AL154" s="80">
        <f>AJ154/AG154</f>
        <v/>
      </c>
      <c r="AM154" s="141" t="n"/>
      <c r="AN154" s="133" t="n"/>
      <c r="AO154" s="339" t="n"/>
      <c r="AP154" s="339" t="n"/>
      <c r="AQ154" s="339" t="n"/>
      <c r="AR154" s="339" t="n"/>
      <c r="AS154" s="339" t="n"/>
      <c r="AT154" s="339" t="n"/>
      <c r="AU154" s="339" t="n"/>
      <c r="AV154" s="133" t="n"/>
      <c r="AW154" s="339" t="n"/>
      <c r="AX154" s="339" t="n"/>
      <c r="AY154" s="339" t="n"/>
    </row>
    <row r="155" ht="16" customHeight="1" s="139" thickBot="1">
      <c r="A155" s="132" t="inlineStr">
        <is>
          <t>병천면</t>
        </is>
      </c>
      <c r="B155" s="88" t="n"/>
      <c r="C155" s="89" t="n"/>
      <c r="D155" s="132" t="n">
        <v>26333</v>
      </c>
      <c r="E155" s="135" t="inlineStr">
        <is>
          <t>신한</t>
        </is>
      </c>
      <c r="F155" s="132" t="n">
        <v>1997.02</v>
      </c>
      <c r="G155" s="132" t="n">
        <v>474</v>
      </c>
      <c r="H155" s="132">
        <f>2026-F155+1</f>
        <v/>
      </c>
      <c r="I155" s="132" t="inlineStr">
        <is>
          <t>60</t>
        </is>
      </c>
      <c r="J155" s="132" t="n">
        <v>60</v>
      </c>
      <c r="K155" s="132" t="n">
        <v>42</v>
      </c>
      <c r="L155" s="132" t="n">
        <v>18</v>
      </c>
      <c r="M155" s="132" t="inlineStr">
        <is>
          <t>복도식</t>
        </is>
      </c>
      <c r="N155" s="132" t="n">
        <v>2</v>
      </c>
      <c r="O155" s="132" t="n">
        <v>1</v>
      </c>
      <c r="P155" s="132" t="n">
        <v>180</v>
      </c>
      <c r="Q155" s="504" t="n"/>
      <c r="R155" s="505" t="inlineStr">
        <is>
          <t>-</t>
        </is>
      </c>
      <c r="S155" s="477">
        <f>Q155-R155</f>
        <v/>
      </c>
      <c r="T155" s="71">
        <f>R155/Q155</f>
        <v/>
      </c>
      <c r="U155" s="506" t="n">
        <v>5300</v>
      </c>
      <c r="V155" s="507" t="n">
        <v>4900</v>
      </c>
      <c r="W155" s="339" t="inlineStr">
        <is>
          <t>복도식</t>
        </is>
      </c>
      <c r="X155" s="339" t="n">
        <v>2</v>
      </c>
      <c r="Y155" s="339" t="n">
        <v>1</v>
      </c>
      <c r="Z155" s="339" t="n">
        <v>180</v>
      </c>
      <c r="AA155" s="144" t="n"/>
      <c r="AB155" s="134" t="n"/>
      <c r="AC155" s="77">
        <f>L155</f>
        <v/>
      </c>
      <c r="AD155" s="482" t="n"/>
      <c r="AE155" s="482" t="n"/>
      <c r="AF155" s="78">
        <f>AE155/AD155</f>
        <v/>
      </c>
      <c r="AG155" s="79">
        <f>AD155-AE155</f>
        <v/>
      </c>
      <c r="AH155" s="339" t="n">
        <v>2026.04</v>
      </c>
      <c r="AI155" s="405" t="n"/>
      <c r="AJ155" s="405">
        <f>AI155-AD155</f>
        <v/>
      </c>
      <c r="AK155" s="129">
        <f>(AI155-AD155)/AD155</f>
        <v/>
      </c>
      <c r="AL155" s="80">
        <f>AJ155/AG155</f>
        <v/>
      </c>
      <c r="AM155" s="141" t="n"/>
      <c r="AN155" s="133" t="n"/>
      <c r="AV155" s="133" t="n"/>
    </row>
    <row r="156" ht="15.5" customHeight="1" s="139">
      <c r="A156" s="132" t="inlineStr">
        <is>
          <t>병천면</t>
        </is>
      </c>
      <c r="B156" s="88" t="n"/>
      <c r="C156" s="89" t="n"/>
      <c r="D156" s="132" t="n">
        <v>26333</v>
      </c>
      <c r="E156" s="135" t="inlineStr">
        <is>
          <t>신한</t>
        </is>
      </c>
      <c r="F156" s="132" t="n">
        <v>1997.02</v>
      </c>
      <c r="G156" s="132" t="n">
        <v>474</v>
      </c>
      <c r="H156" s="132">
        <f>2026-F156+1</f>
        <v/>
      </c>
      <c r="I156" s="132" t="inlineStr">
        <is>
          <t>72</t>
        </is>
      </c>
      <c r="J156" s="132" t="n">
        <v>72</v>
      </c>
      <c r="K156" s="132" t="n">
        <v>49</v>
      </c>
      <c r="L156" s="132" t="n">
        <v>22</v>
      </c>
      <c r="M156" s="132" t="inlineStr">
        <is>
          <t>계단식</t>
        </is>
      </c>
      <c r="N156" s="132" t="n">
        <v>3</v>
      </c>
      <c r="O156" s="132" t="n">
        <v>1</v>
      </c>
      <c r="P156" s="132" t="n">
        <v>60</v>
      </c>
      <c r="Q156" s="508" t="n"/>
      <c r="R156" s="509" t="inlineStr">
        <is>
          <t>-</t>
        </is>
      </c>
      <c r="S156" s="477">
        <f>Q156-R156</f>
        <v/>
      </c>
      <c r="T156" s="71">
        <f>R156/Q156</f>
        <v/>
      </c>
      <c r="U156" s="502" t="n">
        <v>7000</v>
      </c>
      <c r="V156" s="503" t="n">
        <v>6400</v>
      </c>
      <c r="W156" s="339" t="inlineStr">
        <is>
          <t>계단식</t>
        </is>
      </c>
      <c r="X156" s="339" t="n">
        <v>3</v>
      </c>
      <c r="Y156" s="339" t="n">
        <v>1</v>
      </c>
      <c r="Z156" s="339" t="n">
        <v>60</v>
      </c>
      <c r="AA156" s="134" t="n"/>
      <c r="AB156" s="134" t="n"/>
      <c r="AC156" s="77">
        <f>L156</f>
        <v/>
      </c>
      <c r="AD156" s="482" t="n"/>
      <c r="AE156" s="482" t="n"/>
      <c r="AF156" s="78">
        <f>AE156/AD156</f>
        <v/>
      </c>
      <c r="AG156" s="79">
        <f>AD156-AE156</f>
        <v/>
      </c>
      <c r="AH156" s="339" t="n">
        <v>2026.04</v>
      </c>
      <c r="AI156" s="339" t="n"/>
      <c r="AJ156" s="339">
        <f>AI156-AD156</f>
        <v/>
      </c>
      <c r="AK156" s="129">
        <f>(AI156-AD156)/AD156</f>
        <v/>
      </c>
      <c r="AL156" s="80">
        <f>AJ156/AG156</f>
        <v/>
      </c>
      <c r="AM156" s="141" t="n"/>
      <c r="AN156" s="133" t="n"/>
      <c r="AV156" s="132">
        <f t="array" ref="AV156">- 그래프 캡쳐 대신 엑셀도 활용 가능</f>
        <v/>
      </c>
    </row>
    <row r="157" ht="15.5" customHeight="1" s="139">
      <c r="A157" s="339" t="inlineStr">
        <is>
          <t>병천면</t>
        </is>
      </c>
      <c r="B157" s="164" t="n"/>
      <c r="C157" s="164" t="n"/>
      <c r="D157" s="339" t="n">
        <v>130948</v>
      </c>
      <c r="E157" s="150" t="inlineStr">
        <is>
          <t>부경2단지</t>
        </is>
      </c>
      <c r="F157" s="339" t="n">
        <v>2018.07</v>
      </c>
      <c r="G157" s="339" t="n">
        <v>496</v>
      </c>
      <c r="H157" s="339">
        <f>2026-F157+1</f>
        <v/>
      </c>
      <c r="I157" s="339" t="inlineStr">
        <is>
          <t>52</t>
        </is>
      </c>
      <c r="J157" s="339" t="n">
        <v>52</v>
      </c>
      <c r="K157" s="339" t="n">
        <v>39</v>
      </c>
      <c r="L157" s="339" t="n">
        <v>16</v>
      </c>
      <c r="M157" s="339" t="inlineStr">
        <is>
          <t>계단식</t>
        </is>
      </c>
      <c r="N157" s="339" t="n">
        <v>2</v>
      </c>
      <c r="O157" s="339" t="n">
        <v>1</v>
      </c>
      <c r="P157" s="339" t="n">
        <v>432</v>
      </c>
      <c r="Q157" s="483" t="n"/>
      <c r="R157" s="489" t="inlineStr">
        <is>
          <t>-</t>
        </is>
      </c>
      <c r="S157" s="477">
        <f>Q157-R157</f>
        <v/>
      </c>
      <c r="T157" s="71">
        <f>R157/Q157</f>
        <v/>
      </c>
      <c r="U157" s="484" t="n"/>
      <c r="V157" s="510" t="n"/>
      <c r="W157" s="339" t="inlineStr">
        <is>
          <t>계단식</t>
        </is>
      </c>
      <c r="X157" s="339" t="n">
        <v>2</v>
      </c>
      <c r="Y157" s="339" t="n">
        <v>1</v>
      </c>
      <c r="Z157" s="339" t="n">
        <v>432</v>
      </c>
      <c r="AC157" s="37">
        <f>L157</f>
        <v/>
      </c>
      <c r="AD157" s="479" t="n"/>
      <c r="AE157" s="479" t="n"/>
      <c r="AF157" s="38">
        <f>AE157/AD157</f>
        <v/>
      </c>
      <c r="AG157" s="39">
        <f>AD157-AE157</f>
        <v/>
      </c>
      <c r="AH157" s="339" t="n">
        <v>2026.04</v>
      </c>
      <c r="AI157" s="339" t="n"/>
      <c r="AJ157" s="339">
        <f>AI157-AD157</f>
        <v/>
      </c>
      <c r="AK157" s="129">
        <f>(AI157-AD157)/AD157</f>
        <v/>
      </c>
      <c r="AL157" s="29">
        <f>AJ157/AG157</f>
        <v/>
      </c>
      <c r="AM157" s="357" t="n"/>
      <c r="AO157" s="339" t="n"/>
      <c r="AP157" s="339" t="n"/>
      <c r="AQ157" s="339" t="n"/>
      <c r="AR157" s="339" t="n"/>
      <c r="AS157" s="339" t="n"/>
      <c r="AT157" s="339" t="n"/>
      <c r="AU157" s="339" t="n"/>
      <c r="AW157" s="339" t="n"/>
      <c r="AX157" s="339" t="n"/>
      <c r="AY157" s="339" t="n"/>
    </row>
    <row r="158" ht="15.5" customHeight="1" s="139">
      <c r="A158" s="339" t="inlineStr">
        <is>
          <t>병천면</t>
        </is>
      </c>
      <c r="B158" s="164" t="n"/>
      <c r="C158" s="164" t="n"/>
      <c r="D158" s="339" t="n">
        <v>130948</v>
      </c>
      <c r="E158" s="150" t="inlineStr">
        <is>
          <t>부경2단지</t>
        </is>
      </c>
      <c r="F158" s="339" t="n">
        <v>2018.07</v>
      </c>
      <c r="G158" s="339" t="n">
        <v>496</v>
      </c>
      <c r="H158" s="339">
        <f>2026-F158+1</f>
        <v/>
      </c>
      <c r="I158" s="339" t="inlineStr">
        <is>
          <t>73</t>
        </is>
      </c>
      <c r="J158" s="339" t="n">
        <v>73</v>
      </c>
      <c r="K158" s="339" t="n">
        <v>55</v>
      </c>
      <c r="L158" s="339" t="n">
        <v>22</v>
      </c>
      <c r="M158" s="339" t="inlineStr">
        <is>
          <t>계단식</t>
        </is>
      </c>
      <c r="N158" s="339" t="n">
        <v>2</v>
      </c>
      <c r="O158" s="339" t="n">
        <v>2</v>
      </c>
      <c r="P158" s="339" t="n">
        <v>64</v>
      </c>
      <c r="Q158" s="483" t="n"/>
      <c r="R158" s="489" t="inlineStr">
        <is>
          <t>-</t>
        </is>
      </c>
      <c r="S158" s="477">
        <f>Q158-R158</f>
        <v/>
      </c>
      <c r="T158" s="71">
        <f>R158/Q158</f>
        <v/>
      </c>
      <c r="U158" s="484" t="n"/>
      <c r="V158" s="510" t="n"/>
      <c r="W158" s="339" t="inlineStr">
        <is>
          <t>계단식</t>
        </is>
      </c>
      <c r="X158" s="339" t="n">
        <v>2</v>
      </c>
      <c r="Y158" s="339" t="n">
        <v>2</v>
      </c>
      <c r="Z158" s="339" t="n">
        <v>64</v>
      </c>
      <c r="AA158" s="337" t="n"/>
      <c r="AC158" s="37">
        <f>L158</f>
        <v/>
      </c>
      <c r="AD158" s="479" t="n"/>
      <c r="AE158" s="479" t="n"/>
      <c r="AF158" s="38">
        <f>AE158/AD158</f>
        <v/>
      </c>
      <c r="AG158" s="39">
        <f>AD158-AE158</f>
        <v/>
      </c>
      <c r="AH158" s="339" t="n">
        <v>2026.04</v>
      </c>
      <c r="AI158" s="405" t="n"/>
      <c r="AJ158" s="405">
        <f>AI158-AD158</f>
        <v/>
      </c>
      <c r="AK158" s="129">
        <f>(AI158-AD158)/AD158</f>
        <v/>
      </c>
      <c r="AL158" s="29">
        <f>AJ158/AG158</f>
        <v/>
      </c>
      <c r="AM158" s="357" t="n"/>
    </row>
    <row r="159" ht="16" customHeight="1" s="139" thickBot="1">
      <c r="A159" s="132" t="inlineStr">
        <is>
          <t>봉명동</t>
        </is>
      </c>
      <c r="B159" s="88" t="n"/>
      <c r="C159" s="89" t="n"/>
      <c r="D159" s="132" t="n">
        <v>113728</v>
      </c>
      <c r="E159" s="135" t="inlineStr">
        <is>
          <t>봉서산아이파크</t>
        </is>
      </c>
      <c r="F159" s="132" t="n">
        <v>2018.1</v>
      </c>
      <c r="G159" s="132" t="n">
        <v>665</v>
      </c>
      <c r="H159" s="132">
        <f>2026-F159+1</f>
        <v/>
      </c>
      <c r="I159" s="132" t="inlineStr">
        <is>
          <t>72</t>
        </is>
      </c>
      <c r="J159" s="132" t="n">
        <v>72</v>
      </c>
      <c r="K159" s="132" t="n">
        <v>49</v>
      </c>
      <c r="L159" s="132" t="n">
        <v>22</v>
      </c>
      <c r="M159" s="132" t="inlineStr">
        <is>
          <t>계단식</t>
        </is>
      </c>
      <c r="N159" s="132" t="n">
        <v>2</v>
      </c>
      <c r="O159" s="132" t="n">
        <v>1</v>
      </c>
      <c r="P159" s="132" t="n">
        <v>27</v>
      </c>
      <c r="Q159" s="511" t="n"/>
      <c r="R159" s="512" t="inlineStr">
        <is>
          <t>-</t>
        </is>
      </c>
      <c r="S159" s="477">
        <f>Q159-R159</f>
        <v/>
      </c>
      <c r="T159" s="71">
        <f>R159/Q159</f>
        <v/>
      </c>
      <c r="U159" s="513" t="n">
        <v>26200</v>
      </c>
      <c r="V159" s="514" t="n">
        <v>22900</v>
      </c>
      <c r="W159" s="339" t="inlineStr">
        <is>
          <t>계단식</t>
        </is>
      </c>
      <c r="X159" s="339" t="n">
        <v>2</v>
      </c>
      <c r="Y159" s="339" t="n">
        <v>1</v>
      </c>
      <c r="Z159" s="339" t="n">
        <v>27</v>
      </c>
      <c r="AA159" s="133" t="n"/>
      <c r="AB159" s="133" t="n"/>
      <c r="AC159" s="77">
        <f>L159</f>
        <v/>
      </c>
      <c r="AD159" s="482" t="n"/>
      <c r="AE159" s="482" t="n"/>
      <c r="AF159" s="78">
        <f>AE159/AD159</f>
        <v/>
      </c>
      <c r="AG159" s="79">
        <f>AD159-AE159</f>
        <v/>
      </c>
      <c r="AH159" s="339" t="n">
        <v>2026.04</v>
      </c>
      <c r="AI159" s="339" t="n"/>
      <c r="AJ159" s="339">
        <f>AI159-AD159</f>
        <v/>
      </c>
      <c r="AK159" s="129">
        <f>(AI159-AD159)/AD159</f>
        <v/>
      </c>
      <c r="AL159" s="80">
        <f>AJ159/AG159</f>
        <v/>
      </c>
      <c r="AM159" s="141" t="n"/>
      <c r="AN159" s="133" t="n"/>
      <c r="AV159" s="133" t="n"/>
    </row>
    <row r="160" ht="15.5" customHeight="1" s="139">
      <c r="A160" s="132" t="inlineStr">
        <is>
          <t>봉명동</t>
        </is>
      </c>
      <c r="B160" s="88" t="n"/>
      <c r="C160" s="89" t="n"/>
      <c r="D160" s="132" t="n">
        <v>113728</v>
      </c>
      <c r="E160" s="135" t="inlineStr">
        <is>
          <t>봉서산아이파크</t>
        </is>
      </c>
      <c r="F160" s="132" t="n">
        <v>2018.1</v>
      </c>
      <c r="G160" s="132" t="n">
        <v>665</v>
      </c>
      <c r="H160" s="132">
        <f>2026-F160+1</f>
        <v/>
      </c>
      <c r="I160" s="132" t="inlineStr">
        <is>
          <t>143</t>
        </is>
      </c>
      <c r="J160" s="132" t="n">
        <v>143</v>
      </c>
      <c r="K160" s="132" t="n">
        <v>109</v>
      </c>
      <c r="L160" s="132" t="n">
        <v>43</v>
      </c>
      <c r="M160" s="132" t="inlineStr">
        <is>
          <t>계단식</t>
        </is>
      </c>
      <c r="N160" s="132" t="n">
        <v>4</v>
      </c>
      <c r="O160" s="132" t="n">
        <v>2</v>
      </c>
      <c r="P160" s="132" t="n">
        <v>67</v>
      </c>
      <c r="Q160" s="508" t="n"/>
      <c r="R160" s="509" t="inlineStr">
        <is>
          <t>-</t>
        </is>
      </c>
      <c r="S160" s="477">
        <f>Q160-R160</f>
        <v/>
      </c>
      <c r="T160" s="71">
        <f>R160/Q160</f>
        <v/>
      </c>
      <c r="U160" s="502" t="n">
        <v>65000</v>
      </c>
      <c r="V160" s="503" t="n"/>
      <c r="W160" s="339" t="inlineStr">
        <is>
          <t>계단식</t>
        </is>
      </c>
      <c r="X160" s="339" t="n">
        <v>4</v>
      </c>
      <c r="Y160" s="339" t="n">
        <v>2</v>
      </c>
      <c r="Z160" s="339" t="n">
        <v>67</v>
      </c>
      <c r="AA160" s="133" t="n"/>
      <c r="AB160" s="133" t="n"/>
      <c r="AC160" s="77">
        <f>L160</f>
        <v/>
      </c>
      <c r="AD160" s="482" t="n"/>
      <c r="AE160" s="482" t="n"/>
      <c r="AF160" s="78">
        <f>AE160/AD160</f>
        <v/>
      </c>
      <c r="AG160" s="79">
        <f>AD160-AE160</f>
        <v/>
      </c>
      <c r="AH160" s="339" t="n">
        <v>2026.04</v>
      </c>
      <c r="AI160" s="339" t="n"/>
      <c r="AJ160" s="339">
        <f>AI160-AD160</f>
        <v/>
      </c>
      <c r="AK160" s="129">
        <f>(AI160-AD160)/AD160</f>
        <v/>
      </c>
      <c r="AL160" s="80">
        <f>AJ160/AG160</f>
        <v/>
      </c>
      <c r="AM160" s="141" t="n"/>
      <c r="AN160" s="133" t="n"/>
      <c r="AO160" s="339" t="n"/>
      <c r="AP160" s="339" t="n"/>
      <c r="AQ160" s="339" t="n"/>
      <c r="AR160" s="339" t="n"/>
      <c r="AS160" s="339" t="n"/>
      <c r="AT160" s="339" t="n"/>
      <c r="AU160" s="339" t="n"/>
      <c r="AV160" s="133" t="n"/>
      <c r="AW160" s="339" t="n"/>
      <c r="AX160" s="339" t="n"/>
      <c r="AY160" s="339" t="n"/>
    </row>
    <row r="161" ht="15.5" customHeight="1" s="139">
      <c r="A161" s="132" t="inlineStr">
        <is>
          <t>봉명동</t>
        </is>
      </c>
      <c r="B161" s="88" t="n"/>
      <c r="C161" s="89" t="n"/>
      <c r="D161" s="132" t="n">
        <v>137226</v>
      </c>
      <c r="E161" s="135" t="inlineStr">
        <is>
          <t>봉명역센트럴시티</t>
        </is>
      </c>
      <c r="F161" s="132" t="n">
        <v>2025.01</v>
      </c>
      <c r="G161" s="132" t="n">
        <v>816</v>
      </c>
      <c r="H161" s="132">
        <f>2026-F161+1</f>
        <v/>
      </c>
      <c r="I161" s="132" t="inlineStr">
        <is>
          <t>151</t>
        </is>
      </c>
      <c r="J161" s="132" t="n">
        <v>151</v>
      </c>
      <c r="K161" s="132" t="n">
        <v>109</v>
      </c>
      <c r="L161" s="132" t="n">
        <v>46</v>
      </c>
      <c r="M161" s="132" t="inlineStr">
        <is>
          <t>계단식</t>
        </is>
      </c>
      <c r="N161" s="132" t="n">
        <v>4</v>
      </c>
      <c r="O161" s="132" t="n">
        <v>2</v>
      </c>
      <c r="P161" s="132" t="n">
        <v>5</v>
      </c>
      <c r="Q161" s="480" t="n"/>
      <c r="R161" s="488" t="inlineStr">
        <is>
          <t>-</t>
        </is>
      </c>
      <c r="S161" s="477">
        <f>Q161-R161</f>
        <v/>
      </c>
      <c r="T161" s="71">
        <f>R161/Q161</f>
        <v/>
      </c>
      <c r="U161" s="481" t="n"/>
      <c r="V161" s="494" t="n"/>
      <c r="W161" s="339" t="inlineStr">
        <is>
          <t>계단식</t>
        </is>
      </c>
      <c r="X161" s="339" t="n">
        <v>4</v>
      </c>
      <c r="Y161" s="339" t="n">
        <v>2</v>
      </c>
      <c r="Z161" s="339" t="n">
        <v>5</v>
      </c>
      <c r="AA161" s="133" t="n"/>
      <c r="AB161" s="133" t="n"/>
      <c r="AC161" s="77">
        <f>L161</f>
        <v/>
      </c>
      <c r="AD161" s="482" t="n"/>
      <c r="AE161" s="482" t="n"/>
      <c r="AF161" s="78">
        <f>AE161/AD161</f>
        <v/>
      </c>
      <c r="AG161" s="79">
        <f>AD161-AE161</f>
        <v/>
      </c>
      <c r="AH161" s="339" t="n">
        <v>2026.04</v>
      </c>
      <c r="AI161" s="339" t="n"/>
      <c r="AJ161" s="339">
        <f>AI161-AD161</f>
        <v/>
      </c>
      <c r="AK161" s="129">
        <f>(AI161-AD161)/AD161</f>
        <v/>
      </c>
      <c r="AL161" s="80">
        <f>AJ161/AG161</f>
        <v/>
      </c>
      <c r="AM161" s="141" t="n"/>
      <c r="AN161" s="133" t="n"/>
      <c r="AV161" s="133" t="n"/>
    </row>
    <row r="162" ht="15.5" customHeight="1" s="139">
      <c r="A162" s="132" t="inlineStr">
        <is>
          <t>봉명동</t>
        </is>
      </c>
      <c r="B162" s="133" t="n"/>
      <c r="C162" s="133" t="n"/>
      <c r="D162" s="132" t="n">
        <v>137226</v>
      </c>
      <c r="E162" s="135" t="inlineStr">
        <is>
          <t>봉명역센트럴시티</t>
        </is>
      </c>
      <c r="F162" s="132" t="n">
        <v>2025.01</v>
      </c>
      <c r="G162" s="132" t="n">
        <v>816</v>
      </c>
      <c r="H162" s="132">
        <f>2026-F162+1</f>
        <v/>
      </c>
      <c r="I162" s="132" t="inlineStr">
        <is>
          <t>172</t>
        </is>
      </c>
      <c r="J162" s="132" t="n">
        <v>172</v>
      </c>
      <c r="K162" s="132" t="n">
        <v>126</v>
      </c>
      <c r="L162" s="132" t="n">
        <v>52</v>
      </c>
      <c r="M162" s="132" t="inlineStr">
        <is>
          <t>계단식</t>
        </is>
      </c>
      <c r="N162" s="132" t="n">
        <v>5</v>
      </c>
      <c r="O162" s="132" t="n">
        <v>3</v>
      </c>
      <c r="P162" s="132" t="n">
        <v>4</v>
      </c>
      <c r="Q162" s="480" t="n"/>
      <c r="R162" s="488" t="inlineStr">
        <is>
          <t>-</t>
        </is>
      </c>
      <c r="S162" s="477">
        <f>Q162-R162</f>
        <v/>
      </c>
      <c r="T162" s="71">
        <f>R162/Q162</f>
        <v/>
      </c>
      <c r="U162" s="481" t="n"/>
      <c r="V162" s="494" t="n"/>
      <c r="W162" s="339" t="inlineStr">
        <is>
          <t>계단식</t>
        </is>
      </c>
      <c r="X162" s="339" t="n">
        <v>5</v>
      </c>
      <c r="Y162" s="339" t="n">
        <v>3</v>
      </c>
      <c r="Z162" s="339" t="n">
        <v>4</v>
      </c>
      <c r="AA162" s="133" t="n"/>
      <c r="AB162" s="133" t="n"/>
      <c r="AC162" s="77">
        <f>L162</f>
        <v/>
      </c>
      <c r="AD162" s="482" t="n"/>
      <c r="AE162" s="482" t="n"/>
      <c r="AF162" s="78">
        <f>AE162/AD162</f>
        <v/>
      </c>
      <c r="AG162" s="79">
        <f>AD162-AE162</f>
        <v/>
      </c>
      <c r="AH162" s="339" t="n">
        <v>2026.04</v>
      </c>
      <c r="AI162" s="339" t="n"/>
      <c r="AJ162" s="339">
        <f>AI162-AD162</f>
        <v/>
      </c>
      <c r="AK162" s="129">
        <f>(AI162-AD162)/AD162</f>
        <v/>
      </c>
      <c r="AL162" s="80">
        <f>AJ162/AG162</f>
        <v/>
      </c>
      <c r="AM162" s="141" t="n"/>
      <c r="AN162" s="133" t="n"/>
      <c r="AV162" s="133" t="n"/>
    </row>
    <row r="163" ht="15.5" customHeight="1" s="139">
      <c r="A163" s="132" t="inlineStr">
        <is>
          <t>봉명동</t>
        </is>
      </c>
      <c r="B163" s="133" t="n"/>
      <c r="C163" s="133" t="n"/>
      <c r="D163" s="132" t="n">
        <v>113728</v>
      </c>
      <c r="E163" s="135" t="inlineStr">
        <is>
          <t>봉서산아이파크</t>
        </is>
      </c>
      <c r="F163" s="132" t="n">
        <v>2018.1</v>
      </c>
      <c r="G163" s="132" t="n">
        <v>665</v>
      </c>
      <c r="H163" s="132">
        <f>2026-F163+1</f>
        <v/>
      </c>
      <c r="I163" s="132" t="inlineStr">
        <is>
          <t>58</t>
        </is>
      </c>
      <c r="J163" s="132" t="n">
        <v>58</v>
      </c>
      <c r="K163" s="132" t="n">
        <v>39</v>
      </c>
      <c r="L163" s="132" t="n">
        <v>18</v>
      </c>
      <c r="M163" s="132" t="inlineStr">
        <is>
          <t>계단식</t>
        </is>
      </c>
      <c r="N163" s="132" t="n">
        <v>1</v>
      </c>
      <c r="O163" s="132" t="n">
        <v>1</v>
      </c>
      <c r="P163" s="132" t="n">
        <v>25</v>
      </c>
      <c r="Q163" s="480" t="n"/>
      <c r="R163" s="488" t="inlineStr">
        <is>
          <t>-</t>
        </is>
      </c>
      <c r="S163" s="477">
        <f>Q163-R163</f>
        <v/>
      </c>
      <c r="T163" s="71">
        <f>R163/Q163</f>
        <v/>
      </c>
      <c r="U163" s="481" t="n">
        <v>19500</v>
      </c>
      <c r="V163" s="494" t="n">
        <v>15500</v>
      </c>
      <c r="W163" s="339" t="inlineStr">
        <is>
          <t>계단식</t>
        </is>
      </c>
      <c r="X163" s="339" t="n">
        <v>1</v>
      </c>
      <c r="Y163" s="339" t="n">
        <v>1</v>
      </c>
      <c r="Z163" s="339" t="n">
        <v>25</v>
      </c>
      <c r="AA163" s="133" t="n">
        <v>2022.08</v>
      </c>
      <c r="AB163" s="133" t="n">
        <v>0.06</v>
      </c>
      <c r="AC163" s="77">
        <f>L163</f>
        <v/>
      </c>
      <c r="AD163" s="482" t="n">
        <v>19500</v>
      </c>
      <c r="AE163" s="482" t="n">
        <v>16000</v>
      </c>
      <c r="AF163" s="78">
        <f>AE163/AD163</f>
        <v/>
      </c>
      <c r="AG163" s="79">
        <f>AD163-AE163</f>
        <v/>
      </c>
      <c r="AH163" s="339" t="n">
        <v>2026.04</v>
      </c>
      <c r="AI163" s="339" t="n"/>
      <c r="AJ163" s="339">
        <f>AI163-AD163</f>
        <v/>
      </c>
      <c r="AK163" s="129">
        <f>(AI163-AD163)/AD163</f>
        <v/>
      </c>
      <c r="AL163" s="80">
        <f>AJ163/AG163</f>
        <v/>
      </c>
      <c r="AM163" s="141" t="n"/>
      <c r="AN163" s="133" t="n"/>
      <c r="AO163" s="339" t="n"/>
      <c r="AP163" s="339" t="n"/>
      <c r="AQ163" s="339" t="n"/>
      <c r="AR163" s="339" t="n"/>
      <c r="AS163" s="339" t="n"/>
      <c r="AT163" s="339" t="n"/>
      <c r="AU163" s="339" t="n"/>
      <c r="AV163" s="133" t="n"/>
      <c r="AW163" s="339" t="n"/>
      <c r="AX163" s="339" t="n"/>
      <c r="AY163" s="339" t="n"/>
    </row>
    <row r="164" ht="15.5" customHeight="1" s="139">
      <c r="A164" s="339" t="inlineStr">
        <is>
          <t>북면</t>
        </is>
      </c>
      <c r="B164" s="164" t="n"/>
      <c r="C164" s="164" t="n"/>
      <c r="D164" s="339" t="n">
        <v>25001</v>
      </c>
      <c r="E164" s="150" t="inlineStr">
        <is>
          <t>중앙</t>
        </is>
      </c>
      <c r="F164" s="339" t="n">
        <v>1998.02</v>
      </c>
      <c r="G164" s="339" t="n">
        <v>924</v>
      </c>
      <c r="H164" s="339">
        <f>2026-F164+1</f>
        <v/>
      </c>
      <c r="I164" s="339" t="inlineStr">
        <is>
          <t>80</t>
        </is>
      </c>
      <c r="J164" s="339" t="n">
        <v>80</v>
      </c>
      <c r="K164" s="339" t="n">
        <v>55</v>
      </c>
      <c r="L164" s="339" t="n">
        <v>24</v>
      </c>
      <c r="M164" s="339" t="inlineStr">
        <is>
          <t>계단식</t>
        </is>
      </c>
      <c r="N164" s="339" t="n">
        <v>3</v>
      </c>
      <c r="O164" s="339" t="n">
        <v>1</v>
      </c>
      <c r="P164" s="339" t="n">
        <v>294</v>
      </c>
      <c r="Q164" s="483" t="n"/>
      <c r="R164" s="489" t="inlineStr">
        <is>
          <t>-</t>
        </is>
      </c>
      <c r="S164" s="477">
        <f>Q164-R164</f>
        <v/>
      </c>
      <c r="T164" s="71">
        <f>R164/Q164</f>
        <v/>
      </c>
      <c r="U164" s="484" t="n">
        <v>8100</v>
      </c>
      <c r="V164" s="510" t="n">
        <v>5000</v>
      </c>
      <c r="W164" s="339" t="inlineStr">
        <is>
          <t>계단식</t>
        </is>
      </c>
      <c r="X164" s="339" t="n">
        <v>3</v>
      </c>
      <c r="Y164" s="339" t="n">
        <v>1</v>
      </c>
      <c r="Z164" s="339" t="n">
        <v>294</v>
      </c>
      <c r="AC164" s="37">
        <f>L164</f>
        <v/>
      </c>
      <c r="AD164" s="479" t="n"/>
      <c r="AE164" s="479" t="n"/>
      <c r="AF164" s="38">
        <f>AE164/AD164</f>
        <v/>
      </c>
      <c r="AG164" s="39">
        <f>AD164-AE164</f>
        <v/>
      </c>
      <c r="AH164" s="339" t="n">
        <v>2026.04</v>
      </c>
      <c r="AI164" s="339" t="n"/>
      <c r="AJ164" s="339">
        <f>AI164-AD164</f>
        <v/>
      </c>
      <c r="AK164" s="129">
        <f>(AI164-AD164)/AD164</f>
        <v/>
      </c>
      <c r="AL164" s="29">
        <f>AJ164/AG164</f>
        <v/>
      </c>
      <c r="AM164" s="357" t="n"/>
      <c r="AO164" s="339" t="n"/>
      <c r="AP164" s="339" t="n"/>
      <c r="AQ164" s="339" t="n"/>
      <c r="AR164" s="339" t="n"/>
      <c r="AS164" s="339" t="n"/>
      <c r="AT164" s="339" t="n"/>
      <c r="AU164" s="339" t="n"/>
      <c r="AW164" s="339" t="n"/>
      <c r="AX164" s="339" t="n"/>
      <c r="AY164" s="339" t="n"/>
    </row>
    <row r="165" ht="15.5" customHeight="1" s="139">
      <c r="A165" s="339" t="inlineStr">
        <is>
          <t>북면</t>
        </is>
      </c>
      <c r="B165" s="164" t="n"/>
      <c r="C165" s="164" t="n"/>
      <c r="D165" s="339" t="n">
        <v>25001</v>
      </c>
      <c r="E165" s="150" t="inlineStr">
        <is>
          <t>중앙</t>
        </is>
      </c>
      <c r="F165" s="339" t="n">
        <v>1998.02</v>
      </c>
      <c r="G165" s="339" t="n">
        <v>924</v>
      </c>
      <c r="H165" s="339">
        <f>2026-F165+1</f>
        <v/>
      </c>
      <c r="I165" s="339" t="inlineStr">
        <is>
          <t>56</t>
        </is>
      </c>
      <c r="J165" s="339" t="n">
        <v>56</v>
      </c>
      <c r="K165" s="339" t="n">
        <v>39</v>
      </c>
      <c r="L165" s="339" t="n">
        <v>17</v>
      </c>
      <c r="M165" s="339" t="inlineStr">
        <is>
          <t>계단식</t>
        </is>
      </c>
      <c r="N165" s="339" t="n">
        <v>2</v>
      </c>
      <c r="O165" s="339" t="n">
        <v>1</v>
      </c>
      <c r="P165" s="339" t="n">
        <v>280</v>
      </c>
      <c r="Q165" s="483" t="n"/>
      <c r="R165" s="489" t="inlineStr">
        <is>
          <t>-</t>
        </is>
      </c>
      <c r="S165" s="477">
        <f>Q165-R165</f>
        <v/>
      </c>
      <c r="T165" s="71">
        <f>R165/Q165</f>
        <v/>
      </c>
      <c r="U165" s="484" t="n">
        <v>4500</v>
      </c>
      <c r="V165" s="510" t="n">
        <v>2800</v>
      </c>
      <c r="W165" s="339" t="inlineStr">
        <is>
          <t>계단식</t>
        </is>
      </c>
      <c r="X165" s="339" t="n">
        <v>2</v>
      </c>
      <c r="Y165" s="339" t="n">
        <v>1</v>
      </c>
      <c r="Z165" s="339" t="n">
        <v>280</v>
      </c>
      <c r="AA165" s="339" t="n">
        <v>2021.02</v>
      </c>
      <c r="AB165" s="339" t="n">
        <v>0.04</v>
      </c>
      <c r="AC165" s="37">
        <f>L165</f>
        <v/>
      </c>
      <c r="AD165" s="479" t="n">
        <v>2345</v>
      </c>
      <c r="AE165" s="479" t="n">
        <v>1900</v>
      </c>
      <c r="AF165" s="38">
        <f>AE165/AD165</f>
        <v/>
      </c>
      <c r="AG165" s="39">
        <f>AD165-AE165</f>
        <v/>
      </c>
      <c r="AH165" s="339" t="n">
        <v>2026.04</v>
      </c>
      <c r="AI165" s="339" t="n"/>
      <c r="AJ165" s="339">
        <f>AI165-AD165</f>
        <v/>
      </c>
      <c r="AK165" s="129">
        <f>(AI165-AD165)/AD165</f>
        <v/>
      </c>
      <c r="AL165" s="29">
        <f>AJ165/AG165</f>
        <v/>
      </c>
      <c r="AM165" s="357" t="n"/>
    </row>
    <row r="166" ht="16" customHeight="1" s="139" thickBot="1">
      <c r="A166" s="339" t="inlineStr">
        <is>
          <t>북면</t>
        </is>
      </c>
      <c r="B166" s="164" t="n"/>
      <c r="C166" s="164" t="n"/>
      <c r="D166" s="339" t="n">
        <v>25001</v>
      </c>
      <c r="E166" s="150" t="inlineStr">
        <is>
          <t>중앙</t>
        </is>
      </c>
      <c r="F166" s="339" t="n">
        <v>1998.02</v>
      </c>
      <c r="G166" s="339" t="n">
        <v>924</v>
      </c>
      <c r="H166" s="339">
        <f>2026-F166+1</f>
        <v/>
      </c>
      <c r="I166" s="339" t="inlineStr">
        <is>
          <t>68</t>
        </is>
      </c>
      <c r="J166" s="339" t="n">
        <v>68</v>
      </c>
      <c r="K166" s="339" t="n">
        <v>47</v>
      </c>
      <c r="L166" s="339" t="n">
        <v>21</v>
      </c>
      <c r="M166" s="339" t="inlineStr">
        <is>
          <t>계단식</t>
        </is>
      </c>
      <c r="N166" s="339" t="n">
        <v>3</v>
      </c>
      <c r="O166" s="339" t="n">
        <v>1</v>
      </c>
      <c r="P166" s="339" t="n">
        <v>350</v>
      </c>
      <c r="Q166" s="495" t="n"/>
      <c r="R166" s="501" t="inlineStr">
        <is>
          <t>-</t>
        </is>
      </c>
      <c r="S166" s="477">
        <f>Q166-R166</f>
        <v/>
      </c>
      <c r="T166" s="71">
        <f>R166/Q166</f>
        <v/>
      </c>
      <c r="U166" s="496" t="n">
        <v>6000</v>
      </c>
      <c r="V166" s="497" t="n">
        <v>3000</v>
      </c>
      <c r="W166" s="339" t="inlineStr">
        <is>
          <t>계단식</t>
        </is>
      </c>
      <c r="X166" s="339" t="n">
        <v>3</v>
      </c>
      <c r="Y166" s="339" t="n">
        <v>1</v>
      </c>
      <c r="Z166" s="339" t="n">
        <v>350</v>
      </c>
      <c r="AA166" s="339" t="n">
        <v>2021.06</v>
      </c>
      <c r="AB166" s="339" t="n">
        <v>0.01</v>
      </c>
      <c r="AC166" s="37">
        <f>L166</f>
        <v/>
      </c>
      <c r="AD166" s="479" t="n">
        <v>3590</v>
      </c>
      <c r="AE166" s="479" t="n">
        <v>3167</v>
      </c>
      <c r="AF166" s="38">
        <f>AE166/AD166</f>
        <v/>
      </c>
      <c r="AG166" s="39">
        <f>AD166-AE166</f>
        <v/>
      </c>
      <c r="AH166" s="339" t="n">
        <v>2026.04</v>
      </c>
      <c r="AI166" s="339" t="n"/>
      <c r="AJ166" s="339">
        <f>AI166-AD166</f>
        <v/>
      </c>
      <c r="AK166" s="129">
        <f>(AI166-AD166)/AD166</f>
        <v/>
      </c>
      <c r="AL166" s="29">
        <f>AJ166/AG166</f>
        <v/>
      </c>
      <c r="AM166" s="357" t="n"/>
    </row>
    <row r="167" ht="15.5" customHeight="1" s="139">
      <c r="A167" s="132" t="inlineStr">
        <is>
          <t>삼룡동</t>
        </is>
      </c>
      <c r="B167" s="133" t="n"/>
      <c r="C167" s="133" t="n"/>
      <c r="D167" s="132" t="n">
        <v>146718</v>
      </c>
      <c r="E167" s="135" t="inlineStr">
        <is>
          <t>호반써밋포레센트</t>
        </is>
      </c>
      <c r="F167" s="132" t="n">
        <v>2023.12</v>
      </c>
      <c r="G167" s="132" t="n">
        <v>594</v>
      </c>
      <c r="H167" s="132">
        <f>2026-F167+1</f>
        <v/>
      </c>
      <c r="I167" s="132" t="inlineStr">
        <is>
          <t>171</t>
        </is>
      </c>
      <c r="J167" s="132" t="n">
        <v>171</v>
      </c>
      <c r="K167" s="132" t="n">
        <v>129</v>
      </c>
      <c r="L167" s="132" t="n">
        <v>52</v>
      </c>
      <c r="M167" s="132" t="inlineStr">
        <is>
          <t>계단식</t>
        </is>
      </c>
      <c r="N167" s="132" t="n">
        <v>3</v>
      </c>
      <c r="O167" s="132" t="n">
        <v>2</v>
      </c>
      <c r="P167" s="132" t="n">
        <v>2</v>
      </c>
      <c r="Q167" s="508" t="n"/>
      <c r="R167" s="509" t="inlineStr">
        <is>
          <t>-</t>
        </is>
      </c>
      <c r="S167" s="477">
        <f>Q167-R167</f>
        <v/>
      </c>
      <c r="T167" s="71">
        <f>R167/Q167</f>
        <v/>
      </c>
      <c r="U167" s="502" t="n"/>
      <c r="V167" s="503" t="n"/>
      <c r="W167" s="339" t="inlineStr">
        <is>
          <t>계단식</t>
        </is>
      </c>
      <c r="X167" s="339" t="n">
        <v>3</v>
      </c>
      <c r="Y167" s="339" t="n">
        <v>2</v>
      </c>
      <c r="Z167" s="339" t="n">
        <v>2</v>
      </c>
      <c r="AA167" s="133" t="n"/>
      <c r="AB167" s="133" t="n"/>
      <c r="AC167" s="77">
        <f>L167</f>
        <v/>
      </c>
      <c r="AD167" s="482" t="n"/>
      <c r="AE167" s="482" t="n"/>
      <c r="AF167" s="78">
        <f>AE167/AD167</f>
        <v/>
      </c>
      <c r="AG167" s="79">
        <f>AD167-AE167</f>
        <v/>
      </c>
      <c r="AH167" s="339" t="n">
        <v>2026.04</v>
      </c>
      <c r="AI167" s="339" t="n"/>
      <c r="AJ167" s="339">
        <f>AI167-AD167</f>
        <v/>
      </c>
      <c r="AK167" s="129">
        <f>(AI167-AD167)/AD167</f>
        <v/>
      </c>
      <c r="AL167" s="80">
        <f>AJ167/AG167</f>
        <v/>
      </c>
      <c r="AM167" s="141" t="n"/>
      <c r="AN167" s="133" t="n"/>
      <c r="AV167" s="133" t="n"/>
    </row>
    <row r="168" ht="16" customHeight="1" s="139" thickBot="1">
      <c r="A168" s="132" t="inlineStr">
        <is>
          <t>삼룡동</t>
        </is>
      </c>
      <c r="B168" s="133" t="n"/>
      <c r="C168" s="133" t="n"/>
      <c r="D168" s="132" t="n">
        <v>146718</v>
      </c>
      <c r="E168" s="135" t="inlineStr">
        <is>
          <t>호반써밋포레센트</t>
        </is>
      </c>
      <c r="F168" s="132" t="n">
        <v>2023.12</v>
      </c>
      <c r="G168" s="132" t="n">
        <v>594</v>
      </c>
      <c r="H168" s="132">
        <f>2026-F168+1</f>
        <v/>
      </c>
      <c r="I168" s="132" t="inlineStr">
        <is>
          <t>188</t>
        </is>
      </c>
      <c r="J168" s="132" t="n">
        <v>188</v>
      </c>
      <c r="K168" s="132" t="n">
        <v>144</v>
      </c>
      <c r="L168" s="132" t="n">
        <v>57</v>
      </c>
      <c r="M168" s="132" t="inlineStr">
        <is>
          <t>계단식</t>
        </is>
      </c>
      <c r="N168" s="132" t="n">
        <v>3</v>
      </c>
      <c r="O168" s="132" t="n">
        <v>2</v>
      </c>
      <c r="P168" s="132" t="n">
        <v>2</v>
      </c>
      <c r="Q168" s="511" t="n"/>
      <c r="R168" s="512" t="inlineStr">
        <is>
          <t>-</t>
        </is>
      </c>
      <c r="S168" s="477">
        <f>Q168-R168</f>
        <v/>
      </c>
      <c r="T168" s="71">
        <f>R168/Q168</f>
        <v/>
      </c>
      <c r="U168" s="513" t="n"/>
      <c r="V168" s="514" t="n"/>
      <c r="W168" s="339" t="inlineStr">
        <is>
          <t>계단식</t>
        </is>
      </c>
      <c r="X168" s="339" t="n">
        <v>3</v>
      </c>
      <c r="Y168" s="339" t="n">
        <v>2</v>
      </c>
      <c r="Z168" s="339" t="n">
        <v>2</v>
      </c>
      <c r="AA168" s="144" t="n"/>
      <c r="AB168" s="133" t="n"/>
      <c r="AC168" s="77">
        <f>L168</f>
        <v/>
      </c>
      <c r="AD168" s="482" t="n"/>
      <c r="AE168" s="482" t="n"/>
      <c r="AF168" s="78">
        <f>AE168/AD168</f>
        <v/>
      </c>
      <c r="AG168" s="79">
        <f>AD168-AE168</f>
        <v/>
      </c>
      <c r="AH168" s="339" t="n">
        <v>2026.04</v>
      </c>
      <c r="AI168" s="405" t="n"/>
      <c r="AJ168" s="405">
        <f>AI168-AD168</f>
        <v/>
      </c>
      <c r="AK168" s="129">
        <f>(AI168-AD168)/AD168</f>
        <v/>
      </c>
      <c r="AL168" s="80">
        <f>AJ168/AG168</f>
        <v/>
      </c>
      <c r="AM168" s="141" t="n"/>
      <c r="AN168" s="83" t="n"/>
      <c r="AV168" s="133" t="n"/>
    </row>
    <row r="169" ht="15.5" customHeight="1" s="139">
      <c r="A169" s="132" t="inlineStr">
        <is>
          <t>신방동</t>
        </is>
      </c>
      <c r="B169" s="88" t="n"/>
      <c r="C169" s="89" t="n"/>
      <c r="D169" s="132" t="n">
        <v>13543</v>
      </c>
      <c r="E169" s="135" t="inlineStr">
        <is>
          <t>초원그린타운</t>
        </is>
      </c>
      <c r="F169" s="132" t="n">
        <v>1998.12</v>
      </c>
      <c r="G169" s="132" t="n">
        <v>4168</v>
      </c>
      <c r="H169" s="132">
        <f>2026-F169+1</f>
        <v/>
      </c>
      <c r="I169" s="132" t="inlineStr">
        <is>
          <t>55</t>
        </is>
      </c>
      <c r="J169" s="132" t="n">
        <v>55</v>
      </c>
      <c r="K169" s="132" t="n">
        <v>39</v>
      </c>
      <c r="L169" s="132" t="n">
        <v>17</v>
      </c>
      <c r="M169" s="132" t="inlineStr">
        <is>
          <t>복도식</t>
        </is>
      </c>
      <c r="N169" s="132" t="n">
        <v>2</v>
      </c>
      <c r="O169" s="132" t="n">
        <v>1</v>
      </c>
      <c r="P169" s="132" t="n">
        <v>4168</v>
      </c>
      <c r="Q169" s="508" t="n"/>
      <c r="R169" s="509" t="inlineStr">
        <is>
          <t>-</t>
        </is>
      </c>
      <c r="S169" s="477">
        <f>Q169-R169</f>
        <v/>
      </c>
      <c r="T169" s="71">
        <f>R169/Q169</f>
        <v/>
      </c>
      <c r="U169" s="502" t="n">
        <v>10000</v>
      </c>
      <c r="V169" s="503" t="n">
        <v>5000</v>
      </c>
      <c r="W169" s="339" t="inlineStr">
        <is>
          <t>복도식</t>
        </is>
      </c>
      <c r="X169" s="339" t="n">
        <v>2</v>
      </c>
      <c r="Y169" s="339" t="n">
        <v>1</v>
      </c>
      <c r="Z169" s="339" t="n">
        <v>4168</v>
      </c>
      <c r="AA169" s="133" t="n"/>
      <c r="AB169" s="133" t="n"/>
      <c r="AC169" s="77">
        <f>L169</f>
        <v/>
      </c>
      <c r="AD169" s="482" t="n"/>
      <c r="AE169" s="482" t="n"/>
      <c r="AF169" s="78">
        <f>AE169/AD169</f>
        <v/>
      </c>
      <c r="AG169" s="79">
        <f>AD169-AE169</f>
        <v/>
      </c>
      <c r="AH169" s="339" t="n">
        <v>2026.04</v>
      </c>
      <c r="AI169" s="339" t="n"/>
      <c r="AJ169" s="339">
        <f>AI169-AD169</f>
        <v/>
      </c>
      <c r="AK169" s="129">
        <f>(AI169-AD169)/AD169</f>
        <v/>
      </c>
      <c r="AL169" s="80">
        <f>AJ169/AG169</f>
        <v/>
      </c>
      <c r="AM169" s="141" t="n"/>
      <c r="AN169" s="133" t="n"/>
      <c r="AV169" s="132" t="inlineStr">
        <is>
          <t>[공급 영향 심화 버전]</t>
        </is>
      </c>
    </row>
    <row r="170" ht="16" customHeight="1" s="139" thickBot="1">
      <c r="A170" s="132" t="inlineStr">
        <is>
          <t>신방동</t>
        </is>
      </c>
      <c r="B170" s="88" t="n"/>
      <c r="C170" s="89" t="n"/>
      <c r="D170" s="132" t="n">
        <v>100359</v>
      </c>
      <c r="E170" s="135" t="inlineStr">
        <is>
          <t>신방한성필하우스</t>
        </is>
      </c>
      <c r="F170" s="132" t="n">
        <v>2010.06</v>
      </c>
      <c r="G170" s="132" t="n">
        <v>1049</v>
      </c>
      <c r="H170" s="132">
        <f>2026-F170+1</f>
        <v/>
      </c>
      <c r="I170" s="132" t="inlineStr">
        <is>
          <t>177</t>
        </is>
      </c>
      <c r="J170" s="132" t="n">
        <v>177</v>
      </c>
      <c r="K170" s="132" t="n">
        <v>148</v>
      </c>
      <c r="L170" s="132" t="n">
        <v>54</v>
      </c>
      <c r="M170" s="132" t="inlineStr">
        <is>
          <t>계단식</t>
        </is>
      </c>
      <c r="N170" s="132" t="n">
        <v>4</v>
      </c>
      <c r="O170" s="132" t="n">
        <v>2</v>
      </c>
      <c r="P170" s="132" t="n">
        <v>68</v>
      </c>
      <c r="Q170" s="511" t="n"/>
      <c r="R170" s="512" t="inlineStr">
        <is>
          <t>-</t>
        </is>
      </c>
      <c r="S170" s="477">
        <f>Q170-R170</f>
        <v/>
      </c>
      <c r="T170" s="71">
        <f>R170/Q170</f>
        <v/>
      </c>
      <c r="U170" s="513" t="n">
        <v>50200</v>
      </c>
      <c r="V170" s="514" t="n">
        <v>37000</v>
      </c>
      <c r="W170" s="339" t="inlineStr">
        <is>
          <t>계단식</t>
        </is>
      </c>
      <c r="X170" s="339" t="n">
        <v>4</v>
      </c>
      <c r="Y170" s="339" t="n">
        <v>2</v>
      </c>
      <c r="Z170" s="339" t="n">
        <v>68</v>
      </c>
      <c r="AA170" s="144" t="n"/>
      <c r="AB170" s="133" t="n"/>
      <c r="AC170" s="77">
        <f>L170</f>
        <v/>
      </c>
      <c r="AD170" s="482" t="n"/>
      <c r="AE170" s="482" t="n"/>
      <c r="AF170" s="78">
        <f>AE170/AD170</f>
        <v/>
      </c>
      <c r="AG170" s="79">
        <f>AD170-AE170</f>
        <v/>
      </c>
      <c r="AH170" s="339" t="n">
        <v>2026.04</v>
      </c>
      <c r="AI170" s="405" t="n"/>
      <c r="AJ170" s="405">
        <f>AI170-AD170</f>
        <v/>
      </c>
      <c r="AK170" s="129">
        <f>(AI170-AD170)/AD170</f>
        <v/>
      </c>
      <c r="AL170" s="80">
        <f>AJ170/AG170</f>
        <v/>
      </c>
      <c r="AM170" s="141" t="n"/>
      <c r="AN170" s="133" t="n"/>
      <c r="AV170" s="133" t="n"/>
    </row>
    <row r="171" ht="16" customHeight="1" s="139" thickBot="1">
      <c r="A171" s="132" t="inlineStr">
        <is>
          <t>신방동</t>
        </is>
      </c>
      <c r="B171" s="88" t="n"/>
      <c r="C171" s="89" t="n"/>
      <c r="D171" s="132" t="n">
        <v>100359</v>
      </c>
      <c r="E171" s="135" t="inlineStr">
        <is>
          <t>신방한성필하우스</t>
        </is>
      </c>
      <c r="F171" s="132" t="n">
        <v>2010.06</v>
      </c>
      <c r="G171" s="132" t="n">
        <v>1049</v>
      </c>
      <c r="H171" s="132">
        <f>2026-F171+1</f>
        <v/>
      </c>
      <c r="I171" s="132" t="inlineStr">
        <is>
          <t>220</t>
        </is>
      </c>
      <c r="J171" s="132" t="n">
        <v>220</v>
      </c>
      <c r="K171" s="132" t="n">
        <v>168</v>
      </c>
      <c r="L171" s="132" t="n">
        <v>67</v>
      </c>
      <c r="M171" s="132" t="inlineStr">
        <is>
          <t>계단식</t>
        </is>
      </c>
      <c r="N171" s="132" t="n">
        <v>5</v>
      </c>
      <c r="O171" s="132" t="n">
        <v>3</v>
      </c>
      <c r="P171" s="132" t="n">
        <v>3</v>
      </c>
      <c r="Q171" s="508" t="n"/>
      <c r="R171" s="509" t="inlineStr">
        <is>
          <t>-</t>
        </is>
      </c>
      <c r="S171" s="477">
        <f>Q171-R171</f>
        <v/>
      </c>
      <c r="T171" s="71">
        <f>R171/Q171</f>
        <v/>
      </c>
      <c r="U171" s="502" t="n"/>
      <c r="V171" s="503" t="n">
        <v>66000</v>
      </c>
      <c r="W171" s="339" t="inlineStr">
        <is>
          <t>계단식</t>
        </is>
      </c>
      <c r="X171" s="339" t="n">
        <v>5</v>
      </c>
      <c r="Y171" s="339" t="n">
        <v>3</v>
      </c>
      <c r="Z171" s="339" t="n">
        <v>3</v>
      </c>
      <c r="AA171" s="144" t="n"/>
      <c r="AB171" s="133" t="n"/>
      <c r="AC171" s="77">
        <f>L171</f>
        <v/>
      </c>
      <c r="AD171" s="482" t="n"/>
      <c r="AE171" s="482" t="n"/>
      <c r="AF171" s="78">
        <f>AE171/AD171</f>
        <v/>
      </c>
      <c r="AG171" s="79">
        <f>AD171-AE171</f>
        <v/>
      </c>
      <c r="AH171" s="339" t="n">
        <v>2026.04</v>
      </c>
      <c r="AI171" s="405" t="n"/>
      <c r="AJ171" s="405">
        <f>AI171-AD171</f>
        <v/>
      </c>
      <c r="AK171" s="129">
        <f>(AI171-AD171)/AD171</f>
        <v/>
      </c>
      <c r="AL171" s="80">
        <f>AJ171/AG171</f>
        <v/>
      </c>
      <c r="AM171" s="141" t="n"/>
      <c r="AN171" s="133" t="n"/>
      <c r="AO171" s="339" t="n"/>
      <c r="AP171" s="339" t="n"/>
      <c r="AQ171" s="339" t="n"/>
      <c r="AR171" s="339" t="n"/>
      <c r="AS171" s="339" t="n"/>
      <c r="AT171" s="339" t="n"/>
      <c r="AU171" s="339" t="n"/>
      <c r="AV171" s="133" t="n"/>
      <c r="AW171" s="339" t="n"/>
      <c r="AX171" s="339" t="n"/>
      <c r="AY171" s="339" t="n"/>
    </row>
    <row r="172" ht="15.5" customHeight="1" s="139">
      <c r="A172" s="339" t="inlineStr">
        <is>
          <t>신방동</t>
        </is>
      </c>
      <c r="B172" s="164" t="n"/>
      <c r="C172" s="164" t="n"/>
      <c r="D172" s="339" t="n">
        <v>120918</v>
      </c>
      <c r="E172" s="150" t="inlineStr">
        <is>
          <t>천안하나리움아인스파크(민간임대)</t>
        </is>
      </c>
      <c r="F172" s="339" t="n">
        <v>2016.04</v>
      </c>
      <c r="G172" s="339" t="n">
        <v>305</v>
      </c>
      <c r="H172" s="339">
        <f>2026-F172+1</f>
        <v/>
      </c>
      <c r="I172" s="339" t="inlineStr">
        <is>
          <t>83, 85</t>
        </is>
      </c>
      <c r="J172" s="339" t="n">
        <v>83</v>
      </c>
      <c r="K172" s="339" t="n">
        <v>59</v>
      </c>
      <c r="L172" s="339" t="n">
        <v>25</v>
      </c>
      <c r="M172" s="339" t="inlineStr">
        <is>
          <t>계단식</t>
        </is>
      </c>
      <c r="N172" s="339" t="n">
        <v>3</v>
      </c>
      <c r="O172" s="339" t="n">
        <v>2</v>
      </c>
      <c r="P172" s="339" t="n">
        <v>305</v>
      </c>
      <c r="Q172" s="483" t="n"/>
      <c r="R172" s="515" t="inlineStr">
        <is>
          <t>-</t>
        </is>
      </c>
      <c r="S172" s="477">
        <f>Q172-R172</f>
        <v/>
      </c>
      <c r="T172" s="71">
        <f>R172/Q172</f>
        <v/>
      </c>
      <c r="U172" s="484" t="n"/>
      <c r="V172" s="510" t="n"/>
      <c r="W172" s="339" t="inlineStr">
        <is>
          <t>계단식</t>
        </is>
      </c>
      <c r="X172" s="339" t="n">
        <v>3</v>
      </c>
      <c r="Y172" s="339" t="n">
        <v>2</v>
      </c>
      <c r="Z172" s="339" t="n">
        <v>305</v>
      </c>
      <c r="AC172" s="37">
        <f>L172</f>
        <v/>
      </c>
      <c r="AD172" s="479" t="n"/>
      <c r="AE172" s="479" t="n"/>
      <c r="AF172" s="38">
        <f>AE172/AD172</f>
        <v/>
      </c>
      <c r="AG172" s="39">
        <f>AD172-AE172</f>
        <v/>
      </c>
      <c r="AH172" s="339" t="n">
        <v>2026.04</v>
      </c>
      <c r="AI172" s="339" t="n"/>
      <c r="AJ172" s="339">
        <f>AI172-AD172</f>
        <v/>
      </c>
      <c r="AK172" s="129">
        <f>(AI172-AD172)/AD172</f>
        <v/>
      </c>
      <c r="AL172" s="130">
        <f>AJ172/AG172</f>
        <v/>
      </c>
      <c r="AM172" s="357" t="n"/>
      <c r="AO172" s="339" t="n"/>
      <c r="AP172" s="339" t="n"/>
      <c r="AQ172" s="339" t="n"/>
      <c r="AR172" s="339" t="n"/>
      <c r="AS172" s="339" t="n"/>
      <c r="AT172" s="339" t="n"/>
      <c r="AU172" s="339" t="n"/>
      <c r="AW172" s="339" t="n"/>
      <c r="AX172" s="339" t="n"/>
      <c r="AY172" s="339" t="n"/>
    </row>
    <row r="173" ht="15.5" customHeight="1" s="139">
      <c r="A173" s="339" t="inlineStr">
        <is>
          <t>신방동</t>
        </is>
      </c>
      <c r="B173" s="164" t="n"/>
      <c r="C173" s="164" t="n"/>
      <c r="D173" s="339" t="n">
        <v>11266</v>
      </c>
      <c r="E173" s="150" t="inlineStr">
        <is>
          <t>삼일원앙</t>
        </is>
      </c>
      <c r="F173" s="339" t="n">
        <v>1997.08</v>
      </c>
      <c r="G173" s="339" t="n">
        <v>401</v>
      </c>
      <c r="H173" s="339">
        <f>2026-F173+1</f>
        <v/>
      </c>
      <c r="I173" s="339" t="inlineStr">
        <is>
          <t>45</t>
        </is>
      </c>
      <c r="J173" s="339" t="n">
        <v>45</v>
      </c>
      <c r="K173" s="339" t="n">
        <v>30</v>
      </c>
      <c r="L173" s="339" t="n">
        <v>14</v>
      </c>
      <c r="M173" s="339" t="inlineStr">
        <is>
          <t>복도식</t>
        </is>
      </c>
      <c r="N173" s="339" t="n">
        <v>1</v>
      </c>
      <c r="O173" s="339" t="n">
        <v>1</v>
      </c>
      <c r="P173" s="339" t="n">
        <v>59</v>
      </c>
      <c r="Q173" s="483" t="n"/>
      <c r="R173" s="489" t="inlineStr">
        <is>
          <t>-</t>
        </is>
      </c>
      <c r="S173" s="477">
        <f>Q173-R173</f>
        <v/>
      </c>
      <c r="T173" s="71">
        <f>R173/Q173</f>
        <v/>
      </c>
      <c r="U173" s="484" t="n">
        <v>5700</v>
      </c>
      <c r="V173" s="510" t="n">
        <v>5000</v>
      </c>
      <c r="W173" s="339" t="inlineStr">
        <is>
          <t>복도식</t>
        </is>
      </c>
      <c r="X173" s="339" t="n">
        <v>1</v>
      </c>
      <c r="Y173" s="339" t="n">
        <v>1</v>
      </c>
      <c r="Z173" s="339" t="n">
        <v>59</v>
      </c>
      <c r="AA173" s="337" t="n">
        <v>2020.07</v>
      </c>
      <c r="AB173" s="339" t="n">
        <v>1</v>
      </c>
      <c r="AC173" s="37">
        <f>L173</f>
        <v/>
      </c>
      <c r="AD173" s="479" t="n">
        <v>4300</v>
      </c>
      <c r="AE173" s="479" t="n">
        <v>4400</v>
      </c>
      <c r="AF173" s="38">
        <f>AE173/AD173</f>
        <v/>
      </c>
      <c r="AG173" s="39">
        <f>AD173-AE173</f>
        <v/>
      </c>
      <c r="AH173" s="339" t="n">
        <v>2026.04</v>
      </c>
      <c r="AI173" s="405" t="n"/>
      <c r="AJ173" s="405">
        <f>AI173-AD173</f>
        <v/>
      </c>
      <c r="AK173" s="129">
        <f>(AI173-AD173)/AD173</f>
        <v/>
      </c>
      <c r="AL173" s="29">
        <f>AJ173/AG173</f>
        <v/>
      </c>
      <c r="AM173" s="357" t="n"/>
    </row>
    <row r="174" ht="15.5" customHeight="1" s="139">
      <c r="A174" s="339" t="inlineStr">
        <is>
          <t>신방동</t>
        </is>
      </c>
      <c r="B174" s="164" t="n"/>
      <c r="C174" s="164" t="n"/>
      <c r="D174" s="339" t="n">
        <v>11266</v>
      </c>
      <c r="E174" s="150" t="inlineStr">
        <is>
          <t>삼일원앙</t>
        </is>
      </c>
      <c r="F174" s="339" t="n">
        <v>1997.08</v>
      </c>
      <c r="G174" s="339" t="n">
        <v>401</v>
      </c>
      <c r="H174" s="339">
        <f>2026-F174+1</f>
        <v/>
      </c>
      <c r="I174" s="339" t="inlineStr">
        <is>
          <t>41</t>
        </is>
      </c>
      <c r="J174" s="339" t="n">
        <v>41</v>
      </c>
      <c r="K174" s="339" t="n">
        <v>28</v>
      </c>
      <c r="L174" s="339" t="n">
        <v>12</v>
      </c>
      <c r="M174" s="339" t="inlineStr">
        <is>
          <t>복도식</t>
        </is>
      </c>
      <c r="N174" s="339" t="n">
        <v>1</v>
      </c>
      <c r="O174" s="339" t="n">
        <v>1</v>
      </c>
      <c r="P174" s="339" t="n">
        <v>284</v>
      </c>
      <c r="Q174" s="483" t="n"/>
      <c r="R174" s="489" t="inlineStr">
        <is>
          <t>-</t>
        </is>
      </c>
      <c r="S174" s="477">
        <f>Q174-R174</f>
        <v/>
      </c>
      <c r="T174" s="71">
        <f>R174/Q174</f>
        <v/>
      </c>
      <c r="U174" s="484" t="n">
        <v>5800</v>
      </c>
      <c r="V174" s="510" t="n">
        <v>4100</v>
      </c>
      <c r="W174" s="339" t="inlineStr">
        <is>
          <t>복도식</t>
        </is>
      </c>
      <c r="X174" s="339" t="n">
        <v>1</v>
      </c>
      <c r="Y174" s="339" t="n">
        <v>1</v>
      </c>
      <c r="Z174" s="339" t="n">
        <v>284</v>
      </c>
      <c r="AA174" s="337" t="n">
        <v>2018.01</v>
      </c>
      <c r="AB174" s="339" t="n">
        <v>0.02</v>
      </c>
      <c r="AC174" s="37">
        <f>L174</f>
        <v/>
      </c>
      <c r="AD174" s="479" t="n">
        <v>5400</v>
      </c>
      <c r="AE174" s="479" t="n">
        <v>4500</v>
      </c>
      <c r="AF174" s="38">
        <f>AE174/AD174</f>
        <v/>
      </c>
      <c r="AG174" s="39">
        <f>AD174-AE174</f>
        <v/>
      </c>
      <c r="AH174" s="339" t="n">
        <v>2026.04</v>
      </c>
      <c r="AI174" s="405" t="n"/>
      <c r="AJ174" s="405">
        <f>AI174-AD174</f>
        <v/>
      </c>
      <c r="AK174" s="129">
        <f>(AI174-AD174)/AD174</f>
        <v/>
      </c>
      <c r="AL174" s="29">
        <f>AJ174/AG174</f>
        <v/>
      </c>
      <c r="AM174" s="357" t="n"/>
      <c r="AO174" s="339" t="n"/>
      <c r="AP174" s="339" t="n"/>
      <c r="AQ174" s="339" t="n"/>
      <c r="AR174" s="339" t="n"/>
      <c r="AS174" s="339" t="n"/>
      <c r="AT174" s="339" t="n"/>
      <c r="AU174" s="339" t="n"/>
      <c r="AW174" s="339" t="n"/>
      <c r="AX174" s="339" t="n"/>
      <c r="AY174" s="339" t="n"/>
    </row>
    <row r="175" ht="15.5" customHeight="1" s="139">
      <c r="A175" s="339" t="inlineStr">
        <is>
          <t>신방동</t>
        </is>
      </c>
      <c r="B175" s="164" t="n"/>
      <c r="C175" s="164" t="n"/>
      <c r="D175" s="339" t="n">
        <v>11266</v>
      </c>
      <c r="E175" s="150" t="inlineStr">
        <is>
          <t>삼일원앙</t>
        </is>
      </c>
      <c r="F175" s="339" t="n">
        <v>1997.08</v>
      </c>
      <c r="G175" s="339" t="n">
        <v>401</v>
      </c>
      <c r="H175" s="339">
        <f>2026-F175+1</f>
        <v/>
      </c>
      <c r="I175" s="339" t="inlineStr">
        <is>
          <t>57</t>
        </is>
      </c>
      <c r="J175" s="339" t="n">
        <v>57</v>
      </c>
      <c r="K175" s="339" t="n">
        <v>38</v>
      </c>
      <c r="L175" s="339" t="n">
        <v>17</v>
      </c>
      <c r="M175" s="339" t="inlineStr">
        <is>
          <t>복도식</t>
        </is>
      </c>
      <c r="N175" s="339" t="n">
        <v>2</v>
      </c>
      <c r="O175" s="339" t="n">
        <v>1</v>
      </c>
      <c r="P175" s="339" t="n">
        <v>29</v>
      </c>
      <c r="Q175" s="483" t="n"/>
      <c r="R175" s="489" t="inlineStr">
        <is>
          <t>-</t>
        </is>
      </c>
      <c r="S175" s="477">
        <f>Q175-R175</f>
        <v/>
      </c>
      <c r="T175" s="71">
        <f>R175/Q175</f>
        <v/>
      </c>
      <c r="U175" s="484" t="n">
        <v>7500</v>
      </c>
      <c r="V175" s="510" t="n">
        <v>7000</v>
      </c>
      <c r="W175" s="339" t="inlineStr">
        <is>
          <t>복도식</t>
        </is>
      </c>
      <c r="X175" s="339" t="n">
        <v>2</v>
      </c>
      <c r="Y175" s="339" t="n">
        <v>1</v>
      </c>
      <c r="Z175" s="339" t="n">
        <v>29</v>
      </c>
      <c r="AA175" s="339" t="n">
        <v>2020.05</v>
      </c>
      <c r="AB175" s="339" t="n">
        <v>0.1</v>
      </c>
      <c r="AC175" s="37">
        <f>L175</f>
        <v/>
      </c>
      <c r="AD175" s="479" t="n">
        <v>6400</v>
      </c>
      <c r="AE175" s="479" t="n">
        <v>6500</v>
      </c>
      <c r="AF175" s="38">
        <f>AE175/AD175</f>
        <v/>
      </c>
      <c r="AG175" s="39">
        <f>AD175-AE175</f>
        <v/>
      </c>
      <c r="AH175" s="339" t="n">
        <v>2026.04</v>
      </c>
      <c r="AI175" s="339" t="n"/>
      <c r="AJ175" s="339">
        <f>AI175-AD175</f>
        <v/>
      </c>
      <c r="AK175" s="129">
        <f>(AI175-AD175)/AD175</f>
        <v/>
      </c>
      <c r="AL175" s="29">
        <f>AJ175/AG175</f>
        <v/>
      </c>
      <c r="AM175" s="357" t="n"/>
    </row>
    <row r="176" ht="15.5" customHeight="1" s="139">
      <c r="A176" s="339" t="inlineStr">
        <is>
          <t>신방동</t>
        </is>
      </c>
      <c r="B176" s="164" t="n"/>
      <c r="C176" s="164" t="n"/>
      <c r="D176" s="339" t="n">
        <v>11266</v>
      </c>
      <c r="E176" s="150" t="inlineStr">
        <is>
          <t>삼일원앙</t>
        </is>
      </c>
      <c r="F176" s="339" t="n">
        <v>1997.08</v>
      </c>
      <c r="G176" s="339" t="n">
        <v>401</v>
      </c>
      <c r="H176" s="339">
        <f>2026-F176+1</f>
        <v/>
      </c>
      <c r="I176" s="339" t="inlineStr">
        <is>
          <t>64</t>
        </is>
      </c>
      <c r="J176" s="339" t="n">
        <v>64</v>
      </c>
      <c r="K176" s="339" t="n">
        <v>43</v>
      </c>
      <c r="L176" s="339" t="n">
        <v>19</v>
      </c>
      <c r="M176" s="339" t="inlineStr">
        <is>
          <t>복도식</t>
        </is>
      </c>
      <c r="N176" s="339" t="n">
        <v>2</v>
      </c>
      <c r="O176" s="339" t="n">
        <v>1</v>
      </c>
      <c r="P176" s="339" t="n">
        <v>29</v>
      </c>
      <c r="Q176" s="483" t="n"/>
      <c r="R176" s="489" t="inlineStr">
        <is>
          <t>-</t>
        </is>
      </c>
      <c r="S176" s="477">
        <f>Q176-R176</f>
        <v/>
      </c>
      <c r="T176" s="71">
        <f>R176/Q176</f>
        <v/>
      </c>
      <c r="U176" s="484" t="n">
        <v>8300</v>
      </c>
      <c r="V176" s="510" t="n">
        <v>7950</v>
      </c>
      <c r="W176" s="339" t="inlineStr">
        <is>
          <t>복도식</t>
        </is>
      </c>
      <c r="X176" s="339" t="n">
        <v>2</v>
      </c>
      <c r="Y176" s="339" t="n">
        <v>1</v>
      </c>
      <c r="Z176" s="339" t="n">
        <v>29</v>
      </c>
      <c r="AA176" s="30" t="n">
        <v>2021.09</v>
      </c>
      <c r="AB176" s="30" t="n">
        <v>0.05</v>
      </c>
      <c r="AC176" s="37">
        <f>L176</f>
        <v/>
      </c>
      <c r="AD176" s="479" t="n">
        <v>7300</v>
      </c>
      <c r="AE176" s="479" t="n">
        <v>8000</v>
      </c>
      <c r="AF176" s="38">
        <f>AE176/AD176</f>
        <v/>
      </c>
      <c r="AG176" s="39">
        <f>AD176-AE176</f>
        <v/>
      </c>
      <c r="AH176" s="32" t="n">
        <v>2026.04</v>
      </c>
      <c r="AI176" s="31" t="n"/>
      <c r="AJ176" s="31">
        <f>AI176-AD176</f>
        <v/>
      </c>
      <c r="AK176" s="129">
        <f>(AI176-AD176)/AD176</f>
        <v/>
      </c>
      <c r="AL176" s="162">
        <f>AJ176/AG176</f>
        <v/>
      </c>
      <c r="AM176" s="357" t="n"/>
      <c r="AO176" s="339" t="n"/>
      <c r="AP176" s="339" t="n"/>
      <c r="AQ176" s="339" t="n"/>
      <c r="AR176" s="339" t="n"/>
      <c r="AS176" s="339" t="n"/>
      <c r="AT176" s="339" t="n"/>
      <c r="AU176" s="339" t="n"/>
      <c r="AW176" s="339" t="n"/>
      <c r="AX176" s="339" t="n"/>
      <c r="AY176" s="339" t="n"/>
    </row>
    <row r="177" ht="16" customHeight="1" s="139" thickBot="1">
      <c r="A177" s="339" t="inlineStr">
        <is>
          <t>신방동</t>
        </is>
      </c>
      <c r="B177" s="164" t="n"/>
      <c r="C177" s="164" t="n"/>
      <c r="D177" s="339" t="n">
        <v>7395</v>
      </c>
      <c r="E177" s="150" t="inlineStr">
        <is>
          <t>한라동백2차</t>
        </is>
      </c>
      <c r="F177" s="339" t="n">
        <v>1998.09</v>
      </c>
      <c r="G177" s="339" t="n">
        <v>1139</v>
      </c>
      <c r="H177" s="339">
        <f>2026-F177+1</f>
        <v/>
      </c>
      <c r="I177" s="339" t="inlineStr">
        <is>
          <t>80B</t>
        </is>
      </c>
      <c r="J177" s="339" t="n">
        <v>80</v>
      </c>
      <c r="K177" s="339" t="n">
        <v>59</v>
      </c>
      <c r="L177" s="339" t="n">
        <v>24</v>
      </c>
      <c r="M177" s="339" t="inlineStr">
        <is>
          <t>계단식</t>
        </is>
      </c>
      <c r="N177" s="339" t="n">
        <v>2</v>
      </c>
      <c r="O177" s="339" t="n">
        <v>1</v>
      </c>
      <c r="P177" s="339" t="n">
        <v>48</v>
      </c>
      <c r="Q177" s="495" t="n"/>
      <c r="R177" s="501" t="inlineStr">
        <is>
          <t>-</t>
        </is>
      </c>
      <c r="S177" s="477">
        <f>Q177-R177</f>
        <v/>
      </c>
      <c r="T177" s="71">
        <f>R177/Q177</f>
        <v/>
      </c>
      <c r="U177" s="496" t="n">
        <v>18500</v>
      </c>
      <c r="V177" s="497" t="n">
        <v>13000</v>
      </c>
      <c r="W177" s="339" t="inlineStr">
        <is>
          <t>계단식</t>
        </is>
      </c>
      <c r="X177" s="339" t="n">
        <v>2</v>
      </c>
      <c r="Y177" s="339" t="n">
        <v>1</v>
      </c>
      <c r="Z177" s="339" t="n">
        <v>48</v>
      </c>
      <c r="AA177" s="337" t="n">
        <v>2021.07</v>
      </c>
      <c r="AB177" s="339" t="n">
        <v>0.08</v>
      </c>
      <c r="AC177" s="37">
        <f>L177</f>
        <v/>
      </c>
      <c r="AD177" s="479" t="n">
        <v>14856</v>
      </c>
      <c r="AE177" s="479" t="n">
        <v>11991</v>
      </c>
      <c r="AF177" s="38">
        <f>AE177/AD177</f>
        <v/>
      </c>
      <c r="AG177" s="39">
        <f>AD177-AE177</f>
        <v/>
      </c>
      <c r="AH177" s="339" t="n">
        <v>2026.04</v>
      </c>
      <c r="AI177" s="405" t="n"/>
      <c r="AJ177" s="405">
        <f>AI177-AD177</f>
        <v/>
      </c>
      <c r="AK177" s="129">
        <f>(AI177-AD177)/AD177</f>
        <v/>
      </c>
      <c r="AL177" s="140">
        <f>AJ177/AG177</f>
        <v/>
      </c>
      <c r="AM177" s="357" t="n"/>
    </row>
    <row r="178" ht="15.5" customHeight="1" s="139">
      <c r="A178" s="132" t="inlineStr">
        <is>
          <t>신방동</t>
        </is>
      </c>
      <c r="B178" s="88" t="n"/>
      <c r="C178" s="89" t="n"/>
      <c r="D178" s="132" t="n">
        <v>7393</v>
      </c>
      <c r="E178" s="135" t="inlineStr">
        <is>
          <t>신동아목련</t>
        </is>
      </c>
      <c r="F178" s="132" t="n">
        <v>1996.04</v>
      </c>
      <c r="G178" s="132" t="n">
        <v>498</v>
      </c>
      <c r="H178" s="132">
        <f>2026-F178+1</f>
        <v/>
      </c>
      <c r="I178" s="132" t="inlineStr">
        <is>
          <t>132</t>
        </is>
      </c>
      <c r="J178" s="132" t="n">
        <v>132</v>
      </c>
      <c r="K178" s="132" t="n">
        <v>108</v>
      </c>
      <c r="L178" s="132" t="n">
        <v>40</v>
      </c>
      <c r="M178" s="132" t="inlineStr">
        <is>
          <t>계단식</t>
        </is>
      </c>
      <c r="N178" s="132" t="n">
        <v>4</v>
      </c>
      <c r="O178" s="132" t="n">
        <v>2</v>
      </c>
      <c r="P178" s="132" t="n">
        <v>102</v>
      </c>
      <c r="Q178" s="508" t="n"/>
      <c r="R178" s="509" t="inlineStr">
        <is>
          <t>-</t>
        </is>
      </c>
      <c r="S178" s="477">
        <f>Q178-R178</f>
        <v/>
      </c>
      <c r="T178" s="71">
        <f>R178/Q178</f>
        <v/>
      </c>
      <c r="U178" s="502" t="n">
        <v>22000</v>
      </c>
      <c r="V178" s="503" t="n">
        <v>18500</v>
      </c>
      <c r="W178" s="339" t="inlineStr">
        <is>
          <t>계단식</t>
        </is>
      </c>
      <c r="X178" s="339" t="n">
        <v>4</v>
      </c>
      <c r="Y178" s="339" t="n">
        <v>2</v>
      </c>
      <c r="Z178" s="339" t="n">
        <v>102</v>
      </c>
      <c r="AA178" s="133" t="n">
        <v>2019.12</v>
      </c>
      <c r="AB178" s="133" t="n">
        <v>0.06</v>
      </c>
      <c r="AC178" s="77">
        <f>L178</f>
        <v/>
      </c>
      <c r="AD178" s="482" t="n">
        <v>16600</v>
      </c>
      <c r="AE178" s="482" t="n">
        <v>16500</v>
      </c>
      <c r="AF178" s="78">
        <f>AE178/AD178</f>
        <v/>
      </c>
      <c r="AG178" s="79">
        <f>AD178-AE178</f>
        <v/>
      </c>
      <c r="AH178" s="339" t="n">
        <v>2026.04</v>
      </c>
      <c r="AI178" s="339" t="n"/>
      <c r="AJ178" s="339">
        <f>AI178-AD178</f>
        <v/>
      </c>
      <c r="AK178" s="129">
        <f>(AI178-AD178)/AD178</f>
        <v/>
      </c>
      <c r="AL178" s="145">
        <f>AJ178/AG178</f>
        <v/>
      </c>
      <c r="AM178" s="111" t="n"/>
      <c r="AN178" s="133" t="n"/>
      <c r="AV178" s="133" t="n"/>
    </row>
    <row r="179" ht="15.5" customHeight="1" s="139">
      <c r="A179" s="132" t="inlineStr">
        <is>
          <t>신방동</t>
        </is>
      </c>
      <c r="B179" s="88" t="n"/>
      <c r="C179" s="89" t="n"/>
      <c r="D179" s="132" t="n">
        <v>7400</v>
      </c>
      <c r="E179" s="135" t="inlineStr">
        <is>
          <t>향촌현대</t>
        </is>
      </c>
      <c r="F179" s="132" t="n">
        <v>1997.12</v>
      </c>
      <c r="G179" s="132" t="n">
        <v>998</v>
      </c>
      <c r="H179" s="132">
        <f>2026-F179+1</f>
        <v/>
      </c>
      <c r="I179" s="132" t="inlineStr">
        <is>
          <t>126</t>
        </is>
      </c>
      <c r="J179" s="132" t="n">
        <v>126</v>
      </c>
      <c r="K179" s="132" t="n">
        <v>99</v>
      </c>
      <c r="L179" s="132" t="n">
        <v>38</v>
      </c>
      <c r="M179" s="132" t="inlineStr">
        <is>
          <t>계단식</t>
        </is>
      </c>
      <c r="N179" s="132" t="n">
        <v>4</v>
      </c>
      <c r="O179" s="132" t="n">
        <v>2</v>
      </c>
      <c r="P179" s="132" t="n">
        <v>40</v>
      </c>
      <c r="Q179" s="480" t="n"/>
      <c r="R179" s="488" t="inlineStr">
        <is>
          <t>-</t>
        </is>
      </c>
      <c r="S179" s="477">
        <f>Q179-R179</f>
        <v/>
      </c>
      <c r="T179" s="71">
        <f>R179/Q179</f>
        <v/>
      </c>
      <c r="U179" s="481" t="n">
        <v>25000</v>
      </c>
      <c r="V179" s="494" t="n">
        <v>19000</v>
      </c>
      <c r="W179" s="339" t="inlineStr">
        <is>
          <t>계단식</t>
        </is>
      </c>
      <c r="X179" s="339" t="n">
        <v>4</v>
      </c>
      <c r="Y179" s="339" t="n">
        <v>2</v>
      </c>
      <c r="Z179" s="339" t="n">
        <v>40</v>
      </c>
      <c r="AA179" s="144" t="n">
        <v>2020.1</v>
      </c>
      <c r="AB179" s="133" t="n">
        <v>0.04</v>
      </c>
      <c r="AC179" s="77">
        <f>L179</f>
        <v/>
      </c>
      <c r="AD179" s="482" t="n">
        <v>17800</v>
      </c>
      <c r="AE179" s="482" t="n">
        <v>16000</v>
      </c>
      <c r="AF179" s="78">
        <f>AE179/AD179</f>
        <v/>
      </c>
      <c r="AG179" s="79">
        <f>AD179-AE179</f>
        <v/>
      </c>
      <c r="AH179" s="339" t="n">
        <v>2026.04</v>
      </c>
      <c r="AI179" s="405" t="n"/>
      <c r="AJ179" s="405">
        <f>AI179-AD179</f>
        <v/>
      </c>
      <c r="AK179" s="129">
        <f>(AI179-AD179)/AD179</f>
        <v/>
      </c>
      <c r="AL179" s="145">
        <f>AJ179/AG179</f>
        <v/>
      </c>
      <c r="AM179" s="111" t="n"/>
      <c r="AN179" s="133" t="n"/>
      <c r="AO179" s="339" t="n"/>
      <c r="AP179" s="339" t="n"/>
      <c r="AQ179" s="339" t="n"/>
      <c r="AR179" s="339" t="n"/>
      <c r="AS179" s="339" t="n"/>
      <c r="AT179" s="339" t="n"/>
      <c r="AU179" s="339" t="n"/>
      <c r="AV179" s="133" t="n"/>
      <c r="AW179" s="339" t="n"/>
      <c r="AX179" s="339" t="n"/>
      <c r="AY179" s="339" t="n"/>
    </row>
    <row r="180" ht="16" customHeight="1" s="139" thickBot="1">
      <c r="A180" s="339" t="inlineStr">
        <is>
          <t>신방동</t>
        </is>
      </c>
      <c r="D180" s="339" t="n">
        <v>7395</v>
      </c>
      <c r="E180" s="150" t="inlineStr">
        <is>
          <t>한라동백2차</t>
        </is>
      </c>
      <c r="F180" s="339" t="n">
        <v>1998.09</v>
      </c>
      <c r="G180" s="339" t="n">
        <v>1139</v>
      </c>
      <c r="H180" s="339">
        <f>2026-F180+1</f>
        <v/>
      </c>
      <c r="I180" s="339" t="inlineStr">
        <is>
          <t>165</t>
        </is>
      </c>
      <c r="J180" s="339" t="n">
        <v>165</v>
      </c>
      <c r="K180" s="339" t="n">
        <v>134</v>
      </c>
      <c r="L180" s="339" t="n">
        <v>50</v>
      </c>
      <c r="M180" s="339" t="inlineStr">
        <is>
          <t>계단식</t>
        </is>
      </c>
      <c r="N180" s="339" t="n">
        <v>4</v>
      </c>
      <c r="O180" s="339" t="n">
        <v>2</v>
      </c>
      <c r="P180" s="339" t="n">
        <v>90</v>
      </c>
      <c r="Q180" s="495" t="n"/>
      <c r="R180" s="501" t="inlineStr">
        <is>
          <t>-</t>
        </is>
      </c>
      <c r="S180" s="477">
        <f>Q180-R180</f>
        <v/>
      </c>
      <c r="T180" s="71">
        <f>R180/Q180</f>
        <v/>
      </c>
      <c r="U180" s="496" t="n">
        <v>31700</v>
      </c>
      <c r="V180" s="497" t="n">
        <v>28000</v>
      </c>
      <c r="W180" s="339" t="inlineStr">
        <is>
          <t>계단식</t>
        </is>
      </c>
      <c r="X180" s="339" t="n">
        <v>4</v>
      </c>
      <c r="Y180" s="339" t="n">
        <v>2</v>
      </c>
      <c r="Z180" s="339" t="n">
        <v>90</v>
      </c>
      <c r="AA180" s="339" t="n">
        <v>2019.02</v>
      </c>
      <c r="AB180" s="339" t="n">
        <v>0.02</v>
      </c>
      <c r="AC180" s="37">
        <f>L180</f>
        <v/>
      </c>
      <c r="AD180" s="479" t="n">
        <v>19450</v>
      </c>
      <c r="AE180" s="479" t="n">
        <v>16000</v>
      </c>
      <c r="AF180" s="38">
        <f>AE180/AD180</f>
        <v/>
      </c>
      <c r="AG180" s="39">
        <f>AD180-AE180</f>
        <v/>
      </c>
      <c r="AH180" s="339" t="n">
        <v>2026.04</v>
      </c>
      <c r="AI180" s="339" t="n"/>
      <c r="AJ180" s="339">
        <f>AI180-AD180</f>
        <v/>
      </c>
      <c r="AK180" s="129">
        <f>(AI180-AD180)/AD180</f>
        <v/>
      </c>
      <c r="AL180" s="140">
        <f>AJ180/AG180</f>
        <v/>
      </c>
    </row>
    <row r="181" ht="15.5" customHeight="1" s="139">
      <c r="A181" s="339" t="inlineStr">
        <is>
          <t>신방동</t>
        </is>
      </c>
      <c r="D181" s="339" t="n">
        <v>27682</v>
      </c>
      <c r="E181" s="150" t="inlineStr">
        <is>
          <t>신방한라비발디</t>
        </is>
      </c>
      <c r="F181" s="339" t="n">
        <v>2009.09</v>
      </c>
      <c r="G181" s="339" t="n">
        <v>764</v>
      </c>
      <c r="H181" s="339">
        <f>2026-F181+1</f>
        <v/>
      </c>
      <c r="I181" s="339" t="inlineStr">
        <is>
          <t>142</t>
        </is>
      </c>
      <c r="J181" s="339" t="n">
        <v>142</v>
      </c>
      <c r="K181" s="339" t="n">
        <v>117</v>
      </c>
      <c r="L181" s="339" t="n">
        <v>43</v>
      </c>
      <c r="M181" s="339" t="inlineStr">
        <is>
          <t>계단식</t>
        </is>
      </c>
      <c r="N181" s="339" t="n">
        <v>3</v>
      </c>
      <c r="O181" s="339" t="n">
        <v>2</v>
      </c>
      <c r="P181" s="339" t="n">
        <v>100</v>
      </c>
      <c r="Q181" s="498" t="n"/>
      <c r="R181" s="515" t="inlineStr">
        <is>
          <t>-</t>
        </is>
      </c>
      <c r="S181" s="477">
        <f>Q181-R181</f>
        <v/>
      </c>
      <c r="T181" s="71">
        <f>R181/Q181</f>
        <v/>
      </c>
      <c r="U181" s="499" t="n">
        <v>35000</v>
      </c>
      <c r="V181" s="500" t="n">
        <v>26000</v>
      </c>
      <c r="W181" s="339" t="inlineStr">
        <is>
          <t>계단식</t>
        </is>
      </c>
      <c r="X181" s="339" t="n">
        <v>3</v>
      </c>
      <c r="Y181" s="339" t="n">
        <v>2</v>
      </c>
      <c r="Z181" s="339" t="n">
        <v>100</v>
      </c>
      <c r="AA181" s="337" t="n">
        <v>2019.09</v>
      </c>
      <c r="AB181" s="339" t="n">
        <v>0.04</v>
      </c>
      <c r="AC181" s="37">
        <f>L181</f>
        <v/>
      </c>
      <c r="AD181" s="479" t="n">
        <v>21800</v>
      </c>
      <c r="AE181" s="479" t="n">
        <v>20000</v>
      </c>
      <c r="AF181" s="38">
        <f>AE181/AD181</f>
        <v/>
      </c>
      <c r="AG181" s="39">
        <f>AD181-AE181</f>
        <v/>
      </c>
      <c r="AH181" s="339" t="n">
        <v>2026.04</v>
      </c>
      <c r="AI181" s="405" t="n"/>
      <c r="AJ181" s="405">
        <f>AI181-AD181</f>
        <v/>
      </c>
      <c r="AK181" s="129">
        <f>(AI181-AD181)/AD181</f>
        <v/>
      </c>
      <c r="AL181" s="140">
        <f>AJ181/AG181</f>
        <v/>
      </c>
      <c r="AN181" s="16" t="n"/>
    </row>
    <row r="182" ht="15.5" customHeight="1" s="139">
      <c r="A182" s="132" t="inlineStr">
        <is>
          <t>신방동</t>
        </is>
      </c>
      <c r="B182" s="88" t="n"/>
      <c r="C182" s="89" t="n"/>
      <c r="D182" s="132" t="n">
        <v>100359</v>
      </c>
      <c r="E182" s="135" t="inlineStr">
        <is>
          <t>신방한성필하우스</t>
        </is>
      </c>
      <c r="F182" s="132" t="n">
        <v>2010.06</v>
      </c>
      <c r="G182" s="132" t="n">
        <v>1049</v>
      </c>
      <c r="H182" s="132">
        <f>2026-F182+1</f>
        <v/>
      </c>
      <c r="I182" s="132" t="inlineStr">
        <is>
          <t>133A, 133C, 133B</t>
        </is>
      </c>
      <c r="J182" s="132" t="n">
        <v>133</v>
      </c>
      <c r="K182" s="132" t="n">
        <v>108</v>
      </c>
      <c r="L182" s="132" t="n">
        <v>40</v>
      </c>
      <c r="M182" s="132" t="inlineStr">
        <is>
          <t>계단식</t>
        </is>
      </c>
      <c r="N182" s="132" t="n">
        <v>3</v>
      </c>
      <c r="O182" s="132" t="n">
        <v>2</v>
      </c>
      <c r="P182" s="132" t="n">
        <v>463</v>
      </c>
      <c r="Q182" s="480" t="n"/>
      <c r="R182" s="488" t="inlineStr">
        <is>
          <t>-</t>
        </is>
      </c>
      <c r="S182" s="477">
        <f>Q182-R182</f>
        <v/>
      </c>
      <c r="T182" s="71">
        <f>R182/Q182</f>
        <v/>
      </c>
      <c r="U182" s="481" t="n">
        <v>42000</v>
      </c>
      <c r="V182" s="494" t="n">
        <v>29500</v>
      </c>
      <c r="W182" s="339" t="inlineStr">
        <is>
          <t>계단식</t>
        </is>
      </c>
      <c r="X182" s="339" t="n">
        <v>3</v>
      </c>
      <c r="Y182" s="339" t="n">
        <v>2</v>
      </c>
      <c r="Z182" s="339" t="n">
        <v>463</v>
      </c>
      <c r="AA182" s="144" t="n">
        <v>2020.09</v>
      </c>
      <c r="AB182" s="133" t="n">
        <v>0.01</v>
      </c>
      <c r="AC182" s="77">
        <f>L182</f>
        <v/>
      </c>
      <c r="AD182" s="482" t="n">
        <v>28966</v>
      </c>
      <c r="AE182" s="482" t="n">
        <v>24400</v>
      </c>
      <c r="AF182" s="78">
        <f>AE182/AD182</f>
        <v/>
      </c>
      <c r="AG182" s="79">
        <f>AD182-AE182</f>
        <v/>
      </c>
      <c r="AH182" s="339" t="n">
        <v>2026.04</v>
      </c>
      <c r="AI182" s="405" t="n"/>
      <c r="AJ182" s="405">
        <f>AI182-AD182</f>
        <v/>
      </c>
      <c r="AK182" s="129">
        <f>(AI182-AD182)/AD182</f>
        <v/>
      </c>
      <c r="AL182" s="145">
        <f>AJ182/AG182</f>
        <v/>
      </c>
      <c r="AM182" s="111" t="n"/>
      <c r="AN182" s="83" t="n"/>
      <c r="AV182" s="133" t="n"/>
    </row>
    <row r="183" ht="15.5" customHeight="1" s="139">
      <c r="A183" s="339" t="inlineStr">
        <is>
          <t>신부동</t>
        </is>
      </c>
      <c r="B183" s="164" t="n"/>
      <c r="C183" s="164" t="n"/>
      <c r="D183" s="339" t="n">
        <v>143063</v>
      </c>
      <c r="E183" s="150" t="inlineStr">
        <is>
          <t>포레나천안신부</t>
        </is>
      </c>
      <c r="F183" s="339" t="n">
        <v>2023.12</v>
      </c>
      <c r="G183" s="339" t="n">
        <v>602</v>
      </c>
      <c r="H183" s="339">
        <f>2026-F183+1</f>
        <v/>
      </c>
      <c r="I183" s="339" t="inlineStr">
        <is>
          <t>131</t>
        </is>
      </c>
      <c r="J183" s="339" t="n">
        <v>131</v>
      </c>
      <c r="K183" s="339" t="n">
        <v>104</v>
      </c>
      <c r="L183" s="339" t="n">
        <v>40</v>
      </c>
      <c r="M183" s="339" t="inlineStr">
        <is>
          <t>계단식</t>
        </is>
      </c>
      <c r="N183" s="339" t="n">
        <v>3</v>
      </c>
      <c r="O183" s="339" t="n">
        <v>2</v>
      </c>
      <c r="P183" s="339" t="n">
        <v>98</v>
      </c>
      <c r="Q183" s="483" t="n"/>
      <c r="R183" s="489" t="inlineStr">
        <is>
          <t>-</t>
        </is>
      </c>
      <c r="S183" s="477">
        <f>Q183-R183</f>
        <v/>
      </c>
      <c r="T183" s="71">
        <f>R183/Q183</f>
        <v/>
      </c>
      <c r="U183" s="484" t="n"/>
      <c r="V183" s="510" t="n"/>
      <c r="W183" s="339" t="inlineStr">
        <is>
          <t>계단식</t>
        </is>
      </c>
      <c r="X183" s="339" t="n">
        <v>3</v>
      </c>
      <c r="Y183" s="339" t="n">
        <v>2</v>
      </c>
      <c r="Z183" s="339" t="n">
        <v>98</v>
      </c>
      <c r="AC183" s="37">
        <f>L183</f>
        <v/>
      </c>
      <c r="AD183" s="479" t="n"/>
      <c r="AE183" s="479" t="n"/>
      <c r="AF183" s="38">
        <f>AE183/AD183</f>
        <v/>
      </c>
      <c r="AG183" s="39">
        <f>AD183-AE183</f>
        <v/>
      </c>
      <c r="AH183" s="339" t="n">
        <v>2026.04</v>
      </c>
      <c r="AI183" s="339" t="n"/>
      <c r="AJ183" s="339">
        <f>AI183-AD183</f>
        <v/>
      </c>
      <c r="AK183" s="129">
        <f>(AI183-AD183)/AD183</f>
        <v/>
      </c>
      <c r="AL183" s="339">
        <f>AJ183/AG183</f>
        <v/>
      </c>
      <c r="AM183" s="357" t="n"/>
      <c r="AO183" s="339" t="n"/>
      <c r="AP183" s="339" t="n"/>
      <c r="AQ183" s="339" t="n"/>
      <c r="AR183" s="339" t="n"/>
      <c r="AS183" s="339" t="n"/>
      <c r="AT183" s="339" t="n"/>
      <c r="AU183" s="339" t="n"/>
      <c r="AW183" s="339" t="n"/>
      <c r="AX183" s="339" t="n"/>
      <c r="AY183" s="339" t="n"/>
    </row>
    <row r="184" ht="16" customHeight="1" s="139" thickBot="1">
      <c r="A184" s="339" t="inlineStr">
        <is>
          <t>신부동</t>
        </is>
      </c>
      <c r="B184" s="164" t="n"/>
      <c r="C184" s="164" t="n"/>
      <c r="D184" s="339" t="n">
        <v>143063</v>
      </c>
      <c r="E184" s="150" t="inlineStr">
        <is>
          <t>포레나천안신부</t>
        </is>
      </c>
      <c r="F184" s="339" t="n">
        <v>2023.12</v>
      </c>
      <c r="G184" s="339" t="n">
        <v>602</v>
      </c>
      <c r="H184" s="339">
        <f>2026-F184+1</f>
        <v/>
      </c>
      <c r="I184" s="339" t="inlineStr">
        <is>
          <t>141A, 141B</t>
        </is>
      </c>
      <c r="J184" s="339" t="n">
        <v>141</v>
      </c>
      <c r="K184" s="339" t="n">
        <v>113</v>
      </c>
      <c r="L184" s="339" t="n">
        <v>43</v>
      </c>
      <c r="M184" s="339" t="inlineStr">
        <is>
          <t>계단식</t>
        </is>
      </c>
      <c r="N184" s="339" t="n">
        <v>3</v>
      </c>
      <c r="O184" s="339" t="n">
        <v>2</v>
      </c>
      <c r="P184" s="339" t="n">
        <v>156</v>
      </c>
      <c r="Q184" s="495" t="n"/>
      <c r="R184" s="501" t="inlineStr">
        <is>
          <t>-</t>
        </is>
      </c>
      <c r="S184" s="477">
        <f>Q184-R184</f>
        <v/>
      </c>
      <c r="T184" s="71">
        <f>R184/Q184</f>
        <v/>
      </c>
      <c r="U184" s="496" t="n"/>
      <c r="V184" s="497" t="n"/>
      <c r="W184" s="339" t="inlineStr">
        <is>
          <t>계단식</t>
        </is>
      </c>
      <c r="X184" s="339" t="n">
        <v>3</v>
      </c>
      <c r="Y184" s="339" t="n">
        <v>2</v>
      </c>
      <c r="Z184" s="339" t="n">
        <v>156</v>
      </c>
      <c r="AC184" s="37">
        <f>L184</f>
        <v/>
      </c>
      <c r="AD184" s="479" t="n"/>
      <c r="AE184" s="479" t="n"/>
      <c r="AF184" s="38">
        <f>AE184/AD184</f>
        <v/>
      </c>
      <c r="AG184" s="39">
        <f>AD184-AE184</f>
        <v/>
      </c>
      <c r="AH184" s="339" t="n">
        <v>2026.04</v>
      </c>
      <c r="AI184" s="339" t="n"/>
      <c r="AJ184" s="339">
        <f>AI184-AD184</f>
        <v/>
      </c>
      <c r="AK184" s="129">
        <f>(AI184-AD184)/AD184</f>
        <v/>
      </c>
      <c r="AL184" s="339">
        <f>AJ184/AG184</f>
        <v/>
      </c>
      <c r="AM184" s="357" t="n"/>
      <c r="AO184" s="339" t="n"/>
      <c r="AP184" s="339" t="n"/>
      <c r="AQ184" s="339" t="n"/>
      <c r="AR184" s="339" t="n"/>
      <c r="AS184" s="339" t="n"/>
      <c r="AT184" s="339" t="n"/>
      <c r="AU184" s="339" t="n"/>
      <c r="AW184" s="339" t="n"/>
      <c r="AX184" s="339" t="n"/>
      <c r="AY184" s="339" t="n"/>
    </row>
    <row r="185" ht="15.5" customHeight="1" s="139">
      <c r="A185" s="339" t="inlineStr">
        <is>
          <t>신부동</t>
        </is>
      </c>
      <c r="B185" s="164" t="n"/>
      <c r="C185" s="164" t="n"/>
      <c r="D185" s="339" t="n">
        <v>143063</v>
      </c>
      <c r="E185" s="150" t="inlineStr">
        <is>
          <t>포레나천안신부</t>
        </is>
      </c>
      <c r="F185" s="339" t="n">
        <v>2023.12</v>
      </c>
      <c r="G185" s="339" t="n">
        <v>602</v>
      </c>
      <c r="H185" s="339">
        <f>2026-F185+1</f>
        <v/>
      </c>
      <c r="I185" s="339" t="inlineStr">
        <is>
          <t>199A, 199B</t>
        </is>
      </c>
      <c r="J185" s="339" t="n">
        <v>199</v>
      </c>
      <c r="K185" s="339" t="n">
        <v>159</v>
      </c>
      <c r="L185" s="339" t="n">
        <v>60</v>
      </c>
      <c r="M185" s="339" t="inlineStr">
        <is>
          <t>계단식</t>
        </is>
      </c>
      <c r="N185" s="339" t="n">
        <v>5</v>
      </c>
      <c r="O185" s="339" t="n">
        <v>3</v>
      </c>
      <c r="P185" s="339" t="n">
        <v>3</v>
      </c>
      <c r="Q185" s="498" t="n"/>
      <c r="R185" s="515" t="inlineStr">
        <is>
          <t>-</t>
        </is>
      </c>
      <c r="S185" s="477">
        <f>Q185-R185</f>
        <v/>
      </c>
      <c r="T185" s="71">
        <f>R185/Q185</f>
        <v/>
      </c>
      <c r="U185" s="499" t="n"/>
      <c r="V185" s="500" t="n"/>
      <c r="W185" s="339" t="inlineStr">
        <is>
          <t>계단식</t>
        </is>
      </c>
      <c r="X185" s="339" t="n">
        <v>5</v>
      </c>
      <c r="Y185" s="339" t="n">
        <v>3</v>
      </c>
      <c r="Z185" s="339" t="n">
        <v>3</v>
      </c>
      <c r="AC185" s="37">
        <f>L185</f>
        <v/>
      </c>
      <c r="AD185" s="479" t="n"/>
      <c r="AE185" s="479" t="n"/>
      <c r="AF185" s="38">
        <f>AE185/AD185</f>
        <v/>
      </c>
      <c r="AG185" s="39">
        <f>AD185-AE185</f>
        <v/>
      </c>
      <c r="AH185" s="339" t="n">
        <v>2026.04</v>
      </c>
      <c r="AI185" s="339" t="n"/>
      <c r="AJ185" s="339">
        <f>AI185-AD185</f>
        <v/>
      </c>
      <c r="AK185" s="129">
        <f>(AI185-AD185)/AD185</f>
        <v/>
      </c>
      <c r="AL185" s="339">
        <f>AJ185/AG185</f>
        <v/>
      </c>
      <c r="AM185" s="357" t="n"/>
    </row>
    <row r="186" ht="15.5" customHeight="1" s="139">
      <c r="A186" s="339" t="inlineStr">
        <is>
          <t>신부동</t>
        </is>
      </c>
      <c r="B186" s="164" t="n"/>
      <c r="C186" s="164" t="n"/>
      <c r="D186" s="339" t="n">
        <v>152942</v>
      </c>
      <c r="E186" s="150" t="inlineStr">
        <is>
          <t>더샵신부센트라</t>
        </is>
      </c>
      <c r="F186" s="339" t="n">
        <v>2025.06</v>
      </c>
      <c r="G186" s="339" t="n">
        <v>592</v>
      </c>
      <c r="H186" s="339">
        <f>2026-F186+1</f>
        <v/>
      </c>
      <c r="I186" s="339" t="inlineStr">
        <is>
          <t>128</t>
        </is>
      </c>
      <c r="J186" s="339" t="n">
        <v>128</v>
      </c>
      <c r="K186" s="339" t="n">
        <v>101</v>
      </c>
      <c r="L186" s="339" t="n">
        <v>39</v>
      </c>
      <c r="M186" s="339" t="inlineStr">
        <is>
          <t>계단식</t>
        </is>
      </c>
      <c r="N186" s="339" t="n">
        <v>4</v>
      </c>
      <c r="O186" s="339" t="n">
        <v>2</v>
      </c>
      <c r="P186" s="339" t="n">
        <v>40</v>
      </c>
      <c r="Q186" s="483" t="n"/>
      <c r="R186" s="489" t="inlineStr">
        <is>
          <t>-</t>
        </is>
      </c>
      <c r="S186" s="477">
        <f>Q186-R186</f>
        <v/>
      </c>
      <c r="T186" s="71">
        <f>R186/Q186</f>
        <v/>
      </c>
      <c r="U186" s="484" t="n"/>
      <c r="V186" s="510" t="n"/>
      <c r="W186" s="339" t="inlineStr">
        <is>
          <t>계단식</t>
        </is>
      </c>
      <c r="X186" s="339" t="n">
        <v>4</v>
      </c>
      <c r="Y186" s="339" t="n">
        <v>2</v>
      </c>
      <c r="Z186" s="339" t="n">
        <v>40</v>
      </c>
      <c r="AC186" s="37">
        <f>L186</f>
        <v/>
      </c>
      <c r="AD186" s="479" t="n"/>
      <c r="AE186" s="479" t="n"/>
      <c r="AF186" s="38">
        <f>AE186/AD186</f>
        <v/>
      </c>
      <c r="AG186" s="39">
        <f>AD186-AE186</f>
        <v/>
      </c>
      <c r="AH186" s="339" t="n">
        <v>2026.04</v>
      </c>
      <c r="AI186" s="339" t="n"/>
      <c r="AJ186" s="339">
        <f>AI186-AD186</f>
        <v/>
      </c>
      <c r="AK186" s="129">
        <f>(AI186-AD186)/AD186</f>
        <v/>
      </c>
      <c r="AL186" s="339">
        <f>AJ186/AG186</f>
        <v/>
      </c>
      <c r="AM186" s="357" t="n"/>
    </row>
    <row r="187" ht="15.5" customHeight="1" s="139">
      <c r="A187" s="339" t="inlineStr">
        <is>
          <t>신부동</t>
        </is>
      </c>
      <c r="D187" s="339" t="n">
        <v>152942</v>
      </c>
      <c r="E187" s="150" t="inlineStr">
        <is>
          <t>더샵신부센트라</t>
        </is>
      </c>
      <c r="F187" s="339" t="n">
        <v>2025.06</v>
      </c>
      <c r="G187" s="339" t="n">
        <v>592</v>
      </c>
      <c r="H187" s="339">
        <f>2026-F187+1</f>
        <v/>
      </c>
      <c r="I187" s="339" t="inlineStr">
        <is>
          <t>197</t>
        </is>
      </c>
      <c r="J187" s="339" t="n">
        <v>197</v>
      </c>
      <c r="K187" s="339" t="n">
        <v>150</v>
      </c>
      <c r="L187" s="339" t="n">
        <v>60</v>
      </c>
      <c r="M187" s="339" t="inlineStr">
        <is>
          <t>계단식</t>
        </is>
      </c>
      <c r="N187" s="339" t="n">
        <v>4</v>
      </c>
      <c r="O187" s="339" t="n">
        <v>2</v>
      </c>
      <c r="P187" s="339" t="n">
        <v>4</v>
      </c>
      <c r="Q187" s="483" t="n"/>
      <c r="R187" s="489" t="inlineStr">
        <is>
          <t>-</t>
        </is>
      </c>
      <c r="S187" s="477">
        <f>Q187-R187</f>
        <v/>
      </c>
      <c r="T187" s="71">
        <f>R187/Q187</f>
        <v/>
      </c>
      <c r="U187" s="484" t="n"/>
      <c r="V187" s="510" t="n"/>
      <c r="W187" s="339" t="inlineStr">
        <is>
          <t>계단식</t>
        </is>
      </c>
      <c r="X187" s="339" t="n">
        <v>4</v>
      </c>
      <c r="Y187" s="339" t="n">
        <v>2</v>
      </c>
      <c r="Z187" s="339" t="n">
        <v>4</v>
      </c>
      <c r="AC187" s="93">
        <f>L187</f>
        <v/>
      </c>
      <c r="AD187" s="479" t="n"/>
      <c r="AE187" s="479" t="n"/>
      <c r="AF187" s="38">
        <f>AE187/AD187</f>
        <v/>
      </c>
      <c r="AG187" s="39">
        <f>AD187-AE187</f>
        <v/>
      </c>
      <c r="AH187" s="339" t="n">
        <v>2026.04</v>
      </c>
      <c r="AI187" s="339" t="n"/>
      <c r="AJ187" s="339">
        <f>AI187-AD187</f>
        <v/>
      </c>
      <c r="AK187" s="129">
        <f>(AI187-AD187)/AD187</f>
        <v/>
      </c>
      <c r="AL187" s="339">
        <f>AJ187/AG187</f>
        <v/>
      </c>
    </row>
    <row r="188" ht="15.5" customHeight="1" s="139">
      <c r="A188" s="339" t="inlineStr">
        <is>
          <t>신부동</t>
        </is>
      </c>
      <c r="D188" s="339" t="n">
        <v>7421</v>
      </c>
      <c r="E188" s="150" t="inlineStr">
        <is>
          <t>경남아너스빌</t>
        </is>
      </c>
      <c r="F188" s="339" t="n">
        <v>2000.03</v>
      </c>
      <c r="G188" s="339" t="n">
        <v>619</v>
      </c>
      <c r="H188" s="339">
        <f>2026-F188+1</f>
        <v/>
      </c>
      <c r="I188" s="339" t="inlineStr">
        <is>
          <t>145</t>
        </is>
      </c>
      <c r="J188" s="339" t="n">
        <v>145</v>
      </c>
      <c r="K188" s="339" t="n">
        <v>115</v>
      </c>
      <c r="L188" s="339" t="n">
        <v>44</v>
      </c>
      <c r="M188" s="339" t="inlineStr">
        <is>
          <t>계단식</t>
        </is>
      </c>
      <c r="N188" s="339" t="n">
        <v>4</v>
      </c>
      <c r="O188" s="339" t="n">
        <v>2</v>
      </c>
      <c r="P188" s="339" t="n">
        <v>98</v>
      </c>
      <c r="Q188" s="483" t="n"/>
      <c r="R188" s="489" t="inlineStr">
        <is>
          <t>-</t>
        </is>
      </c>
      <c r="S188" s="477">
        <f>Q188-R188</f>
        <v/>
      </c>
      <c r="T188" s="71">
        <f>R188/Q188</f>
        <v/>
      </c>
      <c r="U188" s="484" t="n">
        <v>29500</v>
      </c>
      <c r="V188" s="510" t="n">
        <v>23000</v>
      </c>
      <c r="W188" s="339" t="inlineStr">
        <is>
          <t>계단식</t>
        </is>
      </c>
      <c r="X188" s="339" t="n">
        <v>4</v>
      </c>
      <c r="Y188" s="339" t="n">
        <v>2</v>
      </c>
      <c r="Z188" s="339" t="n">
        <v>98</v>
      </c>
      <c r="AA188" s="339" t="n">
        <v>2018.1</v>
      </c>
      <c r="AB188" s="339" t="n">
        <v>0.03</v>
      </c>
      <c r="AC188" s="37">
        <f>L188</f>
        <v/>
      </c>
      <c r="AD188" s="479" t="n">
        <v>18000</v>
      </c>
      <c r="AE188" s="479" t="n">
        <v>16000</v>
      </c>
      <c r="AF188" s="38">
        <f>AE188/AD188</f>
        <v/>
      </c>
      <c r="AG188" s="39">
        <f>AD188-AE188</f>
        <v/>
      </c>
      <c r="AH188" s="339" t="n">
        <v>2026.04</v>
      </c>
      <c r="AI188" s="339" t="n"/>
      <c r="AJ188" s="339">
        <f>AI188-AD188</f>
        <v/>
      </c>
      <c r="AK188" s="129">
        <f>(AI188-AD188)/AD188</f>
        <v/>
      </c>
      <c r="AL188" s="339">
        <f>AJ188/AG188</f>
        <v/>
      </c>
      <c r="AO188" s="339" t="n"/>
      <c r="AP188" s="339" t="n"/>
      <c r="AQ188" s="339" t="n"/>
      <c r="AR188" s="339" t="n"/>
      <c r="AS188" s="339" t="n"/>
      <c r="AT188" s="339" t="n"/>
      <c r="AU188" s="339" t="n"/>
      <c r="AW188" s="339" t="n"/>
      <c r="AX188" s="339" t="n"/>
      <c r="AY188" s="339" t="n"/>
    </row>
    <row r="189" ht="15.5" customHeight="1" s="139">
      <c r="A189" s="339" t="inlineStr">
        <is>
          <t>신부동</t>
        </is>
      </c>
      <c r="D189" s="339" t="n">
        <v>7420</v>
      </c>
      <c r="E189" s="150" t="inlineStr">
        <is>
          <t>대림한들</t>
        </is>
      </c>
      <c r="F189" s="339" t="n">
        <v>1995.1</v>
      </c>
      <c r="G189" s="339" t="n">
        <v>599</v>
      </c>
      <c r="H189" s="339">
        <f>2026-F189+1</f>
        <v/>
      </c>
      <c r="I189" s="339" t="inlineStr">
        <is>
          <t>121A, 121B</t>
        </is>
      </c>
      <c r="J189" s="339" t="n">
        <v>121</v>
      </c>
      <c r="K189" s="339" t="n">
        <v>101</v>
      </c>
      <c r="L189" s="339" t="n">
        <v>37</v>
      </c>
      <c r="M189" s="339" t="inlineStr">
        <is>
          <t>계단식</t>
        </is>
      </c>
      <c r="N189" s="339" t="n">
        <v>4</v>
      </c>
      <c r="O189" s="339" t="n">
        <v>2</v>
      </c>
      <c r="P189" s="339" t="n">
        <v>240</v>
      </c>
      <c r="Q189" s="483" t="n"/>
      <c r="R189" s="489" t="inlineStr">
        <is>
          <t>-</t>
        </is>
      </c>
      <c r="S189" s="477">
        <f>Q189-R189</f>
        <v/>
      </c>
      <c r="T189" s="71">
        <f>R189/Q189</f>
        <v/>
      </c>
      <c r="U189" s="484" t="n">
        <v>28000</v>
      </c>
      <c r="V189" s="510" t="n">
        <v>22900</v>
      </c>
      <c r="W189" s="339" t="inlineStr">
        <is>
          <t>계단식</t>
        </is>
      </c>
      <c r="X189" s="339" t="n">
        <v>4</v>
      </c>
      <c r="Y189" s="339" t="n">
        <v>2</v>
      </c>
      <c r="Z189" s="339" t="n">
        <v>240</v>
      </c>
      <c r="AA189" s="339" t="n">
        <v>2019.05</v>
      </c>
      <c r="AB189" s="339" t="n">
        <v>1.04</v>
      </c>
      <c r="AC189" s="37">
        <f>L189</f>
        <v/>
      </c>
      <c r="AD189" s="479" t="n">
        <v>18233</v>
      </c>
      <c r="AE189" s="479" t="n">
        <v>16083</v>
      </c>
      <c r="AF189" s="38">
        <f>AE189/AD189</f>
        <v/>
      </c>
      <c r="AG189" s="39">
        <f>AD189-AE189</f>
        <v/>
      </c>
      <c r="AH189" s="339" t="n">
        <v>2026.04</v>
      </c>
      <c r="AI189" s="339" t="n"/>
      <c r="AJ189" s="339">
        <f>AI189-AD189</f>
        <v/>
      </c>
      <c r="AK189" s="129">
        <f>(AI189-AD189)/AD189</f>
        <v/>
      </c>
      <c r="AL189" s="339">
        <f>AJ189/AG189</f>
        <v/>
      </c>
    </row>
    <row r="190" ht="16" customHeight="1" s="139" thickBot="1">
      <c r="A190" s="132" t="inlineStr">
        <is>
          <t>신부동</t>
        </is>
      </c>
      <c r="B190" s="88" t="n"/>
      <c r="C190" s="89" t="n"/>
      <c r="D190" s="132" t="n">
        <v>26534</v>
      </c>
      <c r="E190" s="135" t="inlineStr">
        <is>
          <t>휴먼시아</t>
        </is>
      </c>
      <c r="F190" s="132" t="n">
        <v>2009.09</v>
      </c>
      <c r="G190" s="132" t="n">
        <v>497</v>
      </c>
      <c r="H190" s="132">
        <f>2026-F190+1</f>
        <v/>
      </c>
      <c r="I190" s="132" t="inlineStr">
        <is>
          <t>68</t>
        </is>
      </c>
      <c r="J190" s="132" t="n">
        <v>68</v>
      </c>
      <c r="K190" s="132" t="n">
        <v>51</v>
      </c>
      <c r="L190" s="132" t="n">
        <v>21</v>
      </c>
      <c r="M190" s="132" t="inlineStr">
        <is>
          <t>계단식</t>
        </is>
      </c>
      <c r="N190" s="132" t="n">
        <v>2</v>
      </c>
      <c r="O190" s="132" t="n">
        <v>1</v>
      </c>
      <c r="P190" s="132" t="n">
        <v>64</v>
      </c>
      <c r="Q190" s="511" t="n"/>
      <c r="R190" s="512" t="inlineStr">
        <is>
          <t>-</t>
        </is>
      </c>
      <c r="S190" s="477">
        <f>Q190-R190</f>
        <v/>
      </c>
      <c r="T190" s="71">
        <f>R190/Q190</f>
        <v/>
      </c>
      <c r="U190" s="513" t="n">
        <v>24000</v>
      </c>
      <c r="V190" s="514" t="n">
        <v>22000</v>
      </c>
      <c r="W190" s="339" t="inlineStr">
        <is>
          <t>계단식</t>
        </is>
      </c>
      <c r="X190" s="339" t="n">
        <v>2</v>
      </c>
      <c r="Y190" s="339" t="n">
        <v>1</v>
      </c>
      <c r="Z190" s="339" t="n">
        <v>64</v>
      </c>
      <c r="AA190" s="133" t="n">
        <v>2020.03</v>
      </c>
      <c r="AB190" s="133" t="n">
        <v>0.1</v>
      </c>
      <c r="AC190" s="77">
        <f>L190</f>
        <v/>
      </c>
      <c r="AD190" s="482" t="n">
        <v>18733</v>
      </c>
      <c r="AE190" s="482" t="n">
        <v>18833</v>
      </c>
      <c r="AF190" s="78">
        <f>AE190/AD190</f>
        <v/>
      </c>
      <c r="AG190" s="79">
        <f>AD190-AE190</f>
        <v/>
      </c>
      <c r="AH190" s="339" t="n">
        <v>2026.04</v>
      </c>
      <c r="AI190" s="339" t="n"/>
      <c r="AJ190" s="339">
        <f>AI190-AD190</f>
        <v/>
      </c>
      <c r="AK190" s="129">
        <f>(AI190-AD190)/AD190</f>
        <v/>
      </c>
      <c r="AL190" s="145">
        <f>AJ190/AG190</f>
        <v/>
      </c>
      <c r="AM190" s="111" t="n"/>
      <c r="AN190" s="133" t="n"/>
      <c r="AV190" s="133" t="n"/>
    </row>
    <row r="191" ht="15.5" customHeight="1" s="139">
      <c r="A191" s="339" t="inlineStr">
        <is>
          <t>신부동</t>
        </is>
      </c>
      <c r="B191" s="164" t="n"/>
      <c r="C191" s="164" t="n"/>
      <c r="D191" s="339" t="n">
        <v>7420</v>
      </c>
      <c r="E191" s="150" t="inlineStr">
        <is>
          <t>대림한들</t>
        </is>
      </c>
      <c r="F191" s="339" t="n">
        <v>1995.1</v>
      </c>
      <c r="G191" s="339" t="n">
        <v>599</v>
      </c>
      <c r="H191" s="339">
        <f>2026-F191+1</f>
        <v/>
      </c>
      <c r="I191" s="339" t="inlineStr">
        <is>
          <t>117</t>
        </is>
      </c>
      <c r="J191" s="339" t="n">
        <v>117</v>
      </c>
      <c r="K191" s="339" t="n">
        <v>98</v>
      </c>
      <c r="L191" s="339" t="n">
        <v>35</v>
      </c>
      <c r="M191" s="339" t="inlineStr">
        <is>
          <t>계단식</t>
        </is>
      </c>
      <c r="N191" s="339" t="n">
        <v>3</v>
      </c>
      <c r="O191" s="339" t="n">
        <v>2</v>
      </c>
      <c r="P191" s="339" t="n">
        <v>359</v>
      </c>
      <c r="Q191" s="485" t="n"/>
      <c r="R191" s="516" t="inlineStr">
        <is>
          <t>-</t>
        </is>
      </c>
      <c r="S191" s="477">
        <f>Q191-R191</f>
        <v/>
      </c>
      <c r="T191" s="71">
        <f>R191/Q191</f>
        <v/>
      </c>
      <c r="U191" s="486" t="n">
        <v>31000</v>
      </c>
      <c r="V191" s="486" t="n">
        <v>20000</v>
      </c>
      <c r="W191" s="339" t="inlineStr">
        <is>
          <t>계단식</t>
        </is>
      </c>
      <c r="X191" s="339" t="n">
        <v>3</v>
      </c>
      <c r="Y191" s="339" t="n">
        <v>2</v>
      </c>
      <c r="Z191" s="339" t="n">
        <v>359</v>
      </c>
      <c r="AA191" s="339" t="n">
        <v>2019.08</v>
      </c>
      <c r="AB191" s="339" t="n">
        <v>0.05</v>
      </c>
      <c r="AC191" s="164">
        <f>L191</f>
        <v/>
      </c>
      <c r="AD191" s="405" t="n">
        <v>19918</v>
      </c>
      <c r="AE191" s="405" t="n">
        <v>16000</v>
      </c>
      <c r="AF191" s="140">
        <f>AE191/AD191</f>
        <v/>
      </c>
      <c r="AG191" s="147">
        <f>AD191-AE191</f>
        <v/>
      </c>
      <c r="AH191" s="339" t="n">
        <v>2026.04</v>
      </c>
      <c r="AI191" s="339" t="n"/>
      <c r="AJ191" s="339">
        <f>AI191-AD191</f>
        <v/>
      </c>
      <c r="AK191" s="129">
        <f>(AI191-AD191)/AD191</f>
        <v/>
      </c>
      <c r="AL191" s="339">
        <f>AJ191/AG191</f>
        <v/>
      </c>
      <c r="AM191" s="357" t="n"/>
      <c r="AO191" s="339" t="n"/>
      <c r="AP191" s="339" t="n"/>
      <c r="AQ191" s="339" t="n"/>
      <c r="AR191" s="339" t="n"/>
      <c r="AS191" s="339" t="n"/>
      <c r="AT191" s="339" t="n"/>
      <c r="AU191" s="339" t="n"/>
      <c r="AW191" s="339" t="n"/>
      <c r="AX191" s="339" t="n"/>
      <c r="AY191" s="339" t="n"/>
    </row>
    <row r="192" ht="15.5" customHeight="1" s="139">
      <c r="A192" s="339" t="inlineStr">
        <is>
          <t>안서동</t>
        </is>
      </c>
      <c r="B192" s="164" t="n"/>
      <c r="C192" s="164" t="n"/>
      <c r="D192" s="339" t="n">
        <v>10920</v>
      </c>
      <c r="E192" s="150" t="inlineStr">
        <is>
          <t>부경파크빌2차</t>
        </is>
      </c>
      <c r="F192" s="339" t="n">
        <v>2004.07</v>
      </c>
      <c r="G192" s="339" t="n">
        <v>487</v>
      </c>
      <c r="H192" s="339">
        <f>2026-F192+1</f>
        <v/>
      </c>
      <c r="I192" s="339" t="inlineStr">
        <is>
          <t>185</t>
        </is>
      </c>
      <c r="J192" s="339" t="n">
        <v>185</v>
      </c>
      <c r="K192" s="339" t="n">
        <v>141</v>
      </c>
      <c r="L192" s="339" t="n">
        <v>56</v>
      </c>
      <c r="M192" s="339" t="inlineStr">
        <is>
          <t>계단식</t>
        </is>
      </c>
      <c r="N192" s="339" t="n">
        <v>4</v>
      </c>
      <c r="O192" s="339" t="n">
        <v>2</v>
      </c>
      <c r="P192" s="339" t="n">
        <v>11</v>
      </c>
      <c r="Q192" s="432" t="n"/>
      <c r="R192" s="517" t="inlineStr">
        <is>
          <t>-</t>
        </is>
      </c>
      <c r="S192" s="477">
        <f>Q192-R192</f>
        <v/>
      </c>
      <c r="T192" s="71">
        <f>R192/Q192</f>
        <v/>
      </c>
      <c r="U192" s="518" t="n">
        <v>27500</v>
      </c>
      <c r="V192" s="518" t="n"/>
      <c r="W192" s="339" t="inlineStr">
        <is>
          <t>계단식</t>
        </is>
      </c>
      <c r="X192" s="339" t="n">
        <v>4</v>
      </c>
      <c r="Y192" s="339" t="n">
        <v>2</v>
      </c>
      <c r="Z192" s="339" t="n">
        <v>11</v>
      </c>
      <c r="AC192" s="339">
        <f>L192</f>
        <v/>
      </c>
      <c r="AD192" s="405" t="n"/>
      <c r="AE192" s="405" t="n"/>
      <c r="AF192" s="140">
        <f>AE192/AD192</f>
        <v/>
      </c>
      <c r="AG192" s="147">
        <f>AD192-AE192</f>
        <v/>
      </c>
      <c r="AH192" s="339" t="n">
        <v>2026.04</v>
      </c>
      <c r="AI192" s="339" t="n"/>
      <c r="AJ192" s="339">
        <f>AI192-AD192</f>
        <v/>
      </c>
      <c r="AK192" s="129">
        <f>(AI192-AD192)/AD192</f>
        <v/>
      </c>
      <c r="AL192" s="339">
        <f>AJ192/AG192</f>
        <v/>
      </c>
      <c r="AM192" s="357" t="n"/>
    </row>
    <row r="193" ht="17" customHeight="1" s="139">
      <c r="A193" s="339" t="inlineStr">
        <is>
          <t>안서동</t>
        </is>
      </c>
      <c r="B193" s="164" t="n"/>
      <c r="C193" s="164" t="n"/>
      <c r="D193" s="339" t="n">
        <v>10920</v>
      </c>
      <c r="E193" s="150" t="inlineStr">
        <is>
          <t>부경파크빌2차</t>
        </is>
      </c>
      <c r="F193" s="339" t="n">
        <v>2004.07</v>
      </c>
      <c r="G193" s="339" t="n">
        <v>487</v>
      </c>
      <c r="H193" s="339">
        <f>2026-F193+1</f>
        <v/>
      </c>
      <c r="I193" s="339" t="inlineStr">
        <is>
          <t>206</t>
        </is>
      </c>
      <c r="J193" s="339" t="n">
        <v>206</v>
      </c>
      <c r="K193" s="339" t="n">
        <v>160</v>
      </c>
      <c r="L193" s="339" t="n">
        <v>62</v>
      </c>
      <c r="M193" s="339" t="inlineStr">
        <is>
          <t>계단식</t>
        </is>
      </c>
      <c r="N193" s="339" t="n">
        <v>5</v>
      </c>
      <c r="O193" s="339" t="n">
        <v>2</v>
      </c>
      <c r="P193" s="339" t="n">
        <v>30</v>
      </c>
      <c r="Q193" s="432" t="n"/>
      <c r="R193" s="517" t="inlineStr">
        <is>
          <t>-</t>
        </is>
      </c>
      <c r="S193" s="477">
        <f>Q193-R193</f>
        <v/>
      </c>
      <c r="T193" s="71">
        <f>R193/Q193</f>
        <v/>
      </c>
      <c r="U193" s="518" t="n">
        <v>36000</v>
      </c>
      <c r="V193" s="518" t="n">
        <v>30000</v>
      </c>
      <c r="W193" s="339" t="inlineStr">
        <is>
          <t>계단식</t>
        </is>
      </c>
      <c r="X193" s="339" t="n">
        <v>5</v>
      </c>
      <c r="Y193" s="339" t="n">
        <v>2</v>
      </c>
      <c r="Z193" s="339" t="n">
        <v>30</v>
      </c>
      <c r="AC193" s="339">
        <f>L193</f>
        <v/>
      </c>
      <c r="AD193" s="405" t="n"/>
      <c r="AE193" s="405" t="n"/>
      <c r="AF193" s="140">
        <f>AE193/AD193</f>
        <v/>
      </c>
      <c r="AG193" s="147">
        <f>AD193-AE193</f>
        <v/>
      </c>
      <c r="AH193" s="339" t="n">
        <v>2026.04</v>
      </c>
      <c r="AI193" s="339" t="n"/>
      <c r="AJ193" s="339">
        <f>AI193-AD193</f>
        <v/>
      </c>
      <c r="AK193" s="129">
        <f>(AI193-AD193)/AD193</f>
        <v/>
      </c>
      <c r="AL193" s="339">
        <f>AJ193/AG193</f>
        <v/>
      </c>
      <c r="AM193" s="357" t="n"/>
    </row>
    <row r="194" ht="17" customHeight="1" s="139">
      <c r="A194" s="132" t="inlineStr">
        <is>
          <t>안서동</t>
        </is>
      </c>
      <c r="B194" s="88" t="n"/>
      <c r="C194" s="89" t="n"/>
      <c r="D194" s="132" t="n">
        <v>100381</v>
      </c>
      <c r="E194" s="135" t="inlineStr">
        <is>
          <t>동보</t>
        </is>
      </c>
      <c r="F194" s="132" t="n">
        <v>1996.05</v>
      </c>
      <c r="G194" s="132" t="n">
        <v>615</v>
      </c>
      <c r="H194" s="132">
        <f>2026-F194+1</f>
        <v/>
      </c>
      <c r="I194" s="132" t="inlineStr">
        <is>
          <t>39</t>
        </is>
      </c>
      <c r="J194" s="132" t="n">
        <v>39</v>
      </c>
      <c r="K194" s="132" t="n">
        <v>32</v>
      </c>
      <c r="L194" s="132" t="n">
        <v>12</v>
      </c>
      <c r="M194" s="132" t="inlineStr">
        <is>
          <t>복도식</t>
        </is>
      </c>
      <c r="N194" s="132" t="n">
        <v>2</v>
      </c>
      <c r="O194" s="132" t="n">
        <v>1</v>
      </c>
      <c r="P194" s="132" t="n">
        <v>1</v>
      </c>
      <c r="Q194" s="519" t="n"/>
      <c r="R194" s="520" t="inlineStr">
        <is>
          <t>-</t>
        </is>
      </c>
      <c r="S194" s="477">
        <f>Q194-R194</f>
        <v/>
      </c>
      <c r="T194" s="71">
        <f>R194/Q194</f>
        <v/>
      </c>
      <c r="U194" s="521" t="n"/>
      <c r="V194" s="521" t="n"/>
      <c r="W194" s="339" t="inlineStr">
        <is>
          <t>복도식</t>
        </is>
      </c>
      <c r="X194" s="339" t="n">
        <v>2</v>
      </c>
      <c r="Y194" s="339" t="n">
        <v>1</v>
      </c>
      <c r="Z194" s="339" t="n">
        <v>1</v>
      </c>
      <c r="AA194" s="133" t="n"/>
      <c r="AB194" s="133" t="n"/>
      <c r="AC194" s="134">
        <f>L194</f>
        <v/>
      </c>
      <c r="AD194" s="487" t="n"/>
      <c r="AE194" s="487" t="n"/>
      <c r="AF194" s="145">
        <f>AE194/AD194</f>
        <v/>
      </c>
      <c r="AG194" s="146">
        <f>AD194-AE194</f>
        <v/>
      </c>
      <c r="AH194" s="339" t="n">
        <v>2026.04</v>
      </c>
      <c r="AI194" s="339" t="n"/>
      <c r="AJ194" s="339">
        <f>AI194-AD194</f>
        <v/>
      </c>
      <c r="AK194" s="129">
        <f>(AI194-AD194)/AD194</f>
        <v/>
      </c>
      <c r="AL194" s="145">
        <f>AJ194/AG194</f>
        <v/>
      </c>
      <c r="AM194" s="111" t="n"/>
      <c r="AN194" s="133" t="n"/>
      <c r="AV194" s="133" t="n"/>
    </row>
    <row r="195" ht="17" customHeight="1" s="139">
      <c r="A195" s="132" t="inlineStr">
        <is>
          <t>안서동</t>
        </is>
      </c>
      <c r="B195" s="88" t="n"/>
      <c r="C195" s="89" t="n"/>
      <c r="D195" s="132" t="n">
        <v>100381</v>
      </c>
      <c r="E195" s="135" t="inlineStr">
        <is>
          <t>동보</t>
        </is>
      </c>
      <c r="F195" s="132" t="n">
        <v>1996.05</v>
      </c>
      <c r="G195" s="132" t="n">
        <v>615</v>
      </c>
      <c r="H195" s="132">
        <f>2026-F195+1</f>
        <v/>
      </c>
      <c r="I195" s="132" t="inlineStr">
        <is>
          <t>46</t>
        </is>
      </c>
      <c r="J195" s="132" t="n">
        <v>46</v>
      </c>
      <c r="K195" s="132" t="n">
        <v>37</v>
      </c>
      <c r="L195" s="132" t="n">
        <v>14</v>
      </c>
      <c r="M195" s="132" t="inlineStr">
        <is>
          <t>복도식</t>
        </is>
      </c>
      <c r="N195" s="132" t="n">
        <v>2</v>
      </c>
      <c r="O195" s="132" t="n">
        <v>1</v>
      </c>
      <c r="P195" s="132" t="n">
        <v>1</v>
      </c>
      <c r="Q195" s="519" t="n"/>
      <c r="R195" s="520" t="inlineStr">
        <is>
          <t>-</t>
        </is>
      </c>
      <c r="S195" s="477">
        <f>Q195-R195</f>
        <v/>
      </c>
      <c r="T195" s="71">
        <f>R195/Q195</f>
        <v/>
      </c>
      <c r="U195" s="521" t="n"/>
      <c r="V195" s="521" t="n"/>
      <c r="W195" s="339" t="inlineStr">
        <is>
          <t>복도식</t>
        </is>
      </c>
      <c r="X195" s="339" t="n">
        <v>2</v>
      </c>
      <c r="Y195" s="339" t="n">
        <v>1</v>
      </c>
      <c r="Z195" s="339" t="n">
        <v>1</v>
      </c>
      <c r="AA195" s="133" t="n"/>
      <c r="AB195" s="133" t="n"/>
      <c r="AC195" s="134">
        <f>L195</f>
        <v/>
      </c>
      <c r="AD195" s="487" t="n"/>
      <c r="AE195" s="487" t="n"/>
      <c r="AF195" s="145">
        <f>AE195/AD195</f>
        <v/>
      </c>
      <c r="AG195" s="146">
        <f>AD195-AE195</f>
        <v/>
      </c>
      <c r="AH195" s="339" t="n">
        <v>2026.04</v>
      </c>
      <c r="AI195" s="339" t="n"/>
      <c r="AJ195" s="339">
        <f>AI195-AD195</f>
        <v/>
      </c>
      <c r="AK195" s="129">
        <f>(AI195-AD195)/AD195</f>
        <v/>
      </c>
      <c r="AL195" s="145">
        <f>AJ195/AG195</f>
        <v/>
      </c>
      <c r="AM195" s="111" t="n"/>
      <c r="AN195" s="133" t="n"/>
      <c r="AV195" s="133" t="n"/>
    </row>
    <row r="196" ht="17" customHeight="1" s="139">
      <c r="A196" s="132" t="inlineStr">
        <is>
          <t>안서동</t>
        </is>
      </c>
      <c r="B196" s="88" t="n"/>
      <c r="C196" s="89" t="n"/>
      <c r="D196" s="132" t="n">
        <v>100381</v>
      </c>
      <c r="E196" s="135" t="inlineStr">
        <is>
          <t>동보</t>
        </is>
      </c>
      <c r="F196" s="132" t="n">
        <v>1996.05</v>
      </c>
      <c r="G196" s="132" t="n">
        <v>615</v>
      </c>
      <c r="H196" s="132">
        <f>2026-F196+1</f>
        <v/>
      </c>
      <c r="I196" s="132" t="inlineStr">
        <is>
          <t>99</t>
        </is>
      </c>
      <c r="J196" s="132" t="n">
        <v>99</v>
      </c>
      <c r="K196" s="132" t="n">
        <v>86</v>
      </c>
      <c r="L196" s="132" t="n">
        <v>30</v>
      </c>
      <c r="M196" s="132" t="inlineStr">
        <is>
          <t>복도식</t>
        </is>
      </c>
      <c r="N196" s="132" t="n">
        <v>3</v>
      </c>
      <c r="O196" s="132" t="n">
        <v>1</v>
      </c>
      <c r="P196" s="132" t="n">
        <v>1</v>
      </c>
      <c r="Q196" s="519" t="n"/>
      <c r="R196" s="520" t="inlineStr">
        <is>
          <t>-</t>
        </is>
      </c>
      <c r="S196" s="477">
        <f>Q196-R196</f>
        <v/>
      </c>
      <c r="T196" s="71">
        <f>R196/Q196</f>
        <v/>
      </c>
      <c r="U196" s="521" t="n"/>
      <c r="V196" s="521" t="n"/>
      <c r="W196" s="339" t="inlineStr">
        <is>
          <t>복도식</t>
        </is>
      </c>
      <c r="X196" s="339" t="n">
        <v>3</v>
      </c>
      <c r="Y196" s="339" t="n">
        <v>1</v>
      </c>
      <c r="Z196" s="339" t="n">
        <v>1</v>
      </c>
      <c r="AA196" s="133" t="n"/>
      <c r="AB196" s="133" t="n"/>
      <c r="AC196" s="134">
        <f>L196</f>
        <v/>
      </c>
      <c r="AD196" s="487" t="n"/>
      <c r="AE196" s="487" t="n"/>
      <c r="AF196" s="145">
        <f>AE196/AD196</f>
        <v/>
      </c>
      <c r="AG196" s="146">
        <f>AD196-AE196</f>
        <v/>
      </c>
      <c r="AH196" s="339" t="n">
        <v>2026.04</v>
      </c>
      <c r="AJ196" s="339">
        <f>AI196-AD196</f>
        <v/>
      </c>
      <c r="AK196" s="129">
        <f>(AI196-AD196)/AD196</f>
        <v/>
      </c>
      <c r="AL196" s="145">
        <f>AJ196/AG196</f>
        <v/>
      </c>
      <c r="AM196" s="111" t="n"/>
      <c r="AN196" s="133" t="n"/>
      <c r="AV196" s="133" t="n"/>
    </row>
    <row r="197" ht="17" customHeight="1" s="139">
      <c r="A197" s="132" t="inlineStr">
        <is>
          <t>안서동</t>
        </is>
      </c>
      <c r="B197" s="88" t="n"/>
      <c r="C197" s="89" t="n"/>
      <c r="D197" s="132" t="n">
        <v>100381</v>
      </c>
      <c r="E197" s="135" t="inlineStr">
        <is>
          <t>동보</t>
        </is>
      </c>
      <c r="F197" s="132" t="n">
        <v>1996.05</v>
      </c>
      <c r="G197" s="132" t="n">
        <v>615</v>
      </c>
      <c r="H197" s="132">
        <f>2026-F197+1</f>
        <v/>
      </c>
      <c r="I197" s="132" t="inlineStr">
        <is>
          <t>35</t>
        </is>
      </c>
      <c r="J197" s="132" t="n">
        <v>35</v>
      </c>
      <c r="K197" s="132" t="n">
        <v>24</v>
      </c>
      <c r="L197" s="132" t="n">
        <v>11</v>
      </c>
      <c r="M197" s="132" t="inlineStr">
        <is>
          <t>복도식</t>
        </is>
      </c>
      <c r="N197" s="132" t="n">
        <v>1</v>
      </c>
      <c r="O197" s="132" t="n">
        <v>1</v>
      </c>
      <c r="P197" s="132" t="n">
        <v>615</v>
      </c>
      <c r="Q197" s="519" t="n"/>
      <c r="R197" s="520" t="inlineStr">
        <is>
          <t>-</t>
        </is>
      </c>
      <c r="S197" s="477">
        <f>Q197-R197</f>
        <v/>
      </c>
      <c r="T197" s="71">
        <f>R197/Q197</f>
        <v/>
      </c>
      <c r="U197" s="521" t="n">
        <v>6400</v>
      </c>
      <c r="V197" s="521" t="n">
        <v>4100</v>
      </c>
      <c r="W197" s="339" t="inlineStr">
        <is>
          <t>복도식</t>
        </is>
      </c>
      <c r="X197" s="339" t="n">
        <v>1</v>
      </c>
      <c r="Y197" s="339" t="n">
        <v>1</v>
      </c>
      <c r="Z197" s="339" t="n">
        <v>615</v>
      </c>
      <c r="AA197" s="133" t="n">
        <v>2020.01</v>
      </c>
      <c r="AB197" s="133" t="n">
        <v>0.01</v>
      </c>
      <c r="AC197" s="134">
        <f>L197</f>
        <v/>
      </c>
      <c r="AD197" s="487" t="n">
        <v>5257</v>
      </c>
      <c r="AE197" s="487" t="n">
        <v>4333</v>
      </c>
      <c r="AF197" s="145">
        <f>AE197/AD197</f>
        <v/>
      </c>
      <c r="AG197" s="146">
        <f>AD197-AE197</f>
        <v/>
      </c>
      <c r="AH197" s="339" t="n">
        <v>2026.04</v>
      </c>
      <c r="AI197" s="339" t="n"/>
      <c r="AJ197" s="339">
        <f>AI197-AD197</f>
        <v/>
      </c>
      <c r="AK197" s="129">
        <f>(AI197-AD197)/AD197</f>
        <v/>
      </c>
      <c r="AL197" s="145">
        <f>AJ197/AG197</f>
        <v/>
      </c>
      <c r="AM197" s="111" t="n"/>
      <c r="AN197" s="133" t="n"/>
      <c r="AO197" s="339" t="n"/>
      <c r="AP197" s="339" t="n"/>
      <c r="AQ197" s="339" t="n"/>
      <c r="AR197" s="339" t="n"/>
      <c r="AS197" s="339" t="n"/>
      <c r="AT197" s="339" t="n"/>
      <c r="AU197" s="339" t="n"/>
      <c r="AV197" s="133" t="n"/>
      <c r="AW197" s="339" t="n"/>
      <c r="AX197" s="339" t="n"/>
      <c r="AY197" s="339" t="n"/>
    </row>
    <row r="198" ht="17" customHeight="1" s="139">
      <c r="A198" s="339" t="inlineStr">
        <is>
          <t>안서동</t>
        </is>
      </c>
      <c r="D198" s="339" t="n">
        <v>10920</v>
      </c>
      <c r="E198" s="150" t="inlineStr">
        <is>
          <t>부경파크빌2차</t>
        </is>
      </c>
      <c r="F198" s="339" t="n">
        <v>2004.07</v>
      </c>
      <c r="G198" s="339" t="n">
        <v>487</v>
      </c>
      <c r="H198" s="339">
        <f>2026-F198+1</f>
        <v/>
      </c>
      <c r="I198" s="339" t="inlineStr">
        <is>
          <t>174, 179</t>
        </is>
      </c>
      <c r="J198" s="339" t="n">
        <v>174</v>
      </c>
      <c r="K198" s="339" t="n">
        <v>135</v>
      </c>
      <c r="L198" s="339" t="n">
        <v>53</v>
      </c>
      <c r="M198" s="339" t="inlineStr">
        <is>
          <t>계단식</t>
        </is>
      </c>
      <c r="N198" s="339" t="n">
        <v>4</v>
      </c>
      <c r="O198" s="339" t="n">
        <v>2</v>
      </c>
      <c r="P198" s="339" t="n">
        <v>150</v>
      </c>
      <c r="Q198" s="432" t="n"/>
      <c r="R198" s="517" t="inlineStr">
        <is>
          <t>-</t>
        </is>
      </c>
      <c r="S198" s="477">
        <f>Q198-R198</f>
        <v/>
      </c>
      <c r="T198" s="71">
        <f>R198/Q198</f>
        <v/>
      </c>
      <c r="U198" s="518" t="n">
        <v>29000</v>
      </c>
      <c r="V198" s="518" t="n">
        <v>22500</v>
      </c>
      <c r="W198" s="339" t="inlineStr">
        <is>
          <t>계단식</t>
        </is>
      </c>
      <c r="X198" s="339" t="n">
        <v>4</v>
      </c>
      <c r="Y198" s="339" t="n">
        <v>2</v>
      </c>
      <c r="Z198" s="339" t="n">
        <v>150</v>
      </c>
      <c r="AA198" s="337" t="n">
        <v>2026.03</v>
      </c>
      <c r="AB198" s="339" t="n">
        <v>0.02</v>
      </c>
      <c r="AC198" s="339">
        <f>L198</f>
        <v/>
      </c>
      <c r="AD198" s="405" t="n">
        <v>19750</v>
      </c>
      <c r="AE198" s="405" t="n">
        <v>18000</v>
      </c>
      <c r="AF198" s="140">
        <f>AE198/AD198</f>
        <v/>
      </c>
      <c r="AG198" s="147">
        <f>AD198-AE198</f>
        <v/>
      </c>
      <c r="AH198" s="339" t="n">
        <v>2026.04</v>
      </c>
      <c r="AI198" s="405" t="n"/>
      <c r="AJ198" s="405">
        <f>AI198-AD198</f>
        <v/>
      </c>
      <c r="AK198" s="129">
        <f>(AI198-AD198)/AD198</f>
        <v/>
      </c>
      <c r="AL198" s="140">
        <f>AJ198/AG198</f>
        <v/>
      </c>
    </row>
    <row r="199" ht="17" customHeight="1" s="139">
      <c r="A199" s="339" t="inlineStr">
        <is>
          <t>안서동</t>
        </is>
      </c>
      <c r="B199" s="164" t="n"/>
      <c r="C199" s="164" t="n"/>
      <c r="D199" s="339" t="n">
        <v>27431</v>
      </c>
      <c r="E199" s="150" t="inlineStr">
        <is>
          <t>안서금호어울림</t>
        </is>
      </c>
      <c r="F199" s="339" t="n">
        <v>2009.08</v>
      </c>
      <c r="G199" s="339" t="n">
        <v>498</v>
      </c>
      <c r="H199" s="339">
        <f>2026-F199+1</f>
        <v/>
      </c>
      <c r="I199" s="339" t="inlineStr">
        <is>
          <t>131</t>
        </is>
      </c>
      <c r="J199" s="339" t="n">
        <v>131</v>
      </c>
      <c r="K199" s="339" t="n">
        <v>99</v>
      </c>
      <c r="L199" s="339" t="n">
        <v>40</v>
      </c>
      <c r="M199" s="339" t="inlineStr">
        <is>
          <t>계단식</t>
        </is>
      </c>
      <c r="N199" s="339" t="n">
        <v>4</v>
      </c>
      <c r="O199" s="339" t="n">
        <v>2</v>
      </c>
      <c r="P199" s="339" t="n">
        <v>74</v>
      </c>
      <c r="Q199" s="432" t="n"/>
      <c r="R199" s="517" t="inlineStr">
        <is>
          <t>-</t>
        </is>
      </c>
      <c r="S199" s="477">
        <f>Q199-R199</f>
        <v/>
      </c>
      <c r="T199" s="71">
        <f>R199/Q199</f>
        <v/>
      </c>
      <c r="U199" s="518" t="n">
        <v>27800</v>
      </c>
      <c r="V199" s="518" t="n">
        <v>25000</v>
      </c>
      <c r="W199" s="339" t="inlineStr">
        <is>
          <t>계단식</t>
        </is>
      </c>
      <c r="X199" s="339" t="n">
        <v>4</v>
      </c>
      <c r="Y199" s="339" t="n">
        <v>2</v>
      </c>
      <c r="Z199" s="339" t="n">
        <v>74</v>
      </c>
      <c r="AA199" s="339" t="n">
        <v>2020.1</v>
      </c>
      <c r="AB199" s="339" t="n">
        <v>1.04</v>
      </c>
      <c r="AC199" s="339">
        <f>L199</f>
        <v/>
      </c>
      <c r="AD199" s="405" t="n">
        <v>20650</v>
      </c>
      <c r="AE199" s="405" t="n">
        <v>19000</v>
      </c>
      <c r="AF199" s="140">
        <f>AE199/AD199</f>
        <v/>
      </c>
      <c r="AG199" s="147">
        <f>AD199-AE199</f>
        <v/>
      </c>
      <c r="AH199" s="339" t="n">
        <v>2026.04</v>
      </c>
      <c r="AI199" s="339" t="n"/>
      <c r="AJ199" s="339">
        <f>AI199-AD199</f>
        <v/>
      </c>
      <c r="AK199" s="129">
        <f>(AI199-AD199)/AD199</f>
        <v/>
      </c>
      <c r="AL199" s="339">
        <f>AJ199/AG199</f>
        <v/>
      </c>
      <c r="AM199" s="357" t="n"/>
    </row>
    <row r="200" ht="17" customHeight="1" s="139">
      <c r="A200" s="132" t="inlineStr">
        <is>
          <t>안서동</t>
        </is>
      </c>
      <c r="B200" s="133" t="n"/>
      <c r="C200" s="133" t="n"/>
      <c r="D200" s="132" t="n">
        <v>17432</v>
      </c>
      <c r="E200" s="135" t="inlineStr">
        <is>
          <t>안서e-편한세상1차</t>
        </is>
      </c>
      <c r="F200" s="132" t="n">
        <v>2005.08</v>
      </c>
      <c r="G200" s="132" t="n">
        <v>492</v>
      </c>
      <c r="H200" s="132">
        <f>2026-F200+1</f>
        <v/>
      </c>
      <c r="I200" s="132" t="inlineStr">
        <is>
          <t>126</t>
        </is>
      </c>
      <c r="J200" s="132" t="n">
        <v>126</v>
      </c>
      <c r="K200" s="132" t="n">
        <v>101</v>
      </c>
      <c r="L200" s="132" t="n">
        <v>38</v>
      </c>
      <c r="M200" s="132" t="inlineStr">
        <is>
          <t>계단식</t>
        </is>
      </c>
      <c r="N200" s="132" t="n">
        <v>3</v>
      </c>
      <c r="O200" s="132" t="n">
        <v>2</v>
      </c>
      <c r="P200" s="132" t="n">
        <v>177</v>
      </c>
      <c r="Q200" s="519" t="n"/>
      <c r="R200" s="520" t="inlineStr">
        <is>
          <t>-</t>
        </is>
      </c>
      <c r="S200" s="477">
        <f>Q200-R200</f>
        <v/>
      </c>
      <c r="T200" s="71">
        <f>R200/Q200</f>
        <v/>
      </c>
      <c r="U200" s="521" t="n">
        <v>28500</v>
      </c>
      <c r="V200" s="521" t="n">
        <v>18000</v>
      </c>
      <c r="W200" s="339" t="inlineStr">
        <is>
          <t>계단식</t>
        </is>
      </c>
      <c r="X200" s="339" t="n">
        <v>3</v>
      </c>
      <c r="Y200" s="339" t="n">
        <v>2</v>
      </c>
      <c r="Z200" s="339" t="n">
        <v>177</v>
      </c>
      <c r="AA200" s="133" t="n">
        <v>2020.1</v>
      </c>
      <c r="AB200" s="133" t="n">
        <v>0.01</v>
      </c>
      <c r="AC200" s="134">
        <f>L200</f>
        <v/>
      </c>
      <c r="AD200" s="487" t="n">
        <v>21270</v>
      </c>
      <c r="AE200" s="487" t="n">
        <v>18500</v>
      </c>
      <c r="AF200" s="145">
        <f>AE200/AD200</f>
        <v/>
      </c>
      <c r="AG200" s="146">
        <f>AD200-AE200</f>
        <v/>
      </c>
      <c r="AH200" s="339" t="n">
        <v>2026.04</v>
      </c>
      <c r="AI200" s="339" t="n"/>
      <c r="AJ200" s="339">
        <f>AI200-AD200</f>
        <v/>
      </c>
      <c r="AK200" s="129">
        <f>(AI200-AD200)/AD200</f>
        <v/>
      </c>
      <c r="AL200" s="145">
        <f>AJ200/AG200</f>
        <v/>
      </c>
      <c r="AM200" s="141" t="n"/>
      <c r="AN200" s="133" t="n"/>
      <c r="AV200" s="132">
        <f t="array" ref="AV200">- 단지 선택 : 생활권별 상중하 (or 모르겠으면 전부다)</f>
        <v/>
      </c>
    </row>
    <row r="201" ht="17" customHeight="1" s="139">
      <c r="A201" s="132" t="inlineStr">
        <is>
          <t>안서동</t>
        </is>
      </c>
      <c r="B201" s="133" t="n"/>
      <c r="C201" s="133" t="n"/>
      <c r="D201" s="132" t="n">
        <v>17432</v>
      </c>
      <c r="E201" s="135" t="inlineStr">
        <is>
          <t>안서e-편한세상1차</t>
        </is>
      </c>
      <c r="F201" s="132" t="n">
        <v>2005.08</v>
      </c>
      <c r="G201" s="132" t="n">
        <v>492</v>
      </c>
      <c r="H201" s="132">
        <f>2026-F201+1</f>
        <v/>
      </c>
      <c r="I201" s="132" t="inlineStr">
        <is>
          <t>149</t>
        </is>
      </c>
      <c r="J201" s="132" t="n">
        <v>149</v>
      </c>
      <c r="K201" s="132" t="n">
        <v>120</v>
      </c>
      <c r="L201" s="132" t="n">
        <v>45</v>
      </c>
      <c r="M201" s="132" t="inlineStr">
        <is>
          <t>계단식</t>
        </is>
      </c>
      <c r="N201" s="132" t="n">
        <v>4</v>
      </c>
      <c r="O201" s="132" t="n">
        <v>2</v>
      </c>
      <c r="P201" s="132" t="n">
        <v>199</v>
      </c>
      <c r="Q201" s="519" t="n"/>
      <c r="R201" s="520" t="inlineStr">
        <is>
          <t>-</t>
        </is>
      </c>
      <c r="S201" s="477">
        <f>Q201-R201</f>
        <v/>
      </c>
      <c r="T201" s="71">
        <f>R201/Q201</f>
        <v/>
      </c>
      <c r="U201" s="521" t="n">
        <v>37000</v>
      </c>
      <c r="V201" s="521" t="n">
        <v>25500</v>
      </c>
      <c r="W201" s="339" t="inlineStr">
        <is>
          <t>계단식</t>
        </is>
      </c>
      <c r="X201" s="339" t="n">
        <v>4</v>
      </c>
      <c r="Y201" s="339" t="n">
        <v>2</v>
      </c>
      <c r="Z201" s="339" t="n">
        <v>199</v>
      </c>
      <c r="AA201" s="133" t="n">
        <v>2026.01</v>
      </c>
      <c r="AB201" s="133" t="n">
        <v>0.01</v>
      </c>
      <c r="AC201" s="134">
        <f>L201</f>
        <v/>
      </c>
      <c r="AD201" s="487" t="n">
        <v>22825</v>
      </c>
      <c r="AE201" s="487" t="n">
        <v>22000</v>
      </c>
      <c r="AF201" s="145">
        <f>AE201/AD201</f>
        <v/>
      </c>
      <c r="AG201" s="146">
        <f>AD201-AE201</f>
        <v/>
      </c>
      <c r="AH201" s="339" t="n">
        <v>2026.04</v>
      </c>
      <c r="AI201" s="339" t="n"/>
      <c r="AJ201" s="339">
        <f>AI201-AD201</f>
        <v/>
      </c>
      <c r="AK201" s="129">
        <f>(AI201-AD201)/AD201</f>
        <v/>
      </c>
      <c r="AL201" s="145">
        <f>AJ201/AG201</f>
        <v/>
      </c>
      <c r="AM201" s="141" t="n"/>
      <c r="AN201" s="133" t="n"/>
      <c r="AV201" s="132" t="inlineStr">
        <is>
          <t>&gt;&gt;&gt; 외곽신축, 외곽 애매준신축, 외곽 비선호구축 등으로 단지 특징 기재</t>
        </is>
      </c>
    </row>
    <row r="202" ht="17" customHeight="1" s="139">
      <c r="A202" s="339" t="inlineStr">
        <is>
          <t>안서동</t>
        </is>
      </c>
      <c r="B202" s="164" t="n"/>
      <c r="C202" s="164" t="n"/>
      <c r="D202" s="339" t="n">
        <v>27431</v>
      </c>
      <c r="E202" s="150" t="inlineStr">
        <is>
          <t>안서금호어울림</t>
        </is>
      </c>
      <c r="F202" s="339" t="n">
        <v>2009.08</v>
      </c>
      <c r="G202" s="339" t="n">
        <v>498</v>
      </c>
      <c r="H202" s="339">
        <f>2026-F202+1</f>
        <v/>
      </c>
      <c r="I202" s="339" t="inlineStr">
        <is>
          <t>163</t>
        </is>
      </c>
      <c r="J202" s="339" t="n">
        <v>163</v>
      </c>
      <c r="K202" s="339" t="n">
        <v>129</v>
      </c>
      <c r="L202" s="339" t="n">
        <v>49</v>
      </c>
      <c r="M202" s="339" t="inlineStr">
        <is>
          <t>계단식</t>
        </is>
      </c>
      <c r="N202" s="339" t="n">
        <v>3</v>
      </c>
      <c r="O202" s="339" t="n">
        <v>2</v>
      </c>
      <c r="P202" s="339" t="n">
        <v>82</v>
      </c>
      <c r="Q202" s="432" t="n"/>
      <c r="R202" s="517" t="inlineStr">
        <is>
          <t>-</t>
        </is>
      </c>
      <c r="S202" s="477">
        <f>Q202-R202</f>
        <v/>
      </c>
      <c r="T202" s="71">
        <f>R202/Q202</f>
        <v/>
      </c>
      <c r="U202" s="518" t="n">
        <v>34000</v>
      </c>
      <c r="V202" s="518" t="n">
        <v>23760</v>
      </c>
      <c r="W202" s="339" t="inlineStr">
        <is>
          <t>계단식</t>
        </is>
      </c>
      <c r="X202" s="339" t="n">
        <v>3</v>
      </c>
      <c r="Y202" s="339" t="n">
        <v>2</v>
      </c>
      <c r="Z202" s="339" t="n">
        <v>82</v>
      </c>
      <c r="AA202" s="339" t="n">
        <v>2020.08</v>
      </c>
      <c r="AB202" s="339" t="n">
        <v>0.09</v>
      </c>
      <c r="AC202" s="339">
        <f>L202</f>
        <v/>
      </c>
      <c r="AD202" s="405" t="n">
        <v>23425</v>
      </c>
      <c r="AE202" s="405" t="n">
        <v>20000</v>
      </c>
      <c r="AF202" s="140">
        <f>AE202/AD202</f>
        <v/>
      </c>
      <c r="AG202" s="147">
        <f>AD202-AE202</f>
        <v/>
      </c>
      <c r="AH202" s="339" t="n">
        <v>2026.04</v>
      </c>
      <c r="AI202" s="339" t="n"/>
      <c r="AJ202" s="339">
        <f>AI202-AD202</f>
        <v/>
      </c>
      <c r="AK202" s="129">
        <f>(AI202-AD202)/AD202</f>
        <v/>
      </c>
      <c r="AL202" s="339">
        <f>AJ202/AG202</f>
        <v/>
      </c>
      <c r="AM202" s="357" t="n"/>
      <c r="AO202" s="339" t="n"/>
      <c r="AP202" s="339" t="n"/>
      <c r="AQ202" s="339" t="n"/>
      <c r="AR202" s="339" t="n"/>
      <c r="AS202" s="339" t="n"/>
      <c r="AT202" s="339" t="n"/>
      <c r="AU202" s="339" t="n"/>
      <c r="AW202" s="339" t="n"/>
      <c r="AX202" s="339" t="n"/>
      <c r="AY202" s="339" t="n"/>
    </row>
    <row r="203" ht="17" customHeight="1" s="139">
      <c r="A203" s="132" t="inlineStr">
        <is>
          <t>안서동</t>
        </is>
      </c>
      <c r="B203" s="133" t="n"/>
      <c r="C203" s="133" t="n"/>
      <c r="D203" s="132" t="n">
        <v>17432</v>
      </c>
      <c r="E203" s="135" t="inlineStr">
        <is>
          <t>안서e-편한세상1차</t>
        </is>
      </c>
      <c r="F203" s="132" t="n">
        <v>2005.08</v>
      </c>
      <c r="G203" s="132" t="n">
        <v>492</v>
      </c>
      <c r="H203" s="132">
        <f>2026-F203+1</f>
        <v/>
      </c>
      <c r="I203" s="132" t="inlineStr">
        <is>
          <t>175</t>
        </is>
      </c>
      <c r="J203" s="132" t="n">
        <v>175</v>
      </c>
      <c r="K203" s="132" t="n">
        <v>144</v>
      </c>
      <c r="L203" s="132" t="n">
        <v>53</v>
      </c>
      <c r="M203" s="132" t="inlineStr">
        <is>
          <t>계단식</t>
        </is>
      </c>
      <c r="N203" s="132" t="n">
        <v>4</v>
      </c>
      <c r="O203" s="132" t="n">
        <v>2</v>
      </c>
      <c r="P203" s="132" t="n">
        <v>116</v>
      </c>
      <c r="Q203" s="519" t="n"/>
      <c r="R203" s="520" t="inlineStr">
        <is>
          <t>-</t>
        </is>
      </c>
      <c r="S203" s="477">
        <f>Q203-R203</f>
        <v/>
      </c>
      <c r="T203" s="71">
        <f>R203/Q203</f>
        <v/>
      </c>
      <c r="U203" s="521" t="n">
        <v>35500</v>
      </c>
      <c r="V203" s="521" t="n">
        <v>27500</v>
      </c>
      <c r="W203" s="339" t="inlineStr">
        <is>
          <t>계단식</t>
        </is>
      </c>
      <c r="X203" s="339" t="n">
        <v>4</v>
      </c>
      <c r="Y203" s="339" t="n">
        <v>2</v>
      </c>
      <c r="Z203" s="339" t="n">
        <v>116</v>
      </c>
      <c r="AA203" s="133" t="n">
        <v>2021.02</v>
      </c>
      <c r="AB203" s="133" t="n">
        <v>0.11</v>
      </c>
      <c r="AC203" s="134">
        <f>L203</f>
        <v/>
      </c>
      <c r="AD203" s="487" t="n">
        <v>27970</v>
      </c>
      <c r="AE203" s="487" t="n">
        <v>25000</v>
      </c>
      <c r="AF203" s="145">
        <f>AE203/AD203</f>
        <v/>
      </c>
      <c r="AG203" s="146">
        <f>AD203-AE203</f>
        <v/>
      </c>
      <c r="AH203" s="339" t="n">
        <v>2026.04</v>
      </c>
      <c r="AI203" s="339" t="n"/>
      <c r="AJ203" s="339">
        <f>AI203-AD203</f>
        <v/>
      </c>
      <c r="AK203" s="129">
        <f>(AI203-AD203)/AD203</f>
        <v/>
      </c>
      <c r="AL203" s="145">
        <f>AJ203/AG203</f>
        <v/>
      </c>
      <c r="AM203" s="141" t="n"/>
      <c r="AN203" s="133" t="n"/>
      <c r="AV203" s="133" t="n"/>
    </row>
    <row r="204" ht="17" customHeight="1" s="139">
      <c r="A204" s="132" t="inlineStr">
        <is>
          <t>용곡동</t>
        </is>
      </c>
      <c r="B204" s="133" t="n"/>
      <c r="C204" s="133" t="n"/>
      <c r="D204" s="132" t="n">
        <v>15420</v>
      </c>
      <c r="E204" s="135" t="inlineStr">
        <is>
          <t>용곡세광엔리치타워1차</t>
        </is>
      </c>
      <c r="F204" s="132" t="n">
        <v>2005.08</v>
      </c>
      <c r="G204" s="132" t="n">
        <v>575</v>
      </c>
      <c r="H204" s="132">
        <f>2026-F204+1</f>
        <v/>
      </c>
      <c r="I204" s="132" t="inlineStr">
        <is>
          <t>125</t>
        </is>
      </c>
      <c r="J204" s="132" t="n">
        <v>125</v>
      </c>
      <c r="K204" s="132" t="n">
        <v>103</v>
      </c>
      <c r="L204" s="132" t="n">
        <v>38</v>
      </c>
      <c r="M204" s="132" t="inlineStr">
        <is>
          <t>계단식</t>
        </is>
      </c>
      <c r="N204" s="132" t="n">
        <v>3</v>
      </c>
      <c r="O204" s="132" t="n">
        <v>2</v>
      </c>
      <c r="P204" s="132" t="n">
        <v>56</v>
      </c>
      <c r="Q204" s="519" t="n"/>
      <c r="R204" s="520" t="inlineStr">
        <is>
          <t>-</t>
        </is>
      </c>
      <c r="S204" s="477">
        <f>Q204-R204</f>
        <v/>
      </c>
      <c r="T204" s="71">
        <f>R204/Q204</f>
        <v/>
      </c>
      <c r="U204" s="521" t="n">
        <v>33000</v>
      </c>
      <c r="V204" s="521" t="n">
        <v>26000</v>
      </c>
      <c r="W204" s="339" t="inlineStr">
        <is>
          <t>계단식</t>
        </is>
      </c>
      <c r="X204" s="339" t="n">
        <v>3</v>
      </c>
      <c r="Y204" s="339" t="n">
        <v>2</v>
      </c>
      <c r="Z204" s="339" t="n">
        <v>56</v>
      </c>
      <c r="AA204" s="133" t="n"/>
      <c r="AB204" s="133" t="n"/>
      <c r="AC204" s="134">
        <f>L204</f>
        <v/>
      </c>
      <c r="AD204" s="487" t="n"/>
      <c r="AE204" s="487" t="n"/>
      <c r="AF204" s="145">
        <f>AE204/AD204</f>
        <v/>
      </c>
      <c r="AG204" s="146">
        <f>AD204-AE204</f>
        <v/>
      </c>
      <c r="AH204" s="339" t="n">
        <v>2026.04</v>
      </c>
      <c r="AJ204" s="339">
        <f>AI204-AD204</f>
        <v/>
      </c>
      <c r="AK204" s="129">
        <f>(AI204-AD204)/AD204</f>
        <v/>
      </c>
      <c r="AL204" s="145">
        <f>AJ204/AG204</f>
        <v/>
      </c>
      <c r="AM204" s="141" t="n"/>
      <c r="AN204" s="133" t="n"/>
      <c r="AV204" s="133" t="n"/>
    </row>
    <row r="205" ht="17" customHeight="1" s="139">
      <c r="A205" s="132" t="inlineStr">
        <is>
          <t>용곡동</t>
        </is>
      </c>
      <c r="B205" s="133" t="n"/>
      <c r="C205" s="133" t="n"/>
      <c r="D205" s="132" t="n">
        <v>15420</v>
      </c>
      <c r="E205" s="135" t="inlineStr">
        <is>
          <t>용곡세광엔리치타워1차</t>
        </is>
      </c>
      <c r="F205" s="132" t="n">
        <v>2005.08</v>
      </c>
      <c r="G205" s="132" t="n">
        <v>575</v>
      </c>
      <c r="H205" s="132">
        <f>2026-F205+1</f>
        <v/>
      </c>
      <c r="I205" s="132" t="inlineStr">
        <is>
          <t>128</t>
        </is>
      </c>
      <c r="J205" s="132" t="n">
        <v>128</v>
      </c>
      <c r="K205" s="132" t="n">
        <v>103</v>
      </c>
      <c r="L205" s="132" t="n">
        <v>39</v>
      </c>
      <c r="M205" s="132" t="inlineStr">
        <is>
          <t>계단식</t>
        </is>
      </c>
      <c r="N205" s="132" t="n">
        <v>4</v>
      </c>
      <c r="O205" s="132" t="n">
        <v>2</v>
      </c>
      <c r="P205" s="132" t="n">
        <v>54</v>
      </c>
      <c r="Q205" s="519" t="n"/>
      <c r="R205" s="520" t="inlineStr">
        <is>
          <t>-</t>
        </is>
      </c>
      <c r="S205" s="477">
        <f>Q205-R205</f>
        <v/>
      </c>
      <c r="T205" s="71">
        <f>R205/Q205</f>
        <v/>
      </c>
      <c r="U205" s="521" t="n">
        <v>33000</v>
      </c>
      <c r="V205" s="521" t="n">
        <v>26000</v>
      </c>
      <c r="W205" s="339" t="inlineStr">
        <is>
          <t>계단식</t>
        </is>
      </c>
      <c r="X205" s="339" t="n">
        <v>4</v>
      </c>
      <c r="Y205" s="339" t="n">
        <v>2</v>
      </c>
      <c r="Z205" s="339" t="n">
        <v>54</v>
      </c>
      <c r="AA205" s="133" t="n"/>
      <c r="AB205" s="133" t="n"/>
      <c r="AC205" s="134">
        <f>L205</f>
        <v/>
      </c>
      <c r="AD205" s="487" t="n"/>
      <c r="AE205" s="487" t="n"/>
      <c r="AF205" s="145">
        <f>AE205/AD205</f>
        <v/>
      </c>
      <c r="AG205" s="146">
        <f>AD205-AE205</f>
        <v/>
      </c>
      <c r="AH205" s="339" t="n">
        <v>2026.04</v>
      </c>
      <c r="AJ205" s="339">
        <f>AI205-AD205</f>
        <v/>
      </c>
      <c r="AK205" s="129">
        <f>(AI205-AD205)/AD205</f>
        <v/>
      </c>
      <c r="AL205" s="145">
        <f>AJ205/AG205</f>
        <v/>
      </c>
      <c r="AM205" s="141" t="n"/>
      <c r="AN205" s="133" t="n"/>
      <c r="AV205" s="133" t="n"/>
    </row>
    <row r="206" ht="17" customHeight="1" s="139">
      <c r="A206" s="339" t="inlineStr">
        <is>
          <t>용곡동</t>
        </is>
      </c>
      <c r="D206" s="339" t="n">
        <v>15430</v>
      </c>
      <c r="E206" s="150" t="inlineStr">
        <is>
          <t>용곡마을동일하이빌1단지</t>
        </is>
      </c>
      <c r="F206" s="339" t="n">
        <v>2005.12</v>
      </c>
      <c r="G206" s="339" t="n">
        <v>706</v>
      </c>
      <c r="H206" s="339">
        <f>2026-F206+1</f>
        <v/>
      </c>
      <c r="I206" s="339" t="inlineStr">
        <is>
          <t>192</t>
        </is>
      </c>
      <c r="J206" s="339" t="n">
        <v>192</v>
      </c>
      <c r="K206" s="339" t="n">
        <v>153</v>
      </c>
      <c r="L206" s="339" t="n">
        <v>58</v>
      </c>
      <c r="M206" s="339" t="inlineStr">
        <is>
          <t>계단식</t>
        </is>
      </c>
      <c r="N206" s="339" t="n">
        <v>4</v>
      </c>
      <c r="O206" s="339" t="n">
        <v>2</v>
      </c>
      <c r="P206" s="339" t="n">
        <v>60</v>
      </c>
      <c r="Q206" s="432" t="n"/>
      <c r="R206" s="517" t="inlineStr">
        <is>
          <t>-</t>
        </is>
      </c>
      <c r="S206" s="477">
        <f>Q206-R206</f>
        <v/>
      </c>
      <c r="T206" s="71">
        <f>R206/Q206</f>
        <v/>
      </c>
      <c r="U206" s="518" t="n">
        <v>46500</v>
      </c>
      <c r="V206" s="518" t="n">
        <v>45500</v>
      </c>
      <c r="W206" s="339" t="inlineStr">
        <is>
          <t>계단식</t>
        </is>
      </c>
      <c r="X206" s="339" t="n">
        <v>4</v>
      </c>
      <c r="Y206" s="339" t="n">
        <v>2</v>
      </c>
      <c r="Z206" s="339" t="n">
        <v>60</v>
      </c>
      <c r="AC206" s="339">
        <f>L206</f>
        <v/>
      </c>
      <c r="AD206" s="405" t="n"/>
      <c r="AE206" s="405" t="n"/>
      <c r="AF206" s="140">
        <f>AE206/AD206</f>
        <v/>
      </c>
      <c r="AG206" s="147">
        <f>AD206-AE206</f>
        <v/>
      </c>
      <c r="AH206" s="339" t="n">
        <v>2026.04</v>
      </c>
      <c r="AI206" s="339" t="n"/>
      <c r="AJ206" s="339">
        <f>AI206-AD206</f>
        <v/>
      </c>
      <c r="AK206" s="129">
        <f>(AI206-AD206)/AD206</f>
        <v/>
      </c>
      <c r="AL206" s="339">
        <f>AJ206/AG206</f>
        <v/>
      </c>
      <c r="AO206" s="339" t="n"/>
      <c r="AP206" s="339" t="n"/>
      <c r="AQ206" s="339" t="n"/>
      <c r="AR206" s="339" t="n"/>
      <c r="AS206" s="339" t="n"/>
      <c r="AT206" s="339" t="n"/>
      <c r="AU206" s="339" t="n"/>
      <c r="AW206" s="339" t="n"/>
      <c r="AX206" s="339" t="n"/>
      <c r="AY206" s="339" t="n"/>
    </row>
    <row r="207" ht="17" customHeight="1" s="139">
      <c r="A207" s="339" t="inlineStr">
        <is>
          <t>용곡동</t>
        </is>
      </c>
      <c r="B207" s="164" t="n"/>
      <c r="C207" s="164" t="n"/>
      <c r="D207" s="339" t="n">
        <v>19242</v>
      </c>
      <c r="E207" s="150" t="inlineStr">
        <is>
          <t>용곡마을아이파크</t>
        </is>
      </c>
      <c r="F207" s="339" t="n">
        <v>2006.09</v>
      </c>
      <c r="G207" s="339" t="n">
        <v>403</v>
      </c>
      <c r="H207" s="339">
        <f>2026-F207+1</f>
        <v/>
      </c>
      <c r="I207" s="339" t="inlineStr">
        <is>
          <t>158</t>
        </is>
      </c>
      <c r="J207" s="339" t="n">
        <v>158</v>
      </c>
      <c r="K207" s="339" t="n">
        <v>128</v>
      </c>
      <c r="L207" s="339" t="n">
        <v>48</v>
      </c>
      <c r="M207" s="339" t="inlineStr">
        <is>
          <t>계단식</t>
        </is>
      </c>
      <c r="N207" s="339" t="n">
        <v>4</v>
      </c>
      <c r="O207" s="339" t="n">
        <v>2</v>
      </c>
      <c r="P207" s="339" t="n">
        <v>112</v>
      </c>
      <c r="Q207" s="432" t="n"/>
      <c r="R207" s="517" t="inlineStr">
        <is>
          <t>-</t>
        </is>
      </c>
      <c r="S207" s="477">
        <f>Q207-R207</f>
        <v/>
      </c>
      <c r="T207" s="71">
        <f>R207/Q207</f>
        <v/>
      </c>
      <c r="U207" s="518" t="n">
        <v>38900</v>
      </c>
      <c r="V207" s="518" t="n">
        <v>28000</v>
      </c>
      <c r="W207" s="339" t="inlineStr">
        <is>
          <t>계단식</t>
        </is>
      </c>
      <c r="X207" s="339" t="n">
        <v>4</v>
      </c>
      <c r="Y207" s="339" t="n">
        <v>2</v>
      </c>
      <c r="Z207" s="339" t="n">
        <v>112</v>
      </c>
      <c r="AC207" s="339">
        <f>L207</f>
        <v/>
      </c>
      <c r="AD207" s="405" t="n"/>
      <c r="AE207" s="405" t="n"/>
      <c r="AF207" s="140">
        <f>AE207/AD207</f>
        <v/>
      </c>
      <c r="AG207" s="147">
        <f>AD207-AE207</f>
        <v/>
      </c>
      <c r="AH207" s="339" t="n">
        <v>2026.04</v>
      </c>
      <c r="AJ207" s="339">
        <f>AI207-AD207</f>
        <v/>
      </c>
      <c r="AK207" s="129">
        <f>(AI207-AD207)/AD207</f>
        <v/>
      </c>
      <c r="AL207" s="339">
        <f>AJ207/AG207</f>
        <v/>
      </c>
      <c r="AM207" s="357" t="n"/>
    </row>
    <row r="208" ht="17" customHeight="1" s="139">
      <c r="A208" s="132" t="inlineStr">
        <is>
          <t>용곡동</t>
        </is>
      </c>
      <c r="B208" s="133" t="n"/>
      <c r="C208" s="133" t="n"/>
      <c r="D208" s="132" t="n">
        <v>26157</v>
      </c>
      <c r="E208" s="135" t="inlineStr">
        <is>
          <t>용곡마을세광엔리치타워2차</t>
        </is>
      </c>
      <c r="F208" s="132" t="n">
        <v>2007.1</v>
      </c>
      <c r="G208" s="132" t="n">
        <v>897</v>
      </c>
      <c r="H208" s="132">
        <f>2026-F208+1</f>
        <v/>
      </c>
      <c r="I208" s="132" t="inlineStr">
        <is>
          <t>135</t>
        </is>
      </c>
      <c r="J208" s="132" t="n">
        <v>135</v>
      </c>
      <c r="K208" s="132" t="n">
        <v>105</v>
      </c>
      <c r="L208" s="132" t="n">
        <v>41</v>
      </c>
      <c r="M208" s="132" t="inlineStr">
        <is>
          <t>계단식</t>
        </is>
      </c>
      <c r="N208" s="132" t="n">
        <v>3</v>
      </c>
      <c r="O208" s="132" t="n">
        <v>2</v>
      </c>
      <c r="P208" s="132" t="n">
        <v>116</v>
      </c>
      <c r="Q208" s="519" t="n"/>
      <c r="R208" s="520" t="inlineStr">
        <is>
          <t>-</t>
        </is>
      </c>
      <c r="S208" s="477">
        <f>Q208-R208</f>
        <v/>
      </c>
      <c r="T208" s="71">
        <f>R208/Q208</f>
        <v/>
      </c>
      <c r="U208" s="521" t="n"/>
      <c r="V208" s="521" t="n">
        <v>30000</v>
      </c>
      <c r="W208" s="339" t="inlineStr">
        <is>
          <t>계단식</t>
        </is>
      </c>
      <c r="X208" s="339" t="n">
        <v>3</v>
      </c>
      <c r="Y208" s="339" t="n">
        <v>2</v>
      </c>
      <c r="Z208" s="339" t="n">
        <v>116</v>
      </c>
      <c r="AA208" s="133" t="n"/>
      <c r="AB208" s="133" t="n"/>
      <c r="AC208" s="134">
        <f>L208</f>
        <v/>
      </c>
      <c r="AD208" s="487" t="n"/>
      <c r="AE208" s="487" t="n"/>
      <c r="AF208" s="145">
        <f>AE208/AD208</f>
        <v/>
      </c>
      <c r="AG208" s="146">
        <f>AD208-AE208</f>
        <v/>
      </c>
      <c r="AH208" s="339" t="n">
        <v>2026.04</v>
      </c>
      <c r="AI208" s="339" t="n"/>
      <c r="AJ208" s="339">
        <f>AI208-AD208</f>
        <v/>
      </c>
      <c r="AK208" s="129">
        <f>(AI208-AD208)/AD208</f>
        <v/>
      </c>
      <c r="AL208" s="145">
        <f>AJ208/AG208</f>
        <v/>
      </c>
      <c r="AM208" s="141" t="n"/>
      <c r="AN208" s="133" t="n"/>
      <c r="AV208" s="133" t="n"/>
    </row>
    <row r="209" ht="17" customHeight="1" s="139">
      <c r="A209" s="132" t="inlineStr">
        <is>
          <t>용곡동</t>
        </is>
      </c>
      <c r="B209" s="133" t="n"/>
      <c r="C209" s="133" t="n"/>
      <c r="D209" s="132" t="n">
        <v>26157</v>
      </c>
      <c r="E209" s="135" t="inlineStr">
        <is>
          <t>용곡마을세광엔리치타워2차</t>
        </is>
      </c>
      <c r="F209" s="132" t="n">
        <v>2007.1</v>
      </c>
      <c r="G209" s="132" t="n">
        <v>897</v>
      </c>
      <c r="H209" s="132">
        <f>2026-F209+1</f>
        <v/>
      </c>
      <c r="I209" s="132" t="inlineStr">
        <is>
          <t>173</t>
        </is>
      </c>
      <c r="J209" s="132" t="n">
        <v>173</v>
      </c>
      <c r="K209" s="132" t="n">
        <v>139</v>
      </c>
      <c r="L209" s="132" t="n">
        <v>52</v>
      </c>
      <c r="M209" s="132" t="inlineStr">
        <is>
          <t>계단식</t>
        </is>
      </c>
      <c r="N209" s="132" t="n">
        <v>3</v>
      </c>
      <c r="O209" s="132" t="n">
        <v>2</v>
      </c>
      <c r="P209" s="132" t="n">
        <v>86</v>
      </c>
      <c r="Q209" s="519" t="n"/>
      <c r="R209" s="520" t="inlineStr">
        <is>
          <t>-</t>
        </is>
      </c>
      <c r="S209" s="477">
        <f>Q209-R209</f>
        <v/>
      </c>
      <c r="T209" s="71">
        <f>R209/Q209</f>
        <v/>
      </c>
      <c r="U209" s="521" t="n">
        <v>39000</v>
      </c>
      <c r="V209" s="521" t="n">
        <v>35700</v>
      </c>
      <c r="W209" s="339" t="inlineStr">
        <is>
          <t>계단식</t>
        </is>
      </c>
      <c r="X209" s="339" t="n">
        <v>3</v>
      </c>
      <c r="Y209" s="339" t="n">
        <v>2</v>
      </c>
      <c r="Z209" s="339" t="n">
        <v>86</v>
      </c>
      <c r="AA209" s="133" t="n"/>
      <c r="AB209" s="133" t="n"/>
      <c r="AC209" s="134">
        <f>L209</f>
        <v/>
      </c>
      <c r="AD209" s="487" t="n"/>
      <c r="AE209" s="487" t="n"/>
      <c r="AF209" s="145">
        <f>AE209/AD209</f>
        <v/>
      </c>
      <c r="AG209" s="146">
        <f>AD209-AE209</f>
        <v/>
      </c>
      <c r="AH209" s="339" t="n">
        <v>2026.04</v>
      </c>
      <c r="AI209" s="339" t="n"/>
      <c r="AJ209" s="339">
        <f>AI209-AD209</f>
        <v/>
      </c>
      <c r="AK209" s="129">
        <f>(AI209-AD209)/AD209</f>
        <v/>
      </c>
      <c r="AL209" s="145">
        <f>AJ209/AG209</f>
        <v/>
      </c>
      <c r="AM209" s="141" t="n"/>
      <c r="AN209" s="133" t="n"/>
      <c r="AV209" s="133" t="n"/>
    </row>
    <row r="210" ht="17" customHeight="1" s="139">
      <c r="A210" s="132" t="inlineStr">
        <is>
          <t>용곡동</t>
        </is>
      </c>
      <c r="B210" s="88" t="n"/>
      <c r="C210" s="89" t="n"/>
      <c r="D210" s="132" t="n">
        <v>26157</v>
      </c>
      <c r="E210" s="135" t="inlineStr">
        <is>
          <t>용곡마을세광엔리치타워2차</t>
        </is>
      </c>
      <c r="F210" s="132" t="n">
        <v>2007.1</v>
      </c>
      <c r="G210" s="132" t="n">
        <v>897</v>
      </c>
      <c r="H210" s="132">
        <f>2026-F210+1</f>
        <v/>
      </c>
      <c r="I210" s="132" t="inlineStr">
        <is>
          <t>188</t>
        </is>
      </c>
      <c r="J210" s="132" t="n">
        <v>188</v>
      </c>
      <c r="K210" s="132" t="n">
        <v>152</v>
      </c>
      <c r="L210" s="132" t="n">
        <v>57</v>
      </c>
      <c r="M210" s="132" t="inlineStr">
        <is>
          <t>계단식</t>
        </is>
      </c>
      <c r="N210" s="132" t="n">
        <v>4</v>
      </c>
      <c r="O210" s="132" t="n">
        <v>2</v>
      </c>
      <c r="P210" s="132" t="n">
        <v>90</v>
      </c>
      <c r="Q210" s="519" t="n"/>
      <c r="R210" s="520" t="inlineStr">
        <is>
          <t>-</t>
        </is>
      </c>
      <c r="S210" s="477">
        <f>Q210-R210</f>
        <v/>
      </c>
      <c r="T210" s="71">
        <f>R210/Q210</f>
        <v/>
      </c>
      <c r="U210" s="521" t="n">
        <v>43400</v>
      </c>
      <c r="V210" s="521" t="n">
        <v>33000</v>
      </c>
      <c r="W210" s="339" t="inlineStr">
        <is>
          <t>계단식</t>
        </is>
      </c>
      <c r="X210" s="339" t="n">
        <v>4</v>
      </c>
      <c r="Y210" s="339" t="n">
        <v>2</v>
      </c>
      <c r="Z210" s="339" t="n">
        <v>90</v>
      </c>
      <c r="AA210" s="133" t="n"/>
      <c r="AB210" s="133" t="n"/>
      <c r="AC210" s="134">
        <f>L210</f>
        <v/>
      </c>
      <c r="AD210" s="487" t="n"/>
      <c r="AE210" s="487" t="n"/>
      <c r="AF210" s="145">
        <f>AE210/AD210</f>
        <v/>
      </c>
      <c r="AG210" s="146">
        <f>AD210-AE210</f>
        <v/>
      </c>
      <c r="AH210" s="339" t="n">
        <v>2026.04</v>
      </c>
      <c r="AJ210" s="339">
        <f>AI210-AD210</f>
        <v/>
      </c>
      <c r="AK210" s="129">
        <f>(AI210-AD210)/AD210</f>
        <v/>
      </c>
      <c r="AL210" s="145">
        <f>AJ210/AG210</f>
        <v/>
      </c>
      <c r="AM210" s="111" t="n"/>
      <c r="AN210" s="133" t="n"/>
      <c r="AV210" s="133" t="n"/>
    </row>
    <row r="211" ht="17" customHeight="1" s="139">
      <c r="A211" s="132" t="inlineStr">
        <is>
          <t>용곡동</t>
        </is>
      </c>
      <c r="B211" s="133" t="n"/>
      <c r="C211" s="133" t="n"/>
      <c r="D211" s="132" t="n">
        <v>26157</v>
      </c>
      <c r="E211" s="135" t="inlineStr">
        <is>
          <t>용곡마을세광엔리치타워2차</t>
        </is>
      </c>
      <c r="F211" s="132" t="n">
        <v>2007.1</v>
      </c>
      <c r="G211" s="132" t="n">
        <v>897</v>
      </c>
      <c r="H211" s="132">
        <f>2026-F211+1</f>
        <v/>
      </c>
      <c r="I211" s="132" t="inlineStr">
        <is>
          <t>247</t>
        </is>
      </c>
      <c r="J211" s="132" t="n">
        <v>247</v>
      </c>
      <c r="K211" s="132" t="n">
        <v>216</v>
      </c>
      <c r="L211" s="132" t="n">
        <v>75</v>
      </c>
      <c r="M211" s="132" t="inlineStr">
        <is>
          <t>계단식</t>
        </is>
      </c>
      <c r="N211" s="132" t="n">
        <v>4</v>
      </c>
      <c r="O211" s="132" t="n">
        <v>3</v>
      </c>
      <c r="P211" s="132" t="n">
        <v>28</v>
      </c>
      <c r="Q211" s="519" t="n"/>
      <c r="R211" s="520" t="inlineStr">
        <is>
          <t>-</t>
        </is>
      </c>
      <c r="S211" s="477">
        <f>Q211-R211</f>
        <v/>
      </c>
      <c r="T211" s="71">
        <f>R211/Q211</f>
        <v/>
      </c>
      <c r="U211" s="521" t="n">
        <v>47000</v>
      </c>
      <c r="V211" s="521" t="n">
        <v>44000</v>
      </c>
      <c r="W211" s="339" t="inlineStr">
        <is>
          <t>계단식</t>
        </is>
      </c>
      <c r="X211" s="339" t="n">
        <v>4</v>
      </c>
      <c r="Y211" s="339" t="n">
        <v>3</v>
      </c>
      <c r="Z211" s="339" t="n">
        <v>28</v>
      </c>
      <c r="AA211" s="133" t="n"/>
      <c r="AB211" s="133" t="n"/>
      <c r="AC211" s="134">
        <f>L211</f>
        <v/>
      </c>
      <c r="AD211" s="487" t="n"/>
      <c r="AE211" s="487" t="n"/>
      <c r="AF211" s="145">
        <f>AE211/AD211</f>
        <v/>
      </c>
      <c r="AG211" s="146">
        <f>AD211-AE211</f>
        <v/>
      </c>
      <c r="AH211" s="339" t="n">
        <v>2026.04</v>
      </c>
      <c r="AJ211" s="339">
        <f>AI211-AD211</f>
        <v/>
      </c>
      <c r="AK211" s="129">
        <f>(AI211-AD211)/AD211</f>
        <v/>
      </c>
      <c r="AL211" s="145">
        <f>AJ211/AG211</f>
        <v/>
      </c>
      <c r="AM211" s="141" t="n"/>
      <c r="AN211" s="133" t="n"/>
      <c r="AV211" s="133" t="n"/>
    </row>
    <row r="212" ht="17" customHeight="1" s="139">
      <c r="A212" s="132" t="inlineStr">
        <is>
          <t>용곡동</t>
        </is>
      </c>
      <c r="B212" s="133" t="n"/>
      <c r="C212" s="133" t="n"/>
      <c r="D212" s="132" t="n">
        <v>26258</v>
      </c>
      <c r="E212" s="135" t="inlineStr">
        <is>
          <t>용곡한라비발디</t>
        </is>
      </c>
      <c r="F212" s="132" t="n">
        <v>2010.06</v>
      </c>
      <c r="G212" s="132" t="n">
        <v>1163</v>
      </c>
      <c r="H212" s="132">
        <f>2026-F212+1</f>
        <v/>
      </c>
      <c r="I212" s="132" t="inlineStr">
        <is>
          <t>167</t>
        </is>
      </c>
      <c r="J212" s="132" t="n">
        <v>167</v>
      </c>
      <c r="K212" s="132" t="n">
        <v>133</v>
      </c>
      <c r="L212" s="132" t="n">
        <v>51</v>
      </c>
      <c r="M212" s="132" t="inlineStr">
        <is>
          <t>계단식</t>
        </is>
      </c>
      <c r="N212" s="132" t="n">
        <v>4</v>
      </c>
      <c r="O212" s="132" t="n">
        <v>2</v>
      </c>
      <c r="P212" s="132" t="n">
        <v>84</v>
      </c>
      <c r="Q212" s="519" t="n"/>
      <c r="R212" s="520" t="inlineStr">
        <is>
          <t>-</t>
        </is>
      </c>
      <c r="S212" s="477">
        <f>Q212-R212</f>
        <v/>
      </c>
      <c r="T212" s="71">
        <f>R212/Q212</f>
        <v/>
      </c>
      <c r="U212" s="521" t="n">
        <v>56500</v>
      </c>
      <c r="V212" s="521" t="n"/>
      <c r="W212" s="339" t="inlineStr">
        <is>
          <t>계단식</t>
        </is>
      </c>
      <c r="X212" s="339" t="n">
        <v>4</v>
      </c>
      <c r="Y212" s="339" t="n">
        <v>2</v>
      </c>
      <c r="Z212" s="339" t="n">
        <v>84</v>
      </c>
      <c r="AA212" s="133" t="n"/>
      <c r="AB212" s="133" t="n"/>
      <c r="AC212" s="134">
        <f>L212</f>
        <v/>
      </c>
      <c r="AD212" s="487" t="n"/>
      <c r="AE212" s="487" t="n"/>
      <c r="AF212" s="145">
        <f>AE212/AD212</f>
        <v/>
      </c>
      <c r="AG212" s="146">
        <f>AD212-AE212</f>
        <v/>
      </c>
      <c r="AH212" s="339" t="n">
        <v>2026.04</v>
      </c>
      <c r="AI212" s="339" t="n"/>
      <c r="AJ212" s="339">
        <f>AI212-AD212</f>
        <v/>
      </c>
      <c r="AK212" s="129">
        <f>(AI212-AD212)/AD212</f>
        <v/>
      </c>
      <c r="AL212" s="133">
        <f>AJ212/AG212</f>
        <v/>
      </c>
      <c r="AM212" s="133" t="n"/>
      <c r="AN212" s="133" t="n"/>
      <c r="AO212" s="339" t="n"/>
      <c r="AP212" s="339" t="n"/>
      <c r="AQ212" s="339" t="n"/>
      <c r="AR212" s="339" t="n"/>
      <c r="AS212" s="339" t="n"/>
      <c r="AT212" s="339" t="n"/>
      <c r="AU212" s="339" t="n"/>
      <c r="AV212" s="133" t="n"/>
      <c r="AW212" s="339" t="n"/>
      <c r="AX212" s="339" t="n"/>
      <c r="AY212" s="339" t="n"/>
    </row>
    <row r="213" ht="17" customHeight="1" s="139">
      <c r="A213" s="339" t="inlineStr">
        <is>
          <t>용곡동</t>
        </is>
      </c>
      <c r="B213" s="164" t="n"/>
      <c r="C213" s="164" t="n"/>
      <c r="D213" s="339" t="n">
        <v>26813</v>
      </c>
      <c r="E213" s="150" t="inlineStr">
        <is>
          <t>용곡우림필유</t>
        </is>
      </c>
      <c r="F213" s="339" t="n">
        <v>2009.1</v>
      </c>
      <c r="G213" s="339" t="n">
        <v>499</v>
      </c>
      <c r="H213" s="339">
        <f>2026-F213+1</f>
        <v/>
      </c>
      <c r="I213" s="339" t="inlineStr">
        <is>
          <t>193</t>
        </is>
      </c>
      <c r="J213" s="339" t="n">
        <v>193</v>
      </c>
      <c r="K213" s="339" t="n">
        <v>161</v>
      </c>
      <c r="L213" s="339" t="n">
        <v>58</v>
      </c>
      <c r="M213" s="339" t="inlineStr">
        <is>
          <t>계단식</t>
        </is>
      </c>
      <c r="N213" s="339" t="n">
        <v>5</v>
      </c>
      <c r="O213" s="339" t="n">
        <v>2</v>
      </c>
      <c r="P213" s="339" t="n">
        <v>22</v>
      </c>
      <c r="Q213" s="432" t="n"/>
      <c r="R213" s="517" t="inlineStr">
        <is>
          <t>-</t>
        </is>
      </c>
      <c r="S213" s="477">
        <f>Q213-R213</f>
        <v/>
      </c>
      <c r="T213" s="71">
        <f>R213/Q213</f>
        <v/>
      </c>
      <c r="U213" s="518" t="n"/>
      <c r="V213" s="518" t="n"/>
      <c r="W213" s="339" t="inlineStr">
        <is>
          <t>계단식</t>
        </is>
      </c>
      <c r="X213" s="339" t="n">
        <v>5</v>
      </c>
      <c r="Y213" s="339" t="n">
        <v>2</v>
      </c>
      <c r="Z213" s="339" t="n">
        <v>22</v>
      </c>
      <c r="AC213" s="339">
        <f>L213</f>
        <v/>
      </c>
      <c r="AD213" s="405" t="n"/>
      <c r="AE213" s="405" t="n"/>
      <c r="AF213" s="140">
        <f>AE213/AD213</f>
        <v/>
      </c>
      <c r="AG213" s="147">
        <f>AD213-AE213</f>
        <v/>
      </c>
      <c r="AH213" s="339" t="n">
        <v>2026.04</v>
      </c>
      <c r="AI213" s="339" t="n"/>
      <c r="AJ213" s="339">
        <f>AI213-AD213</f>
        <v/>
      </c>
      <c r="AK213" s="129">
        <f>(AI213-AD213)/AD213</f>
        <v/>
      </c>
      <c r="AL213" s="339">
        <f>AJ213/AG213</f>
        <v/>
      </c>
      <c r="AM213" s="357" t="n"/>
      <c r="AO213" s="339" t="n"/>
      <c r="AP213" s="339" t="n"/>
      <c r="AQ213" s="339" t="n"/>
      <c r="AR213" s="339" t="n"/>
      <c r="AS213" s="339" t="n"/>
      <c r="AT213" s="339" t="n"/>
      <c r="AU213" s="339" t="n"/>
      <c r="AW213" s="339" t="n"/>
      <c r="AX213" s="339" t="n"/>
      <c r="AY213" s="339" t="n"/>
    </row>
    <row r="214" ht="17" customHeight="1" s="139">
      <c r="A214" s="339" t="inlineStr">
        <is>
          <t>용곡동</t>
        </is>
      </c>
      <c r="B214" s="164" t="n"/>
      <c r="C214" s="164" t="n"/>
      <c r="D214" s="339" t="n">
        <v>26813</v>
      </c>
      <c r="E214" s="150" t="inlineStr">
        <is>
          <t>용곡우림필유</t>
        </is>
      </c>
      <c r="F214" s="339" t="n">
        <v>2009.1</v>
      </c>
      <c r="G214" s="339" t="n">
        <v>499</v>
      </c>
      <c r="H214" s="339">
        <f>2026-F214+1</f>
        <v/>
      </c>
      <c r="I214" s="339" t="inlineStr">
        <is>
          <t>220</t>
        </is>
      </c>
      <c r="J214" s="339" t="n">
        <v>220</v>
      </c>
      <c r="K214" s="339" t="n">
        <v>176</v>
      </c>
      <c r="L214" s="339" t="n">
        <v>67</v>
      </c>
      <c r="M214" s="339" t="inlineStr">
        <is>
          <t>계단식</t>
        </is>
      </c>
      <c r="N214" s="339" t="n">
        <v>5</v>
      </c>
      <c r="O214" s="339" t="n">
        <v>2</v>
      </c>
      <c r="P214" s="339" t="n">
        <v>12</v>
      </c>
      <c r="Q214" s="432" t="n"/>
      <c r="R214" s="517" t="inlineStr">
        <is>
          <t>-</t>
        </is>
      </c>
      <c r="S214" s="477">
        <f>Q214-R214</f>
        <v/>
      </c>
      <c r="T214" s="71">
        <f>R214/Q214</f>
        <v/>
      </c>
      <c r="U214" s="518" t="n">
        <v>44000</v>
      </c>
      <c r="V214" s="518" t="n"/>
      <c r="W214" s="339" t="inlineStr">
        <is>
          <t>계단식</t>
        </is>
      </c>
      <c r="X214" s="339" t="n">
        <v>5</v>
      </c>
      <c r="Y214" s="339" t="n">
        <v>2</v>
      </c>
      <c r="Z214" s="339" t="n">
        <v>12</v>
      </c>
      <c r="AC214" s="339">
        <f>L214</f>
        <v/>
      </c>
      <c r="AD214" s="405" t="n"/>
      <c r="AE214" s="405" t="n"/>
      <c r="AF214" s="140">
        <f>AE214/AD214</f>
        <v/>
      </c>
      <c r="AG214" s="147">
        <f>AD214-AE214</f>
        <v/>
      </c>
      <c r="AH214" s="339" t="n">
        <v>2026.04</v>
      </c>
      <c r="AI214" s="339" t="n"/>
      <c r="AJ214" s="339">
        <f>AI214-AD214</f>
        <v/>
      </c>
      <c r="AK214" s="129">
        <f>(AI214-AD214)/AD214</f>
        <v/>
      </c>
      <c r="AL214" s="339">
        <f>AJ214/AG214</f>
        <v/>
      </c>
      <c r="AM214" s="357" t="n"/>
      <c r="AO214" s="339" t="n"/>
      <c r="AP214" s="339" t="n"/>
      <c r="AQ214" s="339" t="n"/>
      <c r="AR214" s="339" t="n"/>
      <c r="AS214" s="339" t="n"/>
      <c r="AT214" s="339" t="n"/>
      <c r="AU214" s="339" t="n"/>
      <c r="AW214" s="339" t="n"/>
      <c r="AX214" s="339" t="n"/>
      <c r="AY214" s="339" t="n"/>
    </row>
    <row r="215" ht="17" customHeight="1" s="139">
      <c r="A215" s="339" t="inlineStr">
        <is>
          <t>용곡동</t>
        </is>
      </c>
      <c r="D215" s="339" t="n">
        <v>26813</v>
      </c>
      <c r="E215" s="150" t="inlineStr">
        <is>
          <t>용곡우림필유</t>
        </is>
      </c>
      <c r="F215" s="339" t="n">
        <v>2009.1</v>
      </c>
      <c r="G215" s="339" t="n">
        <v>499</v>
      </c>
      <c r="H215" s="339">
        <f>2026-F215+1</f>
        <v/>
      </c>
      <c r="I215" s="339" t="inlineStr">
        <is>
          <t>261</t>
        </is>
      </c>
      <c r="J215" s="339" t="n">
        <v>261</v>
      </c>
      <c r="K215" s="339" t="n">
        <v>209</v>
      </c>
      <c r="L215" s="339" t="n">
        <v>79</v>
      </c>
      <c r="M215" s="339" t="inlineStr">
        <is>
          <t>계단식</t>
        </is>
      </c>
      <c r="N215" s="339" t="n">
        <v>6</v>
      </c>
      <c r="O215" s="339" t="n">
        <v>2</v>
      </c>
      <c r="P215" s="339" t="n">
        <v>5</v>
      </c>
      <c r="Q215" s="432" t="n"/>
      <c r="R215" s="517" t="inlineStr">
        <is>
          <t>-</t>
        </is>
      </c>
      <c r="S215" s="477">
        <f>Q215-R215</f>
        <v/>
      </c>
      <c r="T215" s="71">
        <f>R215/Q215</f>
        <v/>
      </c>
      <c r="U215" s="518" t="n"/>
      <c r="V215" s="518" t="n"/>
      <c r="W215" s="339" t="inlineStr">
        <is>
          <t>계단식</t>
        </is>
      </c>
      <c r="X215" s="339" t="n">
        <v>6</v>
      </c>
      <c r="Y215" s="339" t="n">
        <v>2</v>
      </c>
      <c r="Z215" s="339" t="n">
        <v>5</v>
      </c>
      <c r="AC215" s="339">
        <f>L215</f>
        <v/>
      </c>
      <c r="AD215" s="405" t="n"/>
      <c r="AE215" s="405" t="n"/>
      <c r="AF215" s="140">
        <f>AE215/AD215</f>
        <v/>
      </c>
      <c r="AG215" s="147">
        <f>AD215-AE215</f>
        <v/>
      </c>
      <c r="AH215" s="339" t="n">
        <v>2026.04</v>
      </c>
      <c r="AI215" s="339" t="n"/>
      <c r="AJ215" s="339">
        <f>AI215-AD215</f>
        <v/>
      </c>
      <c r="AK215" s="129">
        <f>(AI215-AD215)/AD215</f>
        <v/>
      </c>
      <c r="AL215" s="339">
        <f>AJ215/AG215</f>
        <v/>
      </c>
    </row>
    <row r="216" ht="17" customHeight="1" s="139">
      <c r="A216" s="132" t="inlineStr">
        <is>
          <t>용곡동</t>
        </is>
      </c>
      <c r="B216" s="88" t="n"/>
      <c r="C216" s="89" t="n"/>
      <c r="D216" s="132" t="n">
        <v>153265</v>
      </c>
      <c r="E216" s="135" t="inlineStr">
        <is>
          <t>호반써밋센트럴파크Ⅰ</t>
        </is>
      </c>
      <c r="F216" s="132" t="n">
        <v>2025.12</v>
      </c>
      <c r="G216" s="132" t="n">
        <v>453</v>
      </c>
      <c r="H216" s="132">
        <f>2026-F216+1</f>
        <v/>
      </c>
      <c r="I216" s="132" t="inlineStr">
        <is>
          <t>109A</t>
        </is>
      </c>
      <c r="J216" s="132" t="n">
        <v>109</v>
      </c>
      <c r="K216" s="132" t="n">
        <v>84</v>
      </c>
      <c r="L216" s="132" t="n">
        <v>33</v>
      </c>
      <c r="M216" s="132" t="inlineStr">
        <is>
          <t>계단식</t>
        </is>
      </c>
      <c r="N216" s="132" t="n">
        <v>4</v>
      </c>
      <c r="O216" s="132" t="n">
        <v>2</v>
      </c>
      <c r="P216" s="132" t="n">
        <v>126</v>
      </c>
      <c r="Q216" s="133" t="n"/>
      <c r="R216" s="138" t="inlineStr">
        <is>
          <t>-</t>
        </is>
      </c>
      <c r="S216" s="477">
        <f>Q216-R216</f>
        <v/>
      </c>
      <c r="T216" s="71">
        <f>R216/Q216</f>
        <v/>
      </c>
      <c r="U216" s="133" t="n"/>
      <c r="V216" s="133" t="n"/>
      <c r="W216" s="339" t="inlineStr">
        <is>
          <t>계단식</t>
        </is>
      </c>
      <c r="X216" s="339" t="n">
        <v>4</v>
      </c>
      <c r="Y216" s="339" t="n">
        <v>2</v>
      </c>
      <c r="Z216" s="339" t="n">
        <v>126</v>
      </c>
      <c r="AA216" s="133" t="n"/>
      <c r="AB216" s="133" t="n"/>
      <c r="AC216" s="133">
        <f>L216</f>
        <v/>
      </c>
      <c r="AD216" s="133" t="n"/>
      <c r="AE216" s="133" t="n"/>
      <c r="AF216" s="133">
        <f>AE216/AD216</f>
        <v/>
      </c>
      <c r="AG216" s="133">
        <f>AD216-AE216</f>
        <v/>
      </c>
      <c r="AH216" s="339" t="n">
        <v>2026.04</v>
      </c>
      <c r="AJ216" s="339">
        <f>AI216-AD216</f>
        <v/>
      </c>
      <c r="AK216" s="129">
        <f>(AI216-AD216)/AD216</f>
        <v/>
      </c>
      <c r="AL216" s="133">
        <f>AJ216/AG216</f>
        <v/>
      </c>
      <c r="AM216" s="88" t="n"/>
      <c r="AN216" s="133" t="n"/>
      <c r="AV216" s="133" t="n"/>
    </row>
    <row r="217" ht="17" customHeight="1" s="139">
      <c r="A217" s="132" t="inlineStr">
        <is>
          <t>용곡동</t>
        </is>
      </c>
      <c r="B217" s="133" t="n"/>
      <c r="C217" s="133" t="n"/>
      <c r="D217" s="132" t="n">
        <v>153265</v>
      </c>
      <c r="E217" s="135" t="inlineStr">
        <is>
          <t>호반써밋센트럴파크Ⅰ</t>
        </is>
      </c>
      <c r="F217" s="132" t="n">
        <v>2025.12</v>
      </c>
      <c r="G217" s="132" t="n">
        <v>453</v>
      </c>
      <c r="H217" s="132">
        <f>2026-F217+1</f>
        <v/>
      </c>
      <c r="I217" s="132" t="inlineStr">
        <is>
          <t>126</t>
        </is>
      </c>
      <c r="J217" s="132" t="n">
        <v>126</v>
      </c>
      <c r="K217" s="132" t="n">
        <v>99</v>
      </c>
      <c r="L217" s="132" t="n">
        <v>38</v>
      </c>
      <c r="M217" s="132" t="inlineStr">
        <is>
          <t>계단식</t>
        </is>
      </c>
      <c r="N217" s="132" t="n">
        <v>3</v>
      </c>
      <c r="O217" s="132" t="n">
        <v>2</v>
      </c>
      <c r="P217" s="132" t="n">
        <v>242</v>
      </c>
      <c r="Q217" s="133" t="n"/>
      <c r="R217" s="138" t="inlineStr">
        <is>
          <t>-</t>
        </is>
      </c>
      <c r="S217" s="477">
        <f>Q217-R217</f>
        <v/>
      </c>
      <c r="T217" s="71">
        <f>R217/Q217</f>
        <v/>
      </c>
      <c r="U217" s="133" t="n"/>
      <c r="V217" s="133" t="n"/>
      <c r="W217" s="339" t="inlineStr">
        <is>
          <t>계단식</t>
        </is>
      </c>
      <c r="X217" s="339" t="n">
        <v>3</v>
      </c>
      <c r="Y217" s="339" t="n">
        <v>2</v>
      </c>
      <c r="Z217" s="339" t="n">
        <v>242</v>
      </c>
      <c r="AA217" s="133" t="n"/>
      <c r="AB217" s="133" t="n"/>
      <c r="AC217" s="133">
        <f>L217</f>
        <v/>
      </c>
      <c r="AD217" s="133" t="n"/>
      <c r="AE217" s="133" t="n"/>
      <c r="AF217" s="133">
        <f>AE217/AD217</f>
        <v/>
      </c>
      <c r="AG217" s="133">
        <f>AD217-AE217</f>
        <v/>
      </c>
      <c r="AH217" s="339" t="n">
        <v>2026.04</v>
      </c>
      <c r="AJ217" s="339">
        <f>AI217-AD217</f>
        <v/>
      </c>
      <c r="AK217" s="129">
        <f>(AI217-AD217)/AD217</f>
        <v/>
      </c>
      <c r="AL217" s="133">
        <f>AJ217/AG217</f>
        <v/>
      </c>
      <c r="AM217" s="133" t="n"/>
      <c r="AN217" s="133" t="n"/>
      <c r="AV217" s="133" t="n"/>
    </row>
    <row r="218" ht="17" customHeight="1" s="139">
      <c r="A218" s="339" t="inlineStr">
        <is>
          <t>용곡동</t>
        </is>
      </c>
      <c r="B218" s="164" t="n"/>
      <c r="C218" s="164" t="n"/>
      <c r="D218" s="339" t="n">
        <v>186759</v>
      </c>
      <c r="E218" s="150" t="inlineStr">
        <is>
          <t>천안용곡두산위브</t>
        </is>
      </c>
      <c r="F218" s="339" t="n">
        <v>2025.1</v>
      </c>
      <c r="G218" s="339" t="n">
        <v>409</v>
      </c>
      <c r="H218" s="339">
        <f>2026-F218+1</f>
        <v/>
      </c>
      <c r="I218" s="339" t="inlineStr">
        <is>
          <t>134</t>
        </is>
      </c>
      <c r="J218" s="339" t="n">
        <v>134</v>
      </c>
      <c r="K218" s="339" t="n">
        <v>105</v>
      </c>
      <c r="L218" s="339" t="n">
        <v>41</v>
      </c>
      <c r="M218" s="339" t="inlineStr">
        <is>
          <t>계단식</t>
        </is>
      </c>
      <c r="N218" s="339" t="n">
        <v>4</v>
      </c>
      <c r="O218" s="339" t="n">
        <v>2</v>
      </c>
      <c r="P218" s="339" t="n">
        <v>2</v>
      </c>
      <c r="Q218" s="432" t="n"/>
      <c r="R218" s="517" t="inlineStr">
        <is>
          <t>-</t>
        </is>
      </c>
      <c r="S218" s="477">
        <f>Q218-R218</f>
        <v/>
      </c>
      <c r="T218" s="71">
        <f>R218/Q218</f>
        <v/>
      </c>
      <c r="U218" s="518" t="n"/>
      <c r="V218" s="518" t="n"/>
      <c r="W218" s="339" t="inlineStr">
        <is>
          <t>계단식</t>
        </is>
      </c>
      <c r="X218" s="339" t="n">
        <v>4</v>
      </c>
      <c r="Y218" s="339" t="n">
        <v>2</v>
      </c>
      <c r="Z218" s="339" t="n">
        <v>2</v>
      </c>
      <c r="AA218" s="337" t="n"/>
      <c r="AC218" s="339">
        <f>L218</f>
        <v/>
      </c>
      <c r="AD218" s="405" t="n"/>
      <c r="AE218" s="405" t="n"/>
      <c r="AF218" s="140">
        <f>AE218/AD218</f>
        <v/>
      </c>
      <c r="AG218" s="147">
        <f>AD218-AE218</f>
        <v/>
      </c>
      <c r="AH218" s="339" t="n">
        <v>2026.04</v>
      </c>
      <c r="AI218" s="405" t="n"/>
      <c r="AJ218" s="405">
        <f>AI218-AD218</f>
        <v/>
      </c>
      <c r="AK218" s="129">
        <f>(AI218-AD218)/AD218</f>
        <v/>
      </c>
      <c r="AL218" s="140">
        <f>AJ218/AG218</f>
        <v/>
      </c>
      <c r="AM218" s="357" t="n"/>
      <c r="AN218" s="16" t="n"/>
    </row>
    <row r="219" ht="17" customHeight="1" s="139">
      <c r="A219" s="339" t="inlineStr">
        <is>
          <t>용곡동</t>
        </is>
      </c>
      <c r="B219" s="164" t="n"/>
      <c r="C219" s="164" t="n"/>
      <c r="D219" s="339" t="n">
        <v>186759</v>
      </c>
      <c r="E219" s="150" t="inlineStr">
        <is>
          <t>천안용곡두산위브</t>
        </is>
      </c>
      <c r="F219" s="339" t="n">
        <v>2025.1</v>
      </c>
      <c r="G219" s="339" t="n">
        <v>409</v>
      </c>
      <c r="H219" s="339">
        <f>2026-F219+1</f>
        <v/>
      </c>
      <c r="I219" s="339" t="inlineStr">
        <is>
          <t>147</t>
        </is>
      </c>
      <c r="J219" s="339" t="n">
        <v>147</v>
      </c>
      <c r="K219" s="339" t="n">
        <v>114</v>
      </c>
      <c r="L219" s="339" t="n">
        <v>44</v>
      </c>
      <c r="M219" s="339" t="inlineStr">
        <is>
          <t>계단식</t>
        </is>
      </c>
      <c r="N219" s="339" t="n">
        <v>4</v>
      </c>
      <c r="O219" s="339" t="n">
        <v>2</v>
      </c>
      <c r="P219" s="339" t="n">
        <v>9</v>
      </c>
      <c r="Q219" s="432" t="n"/>
      <c r="R219" s="517" t="inlineStr">
        <is>
          <t>-</t>
        </is>
      </c>
      <c r="S219" s="477">
        <f>Q219-R219</f>
        <v/>
      </c>
      <c r="T219" s="71">
        <f>R219/Q219</f>
        <v/>
      </c>
      <c r="U219" s="518" t="n"/>
      <c r="V219" s="518" t="n"/>
      <c r="W219" s="339" t="inlineStr">
        <is>
          <t>계단식</t>
        </is>
      </c>
      <c r="X219" s="339" t="n">
        <v>4</v>
      </c>
      <c r="Y219" s="339" t="n">
        <v>2</v>
      </c>
      <c r="Z219" s="339" t="n">
        <v>9</v>
      </c>
      <c r="AA219" s="337" t="n"/>
      <c r="AC219" s="339">
        <f>L219</f>
        <v/>
      </c>
      <c r="AD219" s="405" t="n"/>
      <c r="AE219" s="405" t="n"/>
      <c r="AF219" s="140">
        <f>AE219/AD219</f>
        <v/>
      </c>
      <c r="AG219" s="147">
        <f>AD219-AE219</f>
        <v/>
      </c>
      <c r="AH219" s="339" t="n">
        <v>2026.04</v>
      </c>
      <c r="AI219" s="405" t="n"/>
      <c r="AJ219" s="405">
        <f>AI219-AD219</f>
        <v/>
      </c>
      <c r="AK219" s="129">
        <f>(AI219-AD219)/AD219</f>
        <v/>
      </c>
      <c r="AL219" s="140">
        <f>AJ219/AG219</f>
        <v/>
      </c>
      <c r="AM219" s="357" t="n"/>
      <c r="AN219" s="15" t="inlineStr">
        <is>
          <t>투자적용 및 질문</t>
        </is>
      </c>
    </row>
    <row r="220" ht="17" customHeight="1" s="139">
      <c r="A220" s="132" t="inlineStr">
        <is>
          <t>용곡동</t>
        </is>
      </c>
      <c r="B220" s="88" t="n"/>
      <c r="C220" s="89" t="n"/>
      <c r="D220" s="132" t="n">
        <v>15420</v>
      </c>
      <c r="E220" s="135" t="inlineStr">
        <is>
          <t>용곡세광엔리치타워1차</t>
        </is>
      </c>
      <c r="F220" s="132" t="n">
        <v>2005.08</v>
      </c>
      <c r="G220" s="132" t="n">
        <v>575</v>
      </c>
      <c r="H220" s="132">
        <f>2026-F220+1</f>
        <v/>
      </c>
      <c r="I220" s="132" t="inlineStr">
        <is>
          <t>180</t>
        </is>
      </c>
      <c r="J220" s="132" t="n">
        <v>180</v>
      </c>
      <c r="K220" s="132" t="n">
        <v>153</v>
      </c>
      <c r="L220" s="132" t="n">
        <v>54</v>
      </c>
      <c r="M220" s="132" t="inlineStr">
        <is>
          <t>계단식</t>
        </is>
      </c>
      <c r="N220" s="132" t="n">
        <v>4</v>
      </c>
      <c r="O220" s="132" t="n">
        <v>2</v>
      </c>
      <c r="P220" s="132" t="n">
        <v>75</v>
      </c>
      <c r="Q220" s="519" t="n"/>
      <c r="R220" s="520" t="inlineStr">
        <is>
          <t>-</t>
        </is>
      </c>
      <c r="S220" s="477">
        <f>Q220-R220</f>
        <v/>
      </c>
      <c r="T220" s="71">
        <f>R220/Q220</f>
        <v/>
      </c>
      <c r="U220" s="521" t="n">
        <v>35800</v>
      </c>
      <c r="V220" s="521" t="n">
        <v>28000</v>
      </c>
      <c r="W220" s="339" t="inlineStr">
        <is>
          <t>계단식</t>
        </is>
      </c>
      <c r="X220" s="339" t="n">
        <v>4</v>
      </c>
      <c r="Y220" s="339" t="n">
        <v>2</v>
      </c>
      <c r="Z220" s="339" t="n">
        <v>75</v>
      </c>
      <c r="AA220" s="134" t="n">
        <v>2020.02</v>
      </c>
      <c r="AB220" s="134" t="n">
        <v>0.02</v>
      </c>
      <c r="AC220" s="134">
        <f>L220</f>
        <v/>
      </c>
      <c r="AD220" s="487" t="n">
        <v>20050</v>
      </c>
      <c r="AE220" s="487" t="n">
        <v>17000</v>
      </c>
      <c r="AF220" s="145">
        <f>AE220/AD220</f>
        <v/>
      </c>
      <c r="AG220" s="146">
        <f>AD220-AE220</f>
        <v/>
      </c>
      <c r="AH220" s="339" t="n">
        <v>2026.04</v>
      </c>
      <c r="AI220" s="339" t="n"/>
      <c r="AJ220" s="339">
        <f>AI220-AD220</f>
        <v/>
      </c>
      <c r="AK220" s="129">
        <f>(AI220-AD220)/AD220</f>
        <v/>
      </c>
      <c r="AL220" s="145">
        <f>AJ220/AG220</f>
        <v/>
      </c>
      <c r="AM220" s="111" t="n"/>
      <c r="AN220" s="133" t="n"/>
      <c r="AV220" s="133" t="n"/>
    </row>
    <row r="221" ht="17" customHeight="1" s="139">
      <c r="A221" s="132" t="inlineStr">
        <is>
          <t>용곡동</t>
        </is>
      </c>
      <c r="B221" s="88" t="n"/>
      <c r="C221" s="89" t="n"/>
      <c r="D221" s="132" t="n">
        <v>26157</v>
      </c>
      <c r="E221" s="135" t="inlineStr">
        <is>
          <t>용곡마을세광엔리치타워2차</t>
        </is>
      </c>
      <c r="F221" s="132" t="n">
        <v>2007.1</v>
      </c>
      <c r="G221" s="132" t="n">
        <v>897</v>
      </c>
      <c r="H221" s="132">
        <f>2026-F221+1</f>
        <v/>
      </c>
      <c r="I221" s="132" t="inlineStr">
        <is>
          <t>130</t>
        </is>
      </c>
      <c r="J221" s="132" t="n">
        <v>130</v>
      </c>
      <c r="K221" s="132" t="n">
        <v>101</v>
      </c>
      <c r="L221" s="132" t="n">
        <v>39</v>
      </c>
      <c r="M221" s="132" t="inlineStr">
        <is>
          <t>계단식</t>
        </is>
      </c>
      <c r="N221" s="132" t="n">
        <v>3</v>
      </c>
      <c r="O221" s="132" t="n">
        <v>2</v>
      </c>
      <c r="P221" s="132" t="n">
        <v>60</v>
      </c>
      <c r="Q221" s="519" t="n"/>
      <c r="R221" s="520" t="inlineStr">
        <is>
          <t>-</t>
        </is>
      </c>
      <c r="S221" s="477">
        <f>Q221-R221</f>
        <v/>
      </c>
      <c r="T221" s="71">
        <f>R221/Q221</f>
        <v/>
      </c>
      <c r="U221" s="521" t="n">
        <v>30500</v>
      </c>
      <c r="V221" s="521" t="n">
        <v>29800</v>
      </c>
      <c r="W221" s="339" t="inlineStr">
        <is>
          <t>계단식</t>
        </is>
      </c>
      <c r="X221" s="339" t="n">
        <v>3</v>
      </c>
      <c r="Y221" s="339" t="n">
        <v>2</v>
      </c>
      <c r="Z221" s="339" t="n">
        <v>60</v>
      </c>
      <c r="AA221" s="133" t="n">
        <v>2024.01</v>
      </c>
      <c r="AB221" s="133" t="n">
        <v>0.02</v>
      </c>
      <c r="AC221" s="134">
        <f>L221</f>
        <v/>
      </c>
      <c r="AD221" s="487" t="n">
        <v>22500</v>
      </c>
      <c r="AE221" s="487" t="n">
        <v>18000</v>
      </c>
      <c r="AF221" s="145">
        <f>AE221/AD221</f>
        <v/>
      </c>
      <c r="AG221" s="146">
        <f>AD221-AE221</f>
        <v/>
      </c>
      <c r="AH221" s="339" t="n">
        <v>2026.04</v>
      </c>
      <c r="AI221" s="339" t="n"/>
      <c r="AJ221" s="339">
        <f>AI221-AD221</f>
        <v/>
      </c>
      <c r="AK221" s="129">
        <f>(AI221-AD221)/AD221</f>
        <v/>
      </c>
      <c r="AL221" s="145">
        <f>AJ221/AG221</f>
        <v/>
      </c>
      <c r="AM221" s="111" t="n"/>
      <c r="AN221" s="133" t="n"/>
      <c r="AV221" s="133" t="n"/>
    </row>
    <row r="222" ht="17" customHeight="1" s="139">
      <c r="A222" s="132" t="inlineStr">
        <is>
          <t>용곡동</t>
        </is>
      </c>
      <c r="B222" s="88" t="n"/>
      <c r="C222" s="89" t="n"/>
      <c r="D222" s="132" t="n">
        <v>15420</v>
      </c>
      <c r="E222" s="135" t="inlineStr">
        <is>
          <t>용곡세광엔리치타워1차</t>
        </is>
      </c>
      <c r="F222" s="132" t="n">
        <v>2005.08</v>
      </c>
      <c r="G222" s="132" t="n">
        <v>575</v>
      </c>
      <c r="H222" s="132">
        <f>2026-F222+1</f>
        <v/>
      </c>
      <c r="I222" s="132" t="inlineStr">
        <is>
          <t>215</t>
        </is>
      </c>
      <c r="J222" s="132" t="n">
        <v>215</v>
      </c>
      <c r="K222" s="132" t="n">
        <v>183</v>
      </c>
      <c r="L222" s="132" t="n">
        <v>65</v>
      </c>
      <c r="M222" s="132" t="inlineStr">
        <is>
          <t>계단식</t>
        </is>
      </c>
      <c r="N222" s="132" t="n">
        <v>4</v>
      </c>
      <c r="O222" s="132" t="n">
        <v>2</v>
      </c>
      <c r="P222" s="132" t="n">
        <v>60</v>
      </c>
      <c r="Q222" s="519" t="n"/>
      <c r="R222" s="520" t="inlineStr">
        <is>
          <t>-</t>
        </is>
      </c>
      <c r="S222" s="477">
        <f>Q222-R222</f>
        <v/>
      </c>
      <c r="T222" s="71">
        <f>R222/Q222</f>
        <v/>
      </c>
      <c r="U222" s="521" t="n">
        <v>38500</v>
      </c>
      <c r="V222" s="521" t="n">
        <v>32000</v>
      </c>
      <c r="W222" s="339" t="inlineStr">
        <is>
          <t>계단식</t>
        </is>
      </c>
      <c r="X222" s="339" t="n">
        <v>4</v>
      </c>
      <c r="Y222" s="339" t="n">
        <v>2</v>
      </c>
      <c r="Z222" s="339" t="n">
        <v>60</v>
      </c>
      <c r="AA222" s="133" t="n">
        <v>2020.03</v>
      </c>
      <c r="AB222" s="133" t="n">
        <v>0.04</v>
      </c>
      <c r="AC222" s="134">
        <f>L222</f>
        <v/>
      </c>
      <c r="AD222" s="487" t="n">
        <v>23100</v>
      </c>
      <c r="AE222" s="487" t="n">
        <v>22000</v>
      </c>
      <c r="AF222" s="145">
        <f>AE222/AD222</f>
        <v/>
      </c>
      <c r="AG222" s="146">
        <f>AD222-AE222</f>
        <v/>
      </c>
      <c r="AH222" s="339" t="n">
        <v>2026.04</v>
      </c>
      <c r="AJ222" s="339">
        <f>AI222-AD222</f>
        <v/>
      </c>
      <c r="AK222" s="129">
        <f>(AI222-AD222)/AD222</f>
        <v/>
      </c>
      <c r="AL222" s="133">
        <f>AJ222/AG222</f>
        <v/>
      </c>
      <c r="AM222" s="88" t="n"/>
      <c r="AN222" s="133" t="n"/>
      <c r="AV222" s="133" t="n"/>
    </row>
    <row r="223" ht="17" customHeight="1" s="139">
      <c r="A223" s="339" t="inlineStr">
        <is>
          <t>용곡동</t>
        </is>
      </c>
      <c r="B223" s="164" t="n"/>
      <c r="C223" s="164" t="n"/>
      <c r="D223" s="339" t="n">
        <v>15430</v>
      </c>
      <c r="E223" s="150" t="inlineStr">
        <is>
          <t>용곡마을동일하이빌1단지</t>
        </is>
      </c>
      <c r="F223" s="339" t="n">
        <v>2005.12</v>
      </c>
      <c r="G223" s="339" t="n">
        <v>706</v>
      </c>
      <c r="H223" s="339">
        <f>2026-F223+1</f>
        <v/>
      </c>
      <c r="I223" s="339" t="inlineStr">
        <is>
          <t>145</t>
        </is>
      </c>
      <c r="J223" s="339" t="n">
        <v>145</v>
      </c>
      <c r="K223" s="339" t="n">
        <v>109</v>
      </c>
      <c r="L223" s="339" t="n">
        <v>44</v>
      </c>
      <c r="M223" s="339" t="inlineStr">
        <is>
          <t>계단식</t>
        </is>
      </c>
      <c r="N223" s="339" t="n">
        <v>3</v>
      </c>
      <c r="O223" s="339" t="n">
        <v>2</v>
      </c>
      <c r="P223" s="339" t="n">
        <v>323</v>
      </c>
      <c r="Q223" s="432" t="n"/>
      <c r="R223" s="517" t="inlineStr">
        <is>
          <t>-</t>
        </is>
      </c>
      <c r="S223" s="477">
        <f>Q223-R223</f>
        <v/>
      </c>
      <c r="T223" s="71">
        <f>R223/Q223</f>
        <v/>
      </c>
      <c r="U223" s="518" t="n">
        <v>35000</v>
      </c>
      <c r="V223" s="518" t="n">
        <v>24000</v>
      </c>
      <c r="W223" s="339" t="inlineStr">
        <is>
          <t>계단식</t>
        </is>
      </c>
      <c r="X223" s="339" t="n">
        <v>3</v>
      </c>
      <c r="Y223" s="339" t="n">
        <v>2</v>
      </c>
      <c r="Z223" s="339" t="n">
        <v>323</v>
      </c>
      <c r="AA223" s="339" t="n">
        <v>2020.06</v>
      </c>
      <c r="AB223" s="339" t="n">
        <v>0.01</v>
      </c>
      <c r="AC223" s="339">
        <f>L223</f>
        <v/>
      </c>
      <c r="AD223" s="405" t="n">
        <v>24933</v>
      </c>
      <c r="AE223" s="405" t="n">
        <v>20000</v>
      </c>
      <c r="AF223" s="140">
        <f>AE223/AD223</f>
        <v/>
      </c>
      <c r="AG223" s="147">
        <f>AD223-AE223</f>
        <v/>
      </c>
      <c r="AH223" s="339" t="n">
        <v>2026.04</v>
      </c>
      <c r="AI223" s="339" t="n"/>
      <c r="AJ223" s="339">
        <f>AI223-AD223</f>
        <v/>
      </c>
      <c r="AK223" s="129">
        <f>(AI223-AD223)/AD223</f>
        <v/>
      </c>
      <c r="AL223" s="339">
        <f>AJ223/AG223</f>
        <v/>
      </c>
      <c r="AM223" s="357" t="n"/>
    </row>
    <row r="224" ht="17" customHeight="1" s="139">
      <c r="A224" s="339" t="inlineStr">
        <is>
          <t>용곡동</t>
        </is>
      </c>
      <c r="D224" s="339" t="n">
        <v>26813</v>
      </c>
      <c r="E224" s="150" t="inlineStr">
        <is>
          <t>용곡우림필유</t>
        </is>
      </c>
      <c r="F224" s="339" t="n">
        <v>2009.1</v>
      </c>
      <c r="G224" s="339" t="n">
        <v>499</v>
      </c>
      <c r="H224" s="339">
        <f>2026-F224+1</f>
        <v/>
      </c>
      <c r="I224" s="339" t="inlineStr">
        <is>
          <t>154A, 154B</t>
        </is>
      </c>
      <c r="J224" s="339" t="n">
        <v>154</v>
      </c>
      <c r="K224" s="339" t="n">
        <v>120</v>
      </c>
      <c r="L224" s="339" t="n">
        <v>47</v>
      </c>
      <c r="M224" s="339" t="inlineStr">
        <is>
          <t>계단식</t>
        </is>
      </c>
      <c r="N224" s="339" t="n">
        <v>4</v>
      </c>
      <c r="O224" s="339" t="n">
        <v>2</v>
      </c>
      <c r="P224" s="339" t="n">
        <v>137</v>
      </c>
      <c r="Q224" s="432" t="n"/>
      <c r="R224" s="517" t="inlineStr">
        <is>
          <t>-</t>
        </is>
      </c>
      <c r="S224" s="477">
        <f>Q224-R224</f>
        <v/>
      </c>
      <c r="T224" s="71">
        <f>R224/Q224</f>
        <v/>
      </c>
      <c r="U224" s="518" t="n">
        <v>38000</v>
      </c>
      <c r="V224" s="518" t="n">
        <v>31000</v>
      </c>
      <c r="W224" s="339" t="inlineStr">
        <is>
          <t>계단식</t>
        </is>
      </c>
      <c r="X224" s="339" t="n">
        <v>4</v>
      </c>
      <c r="Y224" s="339" t="n">
        <v>2</v>
      </c>
      <c r="Z224" s="339" t="n">
        <v>137</v>
      </c>
      <c r="AA224" s="339" t="n">
        <v>2019.12</v>
      </c>
      <c r="AB224" s="339" t="n">
        <v>0.09</v>
      </c>
      <c r="AC224" s="339">
        <f>L224</f>
        <v/>
      </c>
      <c r="AD224" s="405" t="n">
        <v>25729</v>
      </c>
      <c r="AE224" s="405" t="n">
        <v>20750</v>
      </c>
      <c r="AF224" s="140">
        <f>AE224/AD224</f>
        <v/>
      </c>
      <c r="AG224" s="147">
        <f>AD224-AE224</f>
        <v/>
      </c>
      <c r="AH224" s="339" t="n">
        <v>2026.04</v>
      </c>
      <c r="AJ224" s="339">
        <f>AI224-AD224</f>
        <v/>
      </c>
      <c r="AK224" s="129">
        <f>(AI224-AD224)/AD224</f>
        <v/>
      </c>
      <c r="AL224" s="339">
        <f>AJ224/AG224</f>
        <v/>
      </c>
    </row>
    <row r="225" ht="17" customHeight="1" s="139">
      <c r="A225" s="132" t="inlineStr">
        <is>
          <t>용곡동</t>
        </is>
      </c>
      <c r="B225" s="88" t="n"/>
      <c r="C225" s="89" t="n"/>
      <c r="D225" s="132" t="n">
        <v>15420</v>
      </c>
      <c r="E225" s="135" t="inlineStr">
        <is>
          <t>용곡세광엔리치타워1차</t>
        </is>
      </c>
      <c r="F225" s="132" t="n">
        <v>2005.08</v>
      </c>
      <c r="G225" s="132" t="n">
        <v>575</v>
      </c>
      <c r="H225" s="132">
        <f>2026-F225+1</f>
        <v/>
      </c>
      <c r="I225" s="132" t="inlineStr">
        <is>
          <t>151</t>
        </is>
      </c>
      <c r="J225" s="132" t="n">
        <v>151</v>
      </c>
      <c r="K225" s="132" t="n">
        <v>128</v>
      </c>
      <c r="L225" s="132" t="n">
        <v>46</v>
      </c>
      <c r="M225" s="132" t="inlineStr">
        <is>
          <t>계단식</t>
        </is>
      </c>
      <c r="N225" s="132" t="n">
        <v>4</v>
      </c>
      <c r="O225" s="132" t="n">
        <v>2</v>
      </c>
      <c r="P225" s="132" t="n">
        <v>90</v>
      </c>
      <c r="Q225" s="519" t="n"/>
      <c r="R225" s="520" t="inlineStr">
        <is>
          <t>-</t>
        </is>
      </c>
      <c r="S225" s="477">
        <f>Q225-R225</f>
        <v/>
      </c>
      <c r="T225" s="71">
        <f>R225/Q225</f>
        <v/>
      </c>
      <c r="U225" s="521" t="n">
        <v>32000</v>
      </c>
      <c r="V225" s="521" t="n">
        <v>27500</v>
      </c>
      <c r="W225" s="339" t="inlineStr">
        <is>
          <t>계단식</t>
        </is>
      </c>
      <c r="X225" s="339" t="n">
        <v>4</v>
      </c>
      <c r="Y225" s="339" t="n">
        <v>2</v>
      </c>
      <c r="Z225" s="339" t="n">
        <v>90</v>
      </c>
      <c r="AA225" s="133" t="n">
        <v>2025.09</v>
      </c>
      <c r="AB225" s="133" t="n">
        <v>0.02</v>
      </c>
      <c r="AC225" s="134">
        <f>L225</f>
        <v/>
      </c>
      <c r="AD225" s="487" t="n">
        <v>26000</v>
      </c>
      <c r="AE225" s="487" t="n">
        <v>23000</v>
      </c>
      <c r="AF225" s="145">
        <f>AE225/AD225</f>
        <v/>
      </c>
      <c r="AG225" s="146">
        <f>AD225-AE225</f>
        <v/>
      </c>
      <c r="AH225" s="339" t="n">
        <v>2026.04</v>
      </c>
      <c r="AJ225" s="339">
        <f>AI225-AD225</f>
        <v/>
      </c>
      <c r="AK225" s="129">
        <f>(AI225-AD225)/AD225</f>
        <v/>
      </c>
      <c r="AL225" s="145">
        <f>AJ225/AG225</f>
        <v/>
      </c>
      <c r="AM225" s="111" t="n"/>
      <c r="AN225" s="133" t="n"/>
      <c r="AV225" s="133" t="n"/>
    </row>
    <row r="226" ht="17" customHeight="1" s="139">
      <c r="A226" s="132" t="inlineStr">
        <is>
          <t>용곡동</t>
        </is>
      </c>
      <c r="B226" s="133" t="n"/>
      <c r="C226" s="133" t="n"/>
      <c r="D226" s="132" t="n">
        <v>26157</v>
      </c>
      <c r="E226" s="135" t="inlineStr">
        <is>
          <t>용곡마을세광엔리치타워2차</t>
        </is>
      </c>
      <c r="F226" s="132" t="n">
        <v>2007.1</v>
      </c>
      <c r="G226" s="132" t="n">
        <v>897</v>
      </c>
      <c r="H226" s="132">
        <f>2026-F226+1</f>
        <v/>
      </c>
      <c r="I226" s="132" t="inlineStr">
        <is>
          <t>158</t>
        </is>
      </c>
      <c r="J226" s="132" t="n">
        <v>158</v>
      </c>
      <c r="K226" s="132" t="n">
        <v>126</v>
      </c>
      <c r="L226" s="132" t="n">
        <v>48</v>
      </c>
      <c r="M226" s="132" t="inlineStr">
        <is>
          <t>계단식</t>
        </is>
      </c>
      <c r="N226" s="132" t="n">
        <v>4</v>
      </c>
      <c r="O226" s="132" t="n">
        <v>2</v>
      </c>
      <c r="P226" s="132" t="n">
        <v>90</v>
      </c>
      <c r="Q226" s="519" t="n"/>
      <c r="R226" s="520" t="inlineStr">
        <is>
          <t>-</t>
        </is>
      </c>
      <c r="S226" s="477">
        <f>Q226-R226</f>
        <v/>
      </c>
      <c r="T226" s="71">
        <f>R226/Q226</f>
        <v/>
      </c>
      <c r="U226" s="521" t="n">
        <v>36000</v>
      </c>
      <c r="V226" s="521" t="n">
        <v>34500</v>
      </c>
      <c r="W226" s="339" t="inlineStr">
        <is>
          <t>계단식</t>
        </is>
      </c>
      <c r="X226" s="339" t="n">
        <v>4</v>
      </c>
      <c r="Y226" s="339" t="n">
        <v>2</v>
      </c>
      <c r="Z226" s="339" t="n">
        <v>90</v>
      </c>
      <c r="AA226" s="133" t="n">
        <v>2021.08</v>
      </c>
      <c r="AB226" s="133" t="n">
        <v>0.03</v>
      </c>
      <c r="AC226" s="134">
        <f>L226</f>
        <v/>
      </c>
      <c r="AD226" s="487" t="n">
        <v>31000</v>
      </c>
      <c r="AE226" s="487" t="n">
        <v>25000</v>
      </c>
      <c r="AF226" s="145">
        <f>AE226/AD226</f>
        <v/>
      </c>
      <c r="AG226" s="146">
        <f>AD226-AE226</f>
        <v/>
      </c>
      <c r="AH226" s="339" t="n">
        <v>2026.04</v>
      </c>
      <c r="AI226" s="339" t="n"/>
      <c r="AJ226" s="339">
        <f>AI226-AD226</f>
        <v/>
      </c>
      <c r="AK226" s="129">
        <f>(AI226-AD226)/AD226</f>
        <v/>
      </c>
      <c r="AL226" s="145">
        <f>AJ226/AG226</f>
        <v/>
      </c>
      <c r="AM226" s="141" t="n"/>
      <c r="AN226" s="133" t="n"/>
      <c r="AV226" s="133" t="n"/>
    </row>
    <row r="227" ht="17" customHeight="1" s="139">
      <c r="A227" s="132" t="inlineStr">
        <is>
          <t>용곡동</t>
        </is>
      </c>
      <c r="B227" s="133" t="n"/>
      <c r="C227" s="133" t="n"/>
      <c r="D227" s="132" t="n">
        <v>107116</v>
      </c>
      <c r="E227" s="135" t="inlineStr">
        <is>
          <t>용곡동일하이빌하이씨티4단지</t>
        </is>
      </c>
      <c r="F227" s="132" t="n">
        <v>2015.08</v>
      </c>
      <c r="G227" s="132" t="n">
        <v>379</v>
      </c>
      <c r="H227" s="132">
        <f>2026-F227+1</f>
        <v/>
      </c>
      <c r="I227" s="132" t="inlineStr">
        <is>
          <t>135</t>
        </is>
      </c>
      <c r="J227" s="132" t="n">
        <v>135</v>
      </c>
      <c r="K227" s="132" t="n">
        <v>103</v>
      </c>
      <c r="L227" s="132" t="n">
        <v>41</v>
      </c>
      <c r="M227" s="132" t="inlineStr">
        <is>
          <t>계단식</t>
        </is>
      </c>
      <c r="N227" s="132" t="n">
        <v>3</v>
      </c>
      <c r="O227" s="132" t="n">
        <v>2</v>
      </c>
      <c r="P227" s="132" t="n">
        <v>114</v>
      </c>
      <c r="Q227" s="519" t="n"/>
      <c r="R227" s="520" t="inlineStr">
        <is>
          <t>-</t>
        </is>
      </c>
      <c r="S227" s="477">
        <f>Q227-R227</f>
        <v/>
      </c>
      <c r="T227" s="71">
        <f>R227/Q227</f>
        <v/>
      </c>
      <c r="U227" s="521" t="n">
        <v>44500</v>
      </c>
      <c r="V227" s="521" t="n">
        <v>34900</v>
      </c>
      <c r="W227" s="339" t="inlineStr">
        <is>
          <t>계단식</t>
        </is>
      </c>
      <c r="X227" s="339" t="n">
        <v>3</v>
      </c>
      <c r="Y227" s="339" t="n">
        <v>2</v>
      </c>
      <c r="Z227" s="339" t="n">
        <v>114</v>
      </c>
      <c r="AA227" s="133" t="n">
        <v>2021.02</v>
      </c>
      <c r="AB227" s="133" t="n">
        <v>0.02</v>
      </c>
      <c r="AC227" s="134">
        <f>L227</f>
        <v/>
      </c>
      <c r="AD227" s="487" t="n">
        <v>32000</v>
      </c>
      <c r="AE227" s="487" t="n">
        <v>25750</v>
      </c>
      <c r="AF227" s="145">
        <f>AE227/AD227</f>
        <v/>
      </c>
      <c r="AG227" s="146">
        <f>AD227-AE227</f>
        <v/>
      </c>
      <c r="AH227" s="339" t="n">
        <v>2026.04</v>
      </c>
      <c r="AI227" s="339" t="n"/>
      <c r="AJ227" s="339">
        <f>AI227-AD227</f>
        <v/>
      </c>
      <c r="AK227" s="129">
        <f>(AI227-AD227)/AD227</f>
        <v/>
      </c>
      <c r="AL227" s="145">
        <f>AJ227/AG227</f>
        <v/>
      </c>
      <c r="AM227" s="141" t="n"/>
      <c r="AN227" s="133" t="n"/>
      <c r="AO227" s="339" t="n"/>
      <c r="AP227" s="339" t="n"/>
      <c r="AQ227" s="339" t="n"/>
      <c r="AR227" s="339" t="n"/>
      <c r="AS227" s="339" t="n"/>
      <c r="AT227" s="339" t="n"/>
      <c r="AU227" s="339" t="n"/>
      <c r="AV227" s="133" t="n"/>
      <c r="AW227" s="339" t="n"/>
      <c r="AX227" s="339" t="n"/>
      <c r="AY227" s="339" t="n"/>
    </row>
    <row r="228" ht="17" customHeight="1" s="139">
      <c r="A228" s="339" t="inlineStr">
        <is>
          <t>용곡동</t>
        </is>
      </c>
      <c r="B228" s="164" t="n"/>
      <c r="C228" s="164" t="n"/>
      <c r="D228" s="339" t="n">
        <v>19242</v>
      </c>
      <c r="E228" s="150" t="inlineStr">
        <is>
          <t>용곡마을아이파크</t>
        </is>
      </c>
      <c r="F228" s="339" t="n">
        <v>2006.09</v>
      </c>
      <c r="G228" s="339" t="n">
        <v>403</v>
      </c>
      <c r="H228" s="339">
        <f>2026-F228+1</f>
        <v/>
      </c>
      <c r="I228" s="339" t="inlineStr">
        <is>
          <t>189B, 189A</t>
        </is>
      </c>
      <c r="J228" s="339" t="n">
        <v>189</v>
      </c>
      <c r="K228" s="339" t="n">
        <v>156</v>
      </c>
      <c r="L228" s="339" t="n">
        <v>57</v>
      </c>
      <c r="M228" s="339" t="inlineStr">
        <is>
          <t>계단식</t>
        </is>
      </c>
      <c r="N228" s="339" t="n">
        <v>4</v>
      </c>
      <c r="O228" s="339" t="n">
        <v>2</v>
      </c>
      <c r="P228" s="339" t="n">
        <v>59</v>
      </c>
      <c r="Q228" s="432" t="n"/>
      <c r="R228" s="517" t="inlineStr">
        <is>
          <t>-</t>
        </is>
      </c>
      <c r="S228" s="477">
        <f>Q228-R228</f>
        <v/>
      </c>
      <c r="T228" s="71">
        <f>R228/Q228</f>
        <v/>
      </c>
      <c r="U228" s="518" t="n">
        <v>35000</v>
      </c>
      <c r="V228" s="518" t="n">
        <v>32000</v>
      </c>
      <c r="W228" s="339" t="inlineStr">
        <is>
          <t>계단식</t>
        </is>
      </c>
      <c r="X228" s="339" t="n">
        <v>4</v>
      </c>
      <c r="Y228" s="339" t="n">
        <v>2</v>
      </c>
      <c r="Z228" s="339" t="n">
        <v>59</v>
      </c>
      <c r="AA228" s="339" t="n">
        <v>2021.03</v>
      </c>
      <c r="AB228" s="339" t="n">
        <v>0.06</v>
      </c>
      <c r="AC228" s="339">
        <f>L228</f>
        <v/>
      </c>
      <c r="AD228" s="405" t="n">
        <v>32467</v>
      </c>
      <c r="AE228" s="405" t="n">
        <v>29000</v>
      </c>
      <c r="AF228" s="140">
        <f>AE228/AD228</f>
        <v/>
      </c>
      <c r="AG228" s="147">
        <f>AD228-AE228</f>
        <v/>
      </c>
      <c r="AH228" s="339" t="n">
        <v>2026.04</v>
      </c>
      <c r="AJ228" s="339">
        <f>AI228-AD228</f>
        <v/>
      </c>
      <c r="AK228" s="129">
        <f>(AI228-AD228)/AD228</f>
        <v/>
      </c>
      <c r="AL228" s="339">
        <f>AJ228/AG228</f>
        <v/>
      </c>
      <c r="AM228" s="357" t="n"/>
    </row>
    <row r="229" ht="17" customHeight="1" s="139">
      <c r="A229" s="132" t="inlineStr">
        <is>
          <t>용곡동</t>
        </is>
      </c>
      <c r="B229" s="88" t="n"/>
      <c r="C229" s="89" t="n"/>
      <c r="D229" s="132" t="n">
        <v>26258</v>
      </c>
      <c r="E229" s="135" t="inlineStr">
        <is>
          <t>용곡한라비발디</t>
        </is>
      </c>
      <c r="F229" s="132" t="n">
        <v>2010.06</v>
      </c>
      <c r="G229" s="132" t="n">
        <v>1163</v>
      </c>
      <c r="H229" s="132">
        <f>2026-F229+1</f>
        <v/>
      </c>
      <c r="I229" s="132" t="inlineStr">
        <is>
          <t>146</t>
        </is>
      </c>
      <c r="J229" s="132" t="n">
        <v>146</v>
      </c>
      <c r="K229" s="132" t="n">
        <v>116</v>
      </c>
      <c r="L229" s="132" t="n">
        <v>44</v>
      </c>
      <c r="M229" s="132" t="inlineStr">
        <is>
          <t>계단식</t>
        </is>
      </c>
      <c r="N229" s="132" t="n">
        <v>3</v>
      </c>
      <c r="O229" s="132" t="n">
        <v>2</v>
      </c>
      <c r="P229" s="132" t="n">
        <v>286</v>
      </c>
      <c r="Q229" s="519" t="n"/>
      <c r="R229" s="520" t="inlineStr">
        <is>
          <t>-</t>
        </is>
      </c>
      <c r="S229" s="477">
        <f>Q229-R229</f>
        <v/>
      </c>
      <c r="T229" s="71">
        <f>R229/Q229</f>
        <v/>
      </c>
      <c r="U229" s="521" t="n">
        <v>46850</v>
      </c>
      <c r="V229" s="521" t="n">
        <v>36500</v>
      </c>
      <c r="W229" s="339" t="inlineStr">
        <is>
          <t>계단식</t>
        </is>
      </c>
      <c r="X229" s="339" t="n">
        <v>3</v>
      </c>
      <c r="Y229" s="339" t="n">
        <v>2</v>
      </c>
      <c r="Z229" s="339" t="n">
        <v>286</v>
      </c>
      <c r="AA229" s="133" t="n">
        <v>2025.12</v>
      </c>
      <c r="AB229" s="133" t="n">
        <v>0.02</v>
      </c>
      <c r="AC229" s="134">
        <f>L229</f>
        <v/>
      </c>
      <c r="AD229" s="487" t="n">
        <v>35850</v>
      </c>
      <c r="AE229" s="487" t="n">
        <v>31300</v>
      </c>
      <c r="AF229" s="145">
        <f>AE229/AD229</f>
        <v/>
      </c>
      <c r="AG229" s="146">
        <f>AD229-AE229</f>
        <v/>
      </c>
      <c r="AH229" s="339" t="n">
        <v>2026.04</v>
      </c>
      <c r="AI229" s="339" t="n"/>
      <c r="AJ229" s="339">
        <f>AI229-AD229</f>
        <v/>
      </c>
      <c r="AK229" s="129">
        <f>(AI229-AD229)/AD229</f>
        <v/>
      </c>
      <c r="AL229" s="133">
        <f>AJ229/AG229</f>
        <v/>
      </c>
      <c r="AM229" s="88" t="n"/>
      <c r="AN229" s="133" t="n"/>
      <c r="AV229" s="133" t="n"/>
    </row>
    <row r="230" ht="17" customHeight="1" s="139">
      <c r="A230" s="132" t="inlineStr">
        <is>
          <t>용곡동</t>
        </is>
      </c>
      <c r="B230" s="88" t="n"/>
      <c r="C230" s="89" t="n"/>
      <c r="D230" s="132" t="n">
        <v>26258</v>
      </c>
      <c r="E230" s="135" t="inlineStr">
        <is>
          <t>용곡한라비발디</t>
        </is>
      </c>
      <c r="F230" s="132" t="n">
        <v>2010.06</v>
      </c>
      <c r="G230" s="132" t="n">
        <v>1163</v>
      </c>
      <c r="H230" s="132">
        <f>2026-F230+1</f>
        <v/>
      </c>
      <c r="I230" s="132" t="inlineStr">
        <is>
          <t>209</t>
        </is>
      </c>
      <c r="J230" s="132" t="n">
        <v>209</v>
      </c>
      <c r="K230" s="132" t="n">
        <v>161</v>
      </c>
      <c r="L230" s="132" t="n">
        <v>63</v>
      </c>
      <c r="M230" s="132" t="inlineStr">
        <is>
          <t>계단식</t>
        </is>
      </c>
      <c r="N230" s="132" t="n">
        <v>4</v>
      </c>
      <c r="O230" s="132" t="n">
        <v>2</v>
      </c>
      <c r="P230" s="132" t="n">
        <v>188</v>
      </c>
      <c r="Q230" s="519" t="n"/>
      <c r="R230" s="520" t="inlineStr">
        <is>
          <t>-</t>
        </is>
      </c>
      <c r="S230" s="477">
        <f>Q230-R230</f>
        <v/>
      </c>
      <c r="T230" s="71">
        <f>R230/Q230</f>
        <v/>
      </c>
      <c r="U230" s="521" t="n">
        <v>63000</v>
      </c>
      <c r="V230" s="521" t="n">
        <v>56000</v>
      </c>
      <c r="W230" s="339" t="inlineStr">
        <is>
          <t>계단식</t>
        </is>
      </c>
      <c r="X230" s="339" t="n">
        <v>4</v>
      </c>
      <c r="Y230" s="339" t="n">
        <v>2</v>
      </c>
      <c r="Z230" s="339" t="n">
        <v>188</v>
      </c>
      <c r="AA230" s="133" t="n">
        <v>2026.01</v>
      </c>
      <c r="AB230" s="133" t="n">
        <v>0.02</v>
      </c>
      <c r="AC230" s="134">
        <f>L230</f>
        <v/>
      </c>
      <c r="AD230" s="487" t="n">
        <v>54500</v>
      </c>
      <c r="AE230" s="487" t="n">
        <v>45000</v>
      </c>
      <c r="AF230" s="145">
        <f>AE230/AD230</f>
        <v/>
      </c>
      <c r="AG230" s="146">
        <f>AD230-AE230</f>
        <v/>
      </c>
      <c r="AH230" s="339" t="n">
        <v>2026.04</v>
      </c>
      <c r="AI230" s="339" t="n"/>
      <c r="AJ230" s="339">
        <f>AI230-AD230</f>
        <v/>
      </c>
      <c r="AK230" s="129">
        <f>(AI230-AD230)/AD230</f>
        <v/>
      </c>
      <c r="AL230" s="133">
        <f>AJ230/AG230</f>
        <v/>
      </c>
      <c r="AM230" s="88" t="n"/>
      <c r="AN230" s="133" t="n"/>
      <c r="AV230" s="133" t="n"/>
    </row>
    <row r="231" ht="17" customHeight="1" s="139">
      <c r="A231" s="339" t="inlineStr">
        <is>
          <t>원성동</t>
        </is>
      </c>
      <c r="B231" s="164" t="n"/>
      <c r="C231" s="164" t="n"/>
      <c r="D231" s="339" t="n">
        <v>7558</v>
      </c>
      <c r="E231" s="150" t="inlineStr">
        <is>
          <t>극동</t>
        </is>
      </c>
      <c r="F231" s="339" t="n">
        <v>1995.1</v>
      </c>
      <c r="G231" s="339" t="n">
        <v>341</v>
      </c>
      <c r="H231" s="339">
        <f>2026-F231+1</f>
        <v/>
      </c>
      <c r="I231" s="339" t="inlineStr">
        <is>
          <t>43A</t>
        </is>
      </c>
      <c r="J231" s="339" t="n">
        <v>43</v>
      </c>
      <c r="K231" s="339" t="n">
        <v>30</v>
      </c>
      <c r="L231" s="339" t="n">
        <v>13</v>
      </c>
      <c r="M231" s="339" t="inlineStr">
        <is>
          <t>복도식</t>
        </is>
      </c>
      <c r="N231" s="339" t="n">
        <v>2</v>
      </c>
      <c r="O231" s="339" t="n">
        <v>1</v>
      </c>
      <c r="P231" s="339" t="n">
        <v>26</v>
      </c>
      <c r="R231" s="137" t="inlineStr">
        <is>
          <t>-</t>
        </is>
      </c>
      <c r="S231" s="477">
        <f>Q231-R231</f>
        <v/>
      </c>
      <c r="T231" s="71">
        <f>R231/Q231</f>
        <v/>
      </c>
      <c r="U231" s="136" t="n">
        <v>7000</v>
      </c>
      <c r="V231" s="136" t="n">
        <v>6200</v>
      </c>
      <c r="W231" s="339" t="inlineStr">
        <is>
          <t>복도식</t>
        </is>
      </c>
      <c r="X231" s="339" t="n">
        <v>2</v>
      </c>
      <c r="Y231" s="339" t="n">
        <v>1</v>
      </c>
      <c r="Z231" s="339" t="n">
        <v>26</v>
      </c>
      <c r="AC231" s="339">
        <f>L231</f>
        <v/>
      </c>
      <c r="AF231" s="339">
        <f>AE231/AD231</f>
        <v/>
      </c>
      <c r="AG231" s="339">
        <f>AD231-AE231</f>
        <v/>
      </c>
      <c r="AH231" s="339" t="n">
        <v>2026.04</v>
      </c>
      <c r="AJ231" s="339">
        <f>AI231-AD231</f>
        <v/>
      </c>
      <c r="AK231" s="129">
        <f>(AI231-AD231)/AD231</f>
        <v/>
      </c>
      <c r="AL231" s="339">
        <f>AJ231/AG231</f>
        <v/>
      </c>
      <c r="AM231" s="357" t="n"/>
    </row>
    <row r="232" ht="17" customHeight="1" s="139">
      <c r="A232" s="339" t="inlineStr">
        <is>
          <t>원성동</t>
        </is>
      </c>
      <c r="B232" s="164" t="n"/>
      <c r="C232" s="164" t="n"/>
      <c r="D232" s="339" t="n">
        <v>7558</v>
      </c>
      <c r="E232" s="150" t="inlineStr">
        <is>
          <t>극동</t>
        </is>
      </c>
      <c r="F232" s="339" t="n">
        <v>1995.1</v>
      </c>
      <c r="G232" s="339" t="n">
        <v>341</v>
      </c>
      <c r="H232" s="339">
        <f>2026-F232+1</f>
        <v/>
      </c>
      <c r="I232" s="339" t="inlineStr">
        <is>
          <t>45B</t>
        </is>
      </c>
      <c r="J232" s="339" t="n">
        <v>45</v>
      </c>
      <c r="K232" s="339" t="n">
        <v>33</v>
      </c>
      <c r="L232" s="339" t="n">
        <v>14</v>
      </c>
      <c r="M232" s="339" t="inlineStr">
        <is>
          <t>복도식</t>
        </is>
      </c>
      <c r="N232" s="339" t="n">
        <v>2</v>
      </c>
      <c r="O232" s="339" t="n">
        <v>1</v>
      </c>
      <c r="P232" s="339" t="n">
        <v>75</v>
      </c>
      <c r="R232" s="137" t="inlineStr">
        <is>
          <t>-</t>
        </is>
      </c>
      <c r="S232" s="477">
        <f>Q232-R232</f>
        <v/>
      </c>
      <c r="T232" s="71">
        <f>R232/Q232</f>
        <v/>
      </c>
      <c r="U232" s="136" t="n">
        <v>7200</v>
      </c>
      <c r="V232" s="136" t="n">
        <v>7200</v>
      </c>
      <c r="W232" s="339" t="inlineStr">
        <is>
          <t>복도식</t>
        </is>
      </c>
      <c r="X232" s="339" t="n">
        <v>2</v>
      </c>
      <c r="Y232" s="339" t="n">
        <v>1</v>
      </c>
      <c r="Z232" s="339" t="n">
        <v>75</v>
      </c>
      <c r="AA232" s="339" t="n">
        <v>2020.09</v>
      </c>
      <c r="AB232" s="339" t="n">
        <v>0.03</v>
      </c>
      <c r="AC232" s="339">
        <f>L232</f>
        <v/>
      </c>
      <c r="AD232" s="339" t="n">
        <v>6967</v>
      </c>
      <c r="AE232" s="339" t="n">
        <v>7000</v>
      </c>
      <c r="AF232" s="339">
        <f>AE232/AD232</f>
        <v/>
      </c>
      <c r="AG232" s="339">
        <f>AD232-AE232</f>
        <v/>
      </c>
      <c r="AH232" s="339" t="n">
        <v>2026.04</v>
      </c>
      <c r="AJ232" s="339">
        <f>AI232-AD232</f>
        <v/>
      </c>
      <c r="AK232" s="129">
        <f>(AI232-AD232)/AD232</f>
        <v/>
      </c>
      <c r="AL232" s="339">
        <f>AJ232/AG232</f>
        <v/>
      </c>
      <c r="AM232" s="357" t="n"/>
    </row>
    <row r="233" ht="17" customHeight="1" s="139">
      <c r="A233" s="339" t="inlineStr">
        <is>
          <t>원성동</t>
        </is>
      </c>
      <c r="D233" s="339" t="n">
        <v>7558</v>
      </c>
      <c r="E233" s="150" t="inlineStr">
        <is>
          <t>극동</t>
        </is>
      </c>
      <c r="F233" s="339" t="n">
        <v>1995.1</v>
      </c>
      <c r="G233" s="339" t="n">
        <v>341</v>
      </c>
      <c r="H233" s="339">
        <f>2026-F233+1</f>
        <v/>
      </c>
      <c r="I233" s="339" t="inlineStr">
        <is>
          <t>65</t>
        </is>
      </c>
      <c r="J233" s="339" t="n">
        <v>65</v>
      </c>
      <c r="K233" s="339" t="n">
        <v>46</v>
      </c>
      <c r="L233" s="339" t="n">
        <v>20</v>
      </c>
      <c r="M233" s="339" t="inlineStr">
        <is>
          <t>복도식</t>
        </is>
      </c>
      <c r="N233" s="339" t="n">
        <v>2</v>
      </c>
      <c r="O233" s="339" t="n">
        <v>1</v>
      </c>
      <c r="P233" s="339" t="n">
        <v>26</v>
      </c>
      <c r="R233" s="137" t="inlineStr">
        <is>
          <t>-</t>
        </is>
      </c>
      <c r="S233" s="477">
        <f>Q233-R233</f>
        <v/>
      </c>
      <c r="T233" s="71">
        <f>R233/Q233</f>
        <v/>
      </c>
      <c r="U233" s="136" t="n">
        <v>10900</v>
      </c>
      <c r="V233" s="136" t="n">
        <v>9400</v>
      </c>
      <c r="W233" s="339" t="inlineStr">
        <is>
          <t>복도식</t>
        </is>
      </c>
      <c r="X233" s="339" t="n">
        <v>2</v>
      </c>
      <c r="Y233" s="339" t="n">
        <v>1</v>
      </c>
      <c r="Z233" s="339" t="n">
        <v>26</v>
      </c>
      <c r="AA233" s="339" t="n">
        <v>2020.12</v>
      </c>
      <c r="AB233" s="339" t="n">
        <v>0.01</v>
      </c>
      <c r="AC233" s="339">
        <f>L233</f>
        <v/>
      </c>
      <c r="AD233" s="339" t="n">
        <v>8100</v>
      </c>
      <c r="AE233" s="339" t="n">
        <v>7000</v>
      </c>
      <c r="AF233" s="339">
        <f>AE233/AD233</f>
        <v/>
      </c>
      <c r="AG233" s="339">
        <f>AD233-AE233</f>
        <v/>
      </c>
      <c r="AH233" s="339" t="n">
        <v>2026.04</v>
      </c>
      <c r="AJ233" s="339">
        <f>AI233-AD233</f>
        <v/>
      </c>
      <c r="AK233" s="129">
        <f>(AI233-AD233)/AD233</f>
        <v/>
      </c>
      <c r="AL233" s="339">
        <f>AJ233/AG233</f>
        <v/>
      </c>
    </row>
    <row r="234" ht="17" customHeight="1" s="139">
      <c r="A234" s="339" t="inlineStr">
        <is>
          <t>원성동</t>
        </is>
      </c>
      <c r="D234" s="339" t="n">
        <v>7558</v>
      </c>
      <c r="E234" s="150" t="inlineStr">
        <is>
          <t>극동</t>
        </is>
      </c>
      <c r="F234" s="339" t="n">
        <v>1995.1</v>
      </c>
      <c r="G234" s="339" t="n">
        <v>341</v>
      </c>
      <c r="H234" s="339">
        <f>2026-F234+1</f>
        <v/>
      </c>
      <c r="I234" s="339" t="inlineStr">
        <is>
          <t>80</t>
        </is>
      </c>
      <c r="J234" s="339" t="n">
        <v>80</v>
      </c>
      <c r="K234" s="339" t="n">
        <v>59</v>
      </c>
      <c r="L234" s="339" t="n">
        <v>24</v>
      </c>
      <c r="M234" s="339" t="inlineStr">
        <is>
          <t>복도식</t>
        </is>
      </c>
      <c r="N234" s="339" t="n">
        <v>3</v>
      </c>
      <c r="O234" s="339" t="n">
        <v>1</v>
      </c>
      <c r="P234" s="339" t="n">
        <v>140</v>
      </c>
      <c r="R234" s="137" t="inlineStr">
        <is>
          <t>-</t>
        </is>
      </c>
      <c r="S234" s="477">
        <f>Q234-R234</f>
        <v/>
      </c>
      <c r="T234" s="71">
        <f>R234/Q234</f>
        <v/>
      </c>
      <c r="U234" s="136" t="n">
        <v>14000</v>
      </c>
      <c r="V234" s="136" t="n">
        <v>10000</v>
      </c>
      <c r="W234" s="339" t="inlineStr">
        <is>
          <t>복도식</t>
        </is>
      </c>
      <c r="X234" s="339" t="n">
        <v>3</v>
      </c>
      <c r="Y234" s="339" t="n">
        <v>1</v>
      </c>
      <c r="Z234" s="339" t="n">
        <v>140</v>
      </c>
      <c r="AA234" s="339" t="n">
        <v>2018.09</v>
      </c>
      <c r="AB234" s="339" t="n">
        <v>0.07000000000000001</v>
      </c>
      <c r="AC234" s="339">
        <f>L234</f>
        <v/>
      </c>
      <c r="AD234" s="339" t="n">
        <v>9500</v>
      </c>
      <c r="AE234" s="339" t="n">
        <v>9000</v>
      </c>
      <c r="AF234" s="339">
        <f>AE234/AD234</f>
        <v/>
      </c>
      <c r="AG234" s="339">
        <f>AD234-AE234</f>
        <v/>
      </c>
      <c r="AH234" s="339" t="n">
        <v>2026.04</v>
      </c>
      <c r="AJ234" s="339">
        <f>AI234-AD234</f>
        <v/>
      </c>
      <c r="AK234" s="129">
        <f>(AI234-AD234)/AD234</f>
        <v/>
      </c>
      <c r="AL234" s="339">
        <f>AJ234/AG234</f>
        <v/>
      </c>
      <c r="AO234" s="339" t="n"/>
      <c r="AP234" s="339" t="n"/>
      <c r="AQ234" s="339" t="n"/>
      <c r="AR234" s="339" t="n"/>
      <c r="AS234" s="339" t="n"/>
      <c r="AT234" s="339" t="n"/>
      <c r="AU234" s="339" t="n"/>
      <c r="AW234" s="339" t="n"/>
      <c r="AX234" s="339" t="n"/>
      <c r="AY234" s="339" t="n"/>
    </row>
    <row r="235" ht="17" customHeight="1" s="139">
      <c r="A235" s="132" t="inlineStr">
        <is>
          <t>청당동</t>
        </is>
      </c>
      <c r="B235" s="88" t="n"/>
      <c r="C235" s="89" t="n"/>
      <c r="D235" s="132" t="n">
        <v>24363</v>
      </c>
      <c r="E235" s="135" t="inlineStr">
        <is>
          <t>청당마을벽산블루밍</t>
        </is>
      </c>
      <c r="F235" s="132" t="n">
        <v>2007.09</v>
      </c>
      <c r="G235" s="132" t="n">
        <v>1647</v>
      </c>
      <c r="H235" s="132">
        <f>2026-F235+1</f>
        <v/>
      </c>
      <c r="I235" s="132" t="inlineStr">
        <is>
          <t>144</t>
        </is>
      </c>
      <c r="J235" s="132" t="n">
        <v>144</v>
      </c>
      <c r="K235" s="132" t="n">
        <v>117</v>
      </c>
      <c r="L235" s="132" t="n">
        <v>44</v>
      </c>
      <c r="M235" s="132" t="inlineStr">
        <is>
          <t>계단식</t>
        </is>
      </c>
      <c r="N235" s="132" t="n">
        <v>4</v>
      </c>
      <c r="O235" s="132" t="n">
        <v>2</v>
      </c>
      <c r="P235" s="132" t="n">
        <v>568</v>
      </c>
      <c r="Q235" s="133" t="n"/>
      <c r="R235" s="138" t="inlineStr">
        <is>
          <t>-</t>
        </is>
      </c>
      <c r="S235" s="477">
        <f>Q235-R235</f>
        <v/>
      </c>
      <c r="T235" s="71">
        <f>R235/Q235</f>
        <v/>
      </c>
      <c r="U235" s="133" t="n">
        <v>44000</v>
      </c>
      <c r="V235" s="133" t="n">
        <v>31900</v>
      </c>
      <c r="W235" s="339" t="inlineStr">
        <is>
          <t>계단식</t>
        </is>
      </c>
      <c r="X235" s="339" t="n">
        <v>4</v>
      </c>
      <c r="Y235" s="339" t="n">
        <v>2</v>
      </c>
      <c r="Z235" s="339" t="n">
        <v>568</v>
      </c>
      <c r="AA235" s="133" t="n"/>
      <c r="AB235" s="133" t="n"/>
      <c r="AC235" s="133">
        <f>L235</f>
        <v/>
      </c>
      <c r="AD235" s="133" t="n"/>
      <c r="AE235" s="133" t="n"/>
      <c r="AF235" s="133">
        <f>AE235/AD235</f>
        <v/>
      </c>
      <c r="AG235" s="133">
        <f>AD235-AE235</f>
        <v/>
      </c>
      <c r="AH235" s="339" t="n">
        <v>2026.04</v>
      </c>
      <c r="AJ235" s="339">
        <f>AI235-AD235</f>
        <v/>
      </c>
      <c r="AK235" s="129">
        <f>(AI235-AD235)/AD235</f>
        <v/>
      </c>
      <c r="AL235" s="133">
        <f>AJ235/AG235</f>
        <v/>
      </c>
      <c r="AM235" s="88" t="n"/>
      <c r="AN235" s="133" t="n"/>
      <c r="AO235" s="339" t="n"/>
      <c r="AP235" s="339" t="n"/>
      <c r="AQ235" s="339" t="n"/>
      <c r="AR235" s="339" t="n"/>
      <c r="AS235" s="339" t="n"/>
      <c r="AT235" s="339" t="n"/>
      <c r="AU235" s="339" t="n"/>
      <c r="AV235" s="133" t="n"/>
      <c r="AW235" s="339" t="n"/>
      <c r="AX235" s="339" t="n"/>
      <c r="AY235" s="339" t="n"/>
    </row>
    <row r="236" ht="17" customHeight="1" s="139">
      <c r="A236" s="132" t="inlineStr">
        <is>
          <t>청당동</t>
        </is>
      </c>
      <c r="B236" s="133" t="n"/>
      <c r="C236" s="133" t="n"/>
      <c r="D236" s="132" t="n">
        <v>24363</v>
      </c>
      <c r="E236" s="135" t="inlineStr">
        <is>
          <t>청당마을벽산블루밍</t>
        </is>
      </c>
      <c r="F236" s="132" t="n">
        <v>2007.09</v>
      </c>
      <c r="G236" s="132" t="n">
        <v>1647</v>
      </c>
      <c r="H236" s="132">
        <f>2026-F236+1</f>
        <v/>
      </c>
      <c r="I236" s="132" t="inlineStr">
        <is>
          <t>172</t>
        </is>
      </c>
      <c r="J236" s="132" t="n">
        <v>172</v>
      </c>
      <c r="K236" s="132" t="n">
        <v>143</v>
      </c>
      <c r="L236" s="132" t="n">
        <v>52</v>
      </c>
      <c r="M236" s="132" t="inlineStr">
        <is>
          <t>계단식</t>
        </is>
      </c>
      <c r="N236" s="132" t="n">
        <v>4</v>
      </c>
      <c r="O236" s="132" t="n">
        <v>2</v>
      </c>
      <c r="P236" s="132" t="n">
        <v>90</v>
      </c>
      <c r="Q236" s="133" t="n"/>
      <c r="R236" s="138" t="inlineStr">
        <is>
          <t>-</t>
        </is>
      </c>
      <c r="S236" s="477">
        <f>Q236-R236</f>
        <v/>
      </c>
      <c r="T236" s="71">
        <f>R236/Q236</f>
        <v/>
      </c>
      <c r="U236" s="133" t="n">
        <v>49000</v>
      </c>
      <c r="V236" s="133" t="n">
        <v>40000</v>
      </c>
      <c r="W236" s="339" t="inlineStr">
        <is>
          <t>계단식</t>
        </is>
      </c>
      <c r="X236" s="339" t="n">
        <v>4</v>
      </c>
      <c r="Y236" s="339" t="n">
        <v>2</v>
      </c>
      <c r="Z236" s="339" t="n">
        <v>90</v>
      </c>
      <c r="AA236" s="133" t="n"/>
      <c r="AB236" s="133" t="n"/>
      <c r="AC236" s="133">
        <f>L236</f>
        <v/>
      </c>
      <c r="AD236" s="133" t="n"/>
      <c r="AE236" s="133" t="n"/>
      <c r="AF236" s="133">
        <f>AE236/AD236</f>
        <v/>
      </c>
      <c r="AG236" s="133">
        <f>AD236-AE236</f>
        <v/>
      </c>
      <c r="AH236" s="339" t="n">
        <v>2026.04</v>
      </c>
      <c r="AJ236" s="339">
        <f>AI236-AD236</f>
        <v/>
      </c>
      <c r="AK236" s="129">
        <f>(AI236-AD236)/AD236</f>
        <v/>
      </c>
      <c r="AL236" s="133">
        <f>AJ236/AG236</f>
        <v/>
      </c>
      <c r="AM236" s="133" t="n"/>
      <c r="AN236" s="133" t="n"/>
      <c r="AO236" s="339" t="n"/>
      <c r="AP236" s="339" t="n"/>
      <c r="AQ236" s="339" t="n"/>
      <c r="AR236" s="339" t="n"/>
      <c r="AS236" s="339" t="n"/>
      <c r="AT236" s="339" t="n"/>
      <c r="AU236" s="339" t="n"/>
      <c r="AV236" s="133" t="n"/>
      <c r="AW236" s="339" t="n"/>
      <c r="AX236" s="339" t="n"/>
      <c r="AY236" s="339" t="n"/>
    </row>
    <row r="237" ht="17" customHeight="1" s="139">
      <c r="A237" s="132" t="inlineStr">
        <is>
          <t>청당동</t>
        </is>
      </c>
      <c r="B237" s="133" t="n"/>
      <c r="C237" s="133" t="n"/>
      <c r="D237" s="132" t="n">
        <v>26943</v>
      </c>
      <c r="E237" s="135" t="inlineStr">
        <is>
          <t>버들마을우미린</t>
        </is>
      </c>
      <c r="F237" s="132" t="n">
        <v>2010.08</v>
      </c>
      <c r="G237" s="132" t="n">
        <v>724</v>
      </c>
      <c r="H237" s="132">
        <f>2026-F237+1</f>
        <v/>
      </c>
      <c r="I237" s="132" t="inlineStr">
        <is>
          <t>177, 180</t>
        </is>
      </c>
      <c r="J237" s="132" t="n">
        <v>177</v>
      </c>
      <c r="K237" s="132" t="n">
        <v>151</v>
      </c>
      <c r="L237" s="132" t="n">
        <v>54</v>
      </c>
      <c r="M237" s="132" t="inlineStr">
        <is>
          <t>계단식</t>
        </is>
      </c>
      <c r="N237" s="132" t="n">
        <v>4</v>
      </c>
      <c r="O237" s="132" t="n">
        <v>2</v>
      </c>
      <c r="P237" s="132" t="n">
        <v>124</v>
      </c>
      <c r="Q237" s="133" t="n"/>
      <c r="R237" s="138" t="inlineStr">
        <is>
          <t>-</t>
        </is>
      </c>
      <c r="S237" s="477">
        <f>Q237-R237</f>
        <v/>
      </c>
      <c r="T237" s="71">
        <f>R237/Q237</f>
        <v/>
      </c>
      <c r="U237" s="133" t="n">
        <v>68500</v>
      </c>
      <c r="V237" s="133" t="n">
        <v>43000</v>
      </c>
      <c r="W237" s="339" t="inlineStr">
        <is>
          <t>계단식</t>
        </is>
      </c>
      <c r="X237" s="339" t="n">
        <v>4</v>
      </c>
      <c r="Y237" s="339" t="n">
        <v>2</v>
      </c>
      <c r="Z237" s="339" t="n">
        <v>124</v>
      </c>
      <c r="AA237" s="133" t="n"/>
      <c r="AB237" s="133" t="n"/>
      <c r="AC237" s="133">
        <f>L237</f>
        <v/>
      </c>
      <c r="AD237" s="133" t="n"/>
      <c r="AE237" s="133" t="n"/>
      <c r="AF237" s="133">
        <f>AE237/AD237</f>
        <v/>
      </c>
      <c r="AG237" s="133">
        <f>AD237-AE237</f>
        <v/>
      </c>
      <c r="AH237" s="339" t="n">
        <v>2026.04</v>
      </c>
      <c r="AJ237" s="339">
        <f>AI237-AD237</f>
        <v/>
      </c>
      <c r="AK237" s="129">
        <f>(AI237-AD237)/AD237</f>
        <v/>
      </c>
      <c r="AL237" s="133">
        <f>AJ237/AG237</f>
        <v/>
      </c>
      <c r="AM237" s="133" t="n"/>
      <c r="AN237" s="133" t="n"/>
      <c r="AV237" s="133" t="n"/>
    </row>
    <row r="238" ht="17" customHeight="1" s="139">
      <c r="A238" s="132" t="inlineStr">
        <is>
          <t>청당동</t>
        </is>
      </c>
      <c r="B238" s="133" t="n"/>
      <c r="C238" s="133" t="n"/>
      <c r="D238" s="132" t="n">
        <v>26943</v>
      </c>
      <c r="E238" s="135" t="inlineStr">
        <is>
          <t>버들마을우미린</t>
        </is>
      </c>
      <c r="F238" s="132" t="n">
        <v>2010.08</v>
      </c>
      <c r="G238" s="132" t="n">
        <v>724</v>
      </c>
      <c r="H238" s="132">
        <f>2026-F238+1</f>
        <v/>
      </c>
      <c r="I238" s="132" t="inlineStr">
        <is>
          <t>196A</t>
        </is>
      </c>
      <c r="J238" s="132" t="n">
        <v>196</v>
      </c>
      <c r="K238" s="132" t="n">
        <v>163</v>
      </c>
      <c r="L238" s="132" t="n">
        <v>59</v>
      </c>
      <c r="M238" s="132" t="inlineStr">
        <is>
          <t>계단식</t>
        </is>
      </c>
      <c r="N238" s="132" t="n">
        <v>4</v>
      </c>
      <c r="O238" s="132" t="n">
        <v>3</v>
      </c>
      <c r="P238" s="132" t="n">
        <v>48</v>
      </c>
      <c r="Q238" s="133" t="n"/>
      <c r="R238" s="138" t="inlineStr">
        <is>
          <t>-</t>
        </is>
      </c>
      <c r="S238" s="477">
        <f>Q238-R238</f>
        <v/>
      </c>
      <c r="T238" s="71">
        <f>R238/Q238</f>
        <v/>
      </c>
      <c r="U238" s="133" t="n">
        <v>69000</v>
      </c>
      <c r="V238" s="133" t="n">
        <v>69000</v>
      </c>
      <c r="W238" s="339" t="inlineStr">
        <is>
          <t>계단식</t>
        </is>
      </c>
      <c r="X238" s="339" t="n">
        <v>4</v>
      </c>
      <c r="Y238" s="339" t="n">
        <v>3</v>
      </c>
      <c r="Z238" s="339" t="n">
        <v>48</v>
      </c>
      <c r="AA238" s="133" t="n"/>
      <c r="AB238" s="133" t="n"/>
      <c r="AC238" s="133">
        <f>L238</f>
        <v/>
      </c>
      <c r="AD238" s="133" t="n"/>
      <c r="AE238" s="133" t="n"/>
      <c r="AF238" s="133">
        <f>AE238/AD238</f>
        <v/>
      </c>
      <c r="AG238" s="133">
        <f>AD238-AE238</f>
        <v/>
      </c>
      <c r="AH238" s="339" t="n">
        <v>2026.04</v>
      </c>
      <c r="AJ238" s="339">
        <f>AI238-AD238</f>
        <v/>
      </c>
      <c r="AK238" s="129">
        <f>(AI238-AD238)/AD238</f>
        <v/>
      </c>
      <c r="AL238" s="133">
        <f>AJ238/AG238</f>
        <v/>
      </c>
      <c r="AM238" s="133" t="n"/>
      <c r="AN238" s="133" t="n"/>
      <c r="AO238" s="339" t="n"/>
      <c r="AP238" s="339" t="n"/>
      <c r="AQ238" s="339" t="n"/>
      <c r="AR238" s="339" t="n"/>
      <c r="AS238" s="339" t="n"/>
      <c r="AT238" s="339" t="n"/>
      <c r="AU238" s="339" t="n"/>
      <c r="AV238" s="133" t="n"/>
      <c r="AW238" s="339" t="n"/>
      <c r="AX238" s="339" t="n"/>
      <c r="AY238" s="339" t="n"/>
    </row>
    <row r="239" ht="17" customHeight="1" s="139">
      <c r="A239" s="132" t="inlineStr">
        <is>
          <t>청당동</t>
        </is>
      </c>
      <c r="B239" s="88" t="n"/>
      <c r="C239" s="89" t="n"/>
      <c r="D239" s="132" t="n">
        <v>26943</v>
      </c>
      <c r="E239" s="135" t="inlineStr">
        <is>
          <t>버들마을우미린</t>
        </is>
      </c>
      <c r="F239" s="132" t="n">
        <v>2010.08</v>
      </c>
      <c r="G239" s="132" t="n">
        <v>724</v>
      </c>
      <c r="H239" s="132">
        <f>2026-F239+1</f>
        <v/>
      </c>
      <c r="I239" s="132" t="inlineStr">
        <is>
          <t>197B</t>
        </is>
      </c>
      <c r="J239" s="132" t="n">
        <v>197</v>
      </c>
      <c r="K239" s="132" t="n">
        <v>164</v>
      </c>
      <c r="L239" s="132" t="n">
        <v>60</v>
      </c>
      <c r="M239" s="132" t="inlineStr">
        <is>
          <t>계단식</t>
        </is>
      </c>
      <c r="N239" s="132" t="n">
        <v>4</v>
      </c>
      <c r="O239" s="132" t="n">
        <v>3</v>
      </c>
      <c r="P239" s="132" t="n">
        <v>48</v>
      </c>
      <c r="Q239" s="133" t="n"/>
      <c r="R239" s="138" t="inlineStr">
        <is>
          <t>-</t>
        </is>
      </c>
      <c r="S239" s="477">
        <f>Q239-R239</f>
        <v/>
      </c>
      <c r="T239" s="71">
        <f>R239/Q239</f>
        <v/>
      </c>
      <c r="U239" s="133" t="n">
        <v>69000</v>
      </c>
      <c r="V239" s="133" t="n">
        <v>69000</v>
      </c>
      <c r="W239" s="339" t="inlineStr">
        <is>
          <t>계단식</t>
        </is>
      </c>
      <c r="X239" s="339" t="n">
        <v>4</v>
      </c>
      <c r="Y239" s="339" t="n">
        <v>3</v>
      </c>
      <c r="Z239" s="339" t="n">
        <v>48</v>
      </c>
      <c r="AA239" s="133" t="n"/>
      <c r="AB239" s="133" t="n"/>
      <c r="AC239" s="133">
        <f>L239</f>
        <v/>
      </c>
      <c r="AD239" s="133" t="n"/>
      <c r="AE239" s="133" t="n"/>
      <c r="AF239" s="133">
        <f>AE239/AD239</f>
        <v/>
      </c>
      <c r="AG239" s="133">
        <f>AD239-AE239</f>
        <v/>
      </c>
      <c r="AH239" s="339" t="n">
        <v>2026.04</v>
      </c>
      <c r="AJ239" s="339">
        <f>AI239-AD239</f>
        <v/>
      </c>
      <c r="AK239" s="129">
        <f>(AI239-AD239)/AD239</f>
        <v/>
      </c>
      <c r="AL239" s="133">
        <f>AJ239/AG239</f>
        <v/>
      </c>
      <c r="AM239" s="88" t="n"/>
      <c r="AN239" s="133" t="n"/>
      <c r="AO239" s="339" t="n"/>
      <c r="AP239" s="339" t="n"/>
      <c r="AQ239" s="339" t="n"/>
      <c r="AR239" s="339" t="n"/>
      <c r="AS239" s="339" t="n"/>
      <c r="AT239" s="339" t="n"/>
      <c r="AU239" s="339" t="n"/>
      <c r="AV239" s="133" t="n"/>
      <c r="AW239" s="339" t="n"/>
      <c r="AX239" s="339" t="n"/>
      <c r="AY239" s="339" t="n"/>
    </row>
    <row r="240" ht="17" customHeight="1" s="139">
      <c r="A240" s="132" t="inlineStr">
        <is>
          <t>청당동</t>
        </is>
      </c>
      <c r="B240" s="88" t="n"/>
      <c r="C240" s="89" t="n"/>
      <c r="D240" s="132" t="n">
        <v>151758</v>
      </c>
      <c r="E240" s="135" t="inlineStr">
        <is>
          <t>천안롯데캐슬더청당</t>
        </is>
      </c>
      <c r="F240" s="132" t="n">
        <v>2025.08</v>
      </c>
      <c r="G240" s="132" t="n">
        <v>1199</v>
      </c>
      <c r="H240" s="132">
        <f>2026-F240+1</f>
        <v/>
      </c>
      <c r="I240" s="132" t="inlineStr">
        <is>
          <t>132</t>
        </is>
      </c>
      <c r="J240" s="132" t="n">
        <v>132</v>
      </c>
      <c r="K240" s="132" t="n">
        <v>99</v>
      </c>
      <c r="L240" s="132" t="n">
        <v>40</v>
      </c>
      <c r="M240" s="132" t="inlineStr">
        <is>
          <t>계단식</t>
        </is>
      </c>
      <c r="N240" s="132" t="n">
        <v>3</v>
      </c>
      <c r="O240" s="132" t="n">
        <v>2</v>
      </c>
      <c r="P240" s="132" t="n">
        <v>112</v>
      </c>
      <c r="Q240" s="133" t="n"/>
      <c r="R240" s="138" t="inlineStr">
        <is>
          <t>-</t>
        </is>
      </c>
      <c r="S240" s="477">
        <f>Q240-R240</f>
        <v/>
      </c>
      <c r="T240" s="71">
        <f>R240/Q240</f>
        <v/>
      </c>
      <c r="U240" s="133" t="n"/>
      <c r="V240" s="133" t="n"/>
      <c r="W240" s="339" t="inlineStr">
        <is>
          <t>계단식</t>
        </is>
      </c>
      <c r="X240" s="339" t="n">
        <v>3</v>
      </c>
      <c r="Y240" s="339" t="n">
        <v>2</v>
      </c>
      <c r="Z240" s="339" t="n">
        <v>112</v>
      </c>
      <c r="AA240" s="133" t="n"/>
      <c r="AB240" s="133" t="n"/>
      <c r="AC240" s="133">
        <f>L240</f>
        <v/>
      </c>
      <c r="AD240" s="133" t="n"/>
      <c r="AE240" s="133" t="n"/>
      <c r="AF240" s="133">
        <f>AE240/AD240</f>
        <v/>
      </c>
      <c r="AG240" s="133">
        <f>AD240-AE240</f>
        <v/>
      </c>
      <c r="AH240" s="339" t="n">
        <v>2026.04</v>
      </c>
      <c r="AJ240" s="339">
        <f>AI240-AD240</f>
        <v/>
      </c>
      <c r="AK240" s="129">
        <f>(AI240-AD240)/AD240</f>
        <v/>
      </c>
      <c r="AL240" s="133">
        <f>AJ240/AG240</f>
        <v/>
      </c>
      <c r="AM240" s="88" t="n"/>
      <c r="AN240" s="133" t="n"/>
      <c r="AV240" s="133" t="n"/>
    </row>
    <row r="241" ht="17" customHeight="1" s="139">
      <c r="A241" s="339" t="inlineStr">
        <is>
          <t>청당동</t>
        </is>
      </c>
      <c r="D241" s="339" t="n">
        <v>19124</v>
      </c>
      <c r="E241" s="150" t="inlineStr">
        <is>
          <t>청당마을신도브래뉴</t>
        </is>
      </c>
      <c r="F241" s="339" t="n">
        <v>2006.08</v>
      </c>
      <c r="G241" s="339" t="n">
        <v>915</v>
      </c>
      <c r="H241" s="339">
        <f>2026-F241+1</f>
        <v/>
      </c>
      <c r="I241" s="339" t="inlineStr">
        <is>
          <t>138</t>
        </is>
      </c>
      <c r="J241" s="339" t="n">
        <v>138</v>
      </c>
      <c r="K241" s="339" t="n">
        <v>112</v>
      </c>
      <c r="L241" s="339" t="n">
        <v>42</v>
      </c>
      <c r="M241" s="339" t="inlineStr">
        <is>
          <t>계단식</t>
        </is>
      </c>
      <c r="N241" s="339" t="n">
        <v>4</v>
      </c>
      <c r="O241" s="339" t="n">
        <v>2</v>
      </c>
      <c r="P241" s="339" t="n">
        <v>58</v>
      </c>
      <c r="R241" s="137" t="inlineStr">
        <is>
          <t>-</t>
        </is>
      </c>
      <c r="S241" s="477">
        <f>Q241-R241</f>
        <v/>
      </c>
      <c r="T241" s="71">
        <f>R241/Q241</f>
        <v/>
      </c>
      <c r="U241" s="136" t="n">
        <v>30900</v>
      </c>
      <c r="V241" s="136" t="n">
        <v>24500</v>
      </c>
      <c r="W241" s="339" t="inlineStr">
        <is>
          <t>계단식</t>
        </is>
      </c>
      <c r="X241" s="339" t="n">
        <v>4</v>
      </c>
      <c r="Y241" s="339" t="n">
        <v>2</v>
      </c>
      <c r="Z241" s="339" t="n">
        <v>58</v>
      </c>
      <c r="AA241" s="339" t="n">
        <v>2023.1</v>
      </c>
      <c r="AB241" s="339" t="n">
        <v>0.02</v>
      </c>
      <c r="AC241" s="339">
        <f>L241</f>
        <v/>
      </c>
      <c r="AD241" s="339" t="n">
        <v>24500</v>
      </c>
      <c r="AE241" s="339" t="n">
        <v>20000</v>
      </c>
      <c r="AF241" s="339">
        <f>AE241/AD241</f>
        <v/>
      </c>
      <c r="AG241" s="339">
        <f>AD241-AE241</f>
        <v/>
      </c>
      <c r="AH241" s="339" t="n">
        <v>2026.04</v>
      </c>
      <c r="AJ241" s="339">
        <f>AI241-AD241</f>
        <v/>
      </c>
      <c r="AK241" s="129">
        <f>(AI241-AD241)/AD241</f>
        <v/>
      </c>
      <c r="AL241" s="339">
        <f>AJ241/AG241</f>
        <v/>
      </c>
    </row>
    <row r="242" ht="17" customHeight="1" s="139">
      <c r="A242" s="132" t="inlineStr">
        <is>
          <t>청당동</t>
        </is>
      </c>
      <c r="B242" s="88" t="n"/>
      <c r="C242" s="89" t="n"/>
      <c r="D242" s="132" t="n">
        <v>26943</v>
      </c>
      <c r="E242" s="135" t="inlineStr">
        <is>
          <t>버들마을우미린</t>
        </is>
      </c>
      <c r="F242" s="132" t="n">
        <v>2010.08</v>
      </c>
      <c r="G242" s="132" t="n">
        <v>724</v>
      </c>
      <c r="H242" s="132">
        <f>2026-F242+1</f>
        <v/>
      </c>
      <c r="I242" s="132" t="inlineStr">
        <is>
          <t>144, 145C</t>
        </is>
      </c>
      <c r="J242" s="132" t="n">
        <v>144</v>
      </c>
      <c r="K242" s="132" t="n">
        <v>121</v>
      </c>
      <c r="L242" s="132" t="n">
        <v>44</v>
      </c>
      <c r="M242" s="132" t="inlineStr">
        <is>
          <t>계단식</t>
        </is>
      </c>
      <c r="N242" s="132" t="n">
        <v>3</v>
      </c>
      <c r="O242" s="132" t="n">
        <v>2</v>
      </c>
      <c r="P242" s="132" t="n">
        <v>188</v>
      </c>
      <c r="Q242" s="133" t="n"/>
      <c r="R242" s="138" t="inlineStr">
        <is>
          <t>-</t>
        </is>
      </c>
      <c r="S242" s="477">
        <f>Q242-R242</f>
        <v/>
      </c>
      <c r="T242" s="71">
        <f>R242/Q242</f>
        <v/>
      </c>
      <c r="U242" s="133" t="n">
        <v>55800</v>
      </c>
      <c r="V242" s="133" t="n">
        <v>40000</v>
      </c>
      <c r="W242" s="339" t="inlineStr">
        <is>
          <t>계단식</t>
        </is>
      </c>
      <c r="X242" s="339" t="n">
        <v>3</v>
      </c>
      <c r="Y242" s="339" t="n">
        <v>2</v>
      </c>
      <c r="Z242" s="339" t="n">
        <v>188</v>
      </c>
      <c r="AA242" s="133" t="n">
        <v>2019.11</v>
      </c>
      <c r="AB242" s="133" t="n">
        <v>0.01</v>
      </c>
      <c r="AC242" s="133">
        <f>L242</f>
        <v/>
      </c>
      <c r="AD242" s="133" t="n">
        <v>32706</v>
      </c>
      <c r="AE242" s="133" t="n">
        <v>26333</v>
      </c>
      <c r="AF242" s="133">
        <f>AE242/AD242</f>
        <v/>
      </c>
      <c r="AG242" s="133">
        <f>AD242-AE242</f>
        <v/>
      </c>
      <c r="AH242" s="339" t="n">
        <v>2026.04</v>
      </c>
      <c r="AJ242" s="339">
        <f>AI242-AD242</f>
        <v/>
      </c>
      <c r="AK242" s="129">
        <f>(AI242-AD242)/AD242</f>
        <v/>
      </c>
      <c r="AL242" s="133">
        <f>AJ242/AG242</f>
        <v/>
      </c>
      <c r="AM242" s="88" t="n"/>
      <c r="AN242" s="133" t="n"/>
      <c r="AO242" s="339" t="n"/>
      <c r="AP242" s="339" t="n"/>
      <c r="AQ242" s="339" t="n"/>
      <c r="AR242" s="339" t="n"/>
      <c r="AS242" s="339" t="n"/>
      <c r="AT242" s="339" t="n"/>
      <c r="AU242" s="339" t="n"/>
      <c r="AV242" s="133" t="n"/>
      <c r="AW242" s="339" t="n"/>
      <c r="AX242" s="339" t="n"/>
      <c r="AY242" s="339" t="n"/>
    </row>
    <row r="243" ht="17" customHeight="1" s="139">
      <c r="A243" s="132" t="inlineStr">
        <is>
          <t>청당동</t>
        </is>
      </c>
      <c r="B243" s="88" t="n"/>
      <c r="C243" s="89" t="n"/>
      <c r="D243" s="132" t="n">
        <v>26943</v>
      </c>
      <c r="E243" s="135" t="inlineStr">
        <is>
          <t>버들마을우미린</t>
        </is>
      </c>
      <c r="F243" s="132" t="n">
        <v>2010.08</v>
      </c>
      <c r="G243" s="132" t="n">
        <v>724</v>
      </c>
      <c r="H243" s="132">
        <f>2026-F243+1</f>
        <v/>
      </c>
      <c r="I243" s="132" t="inlineStr">
        <is>
          <t>148</t>
        </is>
      </c>
      <c r="J243" s="132" t="n">
        <v>148</v>
      </c>
      <c r="K243" s="132" t="n">
        <v>122</v>
      </c>
      <c r="L243" s="132" t="n">
        <v>45</v>
      </c>
      <c r="M243" s="132" t="inlineStr">
        <is>
          <t>계단식</t>
        </is>
      </c>
      <c r="N243" s="132" t="n">
        <v>3</v>
      </c>
      <c r="O243" s="132" t="n">
        <v>2</v>
      </c>
      <c r="P243" s="132" t="n">
        <v>48</v>
      </c>
      <c r="Q243" s="133" t="n"/>
      <c r="R243" s="138" t="inlineStr">
        <is>
          <t>-</t>
        </is>
      </c>
      <c r="S243" s="477">
        <f>Q243-R243</f>
        <v/>
      </c>
      <c r="T243" s="71">
        <f>R243/Q243</f>
        <v/>
      </c>
      <c r="U243" s="133" t="n">
        <v>55800</v>
      </c>
      <c r="V243" s="133" t="n">
        <v>40000</v>
      </c>
      <c r="W243" s="339" t="inlineStr">
        <is>
          <t>계단식</t>
        </is>
      </c>
      <c r="X243" s="339" t="n">
        <v>3</v>
      </c>
      <c r="Y243" s="339" t="n">
        <v>2</v>
      </c>
      <c r="Z243" s="339" t="n">
        <v>48</v>
      </c>
      <c r="AA243" s="133" t="n">
        <v>2019.11</v>
      </c>
      <c r="AB243" s="133" t="n">
        <v>0.01</v>
      </c>
      <c r="AC243" s="133">
        <f>L243</f>
        <v/>
      </c>
      <c r="AD243" s="133" t="n">
        <v>32706</v>
      </c>
      <c r="AE243" s="133" t="n">
        <v>26333</v>
      </c>
      <c r="AF243" s="133">
        <f>AE243/AD243</f>
        <v/>
      </c>
      <c r="AG243" s="133">
        <f>AD243-AE243</f>
        <v/>
      </c>
      <c r="AH243" s="339" t="n">
        <v>2026.04</v>
      </c>
      <c r="AJ243" s="339">
        <f>AI243-AD243</f>
        <v/>
      </c>
      <c r="AK243" s="129">
        <f>(AI243-AD243)/AD243</f>
        <v/>
      </c>
      <c r="AL243" s="133">
        <f>AJ243/AG243</f>
        <v/>
      </c>
      <c r="AM243" s="88" t="n"/>
      <c r="AN243" s="133" t="n"/>
      <c r="AV243" s="133" t="n"/>
    </row>
    <row r="244" ht="17" customHeight="1" s="139">
      <c r="A244" s="132" t="inlineStr">
        <is>
          <t>청당동</t>
        </is>
      </c>
      <c r="B244" s="88" t="n"/>
      <c r="C244" s="89" t="n"/>
      <c r="D244" s="132" t="n">
        <v>26943</v>
      </c>
      <c r="E244" s="135" t="inlineStr">
        <is>
          <t>버들마을우미린</t>
        </is>
      </c>
      <c r="F244" s="132" t="n">
        <v>2010.08</v>
      </c>
      <c r="G244" s="132" t="n">
        <v>724</v>
      </c>
      <c r="H244" s="132">
        <f>2026-F244+1</f>
        <v/>
      </c>
      <c r="I244" s="132" t="inlineStr">
        <is>
          <t>145A, 145B</t>
        </is>
      </c>
      <c r="J244" s="132" t="n">
        <v>145</v>
      </c>
      <c r="K244" s="132" t="n">
        <v>120</v>
      </c>
      <c r="L244" s="132" t="n">
        <v>44</v>
      </c>
      <c r="M244" s="132" t="inlineStr">
        <is>
          <t>계단식</t>
        </is>
      </c>
      <c r="N244" s="132" t="n">
        <v>3</v>
      </c>
      <c r="O244" s="132" t="n">
        <v>2</v>
      </c>
      <c r="P244" s="132" t="n">
        <v>48</v>
      </c>
      <c r="Q244" s="133" t="n"/>
      <c r="R244" s="138" t="inlineStr">
        <is>
          <t>-</t>
        </is>
      </c>
      <c r="S244" s="477">
        <f>Q244-R244</f>
        <v/>
      </c>
      <c r="T244" s="71">
        <f>R244/Q244</f>
        <v/>
      </c>
      <c r="U244" s="133" t="n">
        <v>55800</v>
      </c>
      <c r="V244" s="133" t="n">
        <v>42500</v>
      </c>
      <c r="W244" s="339" t="inlineStr">
        <is>
          <t>계단식</t>
        </is>
      </c>
      <c r="X244" s="339" t="n">
        <v>3</v>
      </c>
      <c r="Y244" s="339" t="n">
        <v>2</v>
      </c>
      <c r="Z244" s="339" t="n">
        <v>48</v>
      </c>
      <c r="AA244" s="133" t="n">
        <v>2019.11</v>
      </c>
      <c r="AB244" s="133" t="n">
        <v>0.05</v>
      </c>
      <c r="AC244" s="133">
        <f>L244</f>
        <v/>
      </c>
      <c r="AD244" s="133" t="n">
        <v>33225</v>
      </c>
      <c r="AE244" s="133" t="n">
        <v>30000</v>
      </c>
      <c r="AF244" s="133">
        <f>AE244/AD244</f>
        <v/>
      </c>
      <c r="AG244" s="133">
        <f>AD244-AE244</f>
        <v/>
      </c>
      <c r="AH244" s="339" t="n">
        <v>2026.04</v>
      </c>
      <c r="AJ244" s="339">
        <f>AI244-AD244</f>
        <v/>
      </c>
      <c r="AK244" s="129">
        <f>(AI244-AD244)/AD244</f>
        <v/>
      </c>
      <c r="AL244" s="133">
        <f>AJ244/AG244</f>
        <v/>
      </c>
      <c r="AM244" s="88" t="n"/>
      <c r="AN244" s="133" t="n"/>
      <c r="AV244" s="133" t="n"/>
    </row>
    <row r="245" ht="17" customHeight="1" s="139">
      <c r="A245" s="132" t="inlineStr">
        <is>
          <t>청당동</t>
        </is>
      </c>
      <c r="B245" s="88" t="n"/>
      <c r="C245" s="89" t="n"/>
      <c r="D245" s="132" t="n">
        <v>107332</v>
      </c>
      <c r="E245" s="135" t="inlineStr">
        <is>
          <t>청수포레나</t>
        </is>
      </c>
      <c r="F245" s="132" t="n">
        <v>2015.07</v>
      </c>
      <c r="G245" s="132" t="n">
        <v>468</v>
      </c>
      <c r="H245" s="132">
        <f>2026-F245+1</f>
        <v/>
      </c>
      <c r="I245" s="132" t="inlineStr">
        <is>
          <t>115</t>
        </is>
      </c>
      <c r="J245" s="132" t="n">
        <v>115</v>
      </c>
      <c r="K245" s="132" t="n">
        <v>88</v>
      </c>
      <c r="L245" s="132" t="n">
        <v>35</v>
      </c>
      <c r="M245" s="132" t="inlineStr">
        <is>
          <t>계단식</t>
        </is>
      </c>
      <c r="N245" s="132" t="n">
        <v>3</v>
      </c>
      <c r="O245" s="132" t="n">
        <v>2</v>
      </c>
      <c r="P245" s="132" t="n">
        <v>24</v>
      </c>
      <c r="Q245" s="133" t="n"/>
      <c r="R245" s="138" t="inlineStr">
        <is>
          <t>-</t>
        </is>
      </c>
      <c r="S245" s="477">
        <f>Q245-R245</f>
        <v/>
      </c>
      <c r="T245" s="71">
        <f>R245/Q245</f>
        <v/>
      </c>
      <c r="U245" s="133" t="n">
        <v>52500</v>
      </c>
      <c r="V245" s="133" t="n">
        <v>33000</v>
      </c>
      <c r="W245" s="339" t="inlineStr">
        <is>
          <t>계단식</t>
        </is>
      </c>
      <c r="X245" s="339" t="n">
        <v>3</v>
      </c>
      <c r="Y245" s="339" t="n">
        <v>2</v>
      </c>
      <c r="Z245" s="339" t="n">
        <v>24</v>
      </c>
      <c r="AA245" s="133" t="n">
        <v>2025.01</v>
      </c>
      <c r="AB245" s="133" t="n">
        <v>0.01</v>
      </c>
      <c r="AC245" s="133">
        <f>L245</f>
        <v/>
      </c>
      <c r="AD245" s="133" t="n">
        <v>36275</v>
      </c>
      <c r="AE245" s="133" t="n">
        <v>29143</v>
      </c>
      <c r="AF245" s="133">
        <f>AE245/AD245</f>
        <v/>
      </c>
      <c r="AG245" s="133">
        <f>AD245-AE245</f>
        <v/>
      </c>
      <c r="AH245" s="339" t="n">
        <v>2026.04</v>
      </c>
      <c r="AJ245" s="339">
        <f>AI245-AD245</f>
        <v/>
      </c>
      <c r="AK245" s="129">
        <f>(AI245-AD245)/AD245</f>
        <v/>
      </c>
      <c r="AL245" s="133">
        <f>AJ245/AG245</f>
        <v/>
      </c>
      <c r="AM245" s="88" t="n"/>
      <c r="AN245" s="133" t="n"/>
      <c r="AV245" s="133" t="n"/>
    </row>
    <row r="246" ht="17" customHeight="1" s="139">
      <c r="A246" s="132" t="inlineStr">
        <is>
          <t>청당동</t>
        </is>
      </c>
      <c r="B246" s="133" t="n"/>
      <c r="C246" s="133" t="n"/>
      <c r="D246" s="132" t="n">
        <v>26943</v>
      </c>
      <c r="E246" s="135" t="inlineStr">
        <is>
          <t>버들마을우미린</t>
        </is>
      </c>
      <c r="F246" s="132" t="n">
        <v>2010.08</v>
      </c>
      <c r="G246" s="132" t="n">
        <v>724</v>
      </c>
      <c r="H246" s="132">
        <f>2026-F246+1</f>
        <v/>
      </c>
      <c r="I246" s="132" t="inlineStr">
        <is>
          <t>158</t>
        </is>
      </c>
      <c r="J246" s="132" t="n">
        <v>158</v>
      </c>
      <c r="K246" s="132" t="n">
        <v>134</v>
      </c>
      <c r="L246" s="132" t="n">
        <v>48</v>
      </c>
      <c r="M246" s="132" t="inlineStr">
        <is>
          <t>계단식</t>
        </is>
      </c>
      <c r="N246" s="132" t="n">
        <v>4</v>
      </c>
      <c r="O246" s="132" t="n">
        <v>2</v>
      </c>
      <c r="P246" s="132" t="n">
        <v>220</v>
      </c>
      <c r="Q246" s="133" t="n"/>
      <c r="R246" s="138" t="inlineStr">
        <is>
          <t>-</t>
        </is>
      </c>
      <c r="S246" s="477">
        <f>Q246-R246</f>
        <v/>
      </c>
      <c r="T246" s="71">
        <f>R246/Q246</f>
        <v/>
      </c>
      <c r="U246" s="133" t="n">
        <v>67000</v>
      </c>
      <c r="V246" s="133" t="n">
        <v>39500</v>
      </c>
      <c r="W246" s="339" t="inlineStr">
        <is>
          <t>계단식</t>
        </is>
      </c>
      <c r="X246" s="339" t="n">
        <v>4</v>
      </c>
      <c r="Y246" s="339" t="n">
        <v>2</v>
      </c>
      <c r="Z246" s="339" t="n">
        <v>220</v>
      </c>
      <c r="AA246" s="133" t="n">
        <v>2020.02</v>
      </c>
      <c r="AB246" s="133" t="n">
        <v>0.02</v>
      </c>
      <c r="AC246" s="133">
        <f>L246</f>
        <v/>
      </c>
      <c r="AD246" s="133" t="n">
        <v>39420</v>
      </c>
      <c r="AE246" s="133" t="n">
        <v>32000</v>
      </c>
      <c r="AF246" s="133">
        <f>AE246/AD246</f>
        <v/>
      </c>
      <c r="AG246" s="133">
        <f>AD246-AE246</f>
        <v/>
      </c>
      <c r="AH246" s="339" t="n">
        <v>2026.04</v>
      </c>
      <c r="AJ246" s="339">
        <f>AI246-AD246</f>
        <v/>
      </c>
      <c r="AK246" s="129">
        <f>(AI246-AD246)/AD246</f>
        <v/>
      </c>
      <c r="AL246" s="133">
        <f>AJ246/AG246</f>
        <v/>
      </c>
      <c r="AM246" s="133" t="n"/>
      <c r="AN246" s="133" t="n"/>
      <c r="AV246" s="133" t="n"/>
    </row>
    <row r="247" ht="17" customHeight="1" s="139">
      <c r="A247" s="132" t="inlineStr">
        <is>
          <t>청당동</t>
        </is>
      </c>
      <c r="B247" s="133" t="n"/>
      <c r="C247" s="133" t="n"/>
      <c r="D247" s="132" t="n">
        <v>107332</v>
      </c>
      <c r="E247" s="135" t="inlineStr">
        <is>
          <t>청수포레나</t>
        </is>
      </c>
      <c r="F247" s="132" t="n">
        <v>2015.07</v>
      </c>
      <c r="G247" s="132" t="n">
        <v>468</v>
      </c>
      <c r="H247" s="132">
        <f>2026-F247+1</f>
        <v/>
      </c>
      <c r="I247" s="132" t="inlineStr">
        <is>
          <t>118</t>
        </is>
      </c>
      <c r="J247" s="132" t="n">
        <v>118</v>
      </c>
      <c r="K247" s="132" t="n">
        <v>90</v>
      </c>
      <c r="L247" s="132" t="n">
        <v>36</v>
      </c>
      <c r="M247" s="132" t="inlineStr">
        <is>
          <t>계단식</t>
        </is>
      </c>
      <c r="N247" s="132" t="n">
        <v>3</v>
      </c>
      <c r="O247" s="132" t="n">
        <v>2</v>
      </c>
      <c r="P247" s="132" t="n">
        <v>28</v>
      </c>
      <c r="Q247" s="133" t="n"/>
      <c r="R247" s="138" t="inlineStr">
        <is>
          <t>-</t>
        </is>
      </c>
      <c r="S247" s="477">
        <f>Q247-R247</f>
        <v/>
      </c>
      <c r="T247" s="71">
        <f>R247/Q247</f>
        <v/>
      </c>
      <c r="U247" s="133" t="n">
        <v>46300</v>
      </c>
      <c r="V247" s="133" t="n">
        <v>34500</v>
      </c>
      <c r="W247" s="339" t="inlineStr">
        <is>
          <t>계단식</t>
        </is>
      </c>
      <c r="X247" s="339" t="n">
        <v>3</v>
      </c>
      <c r="Y247" s="339" t="n">
        <v>2</v>
      </c>
      <c r="Z247" s="339" t="n">
        <v>28</v>
      </c>
      <c r="AA247" s="133" t="n">
        <v>2020.12</v>
      </c>
      <c r="AB247" s="133" t="n">
        <v>0.06</v>
      </c>
      <c r="AC247" s="133">
        <f>L247</f>
        <v/>
      </c>
      <c r="AD247" s="133" t="n">
        <v>40333</v>
      </c>
      <c r="AE247" s="133" t="n">
        <v>34000</v>
      </c>
      <c r="AF247" s="133">
        <f>AE247/AD247</f>
        <v/>
      </c>
      <c r="AG247" s="133">
        <f>AD247-AE247</f>
        <v/>
      </c>
      <c r="AH247" s="339" t="n">
        <v>2026.04</v>
      </c>
      <c r="AJ247" s="339">
        <f>AI247-AD247</f>
        <v/>
      </c>
      <c r="AK247" s="129">
        <f>(AI247-AD247)/AD247</f>
        <v/>
      </c>
      <c r="AL247" s="133">
        <f>AJ247/AG247</f>
        <v/>
      </c>
      <c r="AM247" s="133" t="n"/>
      <c r="AN247" s="133" t="n"/>
      <c r="AO247" s="339" t="n"/>
      <c r="AP247" s="339" t="n"/>
      <c r="AQ247" s="339" t="n"/>
      <c r="AR247" s="339" t="n"/>
      <c r="AS247" s="339" t="n"/>
      <c r="AT247" s="339" t="n"/>
      <c r="AU247" s="339" t="n"/>
      <c r="AV247" s="133" t="n"/>
      <c r="AW247" s="339" t="n"/>
      <c r="AX247" s="339" t="n"/>
      <c r="AY247" s="339" t="n"/>
    </row>
    <row r="248" ht="17" customHeight="1" s="139">
      <c r="A248" s="339" t="inlineStr">
        <is>
          <t>청수동</t>
        </is>
      </c>
      <c r="B248" s="164" t="n"/>
      <c r="C248" s="164" t="n"/>
      <c r="D248" s="339" t="n">
        <v>7572</v>
      </c>
      <c r="E248" s="150" t="inlineStr">
        <is>
          <t>청솔LG,SK</t>
        </is>
      </c>
      <c r="F248" s="339" t="n">
        <v>1999.02</v>
      </c>
      <c r="G248" s="339" t="n">
        <v>898</v>
      </c>
      <c r="H248" s="339">
        <f>2026-F248+1</f>
        <v/>
      </c>
      <c r="I248" s="339" t="inlineStr">
        <is>
          <t>174</t>
        </is>
      </c>
      <c r="J248" s="339" t="n">
        <v>174</v>
      </c>
      <c r="K248" s="339" t="n">
        <v>148</v>
      </c>
      <c r="L248" s="339" t="n">
        <v>53</v>
      </c>
      <c r="M248" s="339" t="inlineStr">
        <is>
          <t>계단식</t>
        </is>
      </c>
      <c r="N248" s="339" t="n">
        <v>4</v>
      </c>
      <c r="O248" s="339" t="n">
        <v>2</v>
      </c>
      <c r="P248" s="339" t="n">
        <v>120</v>
      </c>
      <c r="R248" s="137" t="inlineStr">
        <is>
          <t>-</t>
        </is>
      </c>
      <c r="S248" s="477">
        <f>Q248-R248</f>
        <v/>
      </c>
      <c r="T248" s="71">
        <f>R248/Q248</f>
        <v/>
      </c>
      <c r="U248" s="136" t="n">
        <v>41200</v>
      </c>
      <c r="V248" s="136" t="n">
        <v>30500</v>
      </c>
      <c r="W248" s="339" t="inlineStr">
        <is>
          <t>계단식</t>
        </is>
      </c>
      <c r="X248" s="339" t="n">
        <v>4</v>
      </c>
      <c r="Y248" s="339" t="n">
        <v>2</v>
      </c>
      <c r="Z248" s="339" t="n">
        <v>120</v>
      </c>
      <c r="AC248" s="339">
        <f>L248</f>
        <v/>
      </c>
      <c r="AF248" s="339">
        <f>AE248/AD248</f>
        <v/>
      </c>
      <c r="AG248" s="339">
        <f>AD248-AE248</f>
        <v/>
      </c>
      <c r="AH248" s="339" t="n">
        <v>2026.04</v>
      </c>
      <c r="AJ248" s="339">
        <f>AI248-AD248</f>
        <v/>
      </c>
      <c r="AK248" s="129">
        <f>(AI248-AD248)/AD248</f>
        <v/>
      </c>
      <c r="AL248" s="339">
        <f>AJ248/AG248</f>
        <v/>
      </c>
      <c r="AM248" s="357" t="n"/>
      <c r="AO248" s="339" t="n"/>
      <c r="AP248" s="339" t="n"/>
      <c r="AQ248" s="339" t="n"/>
      <c r="AR248" s="339" t="n"/>
      <c r="AS248" s="339" t="n"/>
      <c r="AT248" s="339" t="n"/>
      <c r="AU248" s="339" t="n"/>
      <c r="AW248" s="339" t="n"/>
      <c r="AX248" s="339" t="n"/>
      <c r="AY248" s="339" t="n"/>
    </row>
    <row r="249" ht="17" customHeight="1" s="139">
      <c r="A249" s="339" t="inlineStr">
        <is>
          <t>청수동</t>
        </is>
      </c>
      <c r="D249" s="339" t="n">
        <v>7567</v>
      </c>
      <c r="E249" s="150" t="inlineStr">
        <is>
          <t>극동1차</t>
        </is>
      </c>
      <c r="F249" s="339" t="n">
        <v>1992.01</v>
      </c>
      <c r="G249" s="339" t="n">
        <v>450</v>
      </c>
      <c r="H249" s="339">
        <f>2026-F249+1</f>
        <v/>
      </c>
      <c r="I249" s="339" t="inlineStr">
        <is>
          <t>147</t>
        </is>
      </c>
      <c r="J249" s="339" t="n">
        <v>147</v>
      </c>
      <c r="K249" s="339" t="n">
        <v>127</v>
      </c>
      <c r="L249" s="339" t="n">
        <v>44</v>
      </c>
      <c r="M249" s="339" t="inlineStr">
        <is>
          <t>계단식</t>
        </is>
      </c>
      <c r="N249" s="339" t="n">
        <v>4</v>
      </c>
      <c r="O249" s="339" t="n">
        <v>2</v>
      </c>
      <c r="P249" s="339" t="n">
        <v>60</v>
      </c>
      <c r="R249" s="137" t="inlineStr">
        <is>
          <t>-</t>
        </is>
      </c>
      <c r="S249" s="477">
        <f>Q249-R249</f>
        <v/>
      </c>
      <c r="T249" s="71">
        <f>R249/Q249</f>
        <v/>
      </c>
      <c r="U249" s="136" t="n">
        <v>22500</v>
      </c>
      <c r="V249" s="136" t="n">
        <v>19000</v>
      </c>
      <c r="W249" s="339" t="inlineStr">
        <is>
          <t>계단식</t>
        </is>
      </c>
      <c r="X249" s="339" t="n">
        <v>4</v>
      </c>
      <c r="Y249" s="339" t="n">
        <v>2</v>
      </c>
      <c r="Z249" s="339" t="n">
        <v>60</v>
      </c>
      <c r="AA249" s="339" t="n">
        <v>2020.01</v>
      </c>
      <c r="AB249" s="339" t="n">
        <v>0.06</v>
      </c>
      <c r="AC249" s="339">
        <f>L249</f>
        <v/>
      </c>
      <c r="AD249" s="339" t="n">
        <v>14250</v>
      </c>
      <c r="AE249" s="339" t="n">
        <v>16000</v>
      </c>
      <c r="AF249" s="339">
        <f>AE249/AD249</f>
        <v/>
      </c>
      <c r="AG249" s="339">
        <f>AD249-AE249</f>
        <v/>
      </c>
      <c r="AH249" s="339" t="n">
        <v>2026.04</v>
      </c>
      <c r="AJ249" s="339">
        <f>AI249-AD249</f>
        <v/>
      </c>
      <c r="AK249" s="129">
        <f>(AI249-AD249)/AD249</f>
        <v/>
      </c>
      <c r="AL249" s="339">
        <f>AJ249/AG249</f>
        <v/>
      </c>
      <c r="AO249" s="339" t="n"/>
      <c r="AP249" s="339" t="n"/>
      <c r="AQ249" s="339" t="n"/>
      <c r="AR249" s="339" t="n"/>
      <c r="AS249" s="339" t="n"/>
      <c r="AT249" s="339" t="n"/>
      <c r="AU249" s="339" t="n"/>
      <c r="AW249" s="339" t="n"/>
      <c r="AX249" s="339" t="n"/>
      <c r="AY249" s="339" t="n"/>
    </row>
    <row r="250" ht="17" customHeight="1" s="139">
      <c r="A250" s="132" t="inlineStr">
        <is>
          <t>청수동</t>
        </is>
      </c>
      <c r="B250" s="88" t="n"/>
      <c r="C250" s="89" t="n"/>
      <c r="D250" s="132" t="n">
        <v>102387</v>
      </c>
      <c r="E250" s="135" t="inlineStr">
        <is>
          <t>극동2차</t>
        </is>
      </c>
      <c r="F250" s="132" t="n">
        <v>1992.04</v>
      </c>
      <c r="G250" s="132" t="n">
        <v>510</v>
      </c>
      <c r="H250" s="132">
        <f>2026-F250+1</f>
        <v/>
      </c>
      <c r="I250" s="132" t="inlineStr">
        <is>
          <t>147</t>
        </is>
      </c>
      <c r="J250" s="132" t="n">
        <v>147</v>
      </c>
      <c r="K250" s="132" t="n">
        <v>127</v>
      </c>
      <c r="L250" s="132" t="n">
        <v>44</v>
      </c>
      <c r="M250" s="132" t="inlineStr">
        <is>
          <t>계단식</t>
        </is>
      </c>
      <c r="N250" s="132" t="n">
        <v>4</v>
      </c>
      <c r="O250" s="132" t="n">
        <v>2</v>
      </c>
      <c r="P250" s="132" t="n">
        <v>120</v>
      </c>
      <c r="Q250" s="133" t="n"/>
      <c r="R250" s="138" t="inlineStr">
        <is>
          <t>-</t>
        </is>
      </c>
      <c r="S250" s="477">
        <f>Q250-R250</f>
        <v/>
      </c>
      <c r="T250" s="71">
        <f>R250/Q250</f>
        <v/>
      </c>
      <c r="U250" s="133" t="n">
        <v>22900</v>
      </c>
      <c r="V250" s="133" t="n">
        <v>21000</v>
      </c>
      <c r="W250" s="339" t="inlineStr">
        <is>
          <t>계단식</t>
        </is>
      </c>
      <c r="X250" s="339" t="n">
        <v>4</v>
      </c>
      <c r="Y250" s="339" t="n">
        <v>2</v>
      </c>
      <c r="Z250" s="339" t="n">
        <v>120</v>
      </c>
      <c r="AA250" s="133" t="n">
        <v>2024.04</v>
      </c>
      <c r="AB250" s="133" t="n">
        <v>0.06</v>
      </c>
      <c r="AC250" s="133">
        <f>L250</f>
        <v/>
      </c>
      <c r="AD250" s="133" t="n">
        <v>16000</v>
      </c>
      <c r="AE250" s="133" t="n">
        <v>13000</v>
      </c>
      <c r="AF250" s="133">
        <f>AE250/AD250</f>
        <v/>
      </c>
      <c r="AG250" s="133">
        <f>AD250-AE250</f>
        <v/>
      </c>
      <c r="AH250" s="339" t="n">
        <v>2026.04</v>
      </c>
      <c r="AJ250" s="339">
        <f>AI250-AD250</f>
        <v/>
      </c>
      <c r="AK250" s="129">
        <f>(AI250-AD250)/AD250</f>
        <v/>
      </c>
      <c r="AL250" s="133">
        <f>AJ250/AG250</f>
        <v/>
      </c>
      <c r="AM250" s="88" t="n"/>
      <c r="AN250" s="133" t="n"/>
      <c r="AV250" s="133" t="n"/>
    </row>
    <row r="251" ht="17" customHeight="1" s="139">
      <c r="A251" s="339" t="inlineStr">
        <is>
          <t>청수동</t>
        </is>
      </c>
      <c r="D251" s="339" t="n">
        <v>7569</v>
      </c>
      <c r="E251" s="150" t="inlineStr">
        <is>
          <t>현대</t>
        </is>
      </c>
      <c r="F251" s="339" t="n">
        <v>1996.1</v>
      </c>
      <c r="G251" s="339" t="n">
        <v>520</v>
      </c>
      <c r="H251" s="339">
        <f>2026-F251+1</f>
        <v/>
      </c>
      <c r="I251" s="339" t="inlineStr">
        <is>
          <t>145</t>
        </is>
      </c>
      <c r="J251" s="339" t="n">
        <v>145</v>
      </c>
      <c r="K251" s="339" t="n">
        <v>121</v>
      </c>
      <c r="L251" s="339" t="n">
        <v>44</v>
      </c>
      <c r="M251" s="339" t="inlineStr">
        <is>
          <t>계단식</t>
        </is>
      </c>
      <c r="N251" s="339" t="n">
        <v>4</v>
      </c>
      <c r="O251" s="339" t="n">
        <v>2</v>
      </c>
      <c r="P251" s="339" t="n">
        <v>34</v>
      </c>
      <c r="R251" s="137" t="inlineStr">
        <is>
          <t>-</t>
        </is>
      </c>
      <c r="S251" s="477">
        <f>Q251-R251</f>
        <v/>
      </c>
      <c r="T251" s="71">
        <f>R251/Q251</f>
        <v/>
      </c>
      <c r="U251" s="136" t="n">
        <v>20000</v>
      </c>
      <c r="V251" s="136" t="n">
        <v>19300</v>
      </c>
      <c r="W251" s="339" t="inlineStr">
        <is>
          <t>계단식</t>
        </is>
      </c>
      <c r="X251" s="339" t="n">
        <v>4</v>
      </c>
      <c r="Y251" s="339" t="n">
        <v>2</v>
      </c>
      <c r="Z251" s="339" t="n">
        <v>34</v>
      </c>
      <c r="AA251" s="339" t="n">
        <v>2019.06</v>
      </c>
      <c r="AB251" s="339" t="n">
        <v>0.05</v>
      </c>
      <c r="AC251" s="339">
        <f>L251</f>
        <v/>
      </c>
      <c r="AD251" s="339" t="n">
        <v>17500</v>
      </c>
      <c r="AE251" s="339" t="n">
        <v>14500</v>
      </c>
      <c r="AF251" s="339">
        <f>AE251/AD251</f>
        <v/>
      </c>
      <c r="AG251" s="339">
        <f>AD251-AE251</f>
        <v/>
      </c>
      <c r="AH251" s="339" t="n">
        <v>2026.04</v>
      </c>
      <c r="AJ251" s="339">
        <f>AI251-AD251</f>
        <v/>
      </c>
      <c r="AK251" s="129">
        <f>(AI251-AD251)/AD251</f>
        <v/>
      </c>
      <c r="AL251" s="339">
        <f>AJ251/AG251</f>
        <v/>
      </c>
      <c r="AO251" s="339" t="n"/>
      <c r="AP251" s="339" t="n"/>
      <c r="AQ251" s="339" t="n"/>
      <c r="AR251" s="339" t="n"/>
      <c r="AS251" s="339" t="n"/>
      <c r="AT251" s="339" t="n"/>
      <c r="AU251" s="339" t="n"/>
      <c r="AW251" s="339" t="n"/>
      <c r="AX251" s="339" t="n"/>
      <c r="AY251" s="339" t="n"/>
    </row>
    <row r="252" ht="17" customHeight="1" s="139">
      <c r="A252" s="339" t="inlineStr">
        <is>
          <t>청수동</t>
        </is>
      </c>
      <c r="B252" s="164" t="n"/>
      <c r="C252" s="164" t="n"/>
      <c r="D252" s="339" t="n">
        <v>7572</v>
      </c>
      <c r="E252" s="150" t="inlineStr">
        <is>
          <t>청솔LG,SK</t>
        </is>
      </c>
      <c r="F252" s="339" t="n">
        <v>1999.02</v>
      </c>
      <c r="G252" s="339" t="n">
        <v>898</v>
      </c>
      <c r="H252" s="339">
        <f>2026-F252+1</f>
        <v/>
      </c>
      <c r="I252" s="339" t="inlineStr">
        <is>
          <t>129</t>
        </is>
      </c>
      <c r="J252" s="339" t="n">
        <v>129</v>
      </c>
      <c r="K252" s="339" t="n">
        <v>107</v>
      </c>
      <c r="L252" s="339" t="n">
        <v>39</v>
      </c>
      <c r="M252" s="339" t="inlineStr">
        <is>
          <t>계단식</t>
        </is>
      </c>
      <c r="N252" s="339" t="n">
        <v>3</v>
      </c>
      <c r="O252" s="339" t="n">
        <v>2</v>
      </c>
      <c r="P252" s="339" t="n">
        <v>120</v>
      </c>
      <c r="R252" s="137" t="inlineStr">
        <is>
          <t>-</t>
        </is>
      </c>
      <c r="S252" s="477">
        <f>Q252-R252</f>
        <v/>
      </c>
      <c r="T252" s="71">
        <f>R252/Q252</f>
        <v/>
      </c>
      <c r="U252" s="136" t="n">
        <v>29000</v>
      </c>
      <c r="V252" s="136" t="n">
        <v>22800</v>
      </c>
      <c r="W252" s="339" t="inlineStr">
        <is>
          <t>계단식</t>
        </is>
      </c>
      <c r="X252" s="339" t="n">
        <v>3</v>
      </c>
      <c r="Y252" s="339" t="n">
        <v>2</v>
      </c>
      <c r="Z252" s="339" t="n">
        <v>120</v>
      </c>
      <c r="AA252" s="339" t="n">
        <v>2019.03</v>
      </c>
      <c r="AB252" s="339" t="n">
        <v>0.01</v>
      </c>
      <c r="AC252" s="339">
        <f>L252</f>
        <v/>
      </c>
      <c r="AD252" s="339" t="n">
        <v>20350</v>
      </c>
      <c r="AE252" s="339" t="n">
        <v>17000</v>
      </c>
      <c r="AF252" s="339">
        <f>AE252/AD252</f>
        <v/>
      </c>
      <c r="AG252" s="339">
        <f>AD252-AE252</f>
        <v/>
      </c>
      <c r="AH252" s="339" t="n">
        <v>2026.04</v>
      </c>
      <c r="AJ252" s="339">
        <f>AI252-AD252</f>
        <v/>
      </c>
      <c r="AK252" s="129">
        <f>(AI252-AD252)/AD252</f>
        <v/>
      </c>
      <c r="AL252" s="339">
        <f>AJ252/AG252</f>
        <v/>
      </c>
      <c r="AM252" s="357" t="n"/>
    </row>
    <row r="253" ht="17" customHeight="1" s="139">
      <c r="A253" s="339" t="inlineStr">
        <is>
          <t>청수동</t>
        </is>
      </c>
      <c r="B253" s="164" t="n"/>
      <c r="C253" s="164" t="n"/>
      <c r="D253" s="339" t="n">
        <v>7572</v>
      </c>
      <c r="E253" s="150" t="inlineStr">
        <is>
          <t>청솔LG,SK</t>
        </is>
      </c>
      <c r="F253" s="339" t="n">
        <v>1999.02</v>
      </c>
      <c r="G253" s="339" t="n">
        <v>898</v>
      </c>
      <c r="H253" s="339">
        <f>2026-F253+1</f>
        <v/>
      </c>
      <c r="I253" s="339" t="inlineStr">
        <is>
          <t>142</t>
        </is>
      </c>
      <c r="J253" s="339" t="n">
        <v>142</v>
      </c>
      <c r="K253" s="339" t="n">
        <v>118</v>
      </c>
      <c r="L253" s="339" t="n">
        <v>43</v>
      </c>
      <c r="M253" s="339" t="inlineStr">
        <is>
          <t>계단식</t>
        </is>
      </c>
      <c r="N253" s="339" t="n">
        <v>4</v>
      </c>
      <c r="O253" s="339" t="n">
        <v>2</v>
      </c>
      <c r="P253" s="339" t="n">
        <v>120</v>
      </c>
      <c r="R253" s="137" t="inlineStr">
        <is>
          <t>-</t>
        </is>
      </c>
      <c r="S253" s="477">
        <f>Q253-R253</f>
        <v/>
      </c>
      <c r="T253" s="71">
        <f>R253/Q253</f>
        <v/>
      </c>
      <c r="U253" s="136" t="n">
        <v>28700</v>
      </c>
      <c r="V253" s="136" t="n">
        <v>27500</v>
      </c>
      <c r="W253" s="339" t="inlineStr">
        <is>
          <t>계단식</t>
        </is>
      </c>
      <c r="X253" s="339" t="n">
        <v>4</v>
      </c>
      <c r="Y253" s="339" t="n">
        <v>2</v>
      </c>
      <c r="Z253" s="339" t="n">
        <v>120</v>
      </c>
      <c r="AA253" s="339" t="n">
        <v>2019.06</v>
      </c>
      <c r="AB253" s="339" t="n">
        <v>0.01</v>
      </c>
      <c r="AC253" s="339">
        <f>L253</f>
        <v/>
      </c>
      <c r="AD253" s="339" t="n">
        <v>21250</v>
      </c>
      <c r="AE253" s="339" t="n">
        <v>17000</v>
      </c>
      <c r="AF253" s="339">
        <f>AE253/AD253</f>
        <v/>
      </c>
      <c r="AG253" s="339">
        <f>AD253-AE253</f>
        <v/>
      </c>
      <c r="AH253" s="339" t="n">
        <v>2026.04</v>
      </c>
      <c r="AJ253" s="339">
        <f>AI253-AD253</f>
        <v/>
      </c>
      <c r="AK253" s="129">
        <f>(AI253-AD253)/AD253</f>
        <v/>
      </c>
      <c r="AL253" s="339">
        <f>AJ253/AG253</f>
        <v/>
      </c>
      <c r="AM253" s="357" t="n"/>
      <c r="AO253" s="339" t="n"/>
      <c r="AP253" s="339" t="n"/>
      <c r="AQ253" s="339" t="n"/>
      <c r="AR253" s="339" t="n"/>
      <c r="AS253" s="339" t="n"/>
      <c r="AT253" s="339" t="n"/>
      <c r="AU253" s="339" t="n"/>
      <c r="AW253" s="339" t="n"/>
      <c r="AX253" s="339" t="n"/>
      <c r="AY253" s="339" t="n"/>
    </row>
    <row r="254" ht="17" customHeight="1" s="139">
      <c r="A254" s="339" t="inlineStr">
        <is>
          <t>청수동</t>
        </is>
      </c>
      <c r="B254" s="164" t="n"/>
      <c r="C254" s="164" t="n"/>
      <c r="D254" s="339" t="n">
        <v>7572</v>
      </c>
      <c r="E254" s="150" t="inlineStr">
        <is>
          <t>청솔LG,SK</t>
        </is>
      </c>
      <c r="F254" s="339" t="n">
        <v>1999.02</v>
      </c>
      <c r="G254" s="339" t="n">
        <v>898</v>
      </c>
      <c r="H254" s="339">
        <f>2026-F254+1</f>
        <v/>
      </c>
      <c r="I254" s="339" t="inlineStr">
        <is>
          <t>209</t>
        </is>
      </c>
      <c r="J254" s="339" t="n">
        <v>209</v>
      </c>
      <c r="K254" s="339" t="n">
        <v>175</v>
      </c>
      <c r="L254" s="339" t="n">
        <v>63</v>
      </c>
      <c r="M254" s="339" t="inlineStr">
        <is>
          <t>계단식</t>
        </is>
      </c>
      <c r="N254" s="339" t="n">
        <v>5</v>
      </c>
      <c r="O254" s="339" t="n">
        <v>2</v>
      </c>
      <c r="P254" s="339" t="n">
        <v>60</v>
      </c>
      <c r="R254" s="137" t="inlineStr">
        <is>
          <t>-</t>
        </is>
      </c>
      <c r="S254" s="477">
        <f>Q254-R254</f>
        <v/>
      </c>
      <c r="T254" s="71">
        <f>R254/Q254</f>
        <v/>
      </c>
      <c r="U254" s="136" t="n">
        <v>43000</v>
      </c>
      <c r="V254" s="136" t="n">
        <v>39000</v>
      </c>
      <c r="W254" s="339" t="inlineStr">
        <is>
          <t>계단식</t>
        </is>
      </c>
      <c r="X254" s="339" t="n">
        <v>5</v>
      </c>
      <c r="Y254" s="339" t="n">
        <v>2</v>
      </c>
      <c r="Z254" s="339" t="n">
        <v>60</v>
      </c>
      <c r="AA254" s="339" t="n">
        <v>2021.03</v>
      </c>
      <c r="AB254" s="339" t="n">
        <v>0.03</v>
      </c>
      <c r="AC254" s="339">
        <f>L254</f>
        <v/>
      </c>
      <c r="AD254" s="339" t="n">
        <v>28000</v>
      </c>
      <c r="AE254" s="339" t="n">
        <v>23000</v>
      </c>
      <c r="AF254" s="339">
        <f>AE254/AD254</f>
        <v/>
      </c>
      <c r="AG254" s="339">
        <f>AD254-AE254</f>
        <v/>
      </c>
      <c r="AH254" s="339" t="n">
        <v>2026.04</v>
      </c>
      <c r="AJ254" s="339">
        <f>AI254-AD254</f>
        <v/>
      </c>
      <c r="AK254" s="129">
        <f>(AI254-AD254)/AD254</f>
        <v/>
      </c>
      <c r="AL254" s="339">
        <f>AJ254/AG254</f>
        <v/>
      </c>
      <c r="AM254" s="357" t="n"/>
    </row>
    <row r="255" ht="15.5" customHeight="1" s="139">
      <c r="A255" s="132" t="inlineStr">
        <is>
          <t>풍세면</t>
        </is>
      </c>
      <c r="B255" s="133" t="n"/>
      <c r="C255" s="133" t="n"/>
      <c r="D255" s="132" t="n">
        <v>140850</v>
      </c>
      <c r="E255" s="135" t="inlineStr">
        <is>
          <t>천안한양수자인에코시티</t>
        </is>
      </c>
      <c r="F255" s="132" t="n">
        <v>2023.12</v>
      </c>
      <c r="G255" s="132" t="n">
        <v>3200</v>
      </c>
      <c r="H255" s="132">
        <f>2026-F255+1</f>
        <v/>
      </c>
      <c r="I255" s="132" t="inlineStr">
        <is>
          <t>110B, 110A</t>
        </is>
      </c>
      <c r="J255" s="132" t="n">
        <v>110</v>
      </c>
      <c r="K255" s="132" t="n">
        <v>84</v>
      </c>
      <c r="L255" s="132" t="n">
        <v>33</v>
      </c>
      <c r="M255" s="132" t="inlineStr">
        <is>
          <t>계단식</t>
        </is>
      </c>
      <c r="N255" s="132" t="n">
        <v>4</v>
      </c>
      <c r="O255" s="132" t="n">
        <v>3</v>
      </c>
      <c r="P255" s="132" t="n">
        <v>962</v>
      </c>
      <c r="Q255" s="133" t="n"/>
      <c r="R255" s="138" t="inlineStr">
        <is>
          <t>-</t>
        </is>
      </c>
      <c r="S255" s="477">
        <f>Q255-R255</f>
        <v/>
      </c>
      <c r="T255" s="71">
        <f>R255/Q255</f>
        <v/>
      </c>
      <c r="U255" s="133" t="n"/>
      <c r="V255" s="133" t="n">
        <v>29290</v>
      </c>
      <c r="W255" s="339" t="inlineStr">
        <is>
          <t>계단식</t>
        </is>
      </c>
      <c r="X255" s="339" t="n">
        <v>4</v>
      </c>
      <c r="Y255" s="339" t="n">
        <v>3</v>
      </c>
      <c r="Z255" s="339" t="n">
        <v>962</v>
      </c>
      <c r="AA255" s="133" t="n"/>
      <c r="AB255" s="133" t="n"/>
      <c r="AC255" s="133">
        <f>L255</f>
        <v/>
      </c>
      <c r="AD255" s="133" t="n"/>
      <c r="AE255" s="133" t="n"/>
      <c r="AF255" s="133">
        <f>AE255/AD255</f>
        <v/>
      </c>
      <c r="AG255" s="133">
        <f>AD255-AE255</f>
        <v/>
      </c>
      <c r="AH255" s="339" t="n">
        <v>2026.04</v>
      </c>
      <c r="AJ255" s="339">
        <f>AI255-AD255</f>
        <v/>
      </c>
      <c r="AK255" s="133">
        <f>(AI255-AD255)/AD255</f>
        <v/>
      </c>
      <c r="AL255" s="133">
        <f>AJ255/AG255</f>
        <v/>
      </c>
      <c r="AM255" s="133" t="n"/>
      <c r="AN255" s="133" t="n"/>
      <c r="AV255" s="133" t="n"/>
    </row>
  </sheetData>
  <autoFilter ref="A4:AY4">
    <sortState ref="A5:AY255">
      <sortCondition descending="1" ref="Q4"/>
    </sortState>
  </autoFilter>
  <mergeCells count="2">
    <mergeCell ref="B3:C3"/>
    <mergeCell ref="AH3:AL3"/>
  </mergeCells>
  <conditionalFormatting sqref="B6:D9 B11:D12 B14:D15 B17:D19 B22:D23">
    <cfRule type="cellIs" priority="173" operator="equal" dxfId="1">
      <formula>"중"</formula>
    </cfRule>
    <cfRule type="cellIs" priority="174" operator="equal" dxfId="0">
      <formula>"상"</formula>
    </cfRule>
  </conditionalFormatting>
  <conditionalFormatting sqref="AL1:AL1048576">
    <cfRule type="dataBar" priority="175">
      <dataBar>
        <cfvo type="min"/>
        <cfvo type="max"/>
        <color rgb="FF63C384"/>
      </dataBar>
    </cfRule>
  </conditionalFormatting>
  <conditionalFormatting sqref="B1">
    <cfRule type="cellIs" priority="171" operator="equal" dxfId="1">
      <formula>"중"</formula>
    </cfRule>
    <cfRule type="cellIs" priority="172" operator="equal" dxfId="0">
      <formula>"상"</formula>
    </cfRule>
  </conditionalFormatting>
  <conditionalFormatting sqref="C1:D1">
    <cfRule type="cellIs" priority="169" operator="equal" dxfId="1">
      <formula>"중"</formula>
    </cfRule>
    <cfRule type="cellIs" priority="170" operator="equal" dxfId="0">
      <formula>"상"</formula>
    </cfRule>
  </conditionalFormatting>
  <conditionalFormatting sqref="B2">
    <cfRule type="cellIs" priority="167" operator="equal" dxfId="1">
      <formula>"중"</formula>
    </cfRule>
    <cfRule type="cellIs" priority="168" operator="equal" dxfId="0">
      <formula>"상"</formula>
    </cfRule>
  </conditionalFormatting>
  <conditionalFormatting sqref="B27:D29 B31:D33 B35:D35 B37:D38 B40:D41 B43:D43">
    <cfRule type="cellIs" priority="165" operator="equal" dxfId="1">
      <formula>"중"</formula>
    </cfRule>
    <cfRule type="cellIs" priority="166" operator="equal" dxfId="0">
      <formula>"상"</formula>
    </cfRule>
  </conditionalFormatting>
  <conditionalFormatting sqref="B5">
    <cfRule type="cellIs" priority="163" operator="equal" dxfId="1">
      <formula>"중"</formula>
    </cfRule>
    <cfRule type="cellIs" priority="164" operator="equal" dxfId="0">
      <formula>"상"</formula>
    </cfRule>
  </conditionalFormatting>
  <conditionalFormatting sqref="C5:D5">
    <cfRule type="cellIs" priority="161" operator="equal" dxfId="1">
      <formula>"중"</formula>
    </cfRule>
    <cfRule type="cellIs" priority="162" operator="equal" dxfId="0">
      <formula>"상"</formula>
    </cfRule>
  </conditionalFormatting>
  <conditionalFormatting sqref="B10">
    <cfRule type="cellIs" priority="159" operator="equal" dxfId="1">
      <formula>"중"</formula>
    </cfRule>
    <cfRule type="cellIs" priority="160" operator="equal" dxfId="0">
      <formula>"상"</formula>
    </cfRule>
  </conditionalFormatting>
  <conditionalFormatting sqref="C10:D10">
    <cfRule type="cellIs" priority="157" operator="equal" dxfId="1">
      <formula>"중"</formula>
    </cfRule>
    <cfRule type="cellIs" priority="158" operator="equal" dxfId="0">
      <formula>"상"</formula>
    </cfRule>
  </conditionalFormatting>
  <conditionalFormatting sqref="B13">
    <cfRule type="cellIs" priority="155" operator="equal" dxfId="1">
      <formula>"중"</formula>
    </cfRule>
    <cfRule type="cellIs" priority="156" operator="equal" dxfId="0">
      <formula>"상"</formula>
    </cfRule>
  </conditionalFormatting>
  <conditionalFormatting sqref="C13:D13">
    <cfRule type="cellIs" priority="153" operator="equal" dxfId="1">
      <formula>"중"</formula>
    </cfRule>
    <cfRule type="cellIs" priority="154" operator="equal" dxfId="0">
      <formula>"상"</formula>
    </cfRule>
  </conditionalFormatting>
  <conditionalFormatting sqref="B16">
    <cfRule type="cellIs" priority="151" operator="equal" dxfId="1">
      <formula>"중"</formula>
    </cfRule>
    <cfRule type="cellIs" priority="152" operator="equal" dxfId="0">
      <formula>"상"</formula>
    </cfRule>
  </conditionalFormatting>
  <conditionalFormatting sqref="C16:D16">
    <cfRule type="cellIs" priority="149" operator="equal" dxfId="1">
      <formula>"중"</formula>
    </cfRule>
    <cfRule type="cellIs" priority="150" operator="equal" dxfId="0">
      <formula>"상"</formula>
    </cfRule>
  </conditionalFormatting>
  <conditionalFormatting sqref="B36">
    <cfRule type="cellIs" priority="147" operator="equal" dxfId="1">
      <formula>"중"</formula>
    </cfRule>
    <cfRule type="cellIs" priority="148" operator="equal" dxfId="0">
      <formula>"상"</formula>
    </cfRule>
  </conditionalFormatting>
  <conditionalFormatting sqref="B39">
    <cfRule type="cellIs" priority="145" operator="equal" dxfId="1">
      <formula>"중"</formula>
    </cfRule>
    <cfRule type="cellIs" priority="146" operator="equal" dxfId="0">
      <formula>"상"</formula>
    </cfRule>
  </conditionalFormatting>
  <conditionalFormatting sqref="B42">
    <cfRule type="cellIs" priority="143" operator="equal" dxfId="1">
      <formula>"중"</formula>
    </cfRule>
    <cfRule type="cellIs" priority="144" operator="equal" dxfId="0">
      <formula>"상"</formula>
    </cfRule>
  </conditionalFormatting>
  <conditionalFormatting sqref="B75">
    <cfRule type="cellIs" priority="141" operator="equal" dxfId="1">
      <formula>"중"</formula>
    </cfRule>
    <cfRule type="cellIs" priority="142" operator="equal" dxfId="0">
      <formula>"상"</formula>
    </cfRule>
  </conditionalFormatting>
  <conditionalFormatting sqref="B83">
    <cfRule type="cellIs" priority="139" operator="equal" dxfId="1">
      <formula>"중"</formula>
    </cfRule>
    <cfRule type="cellIs" priority="140" operator="equal" dxfId="0">
      <formula>"상"</formula>
    </cfRule>
  </conditionalFormatting>
  <conditionalFormatting sqref="C36:D36">
    <cfRule type="cellIs" priority="137" operator="equal" dxfId="1">
      <formula>"중"</formula>
    </cfRule>
    <cfRule type="cellIs" priority="138" operator="equal" dxfId="0">
      <formula>"상"</formula>
    </cfRule>
  </conditionalFormatting>
  <conditionalFormatting sqref="C42:D42">
    <cfRule type="cellIs" priority="135" operator="equal" dxfId="1">
      <formula>"중"</formula>
    </cfRule>
    <cfRule type="cellIs" priority="136" operator="equal" dxfId="0">
      <formula>"상"</formula>
    </cfRule>
  </conditionalFormatting>
  <conditionalFormatting sqref="C39:D39">
    <cfRule type="cellIs" priority="133" operator="equal" dxfId="1">
      <formula>"중"</formula>
    </cfRule>
    <cfRule type="cellIs" priority="134" operator="equal" dxfId="0">
      <formula>"상"</formula>
    </cfRule>
  </conditionalFormatting>
  <conditionalFormatting sqref="C75:D75">
    <cfRule type="cellIs" priority="131" operator="equal" dxfId="1">
      <formula>"중"</formula>
    </cfRule>
    <cfRule type="cellIs" priority="132" operator="equal" dxfId="0">
      <formula>"상"</formula>
    </cfRule>
  </conditionalFormatting>
  <conditionalFormatting sqref="B20">
    <cfRule type="cellIs" priority="129" operator="equal" dxfId="1">
      <formula>"중"</formula>
    </cfRule>
    <cfRule type="cellIs" priority="130" operator="equal" dxfId="0">
      <formula>"상"</formula>
    </cfRule>
  </conditionalFormatting>
  <conditionalFormatting sqref="C20:D20">
    <cfRule type="cellIs" priority="127" operator="equal" dxfId="1">
      <formula>"중"</formula>
    </cfRule>
    <cfRule type="cellIs" priority="128" operator="equal" dxfId="0">
      <formula>"상"</formula>
    </cfRule>
  </conditionalFormatting>
  <conditionalFormatting sqref="B21">
    <cfRule type="cellIs" priority="125" operator="equal" dxfId="1">
      <formula>"중"</formula>
    </cfRule>
    <cfRule type="cellIs" priority="126" operator="equal" dxfId="0">
      <formula>"상"</formula>
    </cfRule>
  </conditionalFormatting>
  <conditionalFormatting sqref="C21:D21">
    <cfRule type="cellIs" priority="123" operator="equal" dxfId="1">
      <formula>"중"</formula>
    </cfRule>
    <cfRule type="cellIs" priority="124" operator="equal" dxfId="0">
      <formula>"상"</formula>
    </cfRule>
  </conditionalFormatting>
  <conditionalFormatting sqref="C24:D24">
    <cfRule type="cellIs" priority="121" operator="equal" dxfId="1">
      <formula>"중"</formula>
    </cfRule>
    <cfRule type="cellIs" priority="122" operator="equal" dxfId="0">
      <formula>"상"</formula>
    </cfRule>
  </conditionalFormatting>
  <conditionalFormatting sqref="C25:D25">
    <cfRule type="cellIs" priority="119" operator="equal" dxfId="1">
      <formula>"중"</formula>
    </cfRule>
    <cfRule type="cellIs" priority="120" operator="equal" dxfId="0">
      <formula>"상"</formula>
    </cfRule>
  </conditionalFormatting>
  <conditionalFormatting sqref="C26:D26">
    <cfRule type="cellIs" priority="117" operator="equal" dxfId="1">
      <formula>"중"</formula>
    </cfRule>
    <cfRule type="cellIs" priority="118" operator="equal" dxfId="0">
      <formula>"상"</formula>
    </cfRule>
  </conditionalFormatting>
  <conditionalFormatting sqref="B30">
    <cfRule type="cellIs" priority="115" operator="equal" dxfId="1">
      <formula>"중"</formula>
    </cfRule>
    <cfRule type="cellIs" priority="116" operator="equal" dxfId="0">
      <formula>"상"</formula>
    </cfRule>
  </conditionalFormatting>
  <conditionalFormatting sqref="B24">
    <cfRule type="cellIs" priority="113" operator="equal" dxfId="1">
      <formula>"중"</formula>
    </cfRule>
    <cfRule type="cellIs" priority="114" operator="equal" dxfId="0">
      <formula>"상"</formula>
    </cfRule>
  </conditionalFormatting>
  <conditionalFormatting sqref="B25">
    <cfRule type="cellIs" priority="111" operator="equal" dxfId="1">
      <formula>"중"</formula>
    </cfRule>
    <cfRule type="cellIs" priority="112" operator="equal" dxfId="0">
      <formula>"상"</formula>
    </cfRule>
  </conditionalFormatting>
  <conditionalFormatting sqref="B26">
    <cfRule type="cellIs" priority="109" operator="equal" dxfId="1">
      <formula>"중"</formula>
    </cfRule>
    <cfRule type="cellIs" priority="110" operator="equal" dxfId="0">
      <formula>"상"</formula>
    </cfRule>
  </conditionalFormatting>
  <conditionalFormatting sqref="C30:D30">
    <cfRule type="cellIs" priority="107" operator="equal" dxfId="1">
      <formula>"중"</formula>
    </cfRule>
    <cfRule type="cellIs" priority="108" operator="equal" dxfId="0">
      <formula>"상"</formula>
    </cfRule>
  </conditionalFormatting>
  <conditionalFormatting sqref="B34">
    <cfRule type="cellIs" priority="105" operator="equal" dxfId="1">
      <formula>"중"</formula>
    </cfRule>
    <cfRule type="cellIs" priority="106" operator="equal" dxfId="0">
      <formula>"상"</formula>
    </cfRule>
  </conditionalFormatting>
  <conditionalFormatting sqref="C34:D34">
    <cfRule type="cellIs" priority="103" operator="equal" dxfId="1">
      <formula>"중"</formula>
    </cfRule>
    <cfRule type="cellIs" priority="104" operator="equal" dxfId="0">
      <formula>"상"</formula>
    </cfRule>
  </conditionalFormatting>
  <conditionalFormatting sqref="C46:D46">
    <cfRule type="cellIs" priority="101" operator="equal" dxfId="1">
      <formula>"중"</formula>
    </cfRule>
    <cfRule type="cellIs" priority="102" operator="equal" dxfId="0">
      <formula>"상"</formula>
    </cfRule>
  </conditionalFormatting>
  <conditionalFormatting sqref="B46">
    <cfRule type="cellIs" priority="99" operator="equal" dxfId="1">
      <formula>"중"</formula>
    </cfRule>
    <cfRule type="cellIs" priority="100" operator="equal" dxfId="0">
      <formula>"상"</formula>
    </cfRule>
  </conditionalFormatting>
  <conditionalFormatting sqref="B48">
    <cfRule type="cellIs" priority="97" operator="equal" dxfId="1">
      <formula>"중"</formula>
    </cfRule>
    <cfRule type="cellIs" priority="98" operator="equal" dxfId="0">
      <formula>"상"</formula>
    </cfRule>
  </conditionalFormatting>
  <conditionalFormatting sqref="C48:D48">
    <cfRule type="cellIs" priority="95" operator="equal" dxfId="1">
      <formula>"중"</formula>
    </cfRule>
    <cfRule type="cellIs" priority="96" operator="equal" dxfId="0">
      <formula>"상"</formula>
    </cfRule>
  </conditionalFormatting>
  <conditionalFormatting sqref="C51:D51">
    <cfRule type="cellIs" priority="93" operator="equal" dxfId="1">
      <formula>"중"</formula>
    </cfRule>
    <cfRule type="cellIs" priority="94" operator="equal" dxfId="0">
      <formula>"상"</formula>
    </cfRule>
  </conditionalFormatting>
  <conditionalFormatting sqref="C55:D55">
    <cfRule type="cellIs" priority="91" operator="equal" dxfId="1">
      <formula>"중"</formula>
    </cfRule>
    <cfRule type="cellIs" priority="92" operator="equal" dxfId="0">
      <formula>"상"</formula>
    </cfRule>
  </conditionalFormatting>
  <conditionalFormatting sqref="B51">
    <cfRule type="cellIs" priority="89" operator="equal" dxfId="1">
      <formula>"중"</formula>
    </cfRule>
    <cfRule type="cellIs" priority="90" operator="equal" dxfId="0">
      <formula>"상"</formula>
    </cfRule>
  </conditionalFormatting>
  <conditionalFormatting sqref="B56">
    <cfRule type="cellIs" priority="87" operator="equal" dxfId="1">
      <formula>"중"</formula>
    </cfRule>
    <cfRule type="cellIs" priority="88" operator="equal" dxfId="0">
      <formula>"상"</formula>
    </cfRule>
  </conditionalFormatting>
  <conditionalFormatting sqref="B55">
    <cfRule type="cellIs" priority="85" operator="equal" dxfId="1">
      <formula>"중"</formula>
    </cfRule>
    <cfRule type="cellIs" priority="86" operator="equal" dxfId="0">
      <formula>"상"</formula>
    </cfRule>
  </conditionalFormatting>
  <conditionalFormatting sqref="B60">
    <cfRule type="cellIs" priority="83" operator="equal" dxfId="1">
      <formula>"중"</formula>
    </cfRule>
    <cfRule type="cellIs" priority="84" operator="equal" dxfId="0">
      <formula>"상"</formula>
    </cfRule>
  </conditionalFormatting>
  <conditionalFormatting sqref="C60:D60">
    <cfRule type="cellIs" priority="81" operator="equal" dxfId="1">
      <formula>"중"</formula>
    </cfRule>
    <cfRule type="cellIs" priority="82" operator="equal" dxfId="0">
      <formula>"상"</formula>
    </cfRule>
  </conditionalFormatting>
  <conditionalFormatting sqref="B58">
    <cfRule type="cellIs" priority="79" operator="equal" dxfId="1">
      <formula>"중"</formula>
    </cfRule>
    <cfRule type="cellIs" priority="80" operator="equal" dxfId="0">
      <formula>"상"</formula>
    </cfRule>
  </conditionalFormatting>
  <conditionalFormatting sqref="C58:D58">
    <cfRule type="cellIs" priority="77" operator="equal" dxfId="1">
      <formula>"중"</formula>
    </cfRule>
    <cfRule type="cellIs" priority="78" operator="equal" dxfId="0">
      <formula>"상"</formula>
    </cfRule>
  </conditionalFormatting>
  <conditionalFormatting sqref="C63:D63">
    <cfRule type="cellIs" priority="75" operator="equal" dxfId="1">
      <formula>"중"</formula>
    </cfRule>
    <cfRule type="cellIs" priority="76" operator="equal" dxfId="0">
      <formula>"상"</formula>
    </cfRule>
  </conditionalFormatting>
  <conditionalFormatting sqref="C68:D68">
    <cfRule type="cellIs" priority="73" operator="equal" dxfId="1">
      <formula>"중"</formula>
    </cfRule>
    <cfRule type="cellIs" priority="74" operator="equal" dxfId="0">
      <formula>"상"</formula>
    </cfRule>
  </conditionalFormatting>
  <conditionalFormatting sqref="C71:D71">
    <cfRule type="cellIs" priority="71" operator="equal" dxfId="1">
      <formula>"중"</formula>
    </cfRule>
    <cfRule type="cellIs" priority="72" operator="equal" dxfId="0">
      <formula>"상"</formula>
    </cfRule>
  </conditionalFormatting>
  <conditionalFormatting sqref="C80:D80">
    <cfRule type="cellIs" priority="69" operator="equal" dxfId="1">
      <formula>"중"</formula>
    </cfRule>
    <cfRule type="cellIs" priority="70" operator="equal" dxfId="0">
      <formula>"상"</formula>
    </cfRule>
  </conditionalFormatting>
  <conditionalFormatting sqref="B80">
    <cfRule type="cellIs" priority="67" operator="equal" dxfId="1">
      <formula>"중"</formula>
    </cfRule>
    <cfRule type="cellIs" priority="68" operator="equal" dxfId="0">
      <formula>"상"</formula>
    </cfRule>
  </conditionalFormatting>
  <conditionalFormatting sqref="C83:D83">
    <cfRule type="cellIs" priority="65" operator="equal" dxfId="1">
      <formula>"중"</formula>
    </cfRule>
    <cfRule type="cellIs" priority="66" operator="equal" dxfId="0">
      <formula>"상"</formula>
    </cfRule>
  </conditionalFormatting>
  <conditionalFormatting sqref="C133:D133">
    <cfRule type="cellIs" priority="27" operator="equal" dxfId="1">
      <formula>"중"</formula>
    </cfRule>
    <cfRule type="cellIs" priority="28" operator="equal" dxfId="0">
      <formula>"상"</formula>
    </cfRule>
  </conditionalFormatting>
  <conditionalFormatting sqref="C87:D87">
    <cfRule type="cellIs" priority="63" operator="equal" dxfId="1">
      <formula>"중"</formula>
    </cfRule>
    <cfRule type="cellIs" priority="64" operator="equal" dxfId="0">
      <formula>"상"</formula>
    </cfRule>
  </conditionalFormatting>
  <conditionalFormatting sqref="C143:D143">
    <cfRule type="cellIs" priority="21" operator="equal" dxfId="1">
      <formula>"중"</formula>
    </cfRule>
    <cfRule type="cellIs" priority="22" operator="equal" dxfId="0">
      <formula>"상"</formula>
    </cfRule>
  </conditionalFormatting>
  <conditionalFormatting sqref="C92:D92">
    <cfRule type="cellIs" priority="61" operator="equal" dxfId="1">
      <formula>"중"</formula>
    </cfRule>
    <cfRule type="cellIs" priority="62" operator="equal" dxfId="0">
      <formula>"상"</formula>
    </cfRule>
  </conditionalFormatting>
  <conditionalFormatting sqref="C95:D95">
    <cfRule type="cellIs" priority="59" operator="equal" dxfId="1">
      <formula>"중"</formula>
    </cfRule>
    <cfRule type="cellIs" priority="60" operator="equal" dxfId="0">
      <formula>"상"</formula>
    </cfRule>
  </conditionalFormatting>
  <conditionalFormatting sqref="B169">
    <cfRule type="cellIs" priority="13" operator="equal" dxfId="1">
      <formula>"중"</formula>
    </cfRule>
    <cfRule type="cellIs" priority="14" operator="equal" dxfId="0">
      <formula>"상"</formula>
    </cfRule>
  </conditionalFormatting>
  <conditionalFormatting sqref="C100:D100">
    <cfRule type="cellIs" priority="57" operator="equal" dxfId="1">
      <formula>"중"</formula>
    </cfRule>
    <cfRule type="cellIs" priority="58" operator="equal" dxfId="0">
      <formula>"상"</formula>
    </cfRule>
  </conditionalFormatting>
  <conditionalFormatting sqref="C106:D106">
    <cfRule type="cellIs" priority="55" operator="equal" dxfId="1">
      <formula>"중"</formula>
    </cfRule>
    <cfRule type="cellIs" priority="56" operator="equal" dxfId="0">
      <formula>"상"</formula>
    </cfRule>
  </conditionalFormatting>
  <conditionalFormatting sqref="C110:D110">
    <cfRule type="cellIs" priority="53" operator="equal" dxfId="1">
      <formula>"중"</formula>
    </cfRule>
    <cfRule type="cellIs" priority="54" operator="equal" dxfId="0">
      <formula>"상"</formula>
    </cfRule>
  </conditionalFormatting>
  <conditionalFormatting sqref="C114:D114">
    <cfRule type="cellIs" priority="51" operator="equal" dxfId="1">
      <formula>"중"</formula>
    </cfRule>
    <cfRule type="cellIs" priority="52" operator="equal" dxfId="0">
      <formula>"상"</formula>
    </cfRule>
  </conditionalFormatting>
  <conditionalFormatting sqref="C118:D118">
    <cfRule type="cellIs" priority="49" operator="equal" dxfId="1">
      <formula>"중"</formula>
    </cfRule>
    <cfRule type="cellIs" priority="50" operator="equal" dxfId="0">
      <formula>"상"</formula>
    </cfRule>
  </conditionalFormatting>
  <conditionalFormatting sqref="B118">
    <cfRule type="cellIs" priority="47" operator="equal" dxfId="1">
      <formula>"중"</formula>
    </cfRule>
    <cfRule type="cellIs" priority="48" operator="equal" dxfId="0">
      <formula>"상"</formula>
    </cfRule>
  </conditionalFormatting>
  <conditionalFormatting sqref="B95">
    <cfRule type="cellIs" priority="45" operator="equal" dxfId="1">
      <formula>"중"</formula>
    </cfRule>
    <cfRule type="cellIs" priority="46" operator="equal" dxfId="0">
      <formula>"상"</formula>
    </cfRule>
  </conditionalFormatting>
  <conditionalFormatting sqref="B92">
    <cfRule type="cellIs" priority="43" operator="equal" dxfId="1">
      <formula>"중"</formula>
    </cfRule>
    <cfRule type="cellIs" priority="44" operator="equal" dxfId="0">
      <formula>"상"</formula>
    </cfRule>
  </conditionalFormatting>
  <conditionalFormatting sqref="B87">
    <cfRule type="cellIs" priority="41" operator="equal" dxfId="1">
      <formula>"중"</formula>
    </cfRule>
    <cfRule type="cellIs" priority="42" operator="equal" dxfId="0">
      <formula>"상"</formula>
    </cfRule>
  </conditionalFormatting>
  <conditionalFormatting sqref="B122">
    <cfRule type="cellIs" priority="39" operator="equal" dxfId="1">
      <formula>"중"</formula>
    </cfRule>
    <cfRule type="cellIs" priority="40" operator="equal" dxfId="0">
      <formula>"상"</formula>
    </cfRule>
  </conditionalFormatting>
  <conditionalFormatting sqref="C122:D122">
    <cfRule type="cellIs" priority="37" operator="equal" dxfId="1">
      <formula>"중"</formula>
    </cfRule>
    <cfRule type="cellIs" priority="38" operator="equal" dxfId="0">
      <formula>"상"</formula>
    </cfRule>
  </conditionalFormatting>
  <conditionalFormatting sqref="C127:D127">
    <cfRule type="cellIs" priority="35" operator="equal" dxfId="1">
      <formula>"중"</formula>
    </cfRule>
    <cfRule type="cellIs" priority="36" operator="equal" dxfId="0">
      <formula>"상"</formula>
    </cfRule>
  </conditionalFormatting>
  <conditionalFormatting sqref="B127">
    <cfRule type="cellIs" priority="33" operator="equal" dxfId="1">
      <formula>"중"</formula>
    </cfRule>
    <cfRule type="cellIs" priority="34" operator="equal" dxfId="0">
      <formula>"상"</formula>
    </cfRule>
  </conditionalFormatting>
  <conditionalFormatting sqref="B129">
    <cfRule type="cellIs" priority="31" operator="equal" dxfId="1">
      <formula>"중"</formula>
    </cfRule>
    <cfRule type="cellIs" priority="32" operator="equal" dxfId="0">
      <formula>"상"</formula>
    </cfRule>
  </conditionalFormatting>
  <conditionalFormatting sqref="C129:D129">
    <cfRule type="cellIs" priority="29" operator="equal" dxfId="1">
      <formula>"중"</formula>
    </cfRule>
    <cfRule type="cellIs" priority="30" operator="equal" dxfId="0">
      <formula>"상"</formula>
    </cfRule>
  </conditionalFormatting>
  <conditionalFormatting sqref="C137:D137">
    <cfRule type="cellIs" priority="25" operator="equal" dxfId="1">
      <formula>"중"</formula>
    </cfRule>
    <cfRule type="cellIs" priority="26" operator="equal" dxfId="0">
      <formula>"상"</formula>
    </cfRule>
  </conditionalFormatting>
  <conditionalFormatting sqref="C140:D140">
    <cfRule type="cellIs" priority="23" operator="equal" dxfId="1">
      <formula>"중"</formula>
    </cfRule>
    <cfRule type="cellIs" priority="24" operator="equal" dxfId="0">
      <formula>"상"</formula>
    </cfRule>
  </conditionalFormatting>
  <conditionalFormatting sqref="B143">
    <cfRule type="cellIs" priority="19" operator="equal" dxfId="1">
      <formula>"중"</formula>
    </cfRule>
    <cfRule type="cellIs" priority="20" operator="equal" dxfId="0">
      <formula>"상"</formula>
    </cfRule>
  </conditionalFormatting>
  <conditionalFormatting sqref="C148:D148">
    <cfRule type="cellIs" priority="17" operator="equal" dxfId="1">
      <formula>"중"</formula>
    </cfRule>
    <cfRule type="cellIs" priority="18" operator="equal" dxfId="0">
      <formula>"상"</formula>
    </cfRule>
  </conditionalFormatting>
  <conditionalFormatting sqref="C152:D152">
    <cfRule type="cellIs" priority="15" operator="equal" dxfId="1">
      <formula>"중"</formula>
    </cfRule>
    <cfRule type="cellIs" priority="16" operator="equal" dxfId="0">
      <formula>"상"</formula>
    </cfRule>
  </conditionalFormatting>
  <conditionalFormatting sqref="C169:D169">
    <cfRule type="cellIs" priority="11" operator="equal" dxfId="1">
      <formula>"중"</formula>
    </cfRule>
    <cfRule type="cellIs" priority="12" operator="equal" dxfId="0">
      <formula>"상"</formula>
    </cfRule>
  </conditionalFormatting>
  <conditionalFormatting sqref="C171:D171">
    <cfRule type="cellIs" priority="9" operator="equal" dxfId="1">
      <formula>"중"</formula>
    </cfRule>
    <cfRule type="cellIs" priority="10" operator="equal" dxfId="0">
      <formula>"상"</formula>
    </cfRule>
  </conditionalFormatting>
  <conditionalFormatting sqref="C178:D178">
    <cfRule type="cellIs" priority="7" operator="equal" dxfId="1">
      <formula>"중"</formula>
    </cfRule>
    <cfRule type="cellIs" priority="8" operator="equal" dxfId="0">
      <formula>"상"</formula>
    </cfRule>
  </conditionalFormatting>
  <conditionalFormatting sqref="C181:D181">
    <cfRule type="cellIs" priority="5" operator="equal" dxfId="1">
      <formula>"중"</formula>
    </cfRule>
    <cfRule type="cellIs" priority="6" operator="equal" dxfId="0">
      <formula>"상"</formula>
    </cfRule>
  </conditionalFormatting>
  <conditionalFormatting sqref="C185:D185">
    <cfRule type="cellIs" priority="3" operator="equal" dxfId="1">
      <formula>"중"</formula>
    </cfRule>
    <cfRule type="cellIs" priority="4" operator="equal" dxfId="0">
      <formula>"상"</formula>
    </cfRule>
  </conditionalFormatting>
  <conditionalFormatting sqref="B185">
    <cfRule type="cellIs" priority="1" operator="equal" dxfId="1">
      <formula>"중"</formula>
    </cfRule>
    <cfRule type="cellIs" priority="2" operator="equal" dxfId="0">
      <formula>"상"</formula>
    </cfRule>
  </conditionalFormatting>
  <hyperlinks>
    <hyperlink xmlns:r="http://schemas.openxmlformats.org/officeDocument/2006/relationships" ref="E5" r:id="rId1"/>
    <hyperlink xmlns:r="http://schemas.openxmlformats.org/officeDocument/2006/relationships" ref="E6" r:id="rId2"/>
    <hyperlink xmlns:r="http://schemas.openxmlformats.org/officeDocument/2006/relationships" ref="E7" r:id="rId3"/>
    <hyperlink xmlns:r="http://schemas.openxmlformats.org/officeDocument/2006/relationships" ref="E8" r:id="rId4"/>
    <hyperlink xmlns:r="http://schemas.openxmlformats.org/officeDocument/2006/relationships" ref="E9" r:id="rId5"/>
    <hyperlink xmlns:r="http://schemas.openxmlformats.org/officeDocument/2006/relationships" ref="E10" r:id="rId6"/>
    <hyperlink xmlns:r="http://schemas.openxmlformats.org/officeDocument/2006/relationships" ref="E11" r:id="rId7"/>
    <hyperlink xmlns:r="http://schemas.openxmlformats.org/officeDocument/2006/relationships" ref="E12" r:id="rId8"/>
    <hyperlink xmlns:r="http://schemas.openxmlformats.org/officeDocument/2006/relationships" ref="E13" r:id="rId9"/>
    <hyperlink xmlns:r="http://schemas.openxmlformats.org/officeDocument/2006/relationships" ref="E14" r:id="rId10"/>
    <hyperlink xmlns:r="http://schemas.openxmlformats.org/officeDocument/2006/relationships" ref="E15" r:id="rId11"/>
    <hyperlink xmlns:r="http://schemas.openxmlformats.org/officeDocument/2006/relationships" ref="E16" r:id="rId12"/>
    <hyperlink xmlns:r="http://schemas.openxmlformats.org/officeDocument/2006/relationships" ref="E17" r:id="rId13"/>
    <hyperlink xmlns:r="http://schemas.openxmlformats.org/officeDocument/2006/relationships" ref="E18" r:id="rId14"/>
    <hyperlink xmlns:r="http://schemas.openxmlformats.org/officeDocument/2006/relationships" ref="E19" r:id="rId15"/>
    <hyperlink xmlns:r="http://schemas.openxmlformats.org/officeDocument/2006/relationships" ref="E20" r:id="rId16"/>
    <hyperlink xmlns:r="http://schemas.openxmlformats.org/officeDocument/2006/relationships" ref="E21" r:id="rId17"/>
    <hyperlink xmlns:r="http://schemas.openxmlformats.org/officeDocument/2006/relationships" ref="E22" r:id="rId18"/>
    <hyperlink xmlns:r="http://schemas.openxmlformats.org/officeDocument/2006/relationships" ref="E23" r:id="rId19"/>
    <hyperlink xmlns:r="http://schemas.openxmlformats.org/officeDocument/2006/relationships" ref="E24" r:id="rId20"/>
    <hyperlink xmlns:r="http://schemas.openxmlformats.org/officeDocument/2006/relationships" ref="E25" r:id="rId21"/>
    <hyperlink xmlns:r="http://schemas.openxmlformats.org/officeDocument/2006/relationships" ref="E26" r:id="rId22"/>
    <hyperlink xmlns:r="http://schemas.openxmlformats.org/officeDocument/2006/relationships" ref="E27" r:id="rId23"/>
    <hyperlink xmlns:r="http://schemas.openxmlformats.org/officeDocument/2006/relationships" ref="E28" r:id="rId24"/>
    <hyperlink xmlns:r="http://schemas.openxmlformats.org/officeDocument/2006/relationships" ref="E29" r:id="rId25"/>
    <hyperlink xmlns:r="http://schemas.openxmlformats.org/officeDocument/2006/relationships" ref="E30" r:id="rId26"/>
    <hyperlink xmlns:r="http://schemas.openxmlformats.org/officeDocument/2006/relationships" ref="E31" r:id="rId27"/>
    <hyperlink xmlns:r="http://schemas.openxmlformats.org/officeDocument/2006/relationships" ref="E32" r:id="rId28"/>
    <hyperlink xmlns:r="http://schemas.openxmlformats.org/officeDocument/2006/relationships" ref="E33" r:id="rId29"/>
    <hyperlink xmlns:r="http://schemas.openxmlformats.org/officeDocument/2006/relationships" ref="E34" r:id="rId30"/>
    <hyperlink xmlns:r="http://schemas.openxmlformats.org/officeDocument/2006/relationships" ref="E35" r:id="rId31"/>
    <hyperlink xmlns:r="http://schemas.openxmlformats.org/officeDocument/2006/relationships" ref="E36" r:id="rId32"/>
    <hyperlink xmlns:r="http://schemas.openxmlformats.org/officeDocument/2006/relationships" ref="E37" r:id="rId33"/>
    <hyperlink xmlns:r="http://schemas.openxmlformats.org/officeDocument/2006/relationships" ref="E38" r:id="rId34"/>
    <hyperlink xmlns:r="http://schemas.openxmlformats.org/officeDocument/2006/relationships" ref="E39" r:id="rId35"/>
    <hyperlink xmlns:r="http://schemas.openxmlformats.org/officeDocument/2006/relationships" ref="E40" r:id="rId36"/>
    <hyperlink xmlns:r="http://schemas.openxmlformats.org/officeDocument/2006/relationships" ref="E41" r:id="rId37"/>
    <hyperlink xmlns:r="http://schemas.openxmlformats.org/officeDocument/2006/relationships" ref="E42" r:id="rId38"/>
    <hyperlink xmlns:r="http://schemas.openxmlformats.org/officeDocument/2006/relationships" ref="E43" r:id="rId39"/>
    <hyperlink xmlns:r="http://schemas.openxmlformats.org/officeDocument/2006/relationships" ref="E44" r:id="rId40"/>
    <hyperlink xmlns:r="http://schemas.openxmlformats.org/officeDocument/2006/relationships" ref="E45" r:id="rId41"/>
    <hyperlink xmlns:r="http://schemas.openxmlformats.org/officeDocument/2006/relationships" ref="E46" r:id="rId42"/>
    <hyperlink xmlns:r="http://schemas.openxmlformats.org/officeDocument/2006/relationships" ref="E47" r:id="rId43"/>
    <hyperlink xmlns:r="http://schemas.openxmlformats.org/officeDocument/2006/relationships" ref="E48" r:id="rId44"/>
    <hyperlink xmlns:r="http://schemas.openxmlformats.org/officeDocument/2006/relationships" ref="E49" r:id="rId45"/>
    <hyperlink xmlns:r="http://schemas.openxmlformats.org/officeDocument/2006/relationships" ref="E50" r:id="rId46"/>
    <hyperlink xmlns:r="http://schemas.openxmlformats.org/officeDocument/2006/relationships" ref="E51" r:id="rId47"/>
    <hyperlink xmlns:r="http://schemas.openxmlformats.org/officeDocument/2006/relationships" ref="E52" r:id="rId48"/>
    <hyperlink xmlns:r="http://schemas.openxmlformats.org/officeDocument/2006/relationships" ref="E53" r:id="rId49"/>
    <hyperlink xmlns:r="http://schemas.openxmlformats.org/officeDocument/2006/relationships" ref="E54" r:id="rId50"/>
    <hyperlink xmlns:r="http://schemas.openxmlformats.org/officeDocument/2006/relationships" ref="E55" r:id="rId51"/>
    <hyperlink xmlns:r="http://schemas.openxmlformats.org/officeDocument/2006/relationships" ref="E56" r:id="rId52"/>
    <hyperlink xmlns:r="http://schemas.openxmlformats.org/officeDocument/2006/relationships" ref="E57" r:id="rId53"/>
    <hyperlink xmlns:r="http://schemas.openxmlformats.org/officeDocument/2006/relationships" ref="E58" r:id="rId54"/>
    <hyperlink xmlns:r="http://schemas.openxmlformats.org/officeDocument/2006/relationships" ref="E59" r:id="rId55"/>
    <hyperlink xmlns:r="http://schemas.openxmlformats.org/officeDocument/2006/relationships" ref="E60" r:id="rId56"/>
    <hyperlink xmlns:r="http://schemas.openxmlformats.org/officeDocument/2006/relationships" ref="E61" r:id="rId57"/>
    <hyperlink xmlns:r="http://schemas.openxmlformats.org/officeDocument/2006/relationships" ref="E62" r:id="rId58"/>
    <hyperlink xmlns:r="http://schemas.openxmlformats.org/officeDocument/2006/relationships" ref="E63" r:id="rId59"/>
    <hyperlink xmlns:r="http://schemas.openxmlformats.org/officeDocument/2006/relationships" ref="E64" r:id="rId60"/>
    <hyperlink xmlns:r="http://schemas.openxmlformats.org/officeDocument/2006/relationships" ref="E65" r:id="rId61"/>
    <hyperlink xmlns:r="http://schemas.openxmlformats.org/officeDocument/2006/relationships" ref="E66" r:id="rId62"/>
    <hyperlink xmlns:r="http://schemas.openxmlformats.org/officeDocument/2006/relationships" ref="E67" r:id="rId63"/>
    <hyperlink xmlns:r="http://schemas.openxmlformats.org/officeDocument/2006/relationships" ref="E69" r:id="rId64"/>
    <hyperlink xmlns:r="http://schemas.openxmlformats.org/officeDocument/2006/relationships" ref="E70" r:id="rId65"/>
    <hyperlink xmlns:r="http://schemas.openxmlformats.org/officeDocument/2006/relationships" ref="E71" r:id="rId66"/>
    <hyperlink xmlns:r="http://schemas.openxmlformats.org/officeDocument/2006/relationships" ref="E72" r:id="rId67"/>
    <hyperlink xmlns:r="http://schemas.openxmlformats.org/officeDocument/2006/relationships" ref="E73" r:id="rId68"/>
    <hyperlink xmlns:r="http://schemas.openxmlformats.org/officeDocument/2006/relationships" ref="E74" r:id="rId69"/>
    <hyperlink xmlns:r="http://schemas.openxmlformats.org/officeDocument/2006/relationships" ref="E75" r:id="rId70"/>
    <hyperlink xmlns:r="http://schemas.openxmlformats.org/officeDocument/2006/relationships" ref="E76" r:id="rId71"/>
    <hyperlink xmlns:r="http://schemas.openxmlformats.org/officeDocument/2006/relationships" ref="E77" r:id="rId72"/>
    <hyperlink xmlns:r="http://schemas.openxmlformats.org/officeDocument/2006/relationships" ref="E78" r:id="rId73"/>
    <hyperlink xmlns:r="http://schemas.openxmlformats.org/officeDocument/2006/relationships" ref="E79" r:id="rId74"/>
    <hyperlink xmlns:r="http://schemas.openxmlformats.org/officeDocument/2006/relationships" ref="E80" r:id="rId75"/>
    <hyperlink xmlns:r="http://schemas.openxmlformats.org/officeDocument/2006/relationships" ref="E81" r:id="rId76"/>
    <hyperlink xmlns:r="http://schemas.openxmlformats.org/officeDocument/2006/relationships" ref="E82" r:id="rId77"/>
    <hyperlink xmlns:r="http://schemas.openxmlformats.org/officeDocument/2006/relationships" ref="E83" r:id="rId78"/>
    <hyperlink xmlns:r="http://schemas.openxmlformats.org/officeDocument/2006/relationships" ref="E84" r:id="rId79"/>
    <hyperlink xmlns:r="http://schemas.openxmlformats.org/officeDocument/2006/relationships" ref="E85" display="휴먼시아" r:id="rId80"/>
    <hyperlink xmlns:r="http://schemas.openxmlformats.org/officeDocument/2006/relationships" ref="E86" r:id="rId81"/>
    <hyperlink xmlns:r="http://schemas.openxmlformats.org/officeDocument/2006/relationships" ref="E87" r:id="rId82"/>
    <hyperlink xmlns:r="http://schemas.openxmlformats.org/officeDocument/2006/relationships" ref="E88" r:id="rId83"/>
    <hyperlink xmlns:r="http://schemas.openxmlformats.org/officeDocument/2006/relationships" ref="E89" r:id="rId84"/>
    <hyperlink xmlns:r="http://schemas.openxmlformats.org/officeDocument/2006/relationships" ref="E90" r:id="rId85"/>
    <hyperlink xmlns:r="http://schemas.openxmlformats.org/officeDocument/2006/relationships" ref="E91" r:id="rId86"/>
    <hyperlink xmlns:r="http://schemas.openxmlformats.org/officeDocument/2006/relationships" ref="E92" r:id="rId87"/>
    <hyperlink xmlns:r="http://schemas.openxmlformats.org/officeDocument/2006/relationships" ref="E93" r:id="rId88"/>
    <hyperlink xmlns:r="http://schemas.openxmlformats.org/officeDocument/2006/relationships" ref="E94" r:id="rId89"/>
    <hyperlink xmlns:r="http://schemas.openxmlformats.org/officeDocument/2006/relationships" ref="E95" r:id="rId90"/>
    <hyperlink xmlns:r="http://schemas.openxmlformats.org/officeDocument/2006/relationships" ref="E96" r:id="rId91"/>
    <hyperlink xmlns:r="http://schemas.openxmlformats.org/officeDocument/2006/relationships" ref="E97" r:id="rId92"/>
    <hyperlink xmlns:r="http://schemas.openxmlformats.org/officeDocument/2006/relationships" ref="E98" r:id="rId93"/>
    <hyperlink xmlns:r="http://schemas.openxmlformats.org/officeDocument/2006/relationships" ref="E99" r:id="rId94"/>
    <hyperlink xmlns:r="http://schemas.openxmlformats.org/officeDocument/2006/relationships" ref="E100" r:id="rId95"/>
    <hyperlink xmlns:r="http://schemas.openxmlformats.org/officeDocument/2006/relationships" ref="E101" r:id="rId96"/>
    <hyperlink xmlns:r="http://schemas.openxmlformats.org/officeDocument/2006/relationships" ref="E102" r:id="rId97"/>
    <hyperlink xmlns:r="http://schemas.openxmlformats.org/officeDocument/2006/relationships" ref="E103" r:id="rId98"/>
    <hyperlink xmlns:r="http://schemas.openxmlformats.org/officeDocument/2006/relationships" ref="E104" r:id="rId99"/>
    <hyperlink xmlns:r="http://schemas.openxmlformats.org/officeDocument/2006/relationships" ref="E105" r:id="rId100"/>
    <hyperlink xmlns:r="http://schemas.openxmlformats.org/officeDocument/2006/relationships" ref="E106" r:id="rId101"/>
    <hyperlink xmlns:r="http://schemas.openxmlformats.org/officeDocument/2006/relationships" ref="E107" r:id="rId102"/>
    <hyperlink xmlns:r="http://schemas.openxmlformats.org/officeDocument/2006/relationships" ref="E108" r:id="rId103"/>
    <hyperlink xmlns:r="http://schemas.openxmlformats.org/officeDocument/2006/relationships" ref="E109" r:id="rId104"/>
    <hyperlink xmlns:r="http://schemas.openxmlformats.org/officeDocument/2006/relationships" ref="E110" r:id="rId105"/>
    <hyperlink xmlns:r="http://schemas.openxmlformats.org/officeDocument/2006/relationships" ref="E111" r:id="rId106"/>
    <hyperlink xmlns:r="http://schemas.openxmlformats.org/officeDocument/2006/relationships" ref="E112" r:id="rId107"/>
    <hyperlink xmlns:r="http://schemas.openxmlformats.org/officeDocument/2006/relationships" ref="E113" r:id="rId108"/>
    <hyperlink xmlns:r="http://schemas.openxmlformats.org/officeDocument/2006/relationships" ref="E114" r:id="rId109"/>
    <hyperlink xmlns:r="http://schemas.openxmlformats.org/officeDocument/2006/relationships" ref="E115" r:id="rId110"/>
    <hyperlink xmlns:r="http://schemas.openxmlformats.org/officeDocument/2006/relationships" ref="E116" r:id="rId111"/>
    <hyperlink xmlns:r="http://schemas.openxmlformats.org/officeDocument/2006/relationships" ref="E117" r:id="rId112"/>
    <hyperlink xmlns:r="http://schemas.openxmlformats.org/officeDocument/2006/relationships" ref="E118" r:id="rId113"/>
    <hyperlink xmlns:r="http://schemas.openxmlformats.org/officeDocument/2006/relationships" ref="E119" r:id="rId114"/>
    <hyperlink xmlns:r="http://schemas.openxmlformats.org/officeDocument/2006/relationships" ref="E120" r:id="rId115"/>
    <hyperlink xmlns:r="http://schemas.openxmlformats.org/officeDocument/2006/relationships" ref="E121" r:id="rId116"/>
    <hyperlink xmlns:r="http://schemas.openxmlformats.org/officeDocument/2006/relationships" ref="E122" r:id="rId117"/>
    <hyperlink xmlns:r="http://schemas.openxmlformats.org/officeDocument/2006/relationships" ref="E123" r:id="rId118"/>
    <hyperlink xmlns:r="http://schemas.openxmlformats.org/officeDocument/2006/relationships" ref="E124" r:id="rId119"/>
    <hyperlink xmlns:r="http://schemas.openxmlformats.org/officeDocument/2006/relationships" ref="E125" r:id="rId120"/>
    <hyperlink xmlns:r="http://schemas.openxmlformats.org/officeDocument/2006/relationships" ref="E126" r:id="rId121"/>
    <hyperlink xmlns:r="http://schemas.openxmlformats.org/officeDocument/2006/relationships" ref="E127" r:id="rId122"/>
    <hyperlink xmlns:r="http://schemas.openxmlformats.org/officeDocument/2006/relationships" ref="E128" r:id="rId123"/>
    <hyperlink xmlns:r="http://schemas.openxmlformats.org/officeDocument/2006/relationships" ref="E129" r:id="rId124"/>
    <hyperlink xmlns:r="http://schemas.openxmlformats.org/officeDocument/2006/relationships" ref="E130" r:id="rId125"/>
    <hyperlink xmlns:r="http://schemas.openxmlformats.org/officeDocument/2006/relationships" ref="E131" r:id="rId126"/>
    <hyperlink xmlns:r="http://schemas.openxmlformats.org/officeDocument/2006/relationships" ref="E132" r:id="rId127"/>
    <hyperlink xmlns:r="http://schemas.openxmlformats.org/officeDocument/2006/relationships" ref="E133" r:id="rId128"/>
    <hyperlink xmlns:r="http://schemas.openxmlformats.org/officeDocument/2006/relationships" ref="E134" r:id="rId129"/>
    <hyperlink xmlns:r="http://schemas.openxmlformats.org/officeDocument/2006/relationships" ref="E135" r:id="rId130"/>
    <hyperlink xmlns:r="http://schemas.openxmlformats.org/officeDocument/2006/relationships" ref="E136" r:id="rId131"/>
    <hyperlink xmlns:r="http://schemas.openxmlformats.org/officeDocument/2006/relationships" ref="E137" r:id="rId132"/>
    <hyperlink xmlns:r="http://schemas.openxmlformats.org/officeDocument/2006/relationships" ref="E138" r:id="rId133"/>
    <hyperlink xmlns:r="http://schemas.openxmlformats.org/officeDocument/2006/relationships" ref="E139" r:id="rId134"/>
    <hyperlink xmlns:r="http://schemas.openxmlformats.org/officeDocument/2006/relationships" ref="E140" r:id="rId135"/>
    <hyperlink xmlns:r="http://schemas.openxmlformats.org/officeDocument/2006/relationships" ref="E141" r:id="rId136"/>
    <hyperlink xmlns:r="http://schemas.openxmlformats.org/officeDocument/2006/relationships" ref="E142" r:id="rId137"/>
    <hyperlink xmlns:r="http://schemas.openxmlformats.org/officeDocument/2006/relationships" ref="E143" r:id="rId138"/>
    <hyperlink xmlns:r="http://schemas.openxmlformats.org/officeDocument/2006/relationships" ref="E144" r:id="rId139"/>
    <hyperlink xmlns:r="http://schemas.openxmlformats.org/officeDocument/2006/relationships" ref="E145" r:id="rId140"/>
    <hyperlink xmlns:r="http://schemas.openxmlformats.org/officeDocument/2006/relationships" ref="E146" r:id="rId141"/>
    <hyperlink xmlns:r="http://schemas.openxmlformats.org/officeDocument/2006/relationships" ref="E147" r:id="rId142"/>
    <hyperlink xmlns:r="http://schemas.openxmlformats.org/officeDocument/2006/relationships" ref="E148" r:id="rId143"/>
    <hyperlink xmlns:r="http://schemas.openxmlformats.org/officeDocument/2006/relationships" ref="E149" r:id="rId144"/>
    <hyperlink xmlns:r="http://schemas.openxmlformats.org/officeDocument/2006/relationships" ref="E150" r:id="rId145"/>
    <hyperlink xmlns:r="http://schemas.openxmlformats.org/officeDocument/2006/relationships" ref="E151" r:id="rId146"/>
    <hyperlink xmlns:r="http://schemas.openxmlformats.org/officeDocument/2006/relationships" ref="E152" r:id="rId147"/>
    <hyperlink xmlns:r="http://schemas.openxmlformats.org/officeDocument/2006/relationships" ref="E153" r:id="rId148"/>
    <hyperlink xmlns:r="http://schemas.openxmlformats.org/officeDocument/2006/relationships" ref="E154" r:id="rId149"/>
    <hyperlink xmlns:r="http://schemas.openxmlformats.org/officeDocument/2006/relationships" ref="E155" r:id="rId150"/>
    <hyperlink xmlns:r="http://schemas.openxmlformats.org/officeDocument/2006/relationships" ref="E156" r:id="rId151"/>
    <hyperlink xmlns:r="http://schemas.openxmlformats.org/officeDocument/2006/relationships" ref="E157" r:id="rId152"/>
    <hyperlink xmlns:r="http://schemas.openxmlformats.org/officeDocument/2006/relationships" ref="E158" r:id="rId153"/>
    <hyperlink xmlns:r="http://schemas.openxmlformats.org/officeDocument/2006/relationships" ref="E159" r:id="rId154"/>
    <hyperlink xmlns:r="http://schemas.openxmlformats.org/officeDocument/2006/relationships" ref="E160" r:id="rId155"/>
    <hyperlink xmlns:r="http://schemas.openxmlformats.org/officeDocument/2006/relationships" ref="E161" r:id="rId156"/>
    <hyperlink xmlns:r="http://schemas.openxmlformats.org/officeDocument/2006/relationships" ref="E162" r:id="rId157"/>
    <hyperlink xmlns:r="http://schemas.openxmlformats.org/officeDocument/2006/relationships" ref="E163" r:id="rId158"/>
    <hyperlink xmlns:r="http://schemas.openxmlformats.org/officeDocument/2006/relationships" ref="E164" r:id="rId159"/>
    <hyperlink xmlns:r="http://schemas.openxmlformats.org/officeDocument/2006/relationships" ref="E165" r:id="rId160"/>
    <hyperlink xmlns:r="http://schemas.openxmlformats.org/officeDocument/2006/relationships" ref="E166" r:id="rId161"/>
    <hyperlink xmlns:r="http://schemas.openxmlformats.org/officeDocument/2006/relationships" ref="E167" r:id="rId162"/>
    <hyperlink xmlns:r="http://schemas.openxmlformats.org/officeDocument/2006/relationships" ref="E168" r:id="rId163"/>
    <hyperlink xmlns:r="http://schemas.openxmlformats.org/officeDocument/2006/relationships" ref="E169" r:id="rId164"/>
    <hyperlink xmlns:r="http://schemas.openxmlformats.org/officeDocument/2006/relationships" ref="E170" r:id="rId165"/>
    <hyperlink xmlns:r="http://schemas.openxmlformats.org/officeDocument/2006/relationships" ref="E171" r:id="rId166"/>
    <hyperlink xmlns:r="http://schemas.openxmlformats.org/officeDocument/2006/relationships" ref="E172" r:id="rId167"/>
    <hyperlink xmlns:r="http://schemas.openxmlformats.org/officeDocument/2006/relationships" ref="E173" r:id="rId168"/>
    <hyperlink xmlns:r="http://schemas.openxmlformats.org/officeDocument/2006/relationships" ref="E174" r:id="rId169"/>
    <hyperlink xmlns:r="http://schemas.openxmlformats.org/officeDocument/2006/relationships" ref="E175" r:id="rId170"/>
    <hyperlink xmlns:r="http://schemas.openxmlformats.org/officeDocument/2006/relationships" ref="E176" r:id="rId171"/>
    <hyperlink xmlns:r="http://schemas.openxmlformats.org/officeDocument/2006/relationships" ref="E177" r:id="rId172"/>
    <hyperlink xmlns:r="http://schemas.openxmlformats.org/officeDocument/2006/relationships" ref="E178" r:id="rId173"/>
    <hyperlink xmlns:r="http://schemas.openxmlformats.org/officeDocument/2006/relationships" ref="E179" r:id="rId174"/>
    <hyperlink xmlns:r="http://schemas.openxmlformats.org/officeDocument/2006/relationships" ref="E180" r:id="rId175"/>
    <hyperlink xmlns:r="http://schemas.openxmlformats.org/officeDocument/2006/relationships" ref="E181" r:id="rId176"/>
    <hyperlink xmlns:r="http://schemas.openxmlformats.org/officeDocument/2006/relationships" ref="E182" r:id="rId177"/>
    <hyperlink xmlns:r="http://schemas.openxmlformats.org/officeDocument/2006/relationships" ref="E183" r:id="rId178"/>
    <hyperlink xmlns:r="http://schemas.openxmlformats.org/officeDocument/2006/relationships" ref="E184" r:id="rId179"/>
    <hyperlink xmlns:r="http://schemas.openxmlformats.org/officeDocument/2006/relationships" ref="E185" r:id="rId180"/>
    <hyperlink xmlns:r="http://schemas.openxmlformats.org/officeDocument/2006/relationships" ref="E186" r:id="rId181"/>
    <hyperlink xmlns:r="http://schemas.openxmlformats.org/officeDocument/2006/relationships" ref="E187" r:id="rId182"/>
    <hyperlink xmlns:r="http://schemas.openxmlformats.org/officeDocument/2006/relationships" ref="E188" r:id="rId183"/>
    <hyperlink xmlns:r="http://schemas.openxmlformats.org/officeDocument/2006/relationships" ref="E189" r:id="rId184"/>
    <hyperlink xmlns:r="http://schemas.openxmlformats.org/officeDocument/2006/relationships" ref="E190" r:id="rId185"/>
    <hyperlink xmlns:r="http://schemas.openxmlformats.org/officeDocument/2006/relationships" ref="E191" r:id="rId186"/>
    <hyperlink xmlns:r="http://schemas.openxmlformats.org/officeDocument/2006/relationships" ref="E192" r:id="rId187"/>
    <hyperlink xmlns:r="http://schemas.openxmlformats.org/officeDocument/2006/relationships" ref="E193" r:id="rId188"/>
    <hyperlink xmlns:r="http://schemas.openxmlformats.org/officeDocument/2006/relationships" ref="E194" r:id="rId189"/>
    <hyperlink xmlns:r="http://schemas.openxmlformats.org/officeDocument/2006/relationships" ref="E195" r:id="rId190"/>
    <hyperlink xmlns:r="http://schemas.openxmlformats.org/officeDocument/2006/relationships" ref="E196" r:id="rId191"/>
    <hyperlink xmlns:r="http://schemas.openxmlformats.org/officeDocument/2006/relationships" ref="E197" r:id="rId192"/>
    <hyperlink xmlns:r="http://schemas.openxmlformats.org/officeDocument/2006/relationships" ref="E198" r:id="rId193"/>
    <hyperlink xmlns:r="http://schemas.openxmlformats.org/officeDocument/2006/relationships" ref="E199" r:id="rId194"/>
    <hyperlink xmlns:r="http://schemas.openxmlformats.org/officeDocument/2006/relationships" ref="E200" r:id="rId195"/>
    <hyperlink xmlns:r="http://schemas.openxmlformats.org/officeDocument/2006/relationships" ref="E201" r:id="rId196"/>
    <hyperlink xmlns:r="http://schemas.openxmlformats.org/officeDocument/2006/relationships" ref="E202" r:id="rId197"/>
    <hyperlink xmlns:r="http://schemas.openxmlformats.org/officeDocument/2006/relationships" ref="E203" r:id="rId198"/>
    <hyperlink xmlns:r="http://schemas.openxmlformats.org/officeDocument/2006/relationships" ref="E204" r:id="rId199"/>
    <hyperlink xmlns:r="http://schemas.openxmlformats.org/officeDocument/2006/relationships" ref="E205" r:id="rId200"/>
    <hyperlink xmlns:r="http://schemas.openxmlformats.org/officeDocument/2006/relationships" ref="E206" r:id="rId201"/>
    <hyperlink xmlns:r="http://schemas.openxmlformats.org/officeDocument/2006/relationships" ref="E207" r:id="rId202"/>
    <hyperlink xmlns:r="http://schemas.openxmlformats.org/officeDocument/2006/relationships" ref="E208" r:id="rId203"/>
    <hyperlink xmlns:r="http://schemas.openxmlformats.org/officeDocument/2006/relationships" ref="E209" r:id="rId204"/>
    <hyperlink xmlns:r="http://schemas.openxmlformats.org/officeDocument/2006/relationships" ref="E210" r:id="rId205"/>
    <hyperlink xmlns:r="http://schemas.openxmlformats.org/officeDocument/2006/relationships" ref="E211" r:id="rId206"/>
    <hyperlink xmlns:r="http://schemas.openxmlformats.org/officeDocument/2006/relationships" ref="E212" r:id="rId207"/>
    <hyperlink xmlns:r="http://schemas.openxmlformats.org/officeDocument/2006/relationships" ref="E213" r:id="rId208"/>
    <hyperlink xmlns:r="http://schemas.openxmlformats.org/officeDocument/2006/relationships" ref="E214" r:id="rId209"/>
    <hyperlink xmlns:r="http://schemas.openxmlformats.org/officeDocument/2006/relationships" ref="E215" r:id="rId210"/>
    <hyperlink xmlns:r="http://schemas.openxmlformats.org/officeDocument/2006/relationships" ref="E216" r:id="rId211"/>
    <hyperlink xmlns:r="http://schemas.openxmlformats.org/officeDocument/2006/relationships" ref="E217" r:id="rId212"/>
    <hyperlink xmlns:r="http://schemas.openxmlformats.org/officeDocument/2006/relationships" ref="E218" r:id="rId213"/>
    <hyperlink xmlns:r="http://schemas.openxmlformats.org/officeDocument/2006/relationships" ref="E219" r:id="rId214"/>
    <hyperlink xmlns:r="http://schemas.openxmlformats.org/officeDocument/2006/relationships" ref="E220" r:id="rId215"/>
    <hyperlink xmlns:r="http://schemas.openxmlformats.org/officeDocument/2006/relationships" ref="E221" r:id="rId216"/>
    <hyperlink xmlns:r="http://schemas.openxmlformats.org/officeDocument/2006/relationships" ref="E222" r:id="rId217"/>
    <hyperlink xmlns:r="http://schemas.openxmlformats.org/officeDocument/2006/relationships" ref="E223" r:id="rId218"/>
    <hyperlink xmlns:r="http://schemas.openxmlformats.org/officeDocument/2006/relationships" ref="E224" r:id="rId219"/>
    <hyperlink xmlns:r="http://schemas.openxmlformats.org/officeDocument/2006/relationships" ref="E225" r:id="rId220"/>
    <hyperlink xmlns:r="http://schemas.openxmlformats.org/officeDocument/2006/relationships" ref="E226" r:id="rId221"/>
    <hyperlink xmlns:r="http://schemas.openxmlformats.org/officeDocument/2006/relationships" ref="E227" r:id="rId222"/>
    <hyperlink xmlns:r="http://schemas.openxmlformats.org/officeDocument/2006/relationships" ref="E228" r:id="rId223"/>
    <hyperlink xmlns:r="http://schemas.openxmlformats.org/officeDocument/2006/relationships" ref="E229" r:id="rId224"/>
    <hyperlink xmlns:r="http://schemas.openxmlformats.org/officeDocument/2006/relationships" ref="E230" r:id="rId225"/>
    <hyperlink xmlns:r="http://schemas.openxmlformats.org/officeDocument/2006/relationships" ref="E231" r:id="rId226"/>
    <hyperlink xmlns:r="http://schemas.openxmlformats.org/officeDocument/2006/relationships" ref="E232" r:id="rId227"/>
    <hyperlink xmlns:r="http://schemas.openxmlformats.org/officeDocument/2006/relationships" ref="E233" r:id="rId228"/>
    <hyperlink xmlns:r="http://schemas.openxmlformats.org/officeDocument/2006/relationships" ref="E234" r:id="rId229"/>
    <hyperlink xmlns:r="http://schemas.openxmlformats.org/officeDocument/2006/relationships" ref="E235" r:id="rId230"/>
    <hyperlink xmlns:r="http://schemas.openxmlformats.org/officeDocument/2006/relationships" ref="E236" r:id="rId231"/>
    <hyperlink xmlns:r="http://schemas.openxmlformats.org/officeDocument/2006/relationships" ref="E237" r:id="rId232"/>
    <hyperlink xmlns:r="http://schemas.openxmlformats.org/officeDocument/2006/relationships" ref="E238" r:id="rId233"/>
    <hyperlink xmlns:r="http://schemas.openxmlformats.org/officeDocument/2006/relationships" ref="E239" r:id="rId234"/>
    <hyperlink xmlns:r="http://schemas.openxmlformats.org/officeDocument/2006/relationships" ref="E240" r:id="rId235"/>
    <hyperlink xmlns:r="http://schemas.openxmlformats.org/officeDocument/2006/relationships" ref="E241" r:id="rId236"/>
    <hyperlink xmlns:r="http://schemas.openxmlformats.org/officeDocument/2006/relationships" ref="E242" r:id="rId237"/>
    <hyperlink xmlns:r="http://schemas.openxmlformats.org/officeDocument/2006/relationships" ref="E243" r:id="rId238"/>
    <hyperlink xmlns:r="http://schemas.openxmlformats.org/officeDocument/2006/relationships" ref="E244" r:id="rId239"/>
    <hyperlink xmlns:r="http://schemas.openxmlformats.org/officeDocument/2006/relationships" ref="E245" r:id="rId240"/>
    <hyperlink xmlns:r="http://schemas.openxmlformats.org/officeDocument/2006/relationships" ref="E246" r:id="rId241"/>
    <hyperlink xmlns:r="http://schemas.openxmlformats.org/officeDocument/2006/relationships" ref="E247" r:id="rId242"/>
    <hyperlink xmlns:r="http://schemas.openxmlformats.org/officeDocument/2006/relationships" ref="E248" r:id="rId243"/>
    <hyperlink xmlns:r="http://schemas.openxmlformats.org/officeDocument/2006/relationships" ref="E249" r:id="rId244"/>
    <hyperlink xmlns:r="http://schemas.openxmlformats.org/officeDocument/2006/relationships" ref="E250" r:id="rId245"/>
    <hyperlink xmlns:r="http://schemas.openxmlformats.org/officeDocument/2006/relationships" ref="E251" r:id="rId246"/>
    <hyperlink xmlns:r="http://schemas.openxmlformats.org/officeDocument/2006/relationships" ref="E252" r:id="rId247"/>
    <hyperlink xmlns:r="http://schemas.openxmlformats.org/officeDocument/2006/relationships" ref="E253" r:id="rId248"/>
    <hyperlink xmlns:r="http://schemas.openxmlformats.org/officeDocument/2006/relationships" ref="E254" r:id="rId249"/>
    <hyperlink xmlns:r="http://schemas.openxmlformats.org/officeDocument/2006/relationships" ref="E255" r:id="rId250"/>
  </hyperlinks>
  <pageMargins left="0.25" right="0.25" top="0.75" bottom="0.75" header="0.3" footer="0.3"/>
  <pageSetup orientation="landscape" paperSize="9" scale="49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AV359"/>
  <sheetViews>
    <sheetView zoomScale="70" zoomScaleNormal="70" workbookViewId="0">
      <pane ySplit="4" topLeftCell="A5" activePane="bottomLeft" state="frozen"/>
      <selection pane="bottomLeft" activeCell="R31" sqref="R31"/>
    </sheetView>
  </sheetViews>
  <sheetFormatPr baseColWidth="8" defaultRowHeight="14"/>
  <cols>
    <col width="8.7265625" customWidth="1" style="164" min="1" max="1"/>
    <col width="7.81640625" bestFit="1" customWidth="1" style="9" min="2" max="2"/>
    <col width="9.453125" customWidth="1" style="10" min="3" max="3"/>
    <col width="9.453125" customWidth="1" style="164" min="4" max="4"/>
    <col width="33.453125" bestFit="1" customWidth="1" style="17" min="5" max="5"/>
    <col width="9.54296875" customWidth="1" style="21" min="6" max="6"/>
    <col width="7.81640625" customWidth="1" style="21" min="7" max="7"/>
    <col width="5.90625" customWidth="1" style="21" min="8" max="8"/>
    <col width="6.7265625" customWidth="1" style="136" min="9" max="10"/>
    <col width="13" customWidth="1" style="139" min="10" max="10"/>
    <col width="5.453125" customWidth="1" style="136" min="11" max="11"/>
    <col hidden="1" width="6.6328125" customWidth="1" style="136" min="12" max="12"/>
    <col hidden="1" width="5.08984375" customWidth="1" style="136" min="13" max="13"/>
    <col hidden="1" width="7.08984375" customWidth="1" style="136" min="14" max="14"/>
    <col hidden="1" width="6.6328125" customWidth="1" style="136" min="15" max="15"/>
    <col hidden="1" width="5" customWidth="1" style="136" min="16" max="16"/>
    <col width="11" bestFit="1" customWidth="1" style="156" min="17" max="18"/>
    <col width="13" customWidth="1" style="139" min="18" max="18"/>
    <col width="9.81640625" customWidth="1" style="136" min="19" max="19"/>
    <col width="9.81640625" bestFit="1" customWidth="1" style="136" min="20" max="20"/>
    <col width="9.6328125" bestFit="1" customWidth="1" style="136" min="21" max="22"/>
    <col width="13" customWidth="1" style="139" min="22" max="22"/>
    <col width="6.90625" bestFit="1" customWidth="1" style="155" min="23" max="23"/>
    <col width="3.90625" bestFit="1" customWidth="1" style="136" min="24" max="25"/>
    <col width="13" customWidth="1" style="139" min="25" max="25"/>
    <col width="5.7265625" customWidth="1" style="136" min="26" max="26"/>
    <col width="9.81640625" bestFit="1" customWidth="1" style="164" min="27" max="27"/>
    <col width="10.26953125" customWidth="1" style="164" min="28" max="28"/>
    <col width="5.90625" bestFit="1" customWidth="1" style="164" min="29" max="29"/>
    <col width="9.81640625" bestFit="1" customWidth="1" style="139" min="30" max="32"/>
    <col width="13" customWidth="1" style="139" min="31" max="31"/>
    <col width="13" customWidth="1" style="139" min="32" max="32"/>
    <col width="7.81640625" bestFit="1" customWidth="1" style="139" min="33" max="33"/>
    <col width="9.81640625" bestFit="1" customWidth="1" style="11" min="34" max="34"/>
    <col width="9.81640625" bestFit="1" customWidth="1" style="139" min="35" max="36"/>
    <col width="13" customWidth="1" style="139" min="36" max="36"/>
    <col width="7.81640625" bestFit="1" customWidth="1" style="140" min="37" max="38"/>
    <col width="13" customWidth="1" style="139" min="38" max="38"/>
    <col width="8.7265625" customWidth="1" style="2" min="39" max="39"/>
    <col width="11.1796875" customWidth="1" style="1" min="40" max="40"/>
    <col width="8.7265625" customWidth="1" style="339" min="41" max="47"/>
    <col width="13" customWidth="1" style="139" min="42" max="42"/>
    <col width="13" customWidth="1" style="139" min="43" max="43"/>
    <col width="13" customWidth="1" style="139" min="44" max="44"/>
    <col width="13" customWidth="1" style="139" min="45" max="45"/>
    <col width="13" customWidth="1" style="139" min="46" max="46"/>
    <col width="13" customWidth="1" style="139" min="47" max="47"/>
    <col width="8.453125" bestFit="1" customWidth="1" style="139" min="48" max="48"/>
    <col width="8.7265625" customWidth="1" style="339" min="49" max="55"/>
    <col width="8.7265625" customWidth="1" style="339" min="56" max="16384"/>
  </cols>
  <sheetData>
    <row r="1">
      <c r="B1" s="12" t="inlineStr">
        <is>
          <t>상</t>
        </is>
      </c>
      <c r="C1" s="13" t="inlineStr">
        <is>
          <t>중</t>
        </is>
      </c>
      <c r="D1" s="165" t="n"/>
      <c r="AH1" s="339" t="n"/>
      <c r="AM1" s="357" t="n"/>
    </row>
    <row r="2">
      <c r="B2" s="12" t="inlineStr">
        <is>
          <t>하</t>
        </is>
      </c>
      <c r="C2" s="12" t="n"/>
      <c r="AH2" s="339" t="n"/>
      <c r="AM2" s="357" t="n"/>
    </row>
    <row r="3" ht="20" customHeight="1" s="139">
      <c r="A3" s="164" t="n">
        <v>84</v>
      </c>
      <c r="B3" s="366" t="inlineStr">
        <is>
          <t>선호도</t>
        </is>
      </c>
      <c r="C3" s="367" t="n"/>
      <c r="D3" s="72" t="n"/>
      <c r="E3" s="73" t="inlineStr">
        <is>
          <t>단지정보 (30평)</t>
        </is>
      </c>
      <c r="F3" s="365" t="n"/>
      <c r="G3" s="365" t="n"/>
      <c r="H3" s="365" t="n"/>
      <c r="I3" s="365" t="n"/>
      <c r="J3" s="365" t="n"/>
      <c r="K3" s="365" t="n"/>
      <c r="L3" s="365" t="n"/>
      <c r="M3" s="365" t="n"/>
      <c r="N3" s="365" t="n"/>
      <c r="O3" s="365" t="n"/>
      <c r="P3" s="365" t="n"/>
      <c r="Q3" s="157" t="n"/>
      <c r="R3" s="157" t="n"/>
      <c r="S3" s="365" t="n"/>
      <c r="T3" s="365" t="n"/>
      <c r="U3" s="365" t="n"/>
      <c r="V3" s="365" t="n"/>
      <c r="W3" s="365" t="n"/>
      <c r="X3" s="365" t="n"/>
      <c r="Y3" s="365" t="n"/>
      <c r="Z3" s="365" t="n"/>
      <c r="AA3" s="365" t="n"/>
      <c r="AB3" s="365" t="n"/>
      <c r="AC3" s="365" t="n"/>
      <c r="AD3" s="365" t="n"/>
      <c r="AE3" s="365" t="n"/>
      <c r="AF3" s="365" t="n"/>
      <c r="AG3" s="365" t="n"/>
      <c r="AH3" s="368" t="inlineStr">
        <is>
          <t>투자결과</t>
        </is>
      </c>
      <c r="AI3" s="365" t="n"/>
      <c r="AJ3" s="365" t="n"/>
      <c r="AK3" s="365" t="n"/>
      <c r="AL3" s="367" t="n"/>
    </row>
    <row r="4" ht="17.5" customHeight="1" s="139" thickBot="1">
      <c r="B4" s="9" t="inlineStr">
        <is>
          <t>생활권</t>
        </is>
      </c>
      <c r="C4" s="10" t="inlineStr">
        <is>
          <t>생활권 내</t>
        </is>
      </c>
      <c r="D4" s="339" t="inlineStr">
        <is>
          <t>단지코드</t>
        </is>
      </c>
      <c r="E4" s="339" t="inlineStr">
        <is>
          <t>단지명</t>
        </is>
      </c>
      <c r="F4" s="339" t="inlineStr">
        <is>
          <t>사용승인일</t>
        </is>
      </c>
      <c r="G4" s="339" t="inlineStr">
        <is>
          <t>총세대수</t>
        </is>
      </c>
      <c r="H4" s="22" t="inlineStr">
        <is>
          <t>나이</t>
        </is>
      </c>
      <c r="I4" s="68" t="inlineStr">
        <is>
          <t>타입</t>
        </is>
      </c>
      <c r="J4" s="68" t="inlineStr">
        <is>
          <t>공급면적</t>
        </is>
      </c>
      <c r="K4" s="116" t="inlineStr">
        <is>
          <t>전용면적</t>
        </is>
      </c>
      <c r="L4" s="116" t="inlineStr">
        <is>
          <t>평형</t>
        </is>
      </c>
      <c r="M4" s="339" t="inlineStr">
        <is>
          <t>구조</t>
        </is>
      </c>
      <c r="N4" s="339" t="inlineStr">
        <is>
          <t>방수</t>
        </is>
      </c>
      <c r="O4" s="339" t="inlineStr">
        <is>
          <t>욕실수</t>
        </is>
      </c>
      <c r="P4" s="339" t="inlineStr">
        <is>
          <t>평형별 세대수</t>
        </is>
      </c>
      <c r="Q4" s="158" t="inlineStr">
        <is>
          <t>매</t>
        </is>
      </c>
      <c r="R4" s="158" t="inlineStr">
        <is>
          <t>전</t>
        </is>
      </c>
      <c r="S4" s="116" t="inlineStr">
        <is>
          <t>차</t>
        </is>
      </c>
      <c r="T4" s="116" t="inlineStr">
        <is>
          <t>전세가율</t>
        </is>
      </c>
      <c r="U4" s="116" t="inlineStr">
        <is>
          <t>전고</t>
        </is>
      </c>
      <c r="V4" s="116" t="inlineStr">
        <is>
          <t>전저</t>
        </is>
      </c>
      <c r="W4" s="57" t="inlineStr">
        <is>
          <t>계/복</t>
        </is>
      </c>
      <c r="X4" s="116" t="inlineStr">
        <is>
          <t>방</t>
        </is>
      </c>
      <c r="Y4" s="116" t="inlineStr">
        <is>
          <t>화</t>
        </is>
      </c>
      <c r="Z4" s="116" t="inlineStr">
        <is>
          <t>면적세대수</t>
        </is>
      </c>
      <c r="AA4" s="164" t="inlineStr">
        <is>
          <t>시기(년)</t>
        </is>
      </c>
      <c r="AB4" s="357" t="inlineStr">
        <is>
          <t>(전세가율80%이상인)기간</t>
        </is>
      </c>
      <c r="AC4" s="164" t="inlineStr">
        <is>
          <t>평형</t>
        </is>
      </c>
      <c r="AD4" s="164" t="inlineStr">
        <is>
          <t>매매가</t>
        </is>
      </c>
      <c r="AE4" s="164" t="inlineStr">
        <is>
          <t>전세가</t>
        </is>
      </c>
      <c r="AF4" s="164" t="inlineStr">
        <is>
          <t>전세가율</t>
        </is>
      </c>
      <c r="AG4" s="24" t="inlineStr">
        <is>
          <t>투자금</t>
        </is>
      </c>
      <c r="AH4" s="9" t="inlineStr">
        <is>
          <t>시기(년)</t>
        </is>
      </c>
      <c r="AI4" s="9" t="inlineStr">
        <is>
          <t>매매가</t>
        </is>
      </c>
      <c r="AJ4" s="9" t="inlineStr">
        <is>
          <t>수익금</t>
        </is>
      </c>
      <c r="AK4" s="25" t="inlineStr">
        <is>
          <t>상승율</t>
        </is>
      </c>
      <c r="AL4" s="26" t="inlineStr">
        <is>
          <t>수익율</t>
        </is>
      </c>
      <c r="AN4" s="14" t="n"/>
    </row>
    <row r="5" ht="18" customHeight="1" s="139">
      <c r="A5" s="123" t="inlineStr">
        <is>
          <t>대연동</t>
        </is>
      </c>
      <c r="B5" s="96" t="n"/>
      <c r="C5" s="96" t="n"/>
      <c r="D5" s="132" t="n">
        <v>4526</v>
      </c>
      <c r="E5" s="124" t="inlineStr">
        <is>
          <t>대우그린1차</t>
        </is>
      </c>
      <c r="F5" s="125" t="n">
        <v>1997.09</v>
      </c>
      <c r="G5" s="125" t="n">
        <v>691</v>
      </c>
      <c r="H5" s="126">
        <f>2026-F5+1</f>
        <v/>
      </c>
      <c r="I5" s="127" t="n"/>
      <c r="J5" s="105" t="n">
        <v>83</v>
      </c>
      <c r="K5" s="105" t="n">
        <v>59</v>
      </c>
      <c r="L5" s="125" t="n">
        <v>25</v>
      </c>
      <c r="M5" s="125" t="inlineStr">
        <is>
          <t>복도식</t>
        </is>
      </c>
      <c r="N5" s="125" t="n">
        <v>3</v>
      </c>
      <c r="O5" s="125" t="n">
        <v>1</v>
      </c>
      <c r="P5" s="125" t="n">
        <v>263</v>
      </c>
      <c r="Q5" s="159" t="n">
        <v>145000</v>
      </c>
      <c r="R5" s="159" t="n"/>
      <c r="S5" s="477">
        <f>Q5-R5</f>
        <v/>
      </c>
      <c r="T5" s="71">
        <f>R5/Q5</f>
        <v/>
      </c>
      <c r="U5" s="142" t="n">
        <v>19250</v>
      </c>
      <c r="V5" s="143" t="n">
        <v>17300</v>
      </c>
      <c r="W5" s="151" t="n"/>
      <c r="X5" s="152" t="n"/>
      <c r="Y5" s="152" t="n"/>
      <c r="Z5" s="152" t="n"/>
      <c r="AA5" s="99" t="n"/>
      <c r="AB5" s="99" t="n"/>
      <c r="AC5" s="99" t="n"/>
      <c r="AD5" s="99" t="n"/>
      <c r="AE5" s="99" t="n"/>
      <c r="AF5" s="99" t="n"/>
      <c r="AG5" s="100" t="n"/>
      <c r="AH5" s="33" t="n"/>
      <c r="AI5" s="153" t="n"/>
      <c r="AJ5" s="153" t="n"/>
      <c r="AK5" s="129" t="n"/>
      <c r="AL5" s="131" t="n"/>
      <c r="AM5" s="133" t="n"/>
      <c r="AN5" s="133" t="n"/>
      <c r="AV5" s="133" t="n"/>
    </row>
    <row r="6">
      <c r="A6" s="339" t="inlineStr">
        <is>
          <t>대연동</t>
        </is>
      </c>
      <c r="D6" s="339" t="n">
        <v>161501</v>
      </c>
      <c r="E6" s="113" t="inlineStr">
        <is>
          <t>더비치푸르지오써밋</t>
        </is>
      </c>
      <c r="F6" s="339" t="n">
        <v>2025.05</v>
      </c>
      <c r="G6" s="339" t="n">
        <v>1384</v>
      </c>
      <c r="H6" s="339">
        <f>2026-F6+1</f>
        <v/>
      </c>
      <c r="K6" s="339" t="n">
        <v>84</v>
      </c>
      <c r="M6" s="339" t="inlineStr">
        <is>
          <t>계단식</t>
        </is>
      </c>
      <c r="N6" s="339" t="n">
        <v>3</v>
      </c>
      <c r="O6" s="339" t="n">
        <v>2</v>
      </c>
      <c r="P6" s="339" t="n">
        <v>438</v>
      </c>
      <c r="Q6" s="156" t="n">
        <v>145000</v>
      </c>
      <c r="R6" s="156" t="n">
        <v>79000</v>
      </c>
      <c r="S6" s="477">
        <f>Q6-R6</f>
        <v/>
      </c>
      <c r="T6" s="71">
        <f>R6/Q6</f>
        <v/>
      </c>
    </row>
    <row r="7">
      <c r="A7" s="339" t="inlineStr">
        <is>
          <t>대연동</t>
        </is>
      </c>
      <c r="D7" s="339" t="n">
        <v>161501</v>
      </c>
      <c r="E7" s="113" t="inlineStr">
        <is>
          <t>더비치푸르지오써밋</t>
        </is>
      </c>
      <c r="F7" s="339" t="n">
        <v>2025.05</v>
      </c>
      <c r="G7" s="339" t="n">
        <v>1384</v>
      </c>
      <c r="H7" s="339">
        <f>2026-F7+1</f>
        <v/>
      </c>
      <c r="J7" s="339" t="n">
        <v>101</v>
      </c>
      <c r="K7" s="339" t="n">
        <v>76</v>
      </c>
      <c r="L7" s="339" t="n">
        <v>31</v>
      </c>
      <c r="M7" s="339" t="inlineStr">
        <is>
          <t>계단식</t>
        </is>
      </c>
      <c r="N7" s="339" t="n">
        <v>3</v>
      </c>
      <c r="O7" s="339" t="n">
        <v>2</v>
      </c>
      <c r="P7" s="339" t="n">
        <v>156</v>
      </c>
      <c r="Q7" s="156" t="n">
        <v>130000</v>
      </c>
      <c r="R7" s="156" t="n">
        <v>65000</v>
      </c>
      <c r="S7" s="477">
        <f>Q7-R7</f>
        <v/>
      </c>
      <c r="T7" s="71">
        <f>R7/Q7</f>
        <v/>
      </c>
    </row>
    <row r="8">
      <c r="A8" s="339" t="inlineStr">
        <is>
          <t>대연동</t>
        </is>
      </c>
      <c r="D8" s="339" t="n">
        <v>161501</v>
      </c>
      <c r="E8" s="113" t="inlineStr">
        <is>
          <t>더비치푸르지오써밋</t>
        </is>
      </c>
      <c r="F8" s="339" t="n">
        <v>2025.05</v>
      </c>
      <c r="G8" s="339" t="n">
        <v>1384</v>
      </c>
      <c r="H8" s="339">
        <f>2026-F8+1</f>
        <v/>
      </c>
      <c r="K8" s="339" t="n">
        <v>59</v>
      </c>
      <c r="M8" s="339" t="inlineStr">
        <is>
          <t>계단식</t>
        </is>
      </c>
      <c r="N8" s="339" t="n">
        <v>3</v>
      </c>
      <c r="O8" s="339" t="n">
        <v>2</v>
      </c>
      <c r="P8" s="339" t="n">
        <v>556</v>
      </c>
      <c r="Q8" s="156" t="n">
        <v>105000</v>
      </c>
      <c r="R8" s="156" t="n">
        <v>50000</v>
      </c>
      <c r="S8" s="477">
        <f>Q8-R8</f>
        <v/>
      </c>
      <c r="T8" s="71">
        <f>R8/Q8</f>
        <v/>
      </c>
    </row>
    <row r="9">
      <c r="A9" s="339" t="inlineStr">
        <is>
          <t>대연동</t>
        </is>
      </c>
      <c r="D9" s="339" t="n">
        <v>105323</v>
      </c>
      <c r="E9" s="113" t="inlineStr">
        <is>
          <t>대연힐스테이트푸르지오</t>
        </is>
      </c>
      <c r="F9" s="339" t="n">
        <v>2013.05</v>
      </c>
      <c r="G9" s="339" t="n">
        <v>2100</v>
      </c>
      <c r="H9" s="339">
        <f>2026-F9+1</f>
        <v/>
      </c>
      <c r="K9" s="339" t="n">
        <v>84</v>
      </c>
      <c r="M9" s="339" t="inlineStr">
        <is>
          <t>계단식</t>
        </is>
      </c>
      <c r="N9" s="339" t="n">
        <v>3</v>
      </c>
      <c r="O9" s="339" t="n">
        <v>2</v>
      </c>
      <c r="P9" s="339" t="n">
        <v>1060</v>
      </c>
      <c r="Q9" s="156" t="n">
        <v>95000</v>
      </c>
      <c r="R9" s="156" t="n">
        <v>55000</v>
      </c>
      <c r="S9" s="477">
        <f>Q9-R9</f>
        <v/>
      </c>
      <c r="T9" s="71">
        <f>R9/Q9</f>
        <v/>
      </c>
      <c r="U9" s="339" t="n">
        <v>111000</v>
      </c>
      <c r="V9" s="339" t="n">
        <v>61500</v>
      </c>
    </row>
    <row r="10">
      <c r="A10" s="132" t="inlineStr">
        <is>
          <t>대연동</t>
        </is>
      </c>
      <c r="B10" s="133" t="n"/>
      <c r="C10" s="133" t="n"/>
      <c r="D10" s="132" t="n">
        <v>110738</v>
      </c>
      <c r="E10" s="154" t="inlineStr">
        <is>
          <t>대연SK뷰힐스</t>
        </is>
      </c>
      <c r="F10" s="132" t="n">
        <v>2018.07</v>
      </c>
      <c r="G10" s="132" t="n">
        <v>994</v>
      </c>
      <c r="H10" s="132">
        <f>2026-F10+1</f>
        <v/>
      </c>
      <c r="I10" s="133" t="n"/>
      <c r="J10" s="133" t="n"/>
      <c r="K10" s="132" t="n">
        <v>84</v>
      </c>
      <c r="L10" s="133" t="n"/>
      <c r="M10" s="132" t="inlineStr">
        <is>
          <t>계단식</t>
        </is>
      </c>
      <c r="N10" s="132" t="n">
        <v>3</v>
      </c>
      <c r="O10" s="132" t="n">
        <v>2</v>
      </c>
      <c r="P10" s="132" t="n">
        <v>614</v>
      </c>
      <c r="Q10" s="160" t="n">
        <v>92000</v>
      </c>
      <c r="R10" s="160" t="n">
        <v>50000</v>
      </c>
      <c r="S10" s="477">
        <f>Q10-R10</f>
        <v/>
      </c>
      <c r="T10" s="71">
        <f>R10/Q10</f>
        <v/>
      </c>
      <c r="U10" s="133" t="n">
        <v>96000</v>
      </c>
      <c r="V10" s="133" t="n">
        <v>43600</v>
      </c>
      <c r="AA10" s="133" t="n"/>
      <c r="AB10" s="133" t="n"/>
      <c r="AC10" s="133" t="n"/>
      <c r="AD10" s="133" t="n"/>
      <c r="AE10" s="133" t="n"/>
      <c r="AF10" s="133" t="n"/>
      <c r="AG10" s="133" t="n"/>
      <c r="AK10" s="133" t="n"/>
      <c r="AL10" s="133" t="n"/>
      <c r="AM10" s="133" t="n"/>
      <c r="AN10" s="133" t="n"/>
      <c r="AV10" s="133" t="n"/>
    </row>
    <row r="11">
      <c r="A11" s="339" t="inlineStr">
        <is>
          <t>대연동</t>
        </is>
      </c>
      <c r="B11" s="164" t="n"/>
      <c r="C11" s="164" t="n"/>
      <c r="D11" s="339" t="n">
        <v>113686</v>
      </c>
      <c r="E11" s="113" t="inlineStr">
        <is>
          <t>대연자이</t>
        </is>
      </c>
      <c r="F11" s="339" t="n">
        <v>2019.03</v>
      </c>
      <c r="G11" s="339" t="n">
        <v>965</v>
      </c>
      <c r="H11" s="339">
        <f>2026-F11+1</f>
        <v/>
      </c>
      <c r="K11" s="339" t="n">
        <v>84</v>
      </c>
      <c r="M11" s="339" t="inlineStr">
        <is>
          <t>계단식</t>
        </is>
      </c>
      <c r="N11" s="339" t="n">
        <v>4</v>
      </c>
      <c r="O11" s="339" t="n">
        <v>2</v>
      </c>
      <c r="P11" s="339" t="n">
        <v>160</v>
      </c>
      <c r="Q11" s="156" t="n">
        <v>90000</v>
      </c>
      <c r="R11" s="156" t="n">
        <v>43500</v>
      </c>
      <c r="S11" s="477">
        <f>Q11-R11</f>
        <v/>
      </c>
      <c r="T11" s="71">
        <f>R11/Q11</f>
        <v/>
      </c>
      <c r="U11" s="339" t="n">
        <v>107200</v>
      </c>
      <c r="V11" s="339" t="n">
        <v>73500</v>
      </c>
      <c r="AM11" s="357" t="n"/>
    </row>
    <row r="12">
      <c r="A12" s="132" t="inlineStr">
        <is>
          <t>용호동</t>
        </is>
      </c>
      <c r="B12" s="133" t="n"/>
      <c r="C12" s="133" t="n"/>
      <c r="D12" s="132" t="n">
        <v>22443</v>
      </c>
      <c r="E12" s="135" t="inlineStr">
        <is>
          <t>GS하이츠자이</t>
        </is>
      </c>
      <c r="F12" s="132" t="n">
        <v>2008.04</v>
      </c>
      <c r="G12" s="132" t="n">
        <v>1149</v>
      </c>
      <c r="H12" s="132">
        <f>2026-F12+1</f>
        <v/>
      </c>
      <c r="I12" s="133" t="n"/>
      <c r="J12" s="133" t="n"/>
      <c r="K12" s="132" t="n">
        <v>84</v>
      </c>
      <c r="L12" s="133" t="n"/>
      <c r="M12" s="132" t="inlineStr">
        <is>
          <t>계단식</t>
        </is>
      </c>
      <c r="N12" s="132" t="n">
        <v>3</v>
      </c>
      <c r="O12" s="132" t="n">
        <v>2</v>
      </c>
      <c r="P12" s="132" t="n">
        <v>290</v>
      </c>
      <c r="Q12" s="160" t="n">
        <v>87000</v>
      </c>
      <c r="R12" s="160" t="n">
        <v>50000</v>
      </c>
      <c r="S12" s="477">
        <f>Q12-R12</f>
        <v/>
      </c>
      <c r="T12" s="71">
        <f>R12/Q12</f>
        <v/>
      </c>
      <c r="U12" s="133" t="n">
        <v>99000</v>
      </c>
      <c r="V12" s="133" t="n">
        <v>70000</v>
      </c>
      <c r="AA12" s="133" t="n"/>
      <c r="AB12" s="133" t="n"/>
      <c r="AC12" s="133" t="n"/>
      <c r="AD12" s="133" t="n"/>
      <c r="AE12" s="133" t="n"/>
      <c r="AF12" s="133" t="n"/>
      <c r="AG12" s="133" t="n"/>
      <c r="AK12" s="133" t="n"/>
      <c r="AL12" s="133" t="n"/>
      <c r="AM12" s="133" t="n"/>
      <c r="AN12" s="133" t="n"/>
      <c r="AV12" s="133" t="n"/>
    </row>
    <row r="13">
      <c r="A13" s="132" t="inlineStr">
        <is>
          <t>대연동</t>
        </is>
      </c>
      <c r="B13" s="88" t="n"/>
      <c r="C13" s="89" t="n"/>
      <c r="D13" s="132" t="n">
        <v>110738</v>
      </c>
      <c r="E13" s="154" t="inlineStr">
        <is>
          <t>대연SK뷰힐스</t>
        </is>
      </c>
      <c r="F13" s="132" t="n">
        <v>2018.07</v>
      </c>
      <c r="G13" s="132" t="n">
        <v>994</v>
      </c>
      <c r="H13" s="132">
        <f>2026-F13+1</f>
        <v/>
      </c>
      <c r="I13" s="133" t="n"/>
      <c r="J13" s="132" t="n">
        <v>98</v>
      </c>
      <c r="K13" s="132" t="n">
        <v>74</v>
      </c>
      <c r="L13" s="132" t="n">
        <v>30</v>
      </c>
      <c r="M13" s="132" t="inlineStr">
        <is>
          <t>계단식</t>
        </is>
      </c>
      <c r="N13" s="132" t="n">
        <v>3</v>
      </c>
      <c r="O13" s="132" t="n">
        <v>2</v>
      </c>
      <c r="P13" s="132" t="n">
        <v>72</v>
      </c>
      <c r="Q13" s="160" t="n">
        <v>84000</v>
      </c>
      <c r="R13" s="160" t="n">
        <v>45000</v>
      </c>
      <c r="S13" s="477">
        <f>Q13-R13</f>
        <v/>
      </c>
      <c r="T13" s="71">
        <f>R13/Q13</f>
        <v/>
      </c>
      <c r="U13" s="133" t="n">
        <v>72700</v>
      </c>
      <c r="V13" s="133" t="n">
        <v>39000</v>
      </c>
      <c r="AA13" s="133" t="n"/>
      <c r="AB13" s="133" t="n"/>
      <c r="AC13" s="133" t="n"/>
      <c r="AD13" s="133" t="n"/>
      <c r="AE13" s="133" t="n"/>
      <c r="AF13" s="133" t="n"/>
      <c r="AG13" s="133" t="n"/>
      <c r="AK13" s="133" t="n"/>
      <c r="AL13" s="133" t="n"/>
      <c r="AM13" s="88" t="n"/>
      <c r="AN13" s="133" t="n"/>
      <c r="AV13" s="133" t="n"/>
    </row>
    <row r="14">
      <c r="A14" s="339" t="inlineStr">
        <is>
          <t>대연동</t>
        </is>
      </c>
      <c r="D14" s="339" t="n">
        <v>145347</v>
      </c>
      <c r="E14" s="113" t="inlineStr">
        <is>
          <t>힐스테이트대연센트럴</t>
        </is>
      </c>
      <c r="F14" s="339" t="n">
        <v>2024.05</v>
      </c>
      <c r="G14" s="339" t="n">
        <v>449</v>
      </c>
      <c r="H14" s="339">
        <f>2026-F14+1</f>
        <v/>
      </c>
      <c r="K14" s="339" t="n">
        <v>84</v>
      </c>
      <c r="M14" s="339" t="inlineStr">
        <is>
          <t>계단식</t>
        </is>
      </c>
      <c r="N14" s="339" t="n">
        <v>3</v>
      </c>
      <c r="O14" s="339" t="n">
        <v>2</v>
      </c>
      <c r="P14" s="339" t="n">
        <v>109</v>
      </c>
      <c r="Q14" s="156" t="n">
        <v>82500</v>
      </c>
      <c r="R14" s="156" t="n">
        <v>52500</v>
      </c>
      <c r="S14" s="477">
        <f>Q14-R14</f>
        <v/>
      </c>
      <c r="T14" s="71">
        <f>R14/Q14</f>
        <v/>
      </c>
    </row>
    <row r="15">
      <c r="A15" s="339" t="inlineStr">
        <is>
          <t>대연동</t>
        </is>
      </c>
      <c r="B15" s="164" t="n"/>
      <c r="C15" s="164" t="n"/>
      <c r="D15" s="339" t="n">
        <v>113686</v>
      </c>
      <c r="E15" s="113" t="inlineStr">
        <is>
          <t>대연자이</t>
        </is>
      </c>
      <c r="F15" s="339" t="n">
        <v>2019.03</v>
      </c>
      <c r="G15" s="339" t="n">
        <v>965</v>
      </c>
      <c r="H15" s="339">
        <f>2026-F15+1</f>
        <v/>
      </c>
      <c r="J15" s="339" t="n">
        <v>95</v>
      </c>
      <c r="K15" s="339" t="n">
        <v>72</v>
      </c>
      <c r="L15" s="339" t="n">
        <v>29</v>
      </c>
      <c r="M15" s="339" t="inlineStr">
        <is>
          <t>계단식</t>
        </is>
      </c>
      <c r="N15" s="339" t="n">
        <v>3</v>
      </c>
      <c r="O15" s="339" t="n">
        <v>2</v>
      </c>
      <c r="P15" s="339" t="n">
        <v>54</v>
      </c>
      <c r="Q15" s="156" t="n">
        <v>82000</v>
      </c>
      <c r="R15" s="156" t="n">
        <v>43000</v>
      </c>
      <c r="S15" s="477">
        <f>Q15-R15</f>
        <v/>
      </c>
      <c r="T15" s="71">
        <f>R15/Q15</f>
        <v/>
      </c>
      <c r="U15" s="339" t="n">
        <v>90500</v>
      </c>
      <c r="V15" s="339" t="n">
        <v>65000</v>
      </c>
      <c r="AM15" s="357" t="n"/>
    </row>
    <row r="16">
      <c r="A16" s="339" t="inlineStr">
        <is>
          <t>대연동</t>
        </is>
      </c>
      <c r="B16" s="164" t="n"/>
      <c r="C16" s="164" t="n"/>
      <c r="D16" s="339" t="n">
        <v>105323</v>
      </c>
      <c r="E16" s="150" t="inlineStr">
        <is>
          <t>대연힐스테이트푸르지오</t>
        </is>
      </c>
      <c r="F16" s="339" t="n">
        <v>2013.05</v>
      </c>
      <c r="G16" s="339" t="n">
        <v>2100</v>
      </c>
      <c r="H16" s="339">
        <f>2026-F16+1</f>
        <v/>
      </c>
      <c r="J16" s="339" t="n">
        <v>80</v>
      </c>
      <c r="K16" s="339" t="n">
        <v>59</v>
      </c>
      <c r="L16" s="339" t="n">
        <v>24</v>
      </c>
      <c r="M16" s="339" t="inlineStr">
        <is>
          <t>계단식</t>
        </is>
      </c>
      <c r="N16" s="339" t="n">
        <v>3</v>
      </c>
      <c r="O16" s="339" t="n">
        <v>2</v>
      </c>
      <c r="P16" s="339" t="n">
        <v>93</v>
      </c>
      <c r="Q16" s="156" t="n">
        <v>79000</v>
      </c>
      <c r="R16" s="156" t="n">
        <v>39000</v>
      </c>
      <c r="S16" s="477">
        <f>Q16-R16</f>
        <v/>
      </c>
      <c r="T16" s="71">
        <f>R16/Q16</f>
        <v/>
      </c>
      <c r="U16" s="339" t="n">
        <v>75100</v>
      </c>
      <c r="V16" s="339" t="n">
        <v>58000</v>
      </c>
      <c r="AM16" s="357" t="n"/>
    </row>
    <row r="17">
      <c r="A17" s="339" t="inlineStr">
        <is>
          <t>대연동</t>
        </is>
      </c>
      <c r="B17" s="164" t="n"/>
      <c r="C17" s="164" t="n"/>
      <c r="D17" s="339" t="n">
        <v>145347</v>
      </c>
      <c r="E17" s="113" t="inlineStr">
        <is>
          <t>힐스테이트대연센트럴</t>
        </is>
      </c>
      <c r="F17" s="339" t="n">
        <v>2024.05</v>
      </c>
      <c r="G17" s="339" t="n">
        <v>449</v>
      </c>
      <c r="H17" s="339">
        <f>2026-F17+1</f>
        <v/>
      </c>
      <c r="K17" s="339" t="n">
        <v>74</v>
      </c>
      <c r="M17" s="339" t="inlineStr">
        <is>
          <t>계단식</t>
        </is>
      </c>
      <c r="N17" s="339" t="n">
        <v>3</v>
      </c>
      <c r="O17" s="339" t="n">
        <v>2</v>
      </c>
      <c r="P17" s="339" t="n">
        <v>177</v>
      </c>
      <c r="Q17" s="156" t="n">
        <v>77000</v>
      </c>
      <c r="R17" s="156" t="n">
        <v>42000</v>
      </c>
      <c r="S17" s="477">
        <f>Q17-R17</f>
        <v/>
      </c>
      <c r="T17" s="71">
        <f>R17/Q17</f>
        <v/>
      </c>
      <c r="AM17" s="357" t="n"/>
    </row>
    <row r="18">
      <c r="A18" s="339" t="inlineStr">
        <is>
          <t>문현동</t>
        </is>
      </c>
      <c r="B18" s="164" t="n"/>
      <c r="C18" s="164" t="n"/>
      <c r="D18" s="339" t="n">
        <v>114815</v>
      </c>
      <c r="E18" s="113" t="inlineStr">
        <is>
          <t>문현경동리인1단지</t>
        </is>
      </c>
      <c r="F18" s="339" t="n">
        <v>2020.07</v>
      </c>
      <c r="G18" s="339" t="n">
        <v>469</v>
      </c>
      <c r="H18" s="339">
        <f>2026-F18+1</f>
        <v/>
      </c>
      <c r="K18" s="339" t="n">
        <v>84</v>
      </c>
      <c r="M18" s="339" t="inlineStr">
        <is>
          <t>계단식</t>
        </is>
      </c>
      <c r="N18" s="339" t="n">
        <v>3</v>
      </c>
      <c r="O18" s="339" t="n">
        <v>2</v>
      </c>
      <c r="P18" s="339" t="n">
        <v>182</v>
      </c>
      <c r="Q18" s="156" t="n">
        <v>75000</v>
      </c>
      <c r="R18" s="156" t="n">
        <v>34000</v>
      </c>
      <c r="S18" s="477">
        <f>Q18-R18</f>
        <v/>
      </c>
      <c r="T18" s="71">
        <f>R18/Q18</f>
        <v/>
      </c>
      <c r="U18" s="339" t="n">
        <v>69300</v>
      </c>
      <c r="V18" s="339" t="n">
        <v>42700</v>
      </c>
      <c r="AM18" s="357" t="n"/>
    </row>
    <row r="19">
      <c r="A19" s="132" t="inlineStr">
        <is>
          <t>대연동</t>
        </is>
      </c>
      <c r="B19" s="133" t="n"/>
      <c r="C19" s="133" t="n"/>
      <c r="D19" s="132" t="n">
        <v>110738</v>
      </c>
      <c r="E19" s="135" t="inlineStr">
        <is>
          <t>대연SK뷰힐스</t>
        </is>
      </c>
      <c r="F19" s="132" t="n">
        <v>2018.07</v>
      </c>
      <c r="G19" s="132" t="n">
        <v>994</v>
      </c>
      <c r="H19" s="132">
        <f>2026-F19+1</f>
        <v/>
      </c>
      <c r="I19" s="133" t="n"/>
      <c r="J19" s="133" t="n"/>
      <c r="K19" s="132" t="n">
        <v>59</v>
      </c>
      <c r="L19" s="133" t="n"/>
      <c r="M19" s="132" t="inlineStr">
        <is>
          <t>계단식</t>
        </is>
      </c>
      <c r="N19" s="132" t="n">
        <v>3</v>
      </c>
      <c r="O19" s="132" t="n">
        <v>2</v>
      </c>
      <c r="P19" s="132" t="n">
        <v>226</v>
      </c>
      <c r="Q19" s="160" t="n">
        <v>73000</v>
      </c>
      <c r="R19" s="160" t="n">
        <v>38000</v>
      </c>
      <c r="S19" s="477">
        <f>Q19-R19</f>
        <v/>
      </c>
      <c r="T19" s="71">
        <f>R19/Q19</f>
        <v/>
      </c>
      <c r="U19" s="133" t="n">
        <v>71900</v>
      </c>
      <c r="V19" s="133" t="n">
        <v>44000</v>
      </c>
      <c r="AA19" s="133" t="n"/>
      <c r="AB19" s="133" t="n"/>
      <c r="AC19" s="133" t="n"/>
      <c r="AD19" s="133" t="n"/>
      <c r="AE19" s="133" t="n"/>
      <c r="AF19" s="133" t="n"/>
      <c r="AG19" s="133" t="n"/>
      <c r="AK19" s="133" t="n"/>
      <c r="AL19" s="133" t="n"/>
      <c r="AM19" s="133" t="n"/>
      <c r="AN19" s="133" t="n"/>
      <c r="AV19" s="133" t="n"/>
    </row>
    <row r="20">
      <c r="A20" s="339" t="inlineStr">
        <is>
          <t>대연동</t>
        </is>
      </c>
      <c r="D20" s="339" t="n">
        <v>133976</v>
      </c>
      <c r="E20" s="113" t="inlineStr">
        <is>
          <t>대연푸르지오클라센트</t>
        </is>
      </c>
      <c r="F20" s="339" t="n">
        <v>2024.08</v>
      </c>
      <c r="G20" s="339" t="n">
        <v>1057</v>
      </c>
      <c r="H20" s="339">
        <f>2026-F20+1</f>
        <v/>
      </c>
      <c r="K20" s="339" t="n">
        <v>84</v>
      </c>
      <c r="M20" s="339" t="inlineStr">
        <is>
          <t>계단식</t>
        </is>
      </c>
      <c r="N20" s="339" t="n">
        <v>4</v>
      </c>
      <c r="O20" s="339" t="n">
        <v>2</v>
      </c>
      <c r="P20" s="339" t="n">
        <v>175</v>
      </c>
      <c r="Q20" s="156" t="n">
        <v>72000</v>
      </c>
      <c r="R20" s="156" t="n">
        <v>45000</v>
      </c>
      <c r="S20" s="477">
        <f>Q20-R20</f>
        <v/>
      </c>
      <c r="T20" s="71">
        <f>R20/Q20</f>
        <v/>
      </c>
    </row>
    <row r="21">
      <c r="A21" s="339" t="inlineStr">
        <is>
          <t>대연동</t>
        </is>
      </c>
      <c r="D21" s="339" t="n">
        <v>109359</v>
      </c>
      <c r="E21" s="113" t="inlineStr">
        <is>
          <t>대연롯데캐슬레전드</t>
        </is>
      </c>
      <c r="F21" s="339" t="n">
        <v>2018.02</v>
      </c>
      <c r="G21" s="339" t="n">
        <v>3149</v>
      </c>
      <c r="H21" s="339">
        <f>2026-F21+1</f>
        <v/>
      </c>
      <c r="K21" s="339" t="n">
        <v>84</v>
      </c>
      <c r="M21" s="339" t="inlineStr">
        <is>
          <t>계단식</t>
        </is>
      </c>
      <c r="N21" s="339" t="n">
        <v>3</v>
      </c>
      <c r="O21" s="339" t="n">
        <v>2</v>
      </c>
      <c r="P21" s="339" t="n">
        <v>1634</v>
      </c>
      <c r="Q21" s="156" t="n">
        <v>71000</v>
      </c>
      <c r="R21" s="156" t="n">
        <v>48000</v>
      </c>
      <c r="S21" s="477">
        <f>Q21-R21</f>
        <v/>
      </c>
      <c r="T21" s="71">
        <f>R21/Q21</f>
        <v/>
      </c>
      <c r="U21" s="339" t="n">
        <v>96000</v>
      </c>
      <c r="V21" s="339" t="n">
        <v>43600</v>
      </c>
    </row>
    <row r="22">
      <c r="A22" s="132" t="inlineStr">
        <is>
          <t>대연동</t>
        </is>
      </c>
      <c r="B22" s="88" t="n"/>
      <c r="C22" s="89" t="n"/>
      <c r="D22" s="132" t="n">
        <v>9861</v>
      </c>
      <c r="E22" s="154" t="inlineStr">
        <is>
          <t>대연푸르지오</t>
        </is>
      </c>
      <c r="F22" s="132" t="n">
        <v>2005.01</v>
      </c>
      <c r="G22" s="132" t="n">
        <v>678</v>
      </c>
      <c r="H22" s="132">
        <f>2026-F22+1</f>
        <v/>
      </c>
      <c r="I22" s="133" t="n"/>
      <c r="J22" s="132" t="n">
        <v>107</v>
      </c>
      <c r="K22" s="132" t="n">
        <v>84</v>
      </c>
      <c r="L22" s="132" t="n">
        <v>32</v>
      </c>
      <c r="M22" s="132" t="inlineStr">
        <is>
          <t>계단식</t>
        </is>
      </c>
      <c r="N22" s="132" t="n">
        <v>3</v>
      </c>
      <c r="O22" s="132" t="n">
        <v>2</v>
      </c>
      <c r="P22" s="132" t="n">
        <v>100</v>
      </c>
      <c r="Q22" s="160" t="n">
        <v>71000</v>
      </c>
      <c r="R22" s="160" t="n">
        <v>40000</v>
      </c>
      <c r="S22" s="477">
        <f>Q22-R22</f>
        <v/>
      </c>
      <c r="T22" s="71">
        <f>R22/Q22</f>
        <v/>
      </c>
      <c r="U22" s="133" t="n">
        <v>43500</v>
      </c>
      <c r="V22" s="133" t="n">
        <v>28000</v>
      </c>
      <c r="AA22" s="133" t="n"/>
      <c r="AB22" s="133" t="n"/>
      <c r="AC22" s="133" t="n"/>
      <c r="AD22" s="133" t="n"/>
      <c r="AE22" s="133" t="n"/>
      <c r="AF22" s="133" t="n"/>
      <c r="AG22" s="133" t="n"/>
      <c r="AK22" s="133" t="n"/>
      <c r="AL22" s="133" t="n"/>
      <c r="AM22" s="88" t="n"/>
      <c r="AN22" s="133" t="n"/>
      <c r="AV22" s="133" t="n"/>
    </row>
    <row r="23">
      <c r="A23" s="132" t="inlineStr">
        <is>
          <t>대연동</t>
        </is>
      </c>
      <c r="B23" s="88" t="n"/>
      <c r="C23" s="89" t="n"/>
      <c r="D23" s="132" t="n">
        <v>104716</v>
      </c>
      <c r="E23" s="154" t="inlineStr">
        <is>
          <t>대연롯데캐슬</t>
        </is>
      </c>
      <c r="F23" s="132" t="n">
        <v>2015.01</v>
      </c>
      <c r="G23" s="132" t="n">
        <v>564</v>
      </c>
      <c r="H23" s="132">
        <f>2026-F23+1</f>
        <v/>
      </c>
      <c r="I23" s="133" t="n"/>
      <c r="J23" s="133" t="n"/>
      <c r="K23" s="132" t="n">
        <v>84</v>
      </c>
      <c r="L23" s="133" t="n"/>
      <c r="M23" s="132" t="inlineStr">
        <is>
          <t>계단식</t>
        </is>
      </c>
      <c r="N23" s="132" t="n">
        <v>3</v>
      </c>
      <c r="O23" s="132" t="n">
        <v>2</v>
      </c>
      <c r="P23" s="132" t="n">
        <v>300</v>
      </c>
      <c r="Q23" s="160" t="n">
        <v>69000</v>
      </c>
      <c r="R23" s="160" t="n">
        <v>55000</v>
      </c>
      <c r="S23" s="477">
        <f>Q23-R23</f>
        <v/>
      </c>
      <c r="T23" s="71">
        <f>R23/Q23</f>
        <v/>
      </c>
      <c r="U23" s="133" t="n">
        <v>86000</v>
      </c>
      <c r="V23" s="133" t="n">
        <v>58000</v>
      </c>
      <c r="AA23" s="133" t="n"/>
      <c r="AB23" s="133" t="n"/>
      <c r="AC23" s="133" t="n"/>
      <c r="AD23" s="133" t="n"/>
      <c r="AE23" s="133" t="n"/>
      <c r="AF23" s="133" t="n"/>
      <c r="AG23" s="133" t="n"/>
      <c r="AK23" s="133" t="n"/>
      <c r="AL23" s="133" t="n"/>
      <c r="AM23" s="88" t="n"/>
      <c r="AN23" s="133" t="n"/>
      <c r="AV23" s="133" t="n"/>
    </row>
    <row r="24">
      <c r="A24" s="339" t="inlineStr">
        <is>
          <t>대연동</t>
        </is>
      </c>
      <c r="D24" s="339" t="n">
        <v>145347</v>
      </c>
      <c r="E24" s="113" t="inlineStr">
        <is>
          <t>힐스테이트대연센트럴</t>
        </is>
      </c>
      <c r="F24" s="339" t="n">
        <v>2024.05</v>
      </c>
      <c r="G24" s="339" t="n">
        <v>449</v>
      </c>
      <c r="H24" s="339">
        <f>2026-F24+1</f>
        <v/>
      </c>
      <c r="J24" s="339" t="n">
        <v>82</v>
      </c>
      <c r="K24" s="339" t="n">
        <v>59</v>
      </c>
      <c r="L24" s="339" t="n">
        <v>25</v>
      </c>
      <c r="M24" s="339" t="inlineStr">
        <is>
          <t>계단식</t>
        </is>
      </c>
      <c r="N24" s="339" t="n">
        <v>3</v>
      </c>
      <c r="O24" s="339" t="n">
        <v>2</v>
      </c>
      <c r="P24" s="339" t="n">
        <v>163</v>
      </c>
      <c r="Q24" s="156" t="n">
        <v>69000</v>
      </c>
      <c r="R24" s="156" t="n">
        <v>37000</v>
      </c>
      <c r="S24" s="477">
        <f>Q24-R24</f>
        <v/>
      </c>
      <c r="T24" s="71">
        <f>R24/Q24</f>
        <v/>
      </c>
      <c r="V24" s="339" t="n">
        <v>42945</v>
      </c>
    </row>
    <row r="25">
      <c r="A25" s="339" t="inlineStr">
        <is>
          <t>대연동</t>
        </is>
      </c>
      <c r="D25" s="339" t="n">
        <v>113686</v>
      </c>
      <c r="E25" s="113" t="inlineStr">
        <is>
          <t>대연자이</t>
        </is>
      </c>
      <c r="F25" s="339" t="n">
        <v>2019.03</v>
      </c>
      <c r="G25" s="339" t="n">
        <v>965</v>
      </c>
      <c r="H25" s="339">
        <f>2026-F25+1</f>
        <v/>
      </c>
      <c r="K25" s="339" t="n">
        <v>59</v>
      </c>
      <c r="M25" s="339" t="inlineStr">
        <is>
          <t>계단식</t>
        </is>
      </c>
      <c r="N25" s="339" t="n">
        <v>3</v>
      </c>
      <c r="O25" s="339" t="n">
        <v>2</v>
      </c>
      <c r="P25" s="339" t="n">
        <v>509</v>
      </c>
      <c r="Q25" s="156" t="n">
        <v>67000</v>
      </c>
      <c r="R25" s="156" t="n">
        <v>38000</v>
      </c>
      <c r="S25" s="477">
        <f>Q25-R25</f>
        <v/>
      </c>
      <c r="T25" s="71">
        <f>R25/Q25</f>
        <v/>
      </c>
      <c r="U25" s="339" t="n">
        <v>80000</v>
      </c>
      <c r="V25" s="339" t="n">
        <v>47500</v>
      </c>
    </row>
    <row r="26">
      <c r="A26" s="132" t="inlineStr">
        <is>
          <t>대연동</t>
        </is>
      </c>
      <c r="B26" s="88" t="n"/>
      <c r="C26" s="89" t="n"/>
      <c r="D26" s="132" t="n">
        <v>104716</v>
      </c>
      <c r="E26" s="135" t="inlineStr">
        <is>
          <t>대연롯데캐슬</t>
        </is>
      </c>
      <c r="F26" s="132" t="n">
        <v>2015.01</v>
      </c>
      <c r="G26" s="132" t="n">
        <v>564</v>
      </c>
      <c r="H26" s="132">
        <f>2026-F26+1</f>
        <v/>
      </c>
      <c r="I26" s="133" t="n"/>
      <c r="J26" s="132" t="n">
        <v>84</v>
      </c>
      <c r="K26" s="132" t="n">
        <v>59</v>
      </c>
      <c r="L26" s="132" t="n">
        <v>25</v>
      </c>
      <c r="M26" s="132" t="inlineStr">
        <is>
          <t>계단식</t>
        </is>
      </c>
      <c r="N26" s="132" t="n">
        <v>3</v>
      </c>
      <c r="O26" s="132" t="n">
        <v>2</v>
      </c>
      <c r="P26" s="132" t="n">
        <v>42</v>
      </c>
      <c r="Q26" s="160" t="n">
        <v>64800</v>
      </c>
      <c r="R26" s="160" t="n">
        <v>34000</v>
      </c>
      <c r="S26" s="477">
        <f>Q26-R26</f>
        <v/>
      </c>
      <c r="T26" s="71">
        <f>R26/Q26</f>
        <v/>
      </c>
      <c r="U26" s="133" t="n">
        <v>70000</v>
      </c>
      <c r="V26" s="133" t="n">
        <v>47800</v>
      </c>
      <c r="AA26" s="133" t="n"/>
      <c r="AB26" s="133" t="n"/>
      <c r="AC26" s="133" t="n"/>
      <c r="AD26" s="133" t="n"/>
      <c r="AE26" s="133" t="n"/>
      <c r="AF26" s="133" t="n"/>
      <c r="AG26" s="133" t="n"/>
      <c r="AK26" s="133" t="n"/>
      <c r="AL26" s="133" t="n"/>
      <c r="AM26" s="88" t="n"/>
      <c r="AN26" s="133" t="n"/>
      <c r="AV26" s="133" t="n"/>
    </row>
    <row r="27">
      <c r="A27" s="339" t="inlineStr">
        <is>
          <t>대연동</t>
        </is>
      </c>
      <c r="D27" s="339" t="n">
        <v>109359</v>
      </c>
      <c r="E27" s="113" t="inlineStr">
        <is>
          <t>대연롯데캐슬레전드</t>
        </is>
      </c>
      <c r="F27" s="339" t="n">
        <v>2018.02</v>
      </c>
      <c r="G27" s="339" t="n">
        <v>3149</v>
      </c>
      <c r="H27" s="339">
        <f>2026-F27+1</f>
        <v/>
      </c>
      <c r="K27" s="339" t="n">
        <v>59</v>
      </c>
      <c r="M27" s="339" t="inlineStr">
        <is>
          <t>계단식</t>
        </is>
      </c>
      <c r="N27" s="339" t="n">
        <v>3</v>
      </c>
      <c r="O27" s="339" t="n">
        <v>2</v>
      </c>
      <c r="P27" s="339" t="n">
        <v>516</v>
      </c>
      <c r="Q27" s="156" t="n">
        <v>64000</v>
      </c>
      <c r="R27" s="156" t="n">
        <v>40000</v>
      </c>
      <c r="S27" s="477">
        <f>Q27-R27</f>
        <v/>
      </c>
      <c r="T27" s="71">
        <f>R27/Q27</f>
        <v/>
      </c>
      <c r="U27" s="339" t="n">
        <v>71900</v>
      </c>
      <c r="V27" s="339" t="n">
        <v>44000</v>
      </c>
    </row>
    <row r="28">
      <c r="A28" s="339" t="inlineStr">
        <is>
          <t>대연동</t>
        </is>
      </c>
      <c r="D28" s="339" t="n">
        <v>133976</v>
      </c>
      <c r="E28" s="113" t="inlineStr">
        <is>
          <t>대연푸르지오클라센트</t>
        </is>
      </c>
      <c r="F28" s="339" t="n">
        <v>2024.08</v>
      </c>
      <c r="G28" s="339" t="n">
        <v>1057</v>
      </c>
      <c r="H28" s="339">
        <f>2026-F28+1</f>
        <v/>
      </c>
      <c r="K28" s="339" t="n">
        <v>74</v>
      </c>
      <c r="M28" s="339" t="inlineStr">
        <is>
          <t>계단식</t>
        </is>
      </c>
      <c r="N28" s="339" t="n">
        <v>3</v>
      </c>
      <c r="O28" s="339" t="n">
        <v>2</v>
      </c>
      <c r="P28" s="339" t="n">
        <v>379</v>
      </c>
      <c r="Q28" s="156" t="n">
        <v>62000</v>
      </c>
      <c r="R28" s="156" t="n">
        <v>38000</v>
      </c>
      <c r="S28" s="477">
        <f>Q28-R28</f>
        <v/>
      </c>
      <c r="T28" s="71">
        <f>R28/Q28</f>
        <v/>
      </c>
    </row>
    <row r="29">
      <c r="A29" s="132" t="inlineStr">
        <is>
          <t>대연동</t>
        </is>
      </c>
      <c r="B29" s="133" t="n"/>
      <c r="C29" s="133" t="n"/>
      <c r="D29" s="132" t="n">
        <v>10107</v>
      </c>
      <c r="E29" s="154" t="inlineStr">
        <is>
          <t>대연동원로얄듀크2차</t>
        </is>
      </c>
      <c r="F29" s="132" t="n">
        <v>2005.02</v>
      </c>
      <c r="G29" s="132" t="n">
        <v>417</v>
      </c>
      <c r="H29" s="132">
        <f>2026-F29+1</f>
        <v/>
      </c>
      <c r="I29" s="133" t="n"/>
      <c r="J29" s="132" t="n">
        <v>109</v>
      </c>
      <c r="K29" s="132" t="n">
        <v>84</v>
      </c>
      <c r="L29" s="132" t="n">
        <v>33</v>
      </c>
      <c r="M29" s="132" t="inlineStr">
        <is>
          <t>계단식</t>
        </is>
      </c>
      <c r="N29" s="132" t="n">
        <v>3</v>
      </c>
      <c r="O29" s="132" t="n">
        <v>2</v>
      </c>
      <c r="P29" s="132" t="n">
        <v>177</v>
      </c>
      <c r="Q29" s="160" t="n">
        <v>61000</v>
      </c>
      <c r="R29" s="160" t="n">
        <v>31000</v>
      </c>
      <c r="S29" s="477">
        <f>Q29-R29</f>
        <v/>
      </c>
      <c r="T29" s="71">
        <f>R29/Q29</f>
        <v/>
      </c>
      <c r="U29" s="133" t="n">
        <v>70500</v>
      </c>
      <c r="V29" s="133" t="n">
        <v>48500</v>
      </c>
      <c r="AA29" s="133" t="n"/>
      <c r="AB29" s="133" t="n"/>
      <c r="AC29" s="133" t="n"/>
      <c r="AD29" s="133" t="n"/>
      <c r="AE29" s="133" t="n"/>
      <c r="AF29" s="133" t="n"/>
      <c r="AG29" s="133" t="n"/>
      <c r="AK29" s="133" t="n"/>
      <c r="AL29" s="133" t="n"/>
      <c r="AM29" s="133" t="n"/>
      <c r="AN29" s="133" t="n"/>
      <c r="AV29" s="133" t="n"/>
    </row>
    <row r="30">
      <c r="A30" s="132" t="inlineStr">
        <is>
          <t>문현동</t>
        </is>
      </c>
      <c r="B30" s="133" t="n"/>
      <c r="C30" s="133" t="n"/>
      <c r="D30" s="132" t="n">
        <v>112774</v>
      </c>
      <c r="E30" s="154" t="inlineStr">
        <is>
          <t>국제금융시티문현베스티움</t>
        </is>
      </c>
      <c r="F30" s="132" t="n">
        <v>2019.04</v>
      </c>
      <c r="G30" s="132" t="n">
        <v>743</v>
      </c>
      <c r="H30" s="132">
        <f>2026-F30+1</f>
        <v/>
      </c>
      <c r="I30" s="133" t="n"/>
      <c r="J30" s="133" t="n"/>
      <c r="K30" s="132" t="n">
        <v>84</v>
      </c>
      <c r="L30" s="133" t="n"/>
      <c r="M30" s="132" t="inlineStr">
        <is>
          <t>계단식</t>
        </is>
      </c>
      <c r="N30" s="132" t="n">
        <v>3</v>
      </c>
      <c r="O30" s="132" t="n">
        <v>2</v>
      </c>
      <c r="P30" s="132" t="n">
        <v>252</v>
      </c>
      <c r="Q30" s="160" t="n">
        <v>60000</v>
      </c>
      <c r="R30" s="160" t="n">
        <v>39000</v>
      </c>
      <c r="S30" s="477">
        <f>Q30-R30</f>
        <v/>
      </c>
      <c r="T30" s="71">
        <f>R30/Q30</f>
        <v/>
      </c>
      <c r="U30" s="133" t="n">
        <v>80000</v>
      </c>
      <c r="V30" s="133" t="n">
        <v>48500</v>
      </c>
      <c r="AA30" s="133" t="n"/>
      <c r="AB30" s="133" t="n"/>
      <c r="AC30" s="133" t="n"/>
      <c r="AD30" s="133" t="n"/>
      <c r="AE30" s="133" t="n"/>
      <c r="AF30" s="133" t="n"/>
      <c r="AG30" s="133" t="n"/>
      <c r="AK30" s="133" t="n"/>
      <c r="AL30" s="133" t="n"/>
      <c r="AM30" s="133" t="n"/>
      <c r="AN30" s="133" t="n"/>
      <c r="AV30" s="133" t="n"/>
    </row>
    <row r="31">
      <c r="A31" s="132" t="inlineStr">
        <is>
          <t>문현동</t>
        </is>
      </c>
      <c r="B31" s="133" t="n"/>
      <c r="C31" s="133" t="n"/>
      <c r="D31" s="132" t="n">
        <v>125376</v>
      </c>
      <c r="E31" s="154" t="inlineStr">
        <is>
          <t>대연양우내안애퍼스트</t>
        </is>
      </c>
      <c r="F31" s="132" t="n">
        <v>2022.02</v>
      </c>
      <c r="G31" s="132" t="n">
        <v>560</v>
      </c>
      <c r="H31" s="132">
        <f>2026-F31+1</f>
        <v/>
      </c>
      <c r="I31" s="133" t="n"/>
      <c r="J31" s="133" t="n"/>
      <c r="K31" s="132" t="n">
        <v>84</v>
      </c>
      <c r="L31" s="133" t="n"/>
      <c r="M31" s="132" t="inlineStr">
        <is>
          <t>계단식</t>
        </is>
      </c>
      <c r="N31" s="132" t="n">
        <v>3</v>
      </c>
      <c r="O31" s="132" t="n">
        <v>2</v>
      </c>
      <c r="P31" s="132" t="n">
        <v>391</v>
      </c>
      <c r="Q31" s="160" t="n">
        <v>60000</v>
      </c>
      <c r="R31" s="160" t="n">
        <v>45000</v>
      </c>
      <c r="S31" s="477">
        <f>Q31-R31</f>
        <v/>
      </c>
      <c r="T31" s="71">
        <f>R31/Q31</f>
        <v/>
      </c>
      <c r="U31" s="133" t="n">
        <v>55908</v>
      </c>
      <c r="V31" s="133" t="n">
        <v>40000</v>
      </c>
      <c r="AA31" s="133" t="n"/>
      <c r="AB31" s="133" t="n"/>
      <c r="AC31" s="133" t="n"/>
      <c r="AD31" s="133" t="n"/>
      <c r="AE31" s="133" t="n"/>
      <c r="AF31" s="133" t="n"/>
      <c r="AG31" s="133" t="n"/>
      <c r="AK31" s="133" t="n"/>
      <c r="AL31" s="133" t="n"/>
      <c r="AM31" s="133" t="n"/>
      <c r="AN31" s="133" t="n"/>
      <c r="AV31" s="133" t="n"/>
    </row>
    <row r="32">
      <c r="A32" s="132" t="inlineStr">
        <is>
          <t>대연동</t>
        </is>
      </c>
      <c r="B32" s="133" t="n"/>
      <c r="C32" s="133" t="n"/>
      <c r="D32" s="132" t="n">
        <v>9861</v>
      </c>
      <c r="E32" s="154" t="inlineStr">
        <is>
          <t>대연푸르지오</t>
        </is>
      </c>
      <c r="F32" s="132" t="n">
        <v>2005.01</v>
      </c>
      <c r="G32" s="132" t="n">
        <v>678</v>
      </c>
      <c r="H32" s="132">
        <f>2026-F32+1</f>
        <v/>
      </c>
      <c r="I32" s="133" t="n"/>
      <c r="J32" s="132" t="n">
        <v>93</v>
      </c>
      <c r="K32" s="132" t="n">
        <v>73</v>
      </c>
      <c r="L32" s="132" t="n">
        <v>28</v>
      </c>
      <c r="M32" s="132" t="inlineStr">
        <is>
          <t>계단식</t>
        </is>
      </c>
      <c r="N32" s="132" t="n">
        <v>3</v>
      </c>
      <c r="O32" s="132" t="n">
        <v>2</v>
      </c>
      <c r="P32" s="132" t="n">
        <v>98</v>
      </c>
      <c r="Q32" s="160" t="n">
        <v>58000</v>
      </c>
      <c r="R32" s="160" t="n">
        <v>42000</v>
      </c>
      <c r="S32" s="477">
        <f>Q32-R32</f>
        <v/>
      </c>
      <c r="T32" s="71">
        <f>R32/Q32</f>
        <v/>
      </c>
      <c r="U32" s="133" t="n">
        <v>72500</v>
      </c>
      <c r="V32" s="133" t="n">
        <v>53000</v>
      </c>
      <c r="AA32" s="133" t="n"/>
      <c r="AB32" s="133" t="n"/>
      <c r="AC32" s="133" t="n"/>
      <c r="AD32" s="133" t="n"/>
      <c r="AE32" s="133" t="n"/>
      <c r="AF32" s="133" t="n"/>
      <c r="AG32" s="133" t="n"/>
      <c r="AK32" s="133" t="n"/>
      <c r="AL32" s="133" t="n"/>
      <c r="AM32" s="133" t="n"/>
      <c r="AN32" s="133" t="n"/>
      <c r="AV32" s="133" t="n"/>
    </row>
    <row r="33">
      <c r="A33" s="339" t="inlineStr">
        <is>
          <t>대연동</t>
        </is>
      </c>
      <c r="B33" s="164" t="n"/>
      <c r="C33" s="164" t="n"/>
      <c r="D33" s="339" t="n">
        <v>133976</v>
      </c>
      <c r="E33" s="113" t="inlineStr">
        <is>
          <t>대연푸르지오클라센트</t>
        </is>
      </c>
      <c r="F33" s="339" t="n">
        <v>2024.08</v>
      </c>
      <c r="G33" s="339" t="n">
        <v>1057</v>
      </c>
      <c r="H33" s="339">
        <f>2026-F33+1</f>
        <v/>
      </c>
      <c r="K33" s="339" t="n">
        <v>59</v>
      </c>
      <c r="M33" s="339" t="inlineStr">
        <is>
          <t>계단식</t>
        </is>
      </c>
      <c r="N33" s="339" t="n">
        <v>3</v>
      </c>
      <c r="O33" s="339" t="n">
        <v>2</v>
      </c>
      <c r="P33" s="339" t="n">
        <v>270</v>
      </c>
      <c r="Q33" s="156" t="n">
        <v>56000</v>
      </c>
      <c r="R33" s="156" t="n">
        <v>36000</v>
      </c>
      <c r="S33" s="477">
        <f>Q33-R33</f>
        <v/>
      </c>
      <c r="T33" s="71">
        <f>R33/Q33</f>
        <v/>
      </c>
      <c r="V33" s="339" t="n">
        <v>42945</v>
      </c>
      <c r="AM33" s="357" t="n"/>
    </row>
    <row r="34">
      <c r="A34" s="132" t="inlineStr">
        <is>
          <t>용호동</t>
        </is>
      </c>
      <c r="B34" s="88" t="n"/>
      <c r="C34" s="89" t="n"/>
      <c r="D34" s="132" t="n">
        <v>9709</v>
      </c>
      <c r="E34" s="154" t="inlineStr">
        <is>
          <t>LG메트로시티4-1차</t>
        </is>
      </c>
      <c r="F34" s="132" t="n">
        <v>2003.08</v>
      </c>
      <c r="G34" s="132" t="n">
        <v>1391</v>
      </c>
      <c r="H34" s="132">
        <f>2026-F34+1</f>
        <v/>
      </c>
      <c r="I34" s="133" t="n"/>
      <c r="J34" s="133" t="n"/>
      <c r="K34" s="132" t="n">
        <v>84</v>
      </c>
      <c r="L34" s="133" t="n"/>
      <c r="M34" s="132" t="inlineStr">
        <is>
          <t>계단식</t>
        </is>
      </c>
      <c r="N34" s="132" t="n">
        <v>3</v>
      </c>
      <c r="O34" s="132" t="n">
        <v>2</v>
      </c>
      <c r="P34" s="132" t="n">
        <v>134</v>
      </c>
      <c r="Q34" s="160" t="n">
        <v>56000</v>
      </c>
      <c r="R34" s="160" t="n">
        <v>35000</v>
      </c>
      <c r="S34" s="477">
        <f>Q34-R34</f>
        <v/>
      </c>
      <c r="T34" s="71">
        <f>R34/Q34</f>
        <v/>
      </c>
      <c r="U34" s="133" t="n">
        <v>77000</v>
      </c>
      <c r="V34" s="133" t="n">
        <v>35000</v>
      </c>
      <c r="AA34" s="133" t="n"/>
      <c r="AB34" s="133" t="n"/>
      <c r="AC34" s="133" t="n"/>
      <c r="AD34" s="133" t="n"/>
      <c r="AE34" s="133" t="n"/>
      <c r="AF34" s="133" t="n"/>
      <c r="AG34" s="133" t="n"/>
      <c r="AK34" s="133" t="n"/>
      <c r="AL34" s="133" t="n"/>
      <c r="AM34" s="88" t="n"/>
      <c r="AN34" s="133" t="n"/>
      <c r="AV34" s="133" t="n"/>
    </row>
    <row r="35">
      <c r="A35" s="132" t="inlineStr">
        <is>
          <t>문현동</t>
        </is>
      </c>
      <c r="B35" s="88" t="n"/>
      <c r="C35" s="89" t="n"/>
      <c r="D35" s="132" t="n">
        <v>125376</v>
      </c>
      <c r="E35" s="154" t="inlineStr">
        <is>
          <t>대연양우내안애퍼스트</t>
        </is>
      </c>
      <c r="F35" s="132" t="n">
        <v>2022.02</v>
      </c>
      <c r="G35" s="132" t="n">
        <v>560</v>
      </c>
      <c r="H35" s="132">
        <f>2026-F35+1</f>
        <v/>
      </c>
      <c r="I35" s="133" t="n"/>
      <c r="J35" s="133" t="n"/>
      <c r="K35" s="132" t="n">
        <v>59</v>
      </c>
      <c r="L35" s="133" t="n"/>
      <c r="M35" s="132" t="inlineStr">
        <is>
          <t>계단식</t>
        </is>
      </c>
      <c r="N35" s="132" t="n">
        <v>3</v>
      </c>
      <c r="O35" s="132" t="n">
        <v>2</v>
      </c>
      <c r="P35" s="132" t="n">
        <v>169</v>
      </c>
      <c r="Q35" s="160" t="n">
        <v>55000</v>
      </c>
      <c r="R35" s="160" t="n">
        <v>37000</v>
      </c>
      <c r="S35" s="477">
        <f>Q35-R35</f>
        <v/>
      </c>
      <c r="T35" s="71">
        <f>R35/Q35</f>
        <v/>
      </c>
      <c r="U35" s="133" t="n">
        <v>37000</v>
      </c>
      <c r="V35" s="133" t="n">
        <v>32000</v>
      </c>
      <c r="AA35" s="133" t="n"/>
      <c r="AB35" s="133" t="n"/>
      <c r="AC35" s="133" t="n"/>
      <c r="AD35" s="133" t="n"/>
      <c r="AE35" s="133" t="n"/>
      <c r="AF35" s="133" t="n"/>
      <c r="AG35" s="133" t="n"/>
      <c r="AK35" s="133" t="n"/>
      <c r="AL35" s="133" t="n"/>
      <c r="AM35" s="88" t="n"/>
      <c r="AN35" s="133" t="n"/>
      <c r="AV35" s="133" t="n"/>
    </row>
    <row r="36">
      <c r="A36" s="339" t="inlineStr">
        <is>
          <t>용호동</t>
        </is>
      </c>
      <c r="D36" s="339" t="n">
        <v>9708</v>
      </c>
      <c r="E36" s="113" t="inlineStr">
        <is>
          <t>LG메트로시티3차</t>
        </is>
      </c>
      <c r="F36" s="339" t="n">
        <v>2002.11</v>
      </c>
      <c r="G36" s="339" t="n">
        <v>922</v>
      </c>
      <c r="H36" s="339">
        <f>2026-F36+1</f>
        <v/>
      </c>
      <c r="J36" s="339" t="n">
        <v>108</v>
      </c>
      <c r="K36" s="339" t="n">
        <v>84</v>
      </c>
      <c r="L36" s="339" t="n">
        <v>33</v>
      </c>
      <c r="M36" s="339" t="inlineStr">
        <is>
          <t>계단식</t>
        </is>
      </c>
      <c r="N36" s="339" t="n">
        <v>3</v>
      </c>
      <c r="O36" s="339" t="n">
        <v>2</v>
      </c>
      <c r="P36" s="339" t="n">
        <v>150</v>
      </c>
      <c r="Q36" s="156" t="n">
        <v>55000</v>
      </c>
      <c r="R36" s="156" t="n">
        <v>35000</v>
      </c>
      <c r="S36" s="477">
        <f>Q36-R36</f>
        <v/>
      </c>
      <c r="T36" s="71">
        <f>R36/Q36</f>
        <v/>
      </c>
      <c r="U36" s="339" t="n">
        <v>77900</v>
      </c>
      <c r="V36" s="339" t="n">
        <v>47300</v>
      </c>
    </row>
    <row r="37">
      <c r="A37" s="339" t="inlineStr">
        <is>
          <t>용호동</t>
        </is>
      </c>
      <c r="B37" s="164" t="n"/>
      <c r="C37" s="164" t="n"/>
      <c r="D37" s="339" t="n">
        <v>9710</v>
      </c>
      <c r="E37" s="113" t="inlineStr">
        <is>
          <t>LG메트로시티4-2차</t>
        </is>
      </c>
      <c r="F37" s="339" t="n">
        <v>2003.08</v>
      </c>
      <c r="G37" s="339" t="n">
        <v>1258</v>
      </c>
      <c r="H37" s="339">
        <f>2026-F37+1</f>
        <v/>
      </c>
      <c r="K37" s="339" t="n">
        <v>84</v>
      </c>
      <c r="M37" s="339" t="inlineStr">
        <is>
          <t>계단식</t>
        </is>
      </c>
      <c r="N37" s="339" t="n">
        <v>3</v>
      </c>
      <c r="O37" s="339" t="n">
        <v>2</v>
      </c>
      <c r="P37" s="339" t="n">
        <v>198</v>
      </c>
      <c r="Q37" s="156" t="n">
        <v>55000</v>
      </c>
      <c r="R37" s="156" t="n">
        <v>35000</v>
      </c>
      <c r="S37" s="477">
        <f>Q37-R37</f>
        <v/>
      </c>
      <c r="T37" s="71">
        <f>R37/Q37</f>
        <v/>
      </c>
      <c r="U37" s="339" t="n">
        <v>77000</v>
      </c>
      <c r="V37" s="339" t="n">
        <v>35000</v>
      </c>
      <c r="AM37" s="357" t="n"/>
    </row>
    <row r="38">
      <c r="A38" s="132" t="inlineStr">
        <is>
          <t>용호동</t>
        </is>
      </c>
      <c r="B38" s="133" t="n"/>
      <c r="C38" s="133" t="n"/>
      <c r="D38" s="132" t="n">
        <v>127894</v>
      </c>
      <c r="E38" s="154" t="inlineStr">
        <is>
          <t>데시앙해링턴플레이스파크시티</t>
        </is>
      </c>
      <c r="F38" s="132" t="n">
        <v>2023.05</v>
      </c>
      <c r="G38" s="132" t="n">
        <v>1725</v>
      </c>
      <c r="H38" s="132">
        <f>2026-F38+1</f>
        <v/>
      </c>
      <c r="I38" s="133" t="n"/>
      <c r="J38" s="133" t="n"/>
      <c r="K38" s="132" t="n">
        <v>84</v>
      </c>
      <c r="L38" s="133" t="n"/>
      <c r="M38" s="132" t="inlineStr">
        <is>
          <t>계단식</t>
        </is>
      </c>
      <c r="N38" s="132" t="n">
        <v>3</v>
      </c>
      <c r="O38" s="132" t="n">
        <v>2</v>
      </c>
      <c r="P38" s="132" t="n">
        <v>309</v>
      </c>
      <c r="Q38" s="160" t="n">
        <v>55000</v>
      </c>
      <c r="R38" s="160" t="n">
        <v>39000</v>
      </c>
      <c r="S38" s="477">
        <f>Q38-R38</f>
        <v/>
      </c>
      <c r="T38" s="71">
        <f>R38/Q38</f>
        <v/>
      </c>
      <c r="U38" s="133" t="n"/>
      <c r="V38" s="133" t="n">
        <v>51000</v>
      </c>
      <c r="AA38" s="133" t="n"/>
      <c r="AB38" s="133" t="n"/>
      <c r="AC38" s="133" t="n"/>
      <c r="AD38" s="133" t="n"/>
      <c r="AE38" s="133" t="n"/>
      <c r="AF38" s="133" t="n"/>
      <c r="AG38" s="133" t="n"/>
      <c r="AK38" s="133" t="n"/>
      <c r="AL38" s="133" t="n"/>
      <c r="AM38" s="133" t="n"/>
      <c r="AN38" s="133" t="n"/>
      <c r="AV38" s="133" t="n"/>
    </row>
    <row r="39">
      <c r="A39" s="339" t="inlineStr">
        <is>
          <t>용호동</t>
        </is>
      </c>
      <c r="B39" s="164" t="n"/>
      <c r="C39" s="164" t="n"/>
      <c r="D39" s="339" t="n">
        <v>9710</v>
      </c>
      <c r="E39" s="113" t="inlineStr">
        <is>
          <t>LG메트로시티4-2차</t>
        </is>
      </c>
      <c r="F39" s="339" t="n">
        <v>2003.08</v>
      </c>
      <c r="G39" s="339" t="n">
        <v>1258</v>
      </c>
      <c r="H39" s="339">
        <f>2026-F39+1</f>
        <v/>
      </c>
      <c r="K39" s="339" t="n">
        <v>85</v>
      </c>
      <c r="M39" s="339" t="inlineStr">
        <is>
          <t>계단식</t>
        </is>
      </c>
      <c r="N39" s="339" t="n">
        <v>3</v>
      </c>
      <c r="O39" s="339" t="n">
        <v>2</v>
      </c>
      <c r="P39" s="339" t="n">
        <v>200</v>
      </c>
      <c r="Q39" s="156" t="n">
        <v>53000</v>
      </c>
      <c r="R39" s="156" t="n">
        <v>35000</v>
      </c>
      <c r="S39" s="477">
        <f>Q39-R39</f>
        <v/>
      </c>
      <c r="T39" s="71">
        <f>R39/Q39</f>
        <v/>
      </c>
      <c r="U39" s="339" t="n">
        <v>77000</v>
      </c>
      <c r="V39" s="339" t="n">
        <v>35000</v>
      </c>
      <c r="AM39" s="357" t="n"/>
    </row>
    <row r="40">
      <c r="A40" s="339" t="inlineStr">
        <is>
          <t>대연동</t>
        </is>
      </c>
      <c r="B40" s="164" t="n"/>
      <c r="C40" s="164" t="n"/>
      <c r="D40" s="339" t="n">
        <v>110440</v>
      </c>
      <c r="E40" s="113" t="inlineStr">
        <is>
          <t>대연파크푸르지오</t>
        </is>
      </c>
      <c r="F40" s="339" t="n">
        <v>2018.06</v>
      </c>
      <c r="G40" s="339" t="n">
        <v>1422</v>
      </c>
      <c r="H40" s="339">
        <f>2026-F40+1</f>
        <v/>
      </c>
      <c r="K40" s="339" t="n">
        <v>84</v>
      </c>
      <c r="M40" s="339" t="inlineStr">
        <is>
          <t>계단식</t>
        </is>
      </c>
      <c r="N40" s="339" t="n">
        <v>3</v>
      </c>
      <c r="O40" s="339" t="n">
        <v>2</v>
      </c>
      <c r="P40" s="339" t="n">
        <v>668</v>
      </c>
      <c r="Q40" s="156" t="n">
        <v>52000</v>
      </c>
      <c r="R40" s="156" t="n">
        <v>38000</v>
      </c>
      <c r="S40" s="477">
        <f>Q40-R40</f>
        <v/>
      </c>
      <c r="T40" s="71">
        <f>R40/Q40</f>
        <v/>
      </c>
      <c r="U40" s="339" t="n">
        <v>80000</v>
      </c>
      <c r="V40" s="339" t="n">
        <v>45200</v>
      </c>
      <c r="AM40" s="357" t="n"/>
    </row>
    <row r="41">
      <c r="A41" s="132" t="inlineStr">
        <is>
          <t>용호동</t>
        </is>
      </c>
      <c r="B41" s="88" t="n"/>
      <c r="C41" s="89" t="n"/>
      <c r="D41" s="132" t="n">
        <v>9706</v>
      </c>
      <c r="E41" s="135" t="inlineStr">
        <is>
          <t>LG메트로시티2차</t>
        </is>
      </c>
      <c r="F41" s="132" t="n">
        <v>2002.01</v>
      </c>
      <c r="G41" s="132" t="n">
        <v>362</v>
      </c>
      <c r="H41" s="132">
        <f>2026-F41+1</f>
        <v/>
      </c>
      <c r="I41" s="133" t="n"/>
      <c r="J41" s="133" t="n"/>
      <c r="K41" s="132" t="n">
        <v>84</v>
      </c>
      <c r="L41" s="133" t="n"/>
      <c r="M41" s="132" t="inlineStr">
        <is>
          <t>계단식</t>
        </is>
      </c>
      <c r="N41" s="132" t="n">
        <v>3</v>
      </c>
      <c r="O41" s="132" t="n">
        <v>2</v>
      </c>
      <c r="P41" s="132" t="n">
        <v>266</v>
      </c>
      <c r="Q41" s="160" t="n">
        <v>52000</v>
      </c>
      <c r="R41" s="160" t="n">
        <v>39000</v>
      </c>
      <c r="S41" s="477">
        <f>Q41-R41</f>
        <v/>
      </c>
      <c r="T41" s="71">
        <f>R41/Q41</f>
        <v/>
      </c>
      <c r="U41" s="133" t="n">
        <v>77900</v>
      </c>
      <c r="V41" s="133" t="n">
        <v>47300</v>
      </c>
      <c r="AA41" s="133" t="n"/>
      <c r="AB41" s="133" t="n"/>
      <c r="AC41" s="133" t="n"/>
      <c r="AD41" s="133" t="n"/>
      <c r="AE41" s="133" t="n"/>
      <c r="AF41" s="133" t="n"/>
      <c r="AG41" s="133" t="n"/>
      <c r="AK41" s="133" t="n"/>
      <c r="AL41" s="133" t="n"/>
      <c r="AM41" s="88" t="n"/>
      <c r="AN41" s="133" t="n"/>
      <c r="AV41" s="133" t="n"/>
    </row>
    <row r="42">
      <c r="A42" s="132" t="inlineStr">
        <is>
          <t>용호동</t>
        </is>
      </c>
      <c r="B42" s="88" t="n"/>
      <c r="C42" s="89" t="n"/>
      <c r="D42" s="132" t="n">
        <v>9709</v>
      </c>
      <c r="E42" s="135" t="inlineStr">
        <is>
          <t>LG메트로시티4-1차</t>
        </is>
      </c>
      <c r="F42" s="132" t="n">
        <v>2003.08</v>
      </c>
      <c r="G42" s="132" t="n">
        <v>1391</v>
      </c>
      <c r="H42" s="132">
        <f>2026-F42+1</f>
        <v/>
      </c>
      <c r="I42" s="133" t="n"/>
      <c r="J42" s="133" t="n"/>
      <c r="K42" s="132" t="n">
        <v>85</v>
      </c>
      <c r="L42" s="133" t="n"/>
      <c r="M42" s="132" t="inlineStr">
        <is>
          <t>계단식</t>
        </is>
      </c>
      <c r="N42" s="132" t="n">
        <v>3</v>
      </c>
      <c r="O42" s="132" t="n">
        <v>2</v>
      </c>
      <c r="P42" s="132" t="n">
        <v>138</v>
      </c>
      <c r="Q42" s="160" t="n">
        <v>51000</v>
      </c>
      <c r="R42" s="160" t="n">
        <v>32000</v>
      </c>
      <c r="S42" s="477">
        <f>Q42-R42</f>
        <v/>
      </c>
      <c r="T42" s="71">
        <f>R42/Q42</f>
        <v/>
      </c>
      <c r="U42" s="133" t="n">
        <v>77000</v>
      </c>
      <c r="V42" s="133" t="n">
        <v>35000</v>
      </c>
      <c r="AA42" s="133" t="n"/>
      <c r="AB42" s="133" t="n"/>
      <c r="AC42" s="133" t="n"/>
      <c r="AD42" s="133" t="n"/>
      <c r="AE42" s="133" t="n"/>
      <c r="AF42" s="133" t="n"/>
      <c r="AG42" s="133" t="n"/>
      <c r="AK42" s="133" t="n"/>
      <c r="AL42" s="133" t="n"/>
      <c r="AM42" s="88" t="n"/>
      <c r="AN42" s="133" t="n"/>
      <c r="AV42" s="133" t="n"/>
    </row>
    <row r="43">
      <c r="A43" s="132" t="inlineStr">
        <is>
          <t>우암동</t>
        </is>
      </c>
      <c r="B43" s="88" t="n"/>
      <c r="C43" s="89" t="n"/>
      <c r="D43" s="132" t="n">
        <v>161277</v>
      </c>
      <c r="E43" s="135" t="inlineStr">
        <is>
          <t>두산위브더제니스오션시티</t>
        </is>
      </c>
      <c r="F43" s="132" t="n">
        <v>2026.01</v>
      </c>
      <c r="G43" s="132" t="n">
        <v>3048</v>
      </c>
      <c r="H43" s="132">
        <f>2026-F43+1</f>
        <v/>
      </c>
      <c r="I43" s="133" t="n"/>
      <c r="J43" s="133" t="n"/>
      <c r="K43" s="132" t="n">
        <v>75</v>
      </c>
      <c r="L43" s="133" t="n"/>
      <c r="M43" s="132" t="inlineStr">
        <is>
          <t>계단식</t>
        </is>
      </c>
      <c r="N43" s="132" t="n">
        <v>3</v>
      </c>
      <c r="O43" s="132" t="n">
        <v>2</v>
      </c>
      <c r="P43" s="132" t="n">
        <v>1165</v>
      </c>
      <c r="Q43" s="160" t="n">
        <v>51000</v>
      </c>
      <c r="R43" s="160" t="n">
        <v>38000</v>
      </c>
      <c r="S43" s="477">
        <f>Q43-R43</f>
        <v/>
      </c>
      <c r="T43" s="71">
        <f>R43/Q43</f>
        <v/>
      </c>
      <c r="U43" s="133" t="n"/>
      <c r="V43" s="133" t="n"/>
      <c r="AA43" s="133" t="n"/>
      <c r="AB43" s="133" t="n"/>
      <c r="AC43" s="133" t="n"/>
      <c r="AD43" s="133" t="n"/>
      <c r="AE43" s="133" t="n"/>
      <c r="AF43" s="133" t="n"/>
      <c r="AG43" s="133" t="n"/>
      <c r="AK43" s="133" t="n"/>
      <c r="AL43" s="133" t="n"/>
      <c r="AM43" s="88" t="n"/>
      <c r="AN43" s="133" t="n"/>
      <c r="AV43" s="133" t="n"/>
    </row>
    <row r="44">
      <c r="A44" s="132" t="inlineStr">
        <is>
          <t>문현동</t>
        </is>
      </c>
      <c r="B44" s="88" t="n"/>
      <c r="C44" s="89" t="n"/>
      <c r="D44" s="132" t="n">
        <v>112774</v>
      </c>
      <c r="E44" s="154" t="inlineStr">
        <is>
          <t>국제금융시티문현베스티움</t>
        </is>
      </c>
      <c r="F44" s="132" t="n">
        <v>2019.04</v>
      </c>
      <c r="G44" s="132" t="n">
        <v>743</v>
      </c>
      <c r="H44" s="132">
        <f>2026-F44+1</f>
        <v/>
      </c>
      <c r="I44" s="133" t="n"/>
      <c r="J44" s="133" t="n"/>
      <c r="K44" s="132" t="n">
        <v>59</v>
      </c>
      <c r="L44" s="133" t="n"/>
      <c r="M44" s="132" t="inlineStr">
        <is>
          <t>계단식</t>
        </is>
      </c>
      <c r="N44" s="132" t="n">
        <v>3</v>
      </c>
      <c r="O44" s="132" t="n">
        <v>2</v>
      </c>
      <c r="P44" s="132" t="n">
        <v>415</v>
      </c>
      <c r="Q44" s="160" t="n">
        <v>50000</v>
      </c>
      <c r="R44" s="160" t="n">
        <v>33000</v>
      </c>
      <c r="S44" s="477">
        <f>Q44-R44</f>
        <v/>
      </c>
      <c r="T44" s="71">
        <f>R44/Q44</f>
        <v/>
      </c>
      <c r="U44" s="133" t="n">
        <v>61500</v>
      </c>
      <c r="V44" s="133" t="n">
        <v>40000</v>
      </c>
      <c r="AA44" s="133" t="n"/>
      <c r="AB44" s="133" t="n"/>
      <c r="AC44" s="133" t="n"/>
      <c r="AD44" s="133" t="n"/>
      <c r="AE44" s="133" t="n"/>
      <c r="AF44" s="133" t="n"/>
      <c r="AG44" s="133" t="n"/>
      <c r="AK44" s="133" t="n"/>
      <c r="AL44" s="133" t="n"/>
      <c r="AM44" s="88" t="n"/>
      <c r="AN44" s="133" t="n"/>
      <c r="AV44" s="133" t="n"/>
    </row>
    <row r="45">
      <c r="A45" s="339" t="inlineStr">
        <is>
          <t>용호동</t>
        </is>
      </c>
      <c r="B45" s="164" t="n"/>
      <c r="C45" s="164" t="n"/>
      <c r="D45" s="339" t="n">
        <v>8039</v>
      </c>
      <c r="E45" s="113" t="inlineStr">
        <is>
          <t>LG메트로시티1차</t>
        </is>
      </c>
      <c r="F45" s="339" t="n">
        <v>2001.06</v>
      </c>
      <c r="G45" s="339" t="n">
        <v>2637</v>
      </c>
      <c r="H45" s="339">
        <f>2026-F45+1</f>
        <v/>
      </c>
      <c r="K45" s="339" t="n">
        <v>84</v>
      </c>
      <c r="M45" s="339" t="inlineStr">
        <is>
          <t>계단식</t>
        </is>
      </c>
      <c r="N45" s="339" t="n">
        <v>3</v>
      </c>
      <c r="O45" s="339" t="n">
        <v>2</v>
      </c>
      <c r="P45" s="339" t="n">
        <v>662</v>
      </c>
      <c r="Q45" s="156" t="n">
        <v>50000</v>
      </c>
      <c r="R45" s="156" t="n">
        <v>36000</v>
      </c>
      <c r="S45" s="477">
        <f>Q45-R45</f>
        <v/>
      </c>
      <c r="T45" s="71">
        <f>R45/Q45</f>
        <v/>
      </c>
      <c r="U45" s="339" t="n">
        <v>83000</v>
      </c>
      <c r="V45" s="339" t="n">
        <v>43000</v>
      </c>
      <c r="AM45" s="357" t="n"/>
    </row>
    <row r="46">
      <c r="A46" s="132" t="inlineStr">
        <is>
          <t>용호동</t>
        </is>
      </c>
      <c r="B46" s="133" t="n"/>
      <c r="C46" s="133" t="n"/>
      <c r="D46" s="132" t="n">
        <v>9711</v>
      </c>
      <c r="E46" s="154" t="inlineStr">
        <is>
          <t>LG메트로시티5차</t>
        </is>
      </c>
      <c r="F46" s="132" t="n">
        <v>2004.1</v>
      </c>
      <c r="G46" s="132" t="n">
        <v>804</v>
      </c>
      <c r="H46" s="132">
        <f>2026-F46+1</f>
        <v/>
      </c>
      <c r="I46" s="133" t="n"/>
      <c r="J46" s="132" t="n">
        <v>108</v>
      </c>
      <c r="K46" s="132" t="n">
        <v>84</v>
      </c>
      <c r="L46" s="132" t="n">
        <v>33</v>
      </c>
      <c r="M46" s="132" t="inlineStr">
        <is>
          <t>계단식</t>
        </is>
      </c>
      <c r="N46" s="132" t="n">
        <v>3</v>
      </c>
      <c r="O46" s="132" t="n">
        <v>2</v>
      </c>
      <c r="P46" s="132" t="n">
        <v>380</v>
      </c>
      <c r="Q46" s="160" t="n">
        <v>50000</v>
      </c>
      <c r="R46" s="160" t="n">
        <v>35000</v>
      </c>
      <c r="S46" s="477">
        <f>Q46-R46</f>
        <v/>
      </c>
      <c r="T46" s="71">
        <f>R46/Q46</f>
        <v/>
      </c>
      <c r="U46" s="133" t="n">
        <v>79700</v>
      </c>
      <c r="V46" s="133" t="n">
        <v>35000</v>
      </c>
      <c r="AA46" s="133" t="n"/>
      <c r="AB46" s="133" t="n"/>
      <c r="AC46" s="133" t="n"/>
      <c r="AD46" s="133" t="n"/>
      <c r="AE46" s="133" t="n"/>
      <c r="AF46" s="133" t="n"/>
      <c r="AG46" s="133" t="n"/>
      <c r="AK46" s="133" t="n"/>
      <c r="AL46" s="133" t="n"/>
      <c r="AM46" s="133" t="n"/>
      <c r="AN46" s="133" t="n"/>
      <c r="AV46" s="133" t="n"/>
    </row>
    <row r="47">
      <c r="A47" s="132" t="inlineStr">
        <is>
          <t>용호동</t>
        </is>
      </c>
      <c r="B47" s="133" t="n"/>
      <c r="C47" s="133" t="n"/>
      <c r="D47" s="132" t="n">
        <v>127894</v>
      </c>
      <c r="E47" s="154" t="inlineStr">
        <is>
          <t>데시앙해링턴플레이스파크시티</t>
        </is>
      </c>
      <c r="F47" s="132" t="n">
        <v>2023.05</v>
      </c>
      <c r="G47" s="132" t="n">
        <v>1725</v>
      </c>
      <c r="H47" s="132">
        <f>2026-F47+1</f>
        <v/>
      </c>
      <c r="I47" s="133" t="n"/>
      <c r="J47" s="133" t="n"/>
      <c r="K47" s="132" t="n">
        <v>73</v>
      </c>
      <c r="L47" s="133" t="n"/>
      <c r="M47" s="132" t="inlineStr">
        <is>
          <t>계단식</t>
        </is>
      </c>
      <c r="N47" s="132" t="n">
        <v>3</v>
      </c>
      <c r="O47" s="132" t="n">
        <v>2</v>
      </c>
      <c r="P47" s="132" t="n">
        <v>336</v>
      </c>
      <c r="Q47" s="160" t="n">
        <v>50000</v>
      </c>
      <c r="R47" s="160" t="n">
        <v>32000</v>
      </c>
      <c r="S47" s="477">
        <f>Q47-R47</f>
        <v/>
      </c>
      <c r="T47" s="71">
        <f>R47/Q47</f>
        <v/>
      </c>
      <c r="U47" s="133" t="n"/>
      <c r="V47" s="133" t="n">
        <v>42700</v>
      </c>
      <c r="AA47" s="133" t="n"/>
      <c r="AB47" s="133" t="n"/>
      <c r="AC47" s="133" t="n"/>
      <c r="AD47" s="133" t="n"/>
      <c r="AE47" s="133" t="n"/>
      <c r="AF47" s="133" t="n"/>
      <c r="AG47" s="133" t="n"/>
      <c r="AK47" s="133" t="n"/>
      <c r="AL47" s="133" t="n"/>
      <c r="AM47" s="133" t="n"/>
      <c r="AN47" s="133" t="n"/>
      <c r="AV47" s="133" t="n"/>
    </row>
    <row r="48">
      <c r="A48" s="339" t="inlineStr">
        <is>
          <t>대연동</t>
        </is>
      </c>
      <c r="B48" s="164" t="n"/>
      <c r="C48" s="164" t="n"/>
      <c r="D48" s="339" t="n">
        <v>110440</v>
      </c>
      <c r="E48" s="113" t="inlineStr">
        <is>
          <t>대연파크푸르지오</t>
        </is>
      </c>
      <c r="F48" s="339" t="n">
        <v>2018.06</v>
      </c>
      <c r="G48" s="339" t="n">
        <v>1422</v>
      </c>
      <c r="H48" s="339">
        <f>2026-F48+1</f>
        <v/>
      </c>
      <c r="J48" s="339" t="n">
        <v>98</v>
      </c>
      <c r="K48" s="339" t="n">
        <v>74</v>
      </c>
      <c r="L48" s="339" t="n">
        <v>30</v>
      </c>
      <c r="M48" s="339" t="inlineStr">
        <is>
          <t>계단식</t>
        </is>
      </c>
      <c r="N48" s="339" t="n">
        <v>3</v>
      </c>
      <c r="O48" s="339" t="n">
        <v>2</v>
      </c>
      <c r="P48" s="339" t="n">
        <v>289</v>
      </c>
      <c r="Q48" s="156" t="n">
        <v>49000</v>
      </c>
      <c r="R48" s="156" t="n">
        <v>37000</v>
      </c>
      <c r="S48" s="477">
        <f>Q48-R48</f>
        <v/>
      </c>
      <c r="T48" s="71">
        <f>R48/Q48</f>
        <v/>
      </c>
      <c r="U48" s="339" t="n">
        <v>72700</v>
      </c>
      <c r="V48" s="339" t="n">
        <v>39000</v>
      </c>
      <c r="AM48" s="357" t="n"/>
    </row>
    <row r="49">
      <c r="A49" s="132" t="inlineStr">
        <is>
          <t>대연동</t>
        </is>
      </c>
      <c r="B49" s="88" t="n"/>
      <c r="C49" s="89" t="n"/>
      <c r="D49" s="132" t="n">
        <v>129153</v>
      </c>
      <c r="E49" s="154" t="inlineStr">
        <is>
          <t>대연삼정그린코아더베스트</t>
        </is>
      </c>
      <c r="F49" s="132" t="n">
        <v>2022.08</v>
      </c>
      <c r="G49" s="132" t="n">
        <v>337</v>
      </c>
      <c r="H49" s="132">
        <f>2026-F49+1</f>
        <v/>
      </c>
      <c r="I49" s="133" t="n"/>
      <c r="J49" s="132" t="n">
        <v>98</v>
      </c>
      <c r="K49" s="132" t="n">
        <v>71</v>
      </c>
      <c r="L49" s="132" t="n">
        <v>30</v>
      </c>
      <c r="M49" s="132" t="inlineStr">
        <is>
          <t>계단식</t>
        </is>
      </c>
      <c r="N49" s="132" t="n">
        <v>3</v>
      </c>
      <c r="O49" s="132" t="n">
        <v>2</v>
      </c>
      <c r="P49" s="132" t="n">
        <v>115</v>
      </c>
      <c r="Q49" s="160" t="n">
        <v>48700</v>
      </c>
      <c r="R49" s="160" t="n">
        <v>38000</v>
      </c>
      <c r="S49" s="477">
        <f>Q49-R49</f>
        <v/>
      </c>
      <c r="T49" s="71">
        <f>R49/Q49</f>
        <v/>
      </c>
      <c r="U49" s="133" t="n"/>
      <c r="V49" s="133" t="n"/>
      <c r="AA49" s="133" t="n"/>
      <c r="AB49" s="133" t="n"/>
      <c r="AC49" s="133" t="n"/>
      <c r="AD49" s="133" t="n"/>
      <c r="AE49" s="133" t="n"/>
      <c r="AF49" s="133" t="n"/>
      <c r="AG49" s="133" t="n"/>
      <c r="AK49" s="133" t="n"/>
      <c r="AL49" s="133" t="n"/>
      <c r="AM49" s="88" t="n"/>
      <c r="AN49" s="133" t="n"/>
      <c r="AV49" s="133" t="n"/>
    </row>
    <row r="50">
      <c r="A50" s="339" t="inlineStr">
        <is>
          <t>대연동</t>
        </is>
      </c>
      <c r="D50" s="339" t="n">
        <v>110440</v>
      </c>
      <c r="E50" s="113" t="inlineStr">
        <is>
          <t>대연파크푸르지오</t>
        </is>
      </c>
      <c r="F50" s="339" t="n">
        <v>2018.06</v>
      </c>
      <c r="G50" s="339" t="n">
        <v>1422</v>
      </c>
      <c r="H50" s="339">
        <f>2026-F50+1</f>
        <v/>
      </c>
      <c r="K50" s="339" t="n">
        <v>59</v>
      </c>
      <c r="M50" s="339" t="inlineStr">
        <is>
          <t>계단식</t>
        </is>
      </c>
      <c r="N50" s="339" t="n">
        <v>3</v>
      </c>
      <c r="O50" s="339" t="n">
        <v>2</v>
      </c>
      <c r="P50" s="339" t="n">
        <v>262</v>
      </c>
      <c r="Q50" s="156" t="n">
        <v>48000</v>
      </c>
      <c r="R50" s="156" t="n">
        <v>31000</v>
      </c>
      <c r="S50" s="477">
        <f>Q50-R50</f>
        <v/>
      </c>
      <c r="T50" s="71">
        <f>R50/Q50</f>
        <v/>
      </c>
      <c r="U50" s="339" t="n">
        <v>63000</v>
      </c>
      <c r="V50" s="339" t="n">
        <v>38000</v>
      </c>
    </row>
    <row r="51">
      <c r="A51" s="339" t="inlineStr">
        <is>
          <t>용호동</t>
        </is>
      </c>
      <c r="D51" s="339" t="n">
        <v>8039</v>
      </c>
      <c r="E51" s="113" t="inlineStr">
        <is>
          <t>LG메트로시티1차</t>
        </is>
      </c>
      <c r="F51" s="339" t="n">
        <v>2001.06</v>
      </c>
      <c r="G51" s="339" t="n">
        <v>2637</v>
      </c>
      <c r="H51" s="339">
        <f>2026-F51+1</f>
        <v/>
      </c>
      <c r="K51" s="339" t="n">
        <v>85</v>
      </c>
      <c r="M51" s="339" t="inlineStr">
        <is>
          <t>계단식</t>
        </is>
      </c>
      <c r="N51" s="339" t="n">
        <v>3</v>
      </c>
      <c r="O51" s="339" t="n">
        <v>2</v>
      </c>
      <c r="P51" s="339" t="n">
        <v>276</v>
      </c>
      <c r="Q51" s="156" t="n">
        <v>48000</v>
      </c>
      <c r="R51" s="156" t="n">
        <v>35000</v>
      </c>
      <c r="S51" s="477">
        <f>Q51-R51</f>
        <v/>
      </c>
      <c r="T51" s="71">
        <f>R51/Q51</f>
        <v/>
      </c>
      <c r="U51" s="339" t="n">
        <v>83000</v>
      </c>
      <c r="V51" s="339" t="n">
        <v>43000</v>
      </c>
    </row>
    <row r="52">
      <c r="A52" s="132" t="inlineStr">
        <is>
          <t>용호동</t>
        </is>
      </c>
      <c r="B52" s="88" t="n"/>
      <c r="C52" s="89" t="n"/>
      <c r="D52" s="132" t="n">
        <v>22444</v>
      </c>
      <c r="E52" s="154" t="inlineStr">
        <is>
          <t>오륙도SK뷰</t>
        </is>
      </c>
      <c r="F52" s="132" t="n">
        <v>2008.1</v>
      </c>
      <c r="G52" s="132" t="n">
        <v>3000</v>
      </c>
      <c r="H52" s="132">
        <f>2026-F52+1</f>
        <v/>
      </c>
      <c r="I52" s="133" t="n"/>
      <c r="J52" s="133" t="n"/>
      <c r="K52" s="132" t="n">
        <v>84</v>
      </c>
      <c r="L52" s="133" t="n"/>
      <c r="M52" s="132" t="inlineStr">
        <is>
          <t>계단식</t>
        </is>
      </c>
      <c r="N52" s="132" t="n">
        <v>3</v>
      </c>
      <c r="O52" s="132" t="n">
        <v>2</v>
      </c>
      <c r="P52" s="132" t="n">
        <v>914</v>
      </c>
      <c r="Q52" s="160" t="n">
        <v>46000</v>
      </c>
      <c r="R52" s="160" t="n">
        <v>29500</v>
      </c>
      <c r="S52" s="477">
        <f>Q52-R52</f>
        <v/>
      </c>
      <c r="T52" s="71">
        <f>R52/Q52</f>
        <v/>
      </c>
      <c r="U52" s="133" t="n">
        <v>73000</v>
      </c>
      <c r="V52" s="133" t="n">
        <v>36000</v>
      </c>
      <c r="AA52" s="133" t="n"/>
      <c r="AB52" s="133" t="n"/>
      <c r="AC52" s="133" t="n"/>
      <c r="AD52" s="133" t="n"/>
      <c r="AE52" s="133" t="n"/>
      <c r="AF52" s="133" t="n"/>
      <c r="AG52" s="133" t="n"/>
      <c r="AK52" s="133" t="n"/>
      <c r="AL52" s="133" t="n"/>
      <c r="AM52" s="88" t="n"/>
      <c r="AN52" s="133" t="n"/>
      <c r="AV52" s="133" t="n"/>
    </row>
    <row r="53">
      <c r="A53" s="132" t="inlineStr">
        <is>
          <t>용호동</t>
        </is>
      </c>
      <c r="B53" s="88" t="n"/>
      <c r="C53" s="89" t="n"/>
      <c r="D53" s="132" t="n">
        <v>4649</v>
      </c>
      <c r="E53" s="154" t="inlineStr">
        <is>
          <t>현대비치</t>
        </is>
      </c>
      <c r="F53" s="132" t="n">
        <v>1997.11</v>
      </c>
      <c r="G53" s="132" t="n">
        <v>648</v>
      </c>
      <c r="H53" s="132">
        <f>2026-F53+1</f>
        <v/>
      </c>
      <c r="I53" s="133" t="n"/>
      <c r="J53" s="132" t="n">
        <v>105</v>
      </c>
      <c r="K53" s="132" t="n">
        <v>84</v>
      </c>
      <c r="L53" s="132" t="n">
        <v>32</v>
      </c>
      <c r="M53" s="132" t="inlineStr">
        <is>
          <t>계단식</t>
        </is>
      </c>
      <c r="N53" s="132" t="n">
        <v>3</v>
      </c>
      <c r="O53" s="132" t="n">
        <v>2</v>
      </c>
      <c r="P53" s="132" t="n">
        <v>46</v>
      </c>
      <c r="Q53" s="160" t="n">
        <v>45000</v>
      </c>
      <c r="R53" s="160" t="n">
        <v>34000</v>
      </c>
      <c r="S53" s="477">
        <f>Q53-R53</f>
        <v/>
      </c>
      <c r="T53" s="71">
        <f>R53/Q53</f>
        <v/>
      </c>
      <c r="U53" s="133" t="n"/>
      <c r="V53" s="133" t="n"/>
      <c r="AA53" s="133" t="n"/>
      <c r="AB53" s="133" t="n"/>
      <c r="AC53" s="133" t="n"/>
      <c r="AD53" s="133" t="n"/>
      <c r="AE53" s="133" t="n"/>
      <c r="AF53" s="133" t="n"/>
      <c r="AG53" s="133" t="n"/>
      <c r="AK53" s="133" t="n"/>
      <c r="AL53" s="133" t="n"/>
      <c r="AM53" s="88" t="n"/>
      <c r="AN53" s="133" t="n"/>
      <c r="AV53" s="133" t="n"/>
    </row>
    <row r="54">
      <c r="A54" s="132" t="inlineStr">
        <is>
          <t>우암동</t>
        </is>
      </c>
      <c r="B54" s="88" t="n"/>
      <c r="C54" s="89" t="n"/>
      <c r="D54" s="132" t="n">
        <v>161277</v>
      </c>
      <c r="E54" s="154" t="inlineStr">
        <is>
          <t>두산위브더제니스오션시티</t>
        </is>
      </c>
      <c r="F54" s="132" t="n">
        <v>2026.01</v>
      </c>
      <c r="G54" s="132" t="n">
        <v>3048</v>
      </c>
      <c r="H54" s="132">
        <f>2026-F54+1</f>
        <v/>
      </c>
      <c r="I54" s="133" t="n"/>
      <c r="J54" s="133" t="n"/>
      <c r="K54" s="132" t="n">
        <v>59</v>
      </c>
      <c r="L54" s="133" t="n"/>
      <c r="M54" s="132" t="inlineStr">
        <is>
          <t>계단식</t>
        </is>
      </c>
      <c r="N54" s="132" t="n">
        <v>3</v>
      </c>
      <c r="O54" s="132" t="n">
        <v>2</v>
      </c>
      <c r="P54" s="132" t="n">
        <v>547</v>
      </c>
      <c r="Q54" s="160" t="n">
        <v>44000</v>
      </c>
      <c r="R54" s="160" t="n">
        <v>30000</v>
      </c>
      <c r="S54" s="477">
        <f>Q54-R54</f>
        <v/>
      </c>
      <c r="T54" s="71">
        <f>R54/Q54</f>
        <v/>
      </c>
      <c r="U54" s="133" t="n"/>
      <c r="V54" s="133" t="n"/>
      <c r="AA54" s="133" t="n"/>
      <c r="AB54" s="133" t="n"/>
      <c r="AC54" s="133" t="n"/>
      <c r="AD54" s="133" t="n"/>
      <c r="AE54" s="133" t="n"/>
      <c r="AF54" s="133" t="n"/>
      <c r="AG54" s="133" t="n"/>
      <c r="AK54" s="133" t="n"/>
      <c r="AL54" s="133" t="n"/>
      <c r="AM54" s="88" t="n"/>
      <c r="AN54" s="133" t="n"/>
      <c r="AV54" s="133" t="n"/>
    </row>
    <row r="55">
      <c r="A55" s="339" t="inlineStr">
        <is>
          <t>문현동</t>
        </is>
      </c>
      <c r="D55" s="339" t="n">
        <v>114815</v>
      </c>
      <c r="E55" s="113" t="inlineStr">
        <is>
          <t>문현경동리인1단지</t>
        </is>
      </c>
      <c r="F55" s="339" t="n">
        <v>2020.07</v>
      </c>
      <c r="G55" s="339" t="n">
        <v>469</v>
      </c>
      <c r="H55" s="339">
        <f>2026-F55+1</f>
        <v/>
      </c>
      <c r="K55" s="339" t="n">
        <v>79</v>
      </c>
      <c r="M55" s="339" t="inlineStr">
        <is>
          <t>계단식</t>
        </is>
      </c>
      <c r="N55" s="339" t="n">
        <v>3</v>
      </c>
      <c r="O55" s="339" t="n">
        <v>2</v>
      </c>
      <c r="P55" s="339" t="n">
        <v>208</v>
      </c>
      <c r="Q55" s="156" t="n">
        <v>42000</v>
      </c>
      <c r="R55" s="156" t="n">
        <v>32000</v>
      </c>
      <c r="S55" s="477">
        <f>Q55-R55</f>
        <v/>
      </c>
      <c r="T55" s="71">
        <f>R55/Q55</f>
        <v/>
      </c>
      <c r="U55" s="339" t="n">
        <v>59700</v>
      </c>
      <c r="V55" s="339" t="n">
        <v>39800</v>
      </c>
    </row>
    <row r="56">
      <c r="A56" s="339" t="inlineStr">
        <is>
          <t>문현동</t>
        </is>
      </c>
      <c r="D56" s="339" t="n">
        <v>125851</v>
      </c>
      <c r="E56" s="113" t="inlineStr">
        <is>
          <t>오션파라곤</t>
        </is>
      </c>
      <c r="F56" s="339" t="n">
        <v>2022.11</v>
      </c>
      <c r="G56" s="339" t="n">
        <v>662</v>
      </c>
      <c r="H56" s="339">
        <f>2026-F56+1</f>
        <v/>
      </c>
      <c r="K56" s="339" t="n">
        <v>74</v>
      </c>
      <c r="M56" s="339" t="inlineStr">
        <is>
          <t>계단식</t>
        </is>
      </c>
      <c r="N56" s="339" t="n">
        <v>3</v>
      </c>
      <c r="O56" s="339" t="n">
        <v>2</v>
      </c>
      <c r="P56" s="339" t="n">
        <v>282</v>
      </c>
      <c r="Q56" s="156" t="n">
        <v>42000</v>
      </c>
      <c r="R56" s="156" t="n">
        <v>32000</v>
      </c>
      <c r="S56" s="477">
        <f>Q56-R56</f>
        <v/>
      </c>
      <c r="T56" s="71">
        <f>R56/Q56</f>
        <v/>
      </c>
      <c r="V56" s="339" t="n">
        <v>35000</v>
      </c>
    </row>
    <row r="57">
      <c r="A57" s="339" t="inlineStr">
        <is>
          <t>용호동</t>
        </is>
      </c>
      <c r="B57" s="164" t="n"/>
      <c r="C57" s="164" t="n"/>
      <c r="D57" s="339" t="n">
        <v>9708</v>
      </c>
      <c r="E57" s="113" t="inlineStr">
        <is>
          <t>LG메트로시티3차</t>
        </is>
      </c>
      <c r="F57" s="339" t="n">
        <v>2002.11</v>
      </c>
      <c r="G57" s="339" t="n">
        <v>922</v>
      </c>
      <c r="H57" s="339">
        <f>2026-F57+1</f>
        <v/>
      </c>
      <c r="J57" s="339" t="n">
        <v>90</v>
      </c>
      <c r="K57" s="339" t="n">
        <v>69</v>
      </c>
      <c r="L57" s="339" t="n">
        <v>27</v>
      </c>
      <c r="M57" s="339" t="inlineStr">
        <is>
          <t>계단식</t>
        </is>
      </c>
      <c r="N57" s="339" t="n">
        <v>2</v>
      </c>
      <c r="O57" s="339" t="n">
        <v>1</v>
      </c>
      <c r="P57" s="339" t="n">
        <v>92</v>
      </c>
      <c r="Q57" s="156" t="n">
        <v>42000</v>
      </c>
      <c r="R57" s="156" t="n">
        <v>28000</v>
      </c>
      <c r="S57" s="477">
        <f>Q57-R57</f>
        <v/>
      </c>
      <c r="T57" s="71">
        <f>R57/Q57</f>
        <v/>
      </c>
      <c r="U57" s="339" t="n">
        <v>65000</v>
      </c>
      <c r="V57" s="339" t="n">
        <v>40800</v>
      </c>
      <c r="AM57" s="357" t="n"/>
    </row>
    <row r="58">
      <c r="A58" s="339" t="inlineStr">
        <is>
          <t>용호동</t>
        </is>
      </c>
      <c r="B58" s="164" t="n"/>
      <c r="C58" s="164" t="n"/>
      <c r="D58" s="339" t="n">
        <v>9710</v>
      </c>
      <c r="E58" s="113" t="inlineStr">
        <is>
          <t>LG메트로시티4-2차</t>
        </is>
      </c>
      <c r="F58" s="339" t="n">
        <v>2003.08</v>
      </c>
      <c r="G58" s="339" t="n">
        <v>1258</v>
      </c>
      <c r="H58" s="339">
        <f>2026-F58+1</f>
        <v/>
      </c>
      <c r="J58" s="339" t="n">
        <v>84</v>
      </c>
      <c r="K58" s="339" t="n">
        <v>63</v>
      </c>
      <c r="L58" s="339" t="n">
        <v>25</v>
      </c>
      <c r="M58" s="339" t="inlineStr">
        <is>
          <t>계단식</t>
        </is>
      </c>
      <c r="N58" s="339" t="n">
        <v>3</v>
      </c>
      <c r="O58" s="339" t="n">
        <v>1</v>
      </c>
      <c r="P58" s="339" t="n">
        <v>138</v>
      </c>
      <c r="Q58" s="156" t="n">
        <v>42000</v>
      </c>
      <c r="R58" s="156" t="n">
        <v>30000</v>
      </c>
      <c r="S58" s="477">
        <f>Q58-R58</f>
        <v/>
      </c>
      <c r="T58" s="71">
        <f>R58/Q58</f>
        <v/>
      </c>
      <c r="U58" s="339" t="n">
        <v>58800</v>
      </c>
      <c r="V58" s="339" t="n">
        <v>38500</v>
      </c>
      <c r="AM58" s="357" t="n"/>
    </row>
    <row r="59">
      <c r="A59" s="339" t="inlineStr">
        <is>
          <t>용호동</t>
        </is>
      </c>
      <c r="B59" s="164" t="n"/>
      <c r="C59" s="164" t="n"/>
      <c r="D59" s="339" t="n">
        <v>8039</v>
      </c>
      <c r="E59" s="113" t="inlineStr">
        <is>
          <t>LG메트로시티1차</t>
        </is>
      </c>
      <c r="F59" s="339" t="n">
        <v>2001.06</v>
      </c>
      <c r="G59" s="339" t="n">
        <v>2637</v>
      </c>
      <c r="H59" s="339">
        <f>2026-F59+1</f>
        <v/>
      </c>
      <c r="K59" s="339" t="n">
        <v>60</v>
      </c>
      <c r="M59" s="339" t="inlineStr">
        <is>
          <t>계단식</t>
        </is>
      </c>
      <c r="N59" s="339" t="n">
        <v>3</v>
      </c>
      <c r="O59" s="339" t="n">
        <v>1</v>
      </c>
      <c r="P59" s="339" t="n">
        <v>92</v>
      </c>
      <c r="Q59" s="156" t="n">
        <v>41000</v>
      </c>
      <c r="R59" s="156" t="n">
        <v>28000</v>
      </c>
      <c r="S59" s="477">
        <f>Q59-R59</f>
        <v/>
      </c>
      <c r="T59" s="71">
        <f>R59/Q59</f>
        <v/>
      </c>
      <c r="U59" s="339" t="n">
        <v>57800</v>
      </c>
      <c r="V59" s="339" t="n">
        <v>36500</v>
      </c>
      <c r="AM59" s="357" t="n"/>
    </row>
    <row r="60">
      <c r="A60" s="339" t="inlineStr">
        <is>
          <t>용호동</t>
        </is>
      </c>
      <c r="D60" s="339" t="n">
        <v>9710</v>
      </c>
      <c r="E60" s="113" t="inlineStr">
        <is>
          <t>LG메트로시티4-2차</t>
        </is>
      </c>
      <c r="F60" s="339" t="n">
        <v>2003.08</v>
      </c>
      <c r="G60" s="339" t="n">
        <v>1258</v>
      </c>
      <c r="H60" s="339">
        <f>2026-F60+1</f>
        <v/>
      </c>
      <c r="J60" s="339" t="n">
        <v>92</v>
      </c>
      <c r="K60" s="339" t="n">
        <v>70</v>
      </c>
      <c r="L60" s="339" t="n">
        <v>28</v>
      </c>
      <c r="M60" s="339" t="inlineStr">
        <is>
          <t>계단식</t>
        </is>
      </c>
      <c r="N60" s="339" t="n">
        <v>2</v>
      </c>
      <c r="O60" s="339" t="n">
        <v>1</v>
      </c>
      <c r="P60" s="339" t="n">
        <v>92</v>
      </c>
      <c r="Q60" s="156" t="n">
        <v>41000</v>
      </c>
      <c r="R60" s="156" t="n">
        <v>25000</v>
      </c>
      <c r="S60" s="477">
        <f>Q60-R60</f>
        <v/>
      </c>
      <c r="T60" s="71">
        <f>R60/Q60</f>
        <v/>
      </c>
      <c r="V60" s="339" t="n">
        <v>40500</v>
      </c>
    </row>
    <row r="61">
      <c r="A61" s="339" t="inlineStr">
        <is>
          <t>문현동</t>
        </is>
      </c>
      <c r="D61" s="339" t="n">
        <v>114815</v>
      </c>
      <c r="E61" s="113" t="inlineStr">
        <is>
          <t>문현경동리인1단지</t>
        </is>
      </c>
      <c r="F61" s="339" t="n">
        <v>2020.07</v>
      </c>
      <c r="G61" s="339" t="n">
        <v>469</v>
      </c>
      <c r="H61" s="339">
        <f>2026-F61+1</f>
        <v/>
      </c>
      <c r="J61" s="339" t="n">
        <v>94</v>
      </c>
      <c r="K61" s="339" t="n">
        <v>74</v>
      </c>
      <c r="L61" s="339" t="n">
        <v>28</v>
      </c>
      <c r="M61" s="339" t="inlineStr">
        <is>
          <t>계단식</t>
        </is>
      </c>
      <c r="N61" s="339" t="n">
        <v>3</v>
      </c>
      <c r="O61" s="339" t="n">
        <v>2</v>
      </c>
      <c r="P61" s="339" t="n">
        <v>37</v>
      </c>
      <c r="Q61" s="156" t="n">
        <v>40000</v>
      </c>
      <c r="R61" s="156" t="n">
        <v>33000</v>
      </c>
      <c r="S61" s="477">
        <f>Q61-R61</f>
        <v/>
      </c>
      <c r="T61" s="71">
        <f>R61/Q61</f>
        <v/>
      </c>
      <c r="U61" s="339" t="n">
        <v>55000</v>
      </c>
      <c r="V61" s="339" t="n">
        <v>37000</v>
      </c>
    </row>
    <row r="62">
      <c r="A62" s="132" t="inlineStr">
        <is>
          <t>용호동</t>
        </is>
      </c>
      <c r="B62" s="88" t="n"/>
      <c r="C62" s="89" t="n"/>
      <c r="D62" s="132" t="n">
        <v>9711</v>
      </c>
      <c r="E62" s="154" t="inlineStr">
        <is>
          <t>LG메트로시티5차</t>
        </is>
      </c>
      <c r="F62" s="132" t="n">
        <v>2004.1</v>
      </c>
      <c r="G62" s="132" t="n">
        <v>804</v>
      </c>
      <c r="H62" s="132">
        <f>2026-F62+1</f>
        <v/>
      </c>
      <c r="I62" s="133" t="n"/>
      <c r="J62" s="132" t="n">
        <v>81</v>
      </c>
      <c r="K62" s="132" t="n">
        <v>59</v>
      </c>
      <c r="L62" s="132" t="n">
        <v>25</v>
      </c>
      <c r="M62" s="132" t="inlineStr">
        <is>
          <t>계단식</t>
        </is>
      </c>
      <c r="N62" s="132" t="n">
        <v>3</v>
      </c>
      <c r="O62" s="132" t="n">
        <v>1</v>
      </c>
      <c r="P62" s="132" t="n">
        <v>276</v>
      </c>
      <c r="Q62" s="160" t="n">
        <v>40000</v>
      </c>
      <c r="R62" s="160" t="n">
        <v>25000</v>
      </c>
      <c r="S62" s="477">
        <f>Q62-R62</f>
        <v/>
      </c>
      <c r="T62" s="71">
        <f>R62/Q62</f>
        <v/>
      </c>
      <c r="U62" s="133" t="n">
        <v>55500</v>
      </c>
      <c r="V62" s="133" t="n">
        <v>38000</v>
      </c>
      <c r="AA62" s="133" t="n"/>
      <c r="AB62" s="133" t="n"/>
      <c r="AC62" s="133" t="n"/>
      <c r="AD62" s="133" t="n"/>
      <c r="AE62" s="133" t="n"/>
      <c r="AF62" s="133" t="n"/>
      <c r="AG62" s="133" t="n"/>
      <c r="AK62" s="133" t="n"/>
      <c r="AL62" s="133" t="n"/>
      <c r="AM62" s="88" t="n"/>
      <c r="AN62" s="133" t="n"/>
      <c r="AV62" s="133" t="n"/>
    </row>
    <row r="63">
      <c r="A63" s="339" t="inlineStr">
        <is>
          <t>문현동</t>
        </is>
      </c>
      <c r="D63" s="339" t="n">
        <v>114815</v>
      </c>
      <c r="E63" s="113" t="inlineStr">
        <is>
          <t>문현경동리인1단지</t>
        </is>
      </c>
      <c r="F63" s="339" t="n">
        <v>2020.07</v>
      </c>
      <c r="G63" s="339" t="n">
        <v>469</v>
      </c>
      <c r="H63" s="339">
        <f>2026-F63+1</f>
        <v/>
      </c>
      <c r="J63" s="339" t="n">
        <v>92</v>
      </c>
      <c r="K63" s="339" t="n">
        <v>72</v>
      </c>
      <c r="L63" s="339" t="n">
        <v>28</v>
      </c>
      <c r="M63" s="339" t="inlineStr">
        <is>
          <t>계단식</t>
        </is>
      </c>
      <c r="N63" s="339" t="n">
        <v>3</v>
      </c>
      <c r="O63" s="339" t="n">
        <v>2</v>
      </c>
      <c r="P63" s="339" t="n">
        <v>42</v>
      </c>
      <c r="Q63" s="156" t="n">
        <v>39500</v>
      </c>
      <c r="R63" s="156" t="n">
        <v>32000</v>
      </c>
      <c r="S63" s="477">
        <f>Q63-R63</f>
        <v/>
      </c>
      <c r="T63" s="71">
        <f>R63/Q63</f>
        <v/>
      </c>
      <c r="U63" s="339" t="n">
        <v>55000</v>
      </c>
      <c r="V63" s="339" t="n">
        <v>37000</v>
      </c>
    </row>
    <row r="64">
      <c r="A64" s="132" t="inlineStr">
        <is>
          <t>대연동</t>
        </is>
      </c>
      <c r="B64" s="88" t="n"/>
      <c r="C64" s="89" t="n"/>
      <c r="D64" s="132" t="n">
        <v>129153</v>
      </c>
      <c r="E64" s="135" t="inlineStr">
        <is>
          <t>대연삼정그린코아더베스트</t>
        </is>
      </c>
      <c r="F64" s="132" t="n">
        <v>2022.08</v>
      </c>
      <c r="G64" s="132" t="n">
        <v>337</v>
      </c>
      <c r="H64" s="132">
        <f>2026-F64+1</f>
        <v/>
      </c>
      <c r="I64" s="133" t="n"/>
      <c r="J64" s="132" t="n">
        <v>83</v>
      </c>
      <c r="K64" s="132" t="n">
        <v>59</v>
      </c>
      <c r="L64" s="132" t="n">
        <v>25</v>
      </c>
      <c r="M64" s="132" t="inlineStr">
        <is>
          <t>계단식</t>
        </is>
      </c>
      <c r="N64" s="132" t="n">
        <v>3</v>
      </c>
      <c r="O64" s="132" t="n">
        <v>2</v>
      </c>
      <c r="P64" s="132" t="n">
        <v>222</v>
      </c>
      <c r="Q64" s="160" t="n">
        <v>39000</v>
      </c>
      <c r="R64" s="160" t="n">
        <v>40000</v>
      </c>
      <c r="S64" s="477">
        <f>Q64-R64</f>
        <v/>
      </c>
      <c r="T64" s="71">
        <f>R64/Q64</f>
        <v/>
      </c>
      <c r="U64" s="133" t="n"/>
      <c r="V64" s="133" t="n"/>
      <c r="AA64" s="133" t="n"/>
      <c r="AB64" s="133" t="n"/>
      <c r="AC64" s="133" t="n"/>
      <c r="AD64" s="133" t="n"/>
      <c r="AE64" s="133" t="n"/>
      <c r="AF64" s="133" t="n"/>
      <c r="AG64" s="133" t="n"/>
      <c r="AK64" s="133" t="n"/>
      <c r="AL64" s="133" t="n"/>
      <c r="AM64" s="88" t="n"/>
      <c r="AN64" s="133" t="n"/>
      <c r="AV64" s="133" t="n"/>
    </row>
    <row r="65">
      <c r="A65" s="132" t="inlineStr">
        <is>
          <t>문현동</t>
        </is>
      </c>
      <c r="B65" s="88" t="n"/>
      <c r="C65" s="89" t="n"/>
      <c r="D65" s="132" t="n">
        <v>15166</v>
      </c>
      <c r="E65" s="154" t="inlineStr">
        <is>
          <t>문현태영데시앙</t>
        </is>
      </c>
      <c r="F65" s="132" t="n">
        <v>2006.07</v>
      </c>
      <c r="G65" s="132" t="n">
        <v>388</v>
      </c>
      <c r="H65" s="132">
        <f>2026-F65+1</f>
        <v/>
      </c>
      <c r="I65" s="133" t="n"/>
      <c r="J65" s="133" t="n"/>
      <c r="K65" s="132" t="n">
        <v>84</v>
      </c>
      <c r="L65" s="133" t="n"/>
      <c r="M65" s="132" t="inlineStr">
        <is>
          <t>계단식</t>
        </is>
      </c>
      <c r="N65" s="132" t="n">
        <v>3</v>
      </c>
      <c r="O65" s="132" t="n">
        <v>2</v>
      </c>
      <c r="P65" s="132" t="n">
        <v>202</v>
      </c>
      <c r="Q65" s="160" t="n">
        <v>39000</v>
      </c>
      <c r="R65" s="160" t="n">
        <v>27000</v>
      </c>
      <c r="S65" s="477">
        <f>Q65-R65</f>
        <v/>
      </c>
      <c r="T65" s="71">
        <f>R65/Q65</f>
        <v/>
      </c>
      <c r="U65" s="133" t="n">
        <v>54000</v>
      </c>
      <c r="V65" s="133" t="n">
        <v>45000</v>
      </c>
      <c r="AA65" s="133" t="n"/>
      <c r="AB65" s="133" t="n"/>
      <c r="AC65" s="133" t="n"/>
      <c r="AD65" s="133" t="n"/>
      <c r="AE65" s="133" t="n"/>
      <c r="AF65" s="133" t="n"/>
      <c r="AG65" s="133" t="n"/>
      <c r="AK65" s="133" t="n"/>
      <c r="AL65" s="133" t="n"/>
      <c r="AM65" s="88" t="n"/>
      <c r="AN65" s="133" t="n"/>
      <c r="AV65" s="133" t="n"/>
    </row>
    <row r="66">
      <c r="A66" s="339" t="inlineStr">
        <is>
          <t>문현동</t>
        </is>
      </c>
      <c r="D66" s="339" t="n">
        <v>125851</v>
      </c>
      <c r="E66" s="113" t="inlineStr">
        <is>
          <t>오션파라곤</t>
        </is>
      </c>
      <c r="F66" s="339" t="n">
        <v>2022.11</v>
      </c>
      <c r="G66" s="339" t="n">
        <v>662</v>
      </c>
      <c r="H66" s="339">
        <f>2026-F66+1</f>
        <v/>
      </c>
      <c r="K66" s="339" t="n">
        <v>72</v>
      </c>
      <c r="M66" s="339" t="inlineStr">
        <is>
          <t>계단식</t>
        </is>
      </c>
      <c r="N66" s="339" t="n">
        <v>3</v>
      </c>
      <c r="O66" s="339" t="n">
        <v>2</v>
      </c>
      <c r="P66" s="339" t="n">
        <v>116</v>
      </c>
      <c r="Q66" s="156" t="n">
        <v>39000</v>
      </c>
      <c r="S66" s="477">
        <f>Q66-R66</f>
        <v/>
      </c>
      <c r="T66" s="71">
        <f>R66/Q66</f>
        <v/>
      </c>
      <c r="V66" s="339" t="n">
        <v>35000</v>
      </c>
    </row>
    <row r="67">
      <c r="A67" s="339" t="inlineStr">
        <is>
          <t>용호동</t>
        </is>
      </c>
      <c r="B67" s="164" t="n"/>
      <c r="C67" s="164" t="n"/>
      <c r="D67" s="339" t="n">
        <v>8039</v>
      </c>
      <c r="E67" s="113" t="inlineStr">
        <is>
          <t>LG메트로시티1차</t>
        </is>
      </c>
      <c r="F67" s="339" t="n">
        <v>2001.06</v>
      </c>
      <c r="G67" s="339" t="n">
        <v>2637</v>
      </c>
      <c r="H67" s="339">
        <f>2026-F67+1</f>
        <v/>
      </c>
      <c r="K67" s="339" t="n">
        <v>59</v>
      </c>
      <c r="M67" s="339" t="inlineStr">
        <is>
          <t>계단식</t>
        </is>
      </c>
      <c r="N67" s="339" t="n">
        <v>3</v>
      </c>
      <c r="O67" s="339" t="n">
        <v>1</v>
      </c>
      <c r="P67" s="339" t="n">
        <v>92</v>
      </c>
      <c r="Q67" s="156" t="n">
        <v>38500</v>
      </c>
      <c r="R67" s="156" t="n">
        <v>28000</v>
      </c>
      <c r="S67" s="477">
        <f>Q67-R67</f>
        <v/>
      </c>
      <c r="T67" s="71">
        <f>R67/Q67</f>
        <v/>
      </c>
      <c r="U67" s="339" t="n">
        <v>57800</v>
      </c>
      <c r="V67" s="339" t="n">
        <v>36500</v>
      </c>
      <c r="AM67" s="357" t="n"/>
    </row>
    <row r="68">
      <c r="A68" s="132" t="inlineStr">
        <is>
          <t>대연동</t>
        </is>
      </c>
      <c r="B68" s="133" t="n"/>
      <c r="C68" s="133" t="n"/>
      <c r="D68" s="132" t="n">
        <v>4543</v>
      </c>
      <c r="E68" s="154" t="inlineStr">
        <is>
          <t>대연현대</t>
        </is>
      </c>
      <c r="F68" s="132" t="n">
        <v>1997.11</v>
      </c>
      <c r="G68" s="132" t="n">
        <v>366</v>
      </c>
      <c r="H68" s="132">
        <f>2026-F68+1</f>
        <v/>
      </c>
      <c r="I68" s="133" t="n"/>
      <c r="J68" s="132" t="n">
        <v>107</v>
      </c>
      <c r="K68" s="132" t="n">
        <v>84</v>
      </c>
      <c r="L68" s="132" t="n">
        <v>32</v>
      </c>
      <c r="M68" s="132" t="inlineStr">
        <is>
          <t>계단식</t>
        </is>
      </c>
      <c r="N68" s="132" t="n">
        <v>3</v>
      </c>
      <c r="O68" s="132" t="n">
        <v>2</v>
      </c>
      <c r="P68" s="132" t="n">
        <v>133</v>
      </c>
      <c r="Q68" s="160" t="n">
        <v>38000</v>
      </c>
      <c r="R68" s="160" t="n">
        <v>18000</v>
      </c>
      <c r="S68" s="477">
        <f>Q68-R68</f>
        <v/>
      </c>
      <c r="T68" s="71">
        <f>R68/Q68</f>
        <v/>
      </c>
      <c r="U68" s="133" t="n">
        <v>28500</v>
      </c>
      <c r="V68" s="133" t="n">
        <v>19700</v>
      </c>
      <c r="AA68" s="133" t="n"/>
      <c r="AB68" s="133" t="n"/>
      <c r="AC68" s="133" t="n"/>
      <c r="AD68" s="133" t="n"/>
      <c r="AE68" s="133" t="n"/>
      <c r="AF68" s="133" t="n"/>
      <c r="AG68" s="133" t="n"/>
      <c r="AK68" s="133" t="n"/>
      <c r="AL68" s="133" t="n"/>
      <c r="AM68" s="133" t="n"/>
      <c r="AN68" s="133" t="n"/>
      <c r="AV68" s="133" t="n"/>
    </row>
    <row r="69">
      <c r="A69" s="132" t="inlineStr">
        <is>
          <t>문현동</t>
        </is>
      </c>
      <c r="B69" s="88" t="n"/>
      <c r="C69" s="89" t="n"/>
      <c r="D69" s="132" t="n">
        <v>4577</v>
      </c>
      <c r="E69" s="154" t="inlineStr">
        <is>
          <t>문현삼성</t>
        </is>
      </c>
      <c r="F69" s="132" t="n">
        <v>2001.05</v>
      </c>
      <c r="G69" s="132" t="n">
        <v>916</v>
      </c>
      <c r="H69" s="132">
        <f>2026-F69+1</f>
        <v/>
      </c>
      <c r="I69" s="133" t="n"/>
      <c r="J69" s="132" t="n">
        <v>110</v>
      </c>
      <c r="K69" s="132" t="n">
        <v>84</v>
      </c>
      <c r="L69" s="132" t="n">
        <v>33</v>
      </c>
      <c r="M69" s="132" t="inlineStr">
        <is>
          <t>계단식</t>
        </is>
      </c>
      <c r="N69" s="132" t="n">
        <v>3</v>
      </c>
      <c r="O69" s="132" t="n">
        <v>2</v>
      </c>
      <c r="P69" s="132" t="n">
        <v>333</v>
      </c>
      <c r="Q69" s="160" t="n">
        <v>38000</v>
      </c>
      <c r="R69" s="160" t="n">
        <v>27000</v>
      </c>
      <c r="S69" s="477">
        <f>Q69-R69</f>
        <v/>
      </c>
      <c r="T69" s="71">
        <f>R69/Q69</f>
        <v/>
      </c>
      <c r="U69" s="133" t="n">
        <v>58000</v>
      </c>
      <c r="V69" s="133" t="n">
        <v>31000</v>
      </c>
      <c r="AA69" s="133" t="n"/>
      <c r="AB69" s="133" t="n"/>
      <c r="AC69" s="133" t="n"/>
      <c r="AD69" s="133" t="n"/>
      <c r="AE69" s="133" t="n"/>
      <c r="AF69" s="133" t="n"/>
      <c r="AG69" s="133" t="n"/>
      <c r="AK69" s="133" t="n"/>
      <c r="AL69" s="133" t="n"/>
      <c r="AM69" s="88" t="n"/>
      <c r="AN69" s="133" t="n"/>
      <c r="AV69" s="133" t="n"/>
    </row>
    <row r="70">
      <c r="A70" s="339" t="inlineStr">
        <is>
          <t>용호동</t>
        </is>
      </c>
      <c r="D70" s="339" t="n">
        <v>104246</v>
      </c>
      <c r="E70" s="113" t="inlineStr">
        <is>
          <t>쌍용예가</t>
        </is>
      </c>
      <c r="F70" s="339" t="n">
        <v>2013.06</v>
      </c>
      <c r="G70" s="339" t="n">
        <v>773</v>
      </c>
      <c r="H70" s="339">
        <f>2026-F70+1</f>
        <v/>
      </c>
      <c r="K70" s="339" t="n">
        <v>84</v>
      </c>
      <c r="M70" s="339" t="inlineStr">
        <is>
          <t>계단식</t>
        </is>
      </c>
      <c r="N70" s="339" t="n">
        <v>3</v>
      </c>
      <c r="O70" s="339" t="n">
        <v>2</v>
      </c>
      <c r="P70" s="339" t="n">
        <v>282</v>
      </c>
      <c r="Q70" s="156" t="n">
        <v>38000</v>
      </c>
      <c r="R70" s="156" t="n">
        <v>27000</v>
      </c>
      <c r="S70" s="477">
        <f>Q70-R70</f>
        <v/>
      </c>
      <c r="T70" s="71">
        <f>R70/Q70</f>
        <v/>
      </c>
      <c r="U70" s="339" t="n">
        <v>53500</v>
      </c>
      <c r="V70" s="339" t="n">
        <v>34000</v>
      </c>
    </row>
    <row r="71">
      <c r="A71" s="132" t="inlineStr">
        <is>
          <t>우암동</t>
        </is>
      </c>
      <c r="B71" s="88" t="n"/>
      <c r="C71" s="89" t="n"/>
      <c r="D71" s="132" t="n">
        <v>161277</v>
      </c>
      <c r="E71" s="154" t="inlineStr">
        <is>
          <t>두산위브더제니스오션시티</t>
        </is>
      </c>
      <c r="F71" s="132" t="n">
        <v>2026.01</v>
      </c>
      <c r="G71" s="132" t="n">
        <v>3048</v>
      </c>
      <c r="H71" s="132">
        <f>2026-F71+1</f>
        <v/>
      </c>
      <c r="I71" s="133" t="n"/>
      <c r="J71" s="133" t="n"/>
      <c r="K71" s="132" t="n">
        <v>84</v>
      </c>
      <c r="L71" s="133" t="n"/>
      <c r="M71" s="132" t="inlineStr">
        <is>
          <t>계단식</t>
        </is>
      </c>
      <c r="N71" s="132" t="n">
        <v>3</v>
      </c>
      <c r="O71" s="132" t="n">
        <v>2</v>
      </c>
      <c r="P71" s="132" t="n">
        <v>1122</v>
      </c>
      <c r="Q71" s="160" t="n">
        <v>37500</v>
      </c>
      <c r="R71" s="160" t="n">
        <v>45000</v>
      </c>
      <c r="S71" s="477">
        <f>Q71-R71</f>
        <v/>
      </c>
      <c r="T71" s="71">
        <f>R71/Q71</f>
        <v/>
      </c>
      <c r="U71" s="133" t="n"/>
      <c r="V71" s="133" t="n"/>
      <c r="AA71" s="133" t="n"/>
      <c r="AB71" s="133" t="n"/>
      <c r="AC71" s="133" t="n"/>
      <c r="AD71" s="133" t="n"/>
      <c r="AE71" s="133" t="n"/>
      <c r="AF71" s="133" t="n"/>
      <c r="AG71" s="133" t="n"/>
      <c r="AK71" s="133" t="n"/>
      <c r="AL71" s="133" t="n"/>
      <c r="AM71" s="88" t="n"/>
      <c r="AN71" s="133" t="n"/>
      <c r="AV71" s="133" t="n"/>
    </row>
    <row r="72">
      <c r="A72" s="132" t="inlineStr">
        <is>
          <t>문현동</t>
        </is>
      </c>
      <c r="B72" s="88" t="n"/>
      <c r="C72" s="89" t="n"/>
      <c r="D72" s="132" t="n">
        <v>15166</v>
      </c>
      <c r="E72" s="154" t="inlineStr">
        <is>
          <t>문현태영데시앙</t>
        </is>
      </c>
      <c r="F72" s="132" t="n">
        <v>2006.07</v>
      </c>
      <c r="G72" s="132" t="n">
        <v>388</v>
      </c>
      <c r="H72" s="132">
        <f>2026-F72+1</f>
        <v/>
      </c>
      <c r="I72" s="133" t="n"/>
      <c r="J72" s="132" t="n">
        <v>102</v>
      </c>
      <c r="K72" s="132" t="n">
        <v>77</v>
      </c>
      <c r="L72" s="132" t="n">
        <v>31</v>
      </c>
      <c r="M72" s="132" t="inlineStr">
        <is>
          <t>계단식</t>
        </is>
      </c>
      <c r="N72" s="132" t="n">
        <v>3</v>
      </c>
      <c r="O72" s="132" t="n">
        <v>2</v>
      </c>
      <c r="P72" s="132" t="n">
        <v>108</v>
      </c>
      <c r="Q72" s="160" t="n">
        <v>37000</v>
      </c>
      <c r="R72" s="160" t="n">
        <v>25000</v>
      </c>
      <c r="S72" s="477">
        <f>Q72-R72</f>
        <v/>
      </c>
      <c r="T72" s="71">
        <f>R72/Q72</f>
        <v/>
      </c>
      <c r="U72" s="133" t="n">
        <v>48000</v>
      </c>
      <c r="V72" s="133" t="n">
        <v>36000</v>
      </c>
      <c r="AA72" s="133" t="n"/>
      <c r="AB72" s="133" t="n"/>
      <c r="AC72" s="133" t="n"/>
      <c r="AD72" s="133" t="n"/>
      <c r="AE72" s="133" t="n"/>
      <c r="AF72" s="133" t="n"/>
      <c r="AG72" s="133" t="n"/>
      <c r="AK72" s="133" t="n"/>
      <c r="AL72" s="133" t="n"/>
      <c r="AM72" s="88" t="n"/>
      <c r="AN72" s="133" t="n"/>
      <c r="AV72" s="133" t="n"/>
    </row>
    <row r="73">
      <c r="A73" s="132" t="inlineStr">
        <is>
          <t>용호동</t>
        </is>
      </c>
      <c r="B73" s="88" t="n"/>
      <c r="C73" s="89" t="n"/>
      <c r="D73" s="132" t="n">
        <v>127894</v>
      </c>
      <c r="E73" s="154" t="inlineStr">
        <is>
          <t>데시앙해링턴플레이스파크시티</t>
        </is>
      </c>
      <c r="F73" s="132" t="n">
        <v>2023.05</v>
      </c>
      <c r="G73" s="132" t="n">
        <v>1725</v>
      </c>
      <c r="H73" s="132">
        <f>2026-F73+1</f>
        <v/>
      </c>
      <c r="I73" s="133" t="n"/>
      <c r="J73" s="133" t="n"/>
      <c r="K73" s="132" t="n">
        <v>59</v>
      </c>
      <c r="L73" s="133" t="n"/>
      <c r="M73" s="132" t="inlineStr">
        <is>
          <t>계단식</t>
        </is>
      </c>
      <c r="N73" s="132" t="n">
        <v>3</v>
      </c>
      <c r="O73" s="132" t="n">
        <v>2</v>
      </c>
      <c r="P73" s="132" t="n">
        <v>993</v>
      </c>
      <c r="Q73" s="160" t="n">
        <v>36800</v>
      </c>
      <c r="R73" s="160" t="n">
        <v>30000</v>
      </c>
      <c r="S73" s="477">
        <f>Q73-R73</f>
        <v/>
      </c>
      <c r="T73" s="71">
        <f>R73/Q73</f>
        <v/>
      </c>
      <c r="U73" s="133" t="n"/>
      <c r="V73" s="133" t="n">
        <v>30000</v>
      </c>
      <c r="AA73" s="133" t="n"/>
      <c r="AB73" s="133" t="n"/>
      <c r="AC73" s="133" t="n"/>
      <c r="AD73" s="133" t="n"/>
      <c r="AE73" s="133" t="n"/>
      <c r="AF73" s="133" t="n"/>
      <c r="AG73" s="133" t="n"/>
      <c r="AK73" s="133" t="n"/>
      <c r="AL73" s="133" t="n"/>
      <c r="AM73" s="88" t="n"/>
      <c r="AN73" s="133" t="n"/>
      <c r="AV73" s="133" t="n"/>
    </row>
    <row r="74">
      <c r="A74" s="339" t="inlineStr">
        <is>
          <t>용호동</t>
        </is>
      </c>
      <c r="D74" s="339" t="n">
        <v>13513</v>
      </c>
      <c r="E74" s="150" t="inlineStr">
        <is>
          <t>일신님</t>
        </is>
      </c>
      <c r="F74" s="339" t="n">
        <v>2006.01</v>
      </c>
      <c r="G74" s="339" t="n">
        <v>710</v>
      </c>
      <c r="H74" s="339">
        <f>2026-F74+1</f>
        <v/>
      </c>
      <c r="K74" s="339" t="n">
        <v>84</v>
      </c>
      <c r="M74" s="339" t="inlineStr">
        <is>
          <t>계단식</t>
        </is>
      </c>
      <c r="N74" s="339" t="n">
        <v>3</v>
      </c>
      <c r="O74" s="339" t="n">
        <v>2</v>
      </c>
      <c r="P74" s="339" t="n">
        <v>552</v>
      </c>
      <c r="Q74" s="156" t="n">
        <v>36000</v>
      </c>
      <c r="R74" s="156" t="n">
        <v>30000</v>
      </c>
      <c r="S74" s="477">
        <f>Q74-R74</f>
        <v/>
      </c>
      <c r="T74" s="71">
        <f>R74/Q74</f>
        <v/>
      </c>
      <c r="U74" s="339" t="n">
        <v>53500</v>
      </c>
      <c r="V74" s="339" t="n">
        <v>32000</v>
      </c>
    </row>
    <row r="75">
      <c r="A75" s="339" t="inlineStr">
        <is>
          <t>용호동</t>
        </is>
      </c>
      <c r="B75" s="164" t="n"/>
      <c r="C75" s="164" t="n"/>
      <c r="D75" s="339" t="n">
        <v>104246</v>
      </c>
      <c r="E75" s="113" t="inlineStr">
        <is>
          <t>쌍용예가</t>
        </is>
      </c>
      <c r="F75" s="339" t="n">
        <v>2013.06</v>
      </c>
      <c r="G75" s="339" t="n">
        <v>773</v>
      </c>
      <c r="H75" s="339">
        <f>2026-F75+1</f>
        <v/>
      </c>
      <c r="K75" s="339" t="n">
        <v>74</v>
      </c>
      <c r="M75" s="339" t="inlineStr">
        <is>
          <t>계단식</t>
        </is>
      </c>
      <c r="N75" s="339" t="n">
        <v>3</v>
      </c>
      <c r="O75" s="339" t="n">
        <v>2</v>
      </c>
      <c r="P75" s="339" t="n">
        <v>128</v>
      </c>
      <c r="Q75" s="156" t="n">
        <v>35000</v>
      </c>
      <c r="R75" s="156" t="n">
        <v>25000</v>
      </c>
      <c r="S75" s="477">
        <f>Q75-R75</f>
        <v/>
      </c>
      <c r="T75" s="71">
        <f>R75/Q75</f>
        <v/>
      </c>
      <c r="U75" s="339" t="n">
        <v>50500</v>
      </c>
      <c r="V75" s="339" t="n">
        <v>30000</v>
      </c>
      <c r="AM75" s="357" t="n"/>
    </row>
    <row r="76">
      <c r="A76" s="339" t="inlineStr">
        <is>
          <t>대연동</t>
        </is>
      </c>
      <c r="B76" s="164" t="n"/>
      <c r="C76" s="164" t="n"/>
      <c r="D76" s="339" t="n">
        <v>24055</v>
      </c>
      <c r="E76" s="113" t="inlineStr">
        <is>
          <t>대연SK뷰1차</t>
        </is>
      </c>
      <c r="F76" s="339" t="n">
        <v>2007.06</v>
      </c>
      <c r="G76" s="339" t="n">
        <v>421</v>
      </c>
      <c r="H76" s="339">
        <f>2026-F76+1</f>
        <v/>
      </c>
      <c r="J76" s="339" t="n">
        <v>110</v>
      </c>
      <c r="K76" s="339" t="n">
        <v>84</v>
      </c>
      <c r="L76" s="339" t="n">
        <v>33</v>
      </c>
      <c r="M76" s="339" t="inlineStr">
        <is>
          <t>계단식</t>
        </is>
      </c>
      <c r="N76" s="339" t="n">
        <v>3</v>
      </c>
      <c r="O76" s="339" t="n">
        <v>2</v>
      </c>
      <c r="P76" s="339" t="n">
        <v>94</v>
      </c>
      <c r="Q76" s="156" t="n">
        <v>34000</v>
      </c>
      <c r="R76" s="156" t="n">
        <v>28000</v>
      </c>
      <c r="S76" s="477">
        <f>Q76-R76</f>
        <v/>
      </c>
      <c r="T76" s="71">
        <f>R76/Q76</f>
        <v/>
      </c>
      <c r="U76" s="339" t="n">
        <v>43000</v>
      </c>
      <c r="V76" s="339" t="n">
        <v>32000</v>
      </c>
      <c r="AM76" s="357" t="n"/>
    </row>
    <row r="77">
      <c r="A77" s="339" t="inlineStr">
        <is>
          <t>대연동</t>
        </is>
      </c>
      <c r="B77" s="164" t="n"/>
      <c r="C77" s="164" t="n"/>
      <c r="D77" s="339" t="n">
        <v>24055</v>
      </c>
      <c r="E77" s="113" t="inlineStr">
        <is>
          <t>대연SK뷰1차</t>
        </is>
      </c>
      <c r="F77" s="339" t="n">
        <v>2007.06</v>
      </c>
      <c r="G77" s="339" t="n">
        <v>421</v>
      </c>
      <c r="H77" s="339">
        <f>2026-F77+1</f>
        <v/>
      </c>
      <c r="J77" s="339" t="n">
        <v>102</v>
      </c>
      <c r="K77" s="339" t="n">
        <v>78</v>
      </c>
      <c r="L77" s="339" t="n">
        <v>31</v>
      </c>
      <c r="M77" s="339" t="inlineStr">
        <is>
          <t>계단식</t>
        </is>
      </c>
      <c r="N77" s="339" t="n">
        <v>3</v>
      </c>
      <c r="O77" s="339" t="n">
        <v>2</v>
      </c>
      <c r="P77" s="339" t="n">
        <v>66</v>
      </c>
      <c r="Q77" s="156" t="n">
        <v>33000</v>
      </c>
      <c r="R77" s="156" t="n">
        <v>31600</v>
      </c>
      <c r="S77" s="477">
        <f>Q77-R77</f>
        <v/>
      </c>
      <c r="T77" s="71">
        <f>R77/Q77</f>
        <v/>
      </c>
      <c r="U77" s="339" t="n">
        <v>41500</v>
      </c>
      <c r="V77" s="339" t="n">
        <v>30000</v>
      </c>
      <c r="AM77" s="357" t="n"/>
    </row>
    <row r="78">
      <c r="A78" s="339" t="inlineStr">
        <is>
          <t>문현동</t>
        </is>
      </c>
      <c r="B78" s="164" t="n"/>
      <c r="C78" s="164" t="n"/>
      <c r="D78" s="339" t="n">
        <v>125851</v>
      </c>
      <c r="E78" s="113" t="inlineStr">
        <is>
          <t>오션파라곤</t>
        </is>
      </c>
      <c r="F78" s="339" t="n">
        <v>2022.11</v>
      </c>
      <c r="G78" s="339" t="n">
        <v>662</v>
      </c>
      <c r="H78" s="339">
        <f>2026-F78+1</f>
        <v/>
      </c>
      <c r="K78" s="339" t="n">
        <v>59</v>
      </c>
      <c r="M78" s="339" t="inlineStr">
        <is>
          <t>계단식</t>
        </is>
      </c>
      <c r="N78" s="339" t="n">
        <v>3</v>
      </c>
      <c r="O78" s="339" t="n">
        <v>2</v>
      </c>
      <c r="P78" s="339" t="n">
        <v>264</v>
      </c>
      <c r="Q78" s="156" t="n">
        <v>33000</v>
      </c>
      <c r="R78" s="156" t="n">
        <v>30000</v>
      </c>
      <c r="S78" s="477">
        <f>Q78-R78</f>
        <v/>
      </c>
      <c r="T78" s="71">
        <f>R78/Q78</f>
        <v/>
      </c>
      <c r="V78" s="339" t="n">
        <v>24551</v>
      </c>
      <c r="AM78" s="357" t="n"/>
    </row>
    <row r="79">
      <c r="A79" s="132" t="inlineStr">
        <is>
          <t>대연동</t>
        </is>
      </c>
      <c r="B79" s="133" t="n"/>
      <c r="C79" s="133" t="n"/>
      <c r="D79" s="132" t="n">
        <v>10488</v>
      </c>
      <c r="E79" s="154" t="inlineStr">
        <is>
          <t>대연극동</t>
        </is>
      </c>
      <c r="F79" s="132" t="n">
        <v>2002.08</v>
      </c>
      <c r="G79" s="132" t="n">
        <v>413</v>
      </c>
      <c r="H79" s="132">
        <f>2026-F79+1</f>
        <v/>
      </c>
      <c r="I79" s="133" t="n"/>
      <c r="J79" s="133" t="n"/>
      <c r="K79" s="132" t="n">
        <v>84</v>
      </c>
      <c r="L79" s="133" t="n"/>
      <c r="M79" s="132" t="inlineStr">
        <is>
          <t>계단식</t>
        </is>
      </c>
      <c r="N79" s="132" t="n">
        <v>3</v>
      </c>
      <c r="O79" s="132" t="n">
        <v>2</v>
      </c>
      <c r="P79" s="132" t="n">
        <v>185</v>
      </c>
      <c r="Q79" s="160" t="n">
        <v>32000</v>
      </c>
      <c r="R79" s="160" t="n">
        <v>21000</v>
      </c>
      <c r="S79" s="477">
        <f>Q79-R79</f>
        <v/>
      </c>
      <c r="T79" s="71">
        <f>R79/Q79</f>
        <v/>
      </c>
      <c r="U79" s="133" t="n">
        <v>40500</v>
      </c>
      <c r="V79" s="133" t="n">
        <v>31000</v>
      </c>
      <c r="AA79" s="133" t="n"/>
      <c r="AB79" s="133" t="n"/>
      <c r="AC79" s="133" t="n"/>
      <c r="AD79" s="133" t="n"/>
      <c r="AE79" s="133" t="n"/>
      <c r="AF79" s="133" t="n"/>
      <c r="AG79" s="133" t="n"/>
      <c r="AK79" s="133" t="n"/>
      <c r="AL79" s="133" t="n"/>
      <c r="AM79" s="133" t="n"/>
      <c r="AN79" s="133" t="n"/>
      <c r="AV79" s="133" t="n"/>
    </row>
    <row r="80">
      <c r="A80" s="132" t="inlineStr">
        <is>
          <t>문현동</t>
        </is>
      </c>
      <c r="B80" s="88" t="n"/>
      <c r="C80" s="89" t="n"/>
      <c r="D80" s="132" t="n">
        <v>4577</v>
      </c>
      <c r="E80" s="154" t="inlineStr">
        <is>
          <t>문현삼성</t>
        </is>
      </c>
      <c r="F80" s="132" t="n">
        <v>2001.05</v>
      </c>
      <c r="G80" s="132" t="n">
        <v>916</v>
      </c>
      <c r="H80" s="132">
        <f>2026-F80+1</f>
        <v/>
      </c>
      <c r="I80" s="133" t="n"/>
      <c r="J80" s="132" t="n">
        <v>80</v>
      </c>
      <c r="K80" s="132" t="n">
        <v>59</v>
      </c>
      <c r="L80" s="132" t="n">
        <v>24</v>
      </c>
      <c r="M80" s="132" t="inlineStr">
        <is>
          <t>계단식</t>
        </is>
      </c>
      <c r="N80" s="132" t="n">
        <v>3</v>
      </c>
      <c r="O80" s="132" t="n">
        <v>1</v>
      </c>
      <c r="P80" s="132" t="n">
        <v>295</v>
      </c>
      <c r="Q80" s="160" t="n">
        <v>32000</v>
      </c>
      <c r="R80" s="160" t="n">
        <v>22000</v>
      </c>
      <c r="S80" s="477">
        <f>Q80-R80</f>
        <v/>
      </c>
      <c r="T80" s="71">
        <f>R80/Q80</f>
        <v/>
      </c>
      <c r="U80" s="133" t="n">
        <v>42000</v>
      </c>
      <c r="V80" s="133" t="n">
        <v>28500</v>
      </c>
      <c r="AA80" s="133" t="n"/>
      <c r="AB80" s="133" t="n"/>
      <c r="AC80" s="133" t="n"/>
      <c r="AD80" s="133" t="n"/>
      <c r="AE80" s="133" t="n"/>
      <c r="AF80" s="133" t="n"/>
      <c r="AG80" s="133" t="n"/>
      <c r="AK80" s="133" t="n"/>
      <c r="AL80" s="133" t="n"/>
      <c r="AM80" s="88" t="n"/>
      <c r="AN80" s="133" t="n"/>
      <c r="AV80" s="133" t="n"/>
    </row>
    <row r="81">
      <c r="A81" s="132" t="inlineStr">
        <is>
          <t>용호동</t>
        </is>
      </c>
      <c r="B81" s="88" t="n"/>
      <c r="C81" s="89" t="n"/>
      <c r="D81" s="132" t="n">
        <v>4649</v>
      </c>
      <c r="E81" s="154" t="inlineStr">
        <is>
          <t>현대비치</t>
        </is>
      </c>
      <c r="F81" s="132" t="n">
        <v>1997.11</v>
      </c>
      <c r="G81" s="132" t="n">
        <v>648</v>
      </c>
      <c r="H81" s="132">
        <f>2026-F81+1</f>
        <v/>
      </c>
      <c r="I81" s="133" t="n"/>
      <c r="J81" s="132" t="n">
        <v>92</v>
      </c>
      <c r="K81" s="132" t="n">
        <v>72</v>
      </c>
      <c r="L81" s="132" t="n">
        <v>28</v>
      </c>
      <c r="M81" s="132" t="inlineStr">
        <is>
          <t>계단식</t>
        </is>
      </c>
      <c r="N81" s="132" t="n">
        <v>3</v>
      </c>
      <c r="O81" s="132" t="n">
        <v>1</v>
      </c>
      <c r="P81" s="132" t="n">
        <v>142</v>
      </c>
      <c r="Q81" s="160" t="n">
        <v>32000</v>
      </c>
      <c r="R81" s="160" t="n">
        <v>25000</v>
      </c>
      <c r="S81" s="477">
        <f>Q81-R81</f>
        <v/>
      </c>
      <c r="T81" s="71">
        <f>R81/Q81</f>
        <v/>
      </c>
      <c r="U81" s="133" t="n">
        <v>50000</v>
      </c>
      <c r="V81" s="133" t="n">
        <v>33800</v>
      </c>
      <c r="AA81" s="133" t="n"/>
      <c r="AB81" s="133" t="n"/>
      <c r="AC81" s="133" t="n"/>
      <c r="AD81" s="133" t="n"/>
      <c r="AE81" s="133" t="n"/>
      <c r="AF81" s="133" t="n"/>
      <c r="AG81" s="133" t="n"/>
      <c r="AK81" s="133" t="n"/>
      <c r="AL81" s="133" t="n"/>
      <c r="AM81" s="88" t="n"/>
      <c r="AN81" s="133" t="n"/>
      <c r="AV81" s="133" t="n"/>
    </row>
    <row r="82">
      <c r="A82" s="339" t="inlineStr">
        <is>
          <t>용당동</t>
        </is>
      </c>
      <c r="D82" s="339" t="n">
        <v>22395</v>
      </c>
      <c r="E82" s="150" t="inlineStr">
        <is>
          <t>신대연코오롱하늘채</t>
        </is>
      </c>
      <c r="F82" s="339" t="n">
        <v>2007.03</v>
      </c>
      <c r="G82" s="339" t="n">
        <v>712</v>
      </c>
      <c r="H82" s="339">
        <f>2026-F82+1</f>
        <v/>
      </c>
      <c r="K82" s="339" t="n">
        <v>84</v>
      </c>
      <c r="M82" s="339" t="inlineStr">
        <is>
          <t>계단식</t>
        </is>
      </c>
      <c r="N82" s="339" t="n">
        <v>3</v>
      </c>
      <c r="O82" s="339" t="n">
        <v>2</v>
      </c>
      <c r="P82" s="339" t="n">
        <v>586</v>
      </c>
      <c r="Q82" s="156" t="n">
        <v>31000</v>
      </c>
      <c r="R82" s="156" t="n">
        <v>30000</v>
      </c>
      <c r="S82" s="477">
        <f>Q82-R82</f>
        <v/>
      </c>
      <c r="T82" s="71">
        <f>R82/Q82</f>
        <v/>
      </c>
      <c r="U82" s="339" t="n">
        <v>45000</v>
      </c>
      <c r="V82" s="339" t="n">
        <v>26800</v>
      </c>
    </row>
    <row r="83">
      <c r="A83" s="132" t="inlineStr">
        <is>
          <t>용호동</t>
        </is>
      </c>
      <c r="B83" s="88" t="n"/>
      <c r="C83" s="89" t="n"/>
      <c r="D83" s="132" t="n">
        <v>4646</v>
      </c>
      <c r="E83" s="154" t="inlineStr">
        <is>
          <t>일신프리빌리지</t>
        </is>
      </c>
      <c r="F83" s="132" t="n">
        <v>1996.02</v>
      </c>
      <c r="G83" s="132" t="n">
        <v>518</v>
      </c>
      <c r="H83" s="132">
        <f>2026-F83+1</f>
        <v/>
      </c>
      <c r="I83" s="133" t="n"/>
      <c r="J83" s="133" t="n"/>
      <c r="K83" s="132" t="n">
        <v>84</v>
      </c>
      <c r="L83" s="133" t="n"/>
      <c r="M83" s="132" t="inlineStr">
        <is>
          <t>계단식</t>
        </is>
      </c>
      <c r="N83" s="132" t="n">
        <v>3</v>
      </c>
      <c r="O83" s="132" t="n">
        <v>1</v>
      </c>
      <c r="P83" s="132" t="n">
        <v>283</v>
      </c>
      <c r="Q83" s="160" t="n">
        <v>31000</v>
      </c>
      <c r="R83" s="160" t="n">
        <v>24000</v>
      </c>
      <c r="S83" s="477">
        <f>Q83-R83</f>
        <v/>
      </c>
      <c r="T83" s="71">
        <f>R83/Q83</f>
        <v/>
      </c>
      <c r="U83" s="133" t="n">
        <v>44000</v>
      </c>
      <c r="V83" s="133" t="n">
        <v>35000</v>
      </c>
      <c r="AA83" s="133" t="n"/>
      <c r="AB83" s="133" t="n"/>
      <c r="AC83" s="133" t="n"/>
      <c r="AD83" s="133" t="n"/>
      <c r="AE83" s="133" t="n"/>
      <c r="AF83" s="133" t="n"/>
      <c r="AG83" s="133" t="n"/>
      <c r="AK83" s="133" t="n"/>
      <c r="AL83" s="133" t="n"/>
      <c r="AM83" s="88" t="n"/>
      <c r="AN83" s="133" t="n"/>
      <c r="AV83" s="133" t="n"/>
    </row>
    <row r="84">
      <c r="A84" s="339" t="inlineStr">
        <is>
          <t>우암동</t>
        </is>
      </c>
      <c r="D84" s="339" t="n">
        <v>4725</v>
      </c>
      <c r="E84" s="113" t="inlineStr">
        <is>
          <t>동일</t>
        </is>
      </c>
      <c r="F84" s="339" t="n">
        <v>1988.07</v>
      </c>
      <c r="G84" s="339" t="n">
        <v>312</v>
      </c>
      <c r="H84" s="339">
        <f>2026-F84+1</f>
        <v/>
      </c>
      <c r="J84" s="339" t="n">
        <v>84</v>
      </c>
      <c r="K84" s="339" t="n">
        <v>71</v>
      </c>
      <c r="L84" s="339" t="n">
        <v>25</v>
      </c>
      <c r="M84" s="339" t="inlineStr">
        <is>
          <t>계단식</t>
        </is>
      </c>
      <c r="N84" s="339" t="n">
        <v>3</v>
      </c>
      <c r="O84" s="339" t="n">
        <v>1</v>
      </c>
      <c r="P84" s="339" t="n">
        <v>24</v>
      </c>
      <c r="Q84" s="156" t="n">
        <v>31000</v>
      </c>
      <c r="R84" s="156" t="n">
        <v>15000</v>
      </c>
      <c r="S84" s="477">
        <f>Q84-R84</f>
        <v/>
      </c>
      <c r="T84" s="71">
        <f>R84/Q84</f>
        <v/>
      </c>
    </row>
    <row r="85">
      <c r="A85" s="339" t="inlineStr">
        <is>
          <t>대연동</t>
        </is>
      </c>
      <c r="B85" s="164" t="n"/>
      <c r="C85" s="164" t="n"/>
      <c r="D85" s="339" t="n">
        <v>14171</v>
      </c>
      <c r="E85" s="113" t="inlineStr">
        <is>
          <t>대연경동메르빌</t>
        </is>
      </c>
      <c r="F85" s="339" t="n">
        <v>2005.08</v>
      </c>
      <c r="G85" s="339" t="n">
        <v>451</v>
      </c>
      <c r="H85" s="339">
        <f>2026-F85+1</f>
        <v/>
      </c>
      <c r="K85" s="339" t="n">
        <v>84</v>
      </c>
      <c r="M85" s="339" t="inlineStr">
        <is>
          <t>계단식</t>
        </is>
      </c>
      <c r="N85" s="339" t="n">
        <v>3</v>
      </c>
      <c r="O85" s="339" t="n">
        <v>2</v>
      </c>
      <c r="P85" s="339" t="n">
        <v>277</v>
      </c>
      <c r="Q85" s="156" t="n">
        <v>30000</v>
      </c>
      <c r="R85" s="156" t="n">
        <v>24000</v>
      </c>
      <c r="S85" s="477">
        <f>Q85-R85</f>
        <v/>
      </c>
      <c r="T85" s="71">
        <f>R85/Q85</f>
        <v/>
      </c>
      <c r="U85" s="339" t="n">
        <v>43500</v>
      </c>
      <c r="V85" s="339" t="n">
        <v>28000</v>
      </c>
      <c r="AM85" s="357" t="n"/>
    </row>
    <row r="86">
      <c r="A86" s="132" t="inlineStr">
        <is>
          <t>용호동</t>
        </is>
      </c>
      <c r="B86" s="133" t="n"/>
      <c r="C86" s="133" t="n"/>
      <c r="D86" s="132" t="n">
        <v>4636</v>
      </c>
      <c r="E86" s="154" t="inlineStr">
        <is>
          <t>벽산화이트타워</t>
        </is>
      </c>
      <c r="F86" s="132" t="n">
        <v>1994.12</v>
      </c>
      <c r="G86" s="132" t="n">
        <v>343</v>
      </c>
      <c r="H86" s="132">
        <f>2026-F86+1</f>
        <v/>
      </c>
      <c r="I86" s="133" t="n"/>
      <c r="J86" s="133" t="n"/>
      <c r="K86" s="132" t="n">
        <v>84</v>
      </c>
      <c r="L86" s="133" t="n"/>
      <c r="M86" s="132" t="inlineStr">
        <is>
          <t>계단식</t>
        </is>
      </c>
      <c r="N86" s="132" t="n">
        <v>3</v>
      </c>
      <c r="O86" s="132" t="n">
        <v>2</v>
      </c>
      <c r="P86" s="132" t="n">
        <v>220</v>
      </c>
      <c r="Q86" s="160" t="n">
        <v>30000</v>
      </c>
      <c r="R86" s="160" t="n">
        <v>23000</v>
      </c>
      <c r="S86" s="477">
        <f>Q86-R86</f>
        <v/>
      </c>
      <c r="T86" s="71">
        <f>R86/Q86</f>
        <v/>
      </c>
      <c r="U86" s="133" t="n">
        <v>27200</v>
      </c>
      <c r="V86" s="133" t="n">
        <v>17000</v>
      </c>
      <c r="AA86" s="133" t="n"/>
      <c r="AB86" s="133" t="n"/>
      <c r="AC86" s="133" t="n"/>
      <c r="AD86" s="133" t="n"/>
      <c r="AE86" s="133" t="n"/>
      <c r="AF86" s="133" t="n"/>
      <c r="AG86" s="133" t="n"/>
      <c r="AK86" s="133" t="n"/>
      <c r="AL86" s="133" t="n"/>
      <c r="AM86" s="133" t="n"/>
      <c r="AN86" s="133" t="n"/>
      <c r="AV86" s="133" t="n"/>
    </row>
    <row r="87">
      <c r="A87" s="339" t="inlineStr">
        <is>
          <t>문현동</t>
        </is>
      </c>
      <c r="B87" s="164" t="n"/>
      <c r="C87" s="164" t="n"/>
      <c r="D87" s="339" t="n">
        <v>4579</v>
      </c>
      <c r="E87" s="113" t="inlineStr">
        <is>
          <t>대림문현시티프라자(주상복합)</t>
        </is>
      </c>
      <c r="F87" s="339" t="n">
        <v>1999.07</v>
      </c>
      <c r="G87" s="339" t="n">
        <v>521</v>
      </c>
      <c r="H87" s="339">
        <f>2026-F87+1</f>
        <v/>
      </c>
      <c r="K87" s="339" t="n">
        <v>84</v>
      </c>
      <c r="M87" s="339" t="inlineStr">
        <is>
          <t>복도식</t>
        </is>
      </c>
      <c r="N87" s="339" t="n">
        <v>3</v>
      </c>
      <c r="O87" s="339" t="n">
        <v>2</v>
      </c>
      <c r="P87" s="339" t="n">
        <v>58</v>
      </c>
      <c r="Q87" s="156" t="n">
        <v>29500</v>
      </c>
      <c r="R87" s="156" t="n">
        <v>26000</v>
      </c>
      <c r="S87" s="477">
        <f>Q87-R87</f>
        <v/>
      </c>
      <c r="T87" s="71">
        <f>R87/Q87</f>
        <v/>
      </c>
      <c r="U87" s="339" t="n">
        <v>36500</v>
      </c>
      <c r="V87" s="339" t="n">
        <v>30000</v>
      </c>
      <c r="AM87" s="357" t="n"/>
    </row>
    <row r="88">
      <c r="A88" s="339" t="inlineStr">
        <is>
          <t>용호동</t>
        </is>
      </c>
      <c r="B88" s="164" t="n"/>
      <c r="C88" s="164" t="n"/>
      <c r="D88" s="339" t="n">
        <v>13513</v>
      </c>
      <c r="E88" s="113" t="inlineStr">
        <is>
          <t>일신님</t>
        </is>
      </c>
      <c r="F88" s="339" t="n">
        <v>2006.01</v>
      </c>
      <c r="G88" s="339" t="n">
        <v>710</v>
      </c>
      <c r="H88" s="339">
        <f>2026-F88+1</f>
        <v/>
      </c>
      <c r="J88" s="339" t="n">
        <v>84</v>
      </c>
      <c r="K88" s="339" t="n">
        <v>59</v>
      </c>
      <c r="L88" s="339" t="n">
        <v>25</v>
      </c>
      <c r="M88" s="339" t="inlineStr">
        <is>
          <t>계단식</t>
        </is>
      </c>
      <c r="N88" s="339" t="n">
        <v>3</v>
      </c>
      <c r="O88" s="339" t="n">
        <v>2</v>
      </c>
      <c r="P88" s="339" t="n">
        <v>82</v>
      </c>
      <c r="Q88" s="156" t="n">
        <v>29500</v>
      </c>
      <c r="R88" s="156" t="n">
        <v>24000</v>
      </c>
      <c r="S88" s="477">
        <f>Q88-R88</f>
        <v/>
      </c>
      <c r="T88" s="71">
        <f>R88/Q88</f>
        <v/>
      </c>
      <c r="U88" s="339" t="n">
        <v>41000</v>
      </c>
      <c r="V88" s="339" t="n">
        <v>29500</v>
      </c>
      <c r="AM88" s="357" t="n"/>
    </row>
    <row r="89">
      <c r="A89" s="339" t="inlineStr">
        <is>
          <t>감만동</t>
        </is>
      </c>
      <c r="B89" s="164" t="n"/>
      <c r="C89" s="164" t="n"/>
      <c r="D89" s="339" t="n">
        <v>12935</v>
      </c>
      <c r="E89" s="113" t="inlineStr">
        <is>
          <t>감만동일스위트</t>
        </is>
      </c>
      <c r="F89" s="339" t="n">
        <v>2005.1</v>
      </c>
      <c r="G89" s="339" t="n">
        <v>548</v>
      </c>
      <c r="H89" s="339">
        <f>2026-F89+1</f>
        <v/>
      </c>
      <c r="J89" s="339" t="n">
        <v>103</v>
      </c>
      <c r="K89" s="339" t="n">
        <v>80</v>
      </c>
      <c r="L89" s="339" t="n">
        <v>31</v>
      </c>
      <c r="M89" s="339" t="inlineStr">
        <is>
          <t>계단식</t>
        </is>
      </c>
      <c r="N89" s="339" t="n">
        <v>3</v>
      </c>
      <c r="O89" s="339" t="n">
        <v>2</v>
      </c>
      <c r="P89" s="339" t="n">
        <v>50</v>
      </c>
      <c r="Q89" s="156" t="n">
        <v>29000</v>
      </c>
      <c r="R89" s="156" t="n">
        <v>19000</v>
      </c>
      <c r="S89" s="477">
        <f>Q89-R89</f>
        <v/>
      </c>
      <c r="T89" s="71">
        <f>R89/Q89</f>
        <v/>
      </c>
      <c r="U89" s="339" t="n">
        <v>31000</v>
      </c>
      <c r="V89" s="339" t="n">
        <v>30000</v>
      </c>
      <c r="AM89" s="357" t="n"/>
    </row>
    <row r="90">
      <c r="A90" s="132" t="inlineStr">
        <is>
          <t>우암동</t>
        </is>
      </c>
      <c r="B90" s="133" t="n"/>
      <c r="C90" s="133" t="n"/>
      <c r="D90" s="132" t="n">
        <v>11242</v>
      </c>
      <c r="E90" s="154" t="inlineStr">
        <is>
          <t>우암중앙하이츠</t>
        </is>
      </c>
      <c r="F90" s="132" t="n">
        <v>2004.12</v>
      </c>
      <c r="G90" s="132" t="n">
        <v>465</v>
      </c>
      <c r="H90" s="132">
        <f>2026-F90+1</f>
        <v/>
      </c>
      <c r="I90" s="133" t="n"/>
      <c r="J90" s="132" t="n">
        <v>96</v>
      </c>
      <c r="K90" s="132" t="n">
        <v>71</v>
      </c>
      <c r="L90" s="132" t="n">
        <v>29</v>
      </c>
      <c r="M90" s="132" t="inlineStr">
        <is>
          <t>계단식</t>
        </is>
      </c>
      <c r="N90" s="132" t="n">
        <v>3</v>
      </c>
      <c r="O90" s="132" t="n">
        <v>2</v>
      </c>
      <c r="P90" s="132" t="n">
        <v>114</v>
      </c>
      <c r="Q90" s="160" t="n">
        <v>29000</v>
      </c>
      <c r="R90" s="160" t="n">
        <v>20000</v>
      </c>
      <c r="S90" s="477">
        <f>Q90-R90</f>
        <v/>
      </c>
      <c r="T90" s="71">
        <f>R90/Q90</f>
        <v/>
      </c>
      <c r="U90" s="133" t="n">
        <v>35000</v>
      </c>
      <c r="V90" s="133" t="n">
        <v>27000</v>
      </c>
      <c r="AA90" s="133" t="n"/>
      <c r="AB90" s="133" t="n"/>
      <c r="AC90" s="133" t="n"/>
      <c r="AD90" s="133" t="n"/>
      <c r="AE90" s="133" t="n"/>
      <c r="AF90" s="133" t="n"/>
      <c r="AG90" s="133" t="n"/>
      <c r="AK90" s="133" t="n"/>
      <c r="AL90" s="133" t="n"/>
      <c r="AM90" s="133" t="n"/>
      <c r="AN90" s="133" t="n"/>
      <c r="AV90" s="133" t="n"/>
    </row>
    <row r="91">
      <c r="A91" s="339" t="inlineStr">
        <is>
          <t>우암동</t>
        </is>
      </c>
      <c r="B91" s="164" t="n"/>
      <c r="C91" s="164" t="n"/>
      <c r="D91" s="339" t="n">
        <v>4725</v>
      </c>
      <c r="E91" s="113" t="inlineStr">
        <is>
          <t>동일</t>
        </is>
      </c>
      <c r="F91" s="339" t="n">
        <v>1988.07</v>
      </c>
      <c r="G91" s="339" t="n">
        <v>312</v>
      </c>
      <c r="H91" s="339">
        <f>2026-F91+1</f>
        <v/>
      </c>
      <c r="J91" s="339" t="n">
        <v>99</v>
      </c>
      <c r="K91" s="339" t="n">
        <v>84</v>
      </c>
      <c r="L91" s="339" t="n">
        <v>30</v>
      </c>
      <c r="M91" s="339" t="inlineStr">
        <is>
          <t>계단식</t>
        </is>
      </c>
      <c r="N91" s="339" t="n">
        <v>3</v>
      </c>
      <c r="O91" s="339" t="n">
        <v>2</v>
      </c>
      <c r="P91" s="339" t="n">
        <v>18</v>
      </c>
      <c r="Q91" s="156" t="n">
        <v>28000</v>
      </c>
      <c r="R91" s="156" t="n">
        <v>16000</v>
      </c>
      <c r="S91" s="477">
        <f>Q91-R91</f>
        <v/>
      </c>
      <c r="T91" s="71">
        <f>R91/Q91</f>
        <v/>
      </c>
      <c r="U91" s="339" t="n">
        <v>29500</v>
      </c>
      <c r="V91" s="339" t="n">
        <v>28000</v>
      </c>
      <c r="AM91" s="357" t="n"/>
    </row>
    <row r="92">
      <c r="A92" s="132" t="inlineStr">
        <is>
          <t>우암동</t>
        </is>
      </c>
      <c r="B92" s="133" t="n"/>
      <c r="C92" s="133" t="n"/>
      <c r="D92" s="132" t="n">
        <v>11242</v>
      </c>
      <c r="E92" s="154" t="inlineStr">
        <is>
          <t>우암중앙하이츠</t>
        </is>
      </c>
      <c r="F92" s="132" t="n">
        <v>2004.12</v>
      </c>
      <c r="G92" s="132" t="n">
        <v>465</v>
      </c>
      <c r="H92" s="132">
        <f>2026-F92+1</f>
        <v/>
      </c>
      <c r="I92" s="133" t="n"/>
      <c r="J92" s="133" t="n"/>
      <c r="K92" s="132" t="n">
        <v>84</v>
      </c>
      <c r="L92" s="133" t="n"/>
      <c r="M92" s="132" t="inlineStr">
        <is>
          <t>계단식</t>
        </is>
      </c>
      <c r="N92" s="132" t="n">
        <v>3</v>
      </c>
      <c r="O92" s="132" t="n">
        <v>2</v>
      </c>
      <c r="P92" s="132" t="n">
        <v>302</v>
      </c>
      <c r="Q92" s="160" t="n">
        <v>28000</v>
      </c>
      <c r="R92" s="160" t="n">
        <v>24000</v>
      </c>
      <c r="S92" s="477">
        <f>Q92-R92</f>
        <v/>
      </c>
      <c r="T92" s="71">
        <f>R92/Q92</f>
        <v/>
      </c>
      <c r="U92" s="133" t="n">
        <v>35000</v>
      </c>
      <c r="V92" s="133" t="n">
        <v>26000</v>
      </c>
      <c r="AA92" s="133" t="n"/>
      <c r="AB92" s="133" t="n"/>
      <c r="AC92" s="133" t="n"/>
      <c r="AD92" s="133" t="n"/>
      <c r="AE92" s="133" t="n"/>
      <c r="AF92" s="133" t="n"/>
      <c r="AG92" s="133" t="n"/>
      <c r="AK92" s="133" t="n"/>
      <c r="AL92" s="133" t="n"/>
      <c r="AM92" s="133" t="n"/>
      <c r="AN92" s="133" t="n"/>
      <c r="AV92" s="133" t="n"/>
    </row>
    <row r="93">
      <c r="A93" s="132" t="inlineStr">
        <is>
          <t>문현동</t>
        </is>
      </c>
      <c r="B93" s="133" t="n"/>
      <c r="C93" s="133" t="n"/>
      <c r="D93" s="132" t="n">
        <v>4575</v>
      </c>
      <c r="E93" s="135" t="inlineStr">
        <is>
          <t>벽산한성기린</t>
        </is>
      </c>
      <c r="F93" s="132" t="n">
        <v>1990.11</v>
      </c>
      <c r="G93" s="132" t="n">
        <v>300</v>
      </c>
      <c r="H93" s="132">
        <f>2026-F93+1</f>
        <v/>
      </c>
      <c r="I93" s="133" t="n"/>
      <c r="J93" s="133" t="n"/>
      <c r="K93" s="132" t="n">
        <v>84</v>
      </c>
      <c r="L93" s="133" t="n"/>
      <c r="M93" s="132" t="inlineStr">
        <is>
          <t>계단식</t>
        </is>
      </c>
      <c r="N93" s="132" t="n">
        <v>3</v>
      </c>
      <c r="O93" s="132" t="n">
        <v>2</v>
      </c>
      <c r="P93" s="132" t="n">
        <v>300</v>
      </c>
      <c r="Q93" s="160" t="n">
        <v>27500</v>
      </c>
      <c r="R93" s="160" t="n">
        <v>21000</v>
      </c>
      <c r="S93" s="477">
        <f>Q93-R93</f>
        <v/>
      </c>
      <c r="T93" s="71">
        <f>R93/Q93</f>
        <v/>
      </c>
      <c r="U93" s="133" t="n">
        <v>32800</v>
      </c>
      <c r="V93" s="133" t="n">
        <v>24800</v>
      </c>
      <c r="AA93" s="133" t="n"/>
      <c r="AB93" s="133" t="n"/>
      <c r="AC93" s="133" t="n"/>
      <c r="AD93" s="133" t="n"/>
      <c r="AE93" s="133" t="n"/>
      <c r="AF93" s="133" t="n"/>
      <c r="AG93" s="133" t="n"/>
      <c r="AK93" s="133" t="n"/>
      <c r="AL93" s="133" t="n"/>
      <c r="AM93" s="133" t="n"/>
      <c r="AN93" s="133" t="n"/>
      <c r="AV93" s="133" t="n"/>
    </row>
    <row r="94">
      <c r="A94" s="339" t="inlineStr">
        <is>
          <t>용호동</t>
        </is>
      </c>
      <c r="B94" s="164" t="n"/>
      <c r="C94" s="164" t="n"/>
      <c r="D94" s="339" t="n">
        <v>104246</v>
      </c>
      <c r="E94" s="113" t="inlineStr">
        <is>
          <t>쌍용예가</t>
        </is>
      </c>
      <c r="F94" s="339" t="n">
        <v>2013.06</v>
      </c>
      <c r="G94" s="339" t="n">
        <v>773</v>
      </c>
      <c r="H94" s="339">
        <f>2026-F94+1</f>
        <v/>
      </c>
      <c r="K94" s="339" t="n">
        <v>59</v>
      </c>
      <c r="M94" s="339" t="inlineStr">
        <is>
          <t>계단식</t>
        </is>
      </c>
      <c r="N94" s="339" t="n">
        <v>3</v>
      </c>
      <c r="O94" s="339" t="n">
        <v>2</v>
      </c>
      <c r="P94" s="339" t="n">
        <v>281</v>
      </c>
      <c r="Q94" s="156" t="n">
        <v>27500</v>
      </c>
      <c r="R94" s="156" t="n">
        <v>22000</v>
      </c>
      <c r="S94" s="477">
        <f>Q94-R94</f>
        <v/>
      </c>
      <c r="T94" s="71">
        <f>R94/Q94</f>
        <v/>
      </c>
      <c r="U94" s="339" t="n">
        <v>38500</v>
      </c>
      <c r="V94" s="339" t="n">
        <v>24500</v>
      </c>
      <c r="AM94" s="357" t="n"/>
    </row>
    <row r="95">
      <c r="A95" s="132" t="inlineStr">
        <is>
          <t>용호동</t>
        </is>
      </c>
      <c r="B95" s="133" t="n"/>
      <c r="C95" s="133" t="n"/>
      <c r="D95" s="132" t="n">
        <v>4649</v>
      </c>
      <c r="E95" s="154" t="inlineStr">
        <is>
          <t>현대비치</t>
        </is>
      </c>
      <c r="F95" s="132" t="n">
        <v>1997.11</v>
      </c>
      <c r="G95" s="132" t="n">
        <v>648</v>
      </c>
      <c r="H95" s="132">
        <f>2026-F95+1</f>
        <v/>
      </c>
      <c r="I95" s="133" t="n"/>
      <c r="J95" s="132" t="n">
        <v>80</v>
      </c>
      <c r="K95" s="132" t="n">
        <v>59</v>
      </c>
      <c r="L95" s="132" t="n">
        <v>24</v>
      </c>
      <c r="M95" s="132" t="inlineStr">
        <is>
          <t>계단식</t>
        </is>
      </c>
      <c r="N95" s="132" t="n">
        <v>3</v>
      </c>
      <c r="O95" s="132" t="n">
        <v>1</v>
      </c>
      <c r="P95" s="132" t="n">
        <v>231</v>
      </c>
      <c r="Q95" s="160" t="n">
        <v>27500</v>
      </c>
      <c r="R95" s="160" t="n">
        <v>20000</v>
      </c>
      <c r="S95" s="477">
        <f>Q95-R95</f>
        <v/>
      </c>
      <c r="T95" s="71">
        <f>R95/Q95</f>
        <v/>
      </c>
      <c r="U95" s="133" t="n">
        <v>42700</v>
      </c>
      <c r="V95" s="133" t="n">
        <v>26100</v>
      </c>
      <c r="AA95" s="133" t="n"/>
      <c r="AB95" s="133" t="n"/>
      <c r="AC95" s="133" t="n"/>
      <c r="AD95" s="133" t="n"/>
      <c r="AE95" s="133" t="n"/>
      <c r="AF95" s="133" t="n"/>
      <c r="AG95" s="133" t="n"/>
      <c r="AK95" s="133" t="n"/>
      <c r="AL95" s="133" t="n"/>
      <c r="AM95" s="133" t="n"/>
      <c r="AN95" s="133" t="n"/>
      <c r="AV95" s="133" t="n"/>
    </row>
    <row r="96">
      <c r="A96" s="339" t="inlineStr">
        <is>
          <t>감만동</t>
        </is>
      </c>
      <c r="D96" s="339" t="n">
        <v>12935</v>
      </c>
      <c r="E96" s="113" t="inlineStr">
        <is>
          <t>감만동일스위트</t>
        </is>
      </c>
      <c r="F96" s="339" t="n">
        <v>2005.1</v>
      </c>
      <c r="G96" s="339" t="n">
        <v>548</v>
      </c>
      <c r="H96" s="339">
        <f>2026-F96+1</f>
        <v/>
      </c>
      <c r="J96" s="339" t="n">
        <v>96</v>
      </c>
      <c r="K96" s="339" t="n">
        <v>74</v>
      </c>
      <c r="L96" s="339" t="n">
        <v>29</v>
      </c>
      <c r="M96" s="339" t="inlineStr">
        <is>
          <t>계단식</t>
        </is>
      </c>
      <c r="N96" s="339" t="n">
        <v>3</v>
      </c>
      <c r="O96" s="339" t="n">
        <v>2</v>
      </c>
      <c r="P96" s="339" t="n">
        <v>76</v>
      </c>
      <c r="Q96" s="156" t="n">
        <v>27000</v>
      </c>
      <c r="R96" s="156" t="n">
        <v>19000</v>
      </c>
      <c r="S96" s="477">
        <f>Q96-R96</f>
        <v/>
      </c>
      <c r="T96" s="71">
        <f>R96/Q96</f>
        <v/>
      </c>
      <c r="U96" s="339" t="n">
        <v>31500</v>
      </c>
      <c r="V96" s="339" t="n">
        <v>27500</v>
      </c>
    </row>
    <row r="97">
      <c r="A97" s="339" t="inlineStr">
        <is>
          <t>대연동</t>
        </is>
      </c>
      <c r="D97" s="339" t="n">
        <v>4521</v>
      </c>
      <c r="E97" s="113" t="inlineStr">
        <is>
          <t>대연대우</t>
        </is>
      </c>
      <c r="F97" s="339" t="n">
        <v>1996.02</v>
      </c>
      <c r="G97" s="339" t="n">
        <v>457</v>
      </c>
      <c r="H97" s="339">
        <f>2026-F97+1</f>
        <v/>
      </c>
      <c r="J97" s="339" t="n">
        <v>103</v>
      </c>
      <c r="K97" s="339" t="n">
        <v>84</v>
      </c>
      <c r="L97" s="339" t="n">
        <v>31</v>
      </c>
      <c r="M97" s="339" t="inlineStr">
        <is>
          <t>계단식</t>
        </is>
      </c>
      <c r="N97" s="339" t="n">
        <v>3</v>
      </c>
      <c r="O97" s="339" t="n">
        <v>2</v>
      </c>
      <c r="P97" s="339" t="n">
        <v>220</v>
      </c>
      <c r="Q97" s="156" t="n">
        <v>27000</v>
      </c>
      <c r="R97" s="156" t="n">
        <v>19000</v>
      </c>
      <c r="S97" s="477">
        <f>Q97-R97</f>
        <v/>
      </c>
      <c r="T97" s="71">
        <f>R97/Q97</f>
        <v/>
      </c>
      <c r="U97" s="339" t="n">
        <v>29900</v>
      </c>
      <c r="V97" s="339" t="n">
        <v>24000</v>
      </c>
    </row>
    <row r="98">
      <c r="A98" s="132" t="inlineStr">
        <is>
          <t>대연동</t>
        </is>
      </c>
      <c r="B98" s="88" t="n"/>
      <c r="C98" s="89" t="n"/>
      <c r="D98" s="132" t="n">
        <v>4530</v>
      </c>
      <c r="E98" s="154" t="inlineStr">
        <is>
          <t>삼성(649)</t>
        </is>
      </c>
      <c r="F98" s="132" t="n">
        <v>1996.1</v>
      </c>
      <c r="G98" s="132" t="n">
        <v>499</v>
      </c>
      <c r="H98" s="132">
        <f>2026-F98+1</f>
        <v/>
      </c>
      <c r="I98" s="133" t="n"/>
      <c r="J98" s="132" t="n">
        <v>104</v>
      </c>
      <c r="K98" s="132" t="n">
        <v>84</v>
      </c>
      <c r="L98" s="132" t="n">
        <v>31</v>
      </c>
      <c r="M98" s="132" t="inlineStr">
        <is>
          <t>계단식</t>
        </is>
      </c>
      <c r="N98" s="132" t="n">
        <v>3</v>
      </c>
      <c r="O98" s="132" t="n">
        <v>2</v>
      </c>
      <c r="P98" s="132" t="n">
        <v>244</v>
      </c>
      <c r="Q98" s="160" t="n">
        <v>27000</v>
      </c>
      <c r="R98" s="160" t="n">
        <v>22000</v>
      </c>
      <c r="S98" s="477">
        <f>Q98-R98</f>
        <v/>
      </c>
      <c r="T98" s="71">
        <f>R98/Q98</f>
        <v/>
      </c>
      <c r="U98" s="133" t="n">
        <v>38800</v>
      </c>
      <c r="V98" s="133" t="n">
        <v>31850</v>
      </c>
      <c r="AA98" s="133" t="n"/>
      <c r="AB98" s="133" t="n"/>
      <c r="AC98" s="133" t="n"/>
      <c r="AD98" s="133" t="n"/>
      <c r="AE98" s="133" t="n"/>
      <c r="AF98" s="133" t="n"/>
      <c r="AG98" s="133" t="n"/>
      <c r="AK98" s="133" t="n"/>
      <c r="AL98" s="133" t="n"/>
      <c r="AM98" s="88" t="n"/>
      <c r="AN98" s="133" t="n"/>
      <c r="AV98" s="133" t="n"/>
    </row>
    <row r="99">
      <c r="A99" s="339" t="inlineStr">
        <is>
          <t>대연동</t>
        </is>
      </c>
      <c r="D99" s="339" t="n">
        <v>101068</v>
      </c>
      <c r="E99" s="113" t="inlineStr">
        <is>
          <t>대연동일스위트(주상복합)</t>
        </is>
      </c>
      <c r="F99" s="339" t="n">
        <v>2004.12</v>
      </c>
      <c r="G99" s="339" t="n">
        <v>379</v>
      </c>
      <c r="H99" s="339">
        <f>2026-F99+1</f>
        <v/>
      </c>
      <c r="J99" s="136" t="n">
        <v>89</v>
      </c>
      <c r="K99" s="339" t="n">
        <v>65</v>
      </c>
      <c r="M99" s="339" t="inlineStr">
        <is>
          <t>복합식</t>
        </is>
      </c>
      <c r="N99" s="339" t="n">
        <v>1</v>
      </c>
      <c r="O99" s="339" t="n">
        <v>1</v>
      </c>
      <c r="P99" s="339" t="n">
        <v>3</v>
      </c>
      <c r="Q99" s="156" t="n">
        <v>26000</v>
      </c>
      <c r="R99" s="156" t="n">
        <v>18000</v>
      </c>
      <c r="S99" s="477">
        <f>Q99-R99</f>
        <v/>
      </c>
      <c r="T99" s="71">
        <f>R99/Q99</f>
        <v/>
      </c>
      <c r="U99" s="339" t="n">
        <v>28500</v>
      </c>
    </row>
    <row r="100">
      <c r="A100" s="339" t="inlineStr">
        <is>
          <t>용호동</t>
        </is>
      </c>
      <c r="D100" s="339" t="n">
        <v>4650</v>
      </c>
      <c r="E100" s="113" t="inlineStr">
        <is>
          <t>협진태양</t>
        </is>
      </c>
      <c r="F100" s="339" t="n">
        <v>1988.11</v>
      </c>
      <c r="G100" s="339" t="n">
        <v>315</v>
      </c>
      <c r="H100" s="339">
        <f>2026-F100+1</f>
        <v/>
      </c>
      <c r="J100" s="339" t="n">
        <v>86</v>
      </c>
      <c r="K100" s="339" t="n">
        <v>71</v>
      </c>
      <c r="L100" s="339" t="n">
        <v>26</v>
      </c>
      <c r="M100" s="339" t="inlineStr">
        <is>
          <t>계단식</t>
        </is>
      </c>
      <c r="N100" s="339" t="n">
        <v>3</v>
      </c>
      <c r="O100" s="339" t="n">
        <v>1</v>
      </c>
      <c r="P100" s="339" t="n">
        <v>40</v>
      </c>
      <c r="Q100" s="156" t="n">
        <v>26000</v>
      </c>
      <c r="R100" s="156" t="n">
        <v>11000</v>
      </c>
      <c r="S100" s="477">
        <f>Q100-R100</f>
        <v/>
      </c>
      <c r="T100" s="71">
        <f>R100/Q100</f>
        <v/>
      </c>
      <c r="U100" s="339" t="n">
        <v>26000</v>
      </c>
      <c r="V100" s="339" t="n">
        <v>24750</v>
      </c>
    </row>
    <row r="101">
      <c r="A101" s="132" t="inlineStr">
        <is>
          <t>문현동</t>
        </is>
      </c>
      <c r="B101" s="133" t="n"/>
      <c r="C101" s="133" t="n"/>
      <c r="D101" s="132" t="n">
        <v>4592</v>
      </c>
      <c r="E101" s="154" t="inlineStr">
        <is>
          <t>현대</t>
        </is>
      </c>
      <c r="F101" s="132" t="n">
        <v>1998.06</v>
      </c>
      <c r="G101" s="132" t="n">
        <v>693</v>
      </c>
      <c r="H101" s="132">
        <f>2026-F101+1</f>
        <v/>
      </c>
      <c r="I101" s="133" t="n"/>
      <c r="J101" s="132" t="n">
        <v>104</v>
      </c>
      <c r="K101" s="132" t="n">
        <v>84</v>
      </c>
      <c r="L101" s="132" t="n">
        <v>31</v>
      </c>
      <c r="M101" s="132" t="inlineStr">
        <is>
          <t>계단식</t>
        </is>
      </c>
      <c r="N101" s="132" t="n">
        <v>3</v>
      </c>
      <c r="O101" s="132" t="n">
        <v>2</v>
      </c>
      <c r="P101" s="132" t="n">
        <v>305</v>
      </c>
      <c r="Q101" s="160" t="n">
        <v>25500</v>
      </c>
      <c r="R101" s="160" t="n">
        <v>20000</v>
      </c>
      <c r="S101" s="477">
        <f>Q101-R101</f>
        <v/>
      </c>
      <c r="T101" s="71">
        <f>R101/Q101</f>
        <v/>
      </c>
      <c r="U101" s="133" t="n">
        <v>35900</v>
      </c>
      <c r="V101" s="133" t="n">
        <v>28500</v>
      </c>
      <c r="AA101" s="133" t="n"/>
      <c r="AB101" s="133" t="n"/>
      <c r="AC101" s="133" t="n"/>
      <c r="AD101" s="133" t="n"/>
      <c r="AE101" s="133" t="n"/>
      <c r="AF101" s="133" t="n"/>
      <c r="AG101" s="133" t="n"/>
      <c r="AK101" s="133" t="n"/>
      <c r="AL101" s="133" t="n"/>
      <c r="AM101" s="133" t="n"/>
      <c r="AN101" s="133" t="n"/>
      <c r="AV101" s="133" t="n"/>
    </row>
    <row r="102">
      <c r="A102" s="132" t="inlineStr">
        <is>
          <t>우암동</t>
        </is>
      </c>
      <c r="B102" s="133" t="n"/>
      <c r="C102" s="133" t="n"/>
      <c r="D102" s="132" t="n">
        <v>4724</v>
      </c>
      <c r="E102" s="154" t="inlineStr">
        <is>
          <t>뉴서울</t>
        </is>
      </c>
      <c r="F102" s="132" t="n">
        <v>1996.04</v>
      </c>
      <c r="G102" s="132" t="n">
        <v>429</v>
      </c>
      <c r="H102" s="132">
        <f>2026-F102+1</f>
        <v/>
      </c>
      <c r="I102" s="133" t="n"/>
      <c r="J102" s="132" t="n">
        <v>103</v>
      </c>
      <c r="K102" s="132" t="n">
        <v>84</v>
      </c>
      <c r="L102" s="132" t="n">
        <v>31</v>
      </c>
      <c r="M102" s="132" t="inlineStr">
        <is>
          <t>계단식</t>
        </is>
      </c>
      <c r="N102" s="132" t="n">
        <v>3</v>
      </c>
      <c r="O102" s="132" t="n">
        <v>2</v>
      </c>
      <c r="P102" s="132" t="n">
        <v>274</v>
      </c>
      <c r="Q102" s="160" t="n">
        <v>25500</v>
      </c>
      <c r="R102" s="160" t="n">
        <v>20000</v>
      </c>
      <c r="S102" s="477">
        <f>Q102-R102</f>
        <v/>
      </c>
      <c r="T102" s="71">
        <f>R102/Q102</f>
        <v/>
      </c>
      <c r="U102" s="133" t="n">
        <v>34700</v>
      </c>
      <c r="V102" s="133" t="n">
        <v>23000</v>
      </c>
      <c r="AA102" s="133" t="n"/>
      <c r="AB102" s="133" t="n"/>
      <c r="AC102" s="133" t="n"/>
      <c r="AD102" s="133" t="n"/>
      <c r="AE102" s="133" t="n"/>
      <c r="AF102" s="133" t="n"/>
      <c r="AG102" s="133" t="n"/>
      <c r="AK102" s="133" t="n"/>
      <c r="AL102" s="133" t="n"/>
      <c r="AM102" s="133" t="n"/>
      <c r="AN102" s="133" t="n"/>
      <c r="AV102" s="133" t="n"/>
    </row>
    <row r="103">
      <c r="A103" s="339" t="inlineStr">
        <is>
          <t>감만동</t>
        </is>
      </c>
      <c r="B103" s="164" t="n"/>
      <c r="C103" s="164" t="n"/>
      <c r="D103" s="339" t="n">
        <v>4477</v>
      </c>
      <c r="E103" s="113" t="inlineStr">
        <is>
          <t>국제</t>
        </is>
      </c>
      <c r="F103" s="339" t="n">
        <v>1996.1</v>
      </c>
      <c r="G103" s="339" t="n">
        <v>452</v>
      </c>
      <c r="H103" s="339">
        <f>2026-F103+1</f>
        <v/>
      </c>
      <c r="J103" s="339" t="n">
        <v>103</v>
      </c>
      <c r="K103" s="339" t="n">
        <v>82</v>
      </c>
      <c r="L103" s="339" t="n">
        <v>31</v>
      </c>
      <c r="M103" s="339" t="inlineStr">
        <is>
          <t>계단식</t>
        </is>
      </c>
      <c r="N103" s="339" t="n">
        <v>3</v>
      </c>
      <c r="O103" s="339" t="n">
        <v>2</v>
      </c>
      <c r="P103" s="339" t="n">
        <v>176</v>
      </c>
      <c r="Q103" s="156" t="n">
        <v>25000</v>
      </c>
      <c r="R103" s="156" t="n">
        <v>19000</v>
      </c>
      <c r="S103" s="477">
        <f>Q103-R103</f>
        <v/>
      </c>
      <c r="T103" s="71">
        <f>R103/Q103</f>
        <v/>
      </c>
      <c r="U103" s="339" t="n">
        <v>30700</v>
      </c>
      <c r="V103" s="339" t="n">
        <v>24000</v>
      </c>
      <c r="AM103" s="357" t="n"/>
    </row>
    <row r="104">
      <c r="A104" s="132" t="inlineStr">
        <is>
          <t>대연동</t>
        </is>
      </c>
      <c r="B104" s="88" t="n"/>
      <c r="C104" s="89" t="n"/>
      <c r="D104" s="132" t="n">
        <v>4548</v>
      </c>
      <c r="E104" s="154" t="inlineStr">
        <is>
          <t>대연청구</t>
        </is>
      </c>
      <c r="F104" s="132" t="n">
        <v>2001.07</v>
      </c>
      <c r="G104" s="132" t="n">
        <v>604</v>
      </c>
      <c r="H104" s="132">
        <f>2026-F104+1</f>
        <v/>
      </c>
      <c r="I104" s="133" t="n"/>
      <c r="J104" s="133" t="n"/>
      <c r="K104" s="132" t="n">
        <v>84</v>
      </c>
      <c r="L104" s="133" t="n"/>
      <c r="M104" s="132" t="inlineStr">
        <is>
          <t>계단식</t>
        </is>
      </c>
      <c r="N104" s="132" t="n">
        <v>3</v>
      </c>
      <c r="O104" s="132" t="n">
        <v>2</v>
      </c>
      <c r="P104" s="132" t="n">
        <v>240</v>
      </c>
      <c r="Q104" s="160" t="n">
        <v>25000</v>
      </c>
      <c r="R104" s="160" t="n">
        <v>24000</v>
      </c>
      <c r="S104" s="477">
        <f>Q104-R104</f>
        <v/>
      </c>
      <c r="T104" s="71">
        <f>R104/Q104</f>
        <v/>
      </c>
      <c r="U104" s="133" t="n">
        <v>34000</v>
      </c>
      <c r="V104" s="133" t="n">
        <v>21341</v>
      </c>
      <c r="AA104" s="133" t="n"/>
      <c r="AB104" s="133" t="n"/>
      <c r="AC104" s="133" t="n"/>
      <c r="AD104" s="133" t="n"/>
      <c r="AE104" s="133" t="n"/>
      <c r="AF104" s="133" t="n"/>
      <c r="AG104" s="133" t="n"/>
      <c r="AK104" s="133" t="n"/>
      <c r="AL104" s="133" t="n"/>
      <c r="AM104" s="88" t="n"/>
      <c r="AN104" s="133" t="n"/>
      <c r="AV104" s="133" t="n"/>
    </row>
    <row r="105">
      <c r="A105" s="132" t="inlineStr">
        <is>
          <t>대연동</t>
        </is>
      </c>
      <c r="B105" s="88" t="n"/>
      <c r="C105" s="89" t="n"/>
      <c r="D105" s="132" t="n">
        <v>4543</v>
      </c>
      <c r="E105" s="135" t="inlineStr">
        <is>
          <t>대연현대</t>
        </is>
      </c>
      <c r="F105" s="132" t="n">
        <v>1997.11</v>
      </c>
      <c r="G105" s="132" t="n">
        <v>366</v>
      </c>
      <c r="H105" s="132">
        <f>2026-F105+1</f>
        <v/>
      </c>
      <c r="I105" s="133" t="n"/>
      <c r="J105" s="132" t="n">
        <v>80</v>
      </c>
      <c r="K105" s="132" t="n">
        <v>59</v>
      </c>
      <c r="L105" s="132" t="n">
        <v>24</v>
      </c>
      <c r="M105" s="132" t="inlineStr">
        <is>
          <t>복도식</t>
        </is>
      </c>
      <c r="N105" s="132" t="n">
        <v>3</v>
      </c>
      <c r="O105" s="132" t="n">
        <v>1</v>
      </c>
      <c r="P105" s="132" t="n">
        <v>189</v>
      </c>
      <c r="Q105" s="160" t="n">
        <v>25000</v>
      </c>
      <c r="R105" s="160" t="n">
        <v>18000</v>
      </c>
      <c r="S105" s="477">
        <f>Q105-R105</f>
        <v/>
      </c>
      <c r="T105" s="71">
        <f>R105/Q105</f>
        <v/>
      </c>
      <c r="U105" s="133" t="n">
        <v>19250</v>
      </c>
      <c r="V105" s="133" t="n">
        <v>17300</v>
      </c>
      <c r="AA105" s="133" t="n"/>
      <c r="AB105" s="133" t="n"/>
      <c r="AC105" s="133" t="n"/>
      <c r="AD105" s="133" t="n"/>
      <c r="AE105" s="133" t="n"/>
      <c r="AF105" s="133" t="n"/>
      <c r="AG105" s="133" t="n"/>
      <c r="AK105" s="133" t="n"/>
      <c r="AL105" s="133" t="n"/>
      <c r="AM105" s="88" t="n"/>
      <c r="AN105" s="133" t="n"/>
      <c r="AV105" s="133" t="n"/>
    </row>
    <row r="106">
      <c r="A106" s="339" t="inlineStr">
        <is>
          <t>용당동</t>
        </is>
      </c>
      <c r="D106" s="339" t="n">
        <v>11665</v>
      </c>
      <c r="E106" s="113" t="inlineStr">
        <is>
          <t>현대아이파크</t>
        </is>
      </c>
      <c r="F106" s="339" t="n">
        <v>2002.12</v>
      </c>
      <c r="G106" s="339" t="n">
        <v>748</v>
      </c>
      <c r="H106" s="339">
        <f>2026-F106+1</f>
        <v/>
      </c>
      <c r="J106" s="339" t="n">
        <v>108</v>
      </c>
      <c r="K106" s="339" t="n">
        <v>84</v>
      </c>
      <c r="L106" s="339" t="n">
        <v>33</v>
      </c>
      <c r="M106" s="339" t="inlineStr">
        <is>
          <t>계단식</t>
        </is>
      </c>
      <c r="N106" s="339" t="n">
        <v>3</v>
      </c>
      <c r="O106" s="339" t="n">
        <v>2</v>
      </c>
      <c r="P106" s="339" t="n">
        <v>299</v>
      </c>
      <c r="Q106" s="156" t="n">
        <v>25000</v>
      </c>
      <c r="R106" s="156" t="n">
        <v>22000</v>
      </c>
      <c r="S106" s="477">
        <f>Q106-R106</f>
        <v/>
      </c>
      <c r="T106" s="71">
        <f>R106/Q106</f>
        <v/>
      </c>
      <c r="U106" s="339" t="n">
        <v>34500</v>
      </c>
      <c r="V106" s="339" t="n">
        <v>20000</v>
      </c>
    </row>
    <row r="107">
      <c r="A107" s="339" t="inlineStr">
        <is>
          <t>용호동</t>
        </is>
      </c>
      <c r="D107" s="339" t="n">
        <v>15882</v>
      </c>
      <c r="E107" s="113" t="inlineStr">
        <is>
          <t>오륙도뜨란채</t>
        </is>
      </c>
      <c r="F107" s="339" t="n">
        <v>2000.04</v>
      </c>
      <c r="G107" s="339" t="n">
        <v>480</v>
      </c>
      <c r="H107" s="339">
        <f>2026-F107+1</f>
        <v/>
      </c>
      <c r="K107" s="339" t="n">
        <v>84</v>
      </c>
      <c r="M107" s="339" t="inlineStr">
        <is>
          <t>계단식</t>
        </is>
      </c>
      <c r="N107" s="339" t="n">
        <v>3</v>
      </c>
      <c r="O107" s="339" t="n">
        <v>2</v>
      </c>
      <c r="P107" s="339" t="n">
        <v>103</v>
      </c>
      <c r="Q107" s="156" t="n">
        <v>25000</v>
      </c>
      <c r="R107" s="156" t="n">
        <v>18000</v>
      </c>
      <c r="S107" s="477">
        <f>Q107-R107</f>
        <v/>
      </c>
      <c r="T107" s="71">
        <f>R107/Q107</f>
        <v/>
      </c>
      <c r="U107" s="339" t="n">
        <v>27000</v>
      </c>
      <c r="V107" s="339" t="n">
        <v>19000</v>
      </c>
    </row>
    <row r="108">
      <c r="A108" s="339" t="inlineStr">
        <is>
          <t>감만동</t>
        </is>
      </c>
      <c r="D108" s="339" t="n">
        <v>12935</v>
      </c>
      <c r="E108" s="113" t="inlineStr">
        <is>
          <t>감만동일스위트</t>
        </is>
      </c>
      <c r="F108" s="339" t="n">
        <v>2005.1</v>
      </c>
      <c r="G108" s="339" t="n">
        <v>548</v>
      </c>
      <c r="H108" s="339">
        <f>2026-F108+1</f>
        <v/>
      </c>
      <c r="J108" s="339" t="n">
        <v>116</v>
      </c>
      <c r="K108" s="339" t="n">
        <v>84</v>
      </c>
      <c r="L108" s="339" t="n">
        <v>35</v>
      </c>
      <c r="M108" s="339" t="inlineStr">
        <is>
          <t>계단식</t>
        </is>
      </c>
      <c r="N108" s="339" t="n">
        <v>3</v>
      </c>
      <c r="O108" s="339" t="n">
        <v>2</v>
      </c>
      <c r="P108" s="339" t="n">
        <v>84</v>
      </c>
      <c r="Q108" s="156" t="n">
        <v>24500</v>
      </c>
      <c r="R108" s="156" t="n">
        <v>21000</v>
      </c>
      <c r="S108" s="477">
        <f>Q108-R108</f>
        <v/>
      </c>
      <c r="T108" s="71">
        <f>R108/Q108</f>
        <v/>
      </c>
      <c r="U108" s="339" t="n">
        <v>36000</v>
      </c>
      <c r="V108" s="339" t="n">
        <v>35500</v>
      </c>
    </row>
    <row r="109">
      <c r="A109" s="132" t="inlineStr">
        <is>
          <t>감만동</t>
        </is>
      </c>
      <c r="B109" s="88" t="n"/>
      <c r="C109" s="89" t="n"/>
      <c r="D109" s="132" t="n">
        <v>4502</v>
      </c>
      <c r="E109" s="154" t="inlineStr">
        <is>
          <t>감만현대1차</t>
        </is>
      </c>
      <c r="F109" s="132" t="n">
        <v>1996.05</v>
      </c>
      <c r="G109" s="132" t="n">
        <v>885</v>
      </c>
      <c r="H109" s="132">
        <f>2026-F109+1</f>
        <v/>
      </c>
      <c r="I109" s="133" t="n"/>
      <c r="J109" s="132" t="n">
        <v>104</v>
      </c>
      <c r="K109" s="132" t="n">
        <v>84</v>
      </c>
      <c r="L109" s="132" t="n">
        <v>31</v>
      </c>
      <c r="M109" s="132" t="inlineStr">
        <is>
          <t>계단식</t>
        </is>
      </c>
      <c r="N109" s="132" t="n">
        <v>3</v>
      </c>
      <c r="O109" s="132" t="n">
        <v>2</v>
      </c>
      <c r="P109" s="132" t="n">
        <v>96</v>
      </c>
      <c r="Q109" s="160" t="n">
        <v>24000</v>
      </c>
      <c r="R109" s="160" t="n">
        <v>16500</v>
      </c>
      <c r="S109" s="477">
        <f>Q109-R109</f>
        <v/>
      </c>
      <c r="T109" s="71">
        <f>R109/Q109</f>
        <v/>
      </c>
      <c r="U109" s="133" t="n">
        <v>26500</v>
      </c>
      <c r="V109" s="133" t="n">
        <v>19000</v>
      </c>
      <c r="AA109" s="133" t="n"/>
      <c r="AB109" s="133" t="n"/>
      <c r="AC109" s="133" t="n"/>
      <c r="AD109" s="133" t="n"/>
      <c r="AE109" s="133" t="n"/>
      <c r="AF109" s="133" t="n"/>
      <c r="AG109" s="133" t="n"/>
      <c r="AK109" s="133" t="n"/>
      <c r="AL109" s="133" t="n"/>
      <c r="AM109" s="88" t="n"/>
      <c r="AN109" s="133" t="n"/>
      <c r="AV109" s="133" t="n"/>
    </row>
    <row r="110">
      <c r="A110" s="339" t="inlineStr">
        <is>
          <t>대연동</t>
        </is>
      </c>
      <c r="D110" s="339" t="n">
        <v>14171</v>
      </c>
      <c r="E110" s="113" t="inlineStr">
        <is>
          <t>대연경동메르빌</t>
        </is>
      </c>
      <c r="F110" s="339" t="n">
        <v>2005.08</v>
      </c>
      <c r="G110" s="339" t="n">
        <v>451</v>
      </c>
      <c r="H110" s="339">
        <f>2026-F110+1</f>
        <v/>
      </c>
      <c r="K110" s="339" t="n">
        <v>59</v>
      </c>
      <c r="M110" s="339" t="inlineStr">
        <is>
          <t>계단식</t>
        </is>
      </c>
      <c r="N110" s="339" t="n">
        <v>3</v>
      </c>
      <c r="O110" s="339" t="n">
        <v>2</v>
      </c>
      <c r="P110" s="339" t="n">
        <v>116</v>
      </c>
      <c r="Q110" s="156" t="n">
        <v>24000</v>
      </c>
      <c r="R110" s="156" t="n">
        <v>20000</v>
      </c>
      <c r="S110" s="477">
        <f>Q110-R110</f>
        <v/>
      </c>
      <c r="T110" s="71">
        <f>R110/Q110</f>
        <v/>
      </c>
      <c r="U110" s="339" t="n">
        <v>31000</v>
      </c>
      <c r="V110" s="339" t="n">
        <v>20000</v>
      </c>
    </row>
    <row r="111">
      <c r="A111" s="339" t="inlineStr">
        <is>
          <t>대연동</t>
        </is>
      </c>
      <c r="D111" s="339" t="n">
        <v>101068</v>
      </c>
      <c r="E111" s="113" t="inlineStr">
        <is>
          <t>대연동일스위트(주상복합)</t>
        </is>
      </c>
      <c r="F111" s="339" t="n">
        <v>2004.12</v>
      </c>
      <c r="G111" s="339" t="n">
        <v>379</v>
      </c>
      <c r="H111" s="339">
        <f>2026-F111+1</f>
        <v/>
      </c>
      <c r="J111" s="136" t="n">
        <v>87</v>
      </c>
      <c r="K111" s="339" t="n">
        <v>64</v>
      </c>
      <c r="M111" s="339" t="inlineStr">
        <is>
          <t>복합식</t>
        </is>
      </c>
      <c r="N111" s="339" t="n">
        <v>2</v>
      </c>
      <c r="O111" s="339" t="n">
        <v>1</v>
      </c>
      <c r="P111" s="339" t="n">
        <v>6</v>
      </c>
      <c r="Q111" s="156" t="n">
        <v>24000</v>
      </c>
      <c r="R111" s="156" t="n">
        <v>20000</v>
      </c>
      <c r="S111" s="477">
        <f>Q111-R111</f>
        <v/>
      </c>
      <c r="T111" s="71">
        <f>R111/Q111</f>
        <v/>
      </c>
      <c r="U111" s="339" t="n">
        <v>28500</v>
      </c>
      <c r="V111" s="339" t="n">
        <v>28000</v>
      </c>
    </row>
    <row r="112">
      <c r="A112" s="132" t="inlineStr">
        <is>
          <t>용호동</t>
        </is>
      </c>
      <c r="B112" s="88" t="n"/>
      <c r="C112" s="89" t="n"/>
      <c r="D112" s="132" t="n">
        <v>4633</v>
      </c>
      <c r="E112" s="154" t="inlineStr">
        <is>
          <t>용호동일타운</t>
        </is>
      </c>
      <c r="F112" s="132" t="n">
        <v>1991.1</v>
      </c>
      <c r="G112" s="132" t="n">
        <v>444</v>
      </c>
      <c r="H112" s="132">
        <f>2026-F112+1</f>
        <v/>
      </c>
      <c r="I112" s="133" t="n"/>
      <c r="J112" s="133" t="n"/>
      <c r="K112" s="132" t="n">
        <v>76</v>
      </c>
      <c r="L112" s="133" t="n"/>
      <c r="M112" s="132" t="inlineStr">
        <is>
          <t>계단식</t>
        </is>
      </c>
      <c r="N112" s="132" t="n">
        <v>3</v>
      </c>
      <c r="O112" s="132" t="n">
        <v>1</v>
      </c>
      <c r="P112" s="132" t="n">
        <v>15</v>
      </c>
      <c r="Q112" s="160" t="n">
        <v>24000</v>
      </c>
      <c r="R112" s="160" t="n">
        <v>18000</v>
      </c>
      <c r="S112" s="477">
        <f>Q112-R112</f>
        <v/>
      </c>
      <c r="T112" s="71">
        <f>R112/Q112</f>
        <v/>
      </c>
      <c r="U112" s="133" t="n">
        <v>26200</v>
      </c>
      <c r="V112" s="133" t="n">
        <v>18500</v>
      </c>
      <c r="AA112" s="133" t="n"/>
      <c r="AB112" s="133" t="n"/>
      <c r="AC112" s="133" t="n"/>
      <c r="AD112" s="133" t="n"/>
      <c r="AE112" s="133" t="n"/>
      <c r="AF112" s="133" t="n"/>
      <c r="AG112" s="133" t="n"/>
      <c r="AK112" s="133" t="n"/>
      <c r="AL112" s="133" t="n"/>
      <c r="AM112" s="88" t="n"/>
      <c r="AN112" s="133" t="n"/>
      <c r="AV112" s="133" t="n"/>
    </row>
    <row r="113">
      <c r="A113" s="132" t="inlineStr">
        <is>
          <t>용호동</t>
        </is>
      </c>
      <c r="B113" s="88" t="n"/>
      <c r="C113" s="89" t="n"/>
      <c r="D113" s="132" t="n">
        <v>4633</v>
      </c>
      <c r="E113" s="154" t="inlineStr">
        <is>
          <t>용호동일타운</t>
        </is>
      </c>
      <c r="F113" s="132" t="n">
        <v>1991.1</v>
      </c>
      <c r="G113" s="132" t="n">
        <v>444</v>
      </c>
      <c r="H113" s="132">
        <f>2026-F113+1</f>
        <v/>
      </c>
      <c r="I113" s="133" t="n"/>
      <c r="J113" s="132" t="n">
        <v>102</v>
      </c>
      <c r="K113" s="132" t="n">
        <v>84</v>
      </c>
      <c r="L113" s="132" t="n">
        <v>31</v>
      </c>
      <c r="M113" s="132" t="inlineStr">
        <is>
          <t>계단식</t>
        </is>
      </c>
      <c r="N113" s="132" t="n">
        <v>3</v>
      </c>
      <c r="O113" s="132" t="n">
        <v>2</v>
      </c>
      <c r="P113" s="132" t="n">
        <v>180</v>
      </c>
      <c r="Q113" s="160" t="n">
        <v>24000</v>
      </c>
      <c r="R113" s="160" t="n">
        <v>15000</v>
      </c>
      <c r="S113" s="477">
        <f>Q113-R113</f>
        <v/>
      </c>
      <c r="T113" s="71">
        <f>R113/Q113</f>
        <v/>
      </c>
      <c r="U113" s="133" t="n">
        <v>27500</v>
      </c>
      <c r="V113" s="133" t="n">
        <v>21000</v>
      </c>
      <c r="AA113" s="133" t="n"/>
      <c r="AB113" s="133" t="n"/>
      <c r="AC113" s="133" t="n"/>
      <c r="AD113" s="133" t="n"/>
      <c r="AE113" s="133" t="n"/>
      <c r="AF113" s="133" t="n"/>
      <c r="AG113" s="133" t="n"/>
      <c r="AK113" s="133" t="n"/>
      <c r="AL113" s="133" t="n"/>
      <c r="AM113" s="88" t="n"/>
      <c r="AN113" s="133" t="n"/>
      <c r="AV113" s="133" t="n"/>
    </row>
    <row r="114">
      <c r="A114" s="339" t="inlineStr">
        <is>
          <t>대연동</t>
        </is>
      </c>
      <c r="B114" s="164" t="n"/>
      <c r="C114" s="164" t="n"/>
      <c r="D114" s="339" t="n">
        <v>4532</v>
      </c>
      <c r="E114" s="113" t="inlineStr">
        <is>
          <t>삼익그린타운</t>
        </is>
      </c>
      <c r="F114" s="339" t="n">
        <v>2001.02</v>
      </c>
      <c r="G114" s="339" t="n">
        <v>725</v>
      </c>
      <c r="H114" s="339">
        <f>2026-F114+1</f>
        <v/>
      </c>
      <c r="J114" s="339" t="n">
        <v>104</v>
      </c>
      <c r="K114" s="339" t="n">
        <v>84</v>
      </c>
      <c r="L114" s="339" t="n">
        <v>31</v>
      </c>
      <c r="M114" s="339" t="inlineStr">
        <is>
          <t>계단식</t>
        </is>
      </c>
      <c r="N114" s="339" t="n">
        <v>3</v>
      </c>
      <c r="O114" s="339" t="n">
        <v>2</v>
      </c>
      <c r="P114" s="339" t="n">
        <v>289</v>
      </c>
      <c r="Q114" s="156" t="n">
        <v>23000</v>
      </c>
      <c r="R114" s="156" t="n">
        <v>23000</v>
      </c>
      <c r="S114" s="477">
        <f>Q114-R114</f>
        <v/>
      </c>
      <c r="T114" s="71">
        <f>R114/Q114</f>
        <v/>
      </c>
      <c r="U114" s="339" t="n">
        <v>31800</v>
      </c>
      <c r="V114" s="339" t="n">
        <v>20000</v>
      </c>
      <c r="AM114" s="357" t="n"/>
    </row>
    <row r="115">
      <c r="A115" s="339" t="inlineStr">
        <is>
          <t>용당동</t>
        </is>
      </c>
      <c r="B115" s="164" t="n"/>
      <c r="C115" s="164" t="n"/>
      <c r="D115" s="339" t="n">
        <v>11665</v>
      </c>
      <c r="E115" s="113" t="inlineStr">
        <is>
          <t>현대아이파크</t>
        </is>
      </c>
      <c r="F115" s="339" t="n">
        <v>2002.12</v>
      </c>
      <c r="G115" s="339" t="n">
        <v>748</v>
      </c>
      <c r="H115" s="339">
        <f>2026-F115+1</f>
        <v/>
      </c>
      <c r="J115" s="339" t="n">
        <v>98</v>
      </c>
      <c r="K115" s="339" t="n">
        <v>77</v>
      </c>
      <c r="L115" s="339" t="n">
        <v>30</v>
      </c>
      <c r="M115" s="339" t="inlineStr">
        <is>
          <t>계단식</t>
        </is>
      </c>
      <c r="N115" s="339" t="n">
        <v>3</v>
      </c>
      <c r="O115" s="339" t="n">
        <v>2</v>
      </c>
      <c r="P115" s="339" t="n">
        <v>150</v>
      </c>
      <c r="Q115" s="156" t="n">
        <v>23000</v>
      </c>
      <c r="R115" s="156" t="n">
        <v>19000</v>
      </c>
      <c r="S115" s="477">
        <f>Q115-R115</f>
        <v/>
      </c>
      <c r="T115" s="71">
        <f>R115/Q115</f>
        <v/>
      </c>
      <c r="U115" s="339" t="n">
        <v>30800</v>
      </c>
      <c r="V115" s="339" t="n">
        <v>23000</v>
      </c>
      <c r="AM115" s="357" t="n"/>
    </row>
    <row r="116">
      <c r="A116" s="132" t="inlineStr">
        <is>
          <t>용호동</t>
        </is>
      </c>
      <c r="B116" s="133" t="n"/>
      <c r="C116" s="133" t="n"/>
      <c r="D116" s="132" t="n">
        <v>4646</v>
      </c>
      <c r="E116" s="154" t="inlineStr">
        <is>
          <t>일신프리빌리지</t>
        </is>
      </c>
      <c r="F116" s="132" t="n">
        <v>1996.02</v>
      </c>
      <c r="G116" s="132" t="n">
        <v>518</v>
      </c>
      <c r="H116" s="132">
        <f>2026-F116+1</f>
        <v/>
      </c>
      <c r="I116" s="133" t="n"/>
      <c r="J116" s="132" t="n">
        <v>77</v>
      </c>
      <c r="K116" s="132" t="n">
        <v>59</v>
      </c>
      <c r="L116" s="132" t="n">
        <v>23</v>
      </c>
      <c r="M116" s="132" t="inlineStr">
        <is>
          <t>계단식</t>
        </is>
      </c>
      <c r="N116" s="132" t="n">
        <v>3</v>
      </c>
      <c r="O116" s="132" t="n">
        <v>1</v>
      </c>
      <c r="P116" s="132" t="n">
        <v>185</v>
      </c>
      <c r="Q116" s="160" t="n">
        <v>23000</v>
      </c>
      <c r="R116" s="160" t="n">
        <v>19000</v>
      </c>
      <c r="S116" s="477">
        <f>Q116-R116</f>
        <v/>
      </c>
      <c r="T116" s="71">
        <f>R116/Q116</f>
        <v/>
      </c>
      <c r="U116" s="133" t="n">
        <v>33500</v>
      </c>
      <c r="V116" s="133" t="n">
        <v>24800</v>
      </c>
      <c r="AA116" s="133" t="n"/>
      <c r="AB116" s="133" t="n"/>
      <c r="AC116" s="133" t="n"/>
      <c r="AD116" s="133" t="n"/>
      <c r="AE116" s="133" t="n"/>
      <c r="AF116" s="133" t="n"/>
      <c r="AG116" s="133" t="n"/>
      <c r="AK116" s="133" t="n"/>
      <c r="AL116" s="133" t="n"/>
      <c r="AM116" s="133" t="n"/>
      <c r="AN116" s="133" t="n"/>
      <c r="AV116" s="133" t="n"/>
    </row>
    <row r="117">
      <c r="A117" s="339" t="inlineStr">
        <is>
          <t>우암동</t>
        </is>
      </c>
      <c r="D117" s="339" t="n">
        <v>4737</v>
      </c>
      <c r="E117" s="113" t="inlineStr">
        <is>
          <t>우암자유2차</t>
        </is>
      </c>
      <c r="F117" s="339" t="n">
        <v>1993.06</v>
      </c>
      <c r="G117" s="339" t="n">
        <v>335</v>
      </c>
      <c r="H117" s="339">
        <f>2026-F117+1</f>
        <v/>
      </c>
      <c r="J117" s="339" t="n">
        <v>109</v>
      </c>
      <c r="K117" s="339" t="n">
        <v>84</v>
      </c>
      <c r="L117" s="339" t="n">
        <v>33</v>
      </c>
      <c r="M117" s="339" t="inlineStr">
        <is>
          <t>계단식</t>
        </is>
      </c>
      <c r="N117" s="339" t="n">
        <v>3</v>
      </c>
      <c r="O117" s="339" t="n">
        <v>2</v>
      </c>
      <c r="P117" s="339" t="n">
        <v>152</v>
      </c>
      <c r="Q117" s="156" t="n">
        <v>23000</v>
      </c>
      <c r="R117" s="156" t="n">
        <v>24000</v>
      </c>
      <c r="S117" s="477">
        <f>Q117-R117</f>
        <v/>
      </c>
      <c r="T117" s="71">
        <f>R117/Q117</f>
        <v/>
      </c>
      <c r="U117" s="339" t="n">
        <v>31000</v>
      </c>
      <c r="V117" s="339" t="n">
        <v>24500</v>
      </c>
    </row>
    <row r="118">
      <c r="A118" s="132" t="inlineStr">
        <is>
          <t>용호동</t>
        </is>
      </c>
      <c r="B118" s="88" t="n"/>
      <c r="C118" s="89" t="n"/>
      <c r="D118" s="132" t="n">
        <v>4649</v>
      </c>
      <c r="E118" s="154" t="inlineStr">
        <is>
          <t>현대비치</t>
        </is>
      </c>
      <c r="F118" s="132" t="n">
        <v>1997.11</v>
      </c>
      <c r="G118" s="132" t="n">
        <v>648</v>
      </c>
      <c r="H118" s="132">
        <f>2026-F118+1</f>
        <v/>
      </c>
      <c r="I118" s="133" t="n"/>
      <c r="J118" s="132" t="n">
        <v>69</v>
      </c>
      <c r="K118" s="132" t="n">
        <v>52</v>
      </c>
      <c r="L118" s="132" t="n">
        <v>21</v>
      </c>
      <c r="M118" s="132" t="inlineStr">
        <is>
          <t>계단식</t>
        </is>
      </c>
      <c r="N118" s="132" t="n">
        <v>2</v>
      </c>
      <c r="O118" s="132" t="n">
        <v>1</v>
      </c>
      <c r="P118" s="132" t="n">
        <v>229</v>
      </c>
      <c r="Q118" s="160" t="n">
        <v>22500</v>
      </c>
      <c r="R118" s="160" t="n">
        <v>22000</v>
      </c>
      <c r="S118" s="477">
        <f>Q118-R118</f>
        <v/>
      </c>
      <c r="T118" s="71">
        <f>R118/Q118</f>
        <v/>
      </c>
      <c r="U118" s="133" t="n">
        <v>32500</v>
      </c>
      <c r="V118" s="133" t="n">
        <v>20000</v>
      </c>
      <c r="AA118" s="133" t="n"/>
      <c r="AB118" s="133" t="n"/>
      <c r="AC118" s="133" t="n"/>
      <c r="AD118" s="133" t="n"/>
      <c r="AE118" s="133" t="n"/>
      <c r="AF118" s="133" t="n"/>
      <c r="AG118" s="133" t="n"/>
      <c r="AK118" s="133" t="n"/>
      <c r="AL118" s="133" t="n"/>
      <c r="AM118" s="88" t="n"/>
      <c r="AN118" s="133" t="n"/>
      <c r="AV118" s="133" t="n"/>
    </row>
    <row r="119">
      <c r="A119" s="132" t="inlineStr">
        <is>
          <t>대연동</t>
        </is>
      </c>
      <c r="B119" s="88" t="n"/>
      <c r="C119" s="89" t="n"/>
      <c r="D119" s="132" t="n">
        <v>4530</v>
      </c>
      <c r="E119" s="154" t="inlineStr">
        <is>
          <t>삼성(649)</t>
        </is>
      </c>
      <c r="F119" s="132" t="n">
        <v>1996.1</v>
      </c>
      <c r="G119" s="132" t="n">
        <v>499</v>
      </c>
      <c r="H119" s="132">
        <f>2026-F119+1</f>
        <v/>
      </c>
      <c r="I119" s="133" t="n"/>
      <c r="J119" s="132" t="n">
        <v>82</v>
      </c>
      <c r="K119" s="132" t="n">
        <v>59</v>
      </c>
      <c r="L119" s="132" t="n">
        <v>25</v>
      </c>
      <c r="M119" s="132" t="inlineStr">
        <is>
          <t>복도식</t>
        </is>
      </c>
      <c r="N119" s="132" t="n">
        <v>3</v>
      </c>
      <c r="O119" s="132" t="n">
        <v>1</v>
      </c>
      <c r="P119" s="132" t="n">
        <v>205</v>
      </c>
      <c r="Q119" s="160" t="n">
        <v>22000</v>
      </c>
      <c r="R119" s="160" t="n">
        <v>18000</v>
      </c>
      <c r="S119" s="477">
        <f>Q119-R119</f>
        <v/>
      </c>
      <c r="T119" s="71">
        <f>R119/Q119</f>
        <v/>
      </c>
      <c r="U119" s="133" t="n">
        <v>29400</v>
      </c>
      <c r="V119" s="133" t="n">
        <v>23000</v>
      </c>
      <c r="AA119" s="133" t="n"/>
      <c r="AB119" s="133" t="n"/>
      <c r="AC119" s="133" t="n"/>
      <c r="AD119" s="133" t="n"/>
      <c r="AE119" s="133" t="n"/>
      <c r="AF119" s="133" t="n"/>
      <c r="AG119" s="133" t="n"/>
      <c r="AK119" s="133" t="n"/>
      <c r="AL119" s="133" t="n"/>
      <c r="AM119" s="88" t="n"/>
      <c r="AN119" s="133" t="n"/>
      <c r="AV119" s="133" t="n"/>
    </row>
    <row r="120">
      <c r="A120" s="339" t="inlineStr">
        <is>
          <t>용호동</t>
        </is>
      </c>
      <c r="D120" s="339" t="n">
        <v>15882</v>
      </c>
      <c r="E120" s="113" t="inlineStr">
        <is>
          <t>오륙도뜨란채</t>
        </is>
      </c>
      <c r="F120" s="339" t="n">
        <v>2000.04</v>
      </c>
      <c r="G120" s="339" t="n">
        <v>480</v>
      </c>
      <c r="H120" s="339">
        <f>2026-F120+1</f>
        <v/>
      </c>
      <c r="J120" s="339" t="n">
        <v>95</v>
      </c>
      <c r="K120" s="339" t="n">
        <v>75</v>
      </c>
      <c r="L120" s="339" t="n">
        <v>29</v>
      </c>
      <c r="M120" s="339" t="inlineStr">
        <is>
          <t>계단식</t>
        </is>
      </c>
      <c r="N120" s="339" t="n">
        <v>3</v>
      </c>
      <c r="O120" s="339" t="n">
        <v>1</v>
      </c>
      <c r="P120" s="339" t="n">
        <v>50</v>
      </c>
      <c r="Q120" s="156" t="n">
        <v>22000</v>
      </c>
      <c r="R120" s="156" t="n">
        <v>14000</v>
      </c>
      <c r="S120" s="477">
        <f>Q120-R120</f>
        <v/>
      </c>
      <c r="T120" s="71">
        <f>R120/Q120</f>
        <v/>
      </c>
      <c r="U120" s="339" t="n">
        <v>24000</v>
      </c>
      <c r="V120" s="339" t="n">
        <v>20000</v>
      </c>
    </row>
    <row r="121">
      <c r="A121" s="339" t="inlineStr">
        <is>
          <t>우암동</t>
        </is>
      </c>
      <c r="D121" s="339" t="n">
        <v>4731</v>
      </c>
      <c r="E121" s="113" t="inlineStr">
        <is>
          <t>일신보라</t>
        </is>
      </c>
      <c r="F121" s="339" t="n">
        <v>1998.09</v>
      </c>
      <c r="G121" s="339" t="n">
        <v>661</v>
      </c>
      <c r="H121" s="339">
        <f>2026-F121+1</f>
        <v/>
      </c>
      <c r="J121" s="339" t="n">
        <v>105</v>
      </c>
      <c r="K121" s="339" t="n">
        <v>84</v>
      </c>
      <c r="L121" s="339" t="n">
        <v>32</v>
      </c>
      <c r="M121" s="339" t="inlineStr">
        <is>
          <t>계단식</t>
        </is>
      </c>
      <c r="N121" s="339" t="n">
        <v>3</v>
      </c>
      <c r="O121" s="339" t="n">
        <v>2</v>
      </c>
      <c r="P121" s="339" t="n">
        <v>290</v>
      </c>
      <c r="Q121" s="156" t="n">
        <v>21500</v>
      </c>
      <c r="R121" s="156" t="n">
        <v>18000</v>
      </c>
      <c r="S121" s="477">
        <f>Q121-R121</f>
        <v/>
      </c>
      <c r="T121" s="71">
        <f>R121/Q121</f>
        <v/>
      </c>
      <c r="U121" s="339" t="n">
        <v>29800</v>
      </c>
      <c r="V121" s="339" t="n">
        <v>23000</v>
      </c>
    </row>
    <row r="122">
      <c r="A122" s="132" t="inlineStr">
        <is>
          <t>대연동</t>
        </is>
      </c>
      <c r="B122" s="133" t="n"/>
      <c r="C122" s="133" t="n"/>
      <c r="D122" s="132" t="n">
        <v>4526</v>
      </c>
      <c r="E122" s="154" t="inlineStr">
        <is>
          <t>대우그린1차</t>
        </is>
      </c>
      <c r="F122" s="132" t="n">
        <v>1997.09</v>
      </c>
      <c r="G122" s="132" t="n">
        <v>691</v>
      </c>
      <c r="H122" s="132">
        <f>2026-F122+1</f>
        <v/>
      </c>
      <c r="I122" s="133" t="n"/>
      <c r="J122" s="132" t="n">
        <v>101</v>
      </c>
      <c r="K122" s="132" t="n">
        <v>84</v>
      </c>
      <c r="L122" s="132" t="n">
        <v>31</v>
      </c>
      <c r="M122" s="132" t="inlineStr">
        <is>
          <t>계단식</t>
        </is>
      </c>
      <c r="N122" s="132" t="n">
        <v>3</v>
      </c>
      <c r="O122" s="132" t="n">
        <v>2</v>
      </c>
      <c r="P122" s="132" t="n">
        <v>286</v>
      </c>
      <c r="Q122" s="160" t="n">
        <v>21000</v>
      </c>
      <c r="R122" s="160" t="n"/>
      <c r="S122" s="477">
        <f>Q122-R122</f>
        <v/>
      </c>
      <c r="T122" s="71">
        <f>R122/Q122</f>
        <v/>
      </c>
      <c r="U122" s="133" t="n">
        <v>28500</v>
      </c>
      <c r="V122" s="133" t="n">
        <v>19700</v>
      </c>
      <c r="AA122" s="133" t="n"/>
      <c r="AB122" s="133" t="n"/>
      <c r="AC122" s="133" t="n"/>
      <c r="AD122" s="133" t="n"/>
      <c r="AE122" s="133" t="n"/>
      <c r="AF122" s="133" t="n"/>
      <c r="AG122" s="133" t="n"/>
      <c r="AK122" s="133" t="n"/>
      <c r="AL122" s="133" t="n"/>
      <c r="AM122" s="133" t="n"/>
      <c r="AN122" s="133" t="n"/>
      <c r="AV122" s="133" t="n"/>
    </row>
    <row r="123">
      <c r="A123" s="339" t="inlineStr">
        <is>
          <t>문현동</t>
        </is>
      </c>
      <c r="B123" s="164" t="n"/>
      <c r="C123" s="164" t="n"/>
      <c r="D123" s="339" t="n">
        <v>8861</v>
      </c>
      <c r="E123" s="113" t="inlineStr">
        <is>
          <t>문현현대2차</t>
        </is>
      </c>
      <c r="F123" s="339" t="n">
        <v>2000.06</v>
      </c>
      <c r="G123" s="339" t="n">
        <v>420</v>
      </c>
      <c r="H123" s="339">
        <f>2026-F123+1</f>
        <v/>
      </c>
      <c r="J123" s="339" t="n">
        <v>95</v>
      </c>
      <c r="K123" s="339" t="n">
        <v>74</v>
      </c>
      <c r="L123" s="339" t="n">
        <v>29</v>
      </c>
      <c r="M123" s="339" t="inlineStr">
        <is>
          <t>계단식</t>
        </is>
      </c>
      <c r="N123" s="339" t="n">
        <v>3</v>
      </c>
      <c r="O123" s="339" t="n">
        <v>2</v>
      </c>
      <c r="P123" s="339" t="n">
        <v>80</v>
      </c>
      <c r="Q123" s="156" t="n">
        <v>21000</v>
      </c>
      <c r="R123" s="156" t="n">
        <v>18000</v>
      </c>
      <c r="S123" s="477">
        <f>Q123-R123</f>
        <v/>
      </c>
      <c r="T123" s="71">
        <f>R123/Q123</f>
        <v/>
      </c>
      <c r="U123" s="339" t="n">
        <v>26800</v>
      </c>
      <c r="V123" s="339" t="n">
        <v>24000</v>
      </c>
      <c r="AM123" s="357" t="n"/>
    </row>
    <row r="124">
      <c r="A124" s="132" t="inlineStr">
        <is>
          <t>용당동</t>
        </is>
      </c>
      <c r="B124" s="133" t="n"/>
      <c r="C124" s="133" t="n"/>
      <c r="D124" s="132" t="n">
        <v>11549</v>
      </c>
      <c r="E124" s="154" t="inlineStr">
        <is>
          <t>용당한신문화타운</t>
        </is>
      </c>
      <c r="F124" s="132" t="n">
        <v>1990.1</v>
      </c>
      <c r="G124" s="132" t="n">
        <v>330</v>
      </c>
      <c r="H124" s="132">
        <f>2026-F124+1</f>
        <v/>
      </c>
      <c r="I124" s="133" t="n"/>
      <c r="J124" s="133" t="n"/>
      <c r="K124" s="132" t="n">
        <v>84</v>
      </c>
      <c r="L124" s="133" t="n"/>
      <c r="M124" s="132" t="inlineStr">
        <is>
          <t>계단식</t>
        </is>
      </c>
      <c r="N124" s="132" t="n">
        <v>3</v>
      </c>
      <c r="O124" s="132" t="n">
        <v>2</v>
      </c>
      <c r="P124" s="132" t="n">
        <v>90</v>
      </c>
      <c r="Q124" s="160" t="n">
        <v>21000</v>
      </c>
      <c r="R124" s="160" t="n">
        <v>17000</v>
      </c>
      <c r="S124" s="477">
        <f>Q124-R124</f>
        <v/>
      </c>
      <c r="T124" s="71">
        <f>R124/Q124</f>
        <v/>
      </c>
      <c r="U124" s="133" t="n">
        <v>26500</v>
      </c>
      <c r="V124" s="133" t="n">
        <v>24700</v>
      </c>
      <c r="AA124" s="133" t="n"/>
      <c r="AB124" s="133" t="n"/>
      <c r="AC124" s="133" t="n"/>
      <c r="AD124" s="133" t="n"/>
      <c r="AE124" s="133" t="n"/>
      <c r="AF124" s="133" t="n"/>
      <c r="AG124" s="133" t="n"/>
      <c r="AK124" s="133" t="n"/>
      <c r="AL124" s="133" t="n"/>
      <c r="AM124" s="133" t="n"/>
      <c r="AN124" s="133" t="n"/>
      <c r="AV124" s="133" t="n"/>
    </row>
    <row r="125">
      <c r="A125" s="339" t="inlineStr">
        <is>
          <t>용당동</t>
        </is>
      </c>
      <c r="D125" s="339" t="n">
        <v>11665</v>
      </c>
      <c r="E125" s="150" t="inlineStr">
        <is>
          <t>현대아이파크</t>
        </is>
      </c>
      <c r="F125" s="339" t="n">
        <v>2002.12</v>
      </c>
      <c r="G125" s="339" t="n">
        <v>748</v>
      </c>
      <c r="H125" s="339">
        <f>2026-F125+1</f>
        <v/>
      </c>
      <c r="J125" s="339" t="n">
        <v>80</v>
      </c>
      <c r="K125" s="339" t="n">
        <v>59</v>
      </c>
      <c r="L125" s="339" t="n">
        <v>24</v>
      </c>
      <c r="M125" s="339" t="inlineStr">
        <is>
          <t>계단식</t>
        </is>
      </c>
      <c r="N125" s="339" t="n">
        <v>3</v>
      </c>
      <c r="O125" s="339" t="n">
        <v>2</v>
      </c>
      <c r="P125" s="339" t="n">
        <v>200</v>
      </c>
      <c r="Q125" s="156" t="n">
        <v>21000</v>
      </c>
      <c r="R125" s="156" t="n">
        <v>19000</v>
      </c>
      <c r="S125" s="477">
        <f>Q125-R125</f>
        <v/>
      </c>
      <c r="T125" s="71">
        <f>R125/Q125</f>
        <v/>
      </c>
      <c r="U125" s="339" t="n">
        <v>27500</v>
      </c>
      <c r="V125" s="339" t="n">
        <v>19000</v>
      </c>
    </row>
    <row r="126">
      <c r="A126" s="132" t="inlineStr">
        <is>
          <t>용호동</t>
        </is>
      </c>
      <c r="B126" s="88" t="n"/>
      <c r="C126" s="89" t="n"/>
      <c r="D126" s="132" t="n">
        <v>4636</v>
      </c>
      <c r="E126" s="154" t="inlineStr">
        <is>
          <t>벽산화이트타워</t>
        </is>
      </c>
      <c r="F126" s="132" t="n">
        <v>1994.12</v>
      </c>
      <c r="G126" s="132" t="n">
        <v>343</v>
      </c>
      <c r="H126" s="132">
        <f>2026-F126+1</f>
        <v/>
      </c>
      <c r="I126" s="133" t="n"/>
      <c r="J126" s="132" t="n">
        <v>80</v>
      </c>
      <c r="K126" s="132" t="n">
        <v>59</v>
      </c>
      <c r="L126" s="132" t="n">
        <v>24</v>
      </c>
      <c r="M126" s="132" t="inlineStr">
        <is>
          <t>복도식</t>
        </is>
      </c>
      <c r="N126" s="132" t="n">
        <v>3</v>
      </c>
      <c r="O126" s="132" t="n">
        <v>1</v>
      </c>
      <c r="P126" s="132" t="n">
        <v>123</v>
      </c>
      <c r="Q126" s="160" t="n">
        <v>21000</v>
      </c>
      <c r="R126" s="160" t="n">
        <v>19000</v>
      </c>
      <c r="S126" s="477">
        <f>Q126-R126</f>
        <v/>
      </c>
      <c r="T126" s="71">
        <f>R126/Q126</f>
        <v/>
      </c>
      <c r="U126" s="133" t="n">
        <v>14700</v>
      </c>
      <c r="V126" s="133" t="n">
        <v>12000</v>
      </c>
      <c r="AA126" s="133" t="n"/>
      <c r="AB126" s="133" t="n"/>
      <c r="AC126" s="133" t="n"/>
      <c r="AD126" s="133" t="n"/>
      <c r="AE126" s="133" t="n"/>
      <c r="AF126" s="133" t="n"/>
      <c r="AG126" s="133" t="n"/>
      <c r="AK126" s="133" t="n"/>
      <c r="AL126" s="133" t="n"/>
      <c r="AM126" s="88" t="n"/>
      <c r="AN126" s="133" t="n"/>
      <c r="AV126" s="133" t="n"/>
    </row>
    <row r="127">
      <c r="A127" s="339" t="inlineStr">
        <is>
          <t>용호동</t>
        </is>
      </c>
      <c r="D127" s="339" t="n">
        <v>4650</v>
      </c>
      <c r="E127" s="113" t="inlineStr">
        <is>
          <t>협진태양</t>
        </is>
      </c>
      <c r="F127" s="339" t="n">
        <v>1988.11</v>
      </c>
      <c r="G127" s="339" t="n">
        <v>315</v>
      </c>
      <c r="H127" s="339">
        <f>2026-F127+1</f>
        <v/>
      </c>
      <c r="J127" s="339" t="n">
        <v>76</v>
      </c>
      <c r="K127" s="339" t="n">
        <v>62</v>
      </c>
      <c r="L127" s="339" t="n">
        <v>23</v>
      </c>
      <c r="M127" s="339" t="inlineStr">
        <is>
          <t>계단식</t>
        </is>
      </c>
      <c r="N127" s="339" t="n">
        <v>3</v>
      </c>
      <c r="O127" s="339" t="n">
        <v>1</v>
      </c>
      <c r="P127" s="339" t="n">
        <v>90</v>
      </c>
      <c r="Q127" s="156" t="n">
        <v>21000</v>
      </c>
      <c r="R127" s="156" t="n">
        <v>90000</v>
      </c>
      <c r="S127" s="477">
        <f>Q127-R127</f>
        <v/>
      </c>
      <c r="T127" s="71">
        <f>R127/Q127</f>
        <v/>
      </c>
      <c r="U127" s="339" t="n">
        <v>26800</v>
      </c>
      <c r="V127" s="339" t="n">
        <v>25000</v>
      </c>
    </row>
    <row r="128">
      <c r="A128" s="339" t="inlineStr">
        <is>
          <t>우암동</t>
        </is>
      </c>
      <c r="D128" s="339" t="n">
        <v>4725</v>
      </c>
      <c r="E128" s="113" t="inlineStr">
        <is>
          <t>동일</t>
        </is>
      </c>
      <c r="F128" s="339" t="n">
        <v>1988.07</v>
      </c>
      <c r="G128" s="339" t="n">
        <v>312</v>
      </c>
      <c r="H128" s="339">
        <f>2026-F128+1</f>
        <v/>
      </c>
      <c r="J128" s="339" t="n">
        <v>87</v>
      </c>
      <c r="K128" s="339" t="n">
        <v>74</v>
      </c>
      <c r="L128" s="339" t="n">
        <v>26</v>
      </c>
      <c r="M128" s="339" t="inlineStr">
        <is>
          <t>계단식</t>
        </is>
      </c>
      <c r="N128" s="339" t="n">
        <v>3</v>
      </c>
      <c r="O128" s="339" t="n">
        <v>1</v>
      </c>
      <c r="P128" s="339" t="n">
        <v>18</v>
      </c>
      <c r="Q128" s="156" t="n">
        <v>21000</v>
      </c>
      <c r="R128" s="156" t="n">
        <v>13000</v>
      </c>
      <c r="S128" s="477">
        <f>Q128-R128</f>
        <v/>
      </c>
      <c r="T128" s="71">
        <f>R128/Q128</f>
        <v/>
      </c>
      <c r="U128" s="339" t="n">
        <v>21000</v>
      </c>
      <c r="V128" s="339" t="n">
        <v>21000</v>
      </c>
    </row>
    <row r="129">
      <c r="A129" s="339" t="inlineStr">
        <is>
          <t>우암동</t>
        </is>
      </c>
      <c r="D129" s="339" t="n">
        <v>4725</v>
      </c>
      <c r="E129" s="150" t="inlineStr">
        <is>
          <t>동일</t>
        </is>
      </c>
      <c r="F129" s="339" t="n">
        <v>1988.07</v>
      </c>
      <c r="G129" s="339" t="n">
        <v>312</v>
      </c>
      <c r="H129" s="339">
        <f>2026-F129+1</f>
        <v/>
      </c>
      <c r="J129" s="339" t="n">
        <v>78</v>
      </c>
      <c r="K129" s="339" t="n">
        <v>66</v>
      </c>
      <c r="L129" s="339" t="n">
        <v>24</v>
      </c>
      <c r="M129" s="339" t="inlineStr">
        <is>
          <t>계단식</t>
        </is>
      </c>
      <c r="N129" s="339" t="n">
        <v>3</v>
      </c>
      <c r="O129" s="339" t="n">
        <v>1</v>
      </c>
      <c r="P129" s="339" t="n">
        <v>48</v>
      </c>
      <c r="Q129" s="156" t="n">
        <v>20500</v>
      </c>
      <c r="R129" s="156" t="n">
        <v>13500</v>
      </c>
      <c r="S129" s="477">
        <f>Q129-R129</f>
        <v/>
      </c>
      <c r="T129" s="71">
        <f>R129/Q129</f>
        <v/>
      </c>
      <c r="U129" s="339" t="n">
        <v>23500</v>
      </c>
      <c r="V129" s="339" t="n">
        <v>20000</v>
      </c>
    </row>
    <row r="130">
      <c r="A130" s="132" t="inlineStr">
        <is>
          <t>대연동</t>
        </is>
      </c>
      <c r="B130" s="133" t="n"/>
      <c r="C130" s="133" t="n"/>
      <c r="D130" s="132" t="n">
        <v>10488</v>
      </c>
      <c r="E130" s="154" t="inlineStr">
        <is>
          <t>대연극동</t>
        </is>
      </c>
      <c r="F130" s="132" t="n">
        <v>2002.08</v>
      </c>
      <c r="G130" s="132" t="n">
        <v>413</v>
      </c>
      <c r="H130" s="132">
        <f>2026-F130+1</f>
        <v/>
      </c>
      <c r="I130" s="133" t="n"/>
      <c r="J130" s="133" t="n"/>
      <c r="K130" s="132" t="n">
        <v>59</v>
      </c>
      <c r="L130" s="133" t="n"/>
      <c r="M130" s="132" t="inlineStr">
        <is>
          <t>복도식</t>
        </is>
      </c>
      <c r="N130" s="132" t="n">
        <v>3</v>
      </c>
      <c r="O130" s="132" t="n">
        <v>1</v>
      </c>
      <c r="P130" s="132" t="n">
        <v>153</v>
      </c>
      <c r="Q130" s="160" t="n">
        <v>20000</v>
      </c>
      <c r="R130" s="160" t="n">
        <v>17000</v>
      </c>
      <c r="S130" s="477">
        <f>Q130-R130</f>
        <v/>
      </c>
      <c r="T130" s="71">
        <f>R130/Q130</f>
        <v/>
      </c>
      <c r="U130" s="133" t="n">
        <v>26500</v>
      </c>
      <c r="V130" s="133" t="n">
        <v>17500</v>
      </c>
      <c r="AA130" s="133" t="n"/>
      <c r="AB130" s="133" t="n"/>
      <c r="AC130" s="133" t="n"/>
      <c r="AD130" s="133" t="n"/>
      <c r="AE130" s="133" t="n"/>
      <c r="AF130" s="133" t="n"/>
      <c r="AG130" s="133" t="n"/>
      <c r="AK130" s="133" t="n"/>
      <c r="AL130" s="133" t="n"/>
      <c r="AM130" s="133" t="n"/>
      <c r="AN130" s="133" t="n"/>
      <c r="AV130" s="133" t="n"/>
    </row>
    <row r="131">
      <c r="A131" s="339" t="inlineStr">
        <is>
          <t>대연동</t>
        </is>
      </c>
      <c r="B131" s="164" t="n"/>
      <c r="C131" s="164" t="n"/>
      <c r="D131" s="339" t="n">
        <v>101068</v>
      </c>
      <c r="E131" s="113" t="inlineStr">
        <is>
          <t>대연동일스위트(주상복합)</t>
        </is>
      </c>
      <c r="F131" s="339" t="n">
        <v>2004.12</v>
      </c>
      <c r="G131" s="339" t="n">
        <v>379</v>
      </c>
      <c r="H131" s="339">
        <f>2026-F131+1</f>
        <v/>
      </c>
      <c r="J131" s="339" t="n">
        <v>86</v>
      </c>
      <c r="K131" s="339" t="n">
        <v>63</v>
      </c>
      <c r="L131" s="339" t="n">
        <v>26</v>
      </c>
      <c r="M131" s="339" t="inlineStr">
        <is>
          <t>복합식</t>
        </is>
      </c>
      <c r="N131" s="339" t="n">
        <v>2</v>
      </c>
      <c r="O131" s="339" t="n">
        <v>1</v>
      </c>
      <c r="P131" s="339" t="n">
        <v>16</v>
      </c>
      <c r="Q131" s="156" t="n">
        <v>20000</v>
      </c>
      <c r="R131" s="156" t="n">
        <v>20000</v>
      </c>
      <c r="S131" s="477">
        <f>Q131-R131</f>
        <v/>
      </c>
      <c r="T131" s="71">
        <f>R131/Q131</f>
        <v/>
      </c>
      <c r="U131" s="339" t="n">
        <v>28000</v>
      </c>
      <c r="V131" s="339" t="n">
        <v>28000</v>
      </c>
      <c r="AM131" s="357" t="n"/>
    </row>
    <row r="132">
      <c r="A132" s="132" t="inlineStr">
        <is>
          <t>문현동</t>
        </is>
      </c>
      <c r="B132" s="133" t="n"/>
      <c r="C132" s="133" t="n"/>
      <c r="D132" s="132" t="n">
        <v>4592</v>
      </c>
      <c r="E132" s="135" t="inlineStr">
        <is>
          <t>현대</t>
        </is>
      </c>
      <c r="F132" s="132" t="n">
        <v>1998.06</v>
      </c>
      <c r="G132" s="132" t="n">
        <v>693</v>
      </c>
      <c r="H132" s="132">
        <f>2026-F132+1</f>
        <v/>
      </c>
      <c r="I132" s="133" t="n"/>
      <c r="J132" s="132" t="n">
        <v>78</v>
      </c>
      <c r="K132" s="132" t="n">
        <v>59</v>
      </c>
      <c r="L132" s="132" t="n">
        <v>24</v>
      </c>
      <c r="M132" s="132" t="inlineStr">
        <is>
          <t>계단식</t>
        </is>
      </c>
      <c r="N132" s="132" t="n">
        <v>3</v>
      </c>
      <c r="O132" s="132" t="n">
        <v>1</v>
      </c>
      <c r="P132" s="132" t="n">
        <v>298</v>
      </c>
      <c r="Q132" s="160" t="n">
        <v>20000</v>
      </c>
      <c r="R132" s="160" t="n">
        <v>18000</v>
      </c>
      <c r="S132" s="477">
        <f>Q132-R132</f>
        <v/>
      </c>
      <c r="T132" s="71">
        <f>R132/Q132</f>
        <v/>
      </c>
      <c r="U132" s="133" t="n">
        <v>25000</v>
      </c>
      <c r="V132" s="133" t="n">
        <v>17000</v>
      </c>
      <c r="AA132" s="133" t="n"/>
      <c r="AB132" s="133" t="n"/>
      <c r="AC132" s="133" t="n"/>
      <c r="AD132" s="133" t="n"/>
      <c r="AE132" s="133" t="n"/>
      <c r="AF132" s="133" t="n"/>
      <c r="AG132" s="133" t="n"/>
      <c r="AK132" s="133" t="n"/>
      <c r="AL132" s="133" t="n"/>
      <c r="AM132" s="133" t="n"/>
      <c r="AN132" s="133" t="n"/>
      <c r="AV132" s="133" t="n"/>
    </row>
    <row r="133">
      <c r="A133" s="339" t="inlineStr">
        <is>
          <t>우암동</t>
        </is>
      </c>
      <c r="B133" s="164" t="n"/>
      <c r="C133" s="164" t="n"/>
      <c r="D133" s="339" t="n">
        <v>4725</v>
      </c>
      <c r="E133" s="113" t="inlineStr">
        <is>
          <t>동일</t>
        </is>
      </c>
      <c r="F133" s="339" t="n">
        <v>1988.07</v>
      </c>
      <c r="G133" s="339" t="n">
        <v>312</v>
      </c>
      <c r="H133" s="339">
        <f>2026-F133+1</f>
        <v/>
      </c>
      <c r="J133" s="339" t="n">
        <v>71</v>
      </c>
      <c r="K133" s="339" t="n">
        <v>59</v>
      </c>
      <c r="L133" s="339" t="n">
        <v>21</v>
      </c>
      <c r="M133" s="339" t="inlineStr">
        <is>
          <t>계단식</t>
        </is>
      </c>
      <c r="N133" s="339" t="n">
        <v>3</v>
      </c>
      <c r="O133" s="339" t="n">
        <v>1</v>
      </c>
      <c r="P133" s="339" t="n">
        <v>54</v>
      </c>
      <c r="Q133" s="156" t="n">
        <v>20000</v>
      </c>
      <c r="R133" s="156" t="n">
        <v>11000</v>
      </c>
      <c r="S133" s="477">
        <f>Q133-R133</f>
        <v/>
      </c>
      <c r="T133" s="71">
        <f>R133/Q133</f>
        <v/>
      </c>
      <c r="U133" s="339" t="n">
        <v>20000</v>
      </c>
      <c r="V133" s="339" t="n">
        <v>14000</v>
      </c>
      <c r="AM133" s="357" t="n"/>
    </row>
    <row r="134">
      <c r="A134" s="339" t="inlineStr">
        <is>
          <t>문현동</t>
        </is>
      </c>
      <c r="B134" s="164" t="n"/>
      <c r="C134" s="164" t="n"/>
      <c r="D134" s="339" t="n">
        <v>4579</v>
      </c>
      <c r="E134" s="113" t="inlineStr">
        <is>
          <t>대림문현시티프라자(주상복합)</t>
        </is>
      </c>
      <c r="F134" s="339" t="n">
        <v>1999.07</v>
      </c>
      <c r="G134" s="339" t="n">
        <v>521</v>
      </c>
      <c r="H134" s="339">
        <f>2026-F134+1</f>
        <v/>
      </c>
      <c r="K134" s="339" t="n">
        <v>59</v>
      </c>
      <c r="M134" s="339" t="inlineStr">
        <is>
          <t>복도식</t>
        </is>
      </c>
      <c r="N134" s="339" t="n">
        <v>3</v>
      </c>
      <c r="O134" s="339" t="n">
        <v>1</v>
      </c>
      <c r="P134" s="339" t="n">
        <v>115</v>
      </c>
      <c r="Q134" s="156" t="n">
        <v>19800</v>
      </c>
      <c r="R134" s="156" t="n">
        <v>20500</v>
      </c>
      <c r="S134" s="477">
        <f>Q134-R134</f>
        <v/>
      </c>
      <c r="T134" s="71">
        <f>R134/Q134</f>
        <v/>
      </c>
      <c r="U134" s="339" t="n">
        <v>25000</v>
      </c>
      <c r="V134" s="339" t="n">
        <v>23000</v>
      </c>
      <c r="AM134" s="357" t="n"/>
    </row>
    <row r="135" ht="15.5" customHeight="1" s="139">
      <c r="A135" s="339" t="inlineStr">
        <is>
          <t>감만동</t>
        </is>
      </c>
      <c r="D135" s="339" t="n">
        <v>12935</v>
      </c>
      <c r="E135" s="150" t="inlineStr">
        <is>
          <t>감만동일스위트</t>
        </is>
      </c>
      <c r="F135" s="339" t="n">
        <v>2005.1</v>
      </c>
      <c r="G135" s="339" t="n">
        <v>548</v>
      </c>
      <c r="H135" s="339">
        <f>2026-F135+1</f>
        <v/>
      </c>
      <c r="I135" s="339" t="n"/>
      <c r="J135" s="339" t="n">
        <v>84</v>
      </c>
      <c r="K135" s="339" t="n">
        <v>59</v>
      </c>
      <c r="L135" s="339" t="n">
        <v>25</v>
      </c>
      <c r="M135" s="339" t="inlineStr">
        <is>
          <t>계단식</t>
        </is>
      </c>
      <c r="N135" s="339" t="n">
        <v>3</v>
      </c>
      <c r="O135" s="339" t="n">
        <v>2</v>
      </c>
      <c r="P135" s="339" t="n">
        <v>268</v>
      </c>
      <c r="Q135" s="522" t="n">
        <v>19000</v>
      </c>
      <c r="R135" s="522" t="n">
        <v>15000</v>
      </c>
      <c r="S135" s="477">
        <f>Q135-R135</f>
        <v/>
      </c>
      <c r="T135" s="71">
        <f>R135/Q135</f>
        <v/>
      </c>
      <c r="U135" s="486" t="n">
        <v>25000</v>
      </c>
      <c r="V135" s="486" t="n">
        <v>19000</v>
      </c>
      <c r="W135" s="339" t="n"/>
      <c r="X135" s="339" t="n"/>
      <c r="Y135" s="339" t="n"/>
      <c r="Z135" s="339" t="n"/>
      <c r="AD135" s="405" t="n"/>
      <c r="AE135" s="405" t="n"/>
      <c r="AF135" s="140" t="n"/>
      <c r="AG135" s="147" t="n"/>
      <c r="AI135" s="339" t="n"/>
      <c r="AJ135" s="339" t="n"/>
    </row>
    <row r="136">
      <c r="A136" s="339" t="inlineStr">
        <is>
          <t>감만동</t>
        </is>
      </c>
      <c r="D136" s="339" t="n">
        <v>4477</v>
      </c>
      <c r="E136" s="113" t="inlineStr">
        <is>
          <t>국제</t>
        </is>
      </c>
      <c r="F136" s="339" t="n">
        <v>1996.1</v>
      </c>
      <c r="G136" s="339" t="n">
        <v>452</v>
      </c>
      <c r="H136" s="339">
        <f>2026-F136+1</f>
        <v/>
      </c>
      <c r="J136" s="339" t="n">
        <v>79</v>
      </c>
      <c r="K136" s="339" t="n">
        <v>59</v>
      </c>
      <c r="L136" s="339" t="n">
        <v>24</v>
      </c>
      <c r="M136" s="339" t="inlineStr">
        <is>
          <t>계단식</t>
        </is>
      </c>
      <c r="N136" s="339" t="n">
        <v>3</v>
      </c>
      <c r="O136" s="339" t="n">
        <v>1</v>
      </c>
      <c r="P136" s="339" t="n">
        <v>276</v>
      </c>
      <c r="Q136" s="156" t="n">
        <v>19000</v>
      </c>
      <c r="R136" s="156" t="n">
        <v>10000</v>
      </c>
      <c r="S136" s="477">
        <f>Q136-R136</f>
        <v/>
      </c>
      <c r="T136" s="71">
        <f>R136/Q136</f>
        <v/>
      </c>
      <c r="U136" s="339" t="n">
        <v>24400</v>
      </c>
      <c r="V136" s="339" t="n">
        <v>14000</v>
      </c>
    </row>
    <row r="137">
      <c r="A137" s="132" t="inlineStr">
        <is>
          <t>대연동</t>
        </is>
      </c>
      <c r="B137" s="88" t="n"/>
      <c r="C137" s="89" t="n"/>
      <c r="D137" s="132" t="n">
        <v>4548</v>
      </c>
      <c r="E137" s="154" t="inlineStr">
        <is>
          <t>대연청구</t>
        </is>
      </c>
      <c r="F137" s="132" t="n">
        <v>2001.07</v>
      </c>
      <c r="G137" s="132" t="n">
        <v>604</v>
      </c>
      <c r="H137" s="132">
        <f>2026-F137+1</f>
        <v/>
      </c>
      <c r="I137" s="133" t="n"/>
      <c r="J137" s="132" t="n">
        <v>76</v>
      </c>
      <c r="K137" s="132" t="n">
        <v>59</v>
      </c>
      <c r="L137" s="132" t="n">
        <v>23</v>
      </c>
      <c r="M137" s="132" t="inlineStr">
        <is>
          <t>계단식</t>
        </is>
      </c>
      <c r="N137" s="132" t="n">
        <v>3</v>
      </c>
      <c r="O137" s="132" t="n">
        <v>2</v>
      </c>
      <c r="P137" s="132" t="n">
        <v>108</v>
      </c>
      <c r="Q137" s="160" t="n">
        <v>19000</v>
      </c>
      <c r="R137" s="160" t="n">
        <v>16000</v>
      </c>
      <c r="S137" s="477">
        <f>Q137-R137</f>
        <v/>
      </c>
      <c r="T137" s="71">
        <f>R137/Q137</f>
        <v/>
      </c>
      <c r="U137" s="133" t="n">
        <v>23000</v>
      </c>
      <c r="V137" s="133" t="n">
        <v>17800</v>
      </c>
      <c r="AA137" s="133" t="n"/>
      <c r="AB137" s="133" t="n"/>
      <c r="AC137" s="133" t="n"/>
      <c r="AD137" s="133" t="n"/>
      <c r="AE137" s="133" t="n"/>
      <c r="AF137" s="133" t="n"/>
      <c r="AG137" s="133" t="n"/>
      <c r="AK137" s="133" t="n"/>
      <c r="AL137" s="133" t="n"/>
      <c r="AM137" s="88" t="n"/>
      <c r="AN137" s="133" t="n"/>
      <c r="AV137" s="133" t="n"/>
    </row>
    <row r="138">
      <c r="A138" s="132" t="inlineStr">
        <is>
          <t>대연동</t>
        </is>
      </c>
      <c r="B138" s="133" t="n"/>
      <c r="C138" s="133" t="n"/>
      <c r="D138" s="132" t="n">
        <v>4535</v>
      </c>
      <c r="E138" s="154" t="inlineStr">
        <is>
          <t>신원에버그린</t>
        </is>
      </c>
      <c r="F138" s="132" t="n">
        <v>2000.11</v>
      </c>
      <c r="G138" s="132" t="n">
        <v>352</v>
      </c>
      <c r="H138" s="132">
        <f>2026-F138+1</f>
        <v/>
      </c>
      <c r="I138" s="133" t="n"/>
      <c r="J138" s="133" t="n"/>
      <c r="K138" s="132" t="n">
        <v>84</v>
      </c>
      <c r="L138" s="133" t="n"/>
      <c r="M138" s="132" t="inlineStr">
        <is>
          <t>계단식</t>
        </is>
      </c>
      <c r="N138" s="132" t="n">
        <v>3</v>
      </c>
      <c r="O138" s="132" t="n">
        <v>2</v>
      </c>
      <c r="P138" s="132" t="n">
        <v>115</v>
      </c>
      <c r="Q138" s="160" t="n">
        <v>19000</v>
      </c>
      <c r="R138" s="160" t="n">
        <v>18000</v>
      </c>
      <c r="S138" s="477">
        <f>Q138-R138</f>
        <v/>
      </c>
      <c r="T138" s="71">
        <f>R138/Q138</f>
        <v/>
      </c>
      <c r="U138" s="133" t="n">
        <v>28000</v>
      </c>
      <c r="V138" s="133" t="n">
        <v>18000</v>
      </c>
      <c r="AA138" s="133" t="n"/>
      <c r="AB138" s="133" t="n"/>
      <c r="AC138" s="133" t="n"/>
      <c r="AD138" s="133" t="n"/>
      <c r="AE138" s="133" t="n"/>
      <c r="AF138" s="133" t="n"/>
      <c r="AG138" s="133" t="n"/>
      <c r="AK138" s="133" t="n"/>
      <c r="AL138" s="133" t="n"/>
      <c r="AM138" s="133" t="n"/>
      <c r="AN138" s="133" t="n"/>
      <c r="AV138" s="133" t="n"/>
    </row>
    <row r="139">
      <c r="A139" s="132" t="inlineStr">
        <is>
          <t>감만동</t>
        </is>
      </c>
      <c r="B139" s="133" t="n"/>
      <c r="C139" s="133" t="n"/>
      <c r="D139" s="132" t="n">
        <v>14076</v>
      </c>
      <c r="E139" s="154" t="inlineStr">
        <is>
          <t>유창그린2차</t>
        </is>
      </c>
      <c r="F139" s="132" t="n">
        <v>2012.02</v>
      </c>
      <c r="G139" s="132" t="n">
        <v>365</v>
      </c>
      <c r="H139" s="132">
        <f>2026-F139+1</f>
        <v/>
      </c>
      <c r="I139" s="133" t="n"/>
      <c r="J139" s="133" t="n"/>
      <c r="K139" s="132" t="n">
        <v>84</v>
      </c>
      <c r="L139" s="133" t="n"/>
      <c r="M139" s="132" t="inlineStr">
        <is>
          <t>계단식</t>
        </is>
      </c>
      <c r="N139" s="132" t="n">
        <v>3</v>
      </c>
      <c r="O139" s="132" t="n">
        <v>2</v>
      </c>
      <c r="P139" s="132" t="n">
        <v>120</v>
      </c>
      <c r="Q139" s="160" t="n">
        <v>18800</v>
      </c>
      <c r="R139" s="160" t="n">
        <v>15000</v>
      </c>
      <c r="S139" s="477">
        <f>Q139-R139</f>
        <v/>
      </c>
      <c r="T139" s="71">
        <f>R139/Q139</f>
        <v/>
      </c>
      <c r="U139" s="133" t="n">
        <v>26250</v>
      </c>
      <c r="V139" s="133" t="n">
        <v>15800</v>
      </c>
      <c r="AA139" s="133" t="n"/>
      <c r="AB139" s="133" t="n"/>
      <c r="AC139" s="133" t="n"/>
      <c r="AD139" s="133" t="n"/>
      <c r="AE139" s="133" t="n"/>
      <c r="AF139" s="133" t="n"/>
      <c r="AG139" s="133" t="n"/>
      <c r="AK139" s="133" t="n"/>
      <c r="AL139" s="133" t="n"/>
      <c r="AM139" s="133" t="n"/>
      <c r="AN139" s="133" t="n"/>
      <c r="AV139" s="133" t="n"/>
    </row>
    <row r="140">
      <c r="A140" s="132" t="inlineStr">
        <is>
          <t>감만동</t>
        </is>
      </c>
      <c r="B140" s="133" t="n"/>
      <c r="C140" s="133" t="n"/>
      <c r="D140" s="132" t="n">
        <v>4502</v>
      </c>
      <c r="E140" s="154" t="inlineStr">
        <is>
          <t>감만현대1차</t>
        </is>
      </c>
      <c r="F140" s="132" t="n">
        <v>1996.05</v>
      </c>
      <c r="G140" s="132" t="n">
        <v>885</v>
      </c>
      <c r="H140" s="132">
        <f>2026-F140+1</f>
        <v/>
      </c>
      <c r="I140" s="133" t="n"/>
      <c r="J140" s="132" t="n">
        <v>90</v>
      </c>
      <c r="K140" s="132" t="n">
        <v>72</v>
      </c>
      <c r="L140" s="132" t="n">
        <v>27</v>
      </c>
      <c r="M140" s="132" t="inlineStr">
        <is>
          <t>계단식</t>
        </is>
      </c>
      <c r="N140" s="132" t="n">
        <v>3</v>
      </c>
      <c r="O140" s="132" t="n">
        <v>1</v>
      </c>
      <c r="P140" s="132" t="n">
        <v>96</v>
      </c>
      <c r="Q140" s="160" t="n">
        <v>18500</v>
      </c>
      <c r="R140" s="160" t="n">
        <v>15000</v>
      </c>
      <c r="S140" s="477">
        <f>Q140-R140</f>
        <v/>
      </c>
      <c r="T140" s="71">
        <f>R140/Q140</f>
        <v/>
      </c>
      <c r="U140" s="133" t="n">
        <v>25000</v>
      </c>
      <c r="V140" s="133" t="n">
        <v>18300</v>
      </c>
      <c r="AA140" s="133" t="n"/>
      <c r="AB140" s="133" t="n"/>
      <c r="AC140" s="133" t="n"/>
      <c r="AD140" s="133" t="n"/>
      <c r="AE140" s="133" t="n"/>
      <c r="AF140" s="133" t="n"/>
      <c r="AG140" s="133" t="n"/>
      <c r="AK140" s="133" t="n"/>
      <c r="AL140" s="133" t="n"/>
      <c r="AM140" s="133" t="n"/>
      <c r="AN140" s="133" t="n"/>
      <c r="AV140" s="133" t="n"/>
    </row>
    <row r="141">
      <c r="A141" s="132" t="inlineStr">
        <is>
          <t>용호동</t>
        </is>
      </c>
      <c r="B141" s="88" t="n"/>
      <c r="C141" s="89" t="n"/>
      <c r="D141" s="132" t="n">
        <v>4633</v>
      </c>
      <c r="E141" s="154" t="inlineStr">
        <is>
          <t>용호동일타운</t>
        </is>
      </c>
      <c r="F141" s="132" t="n">
        <v>1991.1</v>
      </c>
      <c r="G141" s="132" t="n">
        <v>444</v>
      </c>
      <c r="H141" s="132">
        <f>2026-F141+1</f>
        <v/>
      </c>
      <c r="I141" s="133" t="n"/>
      <c r="J141" s="132" t="n">
        <v>82</v>
      </c>
      <c r="K141" s="132" t="n">
        <v>67</v>
      </c>
      <c r="L141" s="132" t="n">
        <v>25</v>
      </c>
      <c r="M141" s="132" t="inlineStr">
        <is>
          <t>계단식</t>
        </is>
      </c>
      <c r="N141" s="132" t="n">
        <v>3</v>
      </c>
      <c r="O141" s="132" t="n">
        <v>1</v>
      </c>
      <c r="P141" s="132" t="n">
        <v>45</v>
      </c>
      <c r="Q141" s="160" t="n">
        <v>18500</v>
      </c>
      <c r="R141" s="160" t="n">
        <v>12000</v>
      </c>
      <c r="S141" s="477">
        <f>Q141-R141</f>
        <v/>
      </c>
      <c r="T141" s="71">
        <f>R141/Q141</f>
        <v/>
      </c>
      <c r="U141" s="133" t="n">
        <v>18700</v>
      </c>
      <c r="V141" s="133" t="n">
        <v>16000</v>
      </c>
      <c r="AA141" s="133" t="n"/>
      <c r="AB141" s="133" t="n"/>
      <c r="AC141" s="133" t="n"/>
      <c r="AD141" s="133" t="n"/>
      <c r="AE141" s="133" t="n"/>
      <c r="AF141" s="133" t="n"/>
      <c r="AG141" s="133" t="n"/>
      <c r="AK141" s="133" t="n"/>
      <c r="AL141" s="133" t="n"/>
      <c r="AM141" s="88" t="n"/>
      <c r="AN141" s="133" t="n"/>
      <c r="AV141" s="133" t="n"/>
    </row>
    <row r="142">
      <c r="A142" s="132" t="inlineStr">
        <is>
          <t>용호동</t>
        </is>
      </c>
      <c r="B142" s="88" t="n"/>
      <c r="C142" s="89" t="n"/>
      <c r="D142" s="132" t="n">
        <v>4633</v>
      </c>
      <c r="E142" s="154" t="inlineStr">
        <is>
          <t>용호동일타운</t>
        </is>
      </c>
      <c r="F142" s="132" t="n">
        <v>1991.1</v>
      </c>
      <c r="G142" s="132" t="n">
        <v>444</v>
      </c>
      <c r="H142" s="132">
        <f>2026-F142+1</f>
        <v/>
      </c>
      <c r="I142" s="133" t="n"/>
      <c r="J142" s="133" t="n"/>
      <c r="K142" s="132" t="n">
        <v>75</v>
      </c>
      <c r="L142" s="133" t="n"/>
      <c r="M142" s="132" t="inlineStr">
        <is>
          <t>계단식</t>
        </is>
      </c>
      <c r="N142" s="132" t="n">
        <v>3</v>
      </c>
      <c r="O142" s="132" t="n">
        <v>1</v>
      </c>
      <c r="P142" s="132" t="n">
        <v>60</v>
      </c>
      <c r="Q142" s="160" t="n">
        <v>18500</v>
      </c>
      <c r="R142" s="160" t="n">
        <v>13000</v>
      </c>
      <c r="S142" s="477">
        <f>Q142-R142</f>
        <v/>
      </c>
      <c r="T142" s="71">
        <f>R142/Q142</f>
        <v/>
      </c>
      <c r="U142" s="133" t="n">
        <v>26200</v>
      </c>
      <c r="V142" s="133" t="n">
        <v>18500</v>
      </c>
      <c r="AA142" s="133" t="n"/>
      <c r="AB142" s="133" t="n"/>
      <c r="AC142" s="133" t="n"/>
      <c r="AD142" s="133" t="n"/>
      <c r="AE142" s="133" t="n"/>
      <c r="AF142" s="133" t="n"/>
      <c r="AG142" s="133" t="n"/>
      <c r="AK142" s="133" t="n"/>
      <c r="AL142" s="133" t="n"/>
      <c r="AM142" s="88" t="n"/>
      <c r="AN142" s="133" t="n"/>
      <c r="AV142" s="133" t="n"/>
    </row>
    <row r="143">
      <c r="A143" s="132" t="inlineStr">
        <is>
          <t>우암동</t>
        </is>
      </c>
      <c r="B143" s="88" t="n"/>
      <c r="C143" s="89" t="n"/>
      <c r="D143" s="132" t="n">
        <v>4724</v>
      </c>
      <c r="E143" s="154" t="inlineStr">
        <is>
          <t>뉴서울</t>
        </is>
      </c>
      <c r="F143" s="132" t="n">
        <v>1996.04</v>
      </c>
      <c r="G143" s="132" t="n">
        <v>429</v>
      </c>
      <c r="H143" s="132">
        <f>2026-F143+1</f>
        <v/>
      </c>
      <c r="I143" s="133" t="n"/>
      <c r="J143" s="132" t="n">
        <v>82</v>
      </c>
      <c r="K143" s="132" t="n">
        <v>59</v>
      </c>
      <c r="L143" s="132" t="n">
        <v>25</v>
      </c>
      <c r="M143" s="132" t="inlineStr">
        <is>
          <t>복도식</t>
        </is>
      </c>
      <c r="N143" s="132" t="n">
        <v>3</v>
      </c>
      <c r="O143" s="132" t="n">
        <v>1</v>
      </c>
      <c r="P143" s="132" t="n">
        <v>155</v>
      </c>
      <c r="Q143" s="160" t="n">
        <v>18500</v>
      </c>
      <c r="R143" s="160" t="n">
        <v>14000</v>
      </c>
      <c r="S143" s="477">
        <f>Q143-R143</f>
        <v/>
      </c>
      <c r="T143" s="71">
        <f>R143/Q143</f>
        <v/>
      </c>
      <c r="U143" s="133" t="n">
        <v>22800</v>
      </c>
      <c r="V143" s="133" t="n">
        <v>17200</v>
      </c>
      <c r="AA143" s="133" t="n"/>
      <c r="AB143" s="133" t="n"/>
      <c r="AC143" s="133" t="n"/>
      <c r="AD143" s="133" t="n"/>
      <c r="AE143" s="133" t="n"/>
      <c r="AF143" s="133" t="n"/>
      <c r="AG143" s="133" t="n"/>
      <c r="AK143" s="133" t="n"/>
      <c r="AL143" s="133" t="n"/>
      <c r="AM143" s="88" t="n"/>
      <c r="AN143" s="133" t="n"/>
      <c r="AV143" s="133" t="n"/>
    </row>
    <row r="144">
      <c r="A144" s="339" t="inlineStr">
        <is>
          <t>용호동</t>
        </is>
      </c>
      <c r="D144" s="339" t="n">
        <v>4607</v>
      </c>
      <c r="E144" s="113" t="inlineStr">
        <is>
          <t>경동</t>
        </is>
      </c>
      <c r="F144" s="339" t="n">
        <v>1992.12</v>
      </c>
      <c r="G144" s="339" t="n">
        <v>499</v>
      </c>
      <c r="H144" s="339">
        <f>2026-F144+1</f>
        <v/>
      </c>
      <c r="K144" s="339" t="n">
        <v>83</v>
      </c>
      <c r="M144" s="339" t="inlineStr">
        <is>
          <t>계단식</t>
        </is>
      </c>
      <c r="N144" s="339" t="n">
        <v>3</v>
      </c>
      <c r="O144" s="339" t="n">
        <v>2</v>
      </c>
      <c r="P144" s="339" t="n">
        <v>148</v>
      </c>
      <c r="Q144" s="156" t="n">
        <v>18200</v>
      </c>
      <c r="R144" s="156" t="n">
        <v>20500</v>
      </c>
      <c r="S144" s="477">
        <f>Q144-R144</f>
        <v/>
      </c>
      <c r="T144" s="71">
        <f>R144/Q144</f>
        <v/>
      </c>
      <c r="U144" s="339" t="n">
        <v>22000</v>
      </c>
      <c r="V144" s="339" t="n">
        <v>18800</v>
      </c>
    </row>
    <row r="145">
      <c r="A145" s="339" t="inlineStr">
        <is>
          <t>대연동</t>
        </is>
      </c>
      <c r="D145" s="339" t="n">
        <v>4521</v>
      </c>
      <c r="E145" s="150" t="inlineStr">
        <is>
          <t>대연대우</t>
        </is>
      </c>
      <c r="F145" s="339" t="n">
        <v>1996.02</v>
      </c>
      <c r="G145" s="339" t="n">
        <v>457</v>
      </c>
      <c r="H145" s="339">
        <f>2026-F145+1</f>
        <v/>
      </c>
      <c r="K145" s="339" t="n">
        <v>59</v>
      </c>
      <c r="M145" s="339" t="inlineStr">
        <is>
          <t>계단식</t>
        </is>
      </c>
      <c r="N145" s="339" t="n">
        <v>3</v>
      </c>
      <c r="O145" s="339" t="n">
        <v>1</v>
      </c>
      <c r="P145" s="339" t="n">
        <v>174</v>
      </c>
      <c r="Q145" s="156" t="n">
        <v>18000</v>
      </c>
      <c r="R145" s="156" t="n">
        <v>15000</v>
      </c>
      <c r="S145" s="477">
        <f>Q145-R145</f>
        <v/>
      </c>
      <c r="T145" s="71">
        <f>R145/Q145</f>
        <v/>
      </c>
      <c r="U145" s="339" t="n">
        <v>21000</v>
      </c>
      <c r="V145" s="339" t="n">
        <v>16000</v>
      </c>
    </row>
    <row r="146">
      <c r="A146" s="339" t="inlineStr">
        <is>
          <t>문현동</t>
        </is>
      </c>
      <c r="D146" s="339" t="n">
        <v>8861</v>
      </c>
      <c r="E146" s="150" t="inlineStr">
        <is>
          <t>문현현대2차</t>
        </is>
      </c>
      <c r="F146" s="339" t="n">
        <v>2000.06</v>
      </c>
      <c r="G146" s="339" t="n">
        <v>420</v>
      </c>
      <c r="H146" s="339">
        <f>2026-F146+1</f>
        <v/>
      </c>
      <c r="J146" s="339" t="n">
        <v>79</v>
      </c>
      <c r="K146" s="339" t="n">
        <v>59</v>
      </c>
      <c r="L146" s="339" t="n">
        <v>24</v>
      </c>
      <c r="M146" s="339" t="inlineStr">
        <is>
          <t>복도식</t>
        </is>
      </c>
      <c r="N146" s="339" t="n">
        <v>3</v>
      </c>
      <c r="O146" s="339" t="n">
        <v>1</v>
      </c>
      <c r="P146" s="339" t="n">
        <v>130</v>
      </c>
      <c r="Q146" s="156" t="n">
        <v>18000</v>
      </c>
      <c r="R146" s="156" t="n">
        <v>14000</v>
      </c>
      <c r="S146" s="477">
        <f>Q146-R146</f>
        <v/>
      </c>
      <c r="T146" s="71">
        <f>R146/Q146</f>
        <v/>
      </c>
      <c r="U146" s="339" t="n">
        <v>24000</v>
      </c>
      <c r="V146" s="339" t="n">
        <v>19800</v>
      </c>
    </row>
    <row r="147">
      <c r="A147" s="132" t="inlineStr">
        <is>
          <t>용호동</t>
        </is>
      </c>
      <c r="B147" s="88" t="n"/>
      <c r="C147" s="89" t="n"/>
      <c r="D147" s="132" t="n">
        <v>4612</v>
      </c>
      <c r="E147" s="135" t="inlineStr">
        <is>
          <t>대광타워맨션</t>
        </is>
      </c>
      <c r="F147" s="132" t="n">
        <v>1995.04</v>
      </c>
      <c r="G147" s="132" t="n">
        <v>479</v>
      </c>
      <c r="H147" s="132">
        <f>2026-F147+1</f>
        <v/>
      </c>
      <c r="I147" s="133" t="n"/>
      <c r="J147" s="132" t="n">
        <v>106</v>
      </c>
      <c r="K147" s="132" t="n">
        <v>84</v>
      </c>
      <c r="L147" s="132" t="n">
        <v>32</v>
      </c>
      <c r="M147" s="132" t="inlineStr">
        <is>
          <t>계단식</t>
        </is>
      </c>
      <c r="N147" s="132" t="n">
        <v>3</v>
      </c>
      <c r="O147" s="132" t="n">
        <v>2</v>
      </c>
      <c r="P147" s="132" t="n">
        <v>167</v>
      </c>
      <c r="Q147" s="160" t="n">
        <v>18000</v>
      </c>
      <c r="R147" s="160" t="n"/>
      <c r="S147" s="477">
        <f>Q147-R147</f>
        <v/>
      </c>
      <c r="T147" s="71">
        <f>R147/Q147</f>
        <v/>
      </c>
      <c r="U147" s="133" t="n">
        <v>21200</v>
      </c>
      <c r="V147" s="133" t="n">
        <v>15000</v>
      </c>
      <c r="AA147" s="133" t="n"/>
      <c r="AB147" s="133" t="n"/>
      <c r="AC147" s="133" t="n"/>
      <c r="AD147" s="133" t="n"/>
      <c r="AE147" s="133" t="n"/>
      <c r="AF147" s="133" t="n"/>
      <c r="AG147" s="133" t="n"/>
      <c r="AK147" s="133" t="n"/>
      <c r="AL147" s="133" t="n"/>
      <c r="AM147" s="88" t="n"/>
      <c r="AN147" s="133" t="n"/>
      <c r="AV147" s="133" t="n"/>
    </row>
    <row r="148">
      <c r="A148" s="339" t="inlineStr">
        <is>
          <t>용호동</t>
        </is>
      </c>
      <c r="D148" s="339" t="n">
        <v>15882</v>
      </c>
      <c r="E148" s="150" t="inlineStr">
        <is>
          <t>오륙도뜨란채</t>
        </is>
      </c>
      <c r="F148" s="339" t="n">
        <v>2000.04</v>
      </c>
      <c r="G148" s="339" t="n">
        <v>480</v>
      </c>
      <c r="H148" s="339">
        <f>2026-F148+1</f>
        <v/>
      </c>
      <c r="K148" s="339" t="n">
        <v>59</v>
      </c>
      <c r="M148" s="339" t="inlineStr">
        <is>
          <t>계단식</t>
        </is>
      </c>
      <c r="N148" s="339" t="n">
        <v>3</v>
      </c>
      <c r="O148" s="339" t="n">
        <v>1</v>
      </c>
      <c r="P148" s="339" t="n">
        <v>236</v>
      </c>
      <c r="Q148" s="156" t="n">
        <v>17500</v>
      </c>
      <c r="R148" s="156" t="n">
        <v>13000</v>
      </c>
      <c r="S148" s="477">
        <f>Q148-R148</f>
        <v/>
      </c>
      <c r="T148" s="71">
        <f>R148/Q148</f>
        <v/>
      </c>
      <c r="U148" s="339" t="n">
        <v>21700</v>
      </c>
      <c r="V148" s="339" t="n">
        <v>16000</v>
      </c>
    </row>
    <row r="149">
      <c r="A149" s="132" t="inlineStr">
        <is>
          <t>감만동</t>
        </is>
      </c>
      <c r="B149" s="88" t="n"/>
      <c r="C149" s="89" t="n"/>
      <c r="D149" s="132" t="n">
        <v>14076</v>
      </c>
      <c r="E149" s="154" t="inlineStr">
        <is>
          <t>유창그린2차</t>
        </is>
      </c>
      <c r="F149" s="132" t="n">
        <v>2012.02</v>
      </c>
      <c r="G149" s="132" t="n">
        <v>365</v>
      </c>
      <c r="H149" s="132">
        <f>2026-F149+1</f>
        <v/>
      </c>
      <c r="I149" s="133" t="n"/>
      <c r="J149" s="132" t="n">
        <v>88</v>
      </c>
      <c r="K149" s="132" t="n">
        <v>72</v>
      </c>
      <c r="L149" s="132" t="n">
        <v>27</v>
      </c>
      <c r="M149" s="132" t="inlineStr">
        <is>
          <t>계단식</t>
        </is>
      </c>
      <c r="N149" s="132" t="n">
        <v>3</v>
      </c>
      <c r="O149" s="132" t="n">
        <v>1</v>
      </c>
      <c r="P149" s="132" t="n">
        <v>90</v>
      </c>
      <c r="Q149" s="160" t="n">
        <v>17000</v>
      </c>
      <c r="R149" s="160" t="n">
        <v>10000</v>
      </c>
      <c r="S149" s="477">
        <f>Q149-R149</f>
        <v/>
      </c>
      <c r="T149" s="71">
        <f>R149/Q149</f>
        <v/>
      </c>
      <c r="U149" s="133" t="n">
        <v>18000</v>
      </c>
      <c r="V149" s="133" t="n">
        <v>14000</v>
      </c>
      <c r="AA149" s="133" t="n"/>
      <c r="AB149" s="133" t="n"/>
      <c r="AC149" s="133" t="n"/>
      <c r="AD149" s="133" t="n"/>
      <c r="AE149" s="133" t="n"/>
      <c r="AF149" s="133" t="n"/>
      <c r="AG149" s="133" t="n"/>
      <c r="AK149" s="133" t="n"/>
      <c r="AL149" s="133" t="n"/>
      <c r="AM149" s="88" t="n"/>
      <c r="AN149" s="133" t="n"/>
      <c r="AV149" s="133" t="n"/>
    </row>
    <row r="150">
      <c r="A150" s="339" t="inlineStr">
        <is>
          <t>용호동</t>
        </is>
      </c>
      <c r="D150" s="339" t="n">
        <v>4607</v>
      </c>
      <c r="E150" s="113" t="inlineStr">
        <is>
          <t>경동</t>
        </is>
      </c>
      <c r="F150" s="339" t="n">
        <v>1992.12</v>
      </c>
      <c r="G150" s="339" t="n">
        <v>499</v>
      </c>
      <c r="H150" s="339">
        <f>2026-F150+1</f>
        <v/>
      </c>
      <c r="K150" s="339" t="n">
        <v>78</v>
      </c>
      <c r="M150" s="339" t="inlineStr">
        <is>
          <t>계단식</t>
        </is>
      </c>
      <c r="N150" s="339" t="n">
        <v>3</v>
      </c>
      <c r="O150" s="339" t="n">
        <v>2</v>
      </c>
      <c r="P150" s="339" t="n">
        <v>19</v>
      </c>
      <c r="Q150" s="156" t="n">
        <v>17000</v>
      </c>
      <c r="R150" s="156" t="n">
        <v>20300</v>
      </c>
      <c r="S150" s="477">
        <f>Q150-R150</f>
        <v/>
      </c>
      <c r="T150" s="71">
        <f>R150/Q150</f>
        <v/>
      </c>
      <c r="U150" s="339" t="n">
        <v>20300</v>
      </c>
      <c r="V150" s="339" t="n">
        <v>20300</v>
      </c>
    </row>
    <row r="151">
      <c r="A151" s="339" t="inlineStr">
        <is>
          <t>용호동</t>
        </is>
      </c>
      <c r="D151" s="339" t="n">
        <v>4650</v>
      </c>
      <c r="E151" s="113" t="inlineStr">
        <is>
          <t>협진태양</t>
        </is>
      </c>
      <c r="F151" s="339" t="n">
        <v>1988.11</v>
      </c>
      <c r="G151" s="339" t="n">
        <v>315</v>
      </c>
      <c r="H151" s="339">
        <f>2026-F151+1</f>
        <v/>
      </c>
      <c r="J151" s="339" t="n">
        <v>73</v>
      </c>
      <c r="K151" s="339" t="n">
        <v>59</v>
      </c>
      <c r="L151" s="339" t="n">
        <v>22</v>
      </c>
      <c r="M151" s="339" t="inlineStr">
        <is>
          <t>계단식</t>
        </is>
      </c>
      <c r="N151" s="339" t="n">
        <v>2</v>
      </c>
      <c r="O151" s="339" t="n">
        <v>1</v>
      </c>
      <c r="P151" s="339" t="n">
        <v>70</v>
      </c>
      <c r="Q151" s="156" t="n">
        <v>16000</v>
      </c>
      <c r="R151" s="156" t="n">
        <v>9000</v>
      </c>
      <c r="S151" s="477">
        <f>Q151-R151</f>
        <v/>
      </c>
      <c r="T151" s="71">
        <f>R151/Q151</f>
        <v/>
      </c>
      <c r="U151" s="339" t="n">
        <v>22000</v>
      </c>
      <c r="V151" s="339" t="n">
        <v>16250</v>
      </c>
    </row>
    <row r="152">
      <c r="A152" s="339" t="inlineStr">
        <is>
          <t>대연동</t>
        </is>
      </c>
      <c r="D152" s="339" t="n">
        <v>4532</v>
      </c>
      <c r="E152" s="113" t="inlineStr">
        <is>
          <t>삼익그린타운</t>
        </is>
      </c>
      <c r="F152" s="339" t="n">
        <v>2001.02</v>
      </c>
      <c r="G152" s="339" t="n">
        <v>725</v>
      </c>
      <c r="H152" s="339">
        <f>2026-F152+1</f>
        <v/>
      </c>
      <c r="K152" s="339" t="n">
        <v>59</v>
      </c>
      <c r="M152" s="339" t="inlineStr">
        <is>
          <t>계단식</t>
        </is>
      </c>
      <c r="N152" s="339" t="n">
        <v>3</v>
      </c>
      <c r="O152" s="339" t="n">
        <v>1</v>
      </c>
      <c r="P152" s="339" t="n">
        <v>160</v>
      </c>
      <c r="Q152" s="156" t="n">
        <v>15700</v>
      </c>
      <c r="R152" s="156" t="n">
        <v>15000</v>
      </c>
      <c r="S152" s="477">
        <f>Q152-R152</f>
        <v/>
      </c>
      <c r="T152" s="71">
        <f>R152/Q152</f>
        <v/>
      </c>
      <c r="U152" s="339" t="n">
        <v>23000</v>
      </c>
      <c r="V152" s="339" t="n">
        <v>16600</v>
      </c>
    </row>
    <row r="153">
      <c r="A153" s="339" t="inlineStr">
        <is>
          <t>우암동</t>
        </is>
      </c>
      <c r="B153" s="164" t="n"/>
      <c r="C153" s="164" t="n"/>
      <c r="D153" s="339" t="n">
        <v>4731</v>
      </c>
      <c r="E153" s="113" t="inlineStr">
        <is>
          <t>일신보라</t>
        </is>
      </c>
      <c r="F153" s="339" t="n">
        <v>1998.09</v>
      </c>
      <c r="G153" s="339" t="n">
        <v>661</v>
      </c>
      <c r="H153" s="339">
        <f>2026-F153+1</f>
        <v/>
      </c>
      <c r="K153" s="339" t="n">
        <v>59</v>
      </c>
      <c r="M153" s="339" t="inlineStr">
        <is>
          <t>계단식</t>
        </is>
      </c>
      <c r="N153" s="339" t="n">
        <v>3</v>
      </c>
      <c r="O153" s="339" t="n">
        <v>1</v>
      </c>
      <c r="P153" s="339" t="n">
        <v>275</v>
      </c>
      <c r="Q153" s="156" t="n">
        <v>15600</v>
      </c>
      <c r="R153" s="156" t="n">
        <v>15000</v>
      </c>
      <c r="S153" s="477">
        <f>Q153-R153</f>
        <v/>
      </c>
      <c r="T153" s="71">
        <f>R153/Q153</f>
        <v/>
      </c>
      <c r="U153" s="339" t="n">
        <v>24500</v>
      </c>
      <c r="V153" s="339" t="n">
        <v>15800</v>
      </c>
      <c r="AM153" s="357" t="n"/>
    </row>
    <row r="154">
      <c r="A154" s="132" t="inlineStr">
        <is>
          <t>용호동</t>
        </is>
      </c>
      <c r="B154" s="133" t="n"/>
      <c r="C154" s="133" t="n"/>
      <c r="D154" s="132" t="n">
        <v>4612</v>
      </c>
      <c r="E154" s="154" t="inlineStr">
        <is>
          <t>대광타워맨션</t>
        </is>
      </c>
      <c r="F154" s="132" t="n">
        <v>1995.04</v>
      </c>
      <c r="G154" s="132" t="n">
        <v>479</v>
      </c>
      <c r="H154" s="132">
        <f>2026-F154+1</f>
        <v/>
      </c>
      <c r="I154" s="133" t="n"/>
      <c r="J154" s="132" t="n">
        <v>90</v>
      </c>
      <c r="K154" s="132" t="n">
        <v>72</v>
      </c>
      <c r="L154" s="132" t="n">
        <v>27</v>
      </c>
      <c r="M154" s="132" t="inlineStr">
        <is>
          <t>계단식</t>
        </is>
      </c>
      <c r="N154" s="132" t="n">
        <v>3</v>
      </c>
      <c r="O154" s="132" t="n">
        <v>1</v>
      </c>
      <c r="P154" s="132" t="n">
        <v>24</v>
      </c>
      <c r="Q154" s="160" t="n">
        <v>15000</v>
      </c>
      <c r="R154" s="160" t="n"/>
      <c r="S154" s="477">
        <f>Q154-R154</f>
        <v/>
      </c>
      <c r="T154" s="71">
        <f>R154/Q154</f>
        <v/>
      </c>
      <c r="U154" s="133" t="n"/>
      <c r="V154" s="133" t="n"/>
      <c r="AA154" s="133" t="n"/>
      <c r="AB154" s="133" t="n"/>
      <c r="AC154" s="133" t="n"/>
      <c r="AD154" s="133" t="n"/>
      <c r="AE154" s="133" t="n"/>
      <c r="AF154" s="133" t="n"/>
      <c r="AG154" s="133" t="n"/>
      <c r="AK154" s="133" t="n"/>
      <c r="AL154" s="133" t="n"/>
      <c r="AM154" s="133" t="n"/>
      <c r="AN154" s="133" t="n"/>
      <c r="AV154" s="133" t="n"/>
    </row>
    <row r="155">
      <c r="A155" s="132" t="inlineStr">
        <is>
          <t>대연동</t>
        </is>
      </c>
      <c r="B155" s="88" t="n"/>
      <c r="C155" s="89" t="n"/>
      <c r="D155" s="132" t="n">
        <v>4535</v>
      </c>
      <c r="E155" s="135" t="inlineStr">
        <is>
          <t>신원에버그린</t>
        </is>
      </c>
      <c r="F155" s="132" t="n">
        <v>2000.11</v>
      </c>
      <c r="G155" s="132" t="n">
        <v>352</v>
      </c>
      <c r="H155" s="132">
        <f>2026-F155+1</f>
        <v/>
      </c>
      <c r="I155" s="133" t="n"/>
      <c r="J155" s="132" t="n">
        <v>79</v>
      </c>
      <c r="K155" s="132" t="n">
        <v>59</v>
      </c>
      <c r="L155" s="132" t="n">
        <v>24</v>
      </c>
      <c r="M155" s="132" t="inlineStr">
        <is>
          <t>계단식</t>
        </is>
      </c>
      <c r="N155" s="132" t="n">
        <v>3</v>
      </c>
      <c r="O155" s="132" t="n">
        <v>1</v>
      </c>
      <c r="P155" s="132" t="n">
        <v>160</v>
      </c>
      <c r="Q155" s="160" t="n">
        <v>14500</v>
      </c>
      <c r="R155" s="160" t="n">
        <v>13500</v>
      </c>
      <c r="S155" s="477">
        <f>Q155-R155</f>
        <v/>
      </c>
      <c r="T155" s="71">
        <f>R155/Q155</f>
        <v/>
      </c>
      <c r="U155" s="133" t="n">
        <v>20500</v>
      </c>
      <c r="V155" s="133" t="n">
        <v>13100</v>
      </c>
      <c r="AA155" s="133" t="n"/>
      <c r="AB155" s="133" t="n"/>
      <c r="AC155" s="133" t="n"/>
      <c r="AD155" s="133" t="n"/>
      <c r="AE155" s="133" t="n"/>
      <c r="AF155" s="133" t="n"/>
      <c r="AG155" s="133" t="n"/>
      <c r="AK155" s="133" t="n"/>
      <c r="AL155" s="133" t="n"/>
      <c r="AM155" s="88" t="n"/>
      <c r="AN155" s="133" t="n"/>
      <c r="AV155" s="133" t="n"/>
    </row>
    <row r="156">
      <c r="A156" s="339" t="inlineStr">
        <is>
          <t>용호동</t>
        </is>
      </c>
      <c r="D156" s="339" t="n">
        <v>4607</v>
      </c>
      <c r="E156" s="113" t="inlineStr">
        <is>
          <t>경동</t>
        </is>
      </c>
      <c r="F156" s="339" t="n">
        <v>1992.12</v>
      </c>
      <c r="G156" s="339" t="n">
        <v>499</v>
      </c>
      <c r="H156" s="339">
        <f>2026-F156+1</f>
        <v/>
      </c>
      <c r="J156" s="339" t="n">
        <v>88</v>
      </c>
      <c r="K156" s="339" t="n">
        <v>70</v>
      </c>
      <c r="L156" s="339" t="n">
        <v>27</v>
      </c>
      <c r="M156" s="339" t="inlineStr">
        <is>
          <t>계단식</t>
        </is>
      </c>
      <c r="N156" s="339" t="n">
        <v>2</v>
      </c>
      <c r="O156" s="339" t="n">
        <v>1</v>
      </c>
      <c r="P156" s="339" t="n">
        <v>148</v>
      </c>
      <c r="Q156" s="156" t="n">
        <v>14000</v>
      </c>
      <c r="R156" s="156" t="n">
        <v>13000</v>
      </c>
      <c r="S156" s="477">
        <f>Q156-R156</f>
        <v/>
      </c>
      <c r="T156" s="71">
        <f>R156/Q156</f>
        <v/>
      </c>
      <c r="U156" s="339" t="n">
        <v>19600</v>
      </c>
      <c r="V156" s="339" t="n">
        <v>14800</v>
      </c>
    </row>
    <row r="157">
      <c r="A157" s="339" t="inlineStr">
        <is>
          <t>용호동</t>
        </is>
      </c>
      <c r="D157" s="339" t="n">
        <v>4607</v>
      </c>
      <c r="E157" s="113" t="inlineStr">
        <is>
          <t>경동</t>
        </is>
      </c>
      <c r="F157" s="339" t="n">
        <v>1992.12</v>
      </c>
      <c r="G157" s="339" t="n">
        <v>499</v>
      </c>
      <c r="H157" s="339">
        <f>2026-F157+1</f>
        <v/>
      </c>
      <c r="K157" s="339" t="n">
        <v>58</v>
      </c>
      <c r="M157" s="339" t="inlineStr">
        <is>
          <t>계단식</t>
        </is>
      </c>
      <c r="N157" s="339" t="n">
        <v>2</v>
      </c>
      <c r="O157" s="339" t="n">
        <v>1</v>
      </c>
      <c r="P157" s="339" t="n">
        <v>17</v>
      </c>
      <c r="Q157" s="156" t="n">
        <v>13000</v>
      </c>
      <c r="R157" s="156" t="n">
        <v>12000</v>
      </c>
      <c r="S157" s="477">
        <f>Q157-R157</f>
        <v/>
      </c>
      <c r="T157" s="71">
        <f>R157/Q157</f>
        <v/>
      </c>
      <c r="U157" s="339" t="n">
        <v>14000</v>
      </c>
      <c r="V157" s="339" t="n">
        <v>14000</v>
      </c>
    </row>
    <row r="158">
      <c r="A158" s="132" t="inlineStr">
        <is>
          <t>감만동</t>
        </is>
      </c>
      <c r="B158" s="88" t="n"/>
      <c r="C158" s="89" t="n"/>
      <c r="D158" s="132" t="n">
        <v>4502</v>
      </c>
      <c r="E158" s="135" t="inlineStr">
        <is>
          <t>감만현대1차</t>
        </is>
      </c>
      <c r="F158" s="132" t="n">
        <v>1996.05</v>
      </c>
      <c r="G158" s="132" t="n">
        <v>885</v>
      </c>
      <c r="H158" s="132">
        <f>2026-F158+1</f>
        <v/>
      </c>
      <c r="I158" s="133" t="n"/>
      <c r="J158" s="132" t="n">
        <v>78</v>
      </c>
      <c r="K158" s="132" t="n">
        <v>59</v>
      </c>
      <c r="L158" s="132" t="n">
        <v>24</v>
      </c>
      <c r="M158" s="132" t="inlineStr">
        <is>
          <t>계단식</t>
        </is>
      </c>
      <c r="N158" s="132" t="n">
        <v>2</v>
      </c>
      <c r="O158" s="132" t="n">
        <v>1</v>
      </c>
      <c r="P158" s="132" t="n">
        <v>693</v>
      </c>
      <c r="Q158" s="160" t="n">
        <v>12800</v>
      </c>
      <c r="R158" s="160" t="n">
        <v>12000</v>
      </c>
      <c r="S158" s="477">
        <f>Q158-R158</f>
        <v/>
      </c>
      <c r="T158" s="71">
        <f>R158/Q158</f>
        <v/>
      </c>
      <c r="U158" s="133" t="n">
        <v>20400</v>
      </c>
      <c r="V158" s="133" t="n">
        <v>11000</v>
      </c>
      <c r="AA158" s="133" t="n"/>
      <c r="AB158" s="133" t="n"/>
      <c r="AC158" s="133" t="n"/>
      <c r="AD158" s="133" t="n"/>
      <c r="AE158" s="133" t="n"/>
      <c r="AF158" s="133" t="n"/>
      <c r="AG158" s="133" t="n"/>
      <c r="AK158" s="133" t="n"/>
      <c r="AL158" s="133" t="n"/>
      <c r="AM158" s="88" t="n"/>
      <c r="AN158" s="133" t="n"/>
      <c r="AV158" s="133" t="n"/>
    </row>
    <row r="159">
      <c r="A159" s="339" t="inlineStr">
        <is>
          <t>용호동</t>
        </is>
      </c>
      <c r="B159" s="164" t="n"/>
      <c r="C159" s="164" t="n"/>
      <c r="D159" s="339" t="n">
        <v>4607</v>
      </c>
      <c r="E159" s="113" t="inlineStr">
        <is>
          <t>경동</t>
        </is>
      </c>
      <c r="F159" s="339" t="n">
        <v>1992.12</v>
      </c>
      <c r="G159" s="339" t="n">
        <v>499</v>
      </c>
      <c r="H159" s="339">
        <f>2026-F159+1</f>
        <v/>
      </c>
      <c r="K159" s="339" t="n">
        <v>56</v>
      </c>
      <c r="M159" s="339" t="inlineStr">
        <is>
          <t>계단식</t>
        </is>
      </c>
      <c r="N159" s="339" t="n">
        <v>2</v>
      </c>
      <c r="O159" s="339" t="n">
        <v>1</v>
      </c>
      <c r="P159" s="339" t="n">
        <v>34</v>
      </c>
      <c r="Q159" s="156" t="n">
        <v>12500</v>
      </c>
      <c r="R159" s="156" t="n">
        <v>10000</v>
      </c>
      <c r="S159" s="477">
        <f>Q159-R159</f>
        <v/>
      </c>
      <c r="T159" s="71">
        <f>R159/Q159</f>
        <v/>
      </c>
      <c r="AM159" s="357" t="n"/>
    </row>
    <row r="160">
      <c r="A160" s="132" t="inlineStr">
        <is>
          <t>감만동</t>
        </is>
      </c>
      <c r="B160" s="133" t="n"/>
      <c r="C160" s="133" t="n"/>
      <c r="D160" s="132" t="n">
        <v>14076</v>
      </c>
      <c r="E160" s="154" t="inlineStr">
        <is>
          <t>유창그린2차</t>
        </is>
      </c>
      <c r="F160" s="132" t="n">
        <v>2012.02</v>
      </c>
      <c r="G160" s="132" t="n">
        <v>365</v>
      </c>
      <c r="H160" s="132">
        <f>2026-F160+1</f>
        <v/>
      </c>
      <c r="I160" s="133" t="n"/>
      <c r="J160" s="132" t="n">
        <v>75</v>
      </c>
      <c r="K160" s="132" t="n">
        <v>59</v>
      </c>
      <c r="L160" s="132" t="n">
        <v>23</v>
      </c>
      <c r="M160" s="132" t="inlineStr">
        <is>
          <t>계단식</t>
        </is>
      </c>
      <c r="N160" s="132" t="n">
        <v>2</v>
      </c>
      <c r="O160" s="132" t="n">
        <v>1</v>
      </c>
      <c r="P160" s="132" t="n">
        <v>60</v>
      </c>
      <c r="Q160" s="160" t="n">
        <v>12000</v>
      </c>
      <c r="R160" s="160" t="n">
        <v>11000</v>
      </c>
      <c r="S160" s="477">
        <f>Q160-R160</f>
        <v/>
      </c>
      <c r="T160" s="71">
        <f>R160/Q160</f>
        <v/>
      </c>
      <c r="U160" s="133" t="n">
        <v>16000</v>
      </c>
      <c r="V160" s="133" t="n">
        <v>12500</v>
      </c>
      <c r="AA160" s="133" t="n"/>
      <c r="AB160" s="133" t="n"/>
      <c r="AC160" s="133" t="n"/>
      <c r="AD160" s="133" t="n"/>
      <c r="AE160" s="133" t="n"/>
      <c r="AF160" s="133" t="n"/>
      <c r="AG160" s="133" t="n"/>
      <c r="AK160" s="133" t="n"/>
      <c r="AL160" s="133" t="n"/>
      <c r="AM160" s="133" t="n"/>
      <c r="AN160" s="133" t="n"/>
      <c r="AV160" s="133" t="n"/>
    </row>
    <row r="161">
      <c r="A161" s="132" t="inlineStr">
        <is>
          <t>용호동</t>
        </is>
      </c>
      <c r="B161" s="133" t="n"/>
      <c r="C161" s="133" t="n"/>
      <c r="D161" s="132" t="n">
        <v>4612</v>
      </c>
      <c r="E161" s="154" t="inlineStr">
        <is>
          <t>대광타워맨션</t>
        </is>
      </c>
      <c r="F161" s="132" t="n">
        <v>1995.04</v>
      </c>
      <c r="G161" s="132" t="n">
        <v>479</v>
      </c>
      <c r="H161" s="132">
        <f>2026-F161+1</f>
        <v/>
      </c>
      <c r="I161" s="133" t="n"/>
      <c r="J161" s="132" t="n">
        <v>86</v>
      </c>
      <c r="K161" s="132" t="n">
        <v>59</v>
      </c>
      <c r="L161" s="132" t="n">
        <v>26</v>
      </c>
      <c r="M161" s="132" t="inlineStr">
        <is>
          <t>계단식</t>
        </is>
      </c>
      <c r="N161" s="132" t="n">
        <v>3</v>
      </c>
      <c r="O161" s="132" t="n">
        <v>1</v>
      </c>
      <c r="P161" s="132" t="n">
        <v>188</v>
      </c>
      <c r="Q161" s="160" t="n">
        <v>11500</v>
      </c>
      <c r="R161" s="160" t="n">
        <v>10000</v>
      </c>
      <c r="S161" s="477">
        <f>Q161-R161</f>
        <v/>
      </c>
      <c r="T161" s="71">
        <f>R161/Q161</f>
        <v/>
      </c>
      <c r="U161" s="133" t="n">
        <v>15500</v>
      </c>
      <c r="V161" s="133" t="n">
        <v>10500</v>
      </c>
      <c r="AA161" s="133" t="n"/>
      <c r="AB161" s="133" t="n"/>
      <c r="AC161" s="133" t="n"/>
      <c r="AD161" s="133" t="n"/>
      <c r="AE161" s="133" t="n"/>
      <c r="AF161" s="133" t="n"/>
      <c r="AG161" s="133" t="n"/>
      <c r="AK161" s="133" t="n"/>
      <c r="AL161" s="133" t="n"/>
      <c r="AM161" s="133" t="n"/>
      <c r="AN161" s="133" t="n"/>
      <c r="AV161" s="133" t="n"/>
    </row>
    <row r="162">
      <c r="A162" s="339" t="inlineStr">
        <is>
          <t>감만동</t>
        </is>
      </c>
      <c r="B162" s="164" t="n"/>
      <c r="C162" s="164" t="n"/>
      <c r="D162" s="339" t="n">
        <v>12935</v>
      </c>
      <c r="E162" s="113" t="inlineStr">
        <is>
          <t>감만동일스위트</t>
        </is>
      </c>
      <c r="F162" s="339" t="n">
        <v>2005.1</v>
      </c>
      <c r="G162" s="339" t="n">
        <v>548</v>
      </c>
      <c r="H162" s="339">
        <f>2026-F162+1</f>
        <v/>
      </c>
      <c r="J162" s="339" t="n">
        <v>84</v>
      </c>
      <c r="K162" s="339" t="n">
        <v>59</v>
      </c>
      <c r="L162" s="339" t="n">
        <v>25</v>
      </c>
      <c r="M162" s="339" t="inlineStr">
        <is>
          <t>계단식</t>
        </is>
      </c>
      <c r="N162" s="339" t="n">
        <v>3</v>
      </c>
      <c r="O162" s="339" t="n">
        <v>1</v>
      </c>
      <c r="P162" s="339" t="n">
        <v>70</v>
      </c>
      <c r="S162" s="477">
        <f>Q162-R162</f>
        <v/>
      </c>
      <c r="T162" s="71">
        <f>R162/Q162</f>
        <v/>
      </c>
      <c r="U162" s="339" t="n">
        <v>25000</v>
      </c>
      <c r="V162" s="339" t="n">
        <v>19000</v>
      </c>
      <c r="AM162" s="357" t="n"/>
    </row>
    <row r="163">
      <c r="A163" s="132" t="inlineStr">
        <is>
          <t>감만동</t>
        </is>
      </c>
      <c r="B163" s="133" t="n"/>
      <c r="C163" s="133" t="n"/>
      <c r="D163" s="132" t="n">
        <v>14076</v>
      </c>
      <c r="E163" s="154" t="inlineStr">
        <is>
          <t>유창그린2차</t>
        </is>
      </c>
      <c r="F163" s="132" t="n">
        <v>2012.02</v>
      </c>
      <c r="G163" s="132" t="n">
        <v>365</v>
      </c>
      <c r="H163" s="132">
        <f>2026-F163+1</f>
        <v/>
      </c>
      <c r="I163" s="133" t="n"/>
      <c r="J163" s="132" t="n">
        <v>69</v>
      </c>
      <c r="K163" s="132" t="n">
        <v>50</v>
      </c>
      <c r="L163" s="132" t="n">
        <v>21</v>
      </c>
      <c r="M163" s="132" t="inlineStr">
        <is>
          <t>계단식</t>
        </is>
      </c>
      <c r="N163" s="132" t="n">
        <v>3</v>
      </c>
      <c r="O163" s="132" t="n">
        <v>1</v>
      </c>
      <c r="P163" s="132" t="n">
        <v>10</v>
      </c>
      <c r="Q163" s="160" t="n"/>
      <c r="R163" s="160" t="n"/>
      <c r="S163" s="477">
        <f>Q163-R163</f>
        <v/>
      </c>
      <c r="T163" s="71">
        <f>R163/Q163</f>
        <v/>
      </c>
      <c r="U163" s="133" t="n"/>
      <c r="V163" s="133" t="n"/>
      <c r="AA163" s="133" t="n"/>
      <c r="AB163" s="133" t="n"/>
      <c r="AC163" s="133" t="n"/>
      <c r="AD163" s="133" t="n"/>
      <c r="AE163" s="133" t="n"/>
      <c r="AF163" s="133" t="n"/>
      <c r="AG163" s="133" t="n"/>
      <c r="AK163" s="133" t="n"/>
      <c r="AL163" s="133" t="n"/>
      <c r="AM163" s="133" t="n"/>
      <c r="AN163" s="133" t="n"/>
      <c r="AV163" s="133" t="n"/>
    </row>
    <row r="164">
      <c r="A164" s="132" t="inlineStr">
        <is>
          <t>감만동</t>
        </is>
      </c>
      <c r="B164" s="88" t="n"/>
      <c r="C164" s="89" t="n"/>
      <c r="D164" s="132" t="n">
        <v>14076</v>
      </c>
      <c r="E164" s="154" t="inlineStr">
        <is>
          <t>유창그린2차</t>
        </is>
      </c>
      <c r="F164" s="132" t="n">
        <v>2012.02</v>
      </c>
      <c r="G164" s="132" t="n">
        <v>365</v>
      </c>
      <c r="H164" s="132">
        <f>2026-F164+1</f>
        <v/>
      </c>
      <c r="I164" s="133" t="n"/>
      <c r="J164" s="132" t="n">
        <v>128</v>
      </c>
      <c r="K164" s="132" t="n">
        <v>108</v>
      </c>
      <c r="L164" s="132" t="n">
        <v>39</v>
      </c>
      <c r="M164" s="132" t="inlineStr">
        <is>
          <t>계단식</t>
        </is>
      </c>
      <c r="N164" s="132" t="n">
        <v>4</v>
      </c>
      <c r="O164" s="132" t="n">
        <v>2</v>
      </c>
      <c r="P164" s="132" t="n">
        <v>85</v>
      </c>
      <c r="Q164" s="160" t="n"/>
      <c r="R164" s="160" t="n"/>
      <c r="S164" s="477">
        <f>Q164-R164</f>
        <v/>
      </c>
      <c r="T164" s="71">
        <f>R164/Q164</f>
        <v/>
      </c>
      <c r="U164" s="133" t="n">
        <v>22500</v>
      </c>
      <c r="V164" s="133" t="n">
        <v>16700</v>
      </c>
      <c r="AA164" s="133" t="n"/>
      <c r="AB164" s="133" t="n"/>
      <c r="AC164" s="133" t="n"/>
      <c r="AD164" s="133" t="n"/>
      <c r="AE164" s="133" t="n"/>
      <c r="AF164" s="133" t="n"/>
      <c r="AG164" s="133" t="n"/>
      <c r="AK164" s="133" t="n"/>
      <c r="AL164" s="133" t="n"/>
      <c r="AM164" s="88" t="n"/>
      <c r="AN164" s="133" t="n"/>
      <c r="AV164" s="133" t="n"/>
    </row>
    <row r="165">
      <c r="A165" s="339" t="inlineStr">
        <is>
          <t>대연동</t>
        </is>
      </c>
      <c r="D165" s="339" t="n">
        <v>24055</v>
      </c>
      <c r="E165" s="113" t="inlineStr">
        <is>
          <t>대연SK뷰1차</t>
        </is>
      </c>
      <c r="F165" s="339" t="n">
        <v>2007.06</v>
      </c>
      <c r="G165" s="339" t="n">
        <v>421</v>
      </c>
      <c r="H165" s="339">
        <f>2026-F165+1</f>
        <v/>
      </c>
      <c r="K165" s="339" t="n">
        <v>59</v>
      </c>
      <c r="M165" s="339" t="inlineStr">
        <is>
          <t>계단식</t>
        </is>
      </c>
      <c r="N165" s="339" t="n">
        <v>3</v>
      </c>
      <c r="O165" s="339" t="n">
        <v>1</v>
      </c>
      <c r="P165" s="339" t="n">
        <v>33</v>
      </c>
      <c r="S165" s="477">
        <f>Q165-R165</f>
        <v/>
      </c>
      <c r="T165" s="71">
        <f>R165/Q165</f>
        <v/>
      </c>
      <c r="U165" s="339" t="n">
        <v>29000</v>
      </c>
      <c r="V165" s="339" t="n">
        <v>27200</v>
      </c>
    </row>
    <row r="166">
      <c r="A166" s="339" t="inlineStr">
        <is>
          <t>대연동</t>
        </is>
      </c>
      <c r="D166" s="339" t="n">
        <v>24055</v>
      </c>
      <c r="E166" s="113" t="inlineStr">
        <is>
          <t>대연SK뷰1차</t>
        </is>
      </c>
      <c r="F166" s="339" t="n">
        <v>2007.06</v>
      </c>
      <c r="G166" s="339" t="n">
        <v>421</v>
      </c>
      <c r="H166" s="339">
        <f>2026-F166+1</f>
        <v/>
      </c>
      <c r="J166" s="339" t="n">
        <v>80</v>
      </c>
      <c r="K166" s="339" t="n">
        <v>59</v>
      </c>
      <c r="L166" s="339" t="n">
        <v>24</v>
      </c>
      <c r="M166" s="339" t="inlineStr">
        <is>
          <t>계단식</t>
        </is>
      </c>
      <c r="N166" s="339" t="n">
        <v>3</v>
      </c>
      <c r="O166" s="339" t="n">
        <v>2</v>
      </c>
      <c r="P166" s="339" t="n">
        <v>46</v>
      </c>
      <c r="S166" s="477">
        <f>Q166-R166</f>
        <v/>
      </c>
      <c r="T166" s="71">
        <f>R166/Q166</f>
        <v/>
      </c>
      <c r="U166" s="339" t="n">
        <v>29000</v>
      </c>
      <c r="V166" s="339" t="n">
        <v>27200</v>
      </c>
    </row>
    <row r="167">
      <c r="A167" s="339" t="inlineStr">
        <is>
          <t>대연동</t>
        </is>
      </c>
      <c r="B167" s="164" t="n"/>
      <c r="C167" s="164" t="n"/>
      <c r="D167" s="339" t="n">
        <v>24055</v>
      </c>
      <c r="E167" s="113" t="inlineStr">
        <is>
          <t>대연SK뷰1차</t>
        </is>
      </c>
      <c r="F167" s="339" t="n">
        <v>2007.06</v>
      </c>
      <c r="G167" s="339" t="n">
        <v>421</v>
      </c>
      <c r="H167" s="339">
        <f>2026-F167+1</f>
        <v/>
      </c>
      <c r="J167" s="339" t="n">
        <v>121</v>
      </c>
      <c r="K167" s="339" t="n">
        <v>96</v>
      </c>
      <c r="L167" s="339" t="n">
        <v>37</v>
      </c>
      <c r="M167" s="339" t="inlineStr">
        <is>
          <t>계단식</t>
        </is>
      </c>
      <c r="N167" s="339" t="n">
        <v>3</v>
      </c>
      <c r="O167" s="339" t="n">
        <v>2</v>
      </c>
      <c r="P167" s="339" t="n">
        <v>65</v>
      </c>
      <c r="S167" s="477">
        <f>Q167-R167</f>
        <v/>
      </c>
      <c r="T167" s="71">
        <f>R167/Q167</f>
        <v/>
      </c>
      <c r="U167" s="339" t="n">
        <v>44500</v>
      </c>
      <c r="V167" s="339" t="n">
        <v>38700</v>
      </c>
      <c r="AM167" s="357" t="n"/>
    </row>
    <row r="168">
      <c r="A168" s="339" t="inlineStr">
        <is>
          <t>대연동</t>
        </is>
      </c>
      <c r="B168" s="164" t="n"/>
      <c r="C168" s="164" t="n"/>
      <c r="D168" s="339" t="n">
        <v>24055</v>
      </c>
      <c r="E168" s="113" t="inlineStr">
        <is>
          <t>대연SK뷰1차</t>
        </is>
      </c>
      <c r="F168" s="339" t="n">
        <v>2007.06</v>
      </c>
      <c r="G168" s="339" t="n">
        <v>421</v>
      </c>
      <c r="H168" s="339">
        <f>2026-F168+1</f>
        <v/>
      </c>
      <c r="J168" s="339" t="n">
        <v>133</v>
      </c>
      <c r="K168" s="339" t="n">
        <v>106</v>
      </c>
      <c r="L168" s="339" t="n">
        <v>40</v>
      </c>
      <c r="M168" s="339" t="inlineStr">
        <is>
          <t>계단식</t>
        </is>
      </c>
      <c r="N168" s="339" t="n">
        <v>3</v>
      </c>
      <c r="O168" s="339" t="n">
        <v>2</v>
      </c>
      <c r="P168" s="339" t="n">
        <v>74</v>
      </c>
      <c r="S168" s="477">
        <f>Q168-R168</f>
        <v/>
      </c>
      <c r="T168" s="71">
        <f>R168/Q168</f>
        <v/>
      </c>
      <c r="U168" s="339" t="n">
        <v>45000</v>
      </c>
      <c r="V168" s="339" t="n">
        <v>42000</v>
      </c>
      <c r="AM168" s="357" t="n"/>
    </row>
    <row r="169">
      <c r="A169" s="339" t="inlineStr">
        <is>
          <t>대연동</t>
        </is>
      </c>
      <c r="B169" s="164" t="n"/>
      <c r="C169" s="164" t="n"/>
      <c r="D169" s="339" t="n">
        <v>24055</v>
      </c>
      <c r="E169" s="113" t="inlineStr">
        <is>
          <t>대연SK뷰1차</t>
        </is>
      </c>
      <c r="F169" s="339" t="n">
        <v>2007.06</v>
      </c>
      <c r="G169" s="339" t="n">
        <v>421</v>
      </c>
      <c r="H169" s="339">
        <f>2026-F169+1</f>
        <v/>
      </c>
      <c r="J169" s="339" t="n">
        <v>156</v>
      </c>
      <c r="K169" s="339" t="n">
        <v>123</v>
      </c>
      <c r="L169" s="339" t="n">
        <v>47</v>
      </c>
      <c r="M169" s="339" t="inlineStr">
        <is>
          <t>계단식</t>
        </is>
      </c>
      <c r="N169" s="339" t="n">
        <v>4</v>
      </c>
      <c r="O169" s="339" t="n">
        <v>2</v>
      </c>
      <c r="P169" s="339" t="n">
        <v>4</v>
      </c>
      <c r="S169" s="477">
        <f>Q169-R169</f>
        <v/>
      </c>
      <c r="T169" s="71">
        <f>R169/Q169</f>
        <v/>
      </c>
      <c r="V169" s="339" t="n">
        <v>43000</v>
      </c>
      <c r="AM169" s="357" t="n"/>
    </row>
    <row r="170">
      <c r="A170" s="339" t="inlineStr">
        <is>
          <t>대연동</t>
        </is>
      </c>
      <c r="B170" s="164" t="n"/>
      <c r="C170" s="164" t="n"/>
      <c r="D170" s="339" t="n">
        <v>24055</v>
      </c>
      <c r="E170" s="113" t="inlineStr">
        <is>
          <t>대연SK뷰1차</t>
        </is>
      </c>
      <c r="F170" s="339" t="n">
        <v>2007.06</v>
      </c>
      <c r="G170" s="339" t="n">
        <v>421</v>
      </c>
      <c r="H170" s="339">
        <f>2026-F170+1</f>
        <v/>
      </c>
      <c r="J170" s="339" t="n">
        <v>161</v>
      </c>
      <c r="K170" s="339" t="n">
        <v>127</v>
      </c>
      <c r="L170" s="339" t="n">
        <v>49</v>
      </c>
      <c r="M170" s="339" t="inlineStr">
        <is>
          <t>계단식</t>
        </is>
      </c>
      <c r="N170" s="339" t="n">
        <v>4</v>
      </c>
      <c r="O170" s="339" t="n">
        <v>2</v>
      </c>
      <c r="P170" s="339" t="n">
        <v>66</v>
      </c>
      <c r="S170" s="477">
        <f>Q170-R170</f>
        <v/>
      </c>
      <c r="T170" s="71">
        <f>R170/Q170</f>
        <v/>
      </c>
      <c r="U170" s="339" t="n">
        <v>52000</v>
      </c>
      <c r="V170" s="339" t="n">
        <v>46000</v>
      </c>
      <c r="AM170" s="357" t="n"/>
    </row>
    <row r="171">
      <c r="A171" s="339" t="inlineStr">
        <is>
          <t>대연동</t>
        </is>
      </c>
      <c r="D171" s="339" t="n">
        <v>24055</v>
      </c>
      <c r="E171" s="113" t="inlineStr">
        <is>
          <t>대연SK뷰1차</t>
        </is>
      </c>
      <c r="F171" s="339" t="n">
        <v>2007.06</v>
      </c>
      <c r="G171" s="339" t="n">
        <v>421</v>
      </c>
      <c r="H171" s="339">
        <f>2026-F171+1</f>
        <v/>
      </c>
      <c r="J171" s="339" t="n">
        <v>191</v>
      </c>
      <c r="K171" s="339" t="n">
        <v>147</v>
      </c>
      <c r="L171" s="339" t="n">
        <v>58</v>
      </c>
      <c r="M171" s="339" t="inlineStr">
        <is>
          <t>계단식</t>
        </is>
      </c>
      <c r="N171" s="339" t="n">
        <v>5</v>
      </c>
      <c r="O171" s="339" t="n">
        <v>3</v>
      </c>
      <c r="P171" s="339" t="n">
        <v>6</v>
      </c>
      <c r="S171" s="477">
        <f>Q171-R171</f>
        <v/>
      </c>
      <c r="T171" s="71">
        <f>R171/Q171</f>
        <v/>
      </c>
      <c r="U171" s="339" t="n">
        <v>57000</v>
      </c>
      <c r="V171" s="339" t="n">
        <v>57000</v>
      </c>
    </row>
    <row r="172">
      <c r="A172" s="132" t="inlineStr">
        <is>
          <t>대연동</t>
        </is>
      </c>
      <c r="B172" s="88" t="n"/>
      <c r="C172" s="89" t="n"/>
      <c r="D172" s="132" t="n">
        <v>110738</v>
      </c>
      <c r="E172" s="154" t="inlineStr">
        <is>
          <t>대연SK뷰힐스</t>
        </is>
      </c>
      <c r="F172" s="132" t="n">
        <v>2018.07</v>
      </c>
      <c r="G172" s="132" t="n">
        <v>994</v>
      </c>
      <c r="H172" s="132">
        <f>2026-F172+1</f>
        <v/>
      </c>
      <c r="I172" s="133" t="n"/>
      <c r="J172" s="132" t="n">
        <v>131</v>
      </c>
      <c r="K172" s="132" t="n">
        <v>99</v>
      </c>
      <c r="L172" s="132" t="n">
        <v>40</v>
      </c>
      <c r="M172" s="132" t="inlineStr">
        <is>
          <t>계단식</t>
        </is>
      </c>
      <c r="N172" s="132" t="n">
        <v>4</v>
      </c>
      <c r="O172" s="132" t="n">
        <v>2</v>
      </c>
      <c r="P172" s="132" t="n">
        <v>46</v>
      </c>
      <c r="Q172" s="160" t="n"/>
      <c r="R172" s="160" t="n"/>
      <c r="S172" s="477">
        <f>Q172-R172</f>
        <v/>
      </c>
      <c r="T172" s="71">
        <f>R172/Q172</f>
        <v/>
      </c>
      <c r="U172" s="133" t="n">
        <v>78700</v>
      </c>
      <c r="V172" s="133" t="n">
        <v>64500</v>
      </c>
      <c r="AA172" s="133" t="n"/>
      <c r="AB172" s="133" t="n"/>
      <c r="AC172" s="133" t="n"/>
      <c r="AD172" s="133" t="n"/>
      <c r="AE172" s="133" t="n"/>
      <c r="AF172" s="133" t="n"/>
      <c r="AG172" s="133" t="n"/>
      <c r="AK172" s="133" t="n"/>
      <c r="AL172" s="133" t="n"/>
      <c r="AM172" s="88" t="n"/>
      <c r="AN172" s="133" t="n"/>
      <c r="AV172" s="133" t="n"/>
    </row>
    <row r="173">
      <c r="A173" s="132" t="inlineStr">
        <is>
          <t>대연동</t>
        </is>
      </c>
      <c r="B173" s="88" t="n"/>
      <c r="C173" s="89" t="n"/>
      <c r="D173" s="132" t="n">
        <v>110738</v>
      </c>
      <c r="E173" s="154" t="inlineStr">
        <is>
          <t>대연SK뷰힐스</t>
        </is>
      </c>
      <c r="F173" s="132" t="n">
        <v>2018.07</v>
      </c>
      <c r="G173" s="132" t="n">
        <v>994</v>
      </c>
      <c r="H173" s="132">
        <f>2026-F173+1</f>
        <v/>
      </c>
      <c r="I173" s="133" t="n"/>
      <c r="J173" s="132" t="n">
        <v>147</v>
      </c>
      <c r="K173" s="132" t="n">
        <v>111</v>
      </c>
      <c r="L173" s="132" t="n">
        <v>44</v>
      </c>
      <c r="M173" s="132" t="inlineStr">
        <is>
          <t>계단식</t>
        </is>
      </c>
      <c r="N173" s="132" t="n">
        <v>5</v>
      </c>
      <c r="O173" s="132" t="n">
        <v>2</v>
      </c>
      <c r="P173" s="132" t="n">
        <v>36</v>
      </c>
      <c r="Q173" s="160" t="n"/>
      <c r="R173" s="160" t="n"/>
      <c r="S173" s="477">
        <f>Q173-R173</f>
        <v/>
      </c>
      <c r="T173" s="71">
        <f>R173/Q173</f>
        <v/>
      </c>
      <c r="U173" s="133" t="n"/>
      <c r="V173" s="133" t="n"/>
      <c r="AA173" s="133" t="n"/>
      <c r="AB173" s="133" t="n"/>
      <c r="AC173" s="133" t="n"/>
      <c r="AD173" s="133" t="n"/>
      <c r="AE173" s="133" t="n"/>
      <c r="AF173" s="133" t="n"/>
      <c r="AG173" s="133" t="n"/>
      <c r="AK173" s="133" t="n"/>
      <c r="AL173" s="133" t="n"/>
      <c r="AM173" s="88" t="n"/>
      <c r="AN173" s="133" t="n"/>
      <c r="AV173" s="133" t="n"/>
    </row>
    <row r="174">
      <c r="A174" s="339" t="inlineStr">
        <is>
          <t>대연동</t>
        </is>
      </c>
      <c r="B174" s="164" t="n"/>
      <c r="C174" s="164" t="n"/>
      <c r="D174" s="339" t="n">
        <v>14171</v>
      </c>
      <c r="E174" s="113" t="inlineStr">
        <is>
          <t>대연경동메르빌</t>
        </is>
      </c>
      <c r="F174" s="339" t="n">
        <v>2005.08</v>
      </c>
      <c r="G174" s="339" t="n">
        <v>451</v>
      </c>
      <c r="H174" s="339">
        <f>2026-F174+1</f>
        <v/>
      </c>
      <c r="K174" s="339" t="n">
        <v>59</v>
      </c>
      <c r="M174" s="339" t="inlineStr">
        <is>
          <t>계단식</t>
        </is>
      </c>
      <c r="N174" s="339" t="n">
        <v>2</v>
      </c>
      <c r="O174" s="339" t="n">
        <v>2</v>
      </c>
      <c r="P174" s="339" t="n">
        <v>58</v>
      </c>
      <c r="S174" s="477">
        <f>Q174-R174</f>
        <v/>
      </c>
      <c r="T174" s="71">
        <f>R174/Q174</f>
        <v/>
      </c>
      <c r="U174" s="339" t="n">
        <v>31000</v>
      </c>
      <c r="V174" s="339" t="n">
        <v>20000</v>
      </c>
      <c r="AM174" s="357" t="n"/>
    </row>
    <row r="175">
      <c r="A175" s="132" t="inlineStr">
        <is>
          <t>대연동</t>
        </is>
      </c>
      <c r="B175" s="88" t="n"/>
      <c r="C175" s="89" t="n"/>
      <c r="D175" s="132" t="n">
        <v>10488</v>
      </c>
      <c r="E175" s="154" t="inlineStr">
        <is>
          <t>대연극동</t>
        </is>
      </c>
      <c r="F175" s="132" t="n">
        <v>2002.08</v>
      </c>
      <c r="G175" s="132" t="n">
        <v>413</v>
      </c>
      <c r="H175" s="132">
        <f>2026-F175+1</f>
        <v/>
      </c>
      <c r="I175" s="133" t="n"/>
      <c r="J175" s="133" t="n"/>
      <c r="K175" s="132" t="n">
        <v>119</v>
      </c>
      <c r="L175" s="133" t="n"/>
      <c r="M175" s="132" t="inlineStr">
        <is>
          <t>계단식</t>
        </is>
      </c>
      <c r="N175" s="132" t="n">
        <v>4</v>
      </c>
      <c r="O175" s="132" t="n">
        <v>2</v>
      </c>
      <c r="P175" s="132" t="n">
        <v>47</v>
      </c>
      <c r="Q175" s="160" t="n"/>
      <c r="R175" s="160" t="n"/>
      <c r="S175" s="477">
        <f>Q175-R175</f>
        <v/>
      </c>
      <c r="T175" s="71">
        <f>R175/Q175</f>
        <v/>
      </c>
      <c r="U175" s="133" t="n"/>
      <c r="V175" s="133" t="n">
        <v>38000</v>
      </c>
      <c r="AA175" s="133" t="n"/>
      <c r="AB175" s="133" t="n"/>
      <c r="AC175" s="133" t="n"/>
      <c r="AD175" s="133" t="n"/>
      <c r="AE175" s="133" t="n"/>
      <c r="AF175" s="133" t="n"/>
      <c r="AG175" s="133" t="n"/>
      <c r="AK175" s="133" t="n"/>
      <c r="AL175" s="133" t="n"/>
      <c r="AM175" s="88" t="n"/>
      <c r="AN175" s="133" t="n"/>
      <c r="AV175" s="133" t="n"/>
    </row>
    <row r="176">
      <c r="A176" s="132" t="inlineStr">
        <is>
          <t>대연동</t>
        </is>
      </c>
      <c r="B176" s="88" t="n"/>
      <c r="C176" s="89" t="n"/>
      <c r="D176" s="132" t="n">
        <v>10488</v>
      </c>
      <c r="E176" s="154" t="inlineStr">
        <is>
          <t>대연극동</t>
        </is>
      </c>
      <c r="F176" s="132" t="n">
        <v>2002.08</v>
      </c>
      <c r="G176" s="132" t="n">
        <v>413</v>
      </c>
      <c r="H176" s="132">
        <f>2026-F176+1</f>
        <v/>
      </c>
      <c r="I176" s="133" t="n"/>
      <c r="J176" s="133" t="n"/>
      <c r="K176" s="132" t="n">
        <v>114</v>
      </c>
      <c r="L176" s="133" t="n"/>
      <c r="M176" s="132" t="inlineStr">
        <is>
          <t>계단식</t>
        </is>
      </c>
      <c r="N176" s="132" t="n">
        <v>4</v>
      </c>
      <c r="O176" s="132" t="n">
        <v>2</v>
      </c>
      <c r="P176" s="132" t="n">
        <v>28</v>
      </c>
      <c r="Q176" s="160" t="n"/>
      <c r="R176" s="160" t="n"/>
      <c r="S176" s="477">
        <f>Q176-R176</f>
        <v/>
      </c>
      <c r="T176" s="71">
        <f>R176/Q176</f>
        <v/>
      </c>
      <c r="U176" s="133" t="n">
        <v>45000</v>
      </c>
      <c r="V176" s="133" t="n">
        <v>45000</v>
      </c>
      <c r="AA176" s="133" t="n"/>
      <c r="AB176" s="133" t="n"/>
      <c r="AC176" s="133" t="n"/>
      <c r="AD176" s="133" t="n"/>
      <c r="AE176" s="133" t="n"/>
      <c r="AF176" s="133" t="n"/>
      <c r="AG176" s="133" t="n"/>
      <c r="AK176" s="133" t="n"/>
      <c r="AL176" s="133" t="n"/>
      <c r="AM176" s="88" t="n"/>
      <c r="AN176" s="133" t="n"/>
      <c r="AV176" s="133" t="n"/>
    </row>
    <row r="177">
      <c r="A177" s="339" t="inlineStr">
        <is>
          <t>대연동</t>
        </is>
      </c>
      <c r="D177" s="339" t="n">
        <v>4521</v>
      </c>
      <c r="E177" s="113" t="inlineStr">
        <is>
          <t>대연대우</t>
        </is>
      </c>
      <c r="F177" s="339" t="n">
        <v>1996.02</v>
      </c>
      <c r="G177" s="339" t="n">
        <v>457</v>
      </c>
      <c r="H177" s="339">
        <f>2026-F177+1</f>
        <v/>
      </c>
      <c r="K177" s="339" t="n">
        <v>116</v>
      </c>
      <c r="M177" s="339" t="inlineStr">
        <is>
          <t>계단식</t>
        </is>
      </c>
      <c r="N177" s="339" t="n">
        <v>4</v>
      </c>
      <c r="O177" s="339" t="n">
        <v>2</v>
      </c>
      <c r="P177" s="339" t="n">
        <v>42</v>
      </c>
      <c r="S177" s="477">
        <f>Q177-R177</f>
        <v/>
      </c>
      <c r="T177" s="71">
        <f>R177/Q177</f>
        <v/>
      </c>
      <c r="U177" s="339" t="n">
        <v>33000</v>
      </c>
    </row>
    <row r="178">
      <c r="A178" s="339" t="inlineStr">
        <is>
          <t>대연동</t>
        </is>
      </c>
      <c r="B178" s="164" t="n"/>
      <c r="C178" s="164" t="n"/>
      <c r="D178" s="339" t="n">
        <v>4521</v>
      </c>
      <c r="E178" s="113" t="inlineStr">
        <is>
          <t>대연대우</t>
        </is>
      </c>
      <c r="F178" s="339" t="n">
        <v>1996.02</v>
      </c>
      <c r="G178" s="339" t="n">
        <v>457</v>
      </c>
      <c r="H178" s="339">
        <f>2026-F178+1</f>
        <v/>
      </c>
      <c r="K178" s="339" t="n">
        <v>117</v>
      </c>
      <c r="M178" s="339" t="inlineStr">
        <is>
          <t>계단식</t>
        </is>
      </c>
      <c r="N178" s="339" t="n">
        <v>3</v>
      </c>
      <c r="O178" s="339" t="n">
        <v>2</v>
      </c>
      <c r="P178" s="339" t="n">
        <v>21</v>
      </c>
      <c r="S178" s="477">
        <f>Q178-R178</f>
        <v/>
      </c>
      <c r="T178" s="71">
        <f>R178/Q178</f>
        <v/>
      </c>
      <c r="U178" s="339" t="n">
        <v>33000</v>
      </c>
      <c r="V178" s="339" t="n">
        <v>31500</v>
      </c>
      <c r="AM178" s="357" t="n"/>
    </row>
    <row r="179">
      <c r="A179" s="132" t="inlineStr">
        <is>
          <t>대연동</t>
        </is>
      </c>
      <c r="B179" s="133" t="n"/>
      <c r="C179" s="133" t="n"/>
      <c r="D179" s="132" t="n">
        <v>10107</v>
      </c>
      <c r="E179" s="154" t="inlineStr">
        <is>
          <t>대연동원로얄듀크2차</t>
        </is>
      </c>
      <c r="F179" s="132" t="n">
        <v>2005.02</v>
      </c>
      <c r="G179" s="132" t="n">
        <v>417</v>
      </c>
      <c r="H179" s="132">
        <f>2026-F179+1</f>
        <v/>
      </c>
      <c r="I179" s="133" t="n"/>
      <c r="J179" s="132" t="n">
        <v>134</v>
      </c>
      <c r="K179" s="132" t="n">
        <v>107</v>
      </c>
      <c r="L179" s="132" t="n">
        <v>41</v>
      </c>
      <c r="M179" s="132" t="inlineStr">
        <is>
          <t>계단식</t>
        </is>
      </c>
      <c r="N179" s="132" t="n">
        <v>4</v>
      </c>
      <c r="O179" s="132" t="n">
        <v>2</v>
      </c>
      <c r="P179" s="132" t="n">
        <v>20</v>
      </c>
      <c r="Q179" s="160" t="n"/>
      <c r="R179" s="160" t="n"/>
      <c r="S179" s="477">
        <f>Q179-R179</f>
        <v/>
      </c>
      <c r="T179" s="71">
        <f>R179/Q179</f>
        <v/>
      </c>
      <c r="U179" s="133" t="n">
        <v>80500</v>
      </c>
      <c r="V179" s="133" t="n">
        <v>69000</v>
      </c>
      <c r="AA179" s="133" t="n"/>
      <c r="AB179" s="133" t="n"/>
      <c r="AC179" s="133" t="n"/>
      <c r="AD179" s="133" t="n"/>
      <c r="AE179" s="133" t="n"/>
      <c r="AF179" s="133" t="n"/>
      <c r="AG179" s="133" t="n"/>
      <c r="AK179" s="133" t="n"/>
      <c r="AL179" s="133" t="n"/>
      <c r="AM179" s="133" t="n"/>
      <c r="AN179" s="133" t="n"/>
      <c r="AV179" s="133" t="n"/>
    </row>
    <row r="180">
      <c r="A180" s="132" t="inlineStr">
        <is>
          <t>대연동</t>
        </is>
      </c>
      <c r="B180" s="133" t="n"/>
      <c r="C180" s="133" t="n"/>
      <c r="D180" s="132" t="n">
        <v>10107</v>
      </c>
      <c r="E180" s="154" t="inlineStr">
        <is>
          <t>대연동원로얄듀크2차</t>
        </is>
      </c>
      <c r="F180" s="132" t="n">
        <v>2005.02</v>
      </c>
      <c r="G180" s="132" t="n">
        <v>417</v>
      </c>
      <c r="H180" s="132">
        <f>2026-F180+1</f>
        <v/>
      </c>
      <c r="I180" s="133" t="n"/>
      <c r="J180" s="132" t="n">
        <v>152</v>
      </c>
      <c r="K180" s="132" t="n">
        <v>128</v>
      </c>
      <c r="L180" s="132" t="n">
        <v>46</v>
      </c>
      <c r="M180" s="132" t="inlineStr">
        <is>
          <t>계단식</t>
        </is>
      </c>
      <c r="N180" s="132" t="n">
        <v>4</v>
      </c>
      <c r="O180" s="132" t="n">
        <v>2</v>
      </c>
      <c r="P180" s="132" t="n">
        <v>148</v>
      </c>
      <c r="Q180" s="160" t="n"/>
      <c r="R180" s="160" t="n"/>
      <c r="S180" s="477">
        <f>Q180-R180</f>
        <v/>
      </c>
      <c r="T180" s="71">
        <f>R180/Q180</f>
        <v/>
      </c>
      <c r="U180" s="133" t="n">
        <v>88000</v>
      </c>
      <c r="V180" s="133" t="n">
        <v>67000</v>
      </c>
      <c r="AA180" s="133" t="n"/>
      <c r="AB180" s="133" t="n"/>
      <c r="AC180" s="133" t="n"/>
      <c r="AD180" s="133" t="n"/>
      <c r="AE180" s="133" t="n"/>
      <c r="AF180" s="133" t="n"/>
      <c r="AG180" s="133" t="n"/>
      <c r="AK180" s="133" t="n"/>
      <c r="AL180" s="133" t="n"/>
      <c r="AM180" s="133" t="n"/>
      <c r="AN180" s="133" t="n"/>
      <c r="AV180" s="133" t="n"/>
    </row>
    <row r="181">
      <c r="A181" s="132" t="inlineStr">
        <is>
          <t>대연동</t>
        </is>
      </c>
      <c r="B181" s="88" t="n"/>
      <c r="C181" s="89" t="n"/>
      <c r="D181" s="132" t="n">
        <v>10107</v>
      </c>
      <c r="E181" s="154" t="inlineStr">
        <is>
          <t>대연동원로얄듀크2차</t>
        </is>
      </c>
      <c r="F181" s="132" t="n">
        <v>2005.02</v>
      </c>
      <c r="G181" s="132" t="n">
        <v>417</v>
      </c>
      <c r="H181" s="132">
        <f>2026-F181+1</f>
        <v/>
      </c>
      <c r="I181" s="133" t="n"/>
      <c r="J181" s="132" t="n">
        <v>182</v>
      </c>
      <c r="K181" s="132" t="n">
        <v>154</v>
      </c>
      <c r="L181" s="132" t="n">
        <v>55</v>
      </c>
      <c r="M181" s="132" t="inlineStr">
        <is>
          <t>계단식</t>
        </is>
      </c>
      <c r="N181" s="132" t="n">
        <v>5</v>
      </c>
      <c r="O181" s="132" t="n">
        <v>2</v>
      </c>
      <c r="P181" s="132" t="n">
        <v>72</v>
      </c>
      <c r="Q181" s="160" t="n"/>
      <c r="R181" s="160" t="n"/>
      <c r="S181" s="477">
        <f>Q181-R181</f>
        <v/>
      </c>
      <c r="T181" s="71">
        <f>R181/Q181</f>
        <v/>
      </c>
      <c r="U181" s="133" t="n"/>
      <c r="V181" s="133" t="n"/>
      <c r="AA181" s="133" t="n"/>
      <c r="AB181" s="133" t="n"/>
      <c r="AC181" s="133" t="n"/>
      <c r="AD181" s="133" t="n"/>
      <c r="AE181" s="133" t="n"/>
      <c r="AF181" s="133" t="n"/>
      <c r="AG181" s="133" t="n"/>
      <c r="AK181" s="133" t="n"/>
      <c r="AL181" s="133" t="n"/>
      <c r="AM181" s="88" t="n"/>
      <c r="AN181" s="133" t="n"/>
      <c r="AV181" s="133" t="n"/>
    </row>
    <row r="182">
      <c r="A182" s="339" t="inlineStr">
        <is>
          <t>대연동</t>
        </is>
      </c>
      <c r="D182" s="339" t="n">
        <v>101068</v>
      </c>
      <c r="E182" s="113" t="inlineStr">
        <is>
          <t>대연동일스위트(주상복합)</t>
        </is>
      </c>
      <c r="F182" s="339" t="n">
        <v>2004.12</v>
      </c>
      <c r="G182" s="339" t="n">
        <v>379</v>
      </c>
      <c r="H182" s="339">
        <f>2026-F182+1</f>
        <v/>
      </c>
      <c r="K182" s="339" t="n">
        <v>30</v>
      </c>
      <c r="M182" s="339" t="inlineStr">
        <is>
          <t>복합식</t>
        </is>
      </c>
      <c r="N182" s="339" t="n">
        <v>1</v>
      </c>
      <c r="O182" s="339" t="n">
        <v>1</v>
      </c>
      <c r="P182" s="339" t="n">
        <v>7</v>
      </c>
      <c r="S182" s="477">
        <f>Q182-R182</f>
        <v/>
      </c>
      <c r="T182" s="71">
        <f>R182/Q182</f>
        <v/>
      </c>
      <c r="U182" s="339" t="n">
        <v>10700</v>
      </c>
      <c r="V182" s="339" t="n">
        <v>10700</v>
      </c>
    </row>
    <row r="183">
      <c r="A183" s="339" t="inlineStr">
        <is>
          <t>대연동</t>
        </is>
      </c>
      <c r="D183" s="339" t="n">
        <v>101068</v>
      </c>
      <c r="E183" s="113" t="inlineStr">
        <is>
          <t>대연동일스위트(주상복합)</t>
        </is>
      </c>
      <c r="F183" s="339" t="n">
        <v>2004.12</v>
      </c>
      <c r="G183" s="339" t="n">
        <v>379</v>
      </c>
      <c r="H183" s="339">
        <f>2026-F183+1</f>
        <v/>
      </c>
      <c r="K183" s="339" t="n">
        <v>31</v>
      </c>
      <c r="M183" s="339" t="inlineStr">
        <is>
          <t>복합식</t>
        </is>
      </c>
      <c r="N183" s="339" t="n">
        <v>1</v>
      </c>
      <c r="O183" s="339" t="n">
        <v>1</v>
      </c>
      <c r="P183" s="339" t="n">
        <v>285</v>
      </c>
      <c r="S183" s="477">
        <f>Q183-R183</f>
        <v/>
      </c>
      <c r="T183" s="71">
        <f>R183/Q183</f>
        <v/>
      </c>
      <c r="U183" s="339" t="n">
        <v>12250</v>
      </c>
      <c r="V183" s="339" t="n">
        <v>7450</v>
      </c>
    </row>
    <row r="184">
      <c r="A184" s="339" t="inlineStr">
        <is>
          <t>대연동</t>
        </is>
      </c>
      <c r="B184" s="164" t="n"/>
      <c r="C184" s="164" t="n"/>
      <c r="D184" s="339" t="n">
        <v>101068</v>
      </c>
      <c r="E184" s="113" t="inlineStr">
        <is>
          <t>대연동일스위트(주상복합)</t>
        </is>
      </c>
      <c r="F184" s="339" t="n">
        <v>2004.12</v>
      </c>
      <c r="G184" s="339" t="n">
        <v>379</v>
      </c>
      <c r="H184" s="339">
        <f>2026-F184+1</f>
        <v/>
      </c>
      <c r="K184" s="339" t="n">
        <v>33</v>
      </c>
      <c r="M184" s="339" t="inlineStr">
        <is>
          <t>복합식</t>
        </is>
      </c>
      <c r="N184" s="339" t="n">
        <v>1</v>
      </c>
      <c r="O184" s="339" t="n">
        <v>1</v>
      </c>
      <c r="P184" s="339" t="n">
        <v>58</v>
      </c>
      <c r="S184" s="477">
        <f>Q184-R184</f>
        <v/>
      </c>
      <c r="T184" s="71">
        <f>R184/Q184</f>
        <v/>
      </c>
      <c r="U184" s="339" t="n">
        <v>12250</v>
      </c>
      <c r="V184" s="339" t="n">
        <v>7450</v>
      </c>
      <c r="AM184" s="357" t="n"/>
    </row>
    <row r="185">
      <c r="A185" s="339" t="inlineStr">
        <is>
          <t>대연동</t>
        </is>
      </c>
      <c r="B185" s="164" t="n"/>
      <c r="C185" s="164" t="n"/>
      <c r="D185" s="339" t="n">
        <v>101068</v>
      </c>
      <c r="E185" s="113" t="inlineStr">
        <is>
          <t>대연동일스위트(주상복합)</t>
        </is>
      </c>
      <c r="F185" s="339" t="n">
        <v>2004.12</v>
      </c>
      <c r="G185" s="339" t="n">
        <v>379</v>
      </c>
      <c r="H185" s="339">
        <f>2026-F185+1</f>
        <v/>
      </c>
      <c r="J185" s="339" t="n">
        <v>70</v>
      </c>
      <c r="K185" s="339" t="n">
        <v>51</v>
      </c>
      <c r="L185" s="339" t="n">
        <v>21</v>
      </c>
      <c r="M185" s="339" t="inlineStr">
        <is>
          <t>복합식</t>
        </is>
      </c>
      <c r="N185" s="339" t="n">
        <v>1</v>
      </c>
      <c r="O185" s="339" t="n">
        <v>1</v>
      </c>
      <c r="P185" s="339" t="n">
        <v>3</v>
      </c>
      <c r="S185" s="477">
        <f>Q185-R185</f>
        <v/>
      </c>
      <c r="T185" s="71">
        <f>R185/Q185</f>
        <v/>
      </c>
      <c r="U185" s="339" t="n">
        <v>14000</v>
      </c>
      <c r="AM185" s="357" t="n"/>
    </row>
    <row r="186">
      <c r="A186" s="339" t="inlineStr">
        <is>
          <t>대연동</t>
        </is>
      </c>
      <c r="B186" s="164" t="n"/>
      <c r="C186" s="164" t="n"/>
      <c r="D186" s="339" t="n">
        <v>101068</v>
      </c>
      <c r="E186" s="113" t="inlineStr">
        <is>
          <t>대연동일스위트(주상복합)</t>
        </is>
      </c>
      <c r="F186" s="339" t="n">
        <v>2004.12</v>
      </c>
      <c r="G186" s="339" t="n">
        <v>379</v>
      </c>
      <c r="H186" s="339">
        <f>2026-F186+1</f>
        <v/>
      </c>
      <c r="J186" s="339" t="n">
        <v>132</v>
      </c>
      <c r="K186" s="339" t="n">
        <v>96</v>
      </c>
      <c r="L186" s="339" t="n">
        <v>40</v>
      </c>
      <c r="M186" s="339" t="inlineStr">
        <is>
          <t>복합식</t>
        </is>
      </c>
      <c r="N186" s="339" t="n">
        <v>1</v>
      </c>
      <c r="O186" s="339" t="n">
        <v>1</v>
      </c>
      <c r="P186" s="339" t="n">
        <v>1</v>
      </c>
      <c r="S186" s="477">
        <f>Q186-R186</f>
        <v/>
      </c>
      <c r="T186" s="71">
        <f>R186/Q186</f>
        <v/>
      </c>
      <c r="AM186" s="357" t="n"/>
    </row>
    <row r="187">
      <c r="A187" s="132" t="inlineStr">
        <is>
          <t>대연동</t>
        </is>
      </c>
      <c r="B187" s="133" t="n"/>
      <c r="C187" s="133" t="n"/>
      <c r="D187" s="132" t="n">
        <v>104716</v>
      </c>
      <c r="E187" s="154" t="inlineStr">
        <is>
          <t>대연롯데캐슬</t>
        </is>
      </c>
      <c r="F187" s="132" t="n">
        <v>2015.01</v>
      </c>
      <c r="G187" s="132" t="n">
        <v>564</v>
      </c>
      <c r="H187" s="132">
        <f>2026-F187+1</f>
        <v/>
      </c>
      <c r="I187" s="133" t="n"/>
      <c r="J187" s="132" t="n">
        <v>152</v>
      </c>
      <c r="K187" s="132" t="n">
        <v>122</v>
      </c>
      <c r="L187" s="132" t="n">
        <v>46</v>
      </c>
      <c r="M187" s="132" t="inlineStr">
        <is>
          <t>계단식</t>
        </is>
      </c>
      <c r="N187" s="132" t="n">
        <v>4</v>
      </c>
      <c r="O187" s="132" t="n">
        <v>2</v>
      </c>
      <c r="P187" s="132" t="n">
        <v>172</v>
      </c>
      <c r="Q187" s="160" t="n"/>
      <c r="R187" s="160" t="n"/>
      <c r="S187" s="477">
        <f>Q187-R187</f>
        <v/>
      </c>
      <c r="T187" s="71">
        <f>R187/Q187</f>
        <v/>
      </c>
      <c r="U187" s="133" t="n">
        <v>119000</v>
      </c>
      <c r="V187" s="133" t="n">
        <v>85000</v>
      </c>
      <c r="AA187" s="133" t="n"/>
      <c r="AB187" s="133" t="n"/>
      <c r="AC187" s="133" t="n"/>
      <c r="AD187" s="133" t="n"/>
      <c r="AE187" s="133" t="n"/>
      <c r="AF187" s="133" t="n"/>
      <c r="AG187" s="133" t="n"/>
      <c r="AK187" s="133" t="n"/>
      <c r="AL187" s="133" t="n"/>
      <c r="AM187" s="133" t="n"/>
      <c r="AN187" s="133" t="n"/>
      <c r="AV187" s="133" t="n"/>
    </row>
    <row r="188">
      <c r="A188" s="339" t="inlineStr">
        <is>
          <t>대연동</t>
        </is>
      </c>
      <c r="B188" s="164" t="n"/>
      <c r="C188" s="164" t="n"/>
      <c r="D188" s="339" t="n">
        <v>109359</v>
      </c>
      <c r="E188" s="113" t="inlineStr">
        <is>
          <t>대연롯데캐슬레전드</t>
        </is>
      </c>
      <c r="F188" s="339" t="n">
        <v>2018.02</v>
      </c>
      <c r="G188" s="339" t="n">
        <v>3149</v>
      </c>
      <c r="H188" s="339">
        <f>2026-F188+1</f>
        <v/>
      </c>
      <c r="J188" s="339" t="n">
        <v>58</v>
      </c>
      <c r="K188" s="339" t="n">
        <v>39</v>
      </c>
      <c r="L188" s="339" t="n">
        <v>18</v>
      </c>
      <c r="M188" s="339" t="inlineStr">
        <is>
          <t>계단식</t>
        </is>
      </c>
      <c r="N188" s="339" t="n">
        <v>2</v>
      </c>
      <c r="O188" s="339" t="n">
        <v>1</v>
      </c>
      <c r="P188" s="339" t="n">
        <v>138</v>
      </c>
      <c r="S188" s="477">
        <f>Q188-R188</f>
        <v/>
      </c>
      <c r="T188" s="71">
        <f>R188/Q188</f>
        <v/>
      </c>
      <c r="U188" s="339" t="n">
        <v>32305</v>
      </c>
      <c r="V188" s="339" t="n">
        <v>22000</v>
      </c>
      <c r="AM188" s="357" t="n"/>
    </row>
    <row r="189">
      <c r="A189" s="339" t="inlineStr">
        <is>
          <t>대연동</t>
        </is>
      </c>
      <c r="D189" s="339" t="n">
        <v>109359</v>
      </c>
      <c r="E189" s="113" t="inlineStr">
        <is>
          <t>대연롯데캐슬레전드</t>
        </is>
      </c>
      <c r="F189" s="339" t="n">
        <v>2018.02</v>
      </c>
      <c r="G189" s="339" t="n">
        <v>3149</v>
      </c>
      <c r="H189" s="339">
        <f>2026-F189+1</f>
        <v/>
      </c>
      <c r="J189" s="339" t="n">
        <v>74</v>
      </c>
      <c r="K189" s="339" t="n">
        <v>49</v>
      </c>
      <c r="L189" s="339" t="n">
        <v>22</v>
      </c>
      <c r="M189" s="339" t="inlineStr">
        <is>
          <t>계단식</t>
        </is>
      </c>
      <c r="N189" s="339" t="n">
        <v>2</v>
      </c>
      <c r="O189" s="339" t="n">
        <v>1</v>
      </c>
      <c r="P189" s="339" t="n">
        <v>130</v>
      </c>
      <c r="S189" s="477">
        <f>Q189-R189</f>
        <v/>
      </c>
      <c r="T189" s="71">
        <f>R189/Q189</f>
        <v/>
      </c>
      <c r="U189" s="339" t="n">
        <v>49000</v>
      </c>
      <c r="V189" s="339" t="n">
        <v>34000</v>
      </c>
    </row>
    <row r="190">
      <c r="A190" s="339" t="inlineStr">
        <is>
          <t>대연동</t>
        </is>
      </c>
      <c r="D190" s="339" t="n">
        <v>109359</v>
      </c>
      <c r="E190" s="113" t="inlineStr">
        <is>
          <t>대연롯데캐슬레전드</t>
        </is>
      </c>
      <c r="F190" s="339" t="n">
        <v>2018.02</v>
      </c>
      <c r="G190" s="339" t="n">
        <v>3149</v>
      </c>
      <c r="H190" s="339">
        <f>2026-F190+1</f>
        <v/>
      </c>
      <c r="K190" s="339" t="n">
        <v>100</v>
      </c>
      <c r="M190" s="339" t="inlineStr">
        <is>
          <t>계단식</t>
        </is>
      </c>
      <c r="N190" s="339" t="n">
        <v>4</v>
      </c>
      <c r="O190" s="339" t="n">
        <v>2</v>
      </c>
      <c r="P190" s="339" t="n">
        <v>465</v>
      </c>
      <c r="S190" s="477">
        <f>Q190-R190</f>
        <v/>
      </c>
      <c r="T190" s="71">
        <f>R190/Q190</f>
        <v/>
      </c>
      <c r="U190" s="339" t="n">
        <v>126000</v>
      </c>
      <c r="V190" s="339" t="n">
        <v>70000</v>
      </c>
    </row>
    <row r="191">
      <c r="A191" s="339" t="inlineStr">
        <is>
          <t>대연동</t>
        </is>
      </c>
      <c r="D191" s="339" t="n">
        <v>109359</v>
      </c>
      <c r="E191" s="113" t="inlineStr">
        <is>
          <t>대연롯데캐슬레전드</t>
        </is>
      </c>
      <c r="F191" s="339" t="n">
        <v>2018.02</v>
      </c>
      <c r="G191" s="339" t="n">
        <v>3149</v>
      </c>
      <c r="H191" s="339">
        <f>2026-F191+1</f>
        <v/>
      </c>
      <c r="K191" s="339" t="n">
        <v>100</v>
      </c>
      <c r="M191" s="339" t="inlineStr">
        <is>
          <t>계단식</t>
        </is>
      </c>
      <c r="N191" s="339" t="n">
        <v>3</v>
      </c>
      <c r="O191" s="339" t="n">
        <v>2</v>
      </c>
      <c r="P191" s="339" t="n">
        <v>30</v>
      </c>
      <c r="S191" s="477">
        <f>Q191-R191</f>
        <v/>
      </c>
      <c r="T191" s="71">
        <f>R191/Q191</f>
        <v/>
      </c>
      <c r="U191" s="339" t="n">
        <v>126000</v>
      </c>
      <c r="V191" s="339" t="n">
        <v>70000</v>
      </c>
    </row>
    <row r="192">
      <c r="A192" s="339" t="inlineStr">
        <is>
          <t>대연동</t>
        </is>
      </c>
      <c r="D192" s="339" t="n">
        <v>109359</v>
      </c>
      <c r="E192" s="113" t="inlineStr">
        <is>
          <t>대연롯데캐슬레전드</t>
        </is>
      </c>
      <c r="F192" s="339" t="n">
        <v>2018.02</v>
      </c>
      <c r="G192" s="339" t="n">
        <v>3149</v>
      </c>
      <c r="H192" s="339">
        <f>2026-F192+1</f>
        <v/>
      </c>
      <c r="K192" s="339" t="n">
        <v>121</v>
      </c>
      <c r="M192" s="339" t="inlineStr">
        <is>
          <t>계단식</t>
        </is>
      </c>
      <c r="N192" s="339" t="n">
        <v>4</v>
      </c>
      <c r="O192" s="339" t="n">
        <v>2</v>
      </c>
      <c r="P192" s="339" t="n">
        <v>236</v>
      </c>
      <c r="S192" s="477">
        <f>Q192-R192</f>
        <v/>
      </c>
      <c r="T192" s="71">
        <f>R192/Q192</f>
        <v/>
      </c>
      <c r="U192" s="339" t="n">
        <v>118000</v>
      </c>
      <c r="V192" s="339" t="n">
        <v>97000</v>
      </c>
    </row>
    <row r="193">
      <c r="A193" s="339" t="inlineStr">
        <is>
          <t>대연동</t>
        </is>
      </c>
      <c r="D193" s="339" t="n">
        <v>113686</v>
      </c>
      <c r="E193" s="113" t="inlineStr">
        <is>
          <t>대연자이</t>
        </is>
      </c>
      <c r="F193" s="339" t="n">
        <v>2019.03</v>
      </c>
      <c r="G193" s="339" t="n">
        <v>965</v>
      </c>
      <c r="H193" s="339">
        <f>2026-F193+1</f>
        <v/>
      </c>
      <c r="K193" s="339" t="n">
        <v>39</v>
      </c>
      <c r="M193" s="339" t="inlineStr">
        <is>
          <t>계단식</t>
        </is>
      </c>
      <c r="N193" s="339" t="n">
        <v>1</v>
      </c>
      <c r="O193" s="339" t="n">
        <v>1</v>
      </c>
      <c r="P193" s="339" t="n">
        <v>57</v>
      </c>
      <c r="S193" s="477">
        <f>Q193-R193</f>
        <v/>
      </c>
      <c r="T193" s="71">
        <f>R193/Q193</f>
        <v/>
      </c>
      <c r="U193" s="339" t="n">
        <v>37500</v>
      </c>
      <c r="V193" s="339" t="n">
        <v>22900</v>
      </c>
    </row>
    <row r="194">
      <c r="A194" s="339" t="inlineStr">
        <is>
          <t>대연동</t>
        </is>
      </c>
      <c r="B194" s="164" t="n"/>
      <c r="C194" s="164" t="n"/>
      <c r="D194" s="339" t="n">
        <v>113686</v>
      </c>
      <c r="E194" s="113" t="inlineStr">
        <is>
          <t>대연자이</t>
        </is>
      </c>
      <c r="F194" s="339" t="n">
        <v>2019.03</v>
      </c>
      <c r="G194" s="339" t="n">
        <v>965</v>
      </c>
      <c r="H194" s="339">
        <f>2026-F194+1</f>
        <v/>
      </c>
      <c r="K194" s="339" t="n">
        <v>50</v>
      </c>
      <c r="M194" s="339" t="inlineStr">
        <is>
          <t>계단식</t>
        </is>
      </c>
      <c r="N194" s="339" t="n">
        <v>2</v>
      </c>
      <c r="O194" s="339" t="n">
        <v>1</v>
      </c>
      <c r="P194" s="339" t="n">
        <v>116</v>
      </c>
      <c r="S194" s="477">
        <f>Q194-R194</f>
        <v/>
      </c>
      <c r="T194" s="71">
        <f>R194/Q194</f>
        <v/>
      </c>
      <c r="U194" s="339" t="n">
        <v>58800</v>
      </c>
      <c r="V194" s="339" t="n">
        <v>36000</v>
      </c>
      <c r="AM194" s="357" t="n"/>
    </row>
    <row r="195">
      <c r="A195" s="339" t="inlineStr">
        <is>
          <t>대연동</t>
        </is>
      </c>
      <c r="B195" s="164" t="n"/>
      <c r="C195" s="164" t="n"/>
      <c r="D195" s="339" t="n">
        <v>113686</v>
      </c>
      <c r="E195" s="113" t="inlineStr">
        <is>
          <t>대연자이</t>
        </is>
      </c>
      <c r="F195" s="339" t="n">
        <v>2019.03</v>
      </c>
      <c r="G195" s="339" t="n">
        <v>965</v>
      </c>
      <c r="H195" s="339">
        <f>2026-F195+1</f>
        <v/>
      </c>
      <c r="K195" s="339" t="n">
        <v>84</v>
      </c>
      <c r="M195" s="339" t="inlineStr">
        <is>
          <t>계단식</t>
        </is>
      </c>
      <c r="N195" s="339" t="n">
        <v>3</v>
      </c>
      <c r="O195" s="339" t="n">
        <v>2</v>
      </c>
      <c r="P195" s="339" t="n">
        <v>54</v>
      </c>
      <c r="S195" s="477">
        <f>Q195-R195</f>
        <v/>
      </c>
      <c r="T195" s="71">
        <f>R195/Q195</f>
        <v/>
      </c>
      <c r="U195" s="339" t="n">
        <v>107200</v>
      </c>
      <c r="V195" s="339" t="n">
        <v>73500</v>
      </c>
      <c r="AM195" s="357" t="n"/>
    </row>
    <row r="196">
      <c r="A196" s="132" t="inlineStr">
        <is>
          <t>대연동</t>
        </is>
      </c>
      <c r="B196" s="133" t="n"/>
      <c r="C196" s="133" t="n"/>
      <c r="D196" s="132" t="n">
        <v>4548</v>
      </c>
      <c r="E196" s="154" t="inlineStr">
        <is>
          <t>대연청구</t>
        </is>
      </c>
      <c r="F196" s="132" t="n">
        <v>2001.07</v>
      </c>
      <c r="G196" s="132" t="n">
        <v>604</v>
      </c>
      <c r="H196" s="132">
        <f>2026-F196+1</f>
        <v/>
      </c>
      <c r="I196" s="133" t="n"/>
      <c r="J196" s="132" t="n">
        <v>78</v>
      </c>
      <c r="K196" s="132" t="n">
        <v>59</v>
      </c>
      <c r="L196" s="132" t="n">
        <v>24</v>
      </c>
      <c r="M196" s="132" t="inlineStr">
        <is>
          <t>계단식</t>
        </is>
      </c>
      <c r="N196" s="132" t="n">
        <v>2</v>
      </c>
      <c r="O196" s="132" t="n">
        <v>1</v>
      </c>
      <c r="P196" s="132" t="n">
        <v>80</v>
      </c>
      <c r="Q196" s="160" t="n"/>
      <c r="R196" s="160" t="n"/>
      <c r="S196" s="477">
        <f>Q196-R196</f>
        <v/>
      </c>
      <c r="T196" s="71">
        <f>R196/Q196</f>
        <v/>
      </c>
      <c r="U196" s="133" t="n">
        <v>23000</v>
      </c>
      <c r="V196" s="133" t="n">
        <v>17800</v>
      </c>
      <c r="AA196" s="133" t="n"/>
      <c r="AB196" s="133" t="n"/>
      <c r="AC196" s="133" t="n"/>
      <c r="AD196" s="133" t="n"/>
      <c r="AE196" s="133" t="n"/>
      <c r="AF196" s="133" t="n"/>
      <c r="AG196" s="133" t="n"/>
      <c r="AK196" s="133" t="n"/>
      <c r="AL196" s="133" t="n"/>
      <c r="AM196" s="133" t="n"/>
      <c r="AN196" s="133" t="n"/>
      <c r="AV196" s="133" t="n"/>
    </row>
    <row r="197">
      <c r="A197" s="132" t="inlineStr">
        <is>
          <t>대연동</t>
        </is>
      </c>
      <c r="B197" s="133" t="n"/>
      <c r="C197" s="133" t="n"/>
      <c r="D197" s="132" t="n">
        <v>4548</v>
      </c>
      <c r="E197" s="154" t="inlineStr">
        <is>
          <t>대연청구</t>
        </is>
      </c>
      <c r="F197" s="132" t="n">
        <v>2001.07</v>
      </c>
      <c r="G197" s="132" t="n">
        <v>604</v>
      </c>
      <c r="H197" s="132">
        <f>2026-F197+1</f>
        <v/>
      </c>
      <c r="I197" s="133" t="n"/>
      <c r="J197" s="132" t="n">
        <v>169</v>
      </c>
      <c r="K197" s="132" t="n">
        <v>140</v>
      </c>
      <c r="L197" s="132" t="n">
        <v>51</v>
      </c>
      <c r="M197" s="132" t="inlineStr">
        <is>
          <t>계단식</t>
        </is>
      </c>
      <c r="N197" s="132" t="n">
        <v>4</v>
      </c>
      <c r="O197" s="132" t="n">
        <v>2</v>
      </c>
      <c r="P197" s="132" t="n">
        <v>100</v>
      </c>
      <c r="Q197" s="160" t="n"/>
      <c r="R197" s="160" t="n"/>
      <c r="S197" s="477">
        <f>Q197-R197</f>
        <v/>
      </c>
      <c r="T197" s="71">
        <f>R197/Q197</f>
        <v/>
      </c>
      <c r="U197" s="133" t="n">
        <v>52000</v>
      </c>
      <c r="V197" s="133" t="n">
        <v>42000</v>
      </c>
      <c r="AA197" s="133" t="n"/>
      <c r="AB197" s="133" t="n"/>
      <c r="AC197" s="133" t="n"/>
      <c r="AD197" s="133" t="n"/>
      <c r="AE197" s="133" t="n"/>
      <c r="AF197" s="133" t="n"/>
      <c r="AG197" s="133" t="n"/>
      <c r="AK197" s="133" t="n"/>
      <c r="AL197" s="133" t="n"/>
      <c r="AM197" s="133" t="n"/>
      <c r="AN197" s="133" t="n"/>
      <c r="AV197" s="133" t="n"/>
    </row>
    <row r="198">
      <c r="A198" s="132" t="inlineStr">
        <is>
          <t>대연동</t>
        </is>
      </c>
      <c r="B198" s="88" t="n"/>
      <c r="C198" s="89" t="n"/>
      <c r="D198" s="132" t="n">
        <v>4548</v>
      </c>
      <c r="E198" s="154" t="inlineStr">
        <is>
          <t>대연청구</t>
        </is>
      </c>
      <c r="F198" s="132" t="n">
        <v>2001.07</v>
      </c>
      <c r="G198" s="132" t="n">
        <v>604</v>
      </c>
      <c r="H198" s="132">
        <f>2026-F198+1</f>
        <v/>
      </c>
      <c r="I198" s="133" t="n"/>
      <c r="J198" s="132" t="n">
        <v>238</v>
      </c>
      <c r="K198" s="132" t="n">
        <v>201</v>
      </c>
      <c r="L198" s="132" t="n">
        <v>72</v>
      </c>
      <c r="M198" s="132" t="inlineStr">
        <is>
          <t>계단식</t>
        </is>
      </c>
      <c r="N198" s="132" t="n">
        <v>5</v>
      </c>
      <c r="O198" s="132" t="n">
        <v>3</v>
      </c>
      <c r="P198" s="132" t="n">
        <v>76</v>
      </c>
      <c r="Q198" s="160" t="n"/>
      <c r="R198" s="160" t="n"/>
      <c r="S198" s="477">
        <f>Q198-R198</f>
        <v/>
      </c>
      <c r="T198" s="71">
        <f>R198/Q198</f>
        <v/>
      </c>
      <c r="U198" s="133" t="n"/>
      <c r="V198" s="133" t="n"/>
      <c r="AA198" s="133" t="n"/>
      <c r="AB198" s="133" t="n"/>
      <c r="AC198" s="133" t="n"/>
      <c r="AD198" s="133" t="n"/>
      <c r="AE198" s="133" t="n"/>
      <c r="AF198" s="133" t="n"/>
      <c r="AG198" s="133" t="n"/>
      <c r="AK198" s="133" t="n"/>
      <c r="AL198" s="133" t="n"/>
      <c r="AM198" s="88" t="n"/>
      <c r="AN198" s="133" t="n"/>
      <c r="AV198" s="133" t="n"/>
    </row>
    <row r="199">
      <c r="A199" s="339" t="inlineStr">
        <is>
          <t>대연동</t>
        </is>
      </c>
      <c r="D199" s="339" t="n">
        <v>110440</v>
      </c>
      <c r="E199" s="113" t="inlineStr">
        <is>
          <t>대연파크푸르지오</t>
        </is>
      </c>
      <c r="F199" s="339" t="n">
        <v>2018.06</v>
      </c>
      <c r="G199" s="339" t="n">
        <v>1422</v>
      </c>
      <c r="H199" s="339">
        <f>2026-F199+1</f>
        <v/>
      </c>
      <c r="J199" s="339" t="n">
        <v>59</v>
      </c>
      <c r="K199" s="339" t="n">
        <v>39</v>
      </c>
      <c r="L199" s="339" t="n">
        <v>18</v>
      </c>
      <c r="M199" s="339" t="inlineStr">
        <is>
          <t>복도식</t>
        </is>
      </c>
      <c r="N199" s="339" t="n">
        <v>2</v>
      </c>
      <c r="O199" s="339" t="n">
        <v>1</v>
      </c>
      <c r="P199" s="339" t="n">
        <v>126</v>
      </c>
      <c r="S199" s="477">
        <f>Q199-R199</f>
        <v/>
      </c>
      <c r="T199" s="71">
        <f>R199/Q199</f>
        <v/>
      </c>
      <c r="U199" s="339" t="n">
        <v>32305</v>
      </c>
      <c r="V199" s="339" t="n">
        <v>22000</v>
      </c>
    </row>
    <row r="200">
      <c r="A200" s="339" t="inlineStr">
        <is>
          <t>대연동</t>
        </is>
      </c>
      <c r="D200" s="339" t="n">
        <v>110440</v>
      </c>
      <c r="E200" s="113" t="inlineStr">
        <is>
          <t>대연파크푸르지오</t>
        </is>
      </c>
      <c r="F200" s="339" t="n">
        <v>2018.06</v>
      </c>
      <c r="G200" s="339" t="n">
        <v>1422</v>
      </c>
      <c r="H200" s="339">
        <f>2026-F200+1</f>
        <v/>
      </c>
      <c r="J200" s="339" t="n">
        <v>129</v>
      </c>
      <c r="K200" s="339" t="n">
        <v>99</v>
      </c>
      <c r="L200" s="339" t="n">
        <v>39</v>
      </c>
      <c r="M200" s="339" t="inlineStr">
        <is>
          <t>계단식</t>
        </is>
      </c>
      <c r="N200" s="339" t="n">
        <v>3</v>
      </c>
      <c r="O200" s="339" t="n">
        <v>2</v>
      </c>
      <c r="P200" s="339" t="n">
        <v>77</v>
      </c>
      <c r="S200" s="477">
        <f>Q200-R200</f>
        <v/>
      </c>
      <c r="T200" s="71">
        <f>R200/Q200</f>
        <v/>
      </c>
      <c r="U200" s="339" t="n">
        <v>78700</v>
      </c>
      <c r="V200" s="339" t="n">
        <v>64500</v>
      </c>
    </row>
    <row r="201">
      <c r="A201" s="132" t="inlineStr">
        <is>
          <t>대연동</t>
        </is>
      </c>
      <c r="B201" s="88" t="n"/>
      <c r="C201" s="89" t="n"/>
      <c r="D201" s="132" t="n">
        <v>9861</v>
      </c>
      <c r="E201" s="154" t="inlineStr">
        <is>
          <t>대연푸르지오</t>
        </is>
      </c>
      <c r="F201" s="132" t="n">
        <v>2005.01</v>
      </c>
      <c r="G201" s="132" t="n">
        <v>678</v>
      </c>
      <c r="H201" s="132">
        <f>2026-F201+1</f>
        <v/>
      </c>
      <c r="I201" s="133" t="n"/>
      <c r="J201" s="133" t="n"/>
      <c r="K201" s="132" t="n">
        <v>29</v>
      </c>
      <c r="L201" s="133" t="n"/>
      <c r="M201" s="132" t="inlineStr">
        <is>
          <t>복도식</t>
        </is>
      </c>
      <c r="N201" s="132" t="n">
        <v>1</v>
      </c>
      <c r="O201" s="132" t="n">
        <v>1</v>
      </c>
      <c r="P201" s="132" t="n">
        <v>288</v>
      </c>
      <c r="Q201" s="160" t="n"/>
      <c r="R201" s="160" t="n"/>
      <c r="S201" s="477">
        <f>Q201-R201</f>
        <v/>
      </c>
      <c r="T201" s="71">
        <f>R201/Q201</f>
        <v/>
      </c>
      <c r="U201" s="133" t="n">
        <v>18500</v>
      </c>
      <c r="V201" s="133" t="n">
        <v>15600</v>
      </c>
      <c r="AA201" s="133" t="n"/>
      <c r="AB201" s="133" t="n"/>
      <c r="AC201" s="133" t="n"/>
      <c r="AD201" s="133" t="n"/>
      <c r="AE201" s="133" t="n"/>
      <c r="AF201" s="133" t="n"/>
      <c r="AG201" s="133" t="n"/>
      <c r="AK201" s="133" t="n"/>
      <c r="AL201" s="133" t="n"/>
      <c r="AM201" s="88" t="n"/>
      <c r="AN201" s="133" t="n"/>
      <c r="AV201" s="133" t="n"/>
    </row>
    <row r="202">
      <c r="A202" s="132" t="inlineStr">
        <is>
          <t>대연동</t>
        </is>
      </c>
      <c r="B202" s="88" t="n"/>
      <c r="C202" s="89" t="n"/>
      <c r="D202" s="132" t="n">
        <v>9861</v>
      </c>
      <c r="E202" s="154" t="inlineStr">
        <is>
          <t>대연푸르지오</t>
        </is>
      </c>
      <c r="F202" s="132" t="n">
        <v>2005.01</v>
      </c>
      <c r="G202" s="132" t="n">
        <v>678</v>
      </c>
      <c r="H202" s="132">
        <f>2026-F202+1</f>
        <v/>
      </c>
      <c r="I202" s="133" t="n"/>
      <c r="J202" s="132" t="n">
        <v>65</v>
      </c>
      <c r="K202" s="132" t="n">
        <v>44</v>
      </c>
      <c r="L202" s="132" t="n">
        <v>20</v>
      </c>
      <c r="M202" s="132" t="inlineStr">
        <is>
          <t>복도식</t>
        </is>
      </c>
      <c r="N202" s="132" t="n">
        <v>1</v>
      </c>
      <c r="O202" s="132" t="n">
        <v>1</v>
      </c>
      <c r="P202" s="132" t="n">
        <v>6</v>
      </c>
      <c r="Q202" s="160" t="n"/>
      <c r="R202" s="160" t="n"/>
      <c r="S202" s="477">
        <f>Q202-R202</f>
        <v/>
      </c>
      <c r="T202" s="71">
        <f>R202/Q202</f>
        <v/>
      </c>
      <c r="U202" s="133" t="n">
        <v>27000</v>
      </c>
      <c r="V202" s="133" t="n">
        <v>29000</v>
      </c>
      <c r="AA202" s="133" t="n"/>
      <c r="AB202" s="133" t="n"/>
      <c r="AC202" s="133" t="n"/>
      <c r="AD202" s="133" t="n"/>
      <c r="AE202" s="133" t="n"/>
      <c r="AF202" s="133" t="n"/>
      <c r="AG202" s="133" t="n"/>
      <c r="AK202" s="133" t="n"/>
      <c r="AL202" s="133" t="n"/>
      <c r="AM202" s="88" t="n"/>
      <c r="AN202" s="133" t="n"/>
      <c r="AV202" s="133" t="n"/>
    </row>
    <row r="203">
      <c r="A203" s="132" t="inlineStr">
        <is>
          <t>대연동</t>
        </is>
      </c>
      <c r="B203" s="88" t="n"/>
      <c r="C203" s="89" t="n"/>
      <c r="D203" s="132" t="n">
        <v>9861</v>
      </c>
      <c r="E203" s="154" t="inlineStr">
        <is>
          <t>대연푸르지오</t>
        </is>
      </c>
      <c r="F203" s="132" t="n">
        <v>2005.01</v>
      </c>
      <c r="G203" s="132" t="n">
        <v>678</v>
      </c>
      <c r="H203" s="132">
        <f>2026-F203+1</f>
        <v/>
      </c>
      <c r="I203" s="133" t="n"/>
      <c r="J203" s="132" t="n">
        <v>140</v>
      </c>
      <c r="K203" s="132" t="n">
        <v>112</v>
      </c>
      <c r="L203" s="132" t="n">
        <v>42</v>
      </c>
      <c r="M203" s="132" t="inlineStr">
        <is>
          <t>계단식</t>
        </is>
      </c>
      <c r="N203" s="132" t="n">
        <v>3</v>
      </c>
      <c r="O203" s="132" t="n">
        <v>2</v>
      </c>
      <c r="P203" s="132" t="n">
        <v>19</v>
      </c>
      <c r="Q203" s="160" t="n"/>
      <c r="R203" s="160" t="n"/>
      <c r="S203" s="477">
        <f>Q203-R203</f>
        <v/>
      </c>
      <c r="T203" s="71">
        <f>R203/Q203</f>
        <v/>
      </c>
      <c r="U203" s="133" t="n">
        <v>89900</v>
      </c>
      <c r="V203" s="133" t="n"/>
      <c r="AA203" s="133" t="n"/>
      <c r="AB203" s="133" t="n"/>
      <c r="AC203" s="133" t="n"/>
      <c r="AD203" s="133" t="n"/>
      <c r="AE203" s="133" t="n"/>
      <c r="AF203" s="133" t="n"/>
      <c r="AG203" s="133" t="n"/>
      <c r="AK203" s="133" t="n"/>
      <c r="AL203" s="133" t="n"/>
      <c r="AM203" s="88" t="n"/>
      <c r="AN203" s="133" t="n"/>
      <c r="AV203" s="133" t="n"/>
    </row>
    <row r="204">
      <c r="A204" s="132" t="inlineStr">
        <is>
          <t>대연동</t>
        </is>
      </c>
      <c r="B204" s="88" t="n"/>
      <c r="C204" s="89" t="n"/>
      <c r="D204" s="132" t="n">
        <v>9861</v>
      </c>
      <c r="E204" s="154" t="inlineStr">
        <is>
          <t>대연푸르지오</t>
        </is>
      </c>
      <c r="F204" s="132" t="n">
        <v>2005.01</v>
      </c>
      <c r="G204" s="132" t="n">
        <v>678</v>
      </c>
      <c r="H204" s="132">
        <f>2026-F204+1</f>
        <v/>
      </c>
      <c r="I204" s="133" t="n"/>
      <c r="J204" s="132" t="n">
        <v>160</v>
      </c>
      <c r="K204" s="132" t="n">
        <v>129</v>
      </c>
      <c r="L204" s="132" t="n">
        <v>48</v>
      </c>
      <c r="M204" s="132" t="inlineStr">
        <is>
          <t>계단식</t>
        </is>
      </c>
      <c r="N204" s="132" t="n">
        <v>4</v>
      </c>
      <c r="O204" s="132" t="n">
        <v>2</v>
      </c>
      <c r="P204" s="132" t="n">
        <v>125</v>
      </c>
      <c r="Q204" s="160" t="n"/>
      <c r="R204" s="160" t="n"/>
      <c r="S204" s="477">
        <f>Q204-R204</f>
        <v/>
      </c>
      <c r="T204" s="71">
        <f>R204/Q204</f>
        <v/>
      </c>
      <c r="U204" s="133" t="n">
        <v>88000</v>
      </c>
      <c r="V204" s="133" t="n">
        <v>67000</v>
      </c>
      <c r="AA204" s="133" t="n"/>
      <c r="AB204" s="133" t="n"/>
      <c r="AC204" s="133" t="n"/>
      <c r="AD204" s="133" t="n"/>
      <c r="AE204" s="133" t="n"/>
      <c r="AF204" s="133" t="n"/>
      <c r="AG204" s="133" t="n"/>
      <c r="AK204" s="133" t="n"/>
      <c r="AL204" s="133" t="n"/>
      <c r="AM204" s="88" t="n"/>
      <c r="AN204" s="133" t="n"/>
      <c r="AV204" s="133" t="n"/>
    </row>
    <row r="205">
      <c r="A205" s="132" t="inlineStr">
        <is>
          <t>대연동</t>
        </is>
      </c>
      <c r="B205" s="88" t="n"/>
      <c r="C205" s="89" t="n"/>
      <c r="D205" s="132" t="n">
        <v>9861</v>
      </c>
      <c r="E205" s="154" t="inlineStr">
        <is>
          <t>대연푸르지오</t>
        </is>
      </c>
      <c r="F205" s="132" t="n">
        <v>2005.01</v>
      </c>
      <c r="G205" s="132" t="n">
        <v>678</v>
      </c>
      <c r="H205" s="132">
        <f>2026-F205+1</f>
        <v/>
      </c>
      <c r="I205" s="133" t="n"/>
      <c r="J205" s="132" t="n">
        <v>182</v>
      </c>
      <c r="K205" s="132" t="n">
        <v>147</v>
      </c>
      <c r="L205" s="132" t="n">
        <v>55</v>
      </c>
      <c r="M205" s="132" t="inlineStr">
        <is>
          <t>계단식</t>
        </is>
      </c>
      <c r="N205" s="132" t="n">
        <v>4</v>
      </c>
      <c r="O205" s="132" t="n">
        <v>2</v>
      </c>
      <c r="P205" s="132" t="n">
        <v>19</v>
      </c>
      <c r="Q205" s="160" t="n"/>
      <c r="R205" s="160" t="n"/>
      <c r="S205" s="477">
        <f>Q205-R205</f>
        <v/>
      </c>
      <c r="T205" s="71">
        <f>R205/Q205</f>
        <v/>
      </c>
      <c r="U205" s="133" t="n">
        <v>105000</v>
      </c>
      <c r="V205" s="133" t="n">
        <v>105000</v>
      </c>
      <c r="AA205" s="133" t="n"/>
      <c r="AB205" s="133" t="n"/>
      <c r="AC205" s="133" t="n"/>
      <c r="AD205" s="133" t="n"/>
      <c r="AE205" s="133" t="n"/>
      <c r="AF205" s="133" t="n"/>
      <c r="AG205" s="133" t="n"/>
      <c r="AK205" s="133" t="n"/>
      <c r="AL205" s="133" t="n"/>
      <c r="AM205" s="88" t="n"/>
      <c r="AN205" s="133" t="n"/>
      <c r="AV205" s="133" t="n"/>
    </row>
    <row r="206">
      <c r="A206" s="132" t="inlineStr">
        <is>
          <t>대연동</t>
        </is>
      </c>
      <c r="B206" s="88" t="n"/>
      <c r="C206" s="89" t="n"/>
      <c r="D206" s="132" t="n">
        <v>9861</v>
      </c>
      <c r="E206" s="154" t="inlineStr">
        <is>
          <t>대연푸르지오</t>
        </is>
      </c>
      <c r="F206" s="132" t="n">
        <v>2005.01</v>
      </c>
      <c r="G206" s="132" t="n">
        <v>678</v>
      </c>
      <c r="H206" s="132">
        <f>2026-F206+1</f>
        <v/>
      </c>
      <c r="I206" s="133" t="n"/>
      <c r="J206" s="132" t="n">
        <v>198</v>
      </c>
      <c r="K206" s="132" t="n">
        <v>160</v>
      </c>
      <c r="L206" s="132" t="n">
        <v>60</v>
      </c>
      <c r="M206" s="132" t="inlineStr">
        <is>
          <t>계단식</t>
        </is>
      </c>
      <c r="N206" s="132" t="n">
        <v>4</v>
      </c>
      <c r="O206" s="132" t="n">
        <v>2</v>
      </c>
      <c r="P206" s="132" t="n">
        <v>19</v>
      </c>
      <c r="Q206" s="160" t="n"/>
      <c r="R206" s="160" t="n"/>
      <c r="S206" s="477">
        <f>Q206-R206</f>
        <v/>
      </c>
      <c r="T206" s="71">
        <f>R206/Q206</f>
        <v/>
      </c>
      <c r="U206" s="133" t="n"/>
      <c r="V206" s="133" t="n">
        <v>62000</v>
      </c>
      <c r="AA206" s="133" t="n"/>
      <c r="AB206" s="133" t="n"/>
      <c r="AC206" s="133" t="n"/>
      <c r="AD206" s="133" t="n"/>
      <c r="AE206" s="133" t="n"/>
      <c r="AF206" s="133" t="n"/>
      <c r="AG206" s="133" t="n"/>
      <c r="AK206" s="133" t="n"/>
      <c r="AL206" s="133" t="n"/>
      <c r="AM206" s="88" t="n"/>
      <c r="AN206" s="133" t="n"/>
      <c r="AV206" s="133" t="n"/>
    </row>
    <row r="207">
      <c r="A207" s="132" t="inlineStr">
        <is>
          <t>대연동</t>
        </is>
      </c>
      <c r="B207" s="88" t="n"/>
      <c r="C207" s="89" t="n"/>
      <c r="D207" s="132" t="n">
        <v>9861</v>
      </c>
      <c r="E207" s="154" t="inlineStr">
        <is>
          <t>대연푸르지오</t>
        </is>
      </c>
      <c r="F207" s="132" t="n">
        <v>2005.01</v>
      </c>
      <c r="G207" s="132" t="n">
        <v>678</v>
      </c>
      <c r="H207" s="132">
        <f>2026-F207+1</f>
        <v/>
      </c>
      <c r="I207" s="133" t="n"/>
      <c r="J207" s="132" t="n">
        <v>250</v>
      </c>
      <c r="K207" s="132" t="n">
        <v>198</v>
      </c>
      <c r="L207" s="132" t="n">
        <v>76</v>
      </c>
      <c r="M207" s="132" t="inlineStr">
        <is>
          <t>계단식</t>
        </is>
      </c>
      <c r="N207" s="132" t="n">
        <v>5</v>
      </c>
      <c r="O207" s="132" t="n">
        <v>4</v>
      </c>
      <c r="P207" s="132" t="n">
        <v>1</v>
      </c>
      <c r="Q207" s="160" t="n"/>
      <c r="R207" s="160" t="n"/>
      <c r="S207" s="477">
        <f>Q207-R207</f>
        <v/>
      </c>
      <c r="T207" s="71">
        <f>R207/Q207</f>
        <v/>
      </c>
      <c r="U207" s="133" t="n"/>
      <c r="V207" s="133" t="n"/>
      <c r="AA207" s="133" t="n"/>
      <c r="AB207" s="133" t="n"/>
      <c r="AC207" s="133" t="n"/>
      <c r="AD207" s="133" t="n"/>
      <c r="AE207" s="133" t="n"/>
      <c r="AF207" s="133" t="n"/>
      <c r="AG207" s="133" t="n"/>
      <c r="AK207" s="133" t="n"/>
      <c r="AL207" s="133" t="n"/>
      <c r="AM207" s="88" t="n"/>
      <c r="AN207" s="133" t="n"/>
      <c r="AV207" s="133" t="n"/>
    </row>
    <row r="208">
      <c r="A208" s="132" t="inlineStr">
        <is>
          <t>대연동</t>
        </is>
      </c>
      <c r="B208" s="133" t="n"/>
      <c r="C208" s="133" t="n"/>
      <c r="D208" s="132" t="n">
        <v>9861</v>
      </c>
      <c r="E208" s="154" t="inlineStr">
        <is>
          <t>대연푸르지오</t>
        </is>
      </c>
      <c r="F208" s="132" t="n">
        <v>2005.01</v>
      </c>
      <c r="G208" s="132" t="n">
        <v>678</v>
      </c>
      <c r="H208" s="132">
        <f>2026-F208+1</f>
        <v/>
      </c>
      <c r="I208" s="133" t="n"/>
      <c r="J208" s="133" t="n"/>
      <c r="K208" s="132" t="n">
        <v>221</v>
      </c>
      <c r="L208" s="133" t="n"/>
      <c r="M208" s="132" t="inlineStr">
        <is>
          <t>계단식</t>
        </is>
      </c>
      <c r="N208" s="132" t="n">
        <v>5</v>
      </c>
      <c r="O208" s="132" t="n">
        <v>4</v>
      </c>
      <c r="P208" s="132" t="n">
        <v>2</v>
      </c>
      <c r="Q208" s="160" t="n"/>
      <c r="R208" s="160" t="n"/>
      <c r="S208" s="477">
        <f>Q208-R208</f>
        <v/>
      </c>
      <c r="T208" s="71">
        <f>R208/Q208</f>
        <v/>
      </c>
      <c r="U208" s="133" t="n"/>
      <c r="V208" s="133" t="n">
        <v>157500</v>
      </c>
      <c r="AA208" s="133" t="n"/>
      <c r="AB208" s="133" t="n"/>
      <c r="AC208" s="133" t="n"/>
      <c r="AD208" s="133" t="n"/>
      <c r="AE208" s="133" t="n"/>
      <c r="AF208" s="133" t="n"/>
      <c r="AG208" s="133" t="n"/>
      <c r="AK208" s="133" t="n"/>
      <c r="AL208" s="133" t="n"/>
      <c r="AM208" s="133" t="n"/>
      <c r="AN208" s="133" t="n"/>
      <c r="AV208" s="133" t="n"/>
    </row>
    <row r="209">
      <c r="A209" s="132" t="inlineStr">
        <is>
          <t>대연동</t>
        </is>
      </c>
      <c r="B209" s="133" t="n"/>
      <c r="C209" s="133" t="n"/>
      <c r="D209" s="132" t="n">
        <v>9861</v>
      </c>
      <c r="E209" s="154" t="inlineStr">
        <is>
          <t>대연푸르지오</t>
        </is>
      </c>
      <c r="F209" s="132" t="n">
        <v>2005.01</v>
      </c>
      <c r="G209" s="132" t="n">
        <v>678</v>
      </c>
      <c r="H209" s="132">
        <f>2026-F209+1</f>
        <v/>
      </c>
      <c r="I209" s="133" t="n"/>
      <c r="J209" s="132" t="n">
        <v>328</v>
      </c>
      <c r="K209" s="132" t="n">
        <v>262</v>
      </c>
      <c r="L209" s="132" t="n">
        <v>99</v>
      </c>
      <c r="M209" s="132" t="inlineStr">
        <is>
          <t>계단식</t>
        </is>
      </c>
      <c r="N209" s="132" t="n">
        <v>5</v>
      </c>
      <c r="O209" s="132" t="n">
        <v>4</v>
      </c>
      <c r="P209" s="132" t="n">
        <v>1</v>
      </c>
      <c r="Q209" s="160" t="n"/>
      <c r="R209" s="160" t="n"/>
      <c r="S209" s="477">
        <f>Q209-R209</f>
        <v/>
      </c>
      <c r="T209" s="71">
        <f>R209/Q209</f>
        <v/>
      </c>
      <c r="U209" s="133" t="n"/>
      <c r="V209" s="133" t="n"/>
      <c r="AA209" s="133" t="n"/>
      <c r="AB209" s="133" t="n"/>
      <c r="AC209" s="133" t="n"/>
      <c r="AD209" s="133" t="n"/>
      <c r="AE209" s="133" t="n"/>
      <c r="AF209" s="133" t="n"/>
      <c r="AG209" s="133" t="n"/>
      <c r="AK209" s="133" t="n"/>
      <c r="AL209" s="133" t="n"/>
      <c r="AM209" s="133" t="n"/>
      <c r="AN209" s="133" t="n"/>
      <c r="AV209" s="133" t="n"/>
    </row>
    <row r="210">
      <c r="A210" s="339" t="inlineStr">
        <is>
          <t>대연동</t>
        </is>
      </c>
      <c r="D210" s="339" t="n">
        <v>133976</v>
      </c>
      <c r="E210" s="113" t="inlineStr">
        <is>
          <t>대연푸르지오클라센트</t>
        </is>
      </c>
      <c r="F210" s="339" t="n">
        <v>2024.08</v>
      </c>
      <c r="G210" s="339" t="n">
        <v>1057</v>
      </c>
      <c r="H210" s="339">
        <f>2026-F210+1</f>
        <v/>
      </c>
      <c r="K210" s="339" t="n">
        <v>39</v>
      </c>
      <c r="M210" s="339" t="inlineStr">
        <is>
          <t>계단식</t>
        </is>
      </c>
      <c r="N210" s="339" t="n">
        <v>2</v>
      </c>
      <c r="O210" s="339" t="n">
        <v>1</v>
      </c>
      <c r="P210" s="339" t="n">
        <v>59</v>
      </c>
      <c r="S210" s="477">
        <f>Q210-R210</f>
        <v/>
      </c>
      <c r="T210" s="71">
        <f>R210/Q210</f>
        <v/>
      </c>
    </row>
    <row r="211">
      <c r="A211" s="339" t="inlineStr">
        <is>
          <t>대연동</t>
        </is>
      </c>
      <c r="D211" s="339" t="n">
        <v>133976</v>
      </c>
      <c r="E211" s="113" t="inlineStr">
        <is>
          <t>대연푸르지오클라센트</t>
        </is>
      </c>
      <c r="F211" s="339" t="n">
        <v>2024.08</v>
      </c>
      <c r="G211" s="339" t="n">
        <v>1057</v>
      </c>
      <c r="H211" s="339">
        <f>2026-F211+1</f>
        <v/>
      </c>
      <c r="K211" s="339" t="n">
        <v>84</v>
      </c>
      <c r="M211" s="339" t="inlineStr">
        <is>
          <t>계단식</t>
        </is>
      </c>
      <c r="N211" s="339" t="n">
        <v>3</v>
      </c>
      <c r="O211" s="339" t="n">
        <v>2</v>
      </c>
      <c r="P211" s="339" t="n">
        <v>174</v>
      </c>
      <c r="S211" s="477">
        <f>Q211-R211</f>
        <v/>
      </c>
      <c r="T211" s="71">
        <f>R211/Q211</f>
        <v/>
      </c>
    </row>
    <row r="212">
      <c r="A212" s="132" t="inlineStr">
        <is>
          <t>대연동</t>
        </is>
      </c>
      <c r="B212" s="88" t="n"/>
      <c r="C212" s="89" t="n"/>
      <c r="D212" s="132" t="n">
        <v>4543</v>
      </c>
      <c r="E212" s="154" t="inlineStr">
        <is>
          <t>대연현대</t>
        </is>
      </c>
      <c r="F212" s="132" t="n">
        <v>1997.11</v>
      </c>
      <c r="G212" s="132" t="n">
        <v>366</v>
      </c>
      <c r="H212" s="132">
        <f>2026-F212+1</f>
        <v/>
      </c>
      <c r="I212" s="133" t="n"/>
      <c r="J212" s="132" t="n">
        <v>138</v>
      </c>
      <c r="K212" s="132" t="n">
        <v>114</v>
      </c>
      <c r="L212" s="132" t="n">
        <v>42</v>
      </c>
      <c r="M212" s="132" t="inlineStr">
        <is>
          <t>계단식</t>
        </is>
      </c>
      <c r="N212" s="132" t="n">
        <v>4</v>
      </c>
      <c r="O212" s="132" t="n">
        <v>2</v>
      </c>
      <c r="P212" s="132" t="n">
        <v>44</v>
      </c>
      <c r="Q212" s="160" t="n"/>
      <c r="R212" s="160" t="n"/>
      <c r="S212" s="477">
        <f>Q212-R212</f>
        <v/>
      </c>
      <c r="T212" s="71">
        <f>R212/Q212</f>
        <v/>
      </c>
      <c r="U212" s="133" t="n"/>
      <c r="V212" s="133" t="n"/>
      <c r="AA212" s="133" t="n"/>
      <c r="AB212" s="133" t="n"/>
      <c r="AC212" s="133" t="n"/>
      <c r="AD212" s="133" t="n"/>
      <c r="AE212" s="133" t="n"/>
      <c r="AF212" s="133" t="n"/>
      <c r="AG212" s="133" t="n"/>
      <c r="AK212" s="133" t="n"/>
      <c r="AL212" s="133" t="n"/>
      <c r="AM212" s="88" t="n"/>
      <c r="AN212" s="133" t="n"/>
      <c r="AV212" s="133" t="n"/>
    </row>
    <row r="213">
      <c r="A213" s="339" t="inlineStr">
        <is>
          <t>대연동</t>
        </is>
      </c>
      <c r="D213" s="339" t="n">
        <v>105323</v>
      </c>
      <c r="E213" s="113" t="inlineStr">
        <is>
          <t>대연힐스테이트푸르지오</t>
        </is>
      </c>
      <c r="F213" s="339" t="n">
        <v>2013.05</v>
      </c>
      <c r="G213" s="339" t="n">
        <v>2100</v>
      </c>
      <c r="H213" s="339">
        <f>2026-F213+1</f>
        <v/>
      </c>
      <c r="K213" s="339" t="n">
        <v>102</v>
      </c>
      <c r="M213" s="339" t="inlineStr">
        <is>
          <t>계단식</t>
        </is>
      </c>
      <c r="N213" s="339" t="n">
        <v>3</v>
      </c>
      <c r="O213" s="339" t="n">
        <v>2</v>
      </c>
      <c r="P213" s="339" t="n">
        <v>207</v>
      </c>
      <c r="S213" s="477">
        <f>Q213-R213</f>
        <v/>
      </c>
      <c r="T213" s="71">
        <f>R213/Q213</f>
        <v/>
      </c>
      <c r="U213" s="339" t="n">
        <v>133500</v>
      </c>
      <c r="V213" s="339" t="n">
        <v>75000</v>
      </c>
    </row>
    <row r="214">
      <c r="A214" s="339" t="inlineStr">
        <is>
          <t>대연동</t>
        </is>
      </c>
      <c r="D214" s="339" t="n">
        <v>105323</v>
      </c>
      <c r="E214" s="113" t="inlineStr">
        <is>
          <t>대연힐스테이트푸르지오</t>
        </is>
      </c>
      <c r="F214" s="339" t="n">
        <v>2013.05</v>
      </c>
      <c r="G214" s="339" t="n">
        <v>2100</v>
      </c>
      <c r="H214" s="339">
        <f>2026-F214+1</f>
        <v/>
      </c>
      <c r="K214" s="339" t="n">
        <v>99</v>
      </c>
      <c r="M214" s="339" t="inlineStr">
        <is>
          <t>계단식</t>
        </is>
      </c>
      <c r="N214" s="339" t="n">
        <v>3</v>
      </c>
      <c r="O214" s="339" t="n">
        <v>2</v>
      </c>
      <c r="P214" s="339" t="n">
        <v>228</v>
      </c>
      <c r="S214" s="477">
        <f>Q214-R214</f>
        <v/>
      </c>
      <c r="T214" s="71">
        <f>R214/Q214</f>
        <v/>
      </c>
      <c r="U214" s="339" t="n">
        <v>110800</v>
      </c>
      <c r="V214" s="339" t="n">
        <v>81000</v>
      </c>
    </row>
    <row r="215">
      <c r="A215" s="339" t="inlineStr">
        <is>
          <t>대연동</t>
        </is>
      </c>
      <c r="D215" s="339" t="n">
        <v>105323</v>
      </c>
      <c r="E215" s="113" t="inlineStr">
        <is>
          <t>대연힐스테이트푸르지오</t>
        </is>
      </c>
      <c r="F215" s="339" t="n">
        <v>2013.05</v>
      </c>
      <c r="G215" s="339" t="n">
        <v>2100</v>
      </c>
      <c r="H215" s="339">
        <f>2026-F215+1</f>
        <v/>
      </c>
      <c r="K215" s="339" t="n">
        <v>115</v>
      </c>
      <c r="M215" s="339" t="inlineStr">
        <is>
          <t>계단식</t>
        </is>
      </c>
      <c r="N215" s="339" t="n">
        <v>4</v>
      </c>
      <c r="O215" s="339" t="n">
        <v>2</v>
      </c>
      <c r="P215" s="339" t="n">
        <v>185</v>
      </c>
      <c r="S215" s="477">
        <f>Q215-R215</f>
        <v/>
      </c>
      <c r="T215" s="71">
        <f>R215/Q215</f>
        <v/>
      </c>
      <c r="U215" s="339" t="n">
        <v>160000</v>
      </c>
      <c r="V215" s="339" t="n">
        <v>115000</v>
      </c>
    </row>
    <row r="216">
      <c r="A216" s="339" t="inlineStr">
        <is>
          <t>대연동</t>
        </is>
      </c>
      <c r="D216" s="339" t="n">
        <v>105323</v>
      </c>
      <c r="E216" s="113" t="inlineStr">
        <is>
          <t>대연힐스테이트푸르지오</t>
        </is>
      </c>
      <c r="F216" s="339" t="n">
        <v>2013.05</v>
      </c>
      <c r="G216" s="339" t="n">
        <v>2100</v>
      </c>
      <c r="H216" s="339">
        <f>2026-F216+1</f>
        <v/>
      </c>
      <c r="K216" s="339" t="n">
        <v>118</v>
      </c>
      <c r="M216" s="339" t="inlineStr">
        <is>
          <t>계단식</t>
        </is>
      </c>
      <c r="N216" s="339" t="n">
        <v>4</v>
      </c>
      <c r="O216" s="339" t="n">
        <v>2</v>
      </c>
      <c r="P216" s="339" t="n">
        <v>210</v>
      </c>
      <c r="S216" s="477">
        <f>Q216-R216</f>
        <v/>
      </c>
      <c r="T216" s="71">
        <f>R216/Q216</f>
        <v/>
      </c>
      <c r="U216" s="339" t="n">
        <v>168000</v>
      </c>
      <c r="V216" s="339" t="n">
        <v>103000</v>
      </c>
    </row>
    <row r="217">
      <c r="A217" s="339" t="inlineStr">
        <is>
          <t>대연동</t>
        </is>
      </c>
      <c r="B217" s="164" t="n"/>
      <c r="C217" s="164" t="n"/>
      <c r="D217" s="339" t="n">
        <v>105323</v>
      </c>
      <c r="E217" s="113" t="inlineStr">
        <is>
          <t>대연힐스테이트푸르지오</t>
        </is>
      </c>
      <c r="F217" s="339" t="n">
        <v>2013.05</v>
      </c>
      <c r="G217" s="339" t="n">
        <v>2100</v>
      </c>
      <c r="H217" s="339">
        <f>2026-F217+1</f>
        <v/>
      </c>
      <c r="K217" s="339" t="n">
        <v>134</v>
      </c>
      <c r="M217" s="339" t="inlineStr">
        <is>
          <t>계단식</t>
        </is>
      </c>
      <c r="N217" s="339" t="n">
        <v>4</v>
      </c>
      <c r="O217" s="339" t="n">
        <v>2</v>
      </c>
      <c r="P217" s="339" t="n">
        <v>108</v>
      </c>
      <c r="S217" s="477">
        <f>Q217-R217</f>
        <v/>
      </c>
      <c r="T217" s="71">
        <f>R217/Q217</f>
        <v/>
      </c>
      <c r="U217" s="339" t="n">
        <v>156500</v>
      </c>
      <c r="V217" s="339" t="n">
        <v>130000</v>
      </c>
      <c r="AM217" s="357" t="n"/>
    </row>
    <row r="218">
      <c r="A218" s="339" t="inlineStr">
        <is>
          <t>대연동</t>
        </is>
      </c>
      <c r="B218" s="164" t="n"/>
      <c r="C218" s="164" t="n"/>
      <c r="D218" s="339" t="n">
        <v>105323</v>
      </c>
      <c r="E218" s="113" t="inlineStr">
        <is>
          <t>대연힐스테이트푸르지오</t>
        </is>
      </c>
      <c r="F218" s="339" t="n">
        <v>2013.05</v>
      </c>
      <c r="G218" s="339" t="n">
        <v>2100</v>
      </c>
      <c r="H218" s="339">
        <f>2026-F218+1</f>
        <v/>
      </c>
      <c r="K218" s="339" t="n">
        <v>155</v>
      </c>
      <c r="M218" s="339" t="inlineStr">
        <is>
          <t>계단식</t>
        </is>
      </c>
      <c r="N218" s="339" t="n">
        <v>4</v>
      </c>
      <c r="O218" s="339" t="n">
        <v>3</v>
      </c>
      <c r="P218" s="339" t="n">
        <v>6</v>
      </c>
      <c r="S218" s="477">
        <f>Q218-R218</f>
        <v/>
      </c>
      <c r="T218" s="71">
        <f>R218/Q218</f>
        <v/>
      </c>
      <c r="AM218" s="357" t="n"/>
    </row>
    <row r="219">
      <c r="A219" s="339" t="inlineStr">
        <is>
          <t>대연동</t>
        </is>
      </c>
      <c r="B219" s="164" t="n"/>
      <c r="C219" s="164" t="n"/>
      <c r="D219" s="339" t="n">
        <v>105323</v>
      </c>
      <c r="E219" s="113" t="inlineStr">
        <is>
          <t>대연힐스테이트푸르지오</t>
        </is>
      </c>
      <c r="F219" s="339" t="n">
        <v>2013.05</v>
      </c>
      <c r="G219" s="339" t="n">
        <v>2100</v>
      </c>
      <c r="H219" s="339">
        <f>2026-F219+1</f>
        <v/>
      </c>
      <c r="K219" s="339" t="n">
        <v>163</v>
      </c>
      <c r="M219" s="339" t="inlineStr">
        <is>
          <t>계단식</t>
        </is>
      </c>
      <c r="N219" s="339" t="n">
        <v>4</v>
      </c>
      <c r="O219" s="339" t="n">
        <v>3</v>
      </c>
      <c r="P219" s="339" t="n">
        <v>2</v>
      </c>
      <c r="S219" s="477">
        <f>Q219-R219</f>
        <v/>
      </c>
      <c r="T219" s="71">
        <f>R219/Q219</f>
        <v/>
      </c>
      <c r="AM219" s="357" t="n"/>
    </row>
    <row r="220">
      <c r="A220" s="339" t="inlineStr">
        <is>
          <t>대연동</t>
        </is>
      </c>
      <c r="B220" s="164" t="n"/>
      <c r="C220" s="164" t="n"/>
      <c r="D220" s="339" t="n">
        <v>105323</v>
      </c>
      <c r="E220" s="113" t="inlineStr">
        <is>
          <t>대연힐스테이트푸르지오</t>
        </is>
      </c>
      <c r="F220" s="339" t="n">
        <v>2013.05</v>
      </c>
      <c r="G220" s="339" t="n">
        <v>2100</v>
      </c>
      <c r="H220" s="339">
        <f>2026-F220+1</f>
        <v/>
      </c>
      <c r="K220" s="339" t="n">
        <v>163</v>
      </c>
      <c r="M220" s="339" t="inlineStr">
        <is>
          <t>계단식</t>
        </is>
      </c>
      <c r="N220" s="339" t="n">
        <v>5</v>
      </c>
      <c r="O220" s="339" t="n">
        <v>3</v>
      </c>
      <c r="P220" s="339" t="n">
        <v>1</v>
      </c>
      <c r="S220" s="477">
        <f>Q220-R220</f>
        <v/>
      </c>
      <c r="T220" s="71">
        <f>R220/Q220</f>
        <v/>
      </c>
      <c r="AM220" s="357" t="n"/>
    </row>
    <row r="221">
      <c r="A221" s="132" t="inlineStr">
        <is>
          <t>대연동</t>
        </is>
      </c>
      <c r="B221" s="133" t="n"/>
      <c r="C221" s="133" t="n"/>
      <c r="D221" s="132" t="n">
        <v>4526</v>
      </c>
      <c r="E221" s="154" t="inlineStr">
        <is>
          <t>대우그린1차</t>
        </is>
      </c>
      <c r="F221" s="132" t="n">
        <v>1997.09</v>
      </c>
      <c r="G221" s="132" t="n">
        <v>691</v>
      </c>
      <c r="H221" s="132">
        <f>2026-F221+1</f>
        <v/>
      </c>
      <c r="I221" s="133" t="n"/>
      <c r="J221" s="132" t="n">
        <v>151</v>
      </c>
      <c r="K221" s="132" t="n">
        <v>134</v>
      </c>
      <c r="L221" s="132" t="n">
        <v>46</v>
      </c>
      <c r="M221" s="132" t="inlineStr">
        <is>
          <t>계단식</t>
        </is>
      </c>
      <c r="N221" s="132" t="n">
        <v>4</v>
      </c>
      <c r="O221" s="132" t="n">
        <v>2</v>
      </c>
      <c r="P221" s="132" t="n">
        <v>142</v>
      </c>
      <c r="Q221" s="160" t="n"/>
      <c r="R221" s="160" t="n"/>
      <c r="S221" s="477">
        <f>Q221-R221</f>
        <v/>
      </c>
      <c r="T221" s="71">
        <f>R221/Q221</f>
        <v/>
      </c>
      <c r="U221" s="133" t="n">
        <v>40500</v>
      </c>
      <c r="V221" s="133" t="n">
        <v>33000</v>
      </c>
      <c r="AA221" s="133" t="n"/>
      <c r="AB221" s="133" t="n"/>
      <c r="AC221" s="133" t="n"/>
      <c r="AD221" s="133" t="n"/>
      <c r="AE221" s="133" t="n"/>
      <c r="AF221" s="133" t="n"/>
      <c r="AG221" s="133" t="n"/>
      <c r="AK221" s="133" t="n"/>
      <c r="AL221" s="133" t="n"/>
      <c r="AM221" s="133" t="n"/>
      <c r="AN221" s="133" t="n"/>
      <c r="AV221" s="133" t="n"/>
    </row>
    <row r="222">
      <c r="A222" s="339" t="inlineStr">
        <is>
          <t>대연동</t>
        </is>
      </c>
      <c r="B222" s="164" t="n"/>
      <c r="C222" s="164" t="n"/>
      <c r="D222" s="339" t="n">
        <v>161501</v>
      </c>
      <c r="E222" s="113" t="inlineStr">
        <is>
          <t>더비치푸르지오써밋</t>
        </is>
      </c>
      <c r="F222" s="339" t="n">
        <v>2025.05</v>
      </c>
      <c r="G222" s="339" t="n">
        <v>1384</v>
      </c>
      <c r="H222" s="339">
        <f>2026-F222+1</f>
        <v/>
      </c>
      <c r="K222" s="339" t="n">
        <v>100</v>
      </c>
      <c r="M222" s="339" t="inlineStr">
        <is>
          <t>계단식</t>
        </is>
      </c>
      <c r="N222" s="339" t="n">
        <v>4</v>
      </c>
      <c r="O222" s="339" t="n">
        <v>2</v>
      </c>
      <c r="P222" s="339" t="n">
        <v>116</v>
      </c>
      <c r="S222" s="477">
        <f>Q222-R222</f>
        <v/>
      </c>
      <c r="T222" s="71">
        <f>R222/Q222</f>
        <v/>
      </c>
      <c r="AM222" s="357" t="n"/>
    </row>
    <row r="223">
      <c r="A223" s="339" t="inlineStr">
        <is>
          <t>대연동</t>
        </is>
      </c>
      <c r="B223" s="164" t="n"/>
      <c r="C223" s="164" t="n"/>
      <c r="D223" s="339" t="n">
        <v>161501</v>
      </c>
      <c r="E223" s="113" t="inlineStr">
        <is>
          <t>더비치푸르지오써밋</t>
        </is>
      </c>
      <c r="F223" s="339" t="n">
        <v>2025.05</v>
      </c>
      <c r="G223" s="339" t="n">
        <v>1384</v>
      </c>
      <c r="H223" s="339">
        <f>2026-F223+1</f>
        <v/>
      </c>
      <c r="K223" s="339" t="n">
        <v>114</v>
      </c>
      <c r="M223" s="339" t="inlineStr">
        <is>
          <t>계단식</t>
        </is>
      </c>
      <c r="N223" s="339" t="n">
        <v>4</v>
      </c>
      <c r="O223" s="339" t="n">
        <v>2</v>
      </c>
      <c r="P223" s="339" t="n">
        <v>118</v>
      </c>
      <c r="S223" s="477">
        <f>Q223-R223</f>
        <v/>
      </c>
      <c r="T223" s="71">
        <f>R223/Q223</f>
        <v/>
      </c>
      <c r="AM223" s="357" t="n"/>
    </row>
    <row r="224">
      <c r="A224" s="132" t="inlineStr">
        <is>
          <t>대연동</t>
        </is>
      </c>
      <c r="B224" s="133" t="n"/>
      <c r="C224" s="133" t="n"/>
      <c r="D224" s="132" t="n">
        <v>4530</v>
      </c>
      <c r="E224" s="154" t="inlineStr">
        <is>
          <t>삼성(649)</t>
        </is>
      </c>
      <c r="F224" s="132" t="n">
        <v>1996.1</v>
      </c>
      <c r="G224" s="132" t="n">
        <v>499</v>
      </c>
      <c r="H224" s="132">
        <f>2026-F224+1</f>
        <v/>
      </c>
      <c r="I224" s="133" t="n"/>
      <c r="J224" s="132" t="n">
        <v>158</v>
      </c>
      <c r="K224" s="132" t="n">
        <v>134</v>
      </c>
      <c r="L224" s="132" t="n">
        <v>48</v>
      </c>
      <c r="M224" s="132" t="inlineStr">
        <is>
          <t>계단식</t>
        </is>
      </c>
      <c r="N224" s="132" t="n">
        <v>4</v>
      </c>
      <c r="O224" s="132" t="n">
        <v>2</v>
      </c>
      <c r="P224" s="132" t="n">
        <v>50</v>
      </c>
      <c r="Q224" s="160" t="n"/>
      <c r="R224" s="160" t="n"/>
      <c r="S224" s="477">
        <f>Q224-R224</f>
        <v/>
      </c>
      <c r="T224" s="71">
        <f>R224/Q224</f>
        <v/>
      </c>
      <c r="U224" s="133" t="n">
        <v>54700</v>
      </c>
      <c r="V224" s="133" t="n">
        <v>52000</v>
      </c>
      <c r="AA224" s="133" t="n"/>
      <c r="AB224" s="133" t="n"/>
      <c r="AC224" s="133" t="n"/>
      <c r="AD224" s="133" t="n"/>
      <c r="AE224" s="133" t="n"/>
      <c r="AF224" s="133" t="n"/>
      <c r="AG224" s="133" t="n"/>
      <c r="AK224" s="133" t="n"/>
      <c r="AL224" s="133" t="n"/>
      <c r="AM224" s="133" t="n"/>
      <c r="AN224" s="133" t="n"/>
      <c r="AV224" s="133" t="n"/>
    </row>
    <row r="225">
      <c r="A225" s="339" t="inlineStr">
        <is>
          <t>대연동</t>
        </is>
      </c>
      <c r="D225" s="339" t="n">
        <v>4532</v>
      </c>
      <c r="E225" s="113" t="inlineStr">
        <is>
          <t>삼익그린타운</t>
        </is>
      </c>
      <c r="F225" s="339" t="n">
        <v>2001.02</v>
      </c>
      <c r="G225" s="339" t="n">
        <v>725</v>
      </c>
      <c r="H225" s="339">
        <f>2026-F225+1</f>
        <v/>
      </c>
      <c r="K225" s="339" t="n">
        <v>59</v>
      </c>
      <c r="M225" s="339" t="inlineStr">
        <is>
          <t>계단식</t>
        </is>
      </c>
      <c r="N225" s="339" t="n">
        <v>2</v>
      </c>
      <c r="O225" s="339" t="n">
        <v>1</v>
      </c>
      <c r="P225" s="339" t="n">
        <v>130</v>
      </c>
      <c r="S225" s="477">
        <f>Q225-R225</f>
        <v/>
      </c>
      <c r="T225" s="71">
        <f>R225/Q225</f>
        <v/>
      </c>
      <c r="U225" s="339" t="n">
        <v>23000</v>
      </c>
      <c r="V225" s="339" t="n">
        <v>16600</v>
      </c>
    </row>
    <row r="226">
      <c r="A226" s="339" t="inlineStr">
        <is>
          <t>대연동</t>
        </is>
      </c>
      <c r="D226" s="339" t="n">
        <v>4532</v>
      </c>
      <c r="E226" s="113" t="inlineStr">
        <is>
          <t>삼익그린타운</t>
        </is>
      </c>
      <c r="F226" s="339" t="n">
        <v>2001.02</v>
      </c>
      <c r="G226" s="339" t="n">
        <v>725</v>
      </c>
      <c r="H226" s="339">
        <f>2026-F226+1</f>
        <v/>
      </c>
      <c r="J226" s="339" t="n">
        <v>158</v>
      </c>
      <c r="K226" s="339" t="n">
        <v>134</v>
      </c>
      <c r="L226" s="339" t="n">
        <v>48</v>
      </c>
      <c r="M226" s="339" t="inlineStr">
        <is>
          <t>계단식</t>
        </is>
      </c>
      <c r="N226" s="339" t="n">
        <v>4</v>
      </c>
      <c r="O226" s="339" t="n">
        <v>2</v>
      </c>
      <c r="P226" s="339" t="n">
        <v>96</v>
      </c>
      <c r="S226" s="477">
        <f>Q226-R226</f>
        <v/>
      </c>
      <c r="T226" s="71">
        <f>R226/Q226</f>
        <v/>
      </c>
      <c r="U226" s="339" t="n">
        <v>47500</v>
      </c>
      <c r="V226" s="339" t="n">
        <v>47500</v>
      </c>
    </row>
    <row r="227">
      <c r="A227" s="339" t="inlineStr">
        <is>
          <t>대연동</t>
        </is>
      </c>
      <c r="D227" s="339" t="n">
        <v>4532</v>
      </c>
      <c r="E227" s="113" t="inlineStr">
        <is>
          <t>삼익그린타운</t>
        </is>
      </c>
      <c r="F227" s="339" t="n">
        <v>2001.02</v>
      </c>
      <c r="G227" s="339" t="n">
        <v>725</v>
      </c>
      <c r="H227" s="339">
        <f>2026-F227+1</f>
        <v/>
      </c>
      <c r="J227" s="339" t="n">
        <v>198</v>
      </c>
      <c r="K227" s="339" t="n">
        <v>164</v>
      </c>
      <c r="L227" s="339" t="n">
        <v>60</v>
      </c>
      <c r="M227" s="339" t="inlineStr">
        <is>
          <t>계단식</t>
        </is>
      </c>
      <c r="N227" s="339" t="n">
        <v>5</v>
      </c>
      <c r="O227" s="339" t="n">
        <v>3</v>
      </c>
      <c r="P227" s="339" t="n">
        <v>50</v>
      </c>
      <c r="S227" s="477">
        <f>Q227-R227</f>
        <v/>
      </c>
      <c r="T227" s="71">
        <f>R227/Q227</f>
        <v/>
      </c>
      <c r="U227" s="339" t="n">
        <v>49350</v>
      </c>
      <c r="V227" s="339" t="n">
        <v>39000</v>
      </c>
    </row>
    <row r="228">
      <c r="A228" s="132" t="inlineStr">
        <is>
          <t>대연동</t>
        </is>
      </c>
      <c r="B228" s="88" t="n"/>
      <c r="C228" s="89" t="n"/>
      <c r="D228" s="132" t="n">
        <v>4535</v>
      </c>
      <c r="E228" s="154" t="inlineStr">
        <is>
          <t>신원에버그린</t>
        </is>
      </c>
      <c r="F228" s="132" t="n">
        <v>2000.11</v>
      </c>
      <c r="G228" s="132" t="n">
        <v>352</v>
      </c>
      <c r="H228" s="132">
        <f>2026-F228+1</f>
        <v/>
      </c>
      <c r="I228" s="133" t="n"/>
      <c r="J228" s="132" t="n">
        <v>159</v>
      </c>
      <c r="K228" s="132" t="n">
        <v>134</v>
      </c>
      <c r="L228" s="132" t="n">
        <v>48</v>
      </c>
      <c r="M228" s="132" t="inlineStr">
        <is>
          <t>계단식</t>
        </is>
      </c>
      <c r="N228" s="132" t="n">
        <v>4</v>
      </c>
      <c r="O228" s="132" t="n">
        <v>2</v>
      </c>
      <c r="P228" s="132" t="n">
        <v>58</v>
      </c>
      <c r="Q228" s="160" t="n"/>
      <c r="R228" s="160" t="n"/>
      <c r="S228" s="477">
        <f>Q228-R228</f>
        <v/>
      </c>
      <c r="T228" s="71">
        <f>R228/Q228</f>
        <v/>
      </c>
      <c r="U228" s="133" t="n">
        <v>32500</v>
      </c>
      <c r="V228" s="133" t="n">
        <v>28000</v>
      </c>
      <c r="AA228" s="133" t="n"/>
      <c r="AB228" s="133" t="n"/>
      <c r="AC228" s="133" t="n"/>
      <c r="AD228" s="133" t="n"/>
      <c r="AE228" s="133" t="n"/>
      <c r="AF228" s="133" t="n"/>
      <c r="AG228" s="133" t="n"/>
      <c r="AK228" s="133" t="n"/>
      <c r="AL228" s="133" t="n"/>
      <c r="AM228" s="88" t="n"/>
      <c r="AN228" s="133" t="n"/>
      <c r="AV228" s="133" t="n"/>
    </row>
    <row r="229">
      <c r="A229" s="132" t="inlineStr">
        <is>
          <t>대연동</t>
        </is>
      </c>
      <c r="B229" s="88" t="n"/>
      <c r="C229" s="89" t="n"/>
      <c r="D229" s="132" t="n">
        <v>4535</v>
      </c>
      <c r="E229" s="154" t="inlineStr">
        <is>
          <t>신원에버그린</t>
        </is>
      </c>
      <c r="F229" s="132" t="n">
        <v>2000.11</v>
      </c>
      <c r="G229" s="132" t="n">
        <v>352</v>
      </c>
      <c r="H229" s="132">
        <f>2026-F229+1</f>
        <v/>
      </c>
      <c r="I229" s="133" t="n"/>
      <c r="J229" s="132" t="n">
        <v>196</v>
      </c>
      <c r="K229" s="132" t="n">
        <v>170</v>
      </c>
      <c r="L229" s="132" t="n">
        <v>59</v>
      </c>
      <c r="M229" s="132" t="inlineStr">
        <is>
          <t>계단식</t>
        </is>
      </c>
      <c r="N229" s="132" t="n">
        <v>5</v>
      </c>
      <c r="O229" s="132" t="n">
        <v>3</v>
      </c>
      <c r="P229" s="132" t="n">
        <v>1</v>
      </c>
      <c r="Q229" s="160" t="n"/>
      <c r="R229" s="160" t="n"/>
      <c r="S229" s="477">
        <f>Q229-R229</f>
        <v/>
      </c>
      <c r="T229" s="71">
        <f>R229/Q229</f>
        <v/>
      </c>
      <c r="U229" s="133" t="n"/>
      <c r="V229" s="133" t="n"/>
      <c r="AA229" s="133" t="n"/>
      <c r="AB229" s="133" t="n"/>
      <c r="AC229" s="133" t="n"/>
      <c r="AD229" s="133" t="n"/>
      <c r="AE229" s="133" t="n"/>
      <c r="AF229" s="133" t="n"/>
      <c r="AG229" s="133" t="n"/>
      <c r="AK229" s="133" t="n"/>
      <c r="AL229" s="133" t="n"/>
      <c r="AM229" s="88" t="n"/>
      <c r="AN229" s="133" t="n"/>
      <c r="AV229" s="133" t="n"/>
    </row>
    <row r="230">
      <c r="A230" s="132" t="inlineStr">
        <is>
          <t>대연동</t>
        </is>
      </c>
      <c r="B230" s="88" t="n"/>
      <c r="C230" s="89" t="n"/>
      <c r="D230" s="132" t="n">
        <v>4535</v>
      </c>
      <c r="E230" s="154" t="inlineStr">
        <is>
          <t>신원에버그린</t>
        </is>
      </c>
      <c r="F230" s="132" t="n">
        <v>2000.11</v>
      </c>
      <c r="G230" s="132" t="n">
        <v>352</v>
      </c>
      <c r="H230" s="132">
        <f>2026-F230+1</f>
        <v/>
      </c>
      <c r="I230" s="133" t="n"/>
      <c r="J230" s="132" t="n">
        <v>211</v>
      </c>
      <c r="K230" s="132" t="n">
        <v>183</v>
      </c>
      <c r="L230" s="132" t="n">
        <v>64</v>
      </c>
      <c r="M230" s="132" t="inlineStr">
        <is>
          <t>계단식</t>
        </is>
      </c>
      <c r="N230" s="132" t="n">
        <v>5</v>
      </c>
      <c r="O230" s="132" t="n">
        <v>3</v>
      </c>
      <c r="P230" s="132" t="n">
        <v>18</v>
      </c>
      <c r="Q230" s="160" t="n"/>
      <c r="R230" s="160" t="n"/>
      <c r="S230" s="477">
        <f>Q230-R230</f>
        <v/>
      </c>
      <c r="T230" s="71">
        <f>R230/Q230</f>
        <v/>
      </c>
      <c r="U230" s="133" t="n">
        <v>43000</v>
      </c>
      <c r="V230" s="133" t="n">
        <v>43000</v>
      </c>
      <c r="AA230" s="133" t="n"/>
      <c r="AB230" s="133" t="n"/>
      <c r="AC230" s="133" t="n"/>
      <c r="AD230" s="133" t="n"/>
      <c r="AE230" s="133" t="n"/>
      <c r="AF230" s="133" t="n"/>
      <c r="AG230" s="133" t="n"/>
      <c r="AK230" s="133" t="n"/>
      <c r="AL230" s="133" t="n"/>
      <c r="AM230" s="88" t="n"/>
      <c r="AN230" s="133" t="n"/>
      <c r="AV230" s="133" t="n"/>
    </row>
    <row r="231">
      <c r="A231" s="132" t="inlineStr">
        <is>
          <t>문현동</t>
        </is>
      </c>
      <c r="B231" s="133" t="n"/>
      <c r="C231" s="133" t="n"/>
      <c r="D231" s="132" t="n">
        <v>112774</v>
      </c>
      <c r="E231" s="154" t="inlineStr">
        <is>
          <t>국제금융시티문현베스티움</t>
        </is>
      </c>
      <c r="F231" s="132" t="n">
        <v>2019.04</v>
      </c>
      <c r="G231" s="132" t="n">
        <v>743</v>
      </c>
      <c r="H231" s="132">
        <f>2026-F231+1</f>
        <v/>
      </c>
      <c r="I231" s="133" t="n"/>
      <c r="J231" s="133" t="n"/>
      <c r="K231" s="132" t="n">
        <v>33</v>
      </c>
      <c r="L231" s="133" t="n"/>
      <c r="M231" s="132" t="inlineStr">
        <is>
          <t>계단식</t>
        </is>
      </c>
      <c r="N231" s="132" t="n">
        <v>1</v>
      </c>
      <c r="O231" s="132" t="n">
        <v>1</v>
      </c>
      <c r="P231" s="132" t="n">
        <v>76</v>
      </c>
      <c r="Q231" s="160" t="n"/>
      <c r="R231" s="160" t="n"/>
      <c r="S231" s="477">
        <f>Q231-R231</f>
        <v/>
      </c>
      <c r="T231" s="71">
        <f>R231/Q231</f>
        <v/>
      </c>
      <c r="U231" s="133" t="n">
        <v>23000</v>
      </c>
      <c r="V231" s="133" t="n">
        <v>20600</v>
      </c>
      <c r="AA231" s="133" t="n"/>
      <c r="AB231" s="133" t="n"/>
      <c r="AC231" s="133" t="n"/>
      <c r="AD231" s="133" t="n"/>
      <c r="AE231" s="133" t="n"/>
      <c r="AF231" s="133" t="n"/>
      <c r="AG231" s="133" t="n"/>
      <c r="AK231" s="133" t="n"/>
      <c r="AL231" s="133" t="n"/>
      <c r="AM231" s="133" t="n"/>
      <c r="AN231" s="133" t="n"/>
      <c r="AV231" s="133" t="n"/>
    </row>
    <row r="232">
      <c r="A232" s="339" t="inlineStr">
        <is>
          <t>문현동</t>
        </is>
      </c>
      <c r="B232" s="164" t="n"/>
      <c r="C232" s="164" t="n"/>
      <c r="D232" s="339" t="n">
        <v>4579</v>
      </c>
      <c r="E232" s="113" t="inlineStr">
        <is>
          <t>대림문현시티프라자(주상복합)</t>
        </is>
      </c>
      <c r="F232" s="339" t="n">
        <v>1999.07</v>
      </c>
      <c r="G232" s="339" t="n">
        <v>521</v>
      </c>
      <c r="H232" s="339">
        <f>2026-F232+1</f>
        <v/>
      </c>
      <c r="K232" s="339" t="n">
        <v>42</v>
      </c>
      <c r="M232" s="339" t="inlineStr">
        <is>
          <t>계단식</t>
        </is>
      </c>
      <c r="N232" s="339" t="n">
        <v>2</v>
      </c>
      <c r="O232" s="339" t="n">
        <v>1</v>
      </c>
      <c r="P232" s="339" t="n">
        <v>29</v>
      </c>
      <c r="S232" s="477">
        <f>Q232-R232</f>
        <v/>
      </c>
      <c r="T232" s="71">
        <f>R232/Q232</f>
        <v/>
      </c>
      <c r="U232" s="339" t="n">
        <v>15000</v>
      </c>
      <c r="V232" s="339" t="n">
        <v>13000</v>
      </c>
      <c r="AM232" s="357" t="n"/>
    </row>
    <row r="233">
      <c r="A233" s="339" t="inlineStr">
        <is>
          <t>문현동</t>
        </is>
      </c>
      <c r="B233" s="164" t="n"/>
      <c r="C233" s="164" t="n"/>
      <c r="D233" s="339" t="n">
        <v>4579</v>
      </c>
      <c r="E233" s="113" t="inlineStr">
        <is>
          <t>대림문현시티프라자(주상복합)</t>
        </is>
      </c>
      <c r="F233" s="339" t="n">
        <v>1999.07</v>
      </c>
      <c r="G233" s="339" t="n">
        <v>521</v>
      </c>
      <c r="H233" s="339">
        <f>2026-F233+1</f>
        <v/>
      </c>
      <c r="K233" s="339" t="n">
        <v>42</v>
      </c>
      <c r="M233" s="339" t="inlineStr">
        <is>
          <t>복도식</t>
        </is>
      </c>
      <c r="N233" s="339" t="n">
        <v>2</v>
      </c>
      <c r="O233" s="339" t="n">
        <v>1</v>
      </c>
      <c r="P233" s="339" t="n">
        <v>29</v>
      </c>
      <c r="S233" s="477">
        <f>Q233-R233</f>
        <v/>
      </c>
      <c r="T233" s="71">
        <f>R233/Q233</f>
        <v/>
      </c>
      <c r="U233" s="339" t="n">
        <v>15000</v>
      </c>
      <c r="V233" s="339" t="n">
        <v>13000</v>
      </c>
      <c r="AM233" s="357" t="n"/>
    </row>
    <row r="234">
      <c r="A234" s="339" t="inlineStr">
        <is>
          <t>문현동</t>
        </is>
      </c>
      <c r="D234" s="339" t="n">
        <v>4579</v>
      </c>
      <c r="E234" s="113" t="inlineStr">
        <is>
          <t>대림문현시티프라자(주상복합)</t>
        </is>
      </c>
      <c r="F234" s="339" t="n">
        <v>1999.07</v>
      </c>
      <c r="G234" s="339" t="n">
        <v>521</v>
      </c>
      <c r="H234" s="339">
        <f>2026-F234+1</f>
        <v/>
      </c>
      <c r="J234" s="339" t="n">
        <v>66</v>
      </c>
      <c r="K234" s="339" t="n">
        <v>50</v>
      </c>
      <c r="L234" s="339" t="n">
        <v>20</v>
      </c>
      <c r="M234" s="339" t="inlineStr">
        <is>
          <t>복도식</t>
        </is>
      </c>
      <c r="N234" s="339" t="n">
        <v>3</v>
      </c>
      <c r="O234" s="339" t="n">
        <v>1</v>
      </c>
      <c r="P234" s="339" t="n">
        <v>104</v>
      </c>
      <c r="S234" s="477">
        <f>Q234-R234</f>
        <v/>
      </c>
      <c r="T234" s="71">
        <f>R234/Q234</f>
        <v/>
      </c>
      <c r="U234" s="339" t="n">
        <v>21700</v>
      </c>
      <c r="V234" s="339" t="n">
        <v>18000</v>
      </c>
    </row>
    <row r="235">
      <c r="A235" s="339" t="inlineStr">
        <is>
          <t>문현동</t>
        </is>
      </c>
      <c r="D235" s="339" t="n">
        <v>4579</v>
      </c>
      <c r="E235" s="113" t="inlineStr">
        <is>
          <t>대림문현시티프라자(주상복합)</t>
        </is>
      </c>
      <c r="F235" s="339" t="n">
        <v>1999.07</v>
      </c>
      <c r="G235" s="339" t="n">
        <v>521</v>
      </c>
      <c r="H235" s="339">
        <f>2026-F235+1</f>
        <v/>
      </c>
      <c r="K235" s="339" t="n">
        <v>59</v>
      </c>
      <c r="M235" s="339" t="inlineStr">
        <is>
          <t>계단식</t>
        </is>
      </c>
      <c r="N235" s="339" t="n">
        <v>3</v>
      </c>
      <c r="O235" s="339" t="n">
        <v>1</v>
      </c>
      <c r="P235" s="339" t="n">
        <v>54</v>
      </c>
      <c r="S235" s="477">
        <f>Q235-R235</f>
        <v/>
      </c>
      <c r="T235" s="71">
        <f>R235/Q235</f>
        <v/>
      </c>
      <c r="U235" s="339" t="n">
        <v>25000</v>
      </c>
      <c r="V235" s="339" t="n">
        <v>23000</v>
      </c>
    </row>
    <row r="236">
      <c r="A236" s="339" t="inlineStr">
        <is>
          <t>문현동</t>
        </is>
      </c>
      <c r="D236" s="339" t="n">
        <v>4579</v>
      </c>
      <c r="E236" s="113" t="inlineStr">
        <is>
          <t>대림문현시티프라자(주상복합)</t>
        </is>
      </c>
      <c r="F236" s="339" t="n">
        <v>1999.07</v>
      </c>
      <c r="G236" s="339" t="n">
        <v>521</v>
      </c>
      <c r="H236" s="339">
        <f>2026-F236+1</f>
        <v/>
      </c>
      <c r="J236" s="339" t="n">
        <v>99</v>
      </c>
      <c r="K236" s="339" t="n">
        <v>75</v>
      </c>
      <c r="L236" s="339" t="n">
        <v>30</v>
      </c>
      <c r="M236" s="339" t="inlineStr">
        <is>
          <t>복도식</t>
        </is>
      </c>
      <c r="N236" s="339" t="n">
        <v>3</v>
      </c>
      <c r="O236" s="339" t="n">
        <v>2</v>
      </c>
      <c r="P236" s="339" t="n">
        <v>3</v>
      </c>
      <c r="S236" s="477">
        <f>Q236-R236</f>
        <v/>
      </c>
      <c r="T236" s="71">
        <f>R236/Q236</f>
        <v/>
      </c>
      <c r="U236" s="339" t="n">
        <v>27200</v>
      </c>
    </row>
    <row r="237">
      <c r="A237" s="339" t="inlineStr">
        <is>
          <t>문현동</t>
        </is>
      </c>
      <c r="D237" s="339" t="n">
        <v>4579</v>
      </c>
      <c r="E237" s="113" t="inlineStr">
        <is>
          <t>대림문현시티프라자(주상복합)</t>
        </is>
      </c>
      <c r="F237" s="339" t="n">
        <v>1999.07</v>
      </c>
      <c r="G237" s="339" t="n">
        <v>521</v>
      </c>
      <c r="H237" s="339">
        <f>2026-F237+1</f>
        <v/>
      </c>
      <c r="K237" s="339" t="n">
        <v>84</v>
      </c>
      <c r="M237" s="339" t="inlineStr">
        <is>
          <t>계단식</t>
        </is>
      </c>
      <c r="N237" s="339" t="n">
        <v>3</v>
      </c>
      <c r="O237" s="339" t="n">
        <v>2</v>
      </c>
      <c r="P237" s="339" t="n">
        <v>29</v>
      </c>
      <c r="S237" s="477">
        <f>Q237-R237</f>
        <v/>
      </c>
      <c r="T237" s="71">
        <f>R237/Q237</f>
        <v/>
      </c>
      <c r="U237" s="339" t="n">
        <v>36500</v>
      </c>
      <c r="V237" s="339" t="n">
        <v>30000</v>
      </c>
    </row>
    <row r="238">
      <c r="A238" s="339" t="inlineStr">
        <is>
          <t>문현동</t>
        </is>
      </c>
      <c r="D238" s="339" t="n">
        <v>4579</v>
      </c>
      <c r="E238" s="113" t="inlineStr">
        <is>
          <t>대림문현시티프라자(주상복합)</t>
        </is>
      </c>
      <c r="F238" s="339" t="n">
        <v>1999.07</v>
      </c>
      <c r="G238" s="339" t="n">
        <v>521</v>
      </c>
      <c r="H238" s="339">
        <f>2026-F238+1</f>
        <v/>
      </c>
      <c r="J238" s="339" t="n">
        <v>121</v>
      </c>
      <c r="K238" s="339" t="n">
        <v>92</v>
      </c>
      <c r="L238" s="339" t="n">
        <v>37</v>
      </c>
      <c r="M238" s="339" t="inlineStr">
        <is>
          <t>복도식</t>
        </is>
      </c>
      <c r="N238" s="339" t="n">
        <v>3</v>
      </c>
      <c r="O238" s="339" t="n">
        <v>2</v>
      </c>
      <c r="P238" s="339" t="n">
        <v>3</v>
      </c>
      <c r="S238" s="477">
        <f>Q238-R238</f>
        <v/>
      </c>
      <c r="T238" s="71">
        <f>R238/Q238</f>
        <v/>
      </c>
    </row>
    <row r="239">
      <c r="A239" s="339" t="inlineStr">
        <is>
          <t>문현동</t>
        </is>
      </c>
      <c r="D239" s="339" t="n">
        <v>4579</v>
      </c>
      <c r="E239" s="113" t="inlineStr">
        <is>
          <t>대림문현시티프라자(주상복합)</t>
        </is>
      </c>
      <c r="F239" s="339" t="n">
        <v>1999.07</v>
      </c>
      <c r="G239" s="339" t="n">
        <v>521</v>
      </c>
      <c r="H239" s="339">
        <f>2026-F239+1</f>
        <v/>
      </c>
      <c r="J239" s="339" t="n">
        <v>140</v>
      </c>
      <c r="K239" s="339" t="n">
        <v>106</v>
      </c>
      <c r="L239" s="339" t="n">
        <v>42</v>
      </c>
      <c r="M239" s="339" t="inlineStr">
        <is>
          <t>복도식</t>
        </is>
      </c>
      <c r="N239" s="339" t="n">
        <v>4</v>
      </c>
      <c r="O239" s="339" t="n">
        <v>2</v>
      </c>
      <c r="P239" s="339" t="n">
        <v>45</v>
      </c>
      <c r="S239" s="477">
        <f>Q239-R239</f>
        <v/>
      </c>
      <c r="T239" s="71">
        <f>R239/Q239</f>
        <v/>
      </c>
      <c r="U239" s="339" t="n">
        <v>45000</v>
      </c>
    </row>
    <row r="240">
      <c r="A240" s="339" t="inlineStr">
        <is>
          <t>문현동</t>
        </is>
      </c>
      <c r="D240" s="339" t="n">
        <v>4579</v>
      </c>
      <c r="E240" s="113" t="inlineStr">
        <is>
          <t>대림문현시티프라자(주상복합)</t>
        </is>
      </c>
      <c r="F240" s="339" t="n">
        <v>1999.07</v>
      </c>
      <c r="G240" s="339" t="n">
        <v>521</v>
      </c>
      <c r="H240" s="339">
        <f>2026-F240+1</f>
        <v/>
      </c>
      <c r="J240" s="339" t="n">
        <v>170</v>
      </c>
      <c r="K240" s="339" t="n">
        <v>130</v>
      </c>
      <c r="L240" s="339" t="n">
        <v>51</v>
      </c>
      <c r="M240" s="339" t="inlineStr">
        <is>
          <t>복도식</t>
        </is>
      </c>
      <c r="N240" s="339" t="n">
        <v>4</v>
      </c>
      <c r="O240" s="339" t="n">
        <v>2</v>
      </c>
      <c r="P240" s="339" t="n">
        <v>26</v>
      </c>
      <c r="S240" s="477">
        <f>Q240-R240</f>
        <v/>
      </c>
      <c r="T240" s="71">
        <f>R240/Q240</f>
        <v/>
      </c>
      <c r="U240" s="339" t="n">
        <v>38000</v>
      </c>
      <c r="V240" s="339" t="n">
        <v>43250</v>
      </c>
    </row>
    <row r="241">
      <c r="A241" s="339" t="inlineStr">
        <is>
          <t>문현동</t>
        </is>
      </c>
      <c r="D241" s="339" t="n">
        <v>4579</v>
      </c>
      <c r="E241" s="113" t="inlineStr">
        <is>
          <t>대림문현시티프라자(주상복합)</t>
        </is>
      </c>
      <c r="F241" s="339" t="n">
        <v>1999.07</v>
      </c>
      <c r="G241" s="339" t="n">
        <v>521</v>
      </c>
      <c r="H241" s="339">
        <f>2026-F241+1</f>
        <v/>
      </c>
      <c r="J241" s="339" t="n">
        <v>175</v>
      </c>
      <c r="K241" s="339" t="n">
        <v>133</v>
      </c>
      <c r="L241" s="339" t="n">
        <v>53</v>
      </c>
      <c r="M241" s="339" t="inlineStr">
        <is>
          <t>복도식</t>
        </is>
      </c>
      <c r="N241" s="339" t="n">
        <v>4</v>
      </c>
      <c r="O241" s="339" t="n">
        <v>2</v>
      </c>
      <c r="P241" s="339" t="n">
        <v>26</v>
      </c>
      <c r="S241" s="477">
        <f>Q241-R241</f>
        <v/>
      </c>
      <c r="T241" s="71">
        <f>R241/Q241</f>
        <v/>
      </c>
      <c r="U241" s="339" t="n">
        <v>43000</v>
      </c>
      <c r="V241" s="339" t="n">
        <v>43000</v>
      </c>
    </row>
    <row r="242">
      <c r="A242" s="132" t="inlineStr">
        <is>
          <t>문현동</t>
        </is>
      </c>
      <c r="B242" s="88" t="n"/>
      <c r="C242" s="89" t="n"/>
      <c r="D242" s="132" t="n">
        <v>4577</v>
      </c>
      <c r="E242" s="154" t="inlineStr">
        <is>
          <t>문현삼성</t>
        </is>
      </c>
      <c r="F242" s="132" t="n">
        <v>2001.05</v>
      </c>
      <c r="G242" s="132" t="n">
        <v>916</v>
      </c>
      <c r="H242" s="132">
        <f>2026-F242+1</f>
        <v/>
      </c>
      <c r="I242" s="133" t="n"/>
      <c r="J242" s="132" t="n">
        <v>139</v>
      </c>
      <c r="K242" s="132" t="n">
        <v>114</v>
      </c>
      <c r="L242" s="132" t="n">
        <v>42</v>
      </c>
      <c r="M242" s="132" t="inlineStr">
        <is>
          <t>계단식</t>
        </is>
      </c>
      <c r="N242" s="132" t="n">
        <v>4</v>
      </c>
      <c r="O242" s="132" t="n">
        <v>2</v>
      </c>
      <c r="P242" s="132" t="n">
        <v>50</v>
      </c>
      <c r="Q242" s="160" t="n"/>
      <c r="R242" s="160" t="n"/>
      <c r="S242" s="477">
        <f>Q242-R242</f>
        <v/>
      </c>
      <c r="T242" s="71">
        <f>R242/Q242</f>
        <v/>
      </c>
      <c r="U242" s="133" t="n">
        <v>62500</v>
      </c>
      <c r="V242" s="133" t="n">
        <v>57000</v>
      </c>
      <c r="AA242" s="133" t="n"/>
      <c r="AB242" s="133" t="n"/>
      <c r="AC242" s="133" t="n"/>
      <c r="AD242" s="133" t="n"/>
      <c r="AE242" s="133" t="n"/>
      <c r="AF242" s="133" t="n"/>
      <c r="AG242" s="133" t="n"/>
      <c r="AK242" s="133" t="n"/>
      <c r="AL242" s="133" t="n"/>
      <c r="AM242" s="88" t="n"/>
      <c r="AN242" s="133" t="n"/>
      <c r="AV242" s="133" t="n"/>
    </row>
    <row r="243">
      <c r="A243" s="132" t="inlineStr">
        <is>
          <t>문현동</t>
        </is>
      </c>
      <c r="B243" s="88" t="n"/>
      <c r="C243" s="89" t="n"/>
      <c r="D243" s="132" t="n">
        <v>4577</v>
      </c>
      <c r="E243" s="154" t="inlineStr">
        <is>
          <t>문현삼성</t>
        </is>
      </c>
      <c r="F243" s="132" t="n">
        <v>2001.05</v>
      </c>
      <c r="G243" s="132" t="n">
        <v>916</v>
      </c>
      <c r="H243" s="132">
        <f>2026-F243+1</f>
        <v/>
      </c>
      <c r="I243" s="133" t="n"/>
      <c r="J243" s="132" t="n">
        <v>184</v>
      </c>
      <c r="K243" s="132" t="n">
        <v>149</v>
      </c>
      <c r="L243" s="132" t="n">
        <v>56</v>
      </c>
      <c r="M243" s="132" t="inlineStr">
        <is>
          <t>계단식</t>
        </is>
      </c>
      <c r="N243" s="132" t="n">
        <v>4</v>
      </c>
      <c r="O243" s="132" t="n">
        <v>2</v>
      </c>
      <c r="P243" s="132" t="n">
        <v>188</v>
      </c>
      <c r="Q243" s="160" t="n"/>
      <c r="R243" s="160" t="n"/>
      <c r="S243" s="477">
        <f>Q243-R243</f>
        <v/>
      </c>
      <c r="T243" s="71">
        <f>R243/Q243</f>
        <v/>
      </c>
      <c r="U243" s="133" t="n">
        <v>69000</v>
      </c>
      <c r="V243" s="133" t="n">
        <v>59000</v>
      </c>
      <c r="AA243" s="133" t="n"/>
      <c r="AB243" s="133" t="n"/>
      <c r="AC243" s="133" t="n"/>
      <c r="AD243" s="133" t="n"/>
      <c r="AE243" s="133" t="n"/>
      <c r="AF243" s="133" t="n"/>
      <c r="AG243" s="133" t="n"/>
      <c r="AK243" s="133" t="n"/>
      <c r="AL243" s="133" t="n"/>
      <c r="AM243" s="88" t="n"/>
      <c r="AN243" s="133" t="n"/>
      <c r="AV243" s="133" t="n"/>
    </row>
    <row r="244">
      <c r="A244" s="132" t="inlineStr">
        <is>
          <t>문현동</t>
        </is>
      </c>
      <c r="B244" s="88" t="n"/>
      <c r="C244" s="89" t="n"/>
      <c r="D244" s="132" t="n">
        <v>4577</v>
      </c>
      <c r="E244" s="154" t="inlineStr">
        <is>
          <t>문현삼성</t>
        </is>
      </c>
      <c r="F244" s="132" t="n">
        <v>2001.05</v>
      </c>
      <c r="G244" s="132" t="n">
        <v>916</v>
      </c>
      <c r="H244" s="132">
        <f>2026-F244+1</f>
        <v/>
      </c>
      <c r="I244" s="133" t="n"/>
      <c r="J244" s="132" t="n">
        <v>231</v>
      </c>
      <c r="K244" s="132" t="n">
        <v>197</v>
      </c>
      <c r="L244" s="132" t="n">
        <v>70</v>
      </c>
      <c r="M244" s="132" t="inlineStr">
        <is>
          <t>계단식</t>
        </is>
      </c>
      <c r="N244" s="132" t="n">
        <v>4</v>
      </c>
      <c r="O244" s="132" t="n">
        <v>2</v>
      </c>
      <c r="P244" s="132" t="n">
        <v>50</v>
      </c>
      <c r="Q244" s="160" t="n"/>
      <c r="R244" s="160" t="n"/>
      <c r="S244" s="477">
        <f>Q244-R244</f>
        <v/>
      </c>
      <c r="T244" s="71">
        <f>R244/Q244</f>
        <v/>
      </c>
      <c r="U244" s="133" t="n">
        <v>80000</v>
      </c>
      <c r="V244" s="133" t="n"/>
      <c r="AA244" s="133" t="n"/>
      <c r="AB244" s="133" t="n"/>
      <c r="AC244" s="133" t="n"/>
      <c r="AD244" s="133" t="n"/>
      <c r="AE244" s="133" t="n"/>
      <c r="AF244" s="133" t="n"/>
      <c r="AG244" s="133" t="n"/>
      <c r="AK244" s="133" t="n"/>
      <c r="AL244" s="133" t="n"/>
      <c r="AM244" s="88" t="n"/>
      <c r="AN244" s="133" t="n"/>
      <c r="AV244" s="133" t="n"/>
    </row>
    <row r="245">
      <c r="A245" s="339" t="inlineStr">
        <is>
          <t>문현동</t>
        </is>
      </c>
      <c r="B245" s="164" t="n"/>
      <c r="C245" s="164" t="n"/>
      <c r="D245" s="339" t="n">
        <v>9996</v>
      </c>
      <c r="E245" s="113" t="inlineStr">
        <is>
          <t>문현삼성힐타워(주상복합)</t>
        </is>
      </c>
      <c r="F245" s="339" t="n">
        <v>2002.07</v>
      </c>
      <c r="G245" s="339" t="n">
        <v>431</v>
      </c>
      <c r="H245" s="339">
        <f>2026-F245+1</f>
        <v/>
      </c>
      <c r="J245" s="339" t="n">
        <v>116</v>
      </c>
      <c r="K245" s="339" t="n">
        <v>93</v>
      </c>
      <c r="L245" s="339" t="n">
        <v>35</v>
      </c>
      <c r="M245" s="339" t="inlineStr">
        <is>
          <t>계단식</t>
        </is>
      </c>
      <c r="N245" s="339" t="n">
        <v>3</v>
      </c>
      <c r="O245" s="339" t="n">
        <v>2</v>
      </c>
      <c r="P245" s="339" t="n">
        <v>170</v>
      </c>
      <c r="S245" s="477">
        <f>Q245-R245</f>
        <v/>
      </c>
      <c r="T245" s="71">
        <f>R245/Q245</f>
        <v/>
      </c>
      <c r="U245" s="339" t="n">
        <v>56000</v>
      </c>
      <c r="V245" s="339" t="n">
        <v>38500</v>
      </c>
      <c r="AM245" s="357" t="n"/>
    </row>
    <row r="246">
      <c r="A246" s="339" t="inlineStr">
        <is>
          <t>문현동</t>
        </is>
      </c>
      <c r="B246" s="164" t="n"/>
      <c r="C246" s="164" t="n"/>
      <c r="D246" s="339" t="n">
        <v>9996</v>
      </c>
      <c r="E246" s="113" t="inlineStr">
        <is>
          <t>문현삼성힐타워(주상복합)</t>
        </is>
      </c>
      <c r="F246" s="339" t="n">
        <v>2002.07</v>
      </c>
      <c r="G246" s="339" t="n">
        <v>431</v>
      </c>
      <c r="H246" s="339">
        <f>2026-F246+1</f>
        <v/>
      </c>
      <c r="J246" s="339" t="n">
        <v>139</v>
      </c>
      <c r="K246" s="339" t="n">
        <v>111</v>
      </c>
      <c r="L246" s="339" t="n">
        <v>42</v>
      </c>
      <c r="M246" s="339" t="inlineStr">
        <is>
          <t>계단식</t>
        </is>
      </c>
      <c r="N246" s="339" t="n">
        <v>3</v>
      </c>
      <c r="O246" s="339" t="n">
        <v>2</v>
      </c>
      <c r="P246" s="339" t="n">
        <v>87</v>
      </c>
      <c r="S246" s="477">
        <f>Q246-R246</f>
        <v/>
      </c>
      <c r="T246" s="71">
        <f>R246/Q246</f>
        <v/>
      </c>
      <c r="U246" s="339" t="n">
        <v>62000</v>
      </c>
      <c r="V246" s="339" t="n">
        <v>59000</v>
      </c>
      <c r="AM246" s="357" t="n"/>
    </row>
    <row r="247">
      <c r="A247" s="339" t="inlineStr">
        <is>
          <t>문현동</t>
        </is>
      </c>
      <c r="B247" s="164" t="n"/>
      <c r="C247" s="164" t="n"/>
      <c r="D247" s="339" t="n">
        <v>9996</v>
      </c>
      <c r="E247" s="113" t="inlineStr">
        <is>
          <t>문현삼성힐타워(주상복합)</t>
        </is>
      </c>
      <c r="F247" s="339" t="n">
        <v>2002.07</v>
      </c>
      <c r="G247" s="339" t="n">
        <v>431</v>
      </c>
      <c r="H247" s="339">
        <f>2026-F247+1</f>
        <v/>
      </c>
      <c r="K247" s="339" t="n">
        <v>125</v>
      </c>
      <c r="M247" s="339" t="inlineStr">
        <is>
          <t>계단식</t>
        </is>
      </c>
      <c r="N247" s="339" t="n">
        <v>4</v>
      </c>
      <c r="O247" s="339" t="n">
        <v>2</v>
      </c>
      <c r="P247" s="339" t="n">
        <v>174</v>
      </c>
      <c r="S247" s="477">
        <f>Q247-R247</f>
        <v/>
      </c>
      <c r="T247" s="71">
        <f>R247/Q247</f>
        <v/>
      </c>
      <c r="U247" s="339" t="n">
        <v>64000</v>
      </c>
      <c r="V247" s="339" t="n">
        <v>53000</v>
      </c>
      <c r="AM247" s="357" t="n"/>
    </row>
    <row r="248">
      <c r="A248" s="132" t="inlineStr">
        <is>
          <t>문현동</t>
        </is>
      </c>
      <c r="B248" s="133" t="n"/>
      <c r="C248" s="133" t="n"/>
      <c r="D248" s="132" t="n">
        <v>15166</v>
      </c>
      <c r="E248" s="154" t="inlineStr">
        <is>
          <t>문현태영데시앙</t>
        </is>
      </c>
      <c r="F248" s="132" t="n">
        <v>2006.07</v>
      </c>
      <c r="G248" s="132" t="n">
        <v>388</v>
      </c>
      <c r="H248" s="132">
        <f>2026-F248+1</f>
        <v/>
      </c>
      <c r="I248" s="133" t="n"/>
      <c r="J248" s="133" t="n"/>
      <c r="K248" s="132" t="n">
        <v>112</v>
      </c>
      <c r="L248" s="133" t="n"/>
      <c r="M248" s="132" t="inlineStr">
        <is>
          <t>계단식</t>
        </is>
      </c>
      <c r="N248" s="132" t="n">
        <v>3</v>
      </c>
      <c r="O248" s="132" t="n">
        <v>2</v>
      </c>
      <c r="P248" s="132" t="n">
        <v>52</v>
      </c>
      <c r="Q248" s="160" t="n"/>
      <c r="R248" s="160" t="n"/>
      <c r="S248" s="477">
        <f>Q248-R248</f>
        <v/>
      </c>
      <c r="T248" s="71">
        <f>R248/Q248</f>
        <v/>
      </c>
      <c r="U248" s="133" t="n">
        <v>56700</v>
      </c>
      <c r="V248" s="133" t="n">
        <v>56700</v>
      </c>
      <c r="AA248" s="133" t="n"/>
      <c r="AB248" s="133" t="n"/>
      <c r="AC248" s="133" t="n"/>
      <c r="AD248" s="133" t="n"/>
      <c r="AE248" s="133" t="n"/>
      <c r="AF248" s="133" t="n"/>
      <c r="AG248" s="133" t="n"/>
      <c r="AK248" s="133" t="n"/>
      <c r="AL248" s="133" t="n"/>
      <c r="AM248" s="133" t="n"/>
      <c r="AN248" s="133" t="n"/>
      <c r="AV248" s="133" t="n"/>
    </row>
    <row r="249">
      <c r="A249" s="132" t="inlineStr">
        <is>
          <t>문현동</t>
        </is>
      </c>
      <c r="B249" s="133" t="n"/>
      <c r="C249" s="133" t="n"/>
      <c r="D249" s="132" t="n">
        <v>15166</v>
      </c>
      <c r="E249" s="154" t="inlineStr">
        <is>
          <t>문현태영데시앙</t>
        </is>
      </c>
      <c r="F249" s="132" t="n">
        <v>2006.07</v>
      </c>
      <c r="G249" s="132" t="n">
        <v>388</v>
      </c>
      <c r="H249" s="132">
        <f>2026-F249+1</f>
        <v/>
      </c>
      <c r="I249" s="133" t="n"/>
      <c r="J249" s="133" t="n"/>
      <c r="K249" s="132" t="n">
        <v>110</v>
      </c>
      <c r="L249" s="133" t="n"/>
      <c r="M249" s="132" t="inlineStr">
        <is>
          <t>계단식</t>
        </is>
      </c>
      <c r="N249" s="132" t="n">
        <v>3</v>
      </c>
      <c r="O249" s="132" t="n">
        <v>2</v>
      </c>
      <c r="P249" s="132" t="n">
        <v>26</v>
      </c>
      <c r="Q249" s="160" t="n"/>
      <c r="R249" s="160" t="n"/>
      <c r="S249" s="477">
        <f>Q249-R249</f>
        <v/>
      </c>
      <c r="T249" s="71">
        <f>R249/Q249</f>
        <v/>
      </c>
      <c r="U249" s="133" t="n">
        <v>56700</v>
      </c>
      <c r="V249" s="133" t="n">
        <v>56700</v>
      </c>
      <c r="AA249" s="133" t="n"/>
      <c r="AB249" s="133" t="n"/>
      <c r="AC249" s="133" t="n"/>
      <c r="AD249" s="133" t="n"/>
      <c r="AE249" s="133" t="n"/>
      <c r="AF249" s="133" t="n"/>
      <c r="AG249" s="133" t="n"/>
      <c r="AK249" s="133" t="n"/>
      <c r="AL249" s="133" t="n"/>
      <c r="AM249" s="133" t="n"/>
      <c r="AN249" s="133" t="n"/>
      <c r="AV249" s="133" t="n"/>
    </row>
    <row r="250">
      <c r="A250" s="339" t="inlineStr">
        <is>
          <t>문현동</t>
        </is>
      </c>
      <c r="D250" s="339" t="n">
        <v>8861</v>
      </c>
      <c r="E250" s="113" t="inlineStr">
        <is>
          <t>문현현대2차</t>
        </is>
      </c>
      <c r="F250" s="339" t="n">
        <v>2000.06</v>
      </c>
      <c r="G250" s="339" t="n">
        <v>420</v>
      </c>
      <c r="H250" s="339">
        <f>2026-F250+1</f>
        <v/>
      </c>
      <c r="J250" s="339" t="n">
        <v>106</v>
      </c>
      <c r="K250" s="339" t="n">
        <v>84</v>
      </c>
      <c r="L250" s="339" t="n">
        <v>32</v>
      </c>
      <c r="M250" s="339" t="inlineStr">
        <is>
          <t>계단식</t>
        </is>
      </c>
      <c r="N250" s="339" t="n">
        <v>3</v>
      </c>
      <c r="O250" s="339" t="n">
        <v>2</v>
      </c>
      <c r="P250" s="339" t="n">
        <v>210</v>
      </c>
      <c r="S250" s="477">
        <f>Q250-R250</f>
        <v/>
      </c>
      <c r="T250" s="71">
        <f>R250/Q250</f>
        <v/>
      </c>
      <c r="U250" s="339" t="n">
        <v>35000</v>
      </c>
      <c r="V250" s="339" t="n">
        <v>25000</v>
      </c>
    </row>
    <row r="251">
      <c r="A251" s="132" t="inlineStr">
        <is>
          <t>문현동</t>
        </is>
      </c>
      <c r="B251" s="88" t="n"/>
      <c r="C251" s="89" t="n"/>
      <c r="D251" s="132" t="n">
        <v>4592</v>
      </c>
      <c r="E251" s="154" t="inlineStr">
        <is>
          <t>현대</t>
        </is>
      </c>
      <c r="F251" s="132" t="n">
        <v>1998.06</v>
      </c>
      <c r="G251" s="132" t="n">
        <v>693</v>
      </c>
      <c r="H251" s="132">
        <f>2026-F251+1</f>
        <v/>
      </c>
      <c r="I251" s="133" t="n"/>
      <c r="J251" s="132" t="n">
        <v>136</v>
      </c>
      <c r="K251" s="132" t="n">
        <v>115</v>
      </c>
      <c r="L251" s="132" t="n">
        <v>41</v>
      </c>
      <c r="M251" s="132" t="inlineStr">
        <is>
          <t>계단식</t>
        </is>
      </c>
      <c r="N251" s="132" t="n">
        <v>4</v>
      </c>
      <c r="O251" s="132" t="n">
        <v>2</v>
      </c>
      <c r="P251" s="132" t="n">
        <v>90</v>
      </c>
      <c r="Q251" s="160" t="n"/>
      <c r="R251" s="160" t="n"/>
      <c r="S251" s="477">
        <f>Q251-R251</f>
        <v/>
      </c>
      <c r="T251" s="71">
        <f>R251/Q251</f>
        <v/>
      </c>
      <c r="U251" s="133" t="n">
        <v>46000</v>
      </c>
      <c r="V251" s="133" t="n">
        <v>40000</v>
      </c>
      <c r="AA251" s="133" t="n"/>
      <c r="AB251" s="133" t="n"/>
      <c r="AC251" s="133" t="n"/>
      <c r="AD251" s="133" t="n"/>
      <c r="AE251" s="133" t="n"/>
      <c r="AF251" s="133" t="n"/>
      <c r="AG251" s="133" t="n"/>
      <c r="AK251" s="133" t="n"/>
      <c r="AL251" s="133" t="n"/>
      <c r="AM251" s="88" t="n"/>
      <c r="AN251" s="133" t="n"/>
      <c r="AV251" s="133" t="n"/>
    </row>
    <row r="252">
      <c r="A252" s="339" t="inlineStr">
        <is>
          <t>용당동</t>
        </is>
      </c>
      <c r="D252" s="339" t="n">
        <v>22395</v>
      </c>
      <c r="E252" s="113" t="inlineStr">
        <is>
          <t>신대연코오롱하늘채</t>
        </is>
      </c>
      <c r="F252" s="339" t="n">
        <v>2007.03</v>
      </c>
      <c r="G252" s="339" t="n">
        <v>712</v>
      </c>
      <c r="H252" s="339">
        <f>2026-F252+1</f>
        <v/>
      </c>
      <c r="J252" s="339" t="n">
        <v>154</v>
      </c>
      <c r="K252" s="339" t="n">
        <v>126</v>
      </c>
      <c r="L252" s="339" t="n">
        <v>47</v>
      </c>
      <c r="M252" s="339" t="inlineStr">
        <is>
          <t>계단식</t>
        </is>
      </c>
      <c r="N252" s="339" t="n">
        <v>4</v>
      </c>
      <c r="O252" s="339" t="n">
        <v>2</v>
      </c>
      <c r="P252" s="339" t="n">
        <v>104</v>
      </c>
      <c r="S252" s="477">
        <f>Q252-R252</f>
        <v/>
      </c>
      <c r="T252" s="71">
        <f>R252/Q252</f>
        <v/>
      </c>
      <c r="U252" s="339" t="n">
        <v>54000</v>
      </c>
    </row>
    <row r="253">
      <c r="A253" s="339" t="inlineStr">
        <is>
          <t>용당동</t>
        </is>
      </c>
      <c r="D253" s="339" t="n">
        <v>22395</v>
      </c>
      <c r="E253" s="150" t="inlineStr">
        <is>
          <t>신대연코오롱하늘채</t>
        </is>
      </c>
      <c r="F253" s="339" t="n">
        <v>2007.03</v>
      </c>
      <c r="G253" s="339" t="n">
        <v>712</v>
      </c>
      <c r="H253" s="339">
        <f>2026-F253+1</f>
        <v/>
      </c>
      <c r="J253" s="339" t="n">
        <v>186</v>
      </c>
      <c r="K253" s="339" t="n">
        <v>153</v>
      </c>
      <c r="L253" s="339" t="n">
        <v>56</v>
      </c>
      <c r="M253" s="339" t="inlineStr">
        <is>
          <t>계단식</t>
        </is>
      </c>
      <c r="N253" s="339" t="n">
        <v>4</v>
      </c>
      <c r="O253" s="339" t="n">
        <v>2</v>
      </c>
      <c r="P253" s="339" t="n">
        <v>22</v>
      </c>
      <c r="S253" s="477">
        <f>Q253-R253</f>
        <v/>
      </c>
      <c r="T253" s="71">
        <f>R253/Q253</f>
        <v/>
      </c>
      <c r="U253" s="339" t="n">
        <v>49000</v>
      </c>
    </row>
    <row r="254">
      <c r="A254" s="132" t="inlineStr">
        <is>
          <t>용당동</t>
        </is>
      </c>
      <c r="B254" s="88" t="n"/>
      <c r="C254" s="89" t="n"/>
      <c r="D254" s="132" t="n">
        <v>11549</v>
      </c>
      <c r="E254" s="135" t="inlineStr">
        <is>
          <t>용당한신문화타운</t>
        </is>
      </c>
      <c r="F254" s="132" t="n">
        <v>1990.1</v>
      </c>
      <c r="G254" s="132" t="n">
        <v>330</v>
      </c>
      <c r="H254" s="132">
        <f>2026-F254+1</f>
        <v/>
      </c>
      <c r="I254" s="133" t="n"/>
      <c r="J254" s="132" t="n">
        <v>144</v>
      </c>
      <c r="K254" s="132" t="n">
        <v>123</v>
      </c>
      <c r="L254" s="132" t="n">
        <v>44</v>
      </c>
      <c r="M254" s="132" t="inlineStr">
        <is>
          <t>계단식</t>
        </is>
      </c>
      <c r="N254" s="132" t="n">
        <v>4</v>
      </c>
      <c r="O254" s="132" t="n">
        <v>2</v>
      </c>
      <c r="P254" s="132" t="n">
        <v>120</v>
      </c>
      <c r="Q254" s="160" t="n"/>
      <c r="R254" s="160" t="n"/>
      <c r="S254" s="477">
        <f>Q254-R254</f>
        <v/>
      </c>
      <c r="T254" s="71">
        <f>R254/Q254</f>
        <v/>
      </c>
      <c r="U254" s="133" t="n">
        <v>42500</v>
      </c>
      <c r="V254" s="133" t="n">
        <v>40000</v>
      </c>
      <c r="AA254" s="133" t="n"/>
      <c r="AB254" s="133" t="n"/>
      <c r="AC254" s="133" t="n"/>
      <c r="AD254" s="133" t="n"/>
      <c r="AE254" s="133" t="n"/>
      <c r="AF254" s="133" t="n"/>
      <c r="AG254" s="133" t="n"/>
      <c r="AK254" s="133" t="n"/>
      <c r="AL254" s="133" t="n"/>
      <c r="AM254" s="88" t="n"/>
      <c r="AN254" s="133" t="n"/>
      <c r="AV254" s="133" t="n"/>
    </row>
    <row r="255">
      <c r="A255" s="132" t="inlineStr">
        <is>
          <t>용당동</t>
        </is>
      </c>
      <c r="B255" s="88" t="n"/>
      <c r="C255" s="89" t="n"/>
      <c r="D255" s="132" t="n">
        <v>11549</v>
      </c>
      <c r="E255" s="154" t="inlineStr">
        <is>
          <t>용당한신문화타운</t>
        </is>
      </c>
      <c r="F255" s="132" t="n">
        <v>1990.1</v>
      </c>
      <c r="G255" s="132" t="n">
        <v>330</v>
      </c>
      <c r="H255" s="132">
        <f>2026-F255+1</f>
        <v/>
      </c>
      <c r="I255" s="133" t="n"/>
      <c r="J255" s="132" t="n">
        <v>157</v>
      </c>
      <c r="K255" s="132" t="n">
        <v>136</v>
      </c>
      <c r="L255" s="132" t="n">
        <v>47</v>
      </c>
      <c r="M255" s="132" t="inlineStr">
        <is>
          <t>계단식</t>
        </is>
      </c>
      <c r="N255" s="132" t="n">
        <v>4</v>
      </c>
      <c r="O255" s="132" t="n">
        <v>2</v>
      </c>
      <c r="P255" s="132" t="n">
        <v>60</v>
      </c>
      <c r="Q255" s="160" t="n"/>
      <c r="R255" s="160" t="n"/>
      <c r="S255" s="477">
        <f>Q255-R255</f>
        <v/>
      </c>
      <c r="T255" s="71">
        <f>R255/Q255</f>
        <v/>
      </c>
      <c r="U255" s="133" t="n">
        <v>41500</v>
      </c>
      <c r="V255" s="133" t="n">
        <v>41500</v>
      </c>
      <c r="AA255" s="133" t="n"/>
      <c r="AB255" s="133" t="n"/>
      <c r="AC255" s="133" t="n"/>
      <c r="AD255" s="133" t="n"/>
      <c r="AE255" s="133" t="n"/>
      <c r="AF255" s="133" t="n"/>
      <c r="AG255" s="133" t="n"/>
      <c r="AK255" s="133" t="n"/>
      <c r="AL255" s="133" t="n"/>
      <c r="AM255" s="88" t="n"/>
      <c r="AN255" s="133" t="n"/>
      <c r="AV255" s="133" t="n"/>
    </row>
    <row r="256">
      <c r="A256" s="132" t="inlineStr">
        <is>
          <t>용당동</t>
        </is>
      </c>
      <c r="B256" s="88" t="n"/>
      <c r="C256" s="89" t="n"/>
      <c r="D256" s="132" t="n">
        <v>11549</v>
      </c>
      <c r="E256" s="154" t="inlineStr">
        <is>
          <t>용당한신문화타운</t>
        </is>
      </c>
      <c r="F256" s="132" t="n">
        <v>1990.1</v>
      </c>
      <c r="G256" s="132" t="n">
        <v>330</v>
      </c>
      <c r="H256" s="132">
        <f>2026-F256+1</f>
        <v/>
      </c>
      <c r="I256" s="133" t="n"/>
      <c r="J256" s="132" t="n">
        <v>199</v>
      </c>
      <c r="K256" s="132" t="n">
        <v>175</v>
      </c>
      <c r="L256" s="132" t="n">
        <v>60</v>
      </c>
      <c r="M256" s="132" t="inlineStr">
        <is>
          <t>계단식</t>
        </is>
      </c>
      <c r="N256" s="132" t="n">
        <v>5</v>
      </c>
      <c r="O256" s="132" t="n">
        <v>2</v>
      </c>
      <c r="P256" s="132" t="n">
        <v>30</v>
      </c>
      <c r="Q256" s="160" t="n"/>
      <c r="R256" s="160" t="n"/>
      <c r="S256" s="477">
        <f>Q256-R256</f>
        <v/>
      </c>
      <c r="T256" s="71">
        <f>R256/Q256</f>
        <v/>
      </c>
      <c r="U256" s="133" t="n">
        <v>50000</v>
      </c>
      <c r="V256" s="133" t="n"/>
      <c r="AA256" s="133" t="n"/>
      <c r="AB256" s="133" t="n"/>
      <c r="AC256" s="133" t="n"/>
      <c r="AD256" s="133" t="n"/>
      <c r="AE256" s="133" t="n"/>
      <c r="AF256" s="133" t="n"/>
      <c r="AG256" s="133" t="n"/>
      <c r="AK256" s="133" t="n"/>
      <c r="AL256" s="133" t="n"/>
      <c r="AM256" s="88" t="n"/>
      <c r="AN256" s="133" t="n"/>
      <c r="AV256" s="133" t="n"/>
    </row>
    <row r="257">
      <c r="A257" s="132" t="inlineStr">
        <is>
          <t>용당동</t>
        </is>
      </c>
      <c r="B257" s="88" t="n"/>
      <c r="C257" s="89" t="n"/>
      <c r="D257" s="132" t="n">
        <v>11549</v>
      </c>
      <c r="E257" s="154" t="inlineStr">
        <is>
          <t>용당한신문화타운</t>
        </is>
      </c>
      <c r="F257" s="132" t="n">
        <v>1990.1</v>
      </c>
      <c r="G257" s="132" t="n">
        <v>330</v>
      </c>
      <c r="H257" s="132">
        <f>2026-F257+1</f>
        <v/>
      </c>
      <c r="I257" s="133" t="n"/>
      <c r="J257" s="132" t="n">
        <v>225</v>
      </c>
      <c r="K257" s="132" t="n">
        <v>198</v>
      </c>
      <c r="L257" s="132" t="n">
        <v>68</v>
      </c>
      <c r="M257" s="132" t="inlineStr">
        <is>
          <t>계단식</t>
        </is>
      </c>
      <c r="N257" s="132" t="n">
        <v>5</v>
      </c>
      <c r="O257" s="132" t="n">
        <v>3</v>
      </c>
      <c r="P257" s="132" t="n">
        <v>30</v>
      </c>
      <c r="Q257" s="160" t="n"/>
      <c r="R257" s="160" t="n"/>
      <c r="S257" s="477">
        <f>Q257-R257</f>
        <v/>
      </c>
      <c r="T257" s="71">
        <f>R257/Q257</f>
        <v/>
      </c>
      <c r="U257" s="133" t="n">
        <v>57500</v>
      </c>
      <c r="V257" s="133" t="n">
        <v>57500</v>
      </c>
      <c r="AA257" s="133" t="n"/>
      <c r="AB257" s="133" t="n"/>
      <c r="AC257" s="133" t="n"/>
      <c r="AD257" s="133" t="n"/>
      <c r="AE257" s="133" t="n"/>
      <c r="AF257" s="133" t="n"/>
      <c r="AG257" s="133" t="n"/>
      <c r="AK257" s="133" t="n"/>
      <c r="AL257" s="133" t="n"/>
      <c r="AM257" s="88" t="n"/>
      <c r="AN257" s="133" t="n"/>
      <c r="AV257" s="133" t="n"/>
    </row>
    <row r="258">
      <c r="A258" s="339" t="inlineStr">
        <is>
          <t>용당동</t>
        </is>
      </c>
      <c r="D258" s="339" t="n">
        <v>11665</v>
      </c>
      <c r="E258" s="113" t="inlineStr">
        <is>
          <t>현대아이파크</t>
        </is>
      </c>
      <c r="F258" s="339" t="n">
        <v>2002.12</v>
      </c>
      <c r="G258" s="339" t="n">
        <v>748</v>
      </c>
      <c r="H258" s="339">
        <f>2026-F258+1</f>
        <v/>
      </c>
      <c r="J258" s="339" t="n">
        <v>123</v>
      </c>
      <c r="K258" s="339" t="n">
        <v>99</v>
      </c>
      <c r="L258" s="339" t="n">
        <v>37</v>
      </c>
      <c r="M258" s="339" t="inlineStr">
        <is>
          <t>계단식</t>
        </is>
      </c>
      <c r="N258" s="339" t="n">
        <v>3</v>
      </c>
      <c r="O258" s="339" t="n">
        <v>2</v>
      </c>
      <c r="P258" s="339" t="n">
        <v>49</v>
      </c>
      <c r="S258" s="477">
        <f>Q258-R258</f>
        <v/>
      </c>
      <c r="T258" s="71">
        <f>R258/Q258</f>
        <v/>
      </c>
      <c r="U258" s="339" t="n">
        <v>37000</v>
      </c>
      <c r="V258" s="339" t="n">
        <v>29500</v>
      </c>
    </row>
    <row r="259">
      <c r="A259" s="339" t="inlineStr">
        <is>
          <t>용당동</t>
        </is>
      </c>
      <c r="D259" s="339" t="n">
        <v>11665</v>
      </c>
      <c r="E259" s="113" t="inlineStr">
        <is>
          <t>현대아이파크</t>
        </is>
      </c>
      <c r="F259" s="339" t="n">
        <v>2002.12</v>
      </c>
      <c r="G259" s="339" t="n">
        <v>748</v>
      </c>
      <c r="H259" s="339">
        <f>2026-F259+1</f>
        <v/>
      </c>
      <c r="J259" s="339" t="n">
        <v>142</v>
      </c>
      <c r="K259" s="339" t="n">
        <v>119</v>
      </c>
      <c r="L259" s="339" t="n">
        <v>43</v>
      </c>
      <c r="M259" s="339" t="inlineStr">
        <is>
          <t>계단식</t>
        </is>
      </c>
      <c r="N259" s="339" t="n">
        <v>4</v>
      </c>
      <c r="O259" s="339" t="n">
        <v>2</v>
      </c>
      <c r="P259" s="339" t="n">
        <v>50</v>
      </c>
      <c r="S259" s="477">
        <f>Q259-R259</f>
        <v/>
      </c>
      <c r="T259" s="71">
        <f>R259/Q259</f>
        <v/>
      </c>
      <c r="U259" s="339" t="n">
        <v>43400</v>
      </c>
    </row>
    <row r="260">
      <c r="A260" s="132" t="inlineStr">
        <is>
          <t>용호동</t>
        </is>
      </c>
      <c r="B260" s="88" t="n"/>
      <c r="C260" s="89" t="n"/>
      <c r="D260" s="132" t="n">
        <v>22443</v>
      </c>
      <c r="E260" s="154" t="inlineStr">
        <is>
          <t>GS하이츠자이</t>
        </is>
      </c>
      <c r="F260" s="132" t="n">
        <v>2008.04</v>
      </c>
      <c r="G260" s="132" t="n">
        <v>1149</v>
      </c>
      <c r="H260" s="132">
        <f>2026-F260+1</f>
        <v/>
      </c>
      <c r="I260" s="133" t="n"/>
      <c r="J260" s="132" t="n">
        <v>165</v>
      </c>
      <c r="K260" s="132" t="n">
        <v>130</v>
      </c>
      <c r="L260" s="132" t="n">
        <v>50</v>
      </c>
      <c r="M260" s="132" t="inlineStr">
        <is>
          <t>계단식</t>
        </is>
      </c>
      <c r="N260" s="132" t="n">
        <v>4</v>
      </c>
      <c r="O260" s="132" t="n">
        <v>2</v>
      </c>
      <c r="P260" s="132" t="n">
        <v>403</v>
      </c>
      <c r="Q260" s="160" t="n"/>
      <c r="R260" s="160" t="n"/>
      <c r="S260" s="477">
        <f>Q260-R260</f>
        <v/>
      </c>
      <c r="T260" s="71">
        <f>R260/Q260</f>
        <v/>
      </c>
      <c r="U260" s="133" t="n">
        <v>143000</v>
      </c>
      <c r="V260" s="133" t="n">
        <v>85000</v>
      </c>
      <c r="AA260" s="133" t="n"/>
      <c r="AB260" s="133" t="n"/>
      <c r="AC260" s="133" t="n"/>
      <c r="AD260" s="133" t="n"/>
      <c r="AE260" s="133" t="n"/>
      <c r="AF260" s="133" t="n"/>
      <c r="AG260" s="133" t="n"/>
      <c r="AK260" s="133" t="n"/>
      <c r="AL260" s="133" t="n"/>
      <c r="AM260" s="88" t="n"/>
      <c r="AN260" s="133" t="n"/>
      <c r="AV260" s="133" t="n"/>
    </row>
    <row r="261">
      <c r="A261" s="132" t="inlineStr">
        <is>
          <t>용호동</t>
        </is>
      </c>
      <c r="B261" s="88" t="n"/>
      <c r="C261" s="89" t="n"/>
      <c r="D261" s="132" t="n">
        <v>22443</v>
      </c>
      <c r="E261" s="154" t="inlineStr">
        <is>
          <t>GS하이츠자이</t>
        </is>
      </c>
      <c r="F261" s="132" t="n">
        <v>2008.04</v>
      </c>
      <c r="G261" s="132" t="n">
        <v>1149</v>
      </c>
      <c r="H261" s="132">
        <f>2026-F261+1</f>
        <v/>
      </c>
      <c r="I261" s="133" t="n"/>
      <c r="J261" s="132" t="n">
        <v>185</v>
      </c>
      <c r="K261" s="132" t="n">
        <v>151</v>
      </c>
      <c r="L261" s="132" t="n">
        <v>56</v>
      </c>
      <c r="M261" s="132" t="inlineStr">
        <is>
          <t>계단식</t>
        </is>
      </c>
      <c r="N261" s="132" t="n">
        <v>4</v>
      </c>
      <c r="O261" s="132" t="n">
        <v>2</v>
      </c>
      <c r="P261" s="132" t="n">
        <v>228</v>
      </c>
      <c r="Q261" s="160" t="n"/>
      <c r="R261" s="160" t="n"/>
      <c r="S261" s="477">
        <f>Q261-R261</f>
        <v/>
      </c>
      <c r="T261" s="71">
        <f>R261/Q261</f>
        <v/>
      </c>
      <c r="U261" s="133" t="n">
        <v>164000</v>
      </c>
      <c r="V261" s="133" t="n">
        <v>109000</v>
      </c>
      <c r="AA261" s="133" t="n"/>
      <c r="AB261" s="133" t="n"/>
      <c r="AC261" s="133" t="n"/>
      <c r="AD261" s="133" t="n"/>
      <c r="AE261" s="133" t="n"/>
      <c r="AF261" s="133" t="n"/>
      <c r="AG261" s="133" t="n"/>
      <c r="AK261" s="133" t="n"/>
      <c r="AL261" s="133" t="n"/>
      <c r="AM261" s="88" t="n"/>
      <c r="AN261" s="133" t="n"/>
      <c r="AV261" s="133" t="n"/>
    </row>
    <row r="262">
      <c r="A262" s="132" t="inlineStr">
        <is>
          <t>용호동</t>
        </is>
      </c>
      <c r="B262" s="88" t="n"/>
      <c r="C262" s="89" t="n"/>
      <c r="D262" s="132" t="n">
        <v>22443</v>
      </c>
      <c r="E262" s="154" t="inlineStr">
        <is>
          <t>GS하이츠자이</t>
        </is>
      </c>
      <c r="F262" s="132" t="n">
        <v>2008.04</v>
      </c>
      <c r="G262" s="132" t="n">
        <v>1149</v>
      </c>
      <c r="H262" s="132">
        <f>2026-F262+1</f>
        <v/>
      </c>
      <c r="I262" s="133" t="n"/>
      <c r="J262" s="132" t="n">
        <v>210</v>
      </c>
      <c r="K262" s="132" t="n">
        <v>171</v>
      </c>
      <c r="L262" s="132" t="n">
        <v>64</v>
      </c>
      <c r="M262" s="132" t="inlineStr">
        <is>
          <t>계단식</t>
        </is>
      </c>
      <c r="N262" s="132" t="n">
        <v>5</v>
      </c>
      <c r="O262" s="132" t="n">
        <v>2</v>
      </c>
      <c r="P262" s="132" t="n">
        <v>228</v>
      </c>
      <c r="Q262" s="160" t="n"/>
      <c r="R262" s="160" t="n"/>
      <c r="S262" s="477">
        <f>Q262-R262</f>
        <v/>
      </c>
      <c r="T262" s="71">
        <f>R262/Q262</f>
        <v/>
      </c>
      <c r="U262" s="133" t="n">
        <v>175000</v>
      </c>
      <c r="V262" s="133" t="n">
        <v>138000</v>
      </c>
      <c r="AA262" s="133" t="n"/>
      <c r="AB262" s="133" t="n"/>
      <c r="AC262" s="133" t="n"/>
      <c r="AD262" s="133" t="n"/>
      <c r="AE262" s="133" t="n"/>
      <c r="AF262" s="133" t="n"/>
      <c r="AG262" s="133" t="n"/>
      <c r="AK262" s="133" t="n"/>
      <c r="AL262" s="133" t="n"/>
      <c r="AM262" s="88" t="n"/>
      <c r="AN262" s="133" t="n"/>
      <c r="AV262" s="133" t="n"/>
    </row>
    <row r="263">
      <c r="A263" s="339" t="inlineStr">
        <is>
          <t>용호동</t>
        </is>
      </c>
      <c r="D263" s="339" t="n">
        <v>8039</v>
      </c>
      <c r="E263" s="113" t="inlineStr">
        <is>
          <t>LG메트로시티1차</t>
        </is>
      </c>
      <c r="F263" s="339" t="n">
        <v>2001.06</v>
      </c>
      <c r="G263" s="339" t="n">
        <v>2637</v>
      </c>
      <c r="H263" s="339">
        <f>2026-F263+1</f>
        <v/>
      </c>
      <c r="J263" s="339" t="n">
        <v>131</v>
      </c>
      <c r="K263" s="339" t="n">
        <v>102</v>
      </c>
      <c r="L263" s="339" t="n">
        <v>40</v>
      </c>
      <c r="M263" s="339" t="inlineStr">
        <is>
          <t>계단식</t>
        </is>
      </c>
      <c r="N263" s="339" t="n">
        <v>4</v>
      </c>
      <c r="O263" s="339" t="n">
        <v>2</v>
      </c>
      <c r="P263" s="339" t="n">
        <v>398</v>
      </c>
      <c r="S263" s="477">
        <f>Q263-R263</f>
        <v/>
      </c>
      <c r="T263" s="71">
        <f>R263/Q263</f>
        <v/>
      </c>
      <c r="U263" s="339" t="n">
        <v>83500</v>
      </c>
      <c r="V263" s="339" t="n">
        <v>48000</v>
      </c>
    </row>
    <row r="264">
      <c r="A264" s="339" t="inlineStr">
        <is>
          <t>용호동</t>
        </is>
      </c>
      <c r="D264" s="339" t="n">
        <v>8039</v>
      </c>
      <c r="E264" s="113" t="inlineStr">
        <is>
          <t>LG메트로시티1차</t>
        </is>
      </c>
      <c r="F264" s="339" t="n">
        <v>2001.06</v>
      </c>
      <c r="G264" s="339" t="n">
        <v>2637</v>
      </c>
      <c r="H264" s="339">
        <f>2026-F264+1</f>
        <v/>
      </c>
      <c r="J264" s="339" t="n">
        <v>144</v>
      </c>
      <c r="K264" s="339" t="n">
        <v>119</v>
      </c>
      <c r="L264" s="339" t="n">
        <v>44</v>
      </c>
      <c r="M264" s="339" t="inlineStr">
        <is>
          <t>계단식</t>
        </is>
      </c>
      <c r="N264" s="339" t="n">
        <v>4</v>
      </c>
      <c r="O264" s="339" t="n">
        <v>2</v>
      </c>
      <c r="P264" s="339" t="n">
        <v>340</v>
      </c>
      <c r="S264" s="477">
        <f>Q264-R264</f>
        <v/>
      </c>
      <c r="T264" s="71">
        <f>R264/Q264</f>
        <v/>
      </c>
      <c r="U264" s="339" t="n">
        <v>98000</v>
      </c>
      <c r="V264" s="339" t="n">
        <v>53000</v>
      </c>
    </row>
    <row r="265">
      <c r="A265" s="339" t="inlineStr">
        <is>
          <t>용호동</t>
        </is>
      </c>
      <c r="D265" s="339" t="n">
        <v>8039</v>
      </c>
      <c r="E265" s="113" t="inlineStr">
        <is>
          <t>LG메트로시티1차</t>
        </is>
      </c>
      <c r="F265" s="339" t="n">
        <v>2001.06</v>
      </c>
      <c r="G265" s="339" t="n">
        <v>2637</v>
      </c>
      <c r="H265" s="339">
        <f>2026-F265+1</f>
        <v/>
      </c>
      <c r="J265" s="339" t="n">
        <v>178</v>
      </c>
      <c r="K265" s="339" t="n">
        <v>144</v>
      </c>
      <c r="L265" s="339" t="n">
        <v>54</v>
      </c>
      <c r="M265" s="339" t="inlineStr">
        <is>
          <t>계단식</t>
        </is>
      </c>
      <c r="N265" s="339" t="n">
        <v>4</v>
      </c>
      <c r="O265" s="339" t="n">
        <v>2</v>
      </c>
      <c r="P265" s="339" t="n">
        <v>490</v>
      </c>
      <c r="S265" s="477">
        <f>Q265-R265</f>
        <v/>
      </c>
      <c r="T265" s="71">
        <f>R265/Q265</f>
        <v/>
      </c>
      <c r="U265" s="339" t="n">
        <v>105000</v>
      </c>
      <c r="V265" s="339" t="n">
        <v>49800</v>
      </c>
    </row>
    <row r="266">
      <c r="A266" s="339" t="inlineStr">
        <is>
          <t>용호동</t>
        </is>
      </c>
      <c r="D266" s="339" t="n">
        <v>8039</v>
      </c>
      <c r="E266" s="113" t="inlineStr">
        <is>
          <t>LG메트로시티1차</t>
        </is>
      </c>
      <c r="F266" s="339" t="n">
        <v>2001.06</v>
      </c>
      <c r="G266" s="339" t="n">
        <v>2637</v>
      </c>
      <c r="H266" s="339">
        <f>2026-F266+1</f>
        <v/>
      </c>
      <c r="J266" s="339" t="n">
        <v>230</v>
      </c>
      <c r="K266" s="339" t="n">
        <v>188</v>
      </c>
      <c r="L266" s="339" t="n">
        <v>70</v>
      </c>
      <c r="M266" s="339" t="inlineStr">
        <is>
          <t>계단식</t>
        </is>
      </c>
      <c r="N266" s="339" t="n">
        <v>5</v>
      </c>
      <c r="O266" s="339" t="n">
        <v>2</v>
      </c>
      <c r="P266" s="339" t="n">
        <v>144</v>
      </c>
      <c r="S266" s="477">
        <f>Q266-R266</f>
        <v/>
      </c>
      <c r="T266" s="71">
        <f>R266/Q266</f>
        <v/>
      </c>
      <c r="U266" s="339" t="n">
        <v>119000</v>
      </c>
      <c r="V266" s="339" t="n">
        <v>91000</v>
      </c>
    </row>
    <row r="267">
      <c r="A267" s="339" t="inlineStr">
        <is>
          <t>용호동</t>
        </is>
      </c>
      <c r="D267" s="339" t="n">
        <v>8039</v>
      </c>
      <c r="E267" s="113" t="inlineStr">
        <is>
          <t>LG메트로시티1차</t>
        </is>
      </c>
      <c r="F267" s="339" t="n">
        <v>2001.06</v>
      </c>
      <c r="G267" s="339" t="n">
        <v>2637</v>
      </c>
      <c r="H267" s="339">
        <f>2026-F267+1</f>
        <v/>
      </c>
      <c r="J267" s="339" t="n">
        <v>239</v>
      </c>
      <c r="K267" s="339" t="n">
        <v>196</v>
      </c>
      <c r="L267" s="339" t="n">
        <v>72</v>
      </c>
      <c r="M267" s="339" t="inlineStr">
        <is>
          <t>계단식</t>
        </is>
      </c>
      <c r="N267" s="339" t="n">
        <v>5</v>
      </c>
      <c r="O267" s="339" t="n">
        <v>2</v>
      </c>
      <c r="P267" s="339" t="n">
        <v>49</v>
      </c>
      <c r="S267" s="477">
        <f>Q267-R267</f>
        <v/>
      </c>
      <c r="T267" s="71">
        <f>R267/Q267</f>
        <v/>
      </c>
      <c r="U267" s="339" t="n">
        <v>105000</v>
      </c>
      <c r="V267" s="339" t="n">
        <v>89000</v>
      </c>
    </row>
    <row r="268">
      <c r="A268" s="339" t="inlineStr">
        <is>
          <t>용호동</t>
        </is>
      </c>
      <c r="D268" s="339" t="n">
        <v>8039</v>
      </c>
      <c r="E268" s="113" t="inlineStr">
        <is>
          <t>LG메트로시티1차</t>
        </is>
      </c>
      <c r="F268" s="339" t="n">
        <v>2001.06</v>
      </c>
      <c r="G268" s="339" t="n">
        <v>2637</v>
      </c>
      <c r="H268" s="339">
        <f>2026-F268+1</f>
        <v/>
      </c>
      <c r="J268" s="339" t="n">
        <v>306</v>
      </c>
      <c r="K268" s="339" t="n">
        <v>243</v>
      </c>
      <c r="L268" s="339" t="n">
        <v>93</v>
      </c>
      <c r="M268" s="339" t="inlineStr">
        <is>
          <t>계단식</t>
        </is>
      </c>
      <c r="N268" s="339" t="n">
        <v>5</v>
      </c>
      <c r="O268" s="339" t="n">
        <v>3</v>
      </c>
      <c r="P268" s="339" t="n">
        <v>94</v>
      </c>
      <c r="S268" s="477">
        <f>Q268-R268</f>
        <v/>
      </c>
      <c r="T268" s="71">
        <f>R268/Q268</f>
        <v/>
      </c>
      <c r="U268" s="339" t="n">
        <v>140000</v>
      </c>
      <c r="V268" s="339" t="n">
        <v>105000</v>
      </c>
    </row>
    <row r="269">
      <c r="A269" s="132" t="inlineStr">
        <is>
          <t>용호동</t>
        </is>
      </c>
      <c r="B269" s="88" t="n"/>
      <c r="C269" s="89" t="n"/>
      <c r="D269" s="132" t="n">
        <v>9706</v>
      </c>
      <c r="E269" s="154" t="inlineStr">
        <is>
          <t>LG메트로시티2차</t>
        </is>
      </c>
      <c r="F269" s="132" t="n">
        <v>2002.01</v>
      </c>
      <c r="G269" s="132" t="n">
        <v>362</v>
      </c>
      <c r="H269" s="132">
        <f>2026-F269+1</f>
        <v/>
      </c>
      <c r="I269" s="133" t="n"/>
      <c r="J269" s="132" t="n">
        <v>144</v>
      </c>
      <c r="K269" s="132" t="n">
        <v>119</v>
      </c>
      <c r="L269" s="132" t="n">
        <v>44</v>
      </c>
      <c r="M269" s="132" t="inlineStr">
        <is>
          <t>계단식</t>
        </is>
      </c>
      <c r="N269" s="132" t="n">
        <v>4</v>
      </c>
      <c r="O269" s="132" t="n">
        <v>2</v>
      </c>
      <c r="P269" s="132" t="n">
        <v>96</v>
      </c>
      <c r="Q269" s="160" t="n"/>
      <c r="R269" s="160" t="n"/>
      <c r="S269" s="477">
        <f>Q269-R269</f>
        <v/>
      </c>
      <c r="T269" s="71">
        <f>R269/Q269</f>
        <v/>
      </c>
      <c r="U269" s="133" t="n">
        <v>138000</v>
      </c>
      <c r="V269" s="133" t="n"/>
      <c r="AA269" s="133" t="n"/>
      <c r="AB269" s="133" t="n"/>
      <c r="AC269" s="133" t="n"/>
      <c r="AD269" s="133" t="n"/>
      <c r="AE269" s="133" t="n"/>
      <c r="AF269" s="133" t="n"/>
      <c r="AG269" s="133" t="n"/>
      <c r="AK269" s="133" t="n"/>
      <c r="AL269" s="133" t="n"/>
      <c r="AM269" s="88" t="n"/>
      <c r="AN269" s="133" t="n"/>
      <c r="AV269" s="133" t="n"/>
    </row>
    <row r="270">
      <c r="A270" s="339" t="inlineStr">
        <is>
          <t>용호동</t>
        </is>
      </c>
      <c r="D270" s="339" t="n">
        <v>9708</v>
      </c>
      <c r="E270" s="113" t="inlineStr">
        <is>
          <t>LG메트로시티3차</t>
        </is>
      </c>
      <c r="F270" s="339" t="n">
        <v>2002.11</v>
      </c>
      <c r="G270" s="339" t="n">
        <v>922</v>
      </c>
      <c r="H270" s="339">
        <f>2026-F270+1</f>
        <v/>
      </c>
      <c r="J270" s="339" t="n">
        <v>131</v>
      </c>
      <c r="K270" s="339" t="n">
        <v>102</v>
      </c>
      <c r="L270" s="339" t="n">
        <v>40</v>
      </c>
      <c r="M270" s="339" t="inlineStr">
        <is>
          <t>계단식</t>
        </is>
      </c>
      <c r="N270" s="339" t="n">
        <v>3</v>
      </c>
      <c r="O270" s="339" t="n">
        <v>2</v>
      </c>
      <c r="P270" s="339" t="n">
        <v>140</v>
      </c>
      <c r="S270" s="477">
        <f>Q270-R270</f>
        <v/>
      </c>
      <c r="T270" s="71">
        <f>R270/Q270</f>
        <v/>
      </c>
      <c r="U270" s="339" t="n">
        <v>84500</v>
      </c>
      <c r="V270" s="339" t="n">
        <v>59000</v>
      </c>
    </row>
    <row r="271">
      <c r="A271" s="339" t="inlineStr">
        <is>
          <t>용호동</t>
        </is>
      </c>
      <c r="D271" s="339" t="n">
        <v>9708</v>
      </c>
      <c r="E271" s="113" t="inlineStr">
        <is>
          <t>LG메트로시티3차</t>
        </is>
      </c>
      <c r="F271" s="339" t="n">
        <v>2002.11</v>
      </c>
      <c r="G271" s="339" t="n">
        <v>922</v>
      </c>
      <c r="H271" s="339">
        <f>2026-F271+1</f>
        <v/>
      </c>
      <c r="J271" s="339" t="n">
        <v>150</v>
      </c>
      <c r="K271" s="339" t="n">
        <v>125</v>
      </c>
      <c r="L271" s="339" t="n">
        <v>45</v>
      </c>
      <c r="M271" s="339" t="inlineStr">
        <is>
          <t>계단식</t>
        </is>
      </c>
      <c r="N271" s="339" t="n">
        <v>4</v>
      </c>
      <c r="O271" s="339" t="n">
        <v>2</v>
      </c>
      <c r="P271" s="339" t="n">
        <v>200</v>
      </c>
      <c r="S271" s="477">
        <f>Q271-R271</f>
        <v/>
      </c>
      <c r="T271" s="71">
        <f>R271/Q271</f>
        <v/>
      </c>
      <c r="U271" s="339" t="n">
        <v>91000</v>
      </c>
      <c r="V271" s="339" t="n">
        <v>60000</v>
      </c>
    </row>
    <row r="272">
      <c r="A272" s="339" t="inlineStr">
        <is>
          <t>용호동</t>
        </is>
      </c>
      <c r="D272" s="339" t="n">
        <v>9708</v>
      </c>
      <c r="E272" s="113" t="inlineStr">
        <is>
          <t>LG메트로시티3차</t>
        </is>
      </c>
      <c r="F272" s="339" t="n">
        <v>2002.11</v>
      </c>
      <c r="G272" s="339" t="n">
        <v>922</v>
      </c>
      <c r="H272" s="339">
        <f>2026-F272+1</f>
        <v/>
      </c>
      <c r="J272" s="339" t="n">
        <v>178</v>
      </c>
      <c r="K272" s="339" t="n">
        <v>144</v>
      </c>
      <c r="L272" s="339" t="n">
        <v>54</v>
      </c>
      <c r="M272" s="339" t="inlineStr">
        <is>
          <t>계단식</t>
        </is>
      </c>
      <c r="N272" s="339" t="n">
        <v>4</v>
      </c>
      <c r="O272" s="339" t="n">
        <v>2</v>
      </c>
      <c r="P272" s="339" t="n">
        <v>100</v>
      </c>
      <c r="S272" s="477">
        <f>Q272-R272</f>
        <v/>
      </c>
      <c r="T272" s="71">
        <f>R272/Q272</f>
        <v/>
      </c>
      <c r="U272" s="339" t="n">
        <v>97500</v>
      </c>
      <c r="V272" s="339" t="n">
        <v>58500</v>
      </c>
    </row>
    <row r="273">
      <c r="A273" s="339" t="inlineStr">
        <is>
          <t>용호동</t>
        </is>
      </c>
      <c r="D273" s="339" t="n">
        <v>9708</v>
      </c>
      <c r="E273" s="113" t="inlineStr">
        <is>
          <t>LG메트로시티3차</t>
        </is>
      </c>
      <c r="F273" s="339" t="n">
        <v>2002.11</v>
      </c>
      <c r="G273" s="339" t="n">
        <v>922</v>
      </c>
      <c r="H273" s="339">
        <f>2026-F273+1</f>
        <v/>
      </c>
      <c r="J273" s="339" t="n">
        <v>202</v>
      </c>
      <c r="K273" s="339" t="n">
        <v>164</v>
      </c>
      <c r="L273" s="339" t="n">
        <v>61</v>
      </c>
      <c r="M273" s="339" t="inlineStr">
        <is>
          <t>계단식</t>
        </is>
      </c>
      <c r="N273" s="339" t="n">
        <v>4</v>
      </c>
      <c r="O273" s="339" t="n">
        <v>2</v>
      </c>
      <c r="P273" s="339" t="n">
        <v>196</v>
      </c>
      <c r="S273" s="477">
        <f>Q273-R273</f>
        <v/>
      </c>
      <c r="T273" s="71">
        <f>R273/Q273</f>
        <v/>
      </c>
      <c r="U273" s="339" t="n">
        <v>110000</v>
      </c>
      <c r="V273" s="339" t="n">
        <v>50000</v>
      </c>
    </row>
    <row r="274">
      <c r="A274" s="339" t="inlineStr">
        <is>
          <t>용호동</t>
        </is>
      </c>
      <c r="D274" s="339" t="n">
        <v>9708</v>
      </c>
      <c r="E274" s="113" t="inlineStr">
        <is>
          <t>LG메트로시티3차</t>
        </is>
      </c>
      <c r="F274" s="339" t="n">
        <v>2002.11</v>
      </c>
      <c r="G274" s="339" t="n">
        <v>922</v>
      </c>
      <c r="H274" s="339">
        <f>2026-F274+1</f>
        <v/>
      </c>
      <c r="J274" s="339" t="n">
        <v>306</v>
      </c>
      <c r="K274" s="339" t="n">
        <v>243</v>
      </c>
      <c r="L274" s="339" t="n">
        <v>93</v>
      </c>
      <c r="M274" s="339" t="inlineStr">
        <is>
          <t>계단식</t>
        </is>
      </c>
      <c r="N274" s="339" t="n">
        <v>5</v>
      </c>
      <c r="O274" s="339" t="n">
        <v>3</v>
      </c>
      <c r="P274" s="339" t="n">
        <v>44</v>
      </c>
      <c r="S274" s="477">
        <f>Q274-R274</f>
        <v/>
      </c>
      <c r="T274" s="71">
        <f>R274/Q274</f>
        <v/>
      </c>
    </row>
    <row r="275">
      <c r="A275" s="132" t="inlineStr">
        <is>
          <t>용호동</t>
        </is>
      </c>
      <c r="B275" s="88" t="n"/>
      <c r="C275" s="89" t="n"/>
      <c r="D275" s="132" t="n">
        <v>9709</v>
      </c>
      <c r="E275" s="154" t="inlineStr">
        <is>
          <t>LG메트로시티4-1차</t>
        </is>
      </c>
      <c r="F275" s="132" t="n">
        <v>2003.08</v>
      </c>
      <c r="G275" s="132" t="n">
        <v>1391</v>
      </c>
      <c r="H275" s="132">
        <f>2026-F275+1</f>
        <v/>
      </c>
      <c r="I275" s="133" t="n"/>
      <c r="J275" s="132" t="n">
        <v>133</v>
      </c>
      <c r="K275" s="132" t="n">
        <v>103</v>
      </c>
      <c r="L275" s="132" t="n">
        <v>40</v>
      </c>
      <c r="M275" s="132" t="inlineStr">
        <is>
          <t>계단식</t>
        </is>
      </c>
      <c r="N275" s="132" t="n">
        <v>3</v>
      </c>
      <c r="O275" s="132" t="n">
        <v>2</v>
      </c>
      <c r="P275" s="132" t="n">
        <v>336</v>
      </c>
      <c r="Q275" s="160" t="n"/>
      <c r="R275" s="160" t="n"/>
      <c r="S275" s="477">
        <f>Q275-R275</f>
        <v/>
      </c>
      <c r="T275" s="71">
        <f>R275/Q275</f>
        <v/>
      </c>
      <c r="U275" s="133" t="n">
        <v>83000</v>
      </c>
      <c r="V275" s="133" t="n">
        <v>50500</v>
      </c>
      <c r="AA275" s="133" t="n"/>
      <c r="AB275" s="133" t="n"/>
      <c r="AC275" s="133" t="n"/>
      <c r="AD275" s="133" t="n"/>
      <c r="AE275" s="133" t="n"/>
      <c r="AF275" s="133" t="n"/>
      <c r="AG275" s="133" t="n"/>
      <c r="AK275" s="133" t="n"/>
      <c r="AL275" s="133" t="n"/>
      <c r="AM275" s="88" t="n"/>
      <c r="AN275" s="133" t="n"/>
      <c r="AV275" s="133" t="n"/>
    </row>
    <row r="276">
      <c r="A276" s="132" t="inlineStr">
        <is>
          <t>용호동</t>
        </is>
      </c>
      <c r="B276" s="88" t="n"/>
      <c r="C276" s="89" t="n"/>
      <c r="D276" s="132" t="n">
        <v>9709</v>
      </c>
      <c r="E276" s="154" t="inlineStr">
        <is>
          <t>LG메트로시티4-1차</t>
        </is>
      </c>
      <c r="F276" s="132" t="n">
        <v>2003.08</v>
      </c>
      <c r="G276" s="132" t="n">
        <v>1391</v>
      </c>
      <c r="H276" s="132">
        <f>2026-F276+1</f>
        <v/>
      </c>
      <c r="I276" s="133" t="n"/>
      <c r="J276" s="132" t="n">
        <v>152</v>
      </c>
      <c r="K276" s="132" t="n">
        <v>126</v>
      </c>
      <c r="L276" s="132" t="n">
        <v>46</v>
      </c>
      <c r="M276" s="132" t="inlineStr">
        <is>
          <t>계단식</t>
        </is>
      </c>
      <c r="N276" s="132" t="n">
        <v>4</v>
      </c>
      <c r="O276" s="132" t="n">
        <v>2</v>
      </c>
      <c r="P276" s="132" t="n">
        <v>298</v>
      </c>
      <c r="Q276" s="160" t="n"/>
      <c r="R276" s="160" t="n"/>
      <c r="S276" s="477">
        <f>Q276-R276</f>
        <v/>
      </c>
      <c r="T276" s="71">
        <f>R276/Q276</f>
        <v/>
      </c>
      <c r="U276" s="133" t="n">
        <v>98000</v>
      </c>
      <c r="V276" s="133" t="n">
        <v>62000</v>
      </c>
      <c r="AA276" s="133" t="n"/>
      <c r="AB276" s="133" t="n"/>
      <c r="AC276" s="133" t="n"/>
      <c r="AD276" s="133" t="n"/>
      <c r="AE276" s="133" t="n"/>
      <c r="AF276" s="133" t="n"/>
      <c r="AG276" s="133" t="n"/>
      <c r="AK276" s="133" t="n"/>
      <c r="AL276" s="133" t="n"/>
      <c r="AM276" s="88" t="n"/>
      <c r="AN276" s="133" t="n"/>
      <c r="AV276" s="133" t="n"/>
    </row>
    <row r="277">
      <c r="A277" s="132" t="inlineStr">
        <is>
          <t>용호동</t>
        </is>
      </c>
      <c r="B277" s="88" t="n"/>
      <c r="C277" s="89" t="n"/>
      <c r="D277" s="132" t="n">
        <v>9709</v>
      </c>
      <c r="E277" s="154" t="inlineStr">
        <is>
          <t>LG메트로시티4-1차</t>
        </is>
      </c>
      <c r="F277" s="132" t="n">
        <v>2003.08</v>
      </c>
      <c r="G277" s="132" t="n">
        <v>1391</v>
      </c>
      <c r="H277" s="132">
        <f>2026-F277+1</f>
        <v/>
      </c>
      <c r="I277" s="133" t="n"/>
      <c r="J277" s="132" t="n">
        <v>179</v>
      </c>
      <c r="K277" s="132" t="n">
        <v>145</v>
      </c>
      <c r="L277" s="132" t="n">
        <v>54</v>
      </c>
      <c r="M277" s="132" t="inlineStr">
        <is>
          <t>계단식</t>
        </is>
      </c>
      <c r="N277" s="132" t="n">
        <v>4</v>
      </c>
      <c r="O277" s="132" t="n">
        <v>2</v>
      </c>
      <c r="P277" s="132" t="n">
        <v>93</v>
      </c>
      <c r="Q277" s="160" t="n"/>
      <c r="R277" s="160" t="n"/>
      <c r="S277" s="477">
        <f>Q277-R277</f>
        <v/>
      </c>
      <c r="T277" s="71">
        <f>R277/Q277</f>
        <v/>
      </c>
      <c r="U277" s="133" t="n">
        <v>95500</v>
      </c>
      <c r="V277" s="133" t="n">
        <v>80500</v>
      </c>
      <c r="AA277" s="133" t="n"/>
      <c r="AB277" s="133" t="n"/>
      <c r="AC277" s="133" t="n"/>
      <c r="AD277" s="133" t="n"/>
      <c r="AE277" s="133" t="n"/>
      <c r="AF277" s="133" t="n"/>
      <c r="AG277" s="133" t="n"/>
      <c r="AK277" s="133" t="n"/>
      <c r="AL277" s="133" t="n"/>
      <c r="AM277" s="88" t="n"/>
      <c r="AN277" s="133" t="n"/>
      <c r="AV277" s="133" t="n"/>
    </row>
    <row r="278">
      <c r="A278" s="132" t="inlineStr">
        <is>
          <t>용호동</t>
        </is>
      </c>
      <c r="B278" s="88" t="n"/>
      <c r="C278" s="89" t="n"/>
      <c r="D278" s="132" t="n">
        <v>9709</v>
      </c>
      <c r="E278" s="154" t="inlineStr">
        <is>
          <t>LG메트로시티4-1차</t>
        </is>
      </c>
      <c r="F278" s="132" t="n">
        <v>2003.08</v>
      </c>
      <c r="G278" s="132" t="n">
        <v>1391</v>
      </c>
      <c r="H278" s="132">
        <f>2026-F278+1</f>
        <v/>
      </c>
      <c r="I278" s="133" t="n"/>
      <c r="J278" s="132" t="n">
        <v>204</v>
      </c>
      <c r="K278" s="132" t="n">
        <v>166</v>
      </c>
      <c r="L278" s="132" t="n">
        <v>62</v>
      </c>
      <c r="M278" s="132" t="inlineStr">
        <is>
          <t>계단식</t>
        </is>
      </c>
      <c r="N278" s="132" t="n">
        <v>4</v>
      </c>
      <c r="O278" s="132" t="n">
        <v>2</v>
      </c>
      <c r="P278" s="132" t="n">
        <v>198</v>
      </c>
      <c r="Q278" s="160" t="n"/>
      <c r="R278" s="160" t="n"/>
      <c r="S278" s="477">
        <f>Q278-R278</f>
        <v/>
      </c>
      <c r="T278" s="71">
        <f>R278/Q278</f>
        <v/>
      </c>
      <c r="U278" s="133" t="n">
        <v>107000</v>
      </c>
      <c r="V278" s="133" t="n">
        <v>59900</v>
      </c>
      <c r="AA278" s="133" t="n"/>
      <c r="AB278" s="133" t="n"/>
      <c r="AC278" s="133" t="n"/>
      <c r="AD278" s="133" t="n"/>
      <c r="AE278" s="133" t="n"/>
      <c r="AF278" s="133" t="n"/>
      <c r="AG278" s="133" t="n"/>
      <c r="AK278" s="133" t="n"/>
      <c r="AL278" s="133" t="n"/>
      <c r="AM278" s="88" t="n"/>
      <c r="AN278" s="133" t="n"/>
      <c r="AV278" s="133" t="n"/>
    </row>
    <row r="279">
      <c r="A279" s="132" t="inlineStr">
        <is>
          <t>용호동</t>
        </is>
      </c>
      <c r="B279" s="88" t="n"/>
      <c r="C279" s="89" t="n"/>
      <c r="D279" s="132" t="n">
        <v>9709</v>
      </c>
      <c r="E279" s="154" t="inlineStr">
        <is>
          <t>LG메트로시티4-1차</t>
        </is>
      </c>
      <c r="F279" s="132" t="n">
        <v>2003.08</v>
      </c>
      <c r="G279" s="132" t="n">
        <v>1391</v>
      </c>
      <c r="H279" s="132">
        <f>2026-F279+1</f>
        <v/>
      </c>
      <c r="I279" s="133" t="n"/>
      <c r="J279" s="132" t="n">
        <v>239</v>
      </c>
      <c r="K279" s="132" t="n">
        <v>196</v>
      </c>
      <c r="L279" s="132" t="n">
        <v>72</v>
      </c>
      <c r="M279" s="132" t="inlineStr">
        <is>
          <t>계단식</t>
        </is>
      </c>
      <c r="N279" s="132" t="n">
        <v>5</v>
      </c>
      <c r="O279" s="132" t="n">
        <v>2</v>
      </c>
      <c r="P279" s="132" t="n">
        <v>147</v>
      </c>
      <c r="Q279" s="160" t="n"/>
      <c r="R279" s="160" t="n"/>
      <c r="S279" s="477">
        <f>Q279-R279</f>
        <v/>
      </c>
      <c r="T279" s="71">
        <f>R279/Q279</f>
        <v/>
      </c>
      <c r="U279" s="133" t="n">
        <v>119800</v>
      </c>
      <c r="V279" s="133" t="n">
        <v>119800</v>
      </c>
      <c r="AA279" s="133" t="n"/>
      <c r="AB279" s="133" t="n"/>
      <c r="AC279" s="133" t="n"/>
      <c r="AD279" s="133" t="n"/>
      <c r="AE279" s="133" t="n"/>
      <c r="AF279" s="133" t="n"/>
      <c r="AG279" s="133" t="n"/>
      <c r="AK279" s="133" t="n"/>
      <c r="AL279" s="133" t="n"/>
      <c r="AM279" s="88" t="n"/>
      <c r="AN279" s="133" t="n"/>
      <c r="AV279" s="133" t="n"/>
    </row>
    <row r="280">
      <c r="A280" s="132" t="inlineStr">
        <is>
          <t>용호동</t>
        </is>
      </c>
      <c r="B280" s="88" t="n"/>
      <c r="C280" s="89" t="n"/>
      <c r="D280" s="132" t="n">
        <v>9709</v>
      </c>
      <c r="E280" s="154" t="inlineStr">
        <is>
          <t>LG메트로시티4-1차</t>
        </is>
      </c>
      <c r="F280" s="132" t="n">
        <v>2003.08</v>
      </c>
      <c r="G280" s="132" t="n">
        <v>1391</v>
      </c>
      <c r="H280" s="132">
        <f>2026-F280+1</f>
        <v/>
      </c>
      <c r="I280" s="133" t="n"/>
      <c r="J280" s="132" t="n">
        <v>308</v>
      </c>
      <c r="K280" s="132" t="n">
        <v>244</v>
      </c>
      <c r="L280" s="132" t="n">
        <v>93</v>
      </c>
      <c r="M280" s="132" t="inlineStr">
        <is>
          <t>계단식</t>
        </is>
      </c>
      <c r="N280" s="132" t="n">
        <v>5</v>
      </c>
      <c r="O280" s="132" t="n">
        <v>3</v>
      </c>
      <c r="P280" s="132" t="n">
        <v>47</v>
      </c>
      <c r="Q280" s="160" t="n"/>
      <c r="R280" s="160" t="n"/>
      <c r="S280" s="477">
        <f>Q280-R280</f>
        <v/>
      </c>
      <c r="T280" s="71">
        <f>R280/Q280</f>
        <v/>
      </c>
      <c r="U280" s="133" t="n"/>
      <c r="V280" s="133" t="n">
        <v>125000</v>
      </c>
      <c r="AA280" s="133" t="n"/>
      <c r="AB280" s="133" t="n"/>
      <c r="AC280" s="133" t="n"/>
      <c r="AD280" s="133" t="n"/>
      <c r="AE280" s="133" t="n"/>
      <c r="AF280" s="133" t="n"/>
      <c r="AG280" s="133" t="n"/>
      <c r="AK280" s="133" t="n"/>
      <c r="AL280" s="133" t="n"/>
      <c r="AM280" s="88" t="n"/>
      <c r="AN280" s="133" t="n"/>
      <c r="AV280" s="133" t="n"/>
    </row>
    <row r="281">
      <c r="A281" s="339" t="inlineStr">
        <is>
          <t>용호동</t>
        </is>
      </c>
      <c r="D281" s="339" t="n">
        <v>9710</v>
      </c>
      <c r="E281" s="113" t="inlineStr">
        <is>
          <t>LG메트로시티4-2차</t>
        </is>
      </c>
      <c r="F281" s="339" t="n">
        <v>2003.08</v>
      </c>
      <c r="G281" s="339" t="n">
        <v>1258</v>
      </c>
      <c r="H281" s="339">
        <f>2026-F281+1</f>
        <v/>
      </c>
      <c r="J281" s="339" t="n">
        <v>152</v>
      </c>
      <c r="K281" s="339" t="n">
        <v>126</v>
      </c>
      <c r="L281" s="339" t="n">
        <v>46</v>
      </c>
      <c r="M281" s="339" t="inlineStr">
        <is>
          <t>계단식</t>
        </is>
      </c>
      <c r="N281" s="339" t="n">
        <v>4</v>
      </c>
      <c r="O281" s="339" t="n">
        <v>2</v>
      </c>
      <c r="P281" s="339" t="n">
        <v>382</v>
      </c>
      <c r="S281" s="477">
        <f>Q281-R281</f>
        <v/>
      </c>
      <c r="T281" s="71">
        <f>R281/Q281</f>
        <v/>
      </c>
      <c r="U281" s="339" t="n">
        <v>98000</v>
      </c>
      <c r="V281" s="339" t="n">
        <v>62000</v>
      </c>
    </row>
    <row r="282">
      <c r="A282" s="339" t="inlineStr">
        <is>
          <t>용호동</t>
        </is>
      </c>
      <c r="D282" s="339" t="n">
        <v>9710</v>
      </c>
      <c r="E282" s="113" t="inlineStr">
        <is>
          <t>LG메트로시티4-2차</t>
        </is>
      </c>
      <c r="F282" s="339" t="n">
        <v>2003.08</v>
      </c>
      <c r="G282" s="339" t="n">
        <v>1258</v>
      </c>
      <c r="H282" s="339">
        <f>2026-F282+1</f>
        <v/>
      </c>
      <c r="J282" s="339" t="n">
        <v>179</v>
      </c>
      <c r="K282" s="339" t="n">
        <v>145</v>
      </c>
      <c r="L282" s="339" t="n">
        <v>54</v>
      </c>
      <c r="M282" s="339" t="inlineStr">
        <is>
          <t>계단식</t>
        </is>
      </c>
      <c r="N282" s="339" t="n">
        <v>4</v>
      </c>
      <c r="O282" s="339" t="n">
        <v>2</v>
      </c>
      <c r="P282" s="339" t="n">
        <v>248</v>
      </c>
      <c r="S282" s="477">
        <f>Q282-R282</f>
        <v/>
      </c>
      <c r="T282" s="71">
        <f>R282/Q282</f>
        <v/>
      </c>
      <c r="U282" s="339" t="n">
        <v>95500</v>
      </c>
      <c r="V282" s="339" t="n">
        <v>80500</v>
      </c>
    </row>
    <row r="283">
      <c r="A283" s="132" t="inlineStr">
        <is>
          <t>용호동</t>
        </is>
      </c>
      <c r="B283" s="133" t="n"/>
      <c r="C283" s="133" t="n"/>
      <c r="D283" s="132" t="n">
        <v>9711</v>
      </c>
      <c r="E283" s="154" t="inlineStr">
        <is>
          <t>LG메트로시티5차</t>
        </is>
      </c>
      <c r="F283" s="132" t="n">
        <v>2004.1</v>
      </c>
      <c r="G283" s="132" t="n">
        <v>804</v>
      </c>
      <c r="H283" s="132">
        <f>2026-F283+1</f>
        <v/>
      </c>
      <c r="I283" s="133" t="n"/>
      <c r="J283" s="132" t="n">
        <v>152</v>
      </c>
      <c r="K283" s="132" t="n">
        <v>126</v>
      </c>
      <c r="L283" s="132" t="n">
        <v>46</v>
      </c>
      <c r="M283" s="132" t="inlineStr">
        <is>
          <t>계단식</t>
        </is>
      </c>
      <c r="N283" s="132" t="n">
        <v>4</v>
      </c>
      <c r="O283" s="132" t="n">
        <v>2</v>
      </c>
      <c r="P283" s="132" t="n">
        <v>148</v>
      </c>
      <c r="Q283" s="160" t="n"/>
      <c r="R283" s="160" t="n"/>
      <c r="S283" s="477">
        <f>Q283-R283</f>
        <v/>
      </c>
      <c r="T283" s="71">
        <f>R283/Q283</f>
        <v/>
      </c>
      <c r="U283" s="133" t="n">
        <v>88000</v>
      </c>
      <c r="V283" s="133" t="n">
        <v>62200</v>
      </c>
      <c r="AA283" s="133" t="n"/>
      <c r="AB283" s="133" t="n"/>
      <c r="AC283" s="133" t="n"/>
      <c r="AD283" s="133" t="n"/>
      <c r="AE283" s="133" t="n"/>
      <c r="AF283" s="133" t="n"/>
      <c r="AG283" s="133" t="n"/>
      <c r="AK283" s="133" t="n"/>
      <c r="AL283" s="133" t="n"/>
      <c r="AM283" s="133" t="n"/>
      <c r="AN283" s="133" t="n"/>
      <c r="AV283" s="133" t="n"/>
    </row>
    <row r="284">
      <c r="A284" s="339" t="inlineStr">
        <is>
          <t>용호동</t>
        </is>
      </c>
      <c r="B284" s="164" t="n"/>
      <c r="C284" s="164" t="n"/>
      <c r="D284" s="339" t="n">
        <v>4607</v>
      </c>
      <c r="E284" s="113" t="inlineStr">
        <is>
          <t>경동</t>
        </is>
      </c>
      <c r="F284" s="339" t="n">
        <v>1992.12</v>
      </c>
      <c r="G284" s="339" t="n">
        <v>499</v>
      </c>
      <c r="H284" s="339">
        <f>2026-F284+1</f>
        <v/>
      </c>
      <c r="J284" s="339" t="n">
        <v>105</v>
      </c>
      <c r="K284" s="339" t="n">
        <v>87</v>
      </c>
      <c r="L284" s="339" t="n">
        <v>32</v>
      </c>
      <c r="M284" s="339" t="inlineStr">
        <is>
          <t>계단식</t>
        </is>
      </c>
      <c r="N284" s="339" t="n">
        <v>3</v>
      </c>
      <c r="O284" s="339" t="n">
        <v>1</v>
      </c>
      <c r="P284" s="339" t="n">
        <v>18</v>
      </c>
      <c r="S284" s="477">
        <f>Q284-R284</f>
        <v/>
      </c>
      <c r="T284" s="71">
        <f>R284/Q284</f>
        <v/>
      </c>
      <c r="AM284" s="357" t="n"/>
    </row>
    <row r="285">
      <c r="A285" s="339" t="inlineStr">
        <is>
          <t>용호동</t>
        </is>
      </c>
      <c r="B285" s="164" t="n"/>
      <c r="C285" s="164" t="n"/>
      <c r="D285" s="339" t="n">
        <v>4607</v>
      </c>
      <c r="E285" s="113" t="inlineStr">
        <is>
          <t>경동</t>
        </is>
      </c>
      <c r="F285" s="339" t="n">
        <v>1992.12</v>
      </c>
      <c r="G285" s="339" t="n">
        <v>499</v>
      </c>
      <c r="H285" s="339">
        <f>2026-F285+1</f>
        <v/>
      </c>
      <c r="J285" s="339" t="n">
        <v>118</v>
      </c>
      <c r="K285" s="339" t="n">
        <v>99</v>
      </c>
      <c r="L285" s="339" t="n">
        <v>36</v>
      </c>
      <c r="M285" s="339" t="inlineStr">
        <is>
          <t>계단식</t>
        </is>
      </c>
      <c r="N285" s="339" t="n">
        <v>3</v>
      </c>
      <c r="O285" s="339" t="n">
        <v>2</v>
      </c>
      <c r="P285" s="339" t="n">
        <v>18</v>
      </c>
      <c r="S285" s="477">
        <f>Q285-R285</f>
        <v/>
      </c>
      <c r="T285" s="71">
        <f>R285/Q285</f>
        <v/>
      </c>
      <c r="U285" s="339" t="n">
        <v>28500</v>
      </c>
      <c r="V285" s="339" t="n">
        <v>28500</v>
      </c>
      <c r="AM285" s="357" t="n"/>
    </row>
    <row r="286">
      <c r="A286" s="339" t="inlineStr">
        <is>
          <t>용호동</t>
        </is>
      </c>
      <c r="B286" s="164" t="n"/>
      <c r="C286" s="164" t="n"/>
      <c r="D286" s="339" t="n">
        <v>4607</v>
      </c>
      <c r="E286" s="113" t="inlineStr">
        <is>
          <t>경동</t>
        </is>
      </c>
      <c r="F286" s="339" t="n">
        <v>1992.12</v>
      </c>
      <c r="G286" s="339" t="n">
        <v>499</v>
      </c>
      <c r="H286" s="339">
        <f>2026-F286+1</f>
        <v/>
      </c>
      <c r="J286" s="339" t="n">
        <v>122</v>
      </c>
      <c r="K286" s="339" t="n">
        <v>103</v>
      </c>
      <c r="L286" s="339" t="n">
        <v>37</v>
      </c>
      <c r="M286" s="339" t="inlineStr">
        <is>
          <t>계단식</t>
        </is>
      </c>
      <c r="N286" s="339" t="n">
        <v>3</v>
      </c>
      <c r="O286" s="339" t="n">
        <v>2</v>
      </c>
      <c r="P286" s="339" t="n">
        <v>13</v>
      </c>
      <c r="S286" s="477">
        <f>Q286-R286</f>
        <v/>
      </c>
      <c r="T286" s="71">
        <f>R286/Q286</f>
        <v/>
      </c>
      <c r="V286" s="339" t="n">
        <v>22000</v>
      </c>
      <c r="AM286" s="357" t="n"/>
    </row>
    <row r="287">
      <c r="A287" s="339" t="inlineStr">
        <is>
          <t>용호동</t>
        </is>
      </c>
      <c r="D287" s="339" t="n">
        <v>4607</v>
      </c>
      <c r="E287" s="113" t="inlineStr">
        <is>
          <t>경동</t>
        </is>
      </c>
      <c r="F287" s="339" t="n">
        <v>1992.12</v>
      </c>
      <c r="G287" s="339" t="n">
        <v>499</v>
      </c>
      <c r="H287" s="339">
        <f>2026-F287+1</f>
        <v/>
      </c>
      <c r="J287" s="339" t="n">
        <v>131</v>
      </c>
      <c r="K287" s="339" t="n">
        <v>112</v>
      </c>
      <c r="L287" s="339" t="n">
        <v>40</v>
      </c>
      <c r="M287" s="339" t="inlineStr">
        <is>
          <t>계단식</t>
        </is>
      </c>
      <c r="N287" s="339" t="n">
        <v>4</v>
      </c>
      <c r="O287" s="339" t="n">
        <v>2</v>
      </c>
      <c r="P287" s="339" t="n">
        <v>34</v>
      </c>
      <c r="S287" s="477">
        <f>Q287-R287</f>
        <v/>
      </c>
      <c r="T287" s="71">
        <f>R287/Q287</f>
        <v/>
      </c>
      <c r="U287" s="339" t="n">
        <v>32500</v>
      </c>
      <c r="V287" s="339" t="n">
        <v>28000</v>
      </c>
    </row>
    <row r="288">
      <c r="A288" s="339" t="inlineStr">
        <is>
          <t>용호동</t>
        </is>
      </c>
      <c r="D288" s="339" t="n">
        <v>4607</v>
      </c>
      <c r="E288" s="113" t="inlineStr">
        <is>
          <t>경동</t>
        </is>
      </c>
      <c r="F288" s="339" t="n">
        <v>1992.12</v>
      </c>
      <c r="G288" s="339" t="n">
        <v>499</v>
      </c>
      <c r="H288" s="339">
        <f>2026-F288+1</f>
        <v/>
      </c>
      <c r="K288" s="339" t="n">
        <v>114</v>
      </c>
      <c r="M288" s="339" t="inlineStr">
        <is>
          <t>계단식</t>
        </is>
      </c>
      <c r="N288" s="339" t="n">
        <v>4</v>
      </c>
      <c r="O288" s="339" t="n">
        <v>2</v>
      </c>
      <c r="P288" s="339" t="n">
        <v>49</v>
      </c>
      <c r="S288" s="477">
        <f>Q288-R288</f>
        <v/>
      </c>
      <c r="T288" s="71">
        <f>R288/Q288</f>
        <v/>
      </c>
      <c r="U288" s="339" t="n">
        <v>34750</v>
      </c>
      <c r="V288" s="339" t="n">
        <v>34750</v>
      </c>
    </row>
    <row r="289">
      <c r="A289" s="339" t="inlineStr">
        <is>
          <t>용호동</t>
        </is>
      </c>
      <c r="B289" s="164" t="n"/>
      <c r="C289" s="164" t="n"/>
      <c r="D289" s="339" t="n">
        <v>4607</v>
      </c>
      <c r="E289" s="113" t="inlineStr">
        <is>
          <t>경동</t>
        </is>
      </c>
      <c r="F289" s="339" t="n">
        <v>1992.12</v>
      </c>
      <c r="G289" s="339" t="n">
        <v>499</v>
      </c>
      <c r="H289" s="339">
        <f>2026-F289+1</f>
        <v/>
      </c>
      <c r="K289" s="339" t="n">
        <v>103</v>
      </c>
      <c r="M289" s="339" t="inlineStr">
        <is>
          <t>계단식</t>
        </is>
      </c>
      <c r="N289" s="339" t="n">
        <v>4</v>
      </c>
      <c r="O289" s="339" t="n">
        <v>2</v>
      </c>
      <c r="P289" s="339" t="n">
        <v>1</v>
      </c>
      <c r="S289" s="477">
        <f>Q289-R289</f>
        <v/>
      </c>
      <c r="T289" s="71">
        <f>R289/Q289</f>
        <v/>
      </c>
      <c r="V289" s="339" t="n">
        <v>22000</v>
      </c>
      <c r="AM289" s="357" t="n"/>
    </row>
    <row r="290">
      <c r="A290" s="132" t="inlineStr">
        <is>
          <t>용호동</t>
        </is>
      </c>
      <c r="B290" s="133" t="n"/>
      <c r="C290" s="133" t="n"/>
      <c r="D290" s="132" t="n">
        <v>4612</v>
      </c>
      <c r="E290" s="154" t="inlineStr">
        <is>
          <t>대광타워맨션</t>
        </is>
      </c>
      <c r="F290" s="132" t="n">
        <v>1995.04</v>
      </c>
      <c r="G290" s="132" t="n">
        <v>479</v>
      </c>
      <c r="H290" s="132">
        <f>2026-F290+1</f>
        <v/>
      </c>
      <c r="I290" s="133" t="n"/>
      <c r="J290" s="132" t="n">
        <v>134</v>
      </c>
      <c r="K290" s="132" t="n">
        <v>111</v>
      </c>
      <c r="L290" s="132" t="n">
        <v>41</v>
      </c>
      <c r="M290" s="132" t="inlineStr">
        <is>
          <t>계단식</t>
        </is>
      </c>
      <c r="N290" s="132" t="n">
        <v>4</v>
      </c>
      <c r="O290" s="132" t="n">
        <v>2</v>
      </c>
      <c r="P290" s="132" t="n">
        <v>50</v>
      </c>
      <c r="Q290" s="160" t="n"/>
      <c r="R290" s="160" t="n"/>
      <c r="S290" s="477">
        <f>Q290-R290</f>
        <v/>
      </c>
      <c r="T290" s="71">
        <f>R290/Q290</f>
        <v/>
      </c>
      <c r="U290" s="133" t="n">
        <v>25400</v>
      </c>
      <c r="V290" s="133" t="n"/>
      <c r="AA290" s="133" t="n"/>
      <c r="AB290" s="133" t="n"/>
      <c r="AC290" s="133" t="n"/>
      <c r="AD290" s="133" t="n"/>
      <c r="AE290" s="133" t="n"/>
      <c r="AF290" s="133" t="n"/>
      <c r="AG290" s="133" t="n"/>
      <c r="AK290" s="133" t="n"/>
      <c r="AL290" s="133" t="n"/>
      <c r="AM290" s="133" t="n"/>
      <c r="AN290" s="133" t="n"/>
      <c r="AV290" s="133" t="n"/>
    </row>
    <row r="291">
      <c r="A291" s="132" t="inlineStr">
        <is>
          <t>용호동</t>
        </is>
      </c>
      <c r="B291" s="88" t="n"/>
      <c r="C291" s="89" t="n"/>
      <c r="D291" s="132" t="n">
        <v>4612</v>
      </c>
      <c r="E291" s="154" t="inlineStr">
        <is>
          <t>대광타워맨션</t>
        </is>
      </c>
      <c r="F291" s="132" t="n">
        <v>1995.04</v>
      </c>
      <c r="G291" s="132" t="n">
        <v>479</v>
      </c>
      <c r="H291" s="132">
        <f>2026-F291+1</f>
        <v/>
      </c>
      <c r="I291" s="133" t="n"/>
      <c r="J291" s="132" t="n">
        <v>156</v>
      </c>
      <c r="K291" s="132" t="n">
        <v>130</v>
      </c>
      <c r="L291" s="132" t="n">
        <v>47</v>
      </c>
      <c r="M291" s="132" t="inlineStr">
        <is>
          <t>계단식</t>
        </is>
      </c>
      <c r="N291" s="132" t="n">
        <v>5</v>
      </c>
      <c r="O291" s="132" t="n">
        <v>2</v>
      </c>
      <c r="P291" s="132" t="n">
        <v>50</v>
      </c>
      <c r="Q291" s="160" t="n"/>
      <c r="R291" s="160" t="n"/>
      <c r="S291" s="477">
        <f>Q291-R291</f>
        <v/>
      </c>
      <c r="T291" s="71">
        <f>R291/Q291</f>
        <v/>
      </c>
      <c r="U291" s="133" t="n">
        <v>28000</v>
      </c>
      <c r="V291" s="133" t="n">
        <v>22000</v>
      </c>
      <c r="AA291" s="133" t="n"/>
      <c r="AB291" s="133" t="n"/>
      <c r="AC291" s="133" t="n"/>
      <c r="AD291" s="133" t="n"/>
      <c r="AE291" s="133" t="n"/>
      <c r="AF291" s="133" t="n"/>
      <c r="AG291" s="133" t="n"/>
      <c r="AK291" s="133" t="n"/>
      <c r="AL291" s="133" t="n"/>
      <c r="AM291" s="88" t="n"/>
      <c r="AN291" s="133" t="n"/>
      <c r="AV291" s="133" t="n"/>
    </row>
    <row r="292">
      <c r="A292" s="339" t="inlineStr">
        <is>
          <t>용호동</t>
        </is>
      </c>
      <c r="D292" s="339" t="n">
        <v>108136</v>
      </c>
      <c r="E292" s="113" t="inlineStr">
        <is>
          <t>더블유(주상복합)</t>
        </is>
      </c>
      <c r="F292" s="339" t="n">
        <v>2018.03</v>
      </c>
      <c r="G292" s="339" t="n">
        <v>1488</v>
      </c>
      <c r="H292" s="339">
        <f>2026-F292+1</f>
        <v/>
      </c>
      <c r="K292" s="339" t="n">
        <v>99</v>
      </c>
      <c r="M292" s="339" t="inlineStr">
        <is>
          <t>계단식</t>
        </is>
      </c>
      <c r="N292" s="339" t="n">
        <v>3</v>
      </c>
      <c r="O292" s="339" t="n">
        <v>2</v>
      </c>
      <c r="P292" s="339" t="n">
        <v>162</v>
      </c>
      <c r="S292" s="477">
        <f>Q292-R292</f>
        <v/>
      </c>
      <c r="T292" s="71">
        <f>R292/Q292</f>
        <v/>
      </c>
      <c r="U292" s="339" t="n">
        <v>160000</v>
      </c>
      <c r="V292" s="339" t="n">
        <v>110000</v>
      </c>
    </row>
    <row r="293">
      <c r="A293" s="339" t="inlineStr">
        <is>
          <t>용호동</t>
        </is>
      </c>
      <c r="D293" s="339" t="n">
        <v>108136</v>
      </c>
      <c r="E293" s="113" t="inlineStr">
        <is>
          <t>더블유(주상복합)</t>
        </is>
      </c>
      <c r="F293" s="339" t="n">
        <v>2018.03</v>
      </c>
      <c r="G293" s="339" t="n">
        <v>1488</v>
      </c>
      <c r="H293" s="339">
        <f>2026-F293+1</f>
        <v/>
      </c>
      <c r="K293" s="339" t="n">
        <v>98</v>
      </c>
      <c r="M293" s="339" t="inlineStr">
        <is>
          <t>계단식</t>
        </is>
      </c>
      <c r="N293" s="339" t="n">
        <v>3</v>
      </c>
      <c r="O293" s="339" t="n">
        <v>2</v>
      </c>
      <c r="P293" s="339" t="n">
        <v>26</v>
      </c>
      <c r="S293" s="477">
        <f>Q293-R293</f>
        <v/>
      </c>
      <c r="T293" s="71">
        <f>R293/Q293</f>
        <v/>
      </c>
      <c r="U293" s="339" t="n">
        <v>160000</v>
      </c>
      <c r="V293" s="339" t="n">
        <v>110000</v>
      </c>
    </row>
    <row r="294">
      <c r="A294" s="339" t="inlineStr">
        <is>
          <t>용호동</t>
        </is>
      </c>
      <c r="D294" s="339" t="n">
        <v>108136</v>
      </c>
      <c r="E294" s="113" t="inlineStr">
        <is>
          <t>더블유(주상복합)</t>
        </is>
      </c>
      <c r="F294" s="339" t="n">
        <v>2018.03</v>
      </c>
      <c r="G294" s="339" t="n">
        <v>1488</v>
      </c>
      <c r="H294" s="339">
        <f>2026-F294+1</f>
        <v/>
      </c>
      <c r="K294" s="339" t="n">
        <v>100</v>
      </c>
      <c r="M294" s="339" t="inlineStr">
        <is>
          <t>계단식</t>
        </is>
      </c>
      <c r="N294" s="339" t="n">
        <v>3</v>
      </c>
      <c r="O294" s="339" t="n">
        <v>2</v>
      </c>
      <c r="P294" s="339" t="n">
        <v>38</v>
      </c>
      <c r="S294" s="477">
        <f>Q294-R294</f>
        <v/>
      </c>
      <c r="T294" s="71">
        <f>R294/Q294</f>
        <v/>
      </c>
      <c r="U294" s="339" t="n">
        <v>160000</v>
      </c>
      <c r="V294" s="339" t="n">
        <v>110000</v>
      </c>
    </row>
    <row r="295">
      <c r="A295" s="339" t="inlineStr">
        <is>
          <t>용호동</t>
        </is>
      </c>
      <c r="B295" s="164" t="n"/>
      <c r="C295" s="164" t="n"/>
      <c r="D295" s="339" t="n">
        <v>108136</v>
      </c>
      <c r="E295" s="113" t="inlineStr">
        <is>
          <t>더블유(주상복합)</t>
        </is>
      </c>
      <c r="F295" s="339" t="n">
        <v>2018.03</v>
      </c>
      <c r="G295" s="339" t="n">
        <v>1488</v>
      </c>
      <c r="H295" s="339">
        <f>2026-F295+1</f>
        <v/>
      </c>
      <c r="K295" s="339" t="n">
        <v>104</v>
      </c>
      <c r="M295" s="339" t="inlineStr">
        <is>
          <t>계단식</t>
        </is>
      </c>
      <c r="N295" s="339" t="n">
        <v>3</v>
      </c>
      <c r="O295" s="339" t="n">
        <v>2</v>
      </c>
      <c r="P295" s="339" t="n">
        <v>52</v>
      </c>
      <c r="S295" s="477">
        <f>Q295-R295</f>
        <v/>
      </c>
      <c r="T295" s="71">
        <f>R295/Q295</f>
        <v/>
      </c>
      <c r="V295" s="339" t="n">
        <v>134000</v>
      </c>
      <c r="AM295" s="357" t="n"/>
    </row>
    <row r="296">
      <c r="A296" s="339" t="inlineStr">
        <is>
          <t>용호동</t>
        </is>
      </c>
      <c r="B296" s="164" t="n"/>
      <c r="C296" s="164" t="n"/>
      <c r="D296" s="339" t="n">
        <v>108136</v>
      </c>
      <c r="E296" s="113" t="inlineStr">
        <is>
          <t>더블유(주상복합)</t>
        </is>
      </c>
      <c r="F296" s="339" t="n">
        <v>2018.03</v>
      </c>
      <c r="G296" s="339" t="n">
        <v>1488</v>
      </c>
      <c r="H296" s="339">
        <f>2026-F296+1</f>
        <v/>
      </c>
      <c r="K296" s="339" t="n">
        <v>106</v>
      </c>
      <c r="M296" s="339" t="inlineStr">
        <is>
          <t>계단식</t>
        </is>
      </c>
      <c r="N296" s="339" t="n">
        <v>3</v>
      </c>
      <c r="O296" s="339" t="n">
        <v>2</v>
      </c>
      <c r="P296" s="339" t="n">
        <v>2</v>
      </c>
      <c r="S296" s="477">
        <f>Q296-R296</f>
        <v/>
      </c>
      <c r="T296" s="71">
        <f>R296/Q296</f>
        <v/>
      </c>
      <c r="AM296" s="357" t="n"/>
    </row>
    <row r="297">
      <c r="A297" s="339" t="inlineStr">
        <is>
          <t>용호동</t>
        </is>
      </c>
      <c r="B297" s="164" t="n"/>
      <c r="C297" s="164" t="n"/>
      <c r="D297" s="339" t="n">
        <v>108136</v>
      </c>
      <c r="E297" s="113" t="inlineStr">
        <is>
          <t>더블유(주상복합)</t>
        </is>
      </c>
      <c r="F297" s="339" t="n">
        <v>2018.03</v>
      </c>
      <c r="G297" s="339" t="n">
        <v>1488</v>
      </c>
      <c r="H297" s="339">
        <f>2026-F297+1</f>
        <v/>
      </c>
      <c r="K297" s="339" t="n">
        <v>108</v>
      </c>
      <c r="M297" s="339" t="inlineStr">
        <is>
          <t>계단식</t>
        </is>
      </c>
      <c r="N297" s="339" t="n">
        <v>3</v>
      </c>
      <c r="O297" s="339" t="n">
        <v>2</v>
      </c>
      <c r="P297" s="339" t="n">
        <v>8</v>
      </c>
      <c r="S297" s="477">
        <f>Q297-R297</f>
        <v/>
      </c>
      <c r="T297" s="71">
        <f>R297/Q297</f>
        <v/>
      </c>
      <c r="AM297" s="357" t="n"/>
    </row>
    <row r="298">
      <c r="A298" s="339" t="inlineStr">
        <is>
          <t>용호동</t>
        </is>
      </c>
      <c r="B298" s="164" t="n"/>
      <c r="C298" s="164" t="n"/>
      <c r="D298" s="339" t="n">
        <v>108136</v>
      </c>
      <c r="E298" s="113" t="inlineStr">
        <is>
          <t>더블유(주상복합)</t>
        </is>
      </c>
      <c r="F298" s="339" t="n">
        <v>2018.03</v>
      </c>
      <c r="G298" s="339" t="n">
        <v>1488</v>
      </c>
      <c r="H298" s="339">
        <f>2026-F298+1</f>
        <v/>
      </c>
      <c r="K298" s="339" t="n">
        <v>107</v>
      </c>
      <c r="M298" s="339" t="inlineStr">
        <is>
          <t>계단식</t>
        </is>
      </c>
      <c r="N298" s="339" t="n">
        <v>3</v>
      </c>
      <c r="O298" s="339" t="n">
        <v>2</v>
      </c>
      <c r="P298" s="339" t="n">
        <v>4</v>
      </c>
      <c r="S298" s="477">
        <f>Q298-R298</f>
        <v/>
      </c>
      <c r="T298" s="71">
        <f>R298/Q298</f>
        <v/>
      </c>
      <c r="AM298" s="357" t="n"/>
    </row>
    <row r="299">
      <c r="A299" s="339" t="inlineStr">
        <is>
          <t>용호동</t>
        </is>
      </c>
      <c r="B299" s="164" t="n"/>
      <c r="C299" s="164" t="n"/>
      <c r="D299" s="339" t="n">
        <v>108136</v>
      </c>
      <c r="E299" s="113" t="inlineStr">
        <is>
          <t>더블유(주상복합)</t>
        </is>
      </c>
      <c r="F299" s="339" t="n">
        <v>2018.03</v>
      </c>
      <c r="G299" s="339" t="n">
        <v>1488</v>
      </c>
      <c r="H299" s="339">
        <f>2026-F299+1</f>
        <v/>
      </c>
      <c r="K299" s="339" t="n">
        <v>110</v>
      </c>
      <c r="M299" s="339" t="inlineStr">
        <is>
          <t>계단식</t>
        </is>
      </c>
      <c r="N299" s="339" t="n">
        <v>3</v>
      </c>
      <c r="O299" s="339" t="n">
        <v>2</v>
      </c>
      <c r="P299" s="339" t="n">
        <v>50</v>
      </c>
      <c r="S299" s="477">
        <f>Q299-R299</f>
        <v/>
      </c>
      <c r="T299" s="71">
        <f>R299/Q299</f>
        <v/>
      </c>
      <c r="U299" s="339" t="n">
        <v>198000</v>
      </c>
      <c r="V299" s="339" t="n">
        <v>189000</v>
      </c>
      <c r="AM299" s="357" t="n"/>
    </row>
    <row r="300">
      <c r="A300" s="339" t="inlineStr">
        <is>
          <t>용호동</t>
        </is>
      </c>
      <c r="B300" s="164" t="n"/>
      <c r="C300" s="164" t="n"/>
      <c r="D300" s="339" t="n">
        <v>108136</v>
      </c>
      <c r="E300" s="113" t="inlineStr">
        <is>
          <t>더블유(주상복합)</t>
        </is>
      </c>
      <c r="F300" s="339" t="n">
        <v>2018.03</v>
      </c>
      <c r="G300" s="339" t="n">
        <v>1488</v>
      </c>
      <c r="H300" s="339">
        <f>2026-F300+1</f>
        <v/>
      </c>
      <c r="K300" s="339" t="n">
        <v>111</v>
      </c>
      <c r="M300" s="339" t="inlineStr">
        <is>
          <t>계단식</t>
        </is>
      </c>
      <c r="N300" s="339" t="n">
        <v>3</v>
      </c>
      <c r="O300" s="339" t="n">
        <v>2</v>
      </c>
      <c r="P300" s="339" t="n">
        <v>58</v>
      </c>
      <c r="S300" s="477">
        <f>Q300-R300</f>
        <v/>
      </c>
      <c r="T300" s="71">
        <f>R300/Q300</f>
        <v/>
      </c>
      <c r="U300" s="339" t="n">
        <v>198000</v>
      </c>
      <c r="V300" s="339" t="n">
        <v>160000</v>
      </c>
      <c r="AM300" s="357" t="n"/>
    </row>
    <row r="301">
      <c r="A301" s="339" t="inlineStr">
        <is>
          <t>용호동</t>
        </is>
      </c>
      <c r="B301" s="164" t="n"/>
      <c r="C301" s="164" t="n"/>
      <c r="D301" s="339" t="n">
        <v>108136</v>
      </c>
      <c r="E301" s="113" t="inlineStr">
        <is>
          <t>더블유(주상복합)</t>
        </is>
      </c>
      <c r="F301" s="339" t="n">
        <v>2018.03</v>
      </c>
      <c r="G301" s="339" t="n">
        <v>1488</v>
      </c>
      <c r="H301" s="339">
        <f>2026-F301+1</f>
        <v/>
      </c>
      <c r="K301" s="339" t="n">
        <v>112</v>
      </c>
      <c r="M301" s="339" t="inlineStr">
        <is>
          <t>계단식</t>
        </is>
      </c>
      <c r="N301" s="339" t="n">
        <v>3</v>
      </c>
      <c r="O301" s="339" t="n">
        <v>2</v>
      </c>
      <c r="P301" s="339" t="n">
        <v>2</v>
      </c>
      <c r="S301" s="477">
        <f>Q301-R301</f>
        <v/>
      </c>
      <c r="T301" s="71">
        <f>R301/Q301</f>
        <v/>
      </c>
      <c r="V301" s="339" t="n">
        <v>160000</v>
      </c>
      <c r="AM301" s="357" t="n"/>
    </row>
    <row r="302">
      <c r="A302" s="339" t="inlineStr">
        <is>
          <t>용호동</t>
        </is>
      </c>
      <c r="B302" s="164" t="n"/>
      <c r="C302" s="164" t="n"/>
      <c r="D302" s="339" t="n">
        <v>108136</v>
      </c>
      <c r="E302" s="113" t="inlineStr">
        <is>
          <t>더블유(주상복합)</t>
        </is>
      </c>
      <c r="F302" s="339" t="n">
        <v>2018.03</v>
      </c>
      <c r="G302" s="339" t="n">
        <v>1488</v>
      </c>
      <c r="H302" s="339">
        <f>2026-F302+1</f>
        <v/>
      </c>
      <c r="K302" s="339" t="n">
        <v>117</v>
      </c>
      <c r="M302" s="339" t="inlineStr">
        <is>
          <t>계단식</t>
        </is>
      </c>
      <c r="N302" s="339" t="n">
        <v>3</v>
      </c>
      <c r="O302" s="339" t="n">
        <v>2</v>
      </c>
      <c r="P302" s="339" t="n">
        <v>62</v>
      </c>
      <c r="S302" s="477">
        <f>Q302-R302</f>
        <v/>
      </c>
      <c r="T302" s="71">
        <f>R302/Q302</f>
        <v/>
      </c>
      <c r="V302" s="339" t="n">
        <v>178000</v>
      </c>
      <c r="AM302" s="357" t="n"/>
    </row>
    <row r="303">
      <c r="A303" s="339" t="inlineStr">
        <is>
          <t>용호동</t>
        </is>
      </c>
      <c r="B303" s="164" t="n"/>
      <c r="C303" s="164" t="n"/>
      <c r="D303" s="339" t="n">
        <v>108136</v>
      </c>
      <c r="E303" s="113" t="inlineStr">
        <is>
          <t>더블유(주상복합)</t>
        </is>
      </c>
      <c r="F303" s="339" t="n">
        <v>2018.03</v>
      </c>
      <c r="G303" s="339" t="n">
        <v>1488</v>
      </c>
      <c r="H303" s="339">
        <f>2026-F303+1</f>
        <v/>
      </c>
      <c r="K303" s="339" t="n">
        <v>118</v>
      </c>
      <c r="M303" s="339" t="inlineStr">
        <is>
          <t>계단식</t>
        </is>
      </c>
      <c r="N303" s="339" t="n">
        <v>3</v>
      </c>
      <c r="O303" s="339" t="n">
        <v>2</v>
      </c>
      <c r="P303" s="339" t="n">
        <v>12</v>
      </c>
      <c r="S303" s="477">
        <f>Q303-R303</f>
        <v/>
      </c>
      <c r="T303" s="71">
        <f>R303/Q303</f>
        <v/>
      </c>
      <c r="V303" s="339" t="n">
        <v>178000</v>
      </c>
      <c r="AM303" s="357" t="n"/>
    </row>
    <row r="304">
      <c r="A304" s="339" t="inlineStr">
        <is>
          <t>용호동</t>
        </is>
      </c>
      <c r="B304" s="164" t="n"/>
      <c r="C304" s="164" t="n"/>
      <c r="D304" s="339" t="n">
        <v>108136</v>
      </c>
      <c r="E304" s="113" t="inlineStr">
        <is>
          <t>더블유(주상복합)</t>
        </is>
      </c>
      <c r="F304" s="339" t="n">
        <v>2018.03</v>
      </c>
      <c r="G304" s="339" t="n">
        <v>1488</v>
      </c>
      <c r="H304" s="339">
        <f>2026-F304+1</f>
        <v/>
      </c>
      <c r="K304" s="339" t="n">
        <v>121</v>
      </c>
      <c r="M304" s="339" t="inlineStr">
        <is>
          <t>계단식</t>
        </is>
      </c>
      <c r="N304" s="339" t="n">
        <v>3</v>
      </c>
      <c r="O304" s="339" t="n">
        <v>2</v>
      </c>
      <c r="P304" s="339" t="n">
        <v>104</v>
      </c>
      <c r="S304" s="477">
        <f>Q304-R304</f>
        <v/>
      </c>
      <c r="T304" s="71">
        <f>R304/Q304</f>
        <v/>
      </c>
      <c r="U304" s="339" t="n">
        <v>188000</v>
      </c>
      <c r="V304" s="339" t="n">
        <v>155000</v>
      </c>
      <c r="AM304" s="357" t="n"/>
    </row>
    <row r="305">
      <c r="A305" s="339" t="inlineStr">
        <is>
          <t>용호동</t>
        </is>
      </c>
      <c r="B305" s="164" t="n"/>
      <c r="C305" s="164" t="n"/>
      <c r="D305" s="339" t="n">
        <v>108136</v>
      </c>
      <c r="E305" s="113" t="inlineStr">
        <is>
          <t>더블유(주상복합)</t>
        </is>
      </c>
      <c r="F305" s="339" t="n">
        <v>2018.03</v>
      </c>
      <c r="G305" s="339" t="n">
        <v>1488</v>
      </c>
      <c r="H305" s="339">
        <f>2026-F305+1</f>
        <v/>
      </c>
      <c r="K305" s="339" t="n">
        <v>123</v>
      </c>
      <c r="M305" s="339" t="inlineStr">
        <is>
          <t>계단식</t>
        </is>
      </c>
      <c r="N305" s="339" t="n">
        <v>3</v>
      </c>
      <c r="O305" s="339" t="n">
        <v>2</v>
      </c>
      <c r="P305" s="339" t="n">
        <v>104</v>
      </c>
      <c r="S305" s="477">
        <f>Q305-R305</f>
        <v/>
      </c>
      <c r="T305" s="71">
        <f>R305/Q305</f>
        <v/>
      </c>
      <c r="U305" s="339" t="n">
        <v>211000</v>
      </c>
      <c r="V305" s="339" t="n">
        <v>155000</v>
      </c>
      <c r="AM305" s="357" t="n"/>
    </row>
    <row r="306">
      <c r="A306" s="339" t="inlineStr">
        <is>
          <t>용호동</t>
        </is>
      </c>
      <c r="B306" s="164" t="n"/>
      <c r="C306" s="164" t="n"/>
      <c r="D306" s="339" t="n">
        <v>108136</v>
      </c>
      <c r="E306" s="113" t="inlineStr">
        <is>
          <t>더블유(주상복합)</t>
        </is>
      </c>
      <c r="F306" s="339" t="n">
        <v>2018.03</v>
      </c>
      <c r="G306" s="339" t="n">
        <v>1488</v>
      </c>
      <c r="H306" s="339">
        <f>2026-F306+1</f>
        <v/>
      </c>
      <c r="K306" s="339" t="n">
        <v>124</v>
      </c>
      <c r="M306" s="339" t="inlineStr">
        <is>
          <t>계단식</t>
        </is>
      </c>
      <c r="N306" s="339" t="n">
        <v>3</v>
      </c>
      <c r="O306" s="339" t="n">
        <v>2</v>
      </c>
      <c r="P306" s="339" t="n">
        <v>58</v>
      </c>
      <c r="S306" s="477">
        <f>Q306-R306</f>
        <v/>
      </c>
      <c r="T306" s="71">
        <f>R306/Q306</f>
        <v/>
      </c>
      <c r="U306" s="339" t="n">
        <v>211000</v>
      </c>
      <c r="V306" s="339" t="n">
        <v>167750</v>
      </c>
      <c r="AM306" s="357" t="n"/>
    </row>
    <row r="307">
      <c r="A307" s="339" t="inlineStr">
        <is>
          <t>용호동</t>
        </is>
      </c>
      <c r="D307" s="339" t="n">
        <v>108136</v>
      </c>
      <c r="E307" s="113" t="inlineStr">
        <is>
          <t>더블유(주상복합)</t>
        </is>
      </c>
      <c r="F307" s="339" t="n">
        <v>2018.03</v>
      </c>
      <c r="G307" s="339" t="n">
        <v>1488</v>
      </c>
      <c r="H307" s="339">
        <f>2026-F307+1</f>
        <v/>
      </c>
      <c r="K307" s="339" t="n">
        <v>126</v>
      </c>
      <c r="M307" s="339" t="inlineStr">
        <is>
          <t>계단식</t>
        </is>
      </c>
      <c r="N307" s="339" t="n">
        <v>3</v>
      </c>
      <c r="O307" s="339" t="n">
        <v>2</v>
      </c>
      <c r="P307" s="339" t="n">
        <v>3</v>
      </c>
      <c r="S307" s="477">
        <f>Q307-R307</f>
        <v/>
      </c>
      <c r="T307" s="71">
        <f>R307/Q307</f>
        <v/>
      </c>
    </row>
    <row r="308">
      <c r="A308" s="339" t="inlineStr">
        <is>
          <t>용호동</t>
        </is>
      </c>
      <c r="D308" s="339" t="n">
        <v>108136</v>
      </c>
      <c r="E308" s="113" t="inlineStr">
        <is>
          <t>더블유(주상복합)</t>
        </is>
      </c>
      <c r="F308" s="339" t="n">
        <v>2018.03</v>
      </c>
      <c r="G308" s="339" t="n">
        <v>1488</v>
      </c>
      <c r="H308" s="339">
        <f>2026-F308+1</f>
        <v/>
      </c>
      <c r="K308" s="339" t="n">
        <v>133</v>
      </c>
      <c r="M308" s="339" t="inlineStr">
        <is>
          <t>계단식</t>
        </is>
      </c>
      <c r="N308" s="339" t="n">
        <v>3</v>
      </c>
      <c r="O308" s="339" t="n">
        <v>2</v>
      </c>
      <c r="P308" s="339" t="n">
        <v>26</v>
      </c>
      <c r="S308" s="477">
        <f>Q308-R308</f>
        <v/>
      </c>
      <c r="T308" s="71">
        <f>R308/Q308</f>
        <v/>
      </c>
      <c r="U308" s="339" t="n">
        <v>260000</v>
      </c>
      <c r="V308" s="339" t="n">
        <v>254000</v>
      </c>
    </row>
    <row r="309">
      <c r="A309" s="339" t="inlineStr">
        <is>
          <t>용호동</t>
        </is>
      </c>
      <c r="D309" s="339" t="n">
        <v>108136</v>
      </c>
      <c r="E309" s="113" t="inlineStr">
        <is>
          <t>더블유(주상복합)</t>
        </is>
      </c>
      <c r="F309" s="339" t="n">
        <v>2018.03</v>
      </c>
      <c r="G309" s="339" t="n">
        <v>1488</v>
      </c>
      <c r="H309" s="339">
        <f>2026-F309+1</f>
        <v/>
      </c>
      <c r="K309" s="339" t="n">
        <v>134</v>
      </c>
      <c r="M309" s="339" t="inlineStr">
        <is>
          <t>계단식</t>
        </is>
      </c>
      <c r="N309" s="339" t="n">
        <v>3</v>
      </c>
      <c r="O309" s="339" t="n">
        <v>2</v>
      </c>
      <c r="P309" s="339" t="n">
        <v>93</v>
      </c>
      <c r="S309" s="477">
        <f>Q309-R309</f>
        <v/>
      </c>
      <c r="T309" s="71">
        <f>R309/Q309</f>
        <v/>
      </c>
      <c r="U309" s="339" t="n">
        <v>267000</v>
      </c>
      <c r="V309" s="339" t="n">
        <v>254000</v>
      </c>
    </row>
    <row r="310">
      <c r="A310" s="339" t="inlineStr">
        <is>
          <t>용호동</t>
        </is>
      </c>
      <c r="D310" s="339" t="n">
        <v>108136</v>
      </c>
      <c r="E310" s="113" t="inlineStr">
        <is>
          <t>더블유(주상복합)</t>
        </is>
      </c>
      <c r="F310" s="339" t="n">
        <v>2018.03</v>
      </c>
      <c r="G310" s="339" t="n">
        <v>1488</v>
      </c>
      <c r="H310" s="339">
        <f>2026-F310+1</f>
        <v/>
      </c>
      <c r="K310" s="339" t="n">
        <v>133</v>
      </c>
      <c r="M310" s="339" t="inlineStr">
        <is>
          <t>계단식</t>
        </is>
      </c>
      <c r="N310" s="339" t="n">
        <v>3</v>
      </c>
      <c r="O310" s="339" t="n">
        <v>3</v>
      </c>
      <c r="P310" s="339" t="n">
        <v>3</v>
      </c>
      <c r="S310" s="477">
        <f>Q310-R310</f>
        <v/>
      </c>
      <c r="T310" s="71">
        <f>R310/Q310</f>
        <v/>
      </c>
      <c r="U310" s="339" t="n">
        <v>260000</v>
      </c>
      <c r="V310" s="339" t="n">
        <v>254000</v>
      </c>
    </row>
    <row r="311">
      <c r="A311" s="339" t="inlineStr">
        <is>
          <t>용호동</t>
        </is>
      </c>
      <c r="B311" s="164" t="n"/>
      <c r="C311" s="164" t="n"/>
      <c r="D311" s="339" t="n">
        <v>108136</v>
      </c>
      <c r="E311" s="113" t="inlineStr">
        <is>
          <t>더블유(주상복합)</t>
        </is>
      </c>
      <c r="F311" s="339" t="n">
        <v>2018.03</v>
      </c>
      <c r="G311" s="339" t="n">
        <v>1488</v>
      </c>
      <c r="H311" s="339">
        <f>2026-F311+1</f>
        <v/>
      </c>
      <c r="K311" s="339" t="n">
        <v>141</v>
      </c>
      <c r="M311" s="339" t="inlineStr">
        <is>
          <t>계단식</t>
        </is>
      </c>
      <c r="N311" s="339" t="n">
        <v>3</v>
      </c>
      <c r="O311" s="339" t="n">
        <v>2</v>
      </c>
      <c r="P311" s="339" t="n">
        <v>78</v>
      </c>
      <c r="S311" s="477">
        <f>Q311-R311</f>
        <v/>
      </c>
      <c r="T311" s="71">
        <f>R311/Q311</f>
        <v/>
      </c>
      <c r="V311" s="339" t="n">
        <v>250000</v>
      </c>
      <c r="AM311" s="357" t="n"/>
    </row>
    <row r="312">
      <c r="A312" s="339" t="inlineStr">
        <is>
          <t>용호동</t>
        </is>
      </c>
      <c r="B312" s="164" t="n"/>
      <c r="C312" s="164" t="n"/>
      <c r="D312" s="339" t="n">
        <v>108136</v>
      </c>
      <c r="E312" s="113" t="inlineStr">
        <is>
          <t>더블유(주상복합)</t>
        </is>
      </c>
      <c r="F312" s="339" t="n">
        <v>2018.03</v>
      </c>
      <c r="G312" s="339" t="n">
        <v>1488</v>
      </c>
      <c r="H312" s="339">
        <f>2026-F312+1</f>
        <v/>
      </c>
      <c r="K312" s="339" t="n">
        <v>142</v>
      </c>
      <c r="M312" s="339" t="inlineStr">
        <is>
          <t>계단식</t>
        </is>
      </c>
      <c r="N312" s="339" t="n">
        <v>3</v>
      </c>
      <c r="O312" s="339" t="n">
        <v>2</v>
      </c>
      <c r="P312" s="339" t="n">
        <v>62</v>
      </c>
      <c r="S312" s="477">
        <f>Q312-R312</f>
        <v/>
      </c>
      <c r="T312" s="71">
        <f>R312/Q312</f>
        <v/>
      </c>
      <c r="V312" s="339" t="n">
        <v>239000</v>
      </c>
      <c r="AM312" s="357" t="n"/>
    </row>
    <row r="313">
      <c r="A313" s="339" t="inlineStr">
        <is>
          <t>용호동</t>
        </is>
      </c>
      <c r="B313" s="164" t="n"/>
      <c r="C313" s="164" t="n"/>
      <c r="D313" s="339" t="n">
        <v>108136</v>
      </c>
      <c r="E313" s="113" t="inlineStr">
        <is>
          <t>더블유(주상복합)</t>
        </is>
      </c>
      <c r="F313" s="339" t="n">
        <v>2018.03</v>
      </c>
      <c r="G313" s="339" t="n">
        <v>1488</v>
      </c>
      <c r="H313" s="339">
        <f>2026-F313+1</f>
        <v/>
      </c>
      <c r="K313" s="339" t="n">
        <v>143</v>
      </c>
      <c r="M313" s="339" t="inlineStr">
        <is>
          <t>계단식</t>
        </is>
      </c>
      <c r="N313" s="339" t="n">
        <v>3</v>
      </c>
      <c r="O313" s="339" t="n">
        <v>2</v>
      </c>
      <c r="P313" s="339" t="n">
        <v>104</v>
      </c>
      <c r="S313" s="477">
        <f>Q313-R313</f>
        <v/>
      </c>
      <c r="T313" s="71">
        <f>R313/Q313</f>
        <v/>
      </c>
      <c r="U313" s="339" t="n">
        <v>282000</v>
      </c>
      <c r="V313" s="339" t="n">
        <v>220000</v>
      </c>
      <c r="AM313" s="357" t="n"/>
    </row>
    <row r="314">
      <c r="A314" s="339" t="inlineStr">
        <is>
          <t>용호동</t>
        </is>
      </c>
      <c r="B314" s="164" t="n"/>
      <c r="C314" s="164" t="n"/>
      <c r="D314" s="339" t="n">
        <v>108136</v>
      </c>
      <c r="E314" s="113" t="inlineStr">
        <is>
          <t>더블유(주상복합)</t>
        </is>
      </c>
      <c r="F314" s="339" t="n">
        <v>2018.03</v>
      </c>
      <c r="G314" s="339" t="n">
        <v>1488</v>
      </c>
      <c r="H314" s="339">
        <f>2026-F314+1</f>
        <v/>
      </c>
      <c r="K314" s="339" t="n">
        <v>144</v>
      </c>
      <c r="M314" s="339" t="inlineStr">
        <is>
          <t>계단식</t>
        </is>
      </c>
      <c r="N314" s="339" t="n">
        <v>3</v>
      </c>
      <c r="O314" s="339" t="n">
        <v>2</v>
      </c>
      <c r="P314" s="339" t="n">
        <v>89</v>
      </c>
      <c r="S314" s="477">
        <f>Q314-R314</f>
        <v/>
      </c>
      <c r="T314" s="71">
        <f>R314/Q314</f>
        <v/>
      </c>
      <c r="U314" s="339" t="n">
        <v>282000</v>
      </c>
      <c r="V314" s="339" t="n">
        <v>220000</v>
      </c>
      <c r="AM314" s="357" t="n"/>
    </row>
    <row r="315">
      <c r="A315" s="339" t="inlineStr">
        <is>
          <t>용호동</t>
        </is>
      </c>
      <c r="B315" s="164" t="n"/>
      <c r="C315" s="164" t="n"/>
      <c r="D315" s="339" t="n">
        <v>108136</v>
      </c>
      <c r="E315" s="113" t="inlineStr">
        <is>
          <t>더블유(주상복합)</t>
        </is>
      </c>
      <c r="F315" s="339" t="n">
        <v>2018.03</v>
      </c>
      <c r="G315" s="339" t="n">
        <v>1488</v>
      </c>
      <c r="H315" s="339">
        <f>2026-F315+1</f>
        <v/>
      </c>
      <c r="K315" s="339" t="n">
        <v>145</v>
      </c>
      <c r="M315" s="339" t="inlineStr">
        <is>
          <t>계단식</t>
        </is>
      </c>
      <c r="N315" s="339" t="n">
        <v>3</v>
      </c>
      <c r="O315" s="339" t="n">
        <v>2</v>
      </c>
      <c r="P315" s="339" t="n">
        <v>24</v>
      </c>
      <c r="S315" s="477">
        <f>Q315-R315</f>
        <v/>
      </c>
      <c r="T315" s="71">
        <f>R315/Q315</f>
        <v/>
      </c>
      <c r="U315" s="339" t="n">
        <v>282000</v>
      </c>
      <c r="V315" s="339" t="n">
        <v>220000</v>
      </c>
      <c r="AM315" s="357" t="n"/>
    </row>
    <row r="316">
      <c r="A316" s="339" t="inlineStr">
        <is>
          <t>용호동</t>
        </is>
      </c>
      <c r="B316" s="164" t="n"/>
      <c r="C316" s="164" t="n"/>
      <c r="D316" s="339" t="n">
        <v>108136</v>
      </c>
      <c r="E316" s="113" t="inlineStr">
        <is>
          <t>더블유(주상복합)</t>
        </is>
      </c>
      <c r="F316" s="339" t="n">
        <v>2018.03</v>
      </c>
      <c r="G316" s="339" t="n">
        <v>1488</v>
      </c>
      <c r="H316" s="339">
        <f>2026-F316+1</f>
        <v/>
      </c>
      <c r="K316" s="339" t="n">
        <v>143</v>
      </c>
      <c r="M316" s="339" t="inlineStr">
        <is>
          <t>계단식</t>
        </is>
      </c>
      <c r="N316" s="339" t="n">
        <v>3</v>
      </c>
      <c r="O316" s="339" t="n">
        <v>3</v>
      </c>
      <c r="P316" s="339" t="n">
        <v>3</v>
      </c>
      <c r="S316" s="477">
        <f>Q316-R316</f>
        <v/>
      </c>
      <c r="T316" s="71">
        <f>R316/Q316</f>
        <v/>
      </c>
      <c r="U316" s="339" t="n">
        <v>282000</v>
      </c>
      <c r="V316" s="339" t="n">
        <v>220000</v>
      </c>
      <c r="AM316" s="357" t="n"/>
    </row>
    <row r="317">
      <c r="A317" s="339" t="inlineStr">
        <is>
          <t>용호동</t>
        </is>
      </c>
      <c r="B317" s="164" t="n"/>
      <c r="C317" s="164" t="n"/>
      <c r="D317" s="339" t="n">
        <v>108136</v>
      </c>
      <c r="E317" s="113" t="inlineStr">
        <is>
          <t>더블유(주상복합)</t>
        </is>
      </c>
      <c r="F317" s="339" t="n">
        <v>2018.03</v>
      </c>
      <c r="G317" s="339" t="n">
        <v>1488</v>
      </c>
      <c r="H317" s="339">
        <f>2026-F317+1</f>
        <v/>
      </c>
      <c r="K317" s="339" t="n">
        <v>148</v>
      </c>
      <c r="M317" s="339" t="inlineStr">
        <is>
          <t>계단식</t>
        </is>
      </c>
      <c r="N317" s="339" t="n">
        <v>4</v>
      </c>
      <c r="O317" s="339" t="n">
        <v>2</v>
      </c>
      <c r="P317" s="339" t="n">
        <v>4</v>
      </c>
      <c r="S317" s="477">
        <f>Q317-R317</f>
        <v/>
      </c>
      <c r="T317" s="71">
        <f>R317/Q317</f>
        <v/>
      </c>
      <c r="AM317" s="357" t="n"/>
    </row>
    <row r="318">
      <c r="A318" s="339" t="inlineStr">
        <is>
          <t>용호동</t>
        </is>
      </c>
      <c r="D318" s="339" t="n">
        <v>108136</v>
      </c>
      <c r="E318" s="113" t="inlineStr">
        <is>
          <t>더블유(주상복합)</t>
        </is>
      </c>
      <c r="F318" s="339" t="n">
        <v>2018.03</v>
      </c>
      <c r="G318" s="339" t="n">
        <v>1488</v>
      </c>
      <c r="H318" s="339">
        <f>2026-F318+1</f>
        <v/>
      </c>
      <c r="K318" s="339" t="n">
        <v>148</v>
      </c>
      <c r="M318" s="339" t="inlineStr">
        <is>
          <t>계단식</t>
        </is>
      </c>
      <c r="N318" s="339" t="n">
        <v>3</v>
      </c>
      <c r="O318" s="339" t="n">
        <v>3</v>
      </c>
      <c r="P318" s="339" t="n">
        <v>3</v>
      </c>
      <c r="S318" s="477">
        <f>Q318-R318</f>
        <v/>
      </c>
      <c r="T318" s="71">
        <f>R318/Q318</f>
        <v/>
      </c>
    </row>
    <row r="319">
      <c r="A319" s="339" t="inlineStr">
        <is>
          <t>용호동</t>
        </is>
      </c>
      <c r="D319" s="339" t="n">
        <v>108136</v>
      </c>
      <c r="E319" s="113" t="inlineStr">
        <is>
          <t>더블유(주상복합)</t>
        </is>
      </c>
      <c r="F319" s="339" t="n">
        <v>2018.03</v>
      </c>
      <c r="G319" s="339" t="n">
        <v>1488</v>
      </c>
      <c r="H319" s="339">
        <f>2026-F319+1</f>
        <v/>
      </c>
      <c r="K319" s="339" t="n">
        <v>165</v>
      </c>
      <c r="M319" s="339" t="inlineStr">
        <is>
          <t>계단식</t>
        </is>
      </c>
      <c r="N319" s="339" t="n">
        <v>3</v>
      </c>
      <c r="O319" s="339" t="n">
        <v>2</v>
      </c>
      <c r="P319" s="339" t="n">
        <v>104</v>
      </c>
      <c r="S319" s="477">
        <f>Q319-R319</f>
        <v/>
      </c>
      <c r="T319" s="71">
        <f>R319/Q319</f>
        <v/>
      </c>
      <c r="U319" s="339" t="n">
        <v>319000</v>
      </c>
      <c r="V319" s="339" t="n">
        <v>305000</v>
      </c>
    </row>
    <row r="320">
      <c r="A320" s="339" t="inlineStr">
        <is>
          <t>용호동</t>
        </is>
      </c>
      <c r="D320" s="339" t="n">
        <v>108136</v>
      </c>
      <c r="E320" s="113" t="inlineStr">
        <is>
          <t>더블유(주상복합)</t>
        </is>
      </c>
      <c r="F320" s="339" t="n">
        <v>2018.03</v>
      </c>
      <c r="G320" s="339" t="n">
        <v>1488</v>
      </c>
      <c r="H320" s="339">
        <f>2026-F320+1</f>
        <v/>
      </c>
      <c r="K320" s="339" t="n">
        <v>169</v>
      </c>
      <c r="M320" s="339" t="inlineStr">
        <is>
          <t>계단식</t>
        </is>
      </c>
      <c r="N320" s="339" t="n">
        <v>3</v>
      </c>
      <c r="O320" s="339" t="n">
        <v>2</v>
      </c>
      <c r="P320" s="339" t="n">
        <v>28</v>
      </c>
      <c r="S320" s="477">
        <f>Q320-R320</f>
        <v/>
      </c>
      <c r="T320" s="71">
        <f>R320/Q320</f>
        <v/>
      </c>
    </row>
    <row r="321">
      <c r="A321" s="339" t="inlineStr">
        <is>
          <t>용호동</t>
        </is>
      </c>
      <c r="B321" s="164" t="n"/>
      <c r="C321" s="164" t="n"/>
      <c r="D321" s="339" t="n">
        <v>108136</v>
      </c>
      <c r="E321" s="113" t="inlineStr">
        <is>
          <t>더블유(주상복합)</t>
        </is>
      </c>
      <c r="F321" s="339" t="n">
        <v>2018.03</v>
      </c>
      <c r="G321" s="339" t="n">
        <v>1488</v>
      </c>
      <c r="H321" s="339">
        <f>2026-F321+1</f>
        <v/>
      </c>
      <c r="K321" s="339" t="n">
        <v>180</v>
      </c>
      <c r="M321" s="339" t="inlineStr">
        <is>
          <t>계단식</t>
        </is>
      </c>
      <c r="N321" s="339" t="n">
        <v>3</v>
      </c>
      <c r="O321" s="339" t="n">
        <v>3</v>
      </c>
      <c r="P321" s="339" t="n">
        <v>76</v>
      </c>
      <c r="S321" s="477">
        <f>Q321-R321</f>
        <v/>
      </c>
      <c r="T321" s="71">
        <f>R321/Q321</f>
        <v/>
      </c>
      <c r="U321" s="339" t="n">
        <v>380000</v>
      </c>
      <c r="AM321" s="357" t="n"/>
    </row>
    <row r="322">
      <c r="A322" s="339" t="inlineStr">
        <is>
          <t>용호동</t>
        </is>
      </c>
      <c r="B322" s="164" t="n"/>
      <c r="C322" s="164" t="n"/>
      <c r="D322" s="339" t="n">
        <v>108136</v>
      </c>
      <c r="E322" s="113" t="inlineStr">
        <is>
          <t>더블유(주상복합)</t>
        </is>
      </c>
      <c r="F322" s="339" t="n">
        <v>2018.03</v>
      </c>
      <c r="G322" s="339" t="n">
        <v>1488</v>
      </c>
      <c r="H322" s="339">
        <f>2026-F322+1</f>
        <v/>
      </c>
      <c r="K322" s="339" t="n">
        <v>182</v>
      </c>
      <c r="M322" s="339" t="inlineStr">
        <is>
          <t>계단식</t>
        </is>
      </c>
      <c r="N322" s="339" t="n">
        <v>3</v>
      </c>
      <c r="O322" s="339" t="n">
        <v>3</v>
      </c>
      <c r="P322" s="339" t="n">
        <v>41</v>
      </c>
      <c r="S322" s="477">
        <f>Q322-R322</f>
        <v/>
      </c>
      <c r="T322" s="71">
        <f>R322/Q322</f>
        <v/>
      </c>
      <c r="U322" s="339" t="n">
        <v>380000</v>
      </c>
      <c r="V322" s="339" t="n">
        <v>349000</v>
      </c>
      <c r="AM322" s="357" t="n"/>
    </row>
    <row r="323">
      <c r="A323" s="339" t="inlineStr">
        <is>
          <t>용호동</t>
        </is>
      </c>
      <c r="B323" s="164" t="n"/>
      <c r="C323" s="164" t="n"/>
      <c r="D323" s="339" t="n">
        <v>108136</v>
      </c>
      <c r="E323" s="113" t="inlineStr">
        <is>
          <t>더블유(주상복합)</t>
        </is>
      </c>
      <c r="F323" s="339" t="n">
        <v>2018.03</v>
      </c>
      <c r="G323" s="339" t="n">
        <v>1488</v>
      </c>
      <c r="H323" s="339">
        <f>2026-F323+1</f>
        <v/>
      </c>
      <c r="K323" s="339" t="n">
        <v>199</v>
      </c>
      <c r="M323" s="339" t="inlineStr">
        <is>
          <t>계단식</t>
        </is>
      </c>
      <c r="N323" s="339" t="n">
        <v>4</v>
      </c>
      <c r="O323" s="339" t="n">
        <v>3</v>
      </c>
      <c r="P323" s="339" t="n">
        <v>3</v>
      </c>
      <c r="S323" s="477">
        <f>Q323-R323</f>
        <v/>
      </c>
      <c r="T323" s="71">
        <f>R323/Q323</f>
        <v/>
      </c>
      <c r="AM323" s="357" t="n"/>
    </row>
    <row r="324">
      <c r="A324" s="339" t="inlineStr">
        <is>
          <t>용호동</t>
        </is>
      </c>
      <c r="D324" s="339" t="n">
        <v>108136</v>
      </c>
      <c r="E324" s="113" t="inlineStr">
        <is>
          <t>더블유(주상복합)</t>
        </is>
      </c>
      <c r="F324" s="339" t="n">
        <v>2018.03</v>
      </c>
      <c r="G324" s="339" t="n">
        <v>1488</v>
      </c>
      <c r="H324" s="339">
        <f>2026-F324+1</f>
        <v/>
      </c>
      <c r="K324" s="339" t="n">
        <v>244</v>
      </c>
      <c r="M324" s="339" t="inlineStr">
        <is>
          <t>계단식</t>
        </is>
      </c>
      <c r="N324" s="339" t="n">
        <v>4</v>
      </c>
      <c r="O324" s="339" t="n">
        <v>2</v>
      </c>
      <c r="P324" s="339" t="n">
        <v>2</v>
      </c>
      <c r="S324" s="477">
        <f>Q324-R324</f>
        <v/>
      </c>
      <c r="T324" s="71">
        <f>R324/Q324</f>
        <v/>
      </c>
    </row>
    <row r="325">
      <c r="A325" s="132" t="inlineStr">
        <is>
          <t>용호동</t>
        </is>
      </c>
      <c r="B325" s="133" t="n"/>
      <c r="C325" s="133" t="n"/>
      <c r="D325" s="132" t="n">
        <v>127894</v>
      </c>
      <c r="E325" s="154" t="inlineStr">
        <is>
          <t>데시앙해링턴플레이스파크시티</t>
        </is>
      </c>
      <c r="F325" s="132" t="n">
        <v>2023.05</v>
      </c>
      <c r="G325" s="132" t="n">
        <v>1725</v>
      </c>
      <c r="H325" s="132">
        <f>2026-F325+1</f>
        <v/>
      </c>
      <c r="I325" s="133" t="n"/>
      <c r="J325" s="132" t="n">
        <v>60</v>
      </c>
      <c r="K325" s="132" t="n">
        <v>39</v>
      </c>
      <c r="L325" s="132" t="n">
        <v>18</v>
      </c>
      <c r="M325" s="132" t="inlineStr">
        <is>
          <t>계단식</t>
        </is>
      </c>
      <c r="N325" s="132" t="n">
        <v>1</v>
      </c>
      <c r="O325" s="132" t="n">
        <v>1</v>
      </c>
      <c r="P325" s="132" t="n">
        <v>87</v>
      </c>
      <c r="Q325" s="160" t="n"/>
      <c r="R325" s="160" t="n"/>
      <c r="S325" s="477">
        <f>Q325-R325</f>
        <v/>
      </c>
      <c r="T325" s="71">
        <f>R325/Q325</f>
        <v/>
      </c>
      <c r="U325" s="133" t="n"/>
      <c r="V325" s="133" t="n"/>
      <c r="AA325" s="133" t="n"/>
      <c r="AB325" s="133" t="n"/>
      <c r="AC325" s="133" t="n"/>
      <c r="AD325" s="133" t="n"/>
      <c r="AE325" s="133" t="n"/>
      <c r="AF325" s="133" t="n"/>
      <c r="AG325" s="133" t="n"/>
      <c r="AK325" s="133" t="n"/>
      <c r="AL325" s="133" t="n"/>
      <c r="AM325" s="133" t="n"/>
      <c r="AN325" s="133" t="n"/>
      <c r="AV325" s="133" t="n"/>
    </row>
    <row r="326">
      <c r="A326" s="339" t="inlineStr">
        <is>
          <t>용호동</t>
        </is>
      </c>
      <c r="B326" s="164" t="n"/>
      <c r="C326" s="164" t="n"/>
      <c r="D326" s="339" t="n">
        <v>14519</v>
      </c>
      <c r="E326" s="113" t="inlineStr">
        <is>
          <t>롯데캐슬아인스</t>
        </is>
      </c>
      <c r="F326" s="339" t="n">
        <v>2007.01</v>
      </c>
      <c r="G326" s="339" t="n">
        <v>430</v>
      </c>
      <c r="H326" s="339">
        <f>2026-F326+1</f>
        <v/>
      </c>
      <c r="J326" s="339" t="n">
        <v>83</v>
      </c>
      <c r="K326" s="339" t="n">
        <v>59</v>
      </c>
      <c r="L326" s="339" t="n">
        <v>25</v>
      </c>
      <c r="M326" s="339" t="inlineStr">
        <is>
          <t>계단식</t>
        </is>
      </c>
      <c r="N326" s="339" t="n">
        <v>3</v>
      </c>
      <c r="O326" s="339" t="n">
        <v>2</v>
      </c>
      <c r="P326" s="339" t="n">
        <v>245</v>
      </c>
      <c r="S326" s="477">
        <f>Q326-R326</f>
        <v/>
      </c>
      <c r="T326" s="71">
        <f>R326/Q326</f>
        <v/>
      </c>
      <c r="U326" s="339" t="n">
        <v>28400</v>
      </c>
      <c r="V326" s="339" t="n">
        <v>19500</v>
      </c>
      <c r="AM326" s="357" t="n"/>
    </row>
    <row r="327">
      <c r="A327" s="339" t="inlineStr">
        <is>
          <t>용호동</t>
        </is>
      </c>
      <c r="B327" s="164" t="n"/>
      <c r="C327" s="164" t="n"/>
      <c r="D327" s="339" t="n">
        <v>14519</v>
      </c>
      <c r="E327" s="113" t="inlineStr">
        <is>
          <t>롯데캐슬아인스</t>
        </is>
      </c>
      <c r="F327" s="339" t="n">
        <v>2007.01</v>
      </c>
      <c r="G327" s="339" t="n">
        <v>430</v>
      </c>
      <c r="H327" s="339">
        <f>2026-F327+1</f>
        <v/>
      </c>
      <c r="J327" s="339" t="n">
        <v>113</v>
      </c>
      <c r="K327" s="339" t="n">
        <v>84</v>
      </c>
      <c r="L327" s="339" t="n">
        <v>34</v>
      </c>
      <c r="M327" s="339" t="inlineStr">
        <is>
          <t>계단식</t>
        </is>
      </c>
      <c r="N327" s="339" t="n">
        <v>3</v>
      </c>
      <c r="O327" s="339" t="n">
        <v>2</v>
      </c>
      <c r="P327" s="339" t="n">
        <v>185</v>
      </c>
      <c r="S327" s="477">
        <f>Q327-R327</f>
        <v/>
      </c>
      <c r="T327" s="71">
        <f>R327/Q327</f>
        <v/>
      </c>
      <c r="U327" s="339" t="n">
        <v>40000</v>
      </c>
      <c r="V327" s="339" t="n">
        <v>27000</v>
      </c>
      <c r="AM327" s="357" t="n"/>
    </row>
    <row r="328">
      <c r="A328" s="339" t="inlineStr">
        <is>
          <t>용호동</t>
        </is>
      </c>
      <c r="B328" s="164" t="n"/>
      <c r="C328" s="164" t="n"/>
      <c r="D328" s="339" t="n">
        <v>104246</v>
      </c>
      <c r="E328" s="150" t="inlineStr">
        <is>
          <t>쌍용예가</t>
        </is>
      </c>
      <c r="F328" s="339" t="n">
        <v>2013.06</v>
      </c>
      <c r="G328" s="339" t="n">
        <v>773</v>
      </c>
      <c r="H328" s="339">
        <f>2026-F328+1</f>
        <v/>
      </c>
      <c r="K328" s="339" t="n">
        <v>59</v>
      </c>
      <c r="M328" s="339" t="inlineStr">
        <is>
          <t>계단식</t>
        </is>
      </c>
      <c r="N328" s="339" t="n">
        <v>2</v>
      </c>
      <c r="O328" s="339" t="n">
        <v>2</v>
      </c>
      <c r="P328" s="339" t="n">
        <v>82</v>
      </c>
      <c r="S328" s="477">
        <f>Q328-R328</f>
        <v/>
      </c>
      <c r="T328" s="71">
        <f>R328/Q328</f>
        <v/>
      </c>
      <c r="U328" s="339" t="n">
        <v>38500</v>
      </c>
      <c r="V328" s="339" t="n">
        <v>24500</v>
      </c>
      <c r="AM328" s="357" t="n"/>
    </row>
    <row r="329">
      <c r="A329" s="132" t="inlineStr">
        <is>
          <t>용호동</t>
        </is>
      </c>
      <c r="B329" s="88" t="n"/>
      <c r="C329" s="89" t="n"/>
      <c r="D329" s="132" t="n">
        <v>22444</v>
      </c>
      <c r="E329" s="135" t="inlineStr">
        <is>
          <t>오륙도SK뷰</t>
        </is>
      </c>
      <c r="F329" s="132" t="n">
        <v>2008.1</v>
      </c>
      <c r="G329" s="132" t="n">
        <v>3000</v>
      </c>
      <c r="H329" s="132">
        <f>2026-F329+1</f>
        <v/>
      </c>
      <c r="I329" s="133" t="n"/>
      <c r="J329" s="132" t="n">
        <v>131</v>
      </c>
      <c r="K329" s="132" t="n">
        <v>98</v>
      </c>
      <c r="L329" s="132" t="n">
        <v>40</v>
      </c>
      <c r="M329" s="132" t="inlineStr">
        <is>
          <t>계단식</t>
        </is>
      </c>
      <c r="N329" s="132" t="n">
        <v>3</v>
      </c>
      <c r="O329" s="132" t="n">
        <v>2</v>
      </c>
      <c r="P329" s="132" t="n">
        <v>156</v>
      </c>
      <c r="Q329" s="160" t="n"/>
      <c r="R329" s="160" t="n"/>
      <c r="S329" s="477">
        <f>Q329-R329</f>
        <v/>
      </c>
      <c r="T329" s="71">
        <f>R329/Q329</f>
        <v/>
      </c>
      <c r="U329" s="133" t="n">
        <v>69000</v>
      </c>
      <c r="V329" s="133" t="n">
        <v>39900</v>
      </c>
      <c r="AA329" s="133" t="n"/>
      <c r="AB329" s="133" t="n"/>
      <c r="AC329" s="133" t="n"/>
      <c r="AD329" s="133" t="n"/>
      <c r="AE329" s="133" t="n"/>
      <c r="AF329" s="133" t="n"/>
      <c r="AG329" s="133" t="n"/>
      <c r="AK329" s="133" t="n"/>
      <c r="AL329" s="133" t="n"/>
      <c r="AM329" s="88" t="n"/>
      <c r="AN329" s="133" t="n"/>
      <c r="AV329" s="133" t="n"/>
    </row>
    <row r="330">
      <c r="A330" s="132" t="inlineStr">
        <is>
          <t>용호동</t>
        </is>
      </c>
      <c r="B330" s="88" t="n"/>
      <c r="C330" s="89" t="n"/>
      <c r="D330" s="132" t="n">
        <v>22444</v>
      </c>
      <c r="E330" s="154" t="inlineStr">
        <is>
          <t>오륙도SK뷰</t>
        </is>
      </c>
      <c r="F330" s="132" t="n">
        <v>2008.1</v>
      </c>
      <c r="G330" s="132" t="n">
        <v>3000</v>
      </c>
      <c r="H330" s="132">
        <f>2026-F330+1</f>
        <v/>
      </c>
      <c r="I330" s="133" t="n"/>
      <c r="J330" s="132" t="n">
        <v>156</v>
      </c>
      <c r="K330" s="132" t="n">
        <v>122</v>
      </c>
      <c r="L330" s="132" t="n">
        <v>47</v>
      </c>
      <c r="M330" s="132" t="inlineStr">
        <is>
          <t>계단식</t>
        </is>
      </c>
      <c r="N330" s="132" t="n">
        <v>4</v>
      </c>
      <c r="O330" s="132" t="n">
        <v>2</v>
      </c>
      <c r="P330" s="132" t="n">
        <v>140</v>
      </c>
      <c r="Q330" s="160" t="n"/>
      <c r="R330" s="160" t="n"/>
      <c r="S330" s="477">
        <f>Q330-R330</f>
        <v/>
      </c>
      <c r="T330" s="71">
        <f>R330/Q330</f>
        <v/>
      </c>
      <c r="U330" s="133" t="n">
        <v>105000</v>
      </c>
      <c r="V330" s="133" t="n">
        <v>43000</v>
      </c>
      <c r="AA330" s="133" t="n"/>
      <c r="AB330" s="133" t="n"/>
      <c r="AC330" s="133" t="n"/>
      <c r="AD330" s="133" t="n"/>
      <c r="AE330" s="133" t="n"/>
      <c r="AF330" s="133" t="n"/>
      <c r="AG330" s="133" t="n"/>
      <c r="AK330" s="133" t="n"/>
      <c r="AL330" s="133" t="n"/>
      <c r="AM330" s="88" t="n"/>
      <c r="AN330" s="133" t="n"/>
      <c r="AV330" s="133" t="n"/>
    </row>
    <row r="331">
      <c r="A331" s="132" t="inlineStr">
        <is>
          <t>용호동</t>
        </is>
      </c>
      <c r="B331" s="88" t="n"/>
      <c r="C331" s="89" t="n"/>
      <c r="D331" s="132" t="n">
        <v>22444</v>
      </c>
      <c r="E331" s="154" t="inlineStr">
        <is>
          <t>오륙도SK뷰</t>
        </is>
      </c>
      <c r="F331" s="132" t="n">
        <v>2008.1</v>
      </c>
      <c r="G331" s="132" t="n">
        <v>3000</v>
      </c>
      <c r="H331" s="132">
        <f>2026-F331+1</f>
        <v/>
      </c>
      <c r="I331" s="133" t="n"/>
      <c r="J331" s="133" t="n"/>
      <c r="K331" s="132" t="n">
        <v>123</v>
      </c>
      <c r="L331" s="133" t="n"/>
      <c r="M331" s="132" t="inlineStr">
        <is>
          <t>계단식</t>
        </is>
      </c>
      <c r="N331" s="132" t="n">
        <v>4</v>
      </c>
      <c r="O331" s="132" t="n">
        <v>2</v>
      </c>
      <c r="P331" s="132" t="n">
        <v>623</v>
      </c>
      <c r="Q331" s="160" t="n"/>
      <c r="R331" s="160" t="n"/>
      <c r="S331" s="477">
        <f>Q331-R331</f>
        <v/>
      </c>
      <c r="T331" s="71">
        <f>R331/Q331</f>
        <v/>
      </c>
      <c r="U331" s="133" t="n">
        <v>105000</v>
      </c>
      <c r="V331" s="133" t="n">
        <v>43000</v>
      </c>
      <c r="AA331" s="133" t="n"/>
      <c r="AB331" s="133" t="n"/>
      <c r="AC331" s="133" t="n"/>
      <c r="AD331" s="133" t="n"/>
      <c r="AE331" s="133" t="n"/>
      <c r="AF331" s="133" t="n"/>
      <c r="AG331" s="133" t="n"/>
      <c r="AK331" s="133" t="n"/>
      <c r="AL331" s="133" t="n"/>
      <c r="AM331" s="88" t="n"/>
      <c r="AN331" s="133" t="n"/>
      <c r="AV331" s="133" t="n"/>
    </row>
    <row r="332">
      <c r="A332" s="132" t="inlineStr">
        <is>
          <t>용호동</t>
        </is>
      </c>
      <c r="B332" s="88" t="n"/>
      <c r="C332" s="89" t="n"/>
      <c r="D332" s="132" t="n">
        <v>22444</v>
      </c>
      <c r="E332" s="154" t="inlineStr">
        <is>
          <t>오륙도SK뷰</t>
        </is>
      </c>
      <c r="F332" s="132" t="n">
        <v>2008.1</v>
      </c>
      <c r="G332" s="132" t="n">
        <v>3000</v>
      </c>
      <c r="H332" s="132">
        <f>2026-F332+1</f>
        <v/>
      </c>
      <c r="I332" s="133" t="n"/>
      <c r="J332" s="133" t="n"/>
      <c r="K332" s="132" t="n">
        <v>126</v>
      </c>
      <c r="L332" s="133" t="n"/>
      <c r="M332" s="132" t="inlineStr">
        <is>
          <t>계단식</t>
        </is>
      </c>
      <c r="N332" s="132" t="n">
        <v>4</v>
      </c>
      <c r="O332" s="132" t="n">
        <v>2</v>
      </c>
      <c r="P332" s="132" t="n">
        <v>152</v>
      </c>
      <c r="Q332" s="160" t="n"/>
      <c r="R332" s="160" t="n"/>
      <c r="S332" s="477">
        <f>Q332-R332</f>
        <v/>
      </c>
      <c r="T332" s="71">
        <f>R332/Q332</f>
        <v/>
      </c>
      <c r="U332" s="133" t="n">
        <v>89000</v>
      </c>
      <c r="V332" s="133" t="n">
        <v>60000</v>
      </c>
      <c r="AA332" s="133" t="n"/>
      <c r="AB332" s="133" t="n"/>
      <c r="AC332" s="133" t="n"/>
      <c r="AD332" s="133" t="n"/>
      <c r="AE332" s="133" t="n"/>
      <c r="AF332" s="133" t="n"/>
      <c r="AG332" s="133" t="n"/>
      <c r="AK332" s="133" t="n"/>
      <c r="AL332" s="133" t="n"/>
      <c r="AM332" s="88" t="n"/>
      <c r="AN332" s="133" t="n"/>
      <c r="AV332" s="133" t="n"/>
    </row>
    <row r="333">
      <c r="A333" s="132" t="inlineStr">
        <is>
          <t>용호동</t>
        </is>
      </c>
      <c r="B333" s="88" t="n"/>
      <c r="C333" s="89" t="n"/>
      <c r="D333" s="132" t="n">
        <v>22444</v>
      </c>
      <c r="E333" s="154" t="inlineStr">
        <is>
          <t>오륙도SK뷰</t>
        </is>
      </c>
      <c r="F333" s="132" t="n">
        <v>2008.1</v>
      </c>
      <c r="G333" s="132" t="n">
        <v>3000</v>
      </c>
      <c r="H333" s="132">
        <f>2026-F333+1</f>
        <v/>
      </c>
      <c r="I333" s="133" t="n"/>
      <c r="J333" s="132" t="n">
        <v>197</v>
      </c>
      <c r="K333" s="132" t="n">
        <v>149</v>
      </c>
      <c r="L333" s="132" t="n">
        <v>60</v>
      </c>
      <c r="M333" s="132" t="inlineStr">
        <is>
          <t>계단식</t>
        </is>
      </c>
      <c r="N333" s="132" t="n">
        <v>4</v>
      </c>
      <c r="O333" s="132" t="n">
        <v>3</v>
      </c>
      <c r="P333" s="132" t="n">
        <v>396</v>
      </c>
      <c r="Q333" s="160" t="n"/>
      <c r="R333" s="160" t="n"/>
      <c r="S333" s="477">
        <f>Q333-R333</f>
        <v/>
      </c>
      <c r="T333" s="71">
        <f>R333/Q333</f>
        <v/>
      </c>
      <c r="U333" s="133" t="n">
        <v>95000</v>
      </c>
      <c r="V333" s="133" t="n">
        <v>66000</v>
      </c>
      <c r="AA333" s="133" t="n"/>
      <c r="AB333" s="133" t="n"/>
      <c r="AC333" s="133" t="n"/>
      <c r="AD333" s="133" t="n"/>
      <c r="AE333" s="133" t="n"/>
      <c r="AF333" s="133" t="n"/>
      <c r="AG333" s="133" t="n"/>
      <c r="AK333" s="133" t="n"/>
      <c r="AL333" s="133" t="n"/>
      <c r="AM333" s="88" t="n"/>
      <c r="AN333" s="133" t="n"/>
      <c r="AV333" s="133" t="n"/>
    </row>
    <row r="334">
      <c r="A334" s="132" t="inlineStr">
        <is>
          <t>용호동</t>
        </is>
      </c>
      <c r="B334" s="88" t="n"/>
      <c r="C334" s="89" t="n"/>
      <c r="D334" s="132" t="n">
        <v>22444</v>
      </c>
      <c r="E334" s="154" t="inlineStr">
        <is>
          <t>오륙도SK뷰</t>
        </is>
      </c>
      <c r="F334" s="132" t="n">
        <v>2008.1</v>
      </c>
      <c r="G334" s="132" t="n">
        <v>3000</v>
      </c>
      <c r="H334" s="132">
        <f>2026-F334+1</f>
        <v/>
      </c>
      <c r="I334" s="133" t="n"/>
      <c r="J334" s="132" t="n">
        <v>223</v>
      </c>
      <c r="K334" s="132" t="n">
        <v>171</v>
      </c>
      <c r="L334" s="132" t="n">
        <v>67</v>
      </c>
      <c r="M334" s="132" t="inlineStr">
        <is>
          <t>계단식</t>
        </is>
      </c>
      <c r="N334" s="132" t="n">
        <v>4</v>
      </c>
      <c r="O334" s="132" t="n">
        <v>3</v>
      </c>
      <c r="P334" s="132" t="n">
        <v>92</v>
      </c>
      <c r="Q334" s="160" t="n"/>
      <c r="R334" s="160" t="n"/>
      <c r="S334" s="477">
        <f>Q334-R334</f>
        <v/>
      </c>
      <c r="T334" s="71">
        <f>R334/Q334</f>
        <v/>
      </c>
      <c r="U334" s="133" t="n">
        <v>175000</v>
      </c>
      <c r="V334" s="133" t="n">
        <v>138000</v>
      </c>
      <c r="AA334" s="133" t="n"/>
      <c r="AB334" s="133" t="n"/>
      <c r="AC334" s="133" t="n"/>
      <c r="AD334" s="133" t="n"/>
      <c r="AE334" s="133" t="n"/>
      <c r="AF334" s="133" t="n"/>
      <c r="AG334" s="133" t="n"/>
      <c r="AK334" s="133" t="n"/>
      <c r="AL334" s="133" t="n"/>
      <c r="AM334" s="88" t="n"/>
      <c r="AN334" s="133" t="n"/>
      <c r="AV334" s="133" t="n"/>
    </row>
    <row r="335">
      <c r="A335" s="132" t="inlineStr">
        <is>
          <t>용호동</t>
        </is>
      </c>
      <c r="B335" s="133" t="n"/>
      <c r="C335" s="133" t="n"/>
      <c r="D335" s="132" t="n">
        <v>22444</v>
      </c>
      <c r="E335" s="154" t="inlineStr">
        <is>
          <t>오륙도SK뷰</t>
        </is>
      </c>
      <c r="F335" s="132" t="n">
        <v>2008.1</v>
      </c>
      <c r="G335" s="132" t="n">
        <v>3000</v>
      </c>
      <c r="H335" s="132">
        <f>2026-F335+1</f>
        <v/>
      </c>
      <c r="I335" s="133" t="n"/>
      <c r="J335" s="132" t="n">
        <v>231</v>
      </c>
      <c r="K335" s="132" t="n">
        <v>174</v>
      </c>
      <c r="L335" s="132" t="n">
        <v>70</v>
      </c>
      <c r="M335" s="132" t="inlineStr">
        <is>
          <t>계단식</t>
        </is>
      </c>
      <c r="N335" s="132" t="n">
        <v>4</v>
      </c>
      <c r="O335" s="132" t="n">
        <v>3</v>
      </c>
      <c r="P335" s="132" t="n">
        <v>389</v>
      </c>
      <c r="Q335" s="160" t="n"/>
      <c r="R335" s="160" t="n"/>
      <c r="S335" s="477">
        <f>Q335-R335</f>
        <v/>
      </c>
      <c r="T335" s="71">
        <f>R335/Q335</f>
        <v/>
      </c>
      <c r="U335" s="133" t="n">
        <v>135000</v>
      </c>
      <c r="V335" s="133" t="n">
        <v>70000</v>
      </c>
      <c r="AA335" s="133" t="n"/>
      <c r="AB335" s="133" t="n"/>
      <c r="AC335" s="133" t="n"/>
      <c r="AD335" s="133" t="n"/>
      <c r="AE335" s="133" t="n"/>
      <c r="AF335" s="133" t="n"/>
      <c r="AG335" s="133" t="n"/>
      <c r="AK335" s="133" t="n"/>
      <c r="AL335" s="133" t="n"/>
      <c r="AM335" s="133" t="n"/>
      <c r="AN335" s="133" t="n"/>
      <c r="AV335" s="133" t="n"/>
    </row>
    <row r="336">
      <c r="A336" s="132" t="inlineStr">
        <is>
          <t>용호동</t>
        </is>
      </c>
      <c r="B336" s="133" t="n"/>
      <c r="C336" s="133" t="n"/>
      <c r="D336" s="132" t="n">
        <v>22444</v>
      </c>
      <c r="E336" s="154" t="inlineStr">
        <is>
          <t>오륙도SK뷰</t>
        </is>
      </c>
      <c r="F336" s="132" t="n">
        <v>2008.1</v>
      </c>
      <c r="G336" s="132" t="n">
        <v>3000</v>
      </c>
      <c r="H336" s="132">
        <f>2026-F336+1</f>
        <v/>
      </c>
      <c r="I336" s="133" t="n"/>
      <c r="J336" s="132" t="n">
        <v>251</v>
      </c>
      <c r="K336" s="132" t="n">
        <v>200</v>
      </c>
      <c r="L336" s="132" t="n">
        <v>76</v>
      </c>
      <c r="M336" s="132" t="inlineStr">
        <is>
          <t>계단식</t>
        </is>
      </c>
      <c r="N336" s="132" t="n">
        <v>4</v>
      </c>
      <c r="O336" s="132" t="n">
        <v>3</v>
      </c>
      <c r="P336" s="132" t="n">
        <v>118</v>
      </c>
      <c r="Q336" s="160" t="n"/>
      <c r="R336" s="160" t="n"/>
      <c r="S336" s="477">
        <f>Q336-R336</f>
        <v/>
      </c>
      <c r="T336" s="71">
        <f>R336/Q336</f>
        <v/>
      </c>
      <c r="U336" s="133" t="n">
        <v>180000</v>
      </c>
      <c r="V336" s="133" t="n">
        <v>83000</v>
      </c>
      <c r="AA336" s="133" t="n"/>
      <c r="AB336" s="133" t="n"/>
      <c r="AC336" s="133" t="n"/>
      <c r="AD336" s="133" t="n"/>
      <c r="AE336" s="133" t="n"/>
      <c r="AF336" s="133" t="n"/>
      <c r="AG336" s="133" t="n"/>
      <c r="AK336" s="133" t="n"/>
      <c r="AL336" s="133" t="n"/>
      <c r="AM336" s="133" t="n"/>
      <c r="AN336" s="133" t="n"/>
      <c r="AV336" s="133" t="n"/>
    </row>
    <row r="337">
      <c r="A337" s="132" t="inlineStr">
        <is>
          <t>용호동</t>
        </is>
      </c>
      <c r="B337" s="88" t="n"/>
      <c r="C337" s="89" t="n"/>
      <c r="D337" s="132" t="n">
        <v>22444</v>
      </c>
      <c r="E337" s="154" t="inlineStr">
        <is>
          <t>오륙도SK뷰</t>
        </is>
      </c>
      <c r="F337" s="132" t="n">
        <v>2008.1</v>
      </c>
      <c r="G337" s="132" t="n">
        <v>3000</v>
      </c>
      <c r="H337" s="132">
        <f>2026-F337+1</f>
        <v/>
      </c>
      <c r="I337" s="133" t="n"/>
      <c r="J337" s="132" t="n">
        <v>275</v>
      </c>
      <c r="K337" s="132" t="n">
        <v>208</v>
      </c>
      <c r="L337" s="132" t="n">
        <v>83</v>
      </c>
      <c r="M337" s="132" t="inlineStr">
        <is>
          <t>계단식</t>
        </is>
      </c>
      <c r="N337" s="132" t="n">
        <v>4</v>
      </c>
      <c r="O337" s="132" t="n">
        <v>3</v>
      </c>
      <c r="P337" s="132" t="n">
        <v>5</v>
      </c>
      <c r="Q337" s="160" t="n"/>
      <c r="R337" s="160" t="n"/>
      <c r="S337" s="477">
        <f>Q337-R337</f>
        <v/>
      </c>
      <c r="T337" s="71">
        <f>R337/Q337</f>
        <v/>
      </c>
      <c r="U337" s="133" t="n"/>
      <c r="V337" s="133" t="n">
        <v>170000</v>
      </c>
      <c r="AA337" s="133" t="n"/>
      <c r="AB337" s="133" t="n"/>
      <c r="AC337" s="133" t="n"/>
      <c r="AD337" s="133" t="n"/>
      <c r="AE337" s="133" t="n"/>
      <c r="AF337" s="133" t="n"/>
      <c r="AG337" s="133" t="n"/>
      <c r="AK337" s="133" t="n"/>
      <c r="AL337" s="133" t="n"/>
      <c r="AM337" s="88" t="n"/>
      <c r="AN337" s="133" t="n"/>
      <c r="AV337" s="133" t="n"/>
    </row>
    <row r="338">
      <c r="A338" s="132" t="inlineStr">
        <is>
          <t>용호동</t>
        </is>
      </c>
      <c r="B338" s="88" t="n"/>
      <c r="C338" s="89" t="n"/>
      <c r="D338" s="132" t="n">
        <v>22444</v>
      </c>
      <c r="E338" s="154" t="inlineStr">
        <is>
          <t>오륙도SK뷰</t>
        </is>
      </c>
      <c r="F338" s="132" t="n">
        <v>2008.1</v>
      </c>
      <c r="G338" s="132" t="n">
        <v>3000</v>
      </c>
      <c r="H338" s="132">
        <f>2026-F338+1</f>
        <v/>
      </c>
      <c r="I338" s="133" t="n"/>
      <c r="J338" s="133" t="n"/>
      <c r="K338" s="132" t="n">
        <v>223</v>
      </c>
      <c r="L338" s="133" t="n"/>
      <c r="M338" s="132" t="inlineStr">
        <is>
          <t>계단식</t>
        </is>
      </c>
      <c r="N338" s="132" t="n">
        <v>4</v>
      </c>
      <c r="O338" s="132" t="n">
        <v>3</v>
      </c>
      <c r="P338" s="132" t="n">
        <v>9</v>
      </c>
      <c r="Q338" s="160" t="n"/>
      <c r="R338" s="160" t="n"/>
      <c r="S338" s="477">
        <f>Q338-R338</f>
        <v/>
      </c>
      <c r="T338" s="71">
        <f>R338/Q338</f>
        <v/>
      </c>
      <c r="U338" s="133" t="n">
        <v>235000</v>
      </c>
      <c r="V338" s="133" t="n">
        <v>160450</v>
      </c>
      <c r="AA338" s="133" t="n"/>
      <c r="AB338" s="133" t="n"/>
      <c r="AC338" s="133" t="n"/>
      <c r="AD338" s="133" t="n"/>
      <c r="AE338" s="133" t="n"/>
      <c r="AF338" s="133" t="n"/>
      <c r="AG338" s="133" t="n"/>
      <c r="AK338" s="133" t="n"/>
      <c r="AL338" s="133" t="n"/>
      <c r="AM338" s="88" t="n"/>
      <c r="AN338" s="133" t="n"/>
      <c r="AV338" s="133" t="n"/>
    </row>
    <row r="339">
      <c r="A339" s="132" t="inlineStr">
        <is>
          <t>용호동</t>
        </is>
      </c>
      <c r="B339" s="88" t="n"/>
      <c r="C339" s="89" t="n"/>
      <c r="D339" s="132" t="n">
        <v>22444</v>
      </c>
      <c r="E339" s="154" t="inlineStr">
        <is>
          <t>오륙도SK뷰</t>
        </is>
      </c>
      <c r="F339" s="132" t="n">
        <v>2008.1</v>
      </c>
      <c r="G339" s="132" t="n">
        <v>3000</v>
      </c>
      <c r="H339" s="132">
        <f>2026-F339+1</f>
        <v/>
      </c>
      <c r="I339" s="133" t="n"/>
      <c r="J339" s="132" t="n">
        <v>309</v>
      </c>
      <c r="K339" s="132" t="n">
        <v>244</v>
      </c>
      <c r="L339" s="132" t="n">
        <v>93</v>
      </c>
      <c r="M339" s="132" t="inlineStr">
        <is>
          <t>계단식</t>
        </is>
      </c>
      <c r="N339" s="132" t="n">
        <v>4</v>
      </c>
      <c r="O339" s="132" t="n">
        <v>3</v>
      </c>
      <c r="P339" s="132" t="n">
        <v>6</v>
      </c>
      <c r="Q339" s="160" t="n"/>
      <c r="R339" s="160" t="n"/>
      <c r="S339" s="477">
        <f>Q339-R339</f>
        <v/>
      </c>
      <c r="T339" s="71">
        <f>R339/Q339</f>
        <v/>
      </c>
      <c r="U339" s="133" t="n">
        <v>228000</v>
      </c>
      <c r="V339" s="133" t="n">
        <v>200000</v>
      </c>
      <c r="AA339" s="133" t="n"/>
      <c r="AB339" s="133" t="n"/>
      <c r="AC339" s="133" t="n"/>
      <c r="AD339" s="133" t="n"/>
      <c r="AE339" s="133" t="n"/>
      <c r="AF339" s="133" t="n"/>
      <c r="AG339" s="133" t="n"/>
      <c r="AK339" s="133" t="n"/>
      <c r="AL339" s="133" t="n"/>
      <c r="AM339" s="88" t="n"/>
      <c r="AN339" s="133" t="n"/>
      <c r="AV339" s="133" t="n"/>
    </row>
    <row r="340">
      <c r="A340" s="339" t="inlineStr">
        <is>
          <t>용호동</t>
        </is>
      </c>
      <c r="D340" s="339" t="n">
        <v>15882</v>
      </c>
      <c r="E340" s="113" t="inlineStr">
        <is>
          <t>오륙도뜨란채</t>
        </is>
      </c>
      <c r="F340" s="339" t="n">
        <v>2000.04</v>
      </c>
      <c r="G340" s="339" t="n">
        <v>480</v>
      </c>
      <c r="H340" s="339">
        <f>2026-F340+1</f>
        <v/>
      </c>
      <c r="J340" s="339" t="n">
        <v>71</v>
      </c>
      <c r="K340" s="339" t="n">
        <v>49</v>
      </c>
      <c r="L340" s="339" t="n">
        <v>21</v>
      </c>
      <c r="M340" s="339" t="inlineStr">
        <is>
          <t>복도식</t>
        </is>
      </c>
      <c r="N340" s="339" t="n">
        <v>2</v>
      </c>
      <c r="O340" s="339" t="n">
        <v>1</v>
      </c>
      <c r="P340" s="339" t="n">
        <v>91</v>
      </c>
      <c r="S340" s="477">
        <f>Q340-R340</f>
        <v/>
      </c>
      <c r="T340" s="71">
        <f>R340/Q340</f>
        <v/>
      </c>
      <c r="U340" s="339" t="n">
        <v>19300</v>
      </c>
      <c r="V340" s="339" t="n">
        <v>15000</v>
      </c>
    </row>
    <row r="341">
      <c r="A341" s="132" t="inlineStr">
        <is>
          <t>용호동</t>
        </is>
      </c>
      <c r="B341" s="88" t="n"/>
      <c r="C341" s="89" t="n"/>
      <c r="D341" s="132" t="n">
        <v>4633</v>
      </c>
      <c r="E341" s="154" t="inlineStr">
        <is>
          <t>용호동일타운</t>
        </is>
      </c>
      <c r="F341" s="132" t="n">
        <v>1991.1</v>
      </c>
      <c r="G341" s="132" t="n">
        <v>444</v>
      </c>
      <c r="H341" s="132">
        <f>2026-F341+1</f>
        <v/>
      </c>
      <c r="I341" s="133" t="n"/>
      <c r="J341" s="132" t="n">
        <v>112</v>
      </c>
      <c r="K341" s="132" t="n">
        <v>93</v>
      </c>
      <c r="L341" s="132" t="n">
        <v>34</v>
      </c>
      <c r="M341" s="132" t="inlineStr">
        <is>
          <t>계단식</t>
        </is>
      </c>
      <c r="N341" s="132" t="n">
        <v>3</v>
      </c>
      <c r="O341" s="132" t="n">
        <v>2</v>
      </c>
      <c r="P341" s="132" t="n">
        <v>30</v>
      </c>
      <c r="Q341" s="160" t="n"/>
      <c r="R341" s="160" t="n"/>
      <c r="S341" s="477">
        <f>Q341-R341</f>
        <v/>
      </c>
      <c r="T341" s="71">
        <f>R341/Q341</f>
        <v/>
      </c>
      <c r="U341" s="133" t="n">
        <v>29100</v>
      </c>
      <c r="V341" s="133" t="n">
        <v>25000</v>
      </c>
      <c r="AA341" s="133" t="n"/>
      <c r="AB341" s="133" t="n"/>
      <c r="AC341" s="133" t="n"/>
      <c r="AD341" s="133" t="n"/>
      <c r="AE341" s="133" t="n"/>
      <c r="AF341" s="133" t="n"/>
      <c r="AG341" s="133" t="n"/>
      <c r="AK341" s="133" t="n"/>
      <c r="AL341" s="133" t="n"/>
      <c r="AM341" s="88" t="n"/>
      <c r="AN341" s="133" t="n"/>
      <c r="AV341" s="133" t="n"/>
    </row>
    <row r="342">
      <c r="A342" s="132" t="inlineStr">
        <is>
          <t>용호동</t>
        </is>
      </c>
      <c r="B342" s="88" t="n"/>
      <c r="C342" s="89" t="n"/>
      <c r="D342" s="132" t="n">
        <v>4633</v>
      </c>
      <c r="E342" s="154" t="inlineStr">
        <is>
          <t>용호동일타운</t>
        </is>
      </c>
      <c r="F342" s="132" t="n">
        <v>1991.1</v>
      </c>
      <c r="G342" s="132" t="n">
        <v>444</v>
      </c>
      <c r="H342" s="132">
        <f>2026-F342+1</f>
        <v/>
      </c>
      <c r="I342" s="133" t="n"/>
      <c r="J342" s="132" t="n">
        <v>134</v>
      </c>
      <c r="K342" s="132" t="n">
        <v>114</v>
      </c>
      <c r="L342" s="132" t="n">
        <v>41</v>
      </c>
      <c r="M342" s="132" t="inlineStr">
        <is>
          <t>계단식</t>
        </is>
      </c>
      <c r="N342" s="132" t="n">
        <v>4</v>
      </c>
      <c r="O342" s="132" t="n">
        <v>2</v>
      </c>
      <c r="P342" s="132" t="n">
        <v>54</v>
      </c>
      <c r="Q342" s="160" t="n"/>
      <c r="R342" s="160" t="n"/>
      <c r="S342" s="477">
        <f>Q342-R342</f>
        <v/>
      </c>
      <c r="T342" s="71">
        <f>R342/Q342</f>
        <v/>
      </c>
      <c r="U342" s="133" t="n">
        <v>31400</v>
      </c>
      <c r="V342" s="133" t="n">
        <v>31400</v>
      </c>
      <c r="AA342" s="133" t="n"/>
      <c r="AB342" s="133" t="n"/>
      <c r="AC342" s="133" t="n"/>
      <c r="AD342" s="133" t="n"/>
      <c r="AE342" s="133" t="n"/>
      <c r="AF342" s="133" t="n"/>
      <c r="AG342" s="133" t="n"/>
      <c r="AK342" s="133" t="n"/>
      <c r="AL342" s="133" t="n"/>
      <c r="AM342" s="88" t="n"/>
      <c r="AN342" s="133" t="n"/>
      <c r="AV342" s="133" t="n"/>
    </row>
    <row r="343">
      <c r="A343" s="132" t="inlineStr">
        <is>
          <t>용호동</t>
        </is>
      </c>
      <c r="B343" s="88" t="n"/>
      <c r="C343" s="89" t="n"/>
      <c r="D343" s="132" t="n">
        <v>4633</v>
      </c>
      <c r="E343" s="154" t="inlineStr">
        <is>
          <t>용호동일타운</t>
        </is>
      </c>
      <c r="F343" s="132" t="n">
        <v>1991.1</v>
      </c>
      <c r="G343" s="132" t="n">
        <v>444</v>
      </c>
      <c r="H343" s="132">
        <f>2026-F343+1</f>
        <v/>
      </c>
      <c r="I343" s="133" t="n"/>
      <c r="J343" s="132" t="n">
        <v>146</v>
      </c>
      <c r="K343" s="132" t="n">
        <v>125</v>
      </c>
      <c r="L343" s="132" t="n">
        <v>44</v>
      </c>
      <c r="M343" s="132" t="inlineStr">
        <is>
          <t>계단식</t>
        </is>
      </c>
      <c r="N343" s="132" t="n">
        <v>4</v>
      </c>
      <c r="O343" s="132" t="n">
        <v>2</v>
      </c>
      <c r="P343" s="132" t="n">
        <v>60</v>
      </c>
      <c r="Q343" s="160" t="n"/>
      <c r="R343" s="160" t="n"/>
      <c r="S343" s="477">
        <f>Q343-R343</f>
        <v/>
      </c>
      <c r="T343" s="71">
        <f>R343/Q343</f>
        <v/>
      </c>
      <c r="U343" s="133" t="n">
        <v>37800</v>
      </c>
      <c r="V343" s="133" t="n">
        <v>37800</v>
      </c>
      <c r="AA343" s="133" t="n"/>
      <c r="AB343" s="133" t="n"/>
      <c r="AC343" s="133" t="n"/>
      <c r="AD343" s="133" t="n"/>
      <c r="AE343" s="133" t="n"/>
      <c r="AF343" s="133" t="n"/>
      <c r="AG343" s="133" t="n"/>
      <c r="AK343" s="133" t="n"/>
      <c r="AL343" s="133" t="n"/>
      <c r="AM343" s="88" t="n"/>
      <c r="AN343" s="133" t="n"/>
      <c r="AV343" s="133" t="n"/>
    </row>
    <row r="344">
      <c r="A344" s="339" t="inlineStr">
        <is>
          <t>용호동</t>
        </is>
      </c>
      <c r="D344" s="339" t="n">
        <v>13513</v>
      </c>
      <c r="E344" s="113" t="inlineStr">
        <is>
          <t>일신님</t>
        </is>
      </c>
      <c r="F344" s="339" t="n">
        <v>2006.01</v>
      </c>
      <c r="G344" s="339" t="n">
        <v>710</v>
      </c>
      <c r="H344" s="339">
        <f>2026-F344+1</f>
        <v/>
      </c>
      <c r="J344" s="339" t="n">
        <v>146</v>
      </c>
      <c r="K344" s="339" t="n">
        <v>117</v>
      </c>
      <c r="L344" s="339" t="n">
        <v>44</v>
      </c>
      <c r="M344" s="339" t="inlineStr">
        <is>
          <t>계단식</t>
        </is>
      </c>
      <c r="N344" s="339" t="n">
        <v>4</v>
      </c>
      <c r="O344" s="339" t="n">
        <v>2</v>
      </c>
      <c r="P344" s="339" t="n">
        <v>76</v>
      </c>
      <c r="S344" s="477">
        <f>Q344-R344</f>
        <v/>
      </c>
      <c r="T344" s="71">
        <f>R344/Q344</f>
        <v/>
      </c>
      <c r="U344" s="339" t="n">
        <v>67500</v>
      </c>
    </row>
    <row r="345">
      <c r="A345" s="132" t="inlineStr">
        <is>
          <t>용호동</t>
        </is>
      </c>
      <c r="B345" s="88" t="n"/>
      <c r="C345" s="89" t="n"/>
      <c r="D345" s="132" t="n">
        <v>4646</v>
      </c>
      <c r="E345" s="135" t="inlineStr">
        <is>
          <t>일신프리빌리지</t>
        </is>
      </c>
      <c r="F345" s="132" t="n">
        <v>1996.02</v>
      </c>
      <c r="G345" s="132" t="n">
        <v>518</v>
      </c>
      <c r="H345" s="132">
        <f>2026-F345+1</f>
        <v/>
      </c>
      <c r="I345" s="133" t="n"/>
      <c r="J345" s="132" t="n">
        <v>130</v>
      </c>
      <c r="K345" s="132" t="n">
        <v>110</v>
      </c>
      <c r="L345" s="132" t="n">
        <v>39</v>
      </c>
      <c r="M345" s="132" t="inlineStr">
        <is>
          <t>계단식</t>
        </is>
      </c>
      <c r="N345" s="132" t="n">
        <v>3</v>
      </c>
      <c r="O345" s="132" t="n">
        <v>2</v>
      </c>
      <c r="P345" s="132" t="n">
        <v>50</v>
      </c>
      <c r="Q345" s="160" t="n"/>
      <c r="R345" s="160" t="n"/>
      <c r="S345" s="477">
        <f>Q345-R345</f>
        <v/>
      </c>
      <c r="T345" s="71">
        <f>R345/Q345</f>
        <v/>
      </c>
      <c r="U345" s="133" t="n">
        <v>50500</v>
      </c>
      <c r="V345" s="133" t="n">
        <v>45000</v>
      </c>
      <c r="AA345" s="133" t="n"/>
      <c r="AB345" s="133" t="n"/>
      <c r="AC345" s="133" t="n"/>
      <c r="AD345" s="133" t="n"/>
      <c r="AE345" s="133" t="n"/>
      <c r="AF345" s="133" t="n"/>
      <c r="AG345" s="133" t="n"/>
      <c r="AK345" s="133" t="n"/>
      <c r="AL345" s="133" t="n"/>
      <c r="AM345" s="88" t="n"/>
      <c r="AN345" s="133" t="n"/>
      <c r="AV345" s="133" t="n"/>
    </row>
    <row r="346">
      <c r="A346" s="339" t="inlineStr">
        <is>
          <t>용호동</t>
        </is>
      </c>
      <c r="D346" s="339" t="n">
        <v>4647</v>
      </c>
      <c r="E346" s="113" t="inlineStr">
        <is>
          <t>한진훼미리타운</t>
        </is>
      </c>
      <c r="F346" s="339" t="n">
        <v>1996.03</v>
      </c>
      <c r="G346" s="339" t="n">
        <v>449</v>
      </c>
      <c r="H346" s="339">
        <f>2026-F346+1</f>
        <v/>
      </c>
      <c r="J346" s="339" t="n">
        <v>69</v>
      </c>
      <c r="K346" s="339" t="n">
        <v>48</v>
      </c>
      <c r="L346" s="339" t="n">
        <v>21</v>
      </c>
      <c r="M346" s="339" t="inlineStr">
        <is>
          <t>복도식</t>
        </is>
      </c>
      <c r="N346" s="339" t="n">
        <v>2</v>
      </c>
      <c r="O346" s="339" t="n">
        <v>1</v>
      </c>
      <c r="P346" s="339" t="n">
        <v>449</v>
      </c>
      <c r="S346" s="477">
        <f>Q346-R346</f>
        <v/>
      </c>
      <c r="T346" s="71">
        <f>R346/Q346</f>
        <v/>
      </c>
      <c r="U346" s="339" t="n">
        <v>12800</v>
      </c>
      <c r="V346" s="339" t="n">
        <v>8900</v>
      </c>
    </row>
    <row r="347">
      <c r="A347" s="339" t="inlineStr">
        <is>
          <t>용호동</t>
        </is>
      </c>
      <c r="B347" s="164" t="n"/>
      <c r="C347" s="164" t="n"/>
      <c r="D347" s="339" t="n">
        <v>4650</v>
      </c>
      <c r="E347" s="113" t="inlineStr">
        <is>
          <t>협진태양</t>
        </is>
      </c>
      <c r="F347" s="339" t="n">
        <v>1988.11</v>
      </c>
      <c r="G347" s="339" t="n">
        <v>315</v>
      </c>
      <c r="H347" s="339">
        <f>2026-F347+1</f>
        <v/>
      </c>
      <c r="J347" s="339" t="n">
        <v>56</v>
      </c>
      <c r="K347" s="339" t="n">
        <v>44</v>
      </c>
      <c r="L347" s="339" t="n">
        <v>17</v>
      </c>
      <c r="M347" s="339" t="inlineStr">
        <is>
          <t>계단식</t>
        </is>
      </c>
      <c r="N347" s="339" t="n">
        <v>2</v>
      </c>
      <c r="O347" s="339" t="n">
        <v>1</v>
      </c>
      <c r="P347" s="339" t="n">
        <v>70</v>
      </c>
      <c r="S347" s="477">
        <f>Q347-R347</f>
        <v/>
      </c>
      <c r="T347" s="71">
        <f>R347/Q347</f>
        <v/>
      </c>
      <c r="U347" s="339" t="n">
        <v>15400</v>
      </c>
      <c r="V347" s="339" t="n">
        <v>11700</v>
      </c>
      <c r="AM347" s="357" t="n"/>
    </row>
    <row r="348">
      <c r="A348" s="339" t="inlineStr">
        <is>
          <t>용호동</t>
        </is>
      </c>
      <c r="B348" s="164" t="n"/>
      <c r="C348" s="164" t="n"/>
      <c r="D348" s="339" t="n">
        <v>4650</v>
      </c>
      <c r="E348" s="113" t="inlineStr">
        <is>
          <t>협진태양</t>
        </is>
      </c>
      <c r="F348" s="339" t="n">
        <v>1988.11</v>
      </c>
      <c r="G348" s="339" t="n">
        <v>315</v>
      </c>
      <c r="H348" s="339">
        <f>2026-F348+1</f>
        <v/>
      </c>
      <c r="J348" s="339" t="n">
        <v>59</v>
      </c>
      <c r="K348" s="339" t="n">
        <v>47</v>
      </c>
      <c r="L348" s="339" t="n">
        <v>18</v>
      </c>
      <c r="M348" s="339" t="inlineStr">
        <is>
          <t>계단식</t>
        </is>
      </c>
      <c r="N348" s="339" t="n">
        <v>2</v>
      </c>
      <c r="O348" s="339" t="n">
        <v>1</v>
      </c>
      <c r="P348" s="339" t="n">
        <v>30</v>
      </c>
      <c r="S348" s="477">
        <f>Q348-R348</f>
        <v/>
      </c>
      <c r="T348" s="71">
        <f>R348/Q348</f>
        <v/>
      </c>
      <c r="U348" s="339" t="n">
        <v>20500</v>
      </c>
      <c r="AM348" s="357" t="n"/>
    </row>
    <row r="349">
      <c r="A349" s="339" t="inlineStr">
        <is>
          <t>용호동</t>
        </is>
      </c>
      <c r="B349" s="164" t="n"/>
      <c r="C349" s="164" t="n"/>
      <c r="D349" s="339" t="n">
        <v>4650</v>
      </c>
      <c r="E349" s="113" t="inlineStr">
        <is>
          <t>협진태양</t>
        </is>
      </c>
      <c r="F349" s="339" t="n">
        <v>1988.11</v>
      </c>
      <c r="G349" s="339" t="n">
        <v>315</v>
      </c>
      <c r="H349" s="339">
        <f>2026-F349+1</f>
        <v/>
      </c>
      <c r="J349" s="339" t="n">
        <v>66</v>
      </c>
      <c r="K349" s="339" t="n">
        <v>48</v>
      </c>
      <c r="L349" s="339" t="n">
        <v>20</v>
      </c>
      <c r="M349" s="339" t="inlineStr">
        <is>
          <t>계단식</t>
        </is>
      </c>
      <c r="N349" s="339" t="n">
        <v>2</v>
      </c>
      <c r="O349" s="339" t="n">
        <v>1</v>
      </c>
      <c r="P349" s="339" t="n">
        <v>15</v>
      </c>
      <c r="S349" s="477">
        <f>Q349-R349</f>
        <v/>
      </c>
      <c r="T349" s="71">
        <f>R349/Q349</f>
        <v/>
      </c>
      <c r="U349" s="339" t="n">
        <v>22000</v>
      </c>
      <c r="AM349" s="357" t="n"/>
    </row>
    <row r="350">
      <c r="A350" s="339" t="inlineStr">
        <is>
          <t>우암동</t>
        </is>
      </c>
      <c r="B350" s="164" t="n"/>
      <c r="C350" s="164" t="n"/>
      <c r="D350" s="339" t="n">
        <v>4725</v>
      </c>
      <c r="E350" s="113" t="inlineStr">
        <is>
          <t>동일</t>
        </is>
      </c>
      <c r="F350" s="339" t="n">
        <v>1988.07</v>
      </c>
      <c r="G350" s="339" t="n">
        <v>312</v>
      </c>
      <c r="H350" s="339">
        <f>2026-F350+1</f>
        <v/>
      </c>
      <c r="J350" s="339" t="n">
        <v>56</v>
      </c>
      <c r="K350" s="339" t="n">
        <v>45</v>
      </c>
      <c r="L350" s="339" t="n">
        <v>17</v>
      </c>
      <c r="M350" s="339" t="inlineStr">
        <is>
          <t>계단식</t>
        </is>
      </c>
      <c r="N350" s="339" t="n">
        <v>2</v>
      </c>
      <c r="O350" s="339" t="n">
        <v>1</v>
      </c>
      <c r="P350" s="339" t="n">
        <v>36</v>
      </c>
      <c r="S350" s="477">
        <f>Q350-R350</f>
        <v/>
      </c>
      <c r="T350" s="71">
        <f>R350/Q350</f>
        <v/>
      </c>
      <c r="U350" s="339" t="n">
        <v>19800</v>
      </c>
      <c r="V350" s="339" t="n">
        <v>15400</v>
      </c>
      <c r="AM350" s="357" t="n"/>
    </row>
    <row r="351">
      <c r="A351" s="339" t="inlineStr">
        <is>
          <t>우암동</t>
        </is>
      </c>
      <c r="D351" s="339" t="n">
        <v>4725</v>
      </c>
      <c r="E351" s="113" t="inlineStr">
        <is>
          <t>동일</t>
        </is>
      </c>
      <c r="F351" s="339" t="n">
        <v>1988.07</v>
      </c>
      <c r="G351" s="339" t="n">
        <v>312</v>
      </c>
      <c r="H351" s="339">
        <f>2026-F351+1</f>
        <v/>
      </c>
      <c r="J351" s="339" t="n">
        <v>59</v>
      </c>
      <c r="K351" s="339" t="n">
        <v>48</v>
      </c>
      <c r="L351" s="339" t="n">
        <v>18</v>
      </c>
      <c r="M351" s="339" t="inlineStr">
        <is>
          <t>계단식</t>
        </is>
      </c>
      <c r="N351" s="339" t="n">
        <v>2</v>
      </c>
      <c r="O351" s="339" t="n">
        <v>1</v>
      </c>
      <c r="P351" s="339" t="n">
        <v>24</v>
      </c>
      <c r="S351" s="477">
        <f>Q351-R351</f>
        <v/>
      </c>
      <c r="T351" s="71">
        <f>R351/Q351</f>
        <v/>
      </c>
      <c r="U351" s="339" t="n">
        <v>16500</v>
      </c>
      <c r="V351" s="339" t="n">
        <v>14000</v>
      </c>
    </row>
    <row r="352">
      <c r="A352" s="339" t="inlineStr">
        <is>
          <t>우암동</t>
        </is>
      </c>
      <c r="D352" s="339" t="n">
        <v>4725</v>
      </c>
      <c r="E352" s="113" t="inlineStr">
        <is>
          <t>동일</t>
        </is>
      </c>
      <c r="F352" s="339" t="n">
        <v>1988.07</v>
      </c>
      <c r="G352" s="339" t="n">
        <v>312</v>
      </c>
      <c r="H352" s="339">
        <f>2026-F352+1</f>
        <v/>
      </c>
      <c r="J352" s="339" t="n">
        <v>65</v>
      </c>
      <c r="K352" s="339" t="n">
        <v>53</v>
      </c>
      <c r="L352" s="339" t="n">
        <v>20</v>
      </c>
      <c r="M352" s="339" t="inlineStr">
        <is>
          <t>계단식</t>
        </is>
      </c>
      <c r="N352" s="339" t="n">
        <v>3</v>
      </c>
      <c r="O352" s="339" t="n">
        <v>1</v>
      </c>
      <c r="P352" s="339" t="n">
        <v>36</v>
      </c>
      <c r="S352" s="477">
        <f>Q352-R352</f>
        <v/>
      </c>
      <c r="T352" s="71">
        <f>R352/Q352</f>
        <v/>
      </c>
    </row>
    <row r="353">
      <c r="A353" s="339" t="inlineStr">
        <is>
          <t>우암동</t>
        </is>
      </c>
      <c r="D353" s="339" t="n">
        <v>4725</v>
      </c>
      <c r="E353" s="113" t="inlineStr">
        <is>
          <t>동일</t>
        </is>
      </c>
      <c r="F353" s="339" t="n">
        <v>1988.07</v>
      </c>
      <c r="G353" s="339" t="n">
        <v>312</v>
      </c>
      <c r="H353" s="339">
        <f>2026-F353+1</f>
        <v/>
      </c>
      <c r="J353" s="339" t="n">
        <v>68</v>
      </c>
      <c r="K353" s="339" t="n">
        <v>56</v>
      </c>
      <c r="L353" s="339" t="n">
        <v>21</v>
      </c>
      <c r="M353" s="339" t="inlineStr">
        <is>
          <t>계단식</t>
        </is>
      </c>
      <c r="N353" s="339" t="n">
        <v>3</v>
      </c>
      <c r="O353" s="339" t="n">
        <v>1</v>
      </c>
      <c r="P353" s="339" t="n">
        <v>36</v>
      </c>
      <c r="S353" s="477">
        <f>Q353-R353</f>
        <v/>
      </c>
      <c r="T353" s="71">
        <f>R353/Q353</f>
        <v/>
      </c>
      <c r="U353" s="339" t="n">
        <v>21000</v>
      </c>
      <c r="V353" s="339" t="n">
        <v>21000</v>
      </c>
    </row>
    <row r="354">
      <c r="A354" s="339" t="inlineStr">
        <is>
          <t>우암동</t>
        </is>
      </c>
      <c r="B354" s="164" t="n"/>
      <c r="C354" s="164" t="n"/>
      <c r="D354" s="339" t="n">
        <v>4725</v>
      </c>
      <c r="E354" s="113" t="inlineStr">
        <is>
          <t>동일</t>
        </is>
      </c>
      <c r="F354" s="339" t="n">
        <v>1988.07</v>
      </c>
      <c r="G354" s="339" t="n">
        <v>312</v>
      </c>
      <c r="H354" s="339">
        <f>2026-F354+1</f>
        <v/>
      </c>
      <c r="J354" s="339" t="n">
        <v>81</v>
      </c>
      <c r="K354" s="339" t="n">
        <v>68</v>
      </c>
      <c r="L354" s="339" t="n">
        <v>25</v>
      </c>
      <c r="M354" s="339" t="inlineStr">
        <is>
          <t>계단식</t>
        </is>
      </c>
      <c r="N354" s="339" t="n">
        <v>3</v>
      </c>
      <c r="O354" s="339" t="n">
        <v>1</v>
      </c>
      <c r="P354" s="339" t="n">
        <v>18</v>
      </c>
      <c r="S354" s="477">
        <f>Q354-R354</f>
        <v/>
      </c>
      <c r="T354" s="71">
        <f>R354/Q354</f>
        <v/>
      </c>
      <c r="U354" s="339" t="n">
        <v>23000</v>
      </c>
      <c r="AM354" s="357" t="n"/>
    </row>
    <row r="355">
      <c r="A355" s="132" t="inlineStr">
        <is>
          <t>우암동</t>
        </is>
      </c>
      <c r="B355" s="133" t="n"/>
      <c r="C355" s="133" t="n"/>
      <c r="D355" s="132" t="n">
        <v>161277</v>
      </c>
      <c r="E355" s="154" t="inlineStr">
        <is>
          <t>두산위브더제니스오션시티</t>
        </is>
      </c>
      <c r="F355" s="132" t="n">
        <v>2026.01</v>
      </c>
      <c r="G355" s="132" t="n">
        <v>3048</v>
      </c>
      <c r="H355" s="132">
        <f>2026-F355+1</f>
        <v/>
      </c>
      <c r="I355" s="133" t="n"/>
      <c r="J355" s="132" t="n">
        <v>56</v>
      </c>
      <c r="K355" s="132" t="n">
        <v>39</v>
      </c>
      <c r="L355" s="132" t="n">
        <v>17</v>
      </c>
      <c r="M355" s="132" t="inlineStr">
        <is>
          <t>계단식</t>
        </is>
      </c>
      <c r="N355" s="132" t="n">
        <v>2</v>
      </c>
      <c r="O355" s="132" t="n">
        <v>1</v>
      </c>
      <c r="P355" s="132" t="n">
        <v>214</v>
      </c>
      <c r="Q355" s="160" t="n"/>
      <c r="R355" s="160" t="n"/>
      <c r="S355" s="477">
        <f>Q355-R355</f>
        <v/>
      </c>
      <c r="T355" s="71">
        <f>R355/Q355</f>
        <v/>
      </c>
      <c r="U355" s="133" t="n"/>
      <c r="V355" s="133" t="n"/>
      <c r="AA355" s="133" t="n"/>
      <c r="AB355" s="133" t="n"/>
      <c r="AC355" s="133" t="n"/>
      <c r="AD355" s="133" t="n"/>
      <c r="AE355" s="133" t="n"/>
      <c r="AF355" s="133" t="n"/>
      <c r="AG355" s="133" t="n"/>
      <c r="AK355" s="133" t="n"/>
      <c r="AL355" s="133" t="n"/>
      <c r="AM355" s="133" t="n"/>
      <c r="AN355" s="133" t="n"/>
      <c r="AV355" s="133" t="n"/>
    </row>
    <row r="356">
      <c r="A356" s="339" t="inlineStr">
        <is>
          <t>우암동</t>
        </is>
      </c>
      <c r="B356" s="164" t="n"/>
      <c r="C356" s="164" t="n"/>
      <c r="D356" s="339" t="n">
        <v>4737</v>
      </c>
      <c r="E356" s="113" t="inlineStr">
        <is>
          <t>우암자유2차</t>
        </is>
      </c>
      <c r="F356" s="339" t="n">
        <v>1993.06</v>
      </c>
      <c r="G356" s="339" t="n">
        <v>335</v>
      </c>
      <c r="H356" s="339">
        <f>2026-F356+1</f>
        <v/>
      </c>
      <c r="J356" s="339" t="n">
        <v>89</v>
      </c>
      <c r="K356" s="339" t="n">
        <v>61</v>
      </c>
      <c r="L356" s="339" t="n">
        <v>27</v>
      </c>
      <c r="M356" s="339" t="inlineStr">
        <is>
          <t>복도식</t>
        </is>
      </c>
      <c r="N356" s="339" t="n">
        <v>2</v>
      </c>
      <c r="O356" s="339" t="n">
        <v>1</v>
      </c>
      <c r="P356" s="339" t="n">
        <v>107</v>
      </c>
      <c r="S356" s="477">
        <f>Q356-R356</f>
        <v/>
      </c>
      <c r="T356" s="71">
        <f>R356/Q356</f>
        <v/>
      </c>
      <c r="U356" s="339" t="n">
        <v>19350</v>
      </c>
      <c r="V356" s="339" t="n">
        <v>16500</v>
      </c>
      <c r="AM356" s="357" t="n"/>
    </row>
    <row r="357">
      <c r="A357" s="339" t="inlineStr">
        <is>
          <t>우암동</t>
        </is>
      </c>
      <c r="D357" s="339" t="n">
        <v>4737</v>
      </c>
      <c r="E357" s="113" t="inlineStr">
        <is>
          <t>우암자유2차</t>
        </is>
      </c>
      <c r="F357" s="339" t="n">
        <v>1993.06</v>
      </c>
      <c r="G357" s="339" t="n">
        <v>335</v>
      </c>
      <c r="H357" s="339">
        <f>2026-F357+1</f>
        <v/>
      </c>
      <c r="J357" s="339" t="n">
        <v>161</v>
      </c>
      <c r="K357" s="339" t="n">
        <v>131</v>
      </c>
      <c r="L357" s="339" t="n">
        <v>49</v>
      </c>
      <c r="M357" s="339" t="inlineStr">
        <is>
          <t>계단식</t>
        </is>
      </c>
      <c r="N357" s="339" t="n">
        <v>4</v>
      </c>
      <c r="O357" s="339" t="n">
        <v>2</v>
      </c>
      <c r="P357" s="339" t="n">
        <v>76</v>
      </c>
      <c r="S357" s="477">
        <f>Q357-R357</f>
        <v/>
      </c>
      <c r="T357" s="71">
        <f>R357/Q357</f>
        <v/>
      </c>
      <c r="U357" s="339" t="n">
        <v>37500</v>
      </c>
      <c r="V357" s="339" t="n">
        <v>35000</v>
      </c>
    </row>
    <row r="358">
      <c r="A358" s="132" t="inlineStr">
        <is>
          <t>우암동</t>
        </is>
      </c>
      <c r="B358" s="88" t="n"/>
      <c r="C358" s="89" t="n"/>
      <c r="D358" s="132" t="n">
        <v>11242</v>
      </c>
      <c r="E358" s="135" t="inlineStr">
        <is>
          <t>우암중앙하이츠</t>
        </is>
      </c>
      <c r="F358" s="132" t="n">
        <v>2004.12</v>
      </c>
      <c r="G358" s="132" t="n">
        <v>465</v>
      </c>
      <c r="H358" s="132">
        <f>2026-F358+1</f>
        <v/>
      </c>
      <c r="I358" s="133" t="n"/>
      <c r="J358" s="132" t="n">
        <v>37</v>
      </c>
      <c r="K358" s="132" t="n">
        <v>26</v>
      </c>
      <c r="L358" s="132" t="n">
        <v>11</v>
      </c>
      <c r="M358" s="132" t="inlineStr">
        <is>
          <t>계단식</t>
        </is>
      </c>
      <c r="N358" s="132" t="n">
        <v>1</v>
      </c>
      <c r="O358" s="132" t="n">
        <v>1</v>
      </c>
      <c r="P358" s="132" t="n">
        <v>49</v>
      </c>
      <c r="Q358" s="160" t="n"/>
      <c r="R358" s="160" t="n"/>
      <c r="S358" s="477">
        <f>Q358-R358</f>
        <v/>
      </c>
      <c r="T358" s="71">
        <f>R358/Q358</f>
        <v/>
      </c>
      <c r="U358" s="133" t="n">
        <v>10200</v>
      </c>
      <c r="V358" s="133" t="n"/>
      <c r="AA358" s="133" t="n"/>
      <c r="AB358" s="133" t="n"/>
      <c r="AC358" s="133" t="n"/>
      <c r="AD358" s="133" t="n"/>
      <c r="AE358" s="133" t="n"/>
      <c r="AF358" s="133" t="n"/>
      <c r="AG358" s="133" t="n"/>
      <c r="AK358" s="133" t="n"/>
      <c r="AL358" s="133" t="n"/>
      <c r="AM358" s="88" t="n"/>
      <c r="AN358" s="133" t="n"/>
      <c r="AV358" s="133" t="n"/>
    </row>
    <row r="359">
      <c r="A359" s="339" t="inlineStr">
        <is>
          <t>우암동</t>
        </is>
      </c>
      <c r="D359" s="339" t="n">
        <v>4731</v>
      </c>
      <c r="E359" s="113" t="inlineStr">
        <is>
          <t>일신보라</t>
        </is>
      </c>
      <c r="F359" s="339" t="n">
        <v>1998.09</v>
      </c>
      <c r="G359" s="339" t="n">
        <v>661</v>
      </c>
      <c r="H359" s="339">
        <f>2026-F359+1</f>
        <v/>
      </c>
      <c r="J359" s="339" t="n">
        <v>140</v>
      </c>
      <c r="K359" s="339" t="n">
        <v>116</v>
      </c>
      <c r="L359" s="339" t="n">
        <v>42</v>
      </c>
      <c r="M359" s="339" t="inlineStr">
        <is>
          <t>계단식</t>
        </is>
      </c>
      <c r="N359" s="339" t="n">
        <v>4</v>
      </c>
      <c r="O359" s="339" t="n">
        <v>2</v>
      </c>
      <c r="P359" s="339" t="n">
        <v>96</v>
      </c>
      <c r="S359" s="477">
        <f>Q359-R359</f>
        <v/>
      </c>
      <c r="T359" s="71">
        <f>R359/Q359</f>
        <v/>
      </c>
      <c r="U359" s="339" t="n">
        <v>45200</v>
      </c>
      <c r="V359" s="339" t="n">
        <v>37500</v>
      </c>
    </row>
  </sheetData>
  <autoFilter ref="A4:AY4">
    <sortState ref="A5:AV359">
      <sortCondition descending="1" ref="Q4"/>
    </sortState>
  </autoFilter>
  <mergeCells count="2">
    <mergeCell ref="B3:C3"/>
    <mergeCell ref="AH3:AL3"/>
  </mergeCells>
  <conditionalFormatting sqref="AL1:AL1048576">
    <cfRule type="dataBar" priority="175">
      <dataBar>
        <cfvo type="min"/>
        <cfvo type="max"/>
        <color rgb="FF63C384"/>
      </dataBar>
    </cfRule>
  </conditionalFormatting>
  <conditionalFormatting sqref="B1">
    <cfRule type="cellIs" priority="171" operator="equal" dxfId="1">
      <formula>"중"</formula>
    </cfRule>
    <cfRule type="cellIs" priority="172" operator="equal" dxfId="0">
      <formula>"상"</formula>
    </cfRule>
  </conditionalFormatting>
  <conditionalFormatting sqref="C1:D1">
    <cfRule type="cellIs" priority="169" operator="equal" dxfId="1">
      <formula>"중"</formula>
    </cfRule>
    <cfRule type="cellIs" priority="170" operator="equal" dxfId="0">
      <formula>"상"</formula>
    </cfRule>
  </conditionalFormatting>
  <conditionalFormatting sqref="B2">
    <cfRule type="cellIs" priority="167" operator="equal" dxfId="1">
      <formula>"중"</formula>
    </cfRule>
    <cfRule type="cellIs" priority="168" operator="equal" dxfId="0">
      <formula>"상"</formula>
    </cfRule>
  </conditionalFormatting>
  <conditionalFormatting sqref="B5">
    <cfRule type="cellIs" priority="163" operator="equal" dxfId="1">
      <formula>"중"</formula>
    </cfRule>
    <cfRule type="cellIs" priority="164" operator="equal" dxfId="0">
      <formula>"상"</formula>
    </cfRule>
  </conditionalFormatting>
  <conditionalFormatting sqref="C5:D5">
    <cfRule type="cellIs" priority="161" operator="equal" dxfId="1">
      <formula>"중"</formula>
    </cfRule>
    <cfRule type="cellIs" priority="162" operator="equal" dxfId="0">
      <formula>"상"</formula>
    </cfRule>
  </conditionalFormatting>
  <hyperlinks>
    <hyperlink xmlns:r="http://schemas.openxmlformats.org/officeDocument/2006/relationships" ref="E5" r:id="rId1"/>
    <hyperlink xmlns:r="http://schemas.openxmlformats.org/officeDocument/2006/relationships" ref="E6" r:id="rId2"/>
    <hyperlink xmlns:r="http://schemas.openxmlformats.org/officeDocument/2006/relationships" ref="E7" r:id="rId3"/>
    <hyperlink xmlns:r="http://schemas.openxmlformats.org/officeDocument/2006/relationships" ref="E8" r:id="rId4"/>
    <hyperlink xmlns:r="http://schemas.openxmlformats.org/officeDocument/2006/relationships" ref="E9" r:id="rId5"/>
    <hyperlink xmlns:r="http://schemas.openxmlformats.org/officeDocument/2006/relationships" ref="E10" r:id="rId6"/>
    <hyperlink xmlns:r="http://schemas.openxmlformats.org/officeDocument/2006/relationships" ref="E11" r:id="rId7"/>
    <hyperlink xmlns:r="http://schemas.openxmlformats.org/officeDocument/2006/relationships" ref="E12" r:id="rId8"/>
    <hyperlink xmlns:r="http://schemas.openxmlformats.org/officeDocument/2006/relationships" ref="E13" r:id="rId9"/>
    <hyperlink xmlns:r="http://schemas.openxmlformats.org/officeDocument/2006/relationships" ref="E14" r:id="rId10"/>
    <hyperlink xmlns:r="http://schemas.openxmlformats.org/officeDocument/2006/relationships" ref="E15" r:id="rId11"/>
    <hyperlink xmlns:r="http://schemas.openxmlformats.org/officeDocument/2006/relationships" ref="E16" r:id="rId12"/>
    <hyperlink xmlns:r="http://schemas.openxmlformats.org/officeDocument/2006/relationships" ref="E17" r:id="rId13"/>
    <hyperlink xmlns:r="http://schemas.openxmlformats.org/officeDocument/2006/relationships" ref="E18" r:id="rId14"/>
    <hyperlink xmlns:r="http://schemas.openxmlformats.org/officeDocument/2006/relationships" ref="E19" r:id="rId15"/>
    <hyperlink xmlns:r="http://schemas.openxmlformats.org/officeDocument/2006/relationships" ref="E20" r:id="rId16"/>
    <hyperlink xmlns:r="http://schemas.openxmlformats.org/officeDocument/2006/relationships" ref="E21" r:id="rId17"/>
    <hyperlink xmlns:r="http://schemas.openxmlformats.org/officeDocument/2006/relationships" ref="E22" r:id="rId18"/>
    <hyperlink xmlns:r="http://schemas.openxmlformats.org/officeDocument/2006/relationships" ref="E23" r:id="rId19"/>
    <hyperlink xmlns:r="http://schemas.openxmlformats.org/officeDocument/2006/relationships" ref="E24" r:id="rId20"/>
    <hyperlink xmlns:r="http://schemas.openxmlformats.org/officeDocument/2006/relationships" ref="E25" r:id="rId21"/>
    <hyperlink xmlns:r="http://schemas.openxmlformats.org/officeDocument/2006/relationships" ref="E26" r:id="rId22"/>
    <hyperlink xmlns:r="http://schemas.openxmlformats.org/officeDocument/2006/relationships" ref="E27" r:id="rId23"/>
    <hyperlink xmlns:r="http://schemas.openxmlformats.org/officeDocument/2006/relationships" ref="E28" r:id="rId24"/>
    <hyperlink xmlns:r="http://schemas.openxmlformats.org/officeDocument/2006/relationships" ref="E29" r:id="rId25"/>
    <hyperlink xmlns:r="http://schemas.openxmlformats.org/officeDocument/2006/relationships" ref="E30" r:id="rId26"/>
    <hyperlink xmlns:r="http://schemas.openxmlformats.org/officeDocument/2006/relationships" ref="E31" r:id="rId27"/>
    <hyperlink xmlns:r="http://schemas.openxmlformats.org/officeDocument/2006/relationships" ref="E32" r:id="rId28"/>
    <hyperlink xmlns:r="http://schemas.openxmlformats.org/officeDocument/2006/relationships" ref="E33" r:id="rId29"/>
    <hyperlink xmlns:r="http://schemas.openxmlformats.org/officeDocument/2006/relationships" ref="E34" r:id="rId30"/>
    <hyperlink xmlns:r="http://schemas.openxmlformats.org/officeDocument/2006/relationships" ref="E35" r:id="rId31"/>
    <hyperlink xmlns:r="http://schemas.openxmlformats.org/officeDocument/2006/relationships" ref="E36" r:id="rId32"/>
    <hyperlink xmlns:r="http://schemas.openxmlformats.org/officeDocument/2006/relationships" ref="E37" r:id="rId33"/>
    <hyperlink xmlns:r="http://schemas.openxmlformats.org/officeDocument/2006/relationships" ref="E38" r:id="rId34"/>
    <hyperlink xmlns:r="http://schemas.openxmlformats.org/officeDocument/2006/relationships" ref="E39" r:id="rId35"/>
    <hyperlink xmlns:r="http://schemas.openxmlformats.org/officeDocument/2006/relationships" ref="E40" r:id="rId36"/>
    <hyperlink xmlns:r="http://schemas.openxmlformats.org/officeDocument/2006/relationships" ref="E41" r:id="rId37"/>
    <hyperlink xmlns:r="http://schemas.openxmlformats.org/officeDocument/2006/relationships" ref="E42" r:id="rId38"/>
    <hyperlink xmlns:r="http://schemas.openxmlformats.org/officeDocument/2006/relationships" ref="E43" r:id="rId39"/>
    <hyperlink xmlns:r="http://schemas.openxmlformats.org/officeDocument/2006/relationships" ref="E44" r:id="rId40"/>
    <hyperlink xmlns:r="http://schemas.openxmlformats.org/officeDocument/2006/relationships" ref="E45" r:id="rId41"/>
    <hyperlink xmlns:r="http://schemas.openxmlformats.org/officeDocument/2006/relationships" ref="E46" r:id="rId42"/>
    <hyperlink xmlns:r="http://schemas.openxmlformats.org/officeDocument/2006/relationships" ref="E47" r:id="rId43"/>
    <hyperlink xmlns:r="http://schemas.openxmlformats.org/officeDocument/2006/relationships" ref="E48" r:id="rId44"/>
    <hyperlink xmlns:r="http://schemas.openxmlformats.org/officeDocument/2006/relationships" ref="E49" r:id="rId45"/>
    <hyperlink xmlns:r="http://schemas.openxmlformats.org/officeDocument/2006/relationships" ref="E50" r:id="rId46"/>
    <hyperlink xmlns:r="http://schemas.openxmlformats.org/officeDocument/2006/relationships" ref="E51" r:id="rId47"/>
    <hyperlink xmlns:r="http://schemas.openxmlformats.org/officeDocument/2006/relationships" ref="E52" r:id="rId48"/>
    <hyperlink xmlns:r="http://schemas.openxmlformats.org/officeDocument/2006/relationships" ref="E53" r:id="rId49"/>
    <hyperlink xmlns:r="http://schemas.openxmlformats.org/officeDocument/2006/relationships" ref="E54" r:id="rId50"/>
    <hyperlink xmlns:r="http://schemas.openxmlformats.org/officeDocument/2006/relationships" ref="E55" r:id="rId51"/>
    <hyperlink xmlns:r="http://schemas.openxmlformats.org/officeDocument/2006/relationships" ref="E56" r:id="rId52"/>
    <hyperlink xmlns:r="http://schemas.openxmlformats.org/officeDocument/2006/relationships" ref="E57" r:id="rId53"/>
    <hyperlink xmlns:r="http://schemas.openxmlformats.org/officeDocument/2006/relationships" ref="E58" r:id="rId54"/>
    <hyperlink xmlns:r="http://schemas.openxmlformats.org/officeDocument/2006/relationships" ref="E59" r:id="rId55"/>
    <hyperlink xmlns:r="http://schemas.openxmlformats.org/officeDocument/2006/relationships" ref="E60" r:id="rId56"/>
    <hyperlink xmlns:r="http://schemas.openxmlformats.org/officeDocument/2006/relationships" ref="E61" r:id="rId57"/>
    <hyperlink xmlns:r="http://schemas.openxmlformats.org/officeDocument/2006/relationships" ref="E62" r:id="rId58"/>
    <hyperlink xmlns:r="http://schemas.openxmlformats.org/officeDocument/2006/relationships" ref="E63" r:id="rId59"/>
    <hyperlink xmlns:r="http://schemas.openxmlformats.org/officeDocument/2006/relationships" ref="E64" r:id="rId60"/>
    <hyperlink xmlns:r="http://schemas.openxmlformats.org/officeDocument/2006/relationships" ref="E65" r:id="rId61"/>
    <hyperlink xmlns:r="http://schemas.openxmlformats.org/officeDocument/2006/relationships" ref="E66" r:id="rId62"/>
    <hyperlink xmlns:r="http://schemas.openxmlformats.org/officeDocument/2006/relationships" ref="E67" r:id="rId63"/>
    <hyperlink xmlns:r="http://schemas.openxmlformats.org/officeDocument/2006/relationships" ref="E68" r:id="rId64"/>
    <hyperlink xmlns:r="http://schemas.openxmlformats.org/officeDocument/2006/relationships" ref="E69" r:id="rId65"/>
    <hyperlink xmlns:r="http://schemas.openxmlformats.org/officeDocument/2006/relationships" ref="E70" r:id="rId66"/>
    <hyperlink xmlns:r="http://schemas.openxmlformats.org/officeDocument/2006/relationships" ref="E71" r:id="rId67"/>
    <hyperlink xmlns:r="http://schemas.openxmlformats.org/officeDocument/2006/relationships" ref="E72" r:id="rId68"/>
    <hyperlink xmlns:r="http://schemas.openxmlformats.org/officeDocument/2006/relationships" ref="E73" r:id="rId69"/>
    <hyperlink xmlns:r="http://schemas.openxmlformats.org/officeDocument/2006/relationships" ref="E74" r:id="rId70"/>
    <hyperlink xmlns:r="http://schemas.openxmlformats.org/officeDocument/2006/relationships" ref="E75" r:id="rId71"/>
    <hyperlink xmlns:r="http://schemas.openxmlformats.org/officeDocument/2006/relationships" ref="E76" r:id="rId72"/>
    <hyperlink xmlns:r="http://schemas.openxmlformats.org/officeDocument/2006/relationships" ref="E77" r:id="rId73"/>
    <hyperlink xmlns:r="http://schemas.openxmlformats.org/officeDocument/2006/relationships" ref="E78" r:id="rId74"/>
    <hyperlink xmlns:r="http://schemas.openxmlformats.org/officeDocument/2006/relationships" ref="E79" r:id="rId75"/>
    <hyperlink xmlns:r="http://schemas.openxmlformats.org/officeDocument/2006/relationships" ref="E80" r:id="rId76"/>
    <hyperlink xmlns:r="http://schemas.openxmlformats.org/officeDocument/2006/relationships" ref="E81" r:id="rId77"/>
    <hyperlink xmlns:r="http://schemas.openxmlformats.org/officeDocument/2006/relationships" ref="E82" r:id="rId78"/>
    <hyperlink xmlns:r="http://schemas.openxmlformats.org/officeDocument/2006/relationships" ref="E83" r:id="rId79"/>
    <hyperlink xmlns:r="http://schemas.openxmlformats.org/officeDocument/2006/relationships" ref="E84" r:id="rId80"/>
    <hyperlink xmlns:r="http://schemas.openxmlformats.org/officeDocument/2006/relationships" ref="E85" r:id="rId81"/>
    <hyperlink xmlns:r="http://schemas.openxmlformats.org/officeDocument/2006/relationships" ref="E86" r:id="rId82"/>
    <hyperlink xmlns:r="http://schemas.openxmlformats.org/officeDocument/2006/relationships" ref="E87" r:id="rId83"/>
    <hyperlink xmlns:r="http://schemas.openxmlformats.org/officeDocument/2006/relationships" ref="E88" r:id="rId84"/>
    <hyperlink xmlns:r="http://schemas.openxmlformats.org/officeDocument/2006/relationships" ref="E89" r:id="rId85"/>
    <hyperlink xmlns:r="http://schemas.openxmlformats.org/officeDocument/2006/relationships" ref="E90" r:id="rId86"/>
    <hyperlink xmlns:r="http://schemas.openxmlformats.org/officeDocument/2006/relationships" ref="E91" r:id="rId87"/>
    <hyperlink xmlns:r="http://schemas.openxmlformats.org/officeDocument/2006/relationships" ref="E92" r:id="rId88"/>
    <hyperlink xmlns:r="http://schemas.openxmlformats.org/officeDocument/2006/relationships" ref="E93" r:id="rId89"/>
    <hyperlink xmlns:r="http://schemas.openxmlformats.org/officeDocument/2006/relationships" ref="E94" r:id="rId90"/>
    <hyperlink xmlns:r="http://schemas.openxmlformats.org/officeDocument/2006/relationships" ref="E95" r:id="rId91"/>
    <hyperlink xmlns:r="http://schemas.openxmlformats.org/officeDocument/2006/relationships" ref="E96" r:id="rId92"/>
    <hyperlink xmlns:r="http://schemas.openxmlformats.org/officeDocument/2006/relationships" ref="E97" r:id="rId93"/>
    <hyperlink xmlns:r="http://schemas.openxmlformats.org/officeDocument/2006/relationships" ref="E98" r:id="rId94"/>
    <hyperlink xmlns:r="http://schemas.openxmlformats.org/officeDocument/2006/relationships" ref="E99" r:id="rId95"/>
    <hyperlink xmlns:r="http://schemas.openxmlformats.org/officeDocument/2006/relationships" ref="E100" r:id="rId96"/>
    <hyperlink xmlns:r="http://schemas.openxmlformats.org/officeDocument/2006/relationships" ref="E101" r:id="rId97"/>
    <hyperlink xmlns:r="http://schemas.openxmlformats.org/officeDocument/2006/relationships" ref="E102" r:id="rId98"/>
    <hyperlink xmlns:r="http://schemas.openxmlformats.org/officeDocument/2006/relationships" ref="E103" r:id="rId99"/>
    <hyperlink xmlns:r="http://schemas.openxmlformats.org/officeDocument/2006/relationships" ref="E104" r:id="rId100"/>
    <hyperlink xmlns:r="http://schemas.openxmlformats.org/officeDocument/2006/relationships" ref="E105" r:id="rId101"/>
    <hyperlink xmlns:r="http://schemas.openxmlformats.org/officeDocument/2006/relationships" ref="E106" r:id="rId102"/>
    <hyperlink xmlns:r="http://schemas.openxmlformats.org/officeDocument/2006/relationships" ref="E107" r:id="rId103"/>
    <hyperlink xmlns:r="http://schemas.openxmlformats.org/officeDocument/2006/relationships" ref="E108" r:id="rId104"/>
    <hyperlink xmlns:r="http://schemas.openxmlformats.org/officeDocument/2006/relationships" ref="E109" r:id="rId105"/>
    <hyperlink xmlns:r="http://schemas.openxmlformats.org/officeDocument/2006/relationships" ref="E110" r:id="rId106"/>
    <hyperlink xmlns:r="http://schemas.openxmlformats.org/officeDocument/2006/relationships" ref="E111" r:id="rId107"/>
    <hyperlink xmlns:r="http://schemas.openxmlformats.org/officeDocument/2006/relationships" ref="E112" r:id="rId108"/>
    <hyperlink xmlns:r="http://schemas.openxmlformats.org/officeDocument/2006/relationships" ref="E113" r:id="rId109"/>
    <hyperlink xmlns:r="http://schemas.openxmlformats.org/officeDocument/2006/relationships" ref="E114" r:id="rId110"/>
    <hyperlink xmlns:r="http://schemas.openxmlformats.org/officeDocument/2006/relationships" ref="E115" r:id="rId111"/>
    <hyperlink xmlns:r="http://schemas.openxmlformats.org/officeDocument/2006/relationships" ref="E116" r:id="rId112"/>
    <hyperlink xmlns:r="http://schemas.openxmlformats.org/officeDocument/2006/relationships" ref="E117" r:id="rId113"/>
    <hyperlink xmlns:r="http://schemas.openxmlformats.org/officeDocument/2006/relationships" ref="E118" r:id="rId114"/>
    <hyperlink xmlns:r="http://schemas.openxmlformats.org/officeDocument/2006/relationships" ref="E119" r:id="rId115"/>
    <hyperlink xmlns:r="http://schemas.openxmlformats.org/officeDocument/2006/relationships" ref="E120" r:id="rId116"/>
    <hyperlink xmlns:r="http://schemas.openxmlformats.org/officeDocument/2006/relationships" ref="E121" r:id="rId117"/>
    <hyperlink xmlns:r="http://schemas.openxmlformats.org/officeDocument/2006/relationships" ref="E122" r:id="rId118"/>
    <hyperlink xmlns:r="http://schemas.openxmlformats.org/officeDocument/2006/relationships" ref="E123" r:id="rId119"/>
    <hyperlink xmlns:r="http://schemas.openxmlformats.org/officeDocument/2006/relationships" ref="E124" r:id="rId120"/>
    <hyperlink xmlns:r="http://schemas.openxmlformats.org/officeDocument/2006/relationships" ref="E125" r:id="rId121"/>
    <hyperlink xmlns:r="http://schemas.openxmlformats.org/officeDocument/2006/relationships" ref="E126" r:id="rId122"/>
    <hyperlink xmlns:r="http://schemas.openxmlformats.org/officeDocument/2006/relationships" ref="E127" r:id="rId123"/>
    <hyperlink xmlns:r="http://schemas.openxmlformats.org/officeDocument/2006/relationships" ref="E128" r:id="rId124"/>
    <hyperlink xmlns:r="http://schemas.openxmlformats.org/officeDocument/2006/relationships" ref="E129" r:id="rId125"/>
    <hyperlink xmlns:r="http://schemas.openxmlformats.org/officeDocument/2006/relationships" ref="E130" r:id="rId126"/>
    <hyperlink xmlns:r="http://schemas.openxmlformats.org/officeDocument/2006/relationships" ref="E131" r:id="rId127"/>
    <hyperlink xmlns:r="http://schemas.openxmlformats.org/officeDocument/2006/relationships" ref="E132" r:id="rId128"/>
    <hyperlink xmlns:r="http://schemas.openxmlformats.org/officeDocument/2006/relationships" ref="E133" r:id="rId129"/>
    <hyperlink xmlns:r="http://schemas.openxmlformats.org/officeDocument/2006/relationships" ref="E134" r:id="rId130"/>
    <hyperlink xmlns:r="http://schemas.openxmlformats.org/officeDocument/2006/relationships" ref="E135" r:id="rId131"/>
    <hyperlink xmlns:r="http://schemas.openxmlformats.org/officeDocument/2006/relationships" ref="E136" r:id="rId132"/>
    <hyperlink xmlns:r="http://schemas.openxmlformats.org/officeDocument/2006/relationships" ref="E137" r:id="rId133"/>
    <hyperlink xmlns:r="http://schemas.openxmlformats.org/officeDocument/2006/relationships" ref="E138" r:id="rId134"/>
    <hyperlink xmlns:r="http://schemas.openxmlformats.org/officeDocument/2006/relationships" ref="E139" r:id="rId135"/>
    <hyperlink xmlns:r="http://schemas.openxmlformats.org/officeDocument/2006/relationships" ref="E140" r:id="rId136"/>
    <hyperlink xmlns:r="http://schemas.openxmlformats.org/officeDocument/2006/relationships" ref="E141" r:id="rId137"/>
    <hyperlink xmlns:r="http://schemas.openxmlformats.org/officeDocument/2006/relationships" ref="E142" r:id="rId138"/>
    <hyperlink xmlns:r="http://schemas.openxmlformats.org/officeDocument/2006/relationships" ref="E143" r:id="rId139"/>
    <hyperlink xmlns:r="http://schemas.openxmlformats.org/officeDocument/2006/relationships" ref="E144" r:id="rId140"/>
    <hyperlink xmlns:r="http://schemas.openxmlformats.org/officeDocument/2006/relationships" ref="E145" r:id="rId141"/>
    <hyperlink xmlns:r="http://schemas.openxmlformats.org/officeDocument/2006/relationships" ref="E146" r:id="rId142"/>
    <hyperlink xmlns:r="http://schemas.openxmlformats.org/officeDocument/2006/relationships" ref="E147" r:id="rId143"/>
    <hyperlink xmlns:r="http://schemas.openxmlformats.org/officeDocument/2006/relationships" ref="E148" r:id="rId144"/>
    <hyperlink xmlns:r="http://schemas.openxmlformats.org/officeDocument/2006/relationships" ref="E149" r:id="rId145"/>
    <hyperlink xmlns:r="http://schemas.openxmlformats.org/officeDocument/2006/relationships" ref="E150" r:id="rId146"/>
    <hyperlink xmlns:r="http://schemas.openxmlformats.org/officeDocument/2006/relationships" ref="E151" r:id="rId147"/>
    <hyperlink xmlns:r="http://schemas.openxmlformats.org/officeDocument/2006/relationships" ref="E152" r:id="rId148"/>
    <hyperlink xmlns:r="http://schemas.openxmlformats.org/officeDocument/2006/relationships" ref="E153" r:id="rId149"/>
    <hyperlink xmlns:r="http://schemas.openxmlformats.org/officeDocument/2006/relationships" ref="E154" r:id="rId150"/>
    <hyperlink xmlns:r="http://schemas.openxmlformats.org/officeDocument/2006/relationships" ref="E155" r:id="rId151"/>
    <hyperlink xmlns:r="http://schemas.openxmlformats.org/officeDocument/2006/relationships" ref="E156" r:id="rId152"/>
    <hyperlink xmlns:r="http://schemas.openxmlformats.org/officeDocument/2006/relationships" ref="E157" r:id="rId153"/>
    <hyperlink xmlns:r="http://schemas.openxmlformats.org/officeDocument/2006/relationships" ref="E158" r:id="rId154"/>
    <hyperlink xmlns:r="http://schemas.openxmlformats.org/officeDocument/2006/relationships" ref="E159" r:id="rId155"/>
    <hyperlink xmlns:r="http://schemas.openxmlformats.org/officeDocument/2006/relationships" ref="E160" r:id="rId156"/>
    <hyperlink xmlns:r="http://schemas.openxmlformats.org/officeDocument/2006/relationships" ref="E161" r:id="rId157"/>
    <hyperlink xmlns:r="http://schemas.openxmlformats.org/officeDocument/2006/relationships" ref="E162" r:id="rId158"/>
    <hyperlink xmlns:r="http://schemas.openxmlformats.org/officeDocument/2006/relationships" ref="E163" r:id="rId159"/>
    <hyperlink xmlns:r="http://schemas.openxmlformats.org/officeDocument/2006/relationships" ref="E164" r:id="rId160"/>
    <hyperlink xmlns:r="http://schemas.openxmlformats.org/officeDocument/2006/relationships" ref="E165" r:id="rId161"/>
    <hyperlink xmlns:r="http://schemas.openxmlformats.org/officeDocument/2006/relationships" ref="E166" r:id="rId162"/>
    <hyperlink xmlns:r="http://schemas.openxmlformats.org/officeDocument/2006/relationships" ref="E167" r:id="rId163"/>
    <hyperlink xmlns:r="http://schemas.openxmlformats.org/officeDocument/2006/relationships" ref="E168" r:id="rId164"/>
    <hyperlink xmlns:r="http://schemas.openxmlformats.org/officeDocument/2006/relationships" ref="E169" r:id="rId165"/>
    <hyperlink xmlns:r="http://schemas.openxmlformats.org/officeDocument/2006/relationships" ref="E170" r:id="rId166"/>
    <hyperlink xmlns:r="http://schemas.openxmlformats.org/officeDocument/2006/relationships" ref="E171" r:id="rId167"/>
    <hyperlink xmlns:r="http://schemas.openxmlformats.org/officeDocument/2006/relationships" ref="E172" r:id="rId168"/>
    <hyperlink xmlns:r="http://schemas.openxmlformats.org/officeDocument/2006/relationships" ref="E173" r:id="rId169"/>
    <hyperlink xmlns:r="http://schemas.openxmlformats.org/officeDocument/2006/relationships" ref="E174" r:id="rId170"/>
    <hyperlink xmlns:r="http://schemas.openxmlformats.org/officeDocument/2006/relationships" ref="E175" r:id="rId171"/>
    <hyperlink xmlns:r="http://schemas.openxmlformats.org/officeDocument/2006/relationships" ref="E176" r:id="rId172"/>
    <hyperlink xmlns:r="http://schemas.openxmlformats.org/officeDocument/2006/relationships" ref="E177" r:id="rId173"/>
    <hyperlink xmlns:r="http://schemas.openxmlformats.org/officeDocument/2006/relationships" ref="E178" r:id="rId174"/>
    <hyperlink xmlns:r="http://schemas.openxmlformats.org/officeDocument/2006/relationships" ref="E179" r:id="rId175"/>
    <hyperlink xmlns:r="http://schemas.openxmlformats.org/officeDocument/2006/relationships" ref="E180" r:id="rId176"/>
    <hyperlink xmlns:r="http://schemas.openxmlformats.org/officeDocument/2006/relationships" ref="E181" r:id="rId177"/>
    <hyperlink xmlns:r="http://schemas.openxmlformats.org/officeDocument/2006/relationships" ref="E182" r:id="rId178"/>
    <hyperlink xmlns:r="http://schemas.openxmlformats.org/officeDocument/2006/relationships" ref="E183" r:id="rId179"/>
    <hyperlink xmlns:r="http://schemas.openxmlformats.org/officeDocument/2006/relationships" ref="E184" r:id="rId180"/>
    <hyperlink xmlns:r="http://schemas.openxmlformats.org/officeDocument/2006/relationships" ref="E185" r:id="rId181"/>
    <hyperlink xmlns:r="http://schemas.openxmlformats.org/officeDocument/2006/relationships" ref="E186" r:id="rId182"/>
    <hyperlink xmlns:r="http://schemas.openxmlformats.org/officeDocument/2006/relationships" ref="E187" r:id="rId183"/>
    <hyperlink xmlns:r="http://schemas.openxmlformats.org/officeDocument/2006/relationships" ref="E188" r:id="rId184"/>
    <hyperlink xmlns:r="http://schemas.openxmlformats.org/officeDocument/2006/relationships" ref="E189" r:id="rId185"/>
    <hyperlink xmlns:r="http://schemas.openxmlformats.org/officeDocument/2006/relationships" ref="E190" r:id="rId186"/>
    <hyperlink xmlns:r="http://schemas.openxmlformats.org/officeDocument/2006/relationships" ref="E191" r:id="rId187"/>
    <hyperlink xmlns:r="http://schemas.openxmlformats.org/officeDocument/2006/relationships" ref="E192" r:id="rId188"/>
    <hyperlink xmlns:r="http://schemas.openxmlformats.org/officeDocument/2006/relationships" ref="E193" r:id="rId189"/>
    <hyperlink xmlns:r="http://schemas.openxmlformats.org/officeDocument/2006/relationships" ref="E194" r:id="rId190"/>
    <hyperlink xmlns:r="http://schemas.openxmlformats.org/officeDocument/2006/relationships" ref="E195" r:id="rId191"/>
    <hyperlink xmlns:r="http://schemas.openxmlformats.org/officeDocument/2006/relationships" ref="E196" r:id="rId192"/>
    <hyperlink xmlns:r="http://schemas.openxmlformats.org/officeDocument/2006/relationships" ref="E197" r:id="rId193"/>
    <hyperlink xmlns:r="http://schemas.openxmlformats.org/officeDocument/2006/relationships" ref="E198" r:id="rId194"/>
    <hyperlink xmlns:r="http://schemas.openxmlformats.org/officeDocument/2006/relationships" ref="E199" r:id="rId195"/>
    <hyperlink xmlns:r="http://schemas.openxmlformats.org/officeDocument/2006/relationships" ref="E200" r:id="rId196"/>
    <hyperlink xmlns:r="http://schemas.openxmlformats.org/officeDocument/2006/relationships" ref="E201" r:id="rId197"/>
    <hyperlink xmlns:r="http://schemas.openxmlformats.org/officeDocument/2006/relationships" ref="E202" r:id="rId198"/>
    <hyperlink xmlns:r="http://schemas.openxmlformats.org/officeDocument/2006/relationships" ref="E203" r:id="rId199"/>
    <hyperlink xmlns:r="http://schemas.openxmlformats.org/officeDocument/2006/relationships" ref="E204" r:id="rId200"/>
    <hyperlink xmlns:r="http://schemas.openxmlformats.org/officeDocument/2006/relationships" ref="E205" r:id="rId201"/>
    <hyperlink xmlns:r="http://schemas.openxmlformats.org/officeDocument/2006/relationships" ref="E206" r:id="rId202"/>
    <hyperlink xmlns:r="http://schemas.openxmlformats.org/officeDocument/2006/relationships" ref="E207" r:id="rId203"/>
    <hyperlink xmlns:r="http://schemas.openxmlformats.org/officeDocument/2006/relationships" ref="E208" r:id="rId204"/>
    <hyperlink xmlns:r="http://schemas.openxmlformats.org/officeDocument/2006/relationships" ref="E209" r:id="rId205"/>
    <hyperlink xmlns:r="http://schemas.openxmlformats.org/officeDocument/2006/relationships" ref="E210" r:id="rId206"/>
    <hyperlink xmlns:r="http://schemas.openxmlformats.org/officeDocument/2006/relationships" ref="E211" r:id="rId207"/>
    <hyperlink xmlns:r="http://schemas.openxmlformats.org/officeDocument/2006/relationships" ref="E212" r:id="rId208"/>
    <hyperlink xmlns:r="http://schemas.openxmlformats.org/officeDocument/2006/relationships" ref="E213" r:id="rId209"/>
    <hyperlink xmlns:r="http://schemas.openxmlformats.org/officeDocument/2006/relationships" ref="E214" r:id="rId210"/>
    <hyperlink xmlns:r="http://schemas.openxmlformats.org/officeDocument/2006/relationships" ref="E215" r:id="rId211"/>
    <hyperlink xmlns:r="http://schemas.openxmlformats.org/officeDocument/2006/relationships" ref="E216" r:id="rId212"/>
    <hyperlink xmlns:r="http://schemas.openxmlformats.org/officeDocument/2006/relationships" ref="E217" r:id="rId213"/>
    <hyperlink xmlns:r="http://schemas.openxmlformats.org/officeDocument/2006/relationships" ref="E218" r:id="rId214"/>
    <hyperlink xmlns:r="http://schemas.openxmlformats.org/officeDocument/2006/relationships" ref="E219" r:id="rId215"/>
    <hyperlink xmlns:r="http://schemas.openxmlformats.org/officeDocument/2006/relationships" ref="E220" r:id="rId216"/>
    <hyperlink xmlns:r="http://schemas.openxmlformats.org/officeDocument/2006/relationships" ref="E221" r:id="rId217"/>
    <hyperlink xmlns:r="http://schemas.openxmlformats.org/officeDocument/2006/relationships" ref="E222" r:id="rId218"/>
    <hyperlink xmlns:r="http://schemas.openxmlformats.org/officeDocument/2006/relationships" ref="E223" r:id="rId219"/>
    <hyperlink xmlns:r="http://schemas.openxmlformats.org/officeDocument/2006/relationships" ref="E224" r:id="rId220"/>
    <hyperlink xmlns:r="http://schemas.openxmlformats.org/officeDocument/2006/relationships" ref="E225" r:id="rId221"/>
    <hyperlink xmlns:r="http://schemas.openxmlformats.org/officeDocument/2006/relationships" ref="E226" r:id="rId222"/>
    <hyperlink xmlns:r="http://schemas.openxmlformats.org/officeDocument/2006/relationships" ref="E227" r:id="rId223"/>
    <hyperlink xmlns:r="http://schemas.openxmlformats.org/officeDocument/2006/relationships" ref="E228" r:id="rId224"/>
    <hyperlink xmlns:r="http://schemas.openxmlformats.org/officeDocument/2006/relationships" ref="E229" r:id="rId225"/>
    <hyperlink xmlns:r="http://schemas.openxmlformats.org/officeDocument/2006/relationships" ref="E230" r:id="rId226"/>
    <hyperlink xmlns:r="http://schemas.openxmlformats.org/officeDocument/2006/relationships" ref="E231" r:id="rId227"/>
    <hyperlink xmlns:r="http://schemas.openxmlformats.org/officeDocument/2006/relationships" ref="E232" r:id="rId228"/>
    <hyperlink xmlns:r="http://schemas.openxmlformats.org/officeDocument/2006/relationships" ref="E233" r:id="rId229"/>
    <hyperlink xmlns:r="http://schemas.openxmlformats.org/officeDocument/2006/relationships" ref="E234" r:id="rId230"/>
    <hyperlink xmlns:r="http://schemas.openxmlformats.org/officeDocument/2006/relationships" ref="E235" r:id="rId231"/>
    <hyperlink xmlns:r="http://schemas.openxmlformats.org/officeDocument/2006/relationships" ref="E236" r:id="rId232"/>
    <hyperlink xmlns:r="http://schemas.openxmlformats.org/officeDocument/2006/relationships" ref="E237" r:id="rId233"/>
    <hyperlink xmlns:r="http://schemas.openxmlformats.org/officeDocument/2006/relationships" ref="E238" r:id="rId234"/>
    <hyperlink xmlns:r="http://schemas.openxmlformats.org/officeDocument/2006/relationships" ref="E239" r:id="rId235"/>
    <hyperlink xmlns:r="http://schemas.openxmlformats.org/officeDocument/2006/relationships" ref="E240" r:id="rId236"/>
    <hyperlink xmlns:r="http://schemas.openxmlformats.org/officeDocument/2006/relationships" ref="E241" r:id="rId237"/>
    <hyperlink xmlns:r="http://schemas.openxmlformats.org/officeDocument/2006/relationships" ref="E242" r:id="rId238"/>
    <hyperlink xmlns:r="http://schemas.openxmlformats.org/officeDocument/2006/relationships" ref="E243" r:id="rId239"/>
    <hyperlink xmlns:r="http://schemas.openxmlformats.org/officeDocument/2006/relationships" ref="E244" r:id="rId240"/>
    <hyperlink xmlns:r="http://schemas.openxmlformats.org/officeDocument/2006/relationships" ref="E245" r:id="rId241"/>
    <hyperlink xmlns:r="http://schemas.openxmlformats.org/officeDocument/2006/relationships" ref="E246" r:id="rId242"/>
    <hyperlink xmlns:r="http://schemas.openxmlformats.org/officeDocument/2006/relationships" ref="E247" r:id="rId243"/>
    <hyperlink xmlns:r="http://schemas.openxmlformats.org/officeDocument/2006/relationships" ref="E248" r:id="rId244"/>
    <hyperlink xmlns:r="http://schemas.openxmlformats.org/officeDocument/2006/relationships" ref="E249" r:id="rId245"/>
    <hyperlink xmlns:r="http://schemas.openxmlformats.org/officeDocument/2006/relationships" ref="E250" r:id="rId246"/>
    <hyperlink xmlns:r="http://schemas.openxmlformats.org/officeDocument/2006/relationships" ref="E251" r:id="rId247"/>
    <hyperlink xmlns:r="http://schemas.openxmlformats.org/officeDocument/2006/relationships" ref="E252" r:id="rId248"/>
    <hyperlink xmlns:r="http://schemas.openxmlformats.org/officeDocument/2006/relationships" ref="E253" r:id="rId249"/>
    <hyperlink xmlns:r="http://schemas.openxmlformats.org/officeDocument/2006/relationships" ref="E254" r:id="rId250"/>
    <hyperlink xmlns:r="http://schemas.openxmlformats.org/officeDocument/2006/relationships" ref="E255" r:id="rId251"/>
    <hyperlink xmlns:r="http://schemas.openxmlformats.org/officeDocument/2006/relationships" ref="E256" r:id="rId252"/>
    <hyperlink xmlns:r="http://schemas.openxmlformats.org/officeDocument/2006/relationships" ref="E257" r:id="rId253"/>
    <hyperlink xmlns:r="http://schemas.openxmlformats.org/officeDocument/2006/relationships" ref="E258" r:id="rId254"/>
    <hyperlink xmlns:r="http://schemas.openxmlformats.org/officeDocument/2006/relationships" ref="E259" r:id="rId255"/>
    <hyperlink xmlns:r="http://schemas.openxmlformats.org/officeDocument/2006/relationships" ref="E260" r:id="rId256"/>
    <hyperlink xmlns:r="http://schemas.openxmlformats.org/officeDocument/2006/relationships" ref="E261" r:id="rId257"/>
    <hyperlink xmlns:r="http://schemas.openxmlformats.org/officeDocument/2006/relationships" ref="E262" r:id="rId258"/>
    <hyperlink xmlns:r="http://schemas.openxmlformats.org/officeDocument/2006/relationships" ref="E263" r:id="rId259"/>
    <hyperlink xmlns:r="http://schemas.openxmlformats.org/officeDocument/2006/relationships" ref="E264" r:id="rId260"/>
    <hyperlink xmlns:r="http://schemas.openxmlformats.org/officeDocument/2006/relationships" ref="E265" r:id="rId261"/>
    <hyperlink xmlns:r="http://schemas.openxmlformats.org/officeDocument/2006/relationships" ref="E266" r:id="rId262"/>
    <hyperlink xmlns:r="http://schemas.openxmlformats.org/officeDocument/2006/relationships" ref="E267" r:id="rId263"/>
    <hyperlink xmlns:r="http://schemas.openxmlformats.org/officeDocument/2006/relationships" ref="E268" r:id="rId264"/>
    <hyperlink xmlns:r="http://schemas.openxmlformats.org/officeDocument/2006/relationships" ref="E269" r:id="rId265"/>
    <hyperlink xmlns:r="http://schemas.openxmlformats.org/officeDocument/2006/relationships" ref="E270" r:id="rId266"/>
    <hyperlink xmlns:r="http://schemas.openxmlformats.org/officeDocument/2006/relationships" ref="E271" r:id="rId267"/>
    <hyperlink xmlns:r="http://schemas.openxmlformats.org/officeDocument/2006/relationships" ref="E272" r:id="rId268"/>
    <hyperlink xmlns:r="http://schemas.openxmlformats.org/officeDocument/2006/relationships" ref="E273" r:id="rId269"/>
    <hyperlink xmlns:r="http://schemas.openxmlformats.org/officeDocument/2006/relationships" ref="E274" r:id="rId270"/>
    <hyperlink xmlns:r="http://schemas.openxmlformats.org/officeDocument/2006/relationships" ref="E275" r:id="rId271"/>
    <hyperlink xmlns:r="http://schemas.openxmlformats.org/officeDocument/2006/relationships" ref="E276" r:id="rId272"/>
    <hyperlink xmlns:r="http://schemas.openxmlformats.org/officeDocument/2006/relationships" ref="E277" r:id="rId273"/>
    <hyperlink xmlns:r="http://schemas.openxmlformats.org/officeDocument/2006/relationships" ref="E278" r:id="rId274"/>
    <hyperlink xmlns:r="http://schemas.openxmlformats.org/officeDocument/2006/relationships" ref="E279" r:id="rId275"/>
    <hyperlink xmlns:r="http://schemas.openxmlformats.org/officeDocument/2006/relationships" ref="E280" r:id="rId276"/>
    <hyperlink xmlns:r="http://schemas.openxmlformats.org/officeDocument/2006/relationships" ref="E281" r:id="rId277"/>
    <hyperlink xmlns:r="http://schemas.openxmlformats.org/officeDocument/2006/relationships" ref="E282" r:id="rId278"/>
    <hyperlink xmlns:r="http://schemas.openxmlformats.org/officeDocument/2006/relationships" ref="E283" r:id="rId279"/>
    <hyperlink xmlns:r="http://schemas.openxmlformats.org/officeDocument/2006/relationships" ref="E284" r:id="rId280"/>
    <hyperlink xmlns:r="http://schemas.openxmlformats.org/officeDocument/2006/relationships" ref="E285" r:id="rId281"/>
    <hyperlink xmlns:r="http://schemas.openxmlformats.org/officeDocument/2006/relationships" ref="E286" r:id="rId282"/>
    <hyperlink xmlns:r="http://schemas.openxmlformats.org/officeDocument/2006/relationships" ref="E287" r:id="rId283"/>
    <hyperlink xmlns:r="http://schemas.openxmlformats.org/officeDocument/2006/relationships" ref="E288" r:id="rId284"/>
    <hyperlink xmlns:r="http://schemas.openxmlformats.org/officeDocument/2006/relationships" ref="E289" r:id="rId285"/>
    <hyperlink xmlns:r="http://schemas.openxmlformats.org/officeDocument/2006/relationships" ref="E290" r:id="rId286"/>
    <hyperlink xmlns:r="http://schemas.openxmlformats.org/officeDocument/2006/relationships" ref="E291" r:id="rId287"/>
    <hyperlink xmlns:r="http://schemas.openxmlformats.org/officeDocument/2006/relationships" ref="E292" r:id="rId288"/>
    <hyperlink xmlns:r="http://schemas.openxmlformats.org/officeDocument/2006/relationships" ref="E293" r:id="rId289"/>
    <hyperlink xmlns:r="http://schemas.openxmlformats.org/officeDocument/2006/relationships" ref="E294" r:id="rId290"/>
    <hyperlink xmlns:r="http://schemas.openxmlformats.org/officeDocument/2006/relationships" ref="E295" r:id="rId291"/>
    <hyperlink xmlns:r="http://schemas.openxmlformats.org/officeDocument/2006/relationships" ref="E296" r:id="rId292"/>
    <hyperlink xmlns:r="http://schemas.openxmlformats.org/officeDocument/2006/relationships" ref="E297" r:id="rId293"/>
    <hyperlink xmlns:r="http://schemas.openxmlformats.org/officeDocument/2006/relationships" ref="E298" r:id="rId294"/>
    <hyperlink xmlns:r="http://schemas.openxmlformats.org/officeDocument/2006/relationships" ref="E299" r:id="rId295"/>
    <hyperlink xmlns:r="http://schemas.openxmlformats.org/officeDocument/2006/relationships" ref="E300" r:id="rId296"/>
    <hyperlink xmlns:r="http://schemas.openxmlformats.org/officeDocument/2006/relationships" ref="E301" r:id="rId297"/>
    <hyperlink xmlns:r="http://schemas.openxmlformats.org/officeDocument/2006/relationships" ref="E302" r:id="rId298"/>
    <hyperlink xmlns:r="http://schemas.openxmlformats.org/officeDocument/2006/relationships" ref="E303" r:id="rId299"/>
    <hyperlink xmlns:r="http://schemas.openxmlformats.org/officeDocument/2006/relationships" ref="E304" r:id="rId300"/>
    <hyperlink xmlns:r="http://schemas.openxmlformats.org/officeDocument/2006/relationships" ref="E305" r:id="rId301"/>
    <hyperlink xmlns:r="http://schemas.openxmlformats.org/officeDocument/2006/relationships" ref="E306" r:id="rId302"/>
    <hyperlink xmlns:r="http://schemas.openxmlformats.org/officeDocument/2006/relationships" ref="E307" r:id="rId303"/>
    <hyperlink xmlns:r="http://schemas.openxmlformats.org/officeDocument/2006/relationships" ref="E308" r:id="rId304"/>
    <hyperlink xmlns:r="http://schemas.openxmlformats.org/officeDocument/2006/relationships" ref="E309" r:id="rId305"/>
    <hyperlink xmlns:r="http://schemas.openxmlformats.org/officeDocument/2006/relationships" ref="E310" r:id="rId306"/>
    <hyperlink xmlns:r="http://schemas.openxmlformats.org/officeDocument/2006/relationships" ref="E311" r:id="rId307"/>
    <hyperlink xmlns:r="http://schemas.openxmlformats.org/officeDocument/2006/relationships" ref="E312" r:id="rId308"/>
    <hyperlink xmlns:r="http://schemas.openxmlformats.org/officeDocument/2006/relationships" ref="E313" r:id="rId309"/>
    <hyperlink xmlns:r="http://schemas.openxmlformats.org/officeDocument/2006/relationships" ref="E314" r:id="rId310"/>
    <hyperlink xmlns:r="http://schemas.openxmlformats.org/officeDocument/2006/relationships" ref="E315" r:id="rId311"/>
    <hyperlink xmlns:r="http://schemas.openxmlformats.org/officeDocument/2006/relationships" ref="E316" r:id="rId312"/>
    <hyperlink xmlns:r="http://schemas.openxmlformats.org/officeDocument/2006/relationships" ref="E317" r:id="rId313"/>
    <hyperlink xmlns:r="http://schemas.openxmlformats.org/officeDocument/2006/relationships" ref="E318" r:id="rId314"/>
    <hyperlink xmlns:r="http://schemas.openxmlformats.org/officeDocument/2006/relationships" ref="E319" r:id="rId315"/>
    <hyperlink xmlns:r="http://schemas.openxmlformats.org/officeDocument/2006/relationships" ref="E320" r:id="rId316"/>
    <hyperlink xmlns:r="http://schemas.openxmlformats.org/officeDocument/2006/relationships" ref="E321" r:id="rId317"/>
    <hyperlink xmlns:r="http://schemas.openxmlformats.org/officeDocument/2006/relationships" ref="E322" r:id="rId318"/>
    <hyperlink xmlns:r="http://schemas.openxmlformats.org/officeDocument/2006/relationships" ref="E323" r:id="rId319"/>
    <hyperlink xmlns:r="http://schemas.openxmlformats.org/officeDocument/2006/relationships" ref="E324" r:id="rId320"/>
    <hyperlink xmlns:r="http://schemas.openxmlformats.org/officeDocument/2006/relationships" ref="E325" r:id="rId321"/>
    <hyperlink xmlns:r="http://schemas.openxmlformats.org/officeDocument/2006/relationships" ref="E326" r:id="rId322"/>
    <hyperlink xmlns:r="http://schemas.openxmlformats.org/officeDocument/2006/relationships" ref="E327" r:id="rId323"/>
    <hyperlink xmlns:r="http://schemas.openxmlformats.org/officeDocument/2006/relationships" ref="E328" r:id="rId324"/>
    <hyperlink xmlns:r="http://schemas.openxmlformats.org/officeDocument/2006/relationships" ref="E329" r:id="rId325"/>
    <hyperlink xmlns:r="http://schemas.openxmlformats.org/officeDocument/2006/relationships" ref="E330" r:id="rId326"/>
    <hyperlink xmlns:r="http://schemas.openxmlformats.org/officeDocument/2006/relationships" ref="E331" r:id="rId327"/>
    <hyperlink xmlns:r="http://schemas.openxmlformats.org/officeDocument/2006/relationships" ref="E332" r:id="rId328"/>
    <hyperlink xmlns:r="http://schemas.openxmlformats.org/officeDocument/2006/relationships" ref="E333" r:id="rId329"/>
    <hyperlink xmlns:r="http://schemas.openxmlformats.org/officeDocument/2006/relationships" ref="E334" r:id="rId330"/>
    <hyperlink xmlns:r="http://schemas.openxmlformats.org/officeDocument/2006/relationships" ref="E335" r:id="rId331"/>
    <hyperlink xmlns:r="http://schemas.openxmlformats.org/officeDocument/2006/relationships" ref="E336" r:id="rId332"/>
    <hyperlink xmlns:r="http://schemas.openxmlformats.org/officeDocument/2006/relationships" ref="E337" r:id="rId333"/>
    <hyperlink xmlns:r="http://schemas.openxmlformats.org/officeDocument/2006/relationships" ref="E338" r:id="rId334"/>
    <hyperlink xmlns:r="http://schemas.openxmlformats.org/officeDocument/2006/relationships" ref="E339" r:id="rId335"/>
    <hyperlink xmlns:r="http://schemas.openxmlformats.org/officeDocument/2006/relationships" ref="E340" r:id="rId336"/>
    <hyperlink xmlns:r="http://schemas.openxmlformats.org/officeDocument/2006/relationships" ref="E341" r:id="rId337"/>
    <hyperlink xmlns:r="http://schemas.openxmlformats.org/officeDocument/2006/relationships" ref="E342" r:id="rId338"/>
    <hyperlink xmlns:r="http://schemas.openxmlformats.org/officeDocument/2006/relationships" ref="E343" r:id="rId339"/>
    <hyperlink xmlns:r="http://schemas.openxmlformats.org/officeDocument/2006/relationships" ref="E344" r:id="rId340"/>
    <hyperlink xmlns:r="http://schemas.openxmlformats.org/officeDocument/2006/relationships" ref="E345" r:id="rId341"/>
    <hyperlink xmlns:r="http://schemas.openxmlformats.org/officeDocument/2006/relationships" ref="E346" r:id="rId342"/>
    <hyperlink xmlns:r="http://schemas.openxmlformats.org/officeDocument/2006/relationships" ref="E347" r:id="rId343"/>
    <hyperlink xmlns:r="http://schemas.openxmlformats.org/officeDocument/2006/relationships" ref="E348" r:id="rId344"/>
    <hyperlink xmlns:r="http://schemas.openxmlformats.org/officeDocument/2006/relationships" ref="E349" r:id="rId345"/>
    <hyperlink xmlns:r="http://schemas.openxmlformats.org/officeDocument/2006/relationships" ref="E350" r:id="rId346"/>
    <hyperlink xmlns:r="http://schemas.openxmlformats.org/officeDocument/2006/relationships" ref="E351" r:id="rId347"/>
    <hyperlink xmlns:r="http://schemas.openxmlformats.org/officeDocument/2006/relationships" ref="E352" r:id="rId348"/>
    <hyperlink xmlns:r="http://schemas.openxmlformats.org/officeDocument/2006/relationships" ref="E353" r:id="rId349"/>
    <hyperlink xmlns:r="http://schemas.openxmlformats.org/officeDocument/2006/relationships" ref="E354" r:id="rId350"/>
    <hyperlink xmlns:r="http://schemas.openxmlformats.org/officeDocument/2006/relationships" ref="E355" r:id="rId351"/>
    <hyperlink xmlns:r="http://schemas.openxmlformats.org/officeDocument/2006/relationships" ref="E356" r:id="rId352"/>
    <hyperlink xmlns:r="http://schemas.openxmlformats.org/officeDocument/2006/relationships" ref="E357" r:id="rId353"/>
    <hyperlink xmlns:r="http://schemas.openxmlformats.org/officeDocument/2006/relationships" ref="E358" r:id="rId354"/>
    <hyperlink xmlns:r="http://schemas.openxmlformats.org/officeDocument/2006/relationships" ref="E359" r:id="rId355"/>
  </hyperlinks>
  <pageMargins left="0.25" right="0.25" top="0.75" bottom="0.75" header="0.3" footer="0.3"/>
  <pageSetup orientation="landscape" paperSize="9" scale="49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R156"/>
  <sheetViews>
    <sheetView topLeftCell="A16" workbookViewId="0">
      <selection activeCell="H24" sqref="H24"/>
    </sheetView>
  </sheetViews>
  <sheetFormatPr baseColWidth="8" defaultRowHeight="14"/>
  <cols>
    <col width="21.81640625" customWidth="1" style="139" min="5" max="5"/>
    <col width="5.1796875" customWidth="1" style="139" min="7" max="7"/>
    <col width="5.90625" customWidth="1" style="139" min="10" max="10"/>
    <col width="5" customWidth="1" style="139" min="11" max="11"/>
    <col width="4.7265625" customWidth="1" style="139" min="12" max="12"/>
    <col hidden="1" width="13" customWidth="1" style="139" min="13" max="16"/>
  </cols>
  <sheetData>
    <row r="1" customFormat="1" s="339">
      <c r="A1" s="164" t="n"/>
      <c r="B1" s="12" t="inlineStr">
        <is>
          <t>상</t>
        </is>
      </c>
      <c r="C1" s="13" t="inlineStr">
        <is>
          <t>중</t>
        </is>
      </c>
      <c r="D1" s="165" t="n"/>
      <c r="E1" s="17" t="n"/>
      <c r="F1" s="21" t="n"/>
      <c r="G1" s="21" t="n"/>
      <c r="H1" s="21" t="n"/>
      <c r="I1" s="136" t="n"/>
      <c r="J1" s="136" t="n"/>
      <c r="K1" s="136" t="n"/>
      <c r="L1" s="136" t="n"/>
      <c r="M1" s="136" t="n"/>
      <c r="N1" s="136" t="n"/>
      <c r="O1" s="136" t="n"/>
      <c r="P1" s="136" t="n"/>
      <c r="Q1" s="136" t="n"/>
      <c r="R1" s="136" t="n"/>
      <c r="S1" s="136" t="n"/>
      <c r="T1" s="136" t="n"/>
      <c r="U1" s="136" t="n"/>
      <c r="V1" s="136" t="n"/>
      <c r="W1" s="164" t="n"/>
      <c r="X1" s="164" t="n"/>
      <c r="Y1" s="164" t="n"/>
      <c r="AG1" s="140" t="n"/>
      <c r="AH1" s="140" t="n"/>
      <c r="AI1" s="357" t="n"/>
      <c r="AJ1" s="1" t="n"/>
    </row>
    <row r="2" customFormat="1" s="339">
      <c r="A2" s="164" t="n"/>
      <c r="B2" s="12" t="inlineStr">
        <is>
          <t>하</t>
        </is>
      </c>
      <c r="C2" s="12" t="n"/>
      <c r="D2" s="164" t="n"/>
      <c r="E2" s="17" t="n"/>
      <c r="F2" s="21" t="n"/>
      <c r="G2" s="21" t="n"/>
      <c r="H2" s="21" t="n"/>
      <c r="I2" s="136" t="n"/>
      <c r="J2" s="136" t="n"/>
      <c r="K2" s="136" t="n"/>
      <c r="L2" s="136" t="n"/>
      <c r="M2" s="136" t="n"/>
      <c r="N2" s="136" t="n"/>
      <c r="O2" s="136" t="n"/>
      <c r="P2" s="136" t="n"/>
      <c r="Q2" s="136" t="n"/>
      <c r="R2" s="136" t="n"/>
      <c r="S2" s="136" t="n"/>
      <c r="T2" s="136" t="n"/>
      <c r="U2" s="136" t="n"/>
      <c r="V2" s="136" t="n"/>
      <c r="W2" s="164" t="n"/>
      <c r="X2" s="164" t="n"/>
      <c r="Y2" s="164" t="n"/>
      <c r="AG2" s="140" t="n"/>
      <c r="AH2" s="140" t="n"/>
      <c r="AI2" s="357" t="n"/>
      <c r="AJ2" s="1" t="n"/>
    </row>
    <row r="3" ht="20" customFormat="1" customHeight="1" s="339">
      <c r="A3" s="164" t="n">
        <v>84</v>
      </c>
      <c r="B3" s="366" t="inlineStr">
        <is>
          <t>선호도</t>
        </is>
      </c>
      <c r="C3" s="367" t="n"/>
      <c r="D3" s="72" t="n"/>
      <c r="E3" s="73" t="inlineStr">
        <is>
          <t>단지정보 (30평)</t>
        </is>
      </c>
      <c r="F3" s="365" t="n"/>
      <c r="G3" s="365" t="n"/>
      <c r="H3" s="365" t="n"/>
      <c r="I3" s="365" t="n"/>
      <c r="J3" s="365" t="n"/>
      <c r="K3" s="365" t="n"/>
      <c r="L3" s="365" t="n"/>
      <c r="M3" s="365" t="n"/>
      <c r="N3" s="365" t="n"/>
      <c r="O3" s="365" t="n"/>
      <c r="P3" s="365" t="n"/>
      <c r="Q3" s="365" t="n"/>
      <c r="R3" s="365" t="n"/>
      <c r="S3" s="365" t="n"/>
      <c r="T3" s="365" t="n"/>
      <c r="U3" s="365" t="n"/>
      <c r="V3" s="365" t="n"/>
      <c r="W3" s="365" t="n"/>
      <c r="X3" s="365" t="n"/>
      <c r="Y3" s="365" t="n"/>
      <c r="Z3" s="365" t="n"/>
      <c r="AA3" s="365" t="n"/>
      <c r="AB3" s="365" t="n"/>
      <c r="AC3" s="365" t="n"/>
      <c r="AD3" s="368" t="inlineStr">
        <is>
          <t>투자결과</t>
        </is>
      </c>
      <c r="AE3" s="365" t="n"/>
      <c r="AF3" s="365" t="n"/>
      <c r="AG3" s="365" t="n"/>
      <c r="AH3" s="367" t="n"/>
      <c r="AI3" s="2" t="n"/>
      <c r="AJ3" s="1" t="n"/>
    </row>
    <row r="4" ht="17.5" customFormat="1" customHeight="1" s="339">
      <c r="A4" s="164" t="n"/>
      <c r="B4" s="9" t="inlineStr">
        <is>
          <t>생활권</t>
        </is>
      </c>
      <c r="C4" s="10" t="inlineStr">
        <is>
          <t>생활권 내</t>
        </is>
      </c>
      <c r="D4" s="339" t="inlineStr">
        <is>
          <t>단지코드</t>
        </is>
      </c>
      <c r="E4" s="339" t="inlineStr">
        <is>
          <t>단지명</t>
        </is>
      </c>
      <c r="F4" s="339" t="inlineStr">
        <is>
          <t>사용승인일</t>
        </is>
      </c>
      <c r="G4" s="339" t="inlineStr">
        <is>
          <t>총세대수</t>
        </is>
      </c>
      <c r="H4" s="22" t="inlineStr">
        <is>
          <t>나이</t>
        </is>
      </c>
      <c r="I4" s="68" t="inlineStr">
        <is>
          <t>타입</t>
        </is>
      </c>
      <c r="J4" s="68" t="inlineStr">
        <is>
          <t>공급면적</t>
        </is>
      </c>
      <c r="K4" s="116" t="inlineStr">
        <is>
          <t>전용면적</t>
        </is>
      </c>
      <c r="L4" s="116" t="inlineStr">
        <is>
          <t>평형</t>
        </is>
      </c>
      <c r="M4" s="339" t="inlineStr">
        <is>
          <t>구조</t>
        </is>
      </c>
      <c r="N4" s="339" t="inlineStr">
        <is>
          <t>방수</t>
        </is>
      </c>
      <c r="O4" s="339" t="inlineStr">
        <is>
          <t>욕실수</t>
        </is>
      </c>
      <c r="P4" s="339" t="inlineStr">
        <is>
          <t>평형별 세대수</t>
        </is>
      </c>
      <c r="Q4" s="116" t="inlineStr">
        <is>
          <t>매</t>
        </is>
      </c>
      <c r="R4" s="116" t="inlineStr">
        <is>
          <t>전</t>
        </is>
      </c>
      <c r="S4" s="116" t="inlineStr">
        <is>
          <t>차</t>
        </is>
      </c>
      <c r="T4" s="116" t="inlineStr">
        <is>
          <t>전세가율</t>
        </is>
      </c>
      <c r="U4" s="116" t="inlineStr">
        <is>
          <t>전고</t>
        </is>
      </c>
      <c r="V4" s="116" t="inlineStr">
        <is>
          <t>전저</t>
        </is>
      </c>
      <c r="W4" s="164" t="inlineStr">
        <is>
          <t>시기(년)</t>
        </is>
      </c>
      <c r="X4" s="357" t="inlineStr">
        <is>
          <t>(전세가율80%이상인)기간</t>
        </is>
      </c>
      <c r="Y4" s="164" t="inlineStr">
        <is>
          <t>평형</t>
        </is>
      </c>
      <c r="Z4" s="164" t="inlineStr">
        <is>
          <t>매매가</t>
        </is>
      </c>
      <c r="AA4" s="164" t="inlineStr">
        <is>
          <t>전세가</t>
        </is>
      </c>
      <c r="AB4" s="164" t="inlineStr">
        <is>
          <t>전세가율</t>
        </is>
      </c>
      <c r="AC4" s="24" t="inlineStr">
        <is>
          <t>투자금</t>
        </is>
      </c>
      <c r="AD4" s="9" t="inlineStr">
        <is>
          <t>시기(년)</t>
        </is>
      </c>
      <c r="AE4" s="9" t="inlineStr">
        <is>
          <t>매매가</t>
        </is>
      </c>
      <c r="AF4" s="9" t="inlineStr">
        <is>
          <t>수익금</t>
        </is>
      </c>
      <c r="AG4" s="25" t="inlineStr">
        <is>
          <t>상승율</t>
        </is>
      </c>
      <c r="AH4" s="26" t="inlineStr">
        <is>
          <t>수익율</t>
        </is>
      </c>
      <c r="AI4" s="2" t="n"/>
      <c r="AJ4" s="14" t="n"/>
    </row>
    <row r="5">
      <c r="A5" s="339" t="inlineStr">
        <is>
          <t>남천동</t>
        </is>
      </c>
      <c r="D5" s="339" t="n">
        <v>154302</v>
      </c>
      <c r="E5" s="114" t="inlineStr">
        <is>
          <t>남천자이</t>
        </is>
      </c>
      <c r="F5" s="339" t="n">
        <v>2023.01</v>
      </c>
      <c r="G5" s="339" t="n">
        <v>913</v>
      </c>
      <c r="H5" s="339">
        <f>2026-F5+1</f>
        <v/>
      </c>
      <c r="J5" s="339" t="n"/>
      <c r="K5" s="339" t="n">
        <v>84</v>
      </c>
      <c r="L5" s="339" t="n"/>
      <c r="M5" s="339" t="inlineStr">
        <is>
          <t>계단식</t>
        </is>
      </c>
      <c r="N5" s="339" t="n">
        <v>3</v>
      </c>
      <c r="O5" s="339" t="n">
        <v>2</v>
      </c>
      <c r="P5" s="339" t="n">
        <v>547</v>
      </c>
      <c r="Q5" s="339" t="n">
        <v>160000</v>
      </c>
      <c r="R5" s="339" t="n">
        <v>65000</v>
      </c>
      <c r="S5" s="339">
        <f>Q5-R5</f>
        <v/>
      </c>
      <c r="T5" s="362">
        <f>R5/Q5</f>
        <v/>
      </c>
      <c r="U5" s="339" t="n"/>
      <c r="V5" s="339" t="n">
        <v>112000</v>
      </c>
    </row>
    <row r="6">
      <c r="A6" s="339" t="inlineStr">
        <is>
          <t>남천동</t>
        </is>
      </c>
      <c r="D6" s="339" t="n">
        <v>154302</v>
      </c>
      <c r="E6" s="114" t="inlineStr">
        <is>
          <t>남천자이</t>
        </is>
      </c>
      <c r="F6" s="339" t="n">
        <v>2023.01</v>
      </c>
      <c r="G6" s="339" t="n">
        <v>913</v>
      </c>
      <c r="H6" s="339">
        <f>2026-F6+1</f>
        <v/>
      </c>
      <c r="J6" s="339" t="n">
        <v>102</v>
      </c>
      <c r="K6" s="339" t="n">
        <v>77</v>
      </c>
      <c r="L6" s="339" t="n">
        <v>31</v>
      </c>
      <c r="M6" s="339" t="inlineStr">
        <is>
          <t>계단식</t>
        </is>
      </c>
      <c r="N6" s="339" t="n">
        <v>3</v>
      </c>
      <c r="O6" s="339" t="n">
        <v>2</v>
      </c>
      <c r="P6" s="339" t="n">
        <v>24</v>
      </c>
      <c r="Q6" s="339" t="n">
        <v>150000</v>
      </c>
      <c r="R6" s="339" t="n">
        <v>55000</v>
      </c>
      <c r="S6" s="339">
        <f>Q6-R6</f>
        <v/>
      </c>
      <c r="T6" s="362">
        <f>R6/Q6</f>
        <v/>
      </c>
      <c r="U6" s="339" t="n"/>
      <c r="V6" s="339" t="n">
        <v>117500</v>
      </c>
    </row>
    <row r="7">
      <c r="A7" s="339" t="inlineStr">
        <is>
          <t>남천동</t>
        </is>
      </c>
      <c r="D7" s="339" t="n">
        <v>154302</v>
      </c>
      <c r="E7" s="114" t="inlineStr">
        <is>
          <t>남천자이</t>
        </is>
      </c>
      <c r="F7" s="339" t="n">
        <v>2023.01</v>
      </c>
      <c r="G7" s="339" t="n">
        <v>913</v>
      </c>
      <c r="H7" s="339">
        <f>2026-F7+1</f>
        <v/>
      </c>
      <c r="J7" s="339" t="n"/>
      <c r="K7" s="339" t="n">
        <v>74</v>
      </c>
      <c r="L7" s="339" t="n"/>
      <c r="M7" s="339" t="inlineStr">
        <is>
          <t>계단식</t>
        </is>
      </c>
      <c r="N7" s="339" t="n">
        <v>3</v>
      </c>
      <c r="O7" s="339" t="n">
        <v>2</v>
      </c>
      <c r="P7" s="339" t="n">
        <v>88</v>
      </c>
      <c r="Q7" s="339" t="n">
        <v>125000</v>
      </c>
      <c r="R7" s="339" t="n">
        <v>55000</v>
      </c>
      <c r="S7" s="339">
        <f>Q7-R7</f>
        <v/>
      </c>
      <c r="T7" s="362">
        <f>R7/Q7</f>
        <v/>
      </c>
      <c r="V7" s="339" t="n">
        <v>93000</v>
      </c>
    </row>
    <row r="8">
      <c r="A8" s="133" t="inlineStr">
        <is>
          <t>남천동</t>
        </is>
      </c>
      <c r="B8" s="133" t="n"/>
      <c r="C8" s="133" t="n"/>
      <c r="D8" s="133" t="n">
        <v>127133</v>
      </c>
      <c r="E8" s="115" t="inlineStr">
        <is>
          <t>더샵남천프레스티지</t>
        </is>
      </c>
      <c r="F8" s="133" t="n">
        <v>2022.09</v>
      </c>
      <c r="G8" s="133" t="n">
        <v>975</v>
      </c>
      <c r="H8" s="133">
        <f>2026-F8+1</f>
        <v/>
      </c>
      <c r="I8" s="133" t="n"/>
      <c r="J8" s="133" t="n"/>
      <c r="K8" s="133" t="n">
        <v>84</v>
      </c>
      <c r="L8" s="133" t="n"/>
      <c r="M8" s="133" t="inlineStr">
        <is>
          <t>계단식</t>
        </is>
      </c>
      <c r="N8" s="133" t="n">
        <v>3</v>
      </c>
      <c r="O8" s="133" t="n">
        <v>2</v>
      </c>
      <c r="P8" s="133" t="n">
        <v>504</v>
      </c>
      <c r="Q8" s="133" t="n">
        <v>125000</v>
      </c>
      <c r="R8" s="133" t="n">
        <v>65000</v>
      </c>
      <c r="S8" s="339">
        <f>Q8-R8</f>
        <v/>
      </c>
      <c r="T8" s="362">
        <f>R8/Q8</f>
        <v/>
      </c>
      <c r="U8" s="133" t="n">
        <v>129000</v>
      </c>
      <c r="V8" s="133" t="n">
        <v>71000</v>
      </c>
      <c r="W8" s="133" t="n"/>
      <c r="X8" s="133" t="n"/>
      <c r="Y8" s="133" t="n"/>
      <c r="Z8" s="133" t="n"/>
      <c r="AA8" s="133" t="n"/>
      <c r="AB8" s="133" t="n"/>
      <c r="AC8" s="133" t="n"/>
      <c r="AG8" s="133" t="n"/>
      <c r="AH8" s="133" t="n"/>
      <c r="AI8" s="133" t="n"/>
      <c r="AJ8" s="133" t="n"/>
      <c r="AR8" s="133" t="n"/>
    </row>
    <row r="9">
      <c r="A9" s="339" t="inlineStr">
        <is>
          <t>남천동</t>
        </is>
      </c>
      <c r="B9" s="339" t="n"/>
      <c r="C9" s="339" t="n"/>
      <c r="D9" s="339" t="n">
        <v>7770</v>
      </c>
      <c r="E9" s="114" t="inlineStr">
        <is>
          <t>삼익비치타운</t>
        </is>
      </c>
      <c r="F9" s="339" t="n">
        <v>1979.1</v>
      </c>
      <c r="G9" s="339" t="n">
        <v>3060</v>
      </c>
      <c r="H9" s="339">
        <f>2026-F9+1</f>
        <v/>
      </c>
      <c r="I9" s="339" t="n"/>
      <c r="J9" s="339" t="n"/>
      <c r="K9" s="339" t="n">
        <v>84</v>
      </c>
      <c r="L9" s="339" t="n"/>
      <c r="M9" s="339" t="inlineStr">
        <is>
          <t>복도식</t>
        </is>
      </c>
      <c r="N9" s="339" t="n">
        <v>3</v>
      </c>
      <c r="O9" s="339" t="n">
        <v>1</v>
      </c>
      <c r="P9" s="339" t="n">
        <v>504</v>
      </c>
      <c r="Q9" s="339" t="n">
        <v>102000</v>
      </c>
      <c r="R9" s="339" t="n">
        <v>16000</v>
      </c>
      <c r="S9" s="339">
        <f>Q9-R9</f>
        <v/>
      </c>
      <c r="T9" s="362">
        <f>R9/Q9</f>
        <v/>
      </c>
      <c r="U9" s="339" t="n">
        <v>160000</v>
      </c>
      <c r="V9" s="339" t="n">
        <v>99000</v>
      </c>
      <c r="W9" s="339" t="n"/>
      <c r="X9" s="339" t="n"/>
      <c r="Y9" s="339" t="n"/>
      <c r="Z9" s="339" t="n"/>
      <c r="AA9" s="339" t="n"/>
      <c r="AB9" s="339" t="n"/>
      <c r="AC9" s="339" t="n"/>
      <c r="AG9" s="339" t="n"/>
      <c r="AH9" s="339" t="n"/>
      <c r="AI9" s="339" t="n"/>
      <c r="AJ9" s="339" t="n"/>
      <c r="AR9" s="339" t="n"/>
    </row>
    <row r="10">
      <c r="A10" s="339" t="inlineStr">
        <is>
          <t>광안동</t>
        </is>
      </c>
      <c r="B10" s="339" t="n"/>
      <c r="C10" s="339" t="n"/>
      <c r="D10" s="339" t="n">
        <v>119208</v>
      </c>
      <c r="E10" s="114" t="inlineStr">
        <is>
          <t>광안자이</t>
        </is>
      </c>
      <c r="F10" s="339" t="n">
        <v>2020.08</v>
      </c>
      <c r="G10" s="339" t="n">
        <v>971</v>
      </c>
      <c r="H10" s="339">
        <f>2026-F10+1</f>
        <v/>
      </c>
      <c r="I10" s="339" t="n"/>
      <c r="J10" s="339" t="n"/>
      <c r="K10" s="339" t="n">
        <v>84</v>
      </c>
      <c r="L10" s="339" t="n"/>
      <c r="M10" s="339" t="inlineStr">
        <is>
          <t>계단식</t>
        </is>
      </c>
      <c r="N10" s="339" t="n">
        <v>3</v>
      </c>
      <c r="O10" s="339" t="n">
        <v>2</v>
      </c>
      <c r="P10" s="339" t="n">
        <v>588</v>
      </c>
      <c r="Q10" s="339" t="n">
        <v>99000</v>
      </c>
      <c r="R10" s="339" t="n">
        <v>60000</v>
      </c>
      <c r="S10" s="339">
        <f>Q10-R10</f>
        <v/>
      </c>
      <c r="T10" s="362">
        <f>R10/Q10</f>
        <v/>
      </c>
      <c r="U10" s="339" t="n">
        <v>144500</v>
      </c>
      <c r="V10" s="339" t="n">
        <v>74000</v>
      </c>
      <c r="W10" s="339" t="n"/>
      <c r="X10" s="339" t="n"/>
      <c r="Y10" s="339" t="n"/>
      <c r="Z10" s="339" t="n"/>
      <c r="AA10" s="339" t="n"/>
      <c r="AB10" s="339" t="n"/>
      <c r="AC10" s="339" t="n"/>
      <c r="AG10" s="339" t="n"/>
      <c r="AH10" s="339" t="n"/>
      <c r="AI10" s="339" t="n"/>
      <c r="AJ10" s="339" t="n"/>
      <c r="AR10" s="339" t="n"/>
    </row>
    <row r="11">
      <c r="A11" s="133" t="inlineStr">
        <is>
          <t>남천동</t>
        </is>
      </c>
      <c r="B11" s="133" t="n"/>
      <c r="C11" s="133" t="n"/>
      <c r="D11" s="133" t="n">
        <v>24896</v>
      </c>
      <c r="E11" s="135" t="inlineStr">
        <is>
          <t>남천코오롱하늘채골든비치</t>
        </is>
      </c>
      <c r="F11" s="133" t="n">
        <v>2009.01</v>
      </c>
      <c r="G11" s="133" t="n">
        <v>987</v>
      </c>
      <c r="H11" s="133">
        <f>2026-F11+1</f>
        <v/>
      </c>
      <c r="I11" s="133" t="n"/>
      <c r="J11" s="133" t="n">
        <v>112</v>
      </c>
      <c r="K11" s="133" t="n">
        <v>84</v>
      </c>
      <c r="L11" s="133" t="n">
        <v>34</v>
      </c>
      <c r="M11" s="133" t="inlineStr">
        <is>
          <t>복합식</t>
        </is>
      </c>
      <c r="N11" s="133" t="n">
        <v>3</v>
      </c>
      <c r="O11" s="133" t="n">
        <v>2</v>
      </c>
      <c r="P11" s="133" t="n">
        <v>149</v>
      </c>
      <c r="Q11" s="133" t="n">
        <v>98000</v>
      </c>
      <c r="R11" s="133" t="n">
        <v>45000</v>
      </c>
      <c r="S11" s="339">
        <f>Q11-R11</f>
        <v/>
      </c>
      <c r="T11" s="362">
        <f>R11/Q11</f>
        <v/>
      </c>
      <c r="U11" s="133" t="n">
        <v>75000</v>
      </c>
      <c r="V11" s="133" t="n">
        <v>71000</v>
      </c>
      <c r="W11" s="133" t="n"/>
      <c r="X11" s="133" t="n"/>
      <c r="Y11" s="133" t="n"/>
      <c r="Z11" s="133" t="n"/>
      <c r="AA11" s="133" t="n"/>
      <c r="AB11" s="133" t="n"/>
      <c r="AC11" s="133" t="n"/>
      <c r="AG11" s="133" t="n"/>
      <c r="AH11" s="133" t="n"/>
      <c r="AI11" s="133" t="n"/>
      <c r="AJ11" s="133" t="n"/>
      <c r="AR11" s="133" t="n"/>
    </row>
    <row r="12">
      <c r="A12" s="339" t="inlineStr">
        <is>
          <t>남천동</t>
        </is>
      </c>
      <c r="D12" s="339" t="n">
        <v>114752</v>
      </c>
      <c r="E12" s="114" t="inlineStr">
        <is>
          <t>남천금호어울림더비치</t>
        </is>
      </c>
      <c r="F12" s="339" t="n">
        <v>2019.07</v>
      </c>
      <c r="G12" s="339" t="n">
        <v>421</v>
      </c>
      <c r="H12" s="339">
        <f>2026-F12+1</f>
        <v/>
      </c>
      <c r="J12" s="339" t="n"/>
      <c r="K12" s="339" t="n">
        <v>84</v>
      </c>
      <c r="L12" s="339" t="n"/>
      <c r="M12" s="339" t="inlineStr">
        <is>
          <t>계단식</t>
        </is>
      </c>
      <c r="N12" s="339" t="n">
        <v>3</v>
      </c>
      <c r="O12" s="339" t="n">
        <v>2</v>
      </c>
      <c r="P12" s="339" t="n">
        <v>345</v>
      </c>
      <c r="Q12" s="339" t="n">
        <v>96000</v>
      </c>
      <c r="R12" s="339" t="n">
        <v>60000</v>
      </c>
      <c r="S12" s="339">
        <f>Q12-R12</f>
        <v/>
      </c>
      <c r="T12" s="362">
        <f>R12/Q12</f>
        <v/>
      </c>
      <c r="U12" s="339" t="n">
        <v>110000</v>
      </c>
      <c r="V12" s="339" t="n">
        <v>72500</v>
      </c>
    </row>
    <row r="13">
      <c r="A13" s="133" t="inlineStr">
        <is>
          <t>수영동</t>
        </is>
      </c>
      <c r="B13" s="133" t="n"/>
      <c r="C13" s="133" t="n"/>
      <c r="D13" s="133" t="n">
        <v>7914</v>
      </c>
      <c r="E13" s="115" t="inlineStr">
        <is>
          <t>현대</t>
        </is>
      </c>
      <c r="F13" s="133" t="n">
        <v>1988.04</v>
      </c>
      <c r="G13" s="133" t="n">
        <v>1180</v>
      </c>
      <c r="H13" s="133">
        <f>2026-F13+1</f>
        <v/>
      </c>
      <c r="I13" s="133" t="n"/>
      <c r="J13" s="133" t="n">
        <v>102</v>
      </c>
      <c r="K13" s="133" t="n">
        <v>84</v>
      </c>
      <c r="L13" s="133" t="n">
        <v>31</v>
      </c>
      <c r="M13" s="133" t="inlineStr">
        <is>
          <t>계단식</t>
        </is>
      </c>
      <c r="N13" s="133" t="n">
        <v>3</v>
      </c>
      <c r="O13" s="133" t="n">
        <v>2</v>
      </c>
      <c r="P13" s="133" t="n">
        <v>450</v>
      </c>
      <c r="Q13" s="133" t="n">
        <v>95000</v>
      </c>
      <c r="R13" s="133" t="n">
        <v>25000</v>
      </c>
      <c r="S13" s="339">
        <f>Q13-R13</f>
        <v/>
      </c>
      <c r="T13" s="362">
        <f>R13/Q13</f>
        <v/>
      </c>
      <c r="U13" s="133" t="n">
        <v>131500</v>
      </c>
      <c r="V13" s="133" t="n">
        <v>65000</v>
      </c>
      <c r="W13" s="133" t="n"/>
      <c r="X13" s="133" t="n"/>
      <c r="Y13" s="133" t="n"/>
      <c r="Z13" s="133" t="n"/>
      <c r="AA13" s="133" t="n"/>
      <c r="AB13" s="133" t="n"/>
      <c r="AC13" s="133" t="n"/>
      <c r="AG13" s="133" t="n"/>
      <c r="AH13" s="133" t="n"/>
      <c r="AI13" s="133" t="n"/>
      <c r="AJ13" s="133" t="n"/>
      <c r="AR13" s="133" t="n"/>
    </row>
    <row r="14">
      <c r="A14" s="339" t="inlineStr">
        <is>
          <t>남천동</t>
        </is>
      </c>
      <c r="B14" s="339" t="n"/>
      <c r="C14" s="339" t="n"/>
      <c r="D14" s="339" t="n">
        <v>154302</v>
      </c>
      <c r="E14" s="150" t="inlineStr">
        <is>
          <t>남천자이</t>
        </is>
      </c>
      <c r="F14" s="339" t="n">
        <v>2023.01</v>
      </c>
      <c r="G14" s="339" t="n">
        <v>913</v>
      </c>
      <c r="H14" s="339">
        <f>2026-F14+1</f>
        <v/>
      </c>
      <c r="I14" s="339" t="n"/>
      <c r="J14" s="339" t="n"/>
      <c r="K14" s="339" t="n">
        <v>59</v>
      </c>
      <c r="L14" s="339" t="n"/>
      <c r="M14" s="339" t="inlineStr">
        <is>
          <t>계단식</t>
        </is>
      </c>
      <c r="N14" s="339" t="n">
        <v>3</v>
      </c>
      <c r="O14" s="339" t="n">
        <v>2</v>
      </c>
      <c r="P14" s="339" t="n">
        <v>116</v>
      </c>
      <c r="Q14" s="339" t="n">
        <v>93000</v>
      </c>
      <c r="R14" s="339" t="n">
        <v>43000</v>
      </c>
      <c r="S14" s="339">
        <f>Q14-R14</f>
        <v/>
      </c>
      <c r="T14" s="362">
        <f>R14/Q14</f>
        <v/>
      </c>
      <c r="U14" s="339" t="n"/>
      <c r="V14" s="339" t="n">
        <v>76000</v>
      </c>
      <c r="W14" s="339" t="n"/>
      <c r="X14" s="339" t="n"/>
      <c r="Y14" s="339" t="n"/>
      <c r="Z14" s="339" t="n"/>
      <c r="AA14" s="339" t="n"/>
      <c r="AB14" s="339" t="n"/>
      <c r="AC14" s="339" t="n"/>
      <c r="AG14" s="339" t="n"/>
      <c r="AH14" s="339" t="n"/>
      <c r="AI14" s="339" t="n"/>
      <c r="AJ14" s="339" t="n"/>
      <c r="AR14" s="339" t="n"/>
    </row>
    <row r="15">
      <c r="A15" s="339" t="inlineStr">
        <is>
          <t>남천동</t>
        </is>
      </c>
      <c r="D15" s="339" t="n">
        <v>7717</v>
      </c>
      <c r="E15" s="114" t="inlineStr">
        <is>
          <t>뉴비치</t>
        </is>
      </c>
      <c r="F15" s="339" t="n">
        <v>1986.05</v>
      </c>
      <c r="G15" s="339" t="n">
        <v>990</v>
      </c>
      <c r="H15" s="339">
        <f>2026-F15+1</f>
        <v/>
      </c>
      <c r="J15" s="339" t="n">
        <v>101</v>
      </c>
      <c r="K15" s="339" t="n">
        <v>84</v>
      </c>
      <c r="L15" s="339" t="n">
        <v>31</v>
      </c>
      <c r="M15" s="339" t="inlineStr">
        <is>
          <t>계단식</t>
        </is>
      </c>
      <c r="N15" s="339" t="n">
        <v>3</v>
      </c>
      <c r="O15" s="339" t="n">
        <v>2</v>
      </c>
      <c r="P15" s="339" t="n">
        <v>210</v>
      </c>
      <c r="Q15" s="339" t="n">
        <v>93000</v>
      </c>
      <c r="R15" s="339" t="n">
        <v>32000</v>
      </c>
      <c r="S15" s="339">
        <f>Q15-R15</f>
        <v/>
      </c>
      <c r="T15" s="362">
        <f>R15/Q15</f>
        <v/>
      </c>
      <c r="U15" s="339" t="n">
        <v>134500</v>
      </c>
      <c r="V15" s="339" t="n">
        <v>78300</v>
      </c>
    </row>
    <row r="16">
      <c r="A16" s="133" t="inlineStr">
        <is>
          <t>남천동</t>
        </is>
      </c>
      <c r="B16" s="133" t="n"/>
      <c r="C16" s="133" t="n"/>
      <c r="D16" s="133" t="n">
        <v>127133</v>
      </c>
      <c r="E16" s="115" t="inlineStr">
        <is>
          <t>더샵남천프레스티지</t>
        </is>
      </c>
      <c r="F16" s="133" t="n">
        <v>2022.09</v>
      </c>
      <c r="G16" s="133" t="n">
        <v>975</v>
      </c>
      <c r="H16" s="133">
        <f>2026-F16+1</f>
        <v/>
      </c>
      <c r="I16" s="133" t="n"/>
      <c r="J16" s="133" t="n"/>
      <c r="K16" s="133" t="n">
        <v>59</v>
      </c>
      <c r="L16" s="133" t="n"/>
      <c r="M16" s="133" t="inlineStr">
        <is>
          <t>계단식</t>
        </is>
      </c>
      <c r="N16" s="133" t="n">
        <v>3</v>
      </c>
      <c r="O16" s="133" t="n">
        <v>2</v>
      </c>
      <c r="P16" s="133" t="n">
        <v>178</v>
      </c>
      <c r="Q16" s="133" t="n">
        <v>92000</v>
      </c>
      <c r="R16" s="133" t="n">
        <v>48000</v>
      </c>
      <c r="S16" s="339">
        <f>Q16-R16</f>
        <v/>
      </c>
      <c r="T16" s="362">
        <f>R16/Q16</f>
        <v/>
      </c>
      <c r="U16" s="133" t="n"/>
      <c r="V16" s="133" t="n">
        <v>70000</v>
      </c>
      <c r="W16" s="133" t="n"/>
      <c r="X16" s="133" t="n"/>
      <c r="Y16" s="133" t="n"/>
      <c r="Z16" s="133" t="n"/>
      <c r="AA16" s="133" t="n"/>
      <c r="AB16" s="133" t="n"/>
      <c r="AC16" s="133" t="n"/>
      <c r="AG16" s="133" t="n"/>
      <c r="AH16" s="133" t="n"/>
      <c r="AI16" s="133" t="n"/>
      <c r="AJ16" s="133" t="n"/>
      <c r="AR16" s="133" t="n"/>
    </row>
    <row r="17">
      <c r="A17" s="339" t="inlineStr">
        <is>
          <t>남천동</t>
        </is>
      </c>
      <c r="B17" s="339" t="n"/>
      <c r="C17" s="339" t="n"/>
      <c r="D17" s="339" t="n">
        <v>7770</v>
      </c>
      <c r="E17" s="114" t="inlineStr">
        <is>
          <t>삼익비치타운</t>
        </is>
      </c>
      <c r="F17" s="339" t="n">
        <v>1979.1</v>
      </c>
      <c r="G17" s="339" t="n">
        <v>3060</v>
      </c>
      <c r="H17" s="339">
        <f>2026-F17+1</f>
        <v/>
      </c>
      <c r="I17" s="339" t="n"/>
      <c r="J17" s="339" t="n">
        <v>98</v>
      </c>
      <c r="K17" s="339" t="n">
        <v>73</v>
      </c>
      <c r="L17" s="339" t="n">
        <v>30</v>
      </c>
      <c r="M17" s="339" t="inlineStr">
        <is>
          <t>복도식</t>
        </is>
      </c>
      <c r="N17" s="339" t="n">
        <v>3</v>
      </c>
      <c r="O17" s="339" t="n">
        <v>1</v>
      </c>
      <c r="P17" s="339" t="n">
        <v>516</v>
      </c>
      <c r="Q17" s="339" t="n">
        <v>92000</v>
      </c>
      <c r="R17" s="339" t="n">
        <v>9000</v>
      </c>
      <c r="S17" s="339">
        <f>Q17-R17</f>
        <v/>
      </c>
      <c r="T17" s="362">
        <f>R17/Q17</f>
        <v/>
      </c>
      <c r="U17" s="339" t="n">
        <v>143700</v>
      </c>
      <c r="V17" s="339" t="n">
        <v>88000</v>
      </c>
      <c r="W17" s="339" t="n"/>
      <c r="X17" s="339" t="n"/>
      <c r="Y17" s="339" t="n"/>
      <c r="Z17" s="339" t="n"/>
      <c r="AA17" s="339" t="n"/>
      <c r="AB17" s="339" t="n"/>
      <c r="AC17" s="339" t="n"/>
      <c r="AG17" s="339" t="n"/>
      <c r="AH17" s="339" t="n"/>
      <c r="AI17" s="339" t="n"/>
      <c r="AJ17" s="339" t="n"/>
      <c r="AR17" s="339" t="n"/>
    </row>
    <row r="18">
      <c r="A18" s="339" t="inlineStr">
        <is>
          <t>광안동</t>
        </is>
      </c>
      <c r="B18" s="339" t="n"/>
      <c r="C18" s="339" t="n"/>
      <c r="D18" s="339" t="n">
        <v>104037</v>
      </c>
      <c r="E18" s="150" t="inlineStr">
        <is>
          <t>부산광안쌍용예가디오션</t>
        </is>
      </c>
      <c r="F18" s="339" t="n">
        <v>2014.11</v>
      </c>
      <c r="G18" s="339" t="n">
        <v>928</v>
      </c>
      <c r="H18" s="339">
        <f>2026-F18+1</f>
        <v/>
      </c>
      <c r="I18" s="339" t="n"/>
      <c r="J18" s="339" t="n">
        <v>85</v>
      </c>
      <c r="K18" s="339" t="n">
        <v>59</v>
      </c>
      <c r="L18" s="339" t="n">
        <v>26</v>
      </c>
      <c r="M18" s="339" t="inlineStr">
        <is>
          <t>계단식</t>
        </is>
      </c>
      <c r="N18" s="339" t="n">
        <v>3</v>
      </c>
      <c r="O18" s="339" t="n">
        <v>2</v>
      </c>
      <c r="P18" s="339" t="n">
        <v>39</v>
      </c>
      <c r="Q18" s="339" t="n">
        <v>90000</v>
      </c>
      <c r="R18" s="339" t="n">
        <v>45000</v>
      </c>
      <c r="S18" s="339">
        <f>Q18-R18</f>
        <v/>
      </c>
      <c r="T18" s="362">
        <f>R18/Q18</f>
        <v/>
      </c>
      <c r="U18" s="339" t="n">
        <v>90000</v>
      </c>
      <c r="V18" s="339" t="n">
        <v>73000</v>
      </c>
      <c r="W18" s="339" t="n"/>
      <c r="X18" s="339" t="n"/>
      <c r="Y18" s="339" t="n"/>
      <c r="Z18" s="339" t="n"/>
      <c r="AA18" s="339" t="n"/>
      <c r="AB18" s="339" t="n"/>
      <c r="AC18" s="339" t="n"/>
      <c r="AG18" s="339" t="n"/>
      <c r="AH18" s="339" t="n"/>
      <c r="AI18" s="339" t="n"/>
      <c r="AJ18" s="339" t="n"/>
      <c r="AR18" s="339" t="n"/>
    </row>
    <row r="19">
      <c r="A19" s="339" t="inlineStr">
        <is>
          <t>광안동</t>
        </is>
      </c>
      <c r="B19" s="339" t="n"/>
      <c r="C19" s="339" t="n"/>
      <c r="D19" s="339" t="n">
        <v>119208</v>
      </c>
      <c r="E19" s="114" t="inlineStr">
        <is>
          <t>광안자이</t>
        </is>
      </c>
      <c r="F19" s="339" t="n">
        <v>2020.08</v>
      </c>
      <c r="G19" s="339" t="n">
        <v>971</v>
      </c>
      <c r="H19" s="339">
        <f>2026-F19+1</f>
        <v/>
      </c>
      <c r="I19" s="339" t="n"/>
      <c r="J19" s="339" t="n">
        <v>104</v>
      </c>
      <c r="K19" s="339" t="n">
        <v>73</v>
      </c>
      <c r="L19" s="339" t="n">
        <v>31</v>
      </c>
      <c r="M19" s="339" t="inlineStr">
        <is>
          <t>계단식</t>
        </is>
      </c>
      <c r="N19" s="339" t="n">
        <v>3</v>
      </c>
      <c r="O19" s="339" t="n">
        <v>2</v>
      </c>
      <c r="P19" s="339" t="n">
        <v>226</v>
      </c>
      <c r="Q19" s="339" t="n">
        <v>88000</v>
      </c>
      <c r="R19" s="339" t="n">
        <v>47000</v>
      </c>
      <c r="S19" s="339">
        <f>Q19-R19</f>
        <v/>
      </c>
      <c r="T19" s="362">
        <f>R19/Q19</f>
        <v/>
      </c>
      <c r="U19" s="339" t="n">
        <v>96500</v>
      </c>
      <c r="V19" s="339" t="n">
        <v>65000</v>
      </c>
      <c r="W19" s="339" t="n"/>
      <c r="X19" s="339" t="n"/>
      <c r="Y19" s="339" t="n"/>
      <c r="Z19" s="339" t="n"/>
      <c r="AA19" s="339" t="n"/>
      <c r="AB19" s="339" t="n"/>
      <c r="AC19" s="339" t="n"/>
      <c r="AG19" s="339" t="n"/>
      <c r="AH19" s="339" t="n"/>
      <c r="AI19" s="339" t="n"/>
      <c r="AJ19" s="339" t="n"/>
      <c r="AR19" s="339" t="n"/>
    </row>
    <row r="20">
      <c r="A20" s="339" t="inlineStr">
        <is>
          <t>남천동</t>
        </is>
      </c>
      <c r="B20" s="339" t="n"/>
      <c r="C20" s="339" t="n"/>
      <c r="D20" s="339" t="n">
        <v>7770</v>
      </c>
      <c r="E20" s="114" t="inlineStr">
        <is>
          <t>삼익비치타운</t>
        </is>
      </c>
      <c r="F20" s="339" t="n">
        <v>1979.1</v>
      </c>
      <c r="G20" s="339" t="n">
        <v>3060</v>
      </c>
      <c r="H20" s="339">
        <f>2026-F20+1</f>
        <v/>
      </c>
      <c r="I20" s="339" t="n"/>
      <c r="J20" s="339" t="n"/>
      <c r="K20" s="339" t="n">
        <v>61</v>
      </c>
      <c r="L20" s="339" t="n"/>
      <c r="M20" s="339" t="inlineStr">
        <is>
          <t>복도식</t>
        </is>
      </c>
      <c r="N20" s="339" t="n">
        <v>3</v>
      </c>
      <c r="O20" s="339" t="n">
        <v>1</v>
      </c>
      <c r="P20" s="339" t="n">
        <v>168</v>
      </c>
      <c r="Q20" s="339" t="n">
        <v>88000</v>
      </c>
      <c r="R20" s="339" t="n"/>
      <c r="S20" s="339">
        <f>Q20-R20</f>
        <v/>
      </c>
      <c r="T20" s="362">
        <f>R20/Q20</f>
        <v/>
      </c>
      <c r="U20" s="339" t="n">
        <v>128000</v>
      </c>
      <c r="V20" s="339" t="n">
        <v>71000</v>
      </c>
      <c r="W20" s="339" t="n"/>
      <c r="X20" s="339" t="n"/>
      <c r="Y20" s="339" t="n"/>
      <c r="Z20" s="339" t="n"/>
      <c r="AA20" s="339" t="n"/>
      <c r="AB20" s="339" t="n"/>
      <c r="AC20" s="339" t="n"/>
      <c r="AG20" s="339" t="n"/>
      <c r="AH20" s="339" t="n"/>
      <c r="AI20" s="339" t="n"/>
      <c r="AJ20" s="339" t="n"/>
      <c r="AR20" s="339" t="n"/>
    </row>
    <row r="21">
      <c r="A21" s="339" t="inlineStr">
        <is>
          <t>남천동</t>
        </is>
      </c>
      <c r="B21" s="339" t="n"/>
      <c r="C21" s="339" t="n"/>
      <c r="D21" s="339" t="n">
        <v>7717</v>
      </c>
      <c r="E21" s="114" t="inlineStr">
        <is>
          <t>뉴비치</t>
        </is>
      </c>
      <c r="F21" s="339" t="n">
        <v>1986.05</v>
      </c>
      <c r="G21" s="339" t="n">
        <v>990</v>
      </c>
      <c r="H21" s="339">
        <f>2026-F21+1</f>
        <v/>
      </c>
      <c r="I21" s="339" t="n"/>
      <c r="J21" s="339" t="n">
        <v>91</v>
      </c>
      <c r="K21" s="339" t="n">
        <v>75</v>
      </c>
      <c r="L21" s="339" t="n">
        <v>28</v>
      </c>
      <c r="M21" s="339" t="inlineStr">
        <is>
          <t>계단식</t>
        </is>
      </c>
      <c r="N21" s="339" t="n">
        <v>3</v>
      </c>
      <c r="O21" s="339" t="n">
        <v>1</v>
      </c>
      <c r="P21" s="339" t="n">
        <v>150</v>
      </c>
      <c r="Q21" s="339" t="n">
        <v>86000</v>
      </c>
      <c r="R21" s="339" t="n">
        <v>25000</v>
      </c>
      <c r="S21" s="339">
        <f>Q21-R21</f>
        <v/>
      </c>
      <c r="T21" s="362">
        <f>R21/Q21</f>
        <v/>
      </c>
      <c r="U21" s="339" t="n">
        <v>110000</v>
      </c>
      <c r="V21" s="339" t="n">
        <v>74200</v>
      </c>
      <c r="W21" s="339" t="n"/>
      <c r="X21" s="339" t="n"/>
      <c r="Y21" s="339" t="n"/>
      <c r="Z21" s="339" t="n"/>
      <c r="AA21" s="339" t="n"/>
      <c r="AB21" s="339" t="n"/>
      <c r="AC21" s="339" t="n"/>
      <c r="AG21" s="339" t="n"/>
      <c r="AH21" s="339" t="n"/>
      <c r="AI21" s="339" t="n"/>
      <c r="AJ21" s="339" t="n"/>
      <c r="AR21" s="339" t="n"/>
    </row>
    <row r="22">
      <c r="A22" s="339" t="inlineStr">
        <is>
          <t>광안동</t>
        </is>
      </c>
      <c r="B22" s="339" t="n"/>
      <c r="C22" s="339" t="n"/>
      <c r="D22" s="339" t="n">
        <v>119208</v>
      </c>
      <c r="E22" s="114" t="inlineStr">
        <is>
          <t>광안자이</t>
        </is>
      </c>
      <c r="F22" s="339" t="n">
        <v>2020.08</v>
      </c>
      <c r="G22" s="339" t="n">
        <v>971</v>
      </c>
      <c r="H22" s="339">
        <f>2026-F22+1</f>
        <v/>
      </c>
      <c r="I22" s="339" t="n"/>
      <c r="J22" s="339" t="n">
        <v>87</v>
      </c>
      <c r="K22" s="339" t="n">
        <v>59</v>
      </c>
      <c r="L22" s="339" t="n">
        <v>26</v>
      </c>
      <c r="M22" s="339" t="inlineStr">
        <is>
          <t>계단식</t>
        </is>
      </c>
      <c r="N22" s="339" t="n">
        <v>3</v>
      </c>
      <c r="O22" s="339" t="n">
        <v>2</v>
      </c>
      <c r="P22" s="339" t="n">
        <v>72</v>
      </c>
      <c r="Q22" s="339" t="n">
        <v>85000</v>
      </c>
      <c r="R22" s="339" t="n"/>
      <c r="S22" s="339">
        <f>Q22-R22</f>
        <v/>
      </c>
      <c r="T22" s="362">
        <f>R22/Q22</f>
        <v/>
      </c>
      <c r="U22" s="339" t="n">
        <v>76000</v>
      </c>
      <c r="V22" s="339" t="n">
        <v>68000</v>
      </c>
      <c r="W22" s="339" t="n"/>
      <c r="X22" s="339" t="n"/>
      <c r="Y22" s="339" t="n"/>
      <c r="Z22" s="339" t="n"/>
      <c r="AA22" s="339" t="n"/>
      <c r="AB22" s="339" t="n"/>
      <c r="AC22" s="339" t="n"/>
      <c r="AG22" s="339" t="n"/>
      <c r="AH22" s="339" t="n"/>
      <c r="AI22" s="339" t="n"/>
      <c r="AJ22" s="339" t="n"/>
      <c r="AR22" s="339" t="n"/>
    </row>
    <row r="23">
      <c r="A23" s="339" t="inlineStr">
        <is>
          <t>민락동</t>
        </is>
      </c>
      <c r="B23" s="339" t="n"/>
      <c r="C23" s="339" t="n"/>
      <c r="D23" s="339" t="n">
        <v>103401</v>
      </c>
      <c r="E23" s="114" t="inlineStr">
        <is>
          <t>부산더샵센텀포레</t>
        </is>
      </c>
      <c r="F23" s="339" t="n">
        <v>2014.07</v>
      </c>
      <c r="G23" s="339" t="n">
        <v>1006</v>
      </c>
      <c r="H23" s="339">
        <f>2026-F23+1</f>
        <v/>
      </c>
      <c r="I23" s="339" t="n"/>
      <c r="J23" s="339" t="n"/>
      <c r="K23" s="339" t="n">
        <v>84</v>
      </c>
      <c r="L23" s="339" t="n"/>
      <c r="M23" s="339" t="inlineStr">
        <is>
          <t>계단식</t>
        </is>
      </c>
      <c r="N23" s="339" t="n">
        <v>3</v>
      </c>
      <c r="O23" s="339" t="n">
        <v>2</v>
      </c>
      <c r="P23" s="339" t="n">
        <v>550</v>
      </c>
      <c r="Q23" s="339" t="n">
        <v>85000</v>
      </c>
      <c r="R23" s="339" t="n">
        <v>52000</v>
      </c>
      <c r="S23" s="339">
        <f>Q23-R23</f>
        <v/>
      </c>
      <c r="T23" s="362">
        <f>R23/Q23</f>
        <v/>
      </c>
      <c r="U23" s="339" t="n">
        <v>109000</v>
      </c>
      <c r="V23" s="339" t="n">
        <v>57000</v>
      </c>
      <c r="W23" s="339" t="n"/>
      <c r="X23" s="339" t="n"/>
      <c r="Y23" s="339" t="n"/>
      <c r="Z23" s="339" t="n"/>
      <c r="AA23" s="339" t="n"/>
      <c r="AB23" s="339" t="n"/>
      <c r="AC23" s="339" t="n"/>
      <c r="AG23" s="339" t="n"/>
      <c r="AH23" s="339" t="n"/>
      <c r="AI23" s="339" t="n"/>
      <c r="AJ23" s="339" t="n"/>
      <c r="AR23" s="339" t="n"/>
    </row>
    <row r="24">
      <c r="A24" s="133" t="inlineStr">
        <is>
          <t>민락동</t>
        </is>
      </c>
      <c r="B24" s="133" t="n"/>
      <c r="C24" s="133" t="n"/>
      <c r="D24" s="133" t="n">
        <v>108274</v>
      </c>
      <c r="E24" s="115" t="inlineStr">
        <is>
          <t>센텀비스타동원</t>
        </is>
      </c>
      <c r="F24" s="133" t="n">
        <v>2017.07</v>
      </c>
      <c r="G24" s="133" t="n">
        <v>840</v>
      </c>
      <c r="H24" s="133">
        <f>2026-F24+1</f>
        <v/>
      </c>
      <c r="I24" s="133" t="n"/>
      <c r="J24" s="133" t="n"/>
      <c r="K24" s="133" t="n">
        <v>84</v>
      </c>
      <c r="L24" s="133" t="n"/>
      <c r="M24" s="133" t="inlineStr">
        <is>
          <t>계단식</t>
        </is>
      </c>
      <c r="N24" s="133" t="n">
        <v>3</v>
      </c>
      <c r="O24" s="133" t="n">
        <v>2</v>
      </c>
      <c r="P24" s="133" t="n">
        <v>661</v>
      </c>
      <c r="Q24" s="133" t="n">
        <v>85000</v>
      </c>
      <c r="R24" s="133" t="n">
        <v>49000</v>
      </c>
      <c r="S24" s="339">
        <f>Q24-R24</f>
        <v/>
      </c>
      <c r="T24" s="362">
        <f>R24/Q24</f>
        <v/>
      </c>
      <c r="U24" s="133" t="n">
        <v>109500</v>
      </c>
      <c r="V24" s="133" t="n">
        <v>56000</v>
      </c>
      <c r="W24" s="133" t="n"/>
      <c r="X24" s="133" t="n"/>
      <c r="Y24" s="133" t="n"/>
      <c r="Z24" s="133" t="n"/>
      <c r="AA24" s="133" t="n"/>
      <c r="AB24" s="133" t="n"/>
      <c r="AC24" s="133" t="n"/>
      <c r="AG24" s="133" t="n"/>
      <c r="AH24" s="133" t="n"/>
      <c r="AI24" s="133" t="n"/>
      <c r="AJ24" s="133" t="n"/>
      <c r="AR24" s="133" t="n"/>
    </row>
    <row r="25">
      <c r="A25" s="133" t="inlineStr">
        <is>
          <t>민락동</t>
        </is>
      </c>
      <c r="B25" s="133" t="n"/>
      <c r="C25" s="133" t="n"/>
      <c r="D25" s="133" t="n">
        <v>117979</v>
      </c>
      <c r="E25" s="115" t="inlineStr">
        <is>
          <t>e편한세상오션테라스3단지</t>
        </is>
      </c>
      <c r="F25" s="133" t="n">
        <v>2020.01</v>
      </c>
      <c r="G25" s="133" t="n">
        <v>316</v>
      </c>
      <c r="H25" s="133">
        <f>2026-F25+1</f>
        <v/>
      </c>
      <c r="I25" s="133" t="n"/>
      <c r="J25" s="133" t="n"/>
      <c r="K25" s="133" t="n">
        <v>84</v>
      </c>
      <c r="L25" s="133" t="n"/>
      <c r="M25" s="133" t="inlineStr">
        <is>
          <t>계단식</t>
        </is>
      </c>
      <c r="N25" s="133" t="n">
        <v>3</v>
      </c>
      <c r="O25" s="133" t="n">
        <v>2</v>
      </c>
      <c r="P25" s="133" t="n">
        <v>156</v>
      </c>
      <c r="Q25" s="133" t="n">
        <v>83000</v>
      </c>
      <c r="R25" s="133" t="n">
        <v>45000</v>
      </c>
      <c r="S25" s="339">
        <f>Q25-R25</f>
        <v/>
      </c>
      <c r="T25" s="362">
        <f>R25/Q25</f>
        <v/>
      </c>
      <c r="U25" s="133" t="n">
        <v>93000</v>
      </c>
      <c r="V25" s="133" t="n">
        <v>72750</v>
      </c>
      <c r="W25" s="133" t="n"/>
      <c r="X25" s="133" t="n"/>
      <c r="Y25" s="133" t="n"/>
      <c r="Z25" s="133" t="n"/>
      <c r="AA25" s="133" t="n"/>
      <c r="AB25" s="133" t="n"/>
      <c r="AC25" s="133" t="n"/>
      <c r="AG25" s="133" t="n"/>
      <c r="AH25" s="133" t="n"/>
      <c r="AI25" s="133" t="n"/>
      <c r="AJ25" s="133" t="n"/>
      <c r="AR25" s="133" t="n"/>
    </row>
    <row r="26">
      <c r="A26" s="339" t="inlineStr">
        <is>
          <t>민락동</t>
        </is>
      </c>
      <c r="B26" s="339" t="n"/>
      <c r="C26" s="339" t="n"/>
      <c r="D26" s="339" t="n">
        <v>103401</v>
      </c>
      <c r="E26" s="114" t="inlineStr">
        <is>
          <t>부산더샵센텀포레</t>
        </is>
      </c>
      <c r="F26" s="339" t="n">
        <v>2014.07</v>
      </c>
      <c r="G26" s="339" t="n">
        <v>1006</v>
      </c>
      <c r="H26" s="339">
        <f>2026-F26+1</f>
        <v/>
      </c>
      <c r="I26" s="339" t="n"/>
      <c r="J26" s="339" t="n">
        <v>85</v>
      </c>
      <c r="K26" s="339" t="n">
        <v>59</v>
      </c>
      <c r="L26" s="339" t="n">
        <v>26</v>
      </c>
      <c r="M26" s="339" t="inlineStr">
        <is>
          <t>계단식</t>
        </is>
      </c>
      <c r="N26" s="339" t="n">
        <v>3</v>
      </c>
      <c r="O26" s="339" t="n">
        <v>2</v>
      </c>
      <c r="P26" s="339" t="n">
        <v>110</v>
      </c>
      <c r="Q26" s="339" t="n">
        <v>78000</v>
      </c>
      <c r="R26" s="339" t="n">
        <v>35000</v>
      </c>
      <c r="S26" s="339">
        <f>Q26-R26</f>
        <v/>
      </c>
      <c r="T26" s="362">
        <f>R26/Q26</f>
        <v/>
      </c>
      <c r="U26" s="339" t="n">
        <v>65000</v>
      </c>
      <c r="V26" s="339" t="n">
        <v>58000</v>
      </c>
      <c r="W26" s="339" t="n"/>
      <c r="X26" s="339" t="n"/>
      <c r="Y26" s="339" t="n"/>
      <c r="Z26" s="339" t="n"/>
      <c r="AA26" s="339" t="n"/>
      <c r="AB26" s="339" t="n"/>
      <c r="AC26" s="339" t="n"/>
      <c r="AG26" s="339" t="n"/>
      <c r="AH26" s="339" t="n"/>
      <c r="AI26" s="339" t="n"/>
      <c r="AJ26" s="339" t="n"/>
      <c r="AR26" s="339" t="n"/>
    </row>
    <row r="27">
      <c r="A27" s="339" t="inlineStr">
        <is>
          <t>남천동</t>
        </is>
      </c>
      <c r="B27" s="339" t="n"/>
      <c r="C27" s="339" t="n"/>
      <c r="D27" s="339" t="n">
        <v>7770</v>
      </c>
      <c r="E27" s="114" t="inlineStr">
        <is>
          <t>삼익비치타운</t>
        </is>
      </c>
      <c r="F27" s="339" t="n">
        <v>1979.1</v>
      </c>
      <c r="G27" s="339" t="n">
        <v>3060</v>
      </c>
      <c r="H27" s="339">
        <f>2026-F27+1</f>
        <v/>
      </c>
      <c r="I27" s="339" t="n"/>
      <c r="J27" s="339" t="n"/>
      <c r="K27" s="339" t="n">
        <v>60</v>
      </c>
      <c r="L27" s="339" t="n"/>
      <c r="M27" s="339" t="inlineStr">
        <is>
          <t>복도식</t>
        </is>
      </c>
      <c r="N27" s="339" t="n">
        <v>3</v>
      </c>
      <c r="O27" s="339" t="n">
        <v>1</v>
      </c>
      <c r="P27" s="339" t="n">
        <v>504</v>
      </c>
      <c r="Q27" s="339" t="n">
        <v>77000</v>
      </c>
      <c r="R27" s="339" t="n">
        <v>10000</v>
      </c>
      <c r="S27" s="339">
        <f>Q27-R27</f>
        <v/>
      </c>
      <c r="T27" s="362">
        <f>R27/Q27</f>
        <v/>
      </c>
      <c r="U27" s="339" t="n">
        <v>128000</v>
      </c>
      <c r="V27" s="339" t="n">
        <v>71000</v>
      </c>
      <c r="W27" s="339" t="n"/>
      <c r="X27" s="339" t="n"/>
      <c r="Y27" s="339" t="n"/>
      <c r="Z27" s="339" t="n"/>
      <c r="AA27" s="339" t="n"/>
      <c r="AB27" s="339" t="n"/>
      <c r="AC27" s="339" t="n"/>
      <c r="AG27" s="339" t="n"/>
      <c r="AH27" s="339" t="n"/>
      <c r="AI27" s="339" t="n"/>
      <c r="AJ27" s="339" t="n"/>
      <c r="AR27" s="339" t="n"/>
    </row>
    <row r="28">
      <c r="A28" s="133" t="inlineStr">
        <is>
          <t>수영동</t>
        </is>
      </c>
      <c r="B28" s="133" t="n"/>
      <c r="C28" s="133" t="n"/>
      <c r="D28" s="133" t="n">
        <v>7914</v>
      </c>
      <c r="E28" s="115" t="inlineStr">
        <is>
          <t>현대</t>
        </is>
      </c>
      <c r="F28" s="133" t="n">
        <v>1988.04</v>
      </c>
      <c r="G28" s="133" t="n">
        <v>1180</v>
      </c>
      <c r="H28" s="133">
        <f>2026-F28+1</f>
        <v/>
      </c>
      <c r="I28" s="133" t="n"/>
      <c r="J28" s="133" t="n"/>
      <c r="K28" s="133" t="n">
        <v>68</v>
      </c>
      <c r="L28" s="133" t="n"/>
      <c r="M28" s="133" t="inlineStr">
        <is>
          <t>계단식</t>
        </is>
      </c>
      <c r="N28" s="133" t="n">
        <v>3</v>
      </c>
      <c r="O28" s="133" t="n">
        <v>1</v>
      </c>
      <c r="P28" s="133" t="n">
        <v>420</v>
      </c>
      <c r="Q28" s="133" t="n">
        <v>76000</v>
      </c>
      <c r="R28" s="133" t="n">
        <v>21000</v>
      </c>
      <c r="S28" s="339">
        <f>Q28-R28</f>
        <v/>
      </c>
      <c r="T28" s="362">
        <f>R28/Q28</f>
        <v/>
      </c>
      <c r="U28" s="133" t="n">
        <v>105000</v>
      </c>
      <c r="V28" s="133" t="n">
        <v>70700</v>
      </c>
      <c r="W28" s="133" t="n"/>
      <c r="X28" s="133" t="n"/>
      <c r="Y28" s="133" t="n"/>
      <c r="Z28" s="133" t="n"/>
      <c r="AA28" s="133" t="n"/>
      <c r="AB28" s="133" t="n"/>
      <c r="AC28" s="133" t="n"/>
      <c r="AG28" s="133" t="n"/>
      <c r="AH28" s="133" t="n"/>
      <c r="AI28" s="133" t="n"/>
      <c r="AJ28" s="133" t="n"/>
      <c r="AR28" s="133" t="n"/>
    </row>
    <row r="29">
      <c r="A29" s="339" t="inlineStr">
        <is>
          <t>수영동</t>
        </is>
      </c>
      <c r="B29" s="339" t="n"/>
      <c r="C29" s="339" t="n"/>
      <c r="D29" s="339" t="n">
        <v>10383</v>
      </c>
      <c r="E29" s="114" t="inlineStr">
        <is>
          <t>수영협성르네상스타운</t>
        </is>
      </c>
      <c r="F29" s="339" t="n">
        <v>2004.07</v>
      </c>
      <c r="G29" s="339" t="n">
        <v>684</v>
      </c>
      <c r="H29" s="339">
        <f>2026-F29+1</f>
        <v/>
      </c>
      <c r="I29" s="339" t="n"/>
      <c r="J29" s="339" t="n"/>
      <c r="K29" s="339" t="n">
        <v>84</v>
      </c>
      <c r="L29" s="339" t="n"/>
      <c r="M29" s="339" t="inlineStr">
        <is>
          <t>계단식</t>
        </is>
      </c>
      <c r="N29" s="339" t="n">
        <v>3</v>
      </c>
      <c r="O29" s="339" t="n">
        <v>2</v>
      </c>
      <c r="P29" s="339" t="n">
        <v>384</v>
      </c>
      <c r="Q29" s="339" t="n">
        <v>75000</v>
      </c>
      <c r="R29" s="339" t="n">
        <v>40000</v>
      </c>
      <c r="S29" s="339">
        <f>Q29-R29</f>
        <v/>
      </c>
      <c r="T29" s="362">
        <f>R29/Q29</f>
        <v/>
      </c>
      <c r="U29" s="339" t="n">
        <v>92000</v>
      </c>
      <c r="V29" s="339" t="n">
        <v>58000</v>
      </c>
      <c r="W29" s="339" t="n"/>
      <c r="X29" s="339" t="n"/>
      <c r="Y29" s="339" t="n"/>
      <c r="Z29" s="339" t="n"/>
      <c r="AA29" s="339" t="n"/>
      <c r="AB29" s="339" t="n"/>
      <c r="AC29" s="339" t="n"/>
      <c r="AG29" s="339" t="n"/>
      <c r="AH29" s="339" t="n"/>
      <c r="AI29" s="339" t="n"/>
      <c r="AJ29" s="339" t="n"/>
      <c r="AR29" s="339" t="n"/>
    </row>
    <row r="30">
      <c r="A30" s="339" t="inlineStr">
        <is>
          <t>민락동</t>
        </is>
      </c>
      <c r="B30" s="339" t="n"/>
      <c r="C30" s="339" t="n"/>
      <c r="D30" s="339" t="n">
        <v>117980</v>
      </c>
      <c r="E30" s="114" t="inlineStr">
        <is>
          <t>e편한세상오션테라스4단지</t>
        </is>
      </c>
      <c r="F30" s="339" t="n">
        <v>2020.01</v>
      </c>
      <c r="G30" s="339" t="n">
        <v>308</v>
      </c>
      <c r="H30" s="339">
        <f>2026-F30+1</f>
        <v/>
      </c>
      <c r="I30" s="339" t="n"/>
      <c r="J30" s="339" t="n"/>
      <c r="K30" s="339" t="n">
        <v>84</v>
      </c>
      <c r="L30" s="339" t="n"/>
      <c r="M30" s="339" t="inlineStr">
        <is>
          <t>계단식</t>
        </is>
      </c>
      <c r="N30" s="339" t="n">
        <v>3</v>
      </c>
      <c r="O30" s="339" t="n">
        <v>2</v>
      </c>
      <c r="P30" s="339" t="n">
        <v>152</v>
      </c>
      <c r="Q30" s="339" t="n">
        <v>73000</v>
      </c>
      <c r="R30" s="339" t="n">
        <v>50000</v>
      </c>
      <c r="S30" s="339">
        <f>Q30-R30</f>
        <v/>
      </c>
      <c r="T30" s="362">
        <f>R30/Q30</f>
        <v/>
      </c>
      <c r="U30" s="339" t="n">
        <v>162000</v>
      </c>
      <c r="V30" s="339" t="n">
        <v>75000</v>
      </c>
      <c r="W30" s="339" t="n"/>
      <c r="X30" s="339" t="n"/>
      <c r="Y30" s="339" t="n"/>
      <c r="Z30" s="339" t="n"/>
      <c r="AA30" s="339" t="n"/>
      <c r="AB30" s="339" t="n"/>
      <c r="AC30" s="339" t="n"/>
      <c r="AG30" s="339" t="n"/>
      <c r="AH30" s="339" t="n"/>
      <c r="AI30" s="339" t="n"/>
      <c r="AJ30" s="339" t="n"/>
      <c r="AR30" s="339" t="n"/>
    </row>
    <row r="31">
      <c r="A31" s="339" t="inlineStr">
        <is>
          <t>망미동</t>
        </is>
      </c>
      <c r="B31" s="339" t="n"/>
      <c r="C31" s="339" t="n"/>
      <c r="D31" s="339" t="n">
        <v>111463</v>
      </c>
      <c r="E31" s="114" t="inlineStr">
        <is>
          <t>수영SK뷰1단지</t>
        </is>
      </c>
      <c r="F31" s="339" t="n">
        <v>2019.06</v>
      </c>
      <c r="G31" s="339" t="n">
        <v>1147</v>
      </c>
      <c r="H31" s="339">
        <f>2026-F31+1</f>
        <v/>
      </c>
      <c r="I31" s="339" t="n"/>
      <c r="J31" s="339" t="n">
        <v>101</v>
      </c>
      <c r="K31" s="339" t="n">
        <v>73</v>
      </c>
      <c r="L31" s="339" t="n">
        <v>31</v>
      </c>
      <c r="M31" s="339" t="inlineStr">
        <is>
          <t>계단식</t>
        </is>
      </c>
      <c r="N31" s="339" t="n">
        <v>3</v>
      </c>
      <c r="O31" s="339" t="n">
        <v>2</v>
      </c>
      <c r="P31" s="339" t="n">
        <v>70</v>
      </c>
      <c r="Q31" s="339" t="n">
        <v>70000</v>
      </c>
      <c r="R31" s="339" t="n">
        <v>37000</v>
      </c>
      <c r="S31" s="339">
        <f>Q31-R31</f>
        <v/>
      </c>
      <c r="T31" s="362">
        <f>R31/Q31</f>
        <v/>
      </c>
      <c r="U31" s="339" t="n">
        <v>75000</v>
      </c>
      <c r="V31" s="339" t="n">
        <v>60000</v>
      </c>
      <c r="W31" s="339" t="n"/>
      <c r="X31" s="339" t="n"/>
      <c r="Y31" s="339" t="n"/>
      <c r="Z31" s="339" t="n"/>
      <c r="AA31" s="339" t="n"/>
      <c r="AB31" s="339" t="n"/>
      <c r="AC31" s="339" t="n"/>
      <c r="AG31" s="339" t="n"/>
      <c r="AH31" s="339" t="n"/>
      <c r="AI31" s="339" t="n"/>
      <c r="AJ31" s="339" t="n"/>
      <c r="AR31" s="339" t="n"/>
    </row>
    <row r="32">
      <c r="A32" s="339" t="inlineStr">
        <is>
          <t>망미동</t>
        </is>
      </c>
      <c r="B32" s="339" t="n"/>
      <c r="C32" s="339" t="n"/>
      <c r="D32" s="339" t="n">
        <v>111463</v>
      </c>
      <c r="E32" s="114" t="inlineStr">
        <is>
          <t>수영SK뷰1단지</t>
        </is>
      </c>
      <c r="F32" s="339" t="n">
        <v>2019.06</v>
      </c>
      <c r="G32" s="339" t="n">
        <v>1147</v>
      </c>
      <c r="H32" s="339">
        <f>2026-F32+1</f>
        <v/>
      </c>
      <c r="I32" s="339" t="n"/>
      <c r="J32" s="339" t="n">
        <v>116</v>
      </c>
      <c r="K32" s="339" t="n">
        <v>84</v>
      </c>
      <c r="L32" s="339" t="n">
        <v>35</v>
      </c>
      <c r="M32" s="339" t="inlineStr">
        <is>
          <t>계단식</t>
        </is>
      </c>
      <c r="N32" s="339" t="n">
        <v>4</v>
      </c>
      <c r="O32" s="339" t="n">
        <v>2</v>
      </c>
      <c r="P32" s="339" t="n">
        <v>594</v>
      </c>
      <c r="Q32" s="339" t="n">
        <v>69000</v>
      </c>
      <c r="R32" s="339" t="n">
        <v>40000</v>
      </c>
      <c r="S32" s="339">
        <f>Q32-R32</f>
        <v/>
      </c>
      <c r="T32" s="362">
        <f>R32/Q32</f>
        <v/>
      </c>
      <c r="U32" s="339" t="n">
        <v>87500</v>
      </c>
      <c r="V32" s="339" t="n">
        <v>51000</v>
      </c>
      <c r="W32" s="339" t="n"/>
      <c r="X32" s="339" t="n"/>
      <c r="Y32" s="339" t="n"/>
      <c r="Z32" s="339" t="n"/>
      <c r="AA32" s="339" t="n"/>
      <c r="AB32" s="339" t="n"/>
      <c r="AC32" s="339" t="n"/>
      <c r="AG32" s="339" t="n"/>
      <c r="AH32" s="339" t="n"/>
      <c r="AI32" s="339" t="n"/>
      <c r="AJ32" s="339" t="n"/>
      <c r="AR32" s="339" t="n"/>
    </row>
    <row r="33">
      <c r="A33" s="133" t="inlineStr">
        <is>
          <t>수영동</t>
        </is>
      </c>
      <c r="B33" s="133" t="n"/>
      <c r="C33" s="133" t="n"/>
      <c r="D33" s="133" t="n">
        <v>7914</v>
      </c>
      <c r="E33" s="115" t="inlineStr">
        <is>
          <t>현대</t>
        </is>
      </c>
      <c r="F33" s="133" t="n">
        <v>1988.04</v>
      </c>
      <c r="G33" s="133" t="n">
        <v>1180</v>
      </c>
      <c r="H33" s="133">
        <f>2026-F33+1</f>
        <v/>
      </c>
      <c r="I33" s="133" t="n"/>
      <c r="J33" s="133" t="n">
        <v>69</v>
      </c>
      <c r="K33" s="133" t="n">
        <v>52</v>
      </c>
      <c r="L33" s="133" t="n">
        <v>21</v>
      </c>
      <c r="M33" s="133" t="inlineStr">
        <is>
          <t>복도식</t>
        </is>
      </c>
      <c r="N33" s="133" t="n">
        <v>2</v>
      </c>
      <c r="O33" s="133" t="n">
        <v>1</v>
      </c>
      <c r="P33" s="133" t="n">
        <v>167</v>
      </c>
      <c r="Q33" s="133" t="n">
        <v>65000</v>
      </c>
      <c r="R33" s="133" t="n">
        <v>18000</v>
      </c>
      <c r="S33" s="339">
        <f>Q33-R33</f>
        <v/>
      </c>
      <c r="T33" s="362">
        <f>R33/Q33</f>
        <v/>
      </c>
      <c r="U33" s="133" t="n">
        <v>87200</v>
      </c>
      <c r="V33" s="133" t="n">
        <v>59000</v>
      </c>
      <c r="W33" s="133" t="n"/>
      <c r="X33" s="133" t="n"/>
      <c r="Y33" s="133" t="n"/>
      <c r="Z33" s="133" t="n"/>
      <c r="AA33" s="133" t="n"/>
      <c r="AB33" s="133" t="n"/>
      <c r="AC33" s="133" t="n"/>
      <c r="AG33" s="133" t="n"/>
      <c r="AH33" s="133" t="n"/>
      <c r="AI33" s="133" t="n"/>
      <c r="AJ33" s="133" t="n"/>
      <c r="AR33" s="133" t="n"/>
    </row>
    <row r="34">
      <c r="A34" s="339" t="inlineStr">
        <is>
          <t>남천동</t>
        </is>
      </c>
      <c r="B34" s="339" t="n"/>
      <c r="C34" s="339" t="n"/>
      <c r="D34" s="339" t="n">
        <v>7717</v>
      </c>
      <c r="E34" s="114" t="inlineStr">
        <is>
          <t>뉴비치</t>
        </is>
      </c>
      <c r="F34" s="339" t="n">
        <v>1986.05</v>
      </c>
      <c r="G34" s="339" t="n">
        <v>990</v>
      </c>
      <c r="H34" s="339">
        <f>2026-F34+1</f>
        <v/>
      </c>
      <c r="I34" s="339" t="n"/>
      <c r="J34" s="339" t="n">
        <v>62</v>
      </c>
      <c r="K34" s="339" t="n">
        <v>42</v>
      </c>
      <c r="L34" s="339" t="n">
        <v>19</v>
      </c>
      <c r="M34" s="339" t="inlineStr">
        <is>
          <t>복도식</t>
        </is>
      </c>
      <c r="N34" s="339" t="n">
        <v>2</v>
      </c>
      <c r="O34" s="339" t="n">
        <v>1</v>
      </c>
      <c r="P34" s="339" t="n">
        <v>135</v>
      </c>
      <c r="Q34" s="339" t="n">
        <v>63000</v>
      </c>
      <c r="R34" s="339" t="n">
        <v>18000</v>
      </c>
      <c r="S34" s="339">
        <f>Q34-R34</f>
        <v/>
      </c>
      <c r="T34" s="362">
        <f>R34/Q34</f>
        <v/>
      </c>
      <c r="U34" s="339" t="n">
        <v>79900</v>
      </c>
      <c r="V34" s="339" t="n">
        <v>48000</v>
      </c>
      <c r="W34" s="339" t="n"/>
      <c r="X34" s="339" t="n"/>
      <c r="Y34" s="339" t="n"/>
      <c r="Z34" s="339" t="n"/>
      <c r="AA34" s="339" t="n"/>
      <c r="AB34" s="339" t="n"/>
      <c r="AC34" s="339" t="n"/>
      <c r="AG34" s="339" t="n"/>
      <c r="AH34" s="339" t="n"/>
      <c r="AI34" s="339" t="n"/>
      <c r="AJ34" s="339" t="n"/>
      <c r="AR34" s="339" t="n"/>
    </row>
    <row r="35">
      <c r="A35" s="133" t="inlineStr">
        <is>
          <t>망미동</t>
        </is>
      </c>
      <c r="B35" s="133" t="n"/>
      <c r="C35" s="133" t="n"/>
      <c r="D35" s="133" t="n">
        <v>19305</v>
      </c>
      <c r="E35" s="115" t="inlineStr">
        <is>
          <t>더샵파크리치</t>
        </is>
      </c>
      <c r="F35" s="133" t="n">
        <v>2007.09</v>
      </c>
      <c r="G35" s="133" t="n">
        <v>862</v>
      </c>
      <c r="H35" s="133">
        <f>2026-F35+1</f>
        <v/>
      </c>
      <c r="I35" s="133" t="n"/>
      <c r="J35" s="133" t="n">
        <v>114</v>
      </c>
      <c r="K35" s="133" t="n">
        <v>84</v>
      </c>
      <c r="L35" s="133" t="n">
        <v>34</v>
      </c>
      <c r="M35" s="133" t="inlineStr">
        <is>
          <t>계단식</t>
        </is>
      </c>
      <c r="N35" s="133" t="n">
        <v>3</v>
      </c>
      <c r="O35" s="133" t="n">
        <v>2</v>
      </c>
      <c r="P35" s="133" t="n">
        <v>96</v>
      </c>
      <c r="Q35" s="133" t="n">
        <v>63000</v>
      </c>
      <c r="R35" s="133" t="n">
        <v>32000</v>
      </c>
      <c r="S35" s="339">
        <f>Q35-R35</f>
        <v/>
      </c>
      <c r="T35" s="362">
        <f>R35/Q35</f>
        <v/>
      </c>
      <c r="U35" s="133" t="n">
        <v>74800</v>
      </c>
      <c r="V35" s="133" t="n">
        <v>56500</v>
      </c>
      <c r="W35" s="133" t="n"/>
      <c r="X35" s="133" t="n"/>
      <c r="Y35" s="133" t="n"/>
      <c r="Z35" s="133" t="n"/>
      <c r="AA35" s="133" t="n"/>
      <c r="AB35" s="133" t="n"/>
      <c r="AC35" s="133" t="n"/>
      <c r="AG35" s="133" t="n"/>
      <c r="AH35" s="133" t="n"/>
      <c r="AI35" s="133" t="n"/>
      <c r="AJ35" s="133" t="n"/>
      <c r="AR35" s="133" t="n"/>
    </row>
    <row r="36">
      <c r="A36" s="339" t="inlineStr">
        <is>
          <t>민락동</t>
        </is>
      </c>
      <c r="D36" s="339" t="n">
        <v>108276</v>
      </c>
      <c r="E36" s="150" t="inlineStr">
        <is>
          <t>e편한세상광안비치</t>
        </is>
      </c>
      <c r="F36" s="339" t="n">
        <v>2016.09</v>
      </c>
      <c r="G36" s="339" t="n">
        <v>396</v>
      </c>
      <c r="H36" s="339">
        <f>2026-F36+1</f>
        <v/>
      </c>
      <c r="K36" s="339" t="n">
        <v>84</v>
      </c>
      <c r="M36" s="339" t="inlineStr">
        <is>
          <t>계단식</t>
        </is>
      </c>
      <c r="N36" s="339" t="n">
        <v>3</v>
      </c>
      <c r="O36" s="339" t="n">
        <v>2</v>
      </c>
      <c r="P36" s="339" t="n">
        <v>396</v>
      </c>
      <c r="Q36" s="339" t="n">
        <v>63000</v>
      </c>
      <c r="R36" s="339" t="n">
        <v>43000</v>
      </c>
      <c r="S36" s="339">
        <f>Q36-R36</f>
        <v/>
      </c>
      <c r="T36" s="362">
        <f>R36/Q36</f>
        <v/>
      </c>
      <c r="U36" s="339" t="n">
        <v>101500</v>
      </c>
      <c r="V36" s="339" t="n">
        <v>59500</v>
      </c>
    </row>
    <row r="37">
      <c r="A37" s="339" t="inlineStr">
        <is>
          <t>남천동</t>
        </is>
      </c>
      <c r="D37" s="339" t="n">
        <v>7770</v>
      </c>
      <c r="E37" s="114" t="inlineStr">
        <is>
          <t>삼익비치타운</t>
        </is>
      </c>
      <c r="F37" s="339" t="n">
        <v>1979.1</v>
      </c>
      <c r="G37" s="339" t="n">
        <v>3060</v>
      </c>
      <c r="H37" s="339">
        <f>2026-F37+1</f>
        <v/>
      </c>
      <c r="K37" s="339" t="n">
        <v>41</v>
      </c>
      <c r="M37" s="339" t="inlineStr">
        <is>
          <t>복도식</t>
        </is>
      </c>
      <c r="N37" s="339" t="n">
        <v>2</v>
      </c>
      <c r="O37" s="339" t="n">
        <v>1</v>
      </c>
      <c r="P37" s="339" t="n">
        <v>264</v>
      </c>
      <c r="Q37" s="339" t="n">
        <v>61500</v>
      </c>
      <c r="R37" s="339" t="n">
        <v>8000</v>
      </c>
      <c r="S37" s="339">
        <f>Q37-R37</f>
        <v/>
      </c>
      <c r="T37" s="362">
        <f>R37/Q37</f>
        <v/>
      </c>
      <c r="U37" s="339" t="n">
        <v>105000</v>
      </c>
      <c r="V37" s="339" t="n">
        <v>59000</v>
      </c>
    </row>
    <row r="38">
      <c r="A38" s="133" t="inlineStr">
        <is>
          <t>수영동</t>
        </is>
      </c>
      <c r="B38" s="133" t="n"/>
      <c r="C38" s="133" t="n"/>
      <c r="D38" s="133" t="n">
        <v>103803</v>
      </c>
      <c r="E38" s="115" t="inlineStr">
        <is>
          <t>수영강동원로얄듀크</t>
        </is>
      </c>
      <c r="F38" s="133" t="n">
        <v>2014.02</v>
      </c>
      <c r="G38" s="133" t="n">
        <v>423</v>
      </c>
      <c r="H38" s="133">
        <f>2026-F38+1</f>
        <v/>
      </c>
      <c r="I38" s="133" t="n"/>
      <c r="J38" s="133" t="n"/>
      <c r="K38" s="133" t="n">
        <v>84</v>
      </c>
      <c r="L38" s="133" t="n"/>
      <c r="M38" s="133" t="inlineStr">
        <is>
          <t>계단식</t>
        </is>
      </c>
      <c r="N38" s="133" t="n">
        <v>3</v>
      </c>
      <c r="O38" s="133" t="n">
        <v>2</v>
      </c>
      <c r="P38" s="133" t="n">
        <v>191</v>
      </c>
      <c r="Q38" s="133" t="n">
        <v>61000</v>
      </c>
      <c r="R38" s="133" t="n">
        <v>37000</v>
      </c>
      <c r="S38" s="339">
        <f>Q38-R38</f>
        <v/>
      </c>
      <c r="T38" s="362">
        <f>R38/Q38</f>
        <v/>
      </c>
      <c r="U38" s="133" t="n">
        <v>66500</v>
      </c>
      <c r="V38" s="133" t="n">
        <v>60000</v>
      </c>
      <c r="W38" s="133" t="n"/>
      <c r="X38" s="133" t="n"/>
      <c r="Y38" s="133" t="n"/>
      <c r="Z38" s="133" t="n"/>
      <c r="AA38" s="133" t="n"/>
      <c r="AB38" s="133" t="n"/>
      <c r="AC38" s="133" t="n"/>
      <c r="AG38" s="133" t="n"/>
      <c r="AH38" s="133" t="n"/>
      <c r="AI38" s="133" t="n"/>
      <c r="AJ38" s="133" t="n"/>
      <c r="AR38" s="133" t="n"/>
    </row>
    <row r="39">
      <c r="A39" s="133" t="inlineStr">
        <is>
          <t>민락동</t>
        </is>
      </c>
      <c r="B39" s="133" t="n"/>
      <c r="C39" s="133" t="n"/>
      <c r="D39" s="133" t="n">
        <v>11792</v>
      </c>
      <c r="E39" s="115" t="inlineStr">
        <is>
          <t>롯데캐슬자이언트</t>
        </is>
      </c>
      <c r="F39" s="133" t="n">
        <v>2003.11</v>
      </c>
      <c r="G39" s="133" t="n">
        <v>591</v>
      </c>
      <c r="H39" s="133">
        <f>2026-F39+1</f>
        <v/>
      </c>
      <c r="I39" s="133" t="n"/>
      <c r="J39" s="133" t="n">
        <v>110</v>
      </c>
      <c r="K39" s="133" t="n">
        <v>84</v>
      </c>
      <c r="L39" s="133" t="n">
        <v>33</v>
      </c>
      <c r="M39" s="133" t="inlineStr">
        <is>
          <t>계단식</t>
        </is>
      </c>
      <c r="N39" s="133" t="n">
        <v>3</v>
      </c>
      <c r="O39" s="133" t="n">
        <v>2</v>
      </c>
      <c r="P39" s="133" t="n">
        <v>196</v>
      </c>
      <c r="Q39" s="133" t="n">
        <v>59000</v>
      </c>
      <c r="R39" s="133" t="n">
        <v>35000</v>
      </c>
      <c r="S39" s="339">
        <f>Q39-R39</f>
        <v/>
      </c>
      <c r="T39" s="362">
        <f>R39/Q39</f>
        <v/>
      </c>
      <c r="U39" s="133" t="n">
        <v>79000</v>
      </c>
      <c r="V39" s="133" t="n">
        <v>50000</v>
      </c>
      <c r="W39" s="133" t="n"/>
      <c r="X39" s="133" t="n"/>
      <c r="Y39" s="133" t="n"/>
      <c r="Z39" s="133" t="n"/>
      <c r="AA39" s="133" t="n"/>
      <c r="AB39" s="133" t="n"/>
      <c r="AC39" s="133" t="n"/>
      <c r="AG39" s="133" t="n"/>
      <c r="AH39" s="133" t="n"/>
      <c r="AI39" s="133" t="n"/>
      <c r="AJ39" s="133" t="n"/>
      <c r="AR39" s="133" t="n"/>
    </row>
    <row r="40">
      <c r="A40" s="339" t="inlineStr">
        <is>
          <t>남천동</t>
        </is>
      </c>
      <c r="B40" s="339" t="n"/>
      <c r="C40" s="339" t="n"/>
      <c r="D40" s="339" t="n">
        <v>7717</v>
      </c>
      <c r="E40" s="150" t="inlineStr">
        <is>
          <t>뉴비치</t>
        </is>
      </c>
      <c r="F40" s="339" t="n">
        <v>1986.05</v>
      </c>
      <c r="G40" s="339" t="n">
        <v>990</v>
      </c>
      <c r="H40" s="339">
        <f>2026-F40+1</f>
        <v/>
      </c>
      <c r="I40" s="339" t="n"/>
      <c r="J40" s="339" t="n">
        <v>55</v>
      </c>
      <c r="K40" s="339" t="n">
        <v>41</v>
      </c>
      <c r="L40" s="339" t="n">
        <v>17</v>
      </c>
      <c r="M40" s="339" t="inlineStr">
        <is>
          <t>복도식</t>
        </is>
      </c>
      <c r="N40" s="339" t="n">
        <v>2</v>
      </c>
      <c r="O40" s="339" t="n">
        <v>1</v>
      </c>
      <c r="P40" s="339" t="n">
        <v>195</v>
      </c>
      <c r="Q40" s="339" t="n">
        <v>58000</v>
      </c>
      <c r="R40" s="339" t="n">
        <v>16000</v>
      </c>
      <c r="S40" s="339">
        <f>Q40-R40</f>
        <v/>
      </c>
      <c r="T40" s="362">
        <f>R40/Q40</f>
        <v/>
      </c>
      <c r="U40" s="339" t="n">
        <v>74000</v>
      </c>
      <c r="V40" s="339" t="n">
        <v>48000</v>
      </c>
      <c r="W40" s="339" t="n"/>
      <c r="X40" s="339" t="n"/>
      <c r="Y40" s="339" t="n"/>
      <c r="Z40" s="339" t="n"/>
      <c r="AA40" s="339" t="n"/>
      <c r="AB40" s="339" t="n"/>
      <c r="AC40" s="339" t="n"/>
      <c r="AG40" s="339" t="n"/>
      <c r="AH40" s="339" t="n"/>
      <c r="AI40" s="339" t="n"/>
      <c r="AJ40" s="339" t="n"/>
      <c r="AR40" s="339" t="n"/>
    </row>
    <row r="41">
      <c r="A41" s="133" t="inlineStr">
        <is>
          <t>수영동</t>
        </is>
      </c>
      <c r="B41" s="133" t="n"/>
      <c r="C41" s="133" t="n"/>
      <c r="D41" s="133" t="n">
        <v>103803</v>
      </c>
      <c r="E41" s="115" t="inlineStr">
        <is>
          <t>수영강동원로얄듀크</t>
        </is>
      </c>
      <c r="F41" s="133" t="n">
        <v>2014.02</v>
      </c>
      <c r="G41" s="133" t="n">
        <v>423</v>
      </c>
      <c r="H41" s="133">
        <f>2026-F41+1</f>
        <v/>
      </c>
      <c r="I41" s="133" t="n"/>
      <c r="J41" s="133" t="n"/>
      <c r="K41" s="133" t="n">
        <v>80</v>
      </c>
      <c r="L41" s="133" t="n"/>
      <c r="M41" s="133" t="inlineStr">
        <is>
          <t>계단식</t>
        </is>
      </c>
      <c r="N41" s="133" t="n">
        <v>3</v>
      </c>
      <c r="O41" s="133" t="n">
        <v>2</v>
      </c>
      <c r="P41" s="133" t="n">
        <v>232</v>
      </c>
      <c r="Q41" s="133" t="n">
        <v>56000</v>
      </c>
      <c r="R41" s="133" t="n">
        <v>34000</v>
      </c>
      <c r="S41" s="339">
        <f>Q41-R41</f>
        <v/>
      </c>
      <c r="T41" s="362">
        <f>R41/Q41</f>
        <v/>
      </c>
      <c r="U41" s="133" t="n">
        <v>73000</v>
      </c>
      <c r="V41" s="133" t="n">
        <v>55000</v>
      </c>
      <c r="W41" s="133" t="n"/>
      <c r="X41" s="133" t="n"/>
      <c r="Y41" s="133" t="n"/>
      <c r="Z41" s="133" t="n"/>
      <c r="AA41" s="133" t="n"/>
      <c r="AB41" s="133" t="n"/>
      <c r="AC41" s="133" t="n"/>
      <c r="AG41" s="133" t="n"/>
      <c r="AH41" s="133" t="n"/>
      <c r="AI41" s="133" t="n"/>
      <c r="AJ41" s="133" t="n"/>
      <c r="AR41" s="133" t="n"/>
    </row>
    <row r="42">
      <c r="A42" s="339" t="inlineStr">
        <is>
          <t>망미동</t>
        </is>
      </c>
      <c r="D42" s="339" t="n">
        <v>111463</v>
      </c>
      <c r="E42" s="114" t="inlineStr">
        <is>
          <t>수영SK뷰1단지</t>
        </is>
      </c>
      <c r="F42" s="339" t="n">
        <v>2019.06</v>
      </c>
      <c r="G42" s="339" t="n">
        <v>1147</v>
      </c>
      <c r="H42" s="339">
        <f>2026-F42+1</f>
        <v/>
      </c>
      <c r="J42" s="339" t="n"/>
      <c r="K42" s="339" t="n">
        <v>59</v>
      </c>
      <c r="L42" s="339" t="n"/>
      <c r="M42" s="339" t="inlineStr">
        <is>
          <t>계단식</t>
        </is>
      </c>
      <c r="N42" s="339" t="n">
        <v>3</v>
      </c>
      <c r="O42" s="339" t="n">
        <v>2</v>
      </c>
      <c r="P42" s="339" t="n">
        <v>483</v>
      </c>
      <c r="Q42" s="339" t="n">
        <v>55000</v>
      </c>
      <c r="R42" s="339" t="n">
        <v>34000</v>
      </c>
      <c r="S42" s="339">
        <f>Q42-R42</f>
        <v/>
      </c>
      <c r="T42" s="362">
        <f>R42/Q42</f>
        <v/>
      </c>
      <c r="U42" s="339" t="n">
        <v>64500</v>
      </c>
      <c r="V42" s="339" t="n">
        <v>40000</v>
      </c>
    </row>
    <row r="43">
      <c r="A43" s="133" t="inlineStr">
        <is>
          <t>민락동</t>
        </is>
      </c>
      <c r="B43" s="133" t="n"/>
      <c r="C43" s="133" t="n"/>
      <c r="D43" s="133" t="n">
        <v>9904</v>
      </c>
      <c r="E43" s="115" t="inlineStr">
        <is>
          <t>센텀비치푸르지오</t>
        </is>
      </c>
      <c r="F43" s="133" t="n">
        <v>2003.08</v>
      </c>
      <c r="G43" s="133" t="n">
        <v>1082</v>
      </c>
      <c r="H43" s="133">
        <f>2026-F43+1</f>
        <v/>
      </c>
      <c r="I43" s="133" t="n"/>
      <c r="J43" s="133" t="n"/>
      <c r="K43" s="133" t="n">
        <v>84</v>
      </c>
      <c r="L43" s="133" t="n"/>
      <c r="M43" s="133" t="inlineStr">
        <is>
          <t>계단식</t>
        </is>
      </c>
      <c r="N43" s="133" t="n">
        <v>3</v>
      </c>
      <c r="O43" s="133" t="n">
        <v>2</v>
      </c>
      <c r="P43" s="133" t="n">
        <v>460</v>
      </c>
      <c r="Q43" s="133" t="n">
        <v>55000</v>
      </c>
      <c r="R43" s="133" t="n">
        <v>33000</v>
      </c>
      <c r="S43" s="339">
        <f>Q43-R43</f>
        <v/>
      </c>
      <c r="T43" s="362">
        <f>R43/Q43</f>
        <v/>
      </c>
      <c r="U43" s="133" t="n">
        <v>80000</v>
      </c>
      <c r="V43" s="133" t="n">
        <v>49000</v>
      </c>
      <c r="W43" s="133" t="n"/>
      <c r="X43" s="133" t="n"/>
      <c r="Y43" s="133" t="n"/>
      <c r="Z43" s="133" t="n"/>
      <c r="AA43" s="133" t="n"/>
      <c r="AB43" s="133" t="n"/>
      <c r="AC43" s="133" t="n"/>
      <c r="AG43" s="133" t="n"/>
      <c r="AH43" s="133" t="n"/>
      <c r="AI43" s="133" t="n"/>
      <c r="AJ43" s="133" t="n"/>
      <c r="AR43" s="133" t="n"/>
    </row>
    <row r="44">
      <c r="A44" s="339" t="inlineStr">
        <is>
          <t>민락동</t>
        </is>
      </c>
      <c r="D44" s="339" t="n">
        <v>7888</v>
      </c>
      <c r="E44" s="114" t="inlineStr">
        <is>
          <t>진로비치1단지</t>
        </is>
      </c>
      <c r="F44" s="339" t="n">
        <v>1997.05</v>
      </c>
      <c r="G44" s="339" t="n">
        <v>352</v>
      </c>
      <c r="H44" s="339">
        <f>2026-F44+1</f>
        <v/>
      </c>
      <c r="J44" s="339" t="n">
        <v>104</v>
      </c>
      <c r="K44" s="339" t="n">
        <v>84</v>
      </c>
      <c r="L44" s="339" t="n">
        <v>31</v>
      </c>
      <c r="M44" s="339" t="inlineStr">
        <is>
          <t>계단식</t>
        </is>
      </c>
      <c r="N44" s="339" t="n">
        <v>3</v>
      </c>
      <c r="O44" s="339" t="n">
        <v>2</v>
      </c>
      <c r="P44" s="339" t="n">
        <v>148</v>
      </c>
      <c r="Q44" s="339" t="n">
        <v>52000</v>
      </c>
      <c r="R44" s="339" t="n">
        <v>20000</v>
      </c>
      <c r="S44" s="339">
        <f>Q44-R44</f>
        <v/>
      </c>
      <c r="T44" s="362">
        <f>R44/Q44</f>
        <v/>
      </c>
      <c r="U44" s="339" t="n">
        <v>51500</v>
      </c>
      <c r="V44" s="339" t="n">
        <v>41500</v>
      </c>
    </row>
    <row r="45">
      <c r="A45" s="133" t="inlineStr">
        <is>
          <t>남천동</t>
        </is>
      </c>
      <c r="B45" s="133" t="n"/>
      <c r="C45" s="133" t="n"/>
      <c r="D45" s="133" t="n">
        <v>7650</v>
      </c>
      <c r="E45" s="115" t="inlineStr">
        <is>
          <t>남천동원로얄듀크</t>
        </is>
      </c>
      <c r="F45" s="133" t="n">
        <v>2000.05</v>
      </c>
      <c r="G45" s="133" t="n">
        <v>422</v>
      </c>
      <c r="H45" s="133">
        <f>2026-F45+1</f>
        <v/>
      </c>
      <c r="I45" s="133" t="n"/>
      <c r="J45" s="133" t="n">
        <v>103</v>
      </c>
      <c r="K45" s="133" t="n">
        <v>84</v>
      </c>
      <c r="L45" s="133" t="n">
        <v>31</v>
      </c>
      <c r="M45" s="133" t="inlineStr">
        <is>
          <t>계단식</t>
        </is>
      </c>
      <c r="N45" s="133" t="n">
        <v>3</v>
      </c>
      <c r="O45" s="133" t="n">
        <v>2</v>
      </c>
      <c r="P45" s="133" t="n">
        <v>126</v>
      </c>
      <c r="Q45" s="133" t="n">
        <v>51000</v>
      </c>
      <c r="R45" s="133" t="n">
        <v>31000</v>
      </c>
      <c r="S45" s="339">
        <f>Q45-R45</f>
        <v/>
      </c>
      <c r="T45" s="362">
        <f>R45/Q45</f>
        <v/>
      </c>
      <c r="U45" s="133" t="n">
        <v>69000</v>
      </c>
      <c r="V45" s="133" t="n">
        <v>45000</v>
      </c>
      <c r="W45" s="133" t="n"/>
      <c r="X45" s="133" t="n"/>
      <c r="Y45" s="133" t="n"/>
      <c r="Z45" s="133" t="n"/>
      <c r="AA45" s="133" t="n"/>
      <c r="AB45" s="133" t="n"/>
      <c r="AC45" s="133" t="n"/>
      <c r="AG45" s="133" t="n"/>
      <c r="AH45" s="133" t="n"/>
      <c r="AI45" s="133" t="n"/>
      <c r="AJ45" s="133" t="n"/>
      <c r="AR45" s="133" t="n"/>
    </row>
    <row r="46">
      <c r="A46" s="133" t="inlineStr">
        <is>
          <t>민락동</t>
        </is>
      </c>
      <c r="B46" s="133" t="n"/>
      <c r="C46" s="133" t="n"/>
      <c r="D46" s="133" t="n">
        <v>9904</v>
      </c>
      <c r="E46" s="115" t="inlineStr">
        <is>
          <t>센텀비치푸르지오</t>
        </is>
      </c>
      <c r="F46" s="133" t="n">
        <v>2003.08</v>
      </c>
      <c r="G46" s="133" t="n">
        <v>1082</v>
      </c>
      <c r="H46" s="133">
        <f>2026-F46+1</f>
        <v/>
      </c>
      <c r="I46" s="133" t="n"/>
      <c r="J46" s="133" t="n">
        <v>94</v>
      </c>
      <c r="K46" s="133" t="n">
        <v>73</v>
      </c>
      <c r="L46" s="133" t="n">
        <v>28</v>
      </c>
      <c r="M46" s="133" t="inlineStr">
        <is>
          <t>계단식</t>
        </is>
      </c>
      <c r="N46" s="133" t="n">
        <v>3</v>
      </c>
      <c r="O46" s="133" t="n">
        <v>2</v>
      </c>
      <c r="P46" s="133" t="n">
        <v>104</v>
      </c>
      <c r="Q46" s="133" t="n">
        <v>50000</v>
      </c>
      <c r="R46" s="133" t="n">
        <v>27000</v>
      </c>
      <c r="S46" s="339">
        <f>Q46-R46</f>
        <v/>
      </c>
      <c r="T46" s="362">
        <f>R46/Q46</f>
        <v/>
      </c>
      <c r="U46" s="133" t="n">
        <v>64200</v>
      </c>
      <c r="V46" s="133" t="n">
        <v>42800</v>
      </c>
      <c r="W46" s="133" t="n"/>
      <c r="X46" s="133" t="n"/>
      <c r="Y46" s="133" t="n"/>
      <c r="Z46" s="133" t="n"/>
      <c r="AA46" s="133" t="n"/>
      <c r="AB46" s="133" t="n"/>
      <c r="AC46" s="133" t="n"/>
      <c r="AG46" s="133" t="n"/>
      <c r="AH46" s="133" t="n"/>
      <c r="AI46" s="133" t="n"/>
      <c r="AJ46" s="133" t="n"/>
      <c r="AR46" s="133" t="n"/>
    </row>
    <row r="47">
      <c r="A47" s="133" t="inlineStr">
        <is>
          <t>남천동</t>
        </is>
      </c>
      <c r="B47" s="133" t="n"/>
      <c r="C47" s="133" t="n"/>
      <c r="D47" s="133" t="n">
        <v>7650</v>
      </c>
      <c r="E47" s="135" t="inlineStr">
        <is>
          <t>남천동원로얄듀크</t>
        </is>
      </c>
      <c r="F47" s="133" t="n">
        <v>2000.05</v>
      </c>
      <c r="G47" s="133" t="n">
        <v>422</v>
      </c>
      <c r="H47" s="133">
        <f>2026-F47+1</f>
        <v/>
      </c>
      <c r="I47" s="133" t="n"/>
      <c r="J47" s="133" t="n">
        <v>81</v>
      </c>
      <c r="K47" s="133" t="n">
        <v>59</v>
      </c>
      <c r="L47" s="133" t="n">
        <v>25</v>
      </c>
      <c r="M47" s="133" t="inlineStr">
        <is>
          <t>계단식</t>
        </is>
      </c>
      <c r="N47" s="133" t="n">
        <v>3</v>
      </c>
      <c r="O47" s="133" t="n">
        <v>1</v>
      </c>
      <c r="P47" s="133" t="n">
        <v>40</v>
      </c>
      <c r="Q47" s="133" t="n">
        <v>45000</v>
      </c>
      <c r="R47" s="133" t="n">
        <v>25000</v>
      </c>
      <c r="S47" s="339">
        <f>Q47-R47</f>
        <v/>
      </c>
      <c r="T47" s="362">
        <f>R47/Q47</f>
        <v/>
      </c>
      <c r="U47" s="133" t="n">
        <v>57000</v>
      </c>
      <c r="V47" s="133" t="n">
        <v>44300</v>
      </c>
      <c r="W47" s="133" t="n"/>
      <c r="X47" s="133" t="n"/>
      <c r="Y47" s="133" t="n"/>
      <c r="Z47" s="133" t="n"/>
      <c r="AA47" s="133" t="n"/>
      <c r="AB47" s="133" t="n"/>
      <c r="AC47" s="133" t="n"/>
      <c r="AG47" s="133" t="n"/>
      <c r="AH47" s="133" t="n"/>
      <c r="AI47" s="133" t="n"/>
      <c r="AJ47" s="133" t="n"/>
      <c r="AR47" s="133" t="n"/>
    </row>
    <row r="48">
      <c r="A48" s="133" t="inlineStr">
        <is>
          <t>남천동</t>
        </is>
      </c>
      <c r="B48" s="133" t="n"/>
      <c r="C48" s="133" t="n"/>
      <c r="D48" s="133" t="n">
        <v>127133</v>
      </c>
      <c r="E48" s="135" t="inlineStr">
        <is>
          <t>더샵남천프레스티지</t>
        </is>
      </c>
      <c r="F48" s="133" t="n">
        <v>2022.09</v>
      </c>
      <c r="G48" s="133" t="n">
        <v>975</v>
      </c>
      <c r="H48" s="133">
        <f>2026-F48+1</f>
        <v/>
      </c>
      <c r="I48" s="133" t="n"/>
      <c r="J48" s="133" t="n">
        <v>56</v>
      </c>
      <c r="K48" s="133" t="n">
        <v>39</v>
      </c>
      <c r="L48" s="133" t="n">
        <v>17</v>
      </c>
      <c r="M48" s="133" t="inlineStr">
        <is>
          <t>계단식</t>
        </is>
      </c>
      <c r="N48" s="133" t="n">
        <v>2</v>
      </c>
      <c r="O48" s="133" t="n">
        <v>1</v>
      </c>
      <c r="P48" s="133" t="n">
        <v>51</v>
      </c>
      <c r="Q48" s="133" t="n">
        <v>43000</v>
      </c>
      <c r="R48" s="133" t="n"/>
      <c r="S48" s="339">
        <f>Q48-R48</f>
        <v/>
      </c>
      <c r="T48" s="362">
        <f>R48/Q48</f>
        <v/>
      </c>
      <c r="U48" s="133" t="n"/>
      <c r="V48" s="133" t="n"/>
      <c r="W48" s="133" t="n"/>
      <c r="X48" s="133" t="n"/>
      <c r="Y48" s="133" t="n"/>
      <c r="Z48" s="133" t="n"/>
      <c r="AA48" s="133" t="n"/>
      <c r="AB48" s="133" t="n"/>
      <c r="AC48" s="133" t="n"/>
      <c r="AG48" s="133" t="n"/>
      <c r="AH48" s="133" t="n"/>
      <c r="AI48" s="133" t="n"/>
      <c r="AJ48" s="133" t="n"/>
      <c r="AR48" s="133" t="n"/>
    </row>
    <row r="49">
      <c r="A49" s="133" t="inlineStr">
        <is>
          <t>망미동</t>
        </is>
      </c>
      <c r="B49" s="133" t="n"/>
      <c r="C49" s="133" t="n"/>
      <c r="D49" s="133" t="n">
        <v>109225</v>
      </c>
      <c r="E49" s="115" t="inlineStr">
        <is>
          <t>망미이진캐스빌</t>
        </is>
      </c>
      <c r="F49" s="133" t="n">
        <v>2017.08</v>
      </c>
      <c r="G49" s="133" t="n">
        <v>343</v>
      </c>
      <c r="H49" s="133">
        <f>2026-F49+1</f>
        <v/>
      </c>
      <c r="I49" s="133" t="n"/>
      <c r="J49" s="133" t="n">
        <v>110</v>
      </c>
      <c r="K49" s="133" t="n">
        <v>79</v>
      </c>
      <c r="L49" s="133" t="n">
        <v>33</v>
      </c>
      <c r="M49" s="133" t="inlineStr">
        <is>
          <t>계단식</t>
        </is>
      </c>
      <c r="N49" s="133" t="n">
        <v>3</v>
      </c>
      <c r="O49" s="133" t="n">
        <v>2</v>
      </c>
      <c r="P49" s="133" t="n">
        <v>90</v>
      </c>
      <c r="Q49" s="133" t="n">
        <v>43000</v>
      </c>
      <c r="R49" s="133" t="n">
        <v>26000</v>
      </c>
      <c r="S49" s="339">
        <f>Q49-R49</f>
        <v/>
      </c>
      <c r="T49" s="362">
        <f>R49/Q49</f>
        <v/>
      </c>
      <c r="U49" s="133" t="n">
        <v>55000</v>
      </c>
      <c r="V49" s="133" t="n">
        <v>41700</v>
      </c>
      <c r="W49" s="133" t="n"/>
      <c r="X49" s="133" t="n"/>
      <c r="Y49" s="133" t="n"/>
      <c r="Z49" s="133" t="n"/>
      <c r="AA49" s="133" t="n"/>
      <c r="AB49" s="133" t="n"/>
      <c r="AC49" s="133" t="n"/>
      <c r="AG49" s="133" t="n"/>
      <c r="AH49" s="133" t="n"/>
      <c r="AI49" s="133" t="n"/>
      <c r="AJ49" s="133" t="n"/>
      <c r="AR49" s="133" t="n"/>
    </row>
    <row r="50">
      <c r="A50" s="133" t="inlineStr">
        <is>
          <t>광안동</t>
        </is>
      </c>
      <c r="B50" s="133" t="n"/>
      <c r="C50" s="133" t="n"/>
      <c r="D50" s="133" t="n">
        <v>7509</v>
      </c>
      <c r="E50" s="115" t="inlineStr">
        <is>
          <t>비치그린</t>
        </is>
      </c>
      <c r="F50" s="133" t="n">
        <v>1996.02</v>
      </c>
      <c r="G50" s="133" t="n">
        <v>1038</v>
      </c>
      <c r="H50" s="133">
        <f>2026-F50+1</f>
        <v/>
      </c>
      <c r="I50" s="133" t="n"/>
      <c r="J50" s="133" t="n">
        <v>107</v>
      </c>
      <c r="K50" s="133" t="n">
        <v>84</v>
      </c>
      <c r="L50" s="133" t="n">
        <v>32</v>
      </c>
      <c r="M50" s="133" t="inlineStr">
        <is>
          <t>계단식</t>
        </is>
      </c>
      <c r="N50" s="133" t="n">
        <v>3</v>
      </c>
      <c r="O50" s="133" t="n">
        <v>2</v>
      </c>
      <c r="P50" s="133" t="n">
        <v>601</v>
      </c>
      <c r="Q50" s="133" t="n">
        <v>39000</v>
      </c>
      <c r="R50" s="133" t="n">
        <v>29000</v>
      </c>
      <c r="S50" s="339">
        <f>#REF!-#REF!</f>
        <v/>
      </c>
      <c r="T50" s="362">
        <f>#REF!/#REF!</f>
        <v/>
      </c>
      <c r="U50" s="133" t="n">
        <v>54500</v>
      </c>
      <c r="V50" s="133" t="n">
        <v>35500</v>
      </c>
      <c r="W50" s="133" t="n"/>
      <c r="X50" s="133" t="n"/>
      <c r="Y50" s="133" t="n"/>
      <c r="Z50" s="133" t="n"/>
      <c r="AA50" s="133" t="n"/>
      <c r="AB50" s="133" t="n"/>
      <c r="AC50" s="133" t="n"/>
      <c r="AG50" s="133" t="n"/>
      <c r="AH50" s="133" t="n"/>
      <c r="AI50" s="133" t="n"/>
      <c r="AJ50" s="133" t="n"/>
      <c r="AR50" s="133" t="n"/>
    </row>
    <row r="51">
      <c r="A51" s="133" t="inlineStr">
        <is>
          <t>광안동</t>
        </is>
      </c>
      <c r="B51" s="133" t="n"/>
      <c r="C51" s="133" t="n"/>
      <c r="D51" s="133" t="n">
        <v>7363</v>
      </c>
      <c r="E51" s="115" t="inlineStr">
        <is>
          <t>광원</t>
        </is>
      </c>
      <c r="F51" s="133" t="n">
        <v>1995.11</v>
      </c>
      <c r="G51" s="133" t="n">
        <v>589</v>
      </c>
      <c r="H51" s="133">
        <f>2026-F51+1</f>
        <v/>
      </c>
      <c r="I51" s="133" t="n"/>
      <c r="J51" s="133" t="n">
        <v>100</v>
      </c>
      <c r="K51" s="133" t="n">
        <v>84</v>
      </c>
      <c r="L51" s="133" t="n">
        <v>30</v>
      </c>
      <c r="M51" s="133" t="inlineStr">
        <is>
          <t>계단식</t>
        </is>
      </c>
      <c r="N51" s="133" t="n">
        <v>3</v>
      </c>
      <c r="O51" s="133" t="n">
        <v>2</v>
      </c>
      <c r="P51" s="133" t="n">
        <v>196</v>
      </c>
      <c r="Q51" s="133" t="n">
        <v>38000</v>
      </c>
      <c r="R51" s="133" t="n"/>
      <c r="S51" s="339">
        <f>Q51-R51</f>
        <v/>
      </c>
      <c r="T51" s="362">
        <f>R51/Q51</f>
        <v/>
      </c>
      <c r="U51" s="133" t="n">
        <v>45500</v>
      </c>
      <c r="V51" s="133" t="n">
        <v>36000</v>
      </c>
      <c r="W51" s="133" t="n"/>
      <c r="X51" s="133" t="n"/>
      <c r="Y51" s="133" t="n"/>
      <c r="Z51" s="133" t="n"/>
      <c r="AA51" s="133" t="n"/>
      <c r="AB51" s="133" t="n"/>
      <c r="AC51" s="133" t="n"/>
      <c r="AG51" s="133" t="n"/>
      <c r="AH51" s="133" t="n"/>
      <c r="AI51" s="133" t="n"/>
      <c r="AJ51" s="133" t="n"/>
      <c r="AR51" s="133" t="n"/>
    </row>
    <row r="52">
      <c r="A52" s="339" t="inlineStr">
        <is>
          <t>민락동</t>
        </is>
      </c>
      <c r="B52" s="339" t="n"/>
      <c r="C52" s="339" t="n"/>
      <c r="D52" s="339" t="n">
        <v>7888</v>
      </c>
      <c r="E52" s="114" t="inlineStr">
        <is>
          <t>진로비치1단지</t>
        </is>
      </c>
      <c r="F52" s="339" t="n">
        <v>1997.05</v>
      </c>
      <c r="G52" s="339" t="n">
        <v>352</v>
      </c>
      <c r="H52" s="339">
        <f>2026-F52+1</f>
        <v/>
      </c>
      <c r="I52" s="339" t="n"/>
      <c r="J52" s="339" t="n">
        <v>76</v>
      </c>
      <c r="K52" s="339" t="n">
        <v>59</v>
      </c>
      <c r="L52" s="339" t="n">
        <v>23</v>
      </c>
      <c r="M52" s="339" t="inlineStr">
        <is>
          <t>계단식</t>
        </is>
      </c>
      <c r="N52" s="339" t="n">
        <v>3</v>
      </c>
      <c r="O52" s="339" t="n">
        <v>1</v>
      </c>
      <c r="P52" s="339" t="n">
        <v>144</v>
      </c>
      <c r="Q52" s="339" t="n">
        <v>38000</v>
      </c>
      <c r="R52" s="339" t="n">
        <v>19000</v>
      </c>
      <c r="S52" s="339">
        <f>Q52-R52</f>
        <v/>
      </c>
      <c r="T52" s="362">
        <f>R52/Q52</f>
        <v/>
      </c>
      <c r="U52" s="339" t="n">
        <v>43800</v>
      </c>
      <c r="V52" s="339" t="n">
        <v>36800</v>
      </c>
      <c r="W52" s="339" t="n"/>
      <c r="X52" s="339" t="n"/>
      <c r="Y52" s="339" t="n"/>
      <c r="Z52" s="339" t="n"/>
      <c r="AA52" s="339" t="n"/>
      <c r="AB52" s="339" t="n"/>
      <c r="AC52" s="339" t="n"/>
      <c r="AG52" s="339" t="n"/>
      <c r="AH52" s="339" t="n"/>
      <c r="AI52" s="339" t="n"/>
      <c r="AJ52" s="339" t="n"/>
      <c r="AR52" s="339" t="n"/>
    </row>
    <row r="53">
      <c r="A53" s="339" t="inlineStr">
        <is>
          <t>망미동</t>
        </is>
      </c>
      <c r="B53" s="339" t="n"/>
      <c r="C53" s="339" t="n"/>
      <c r="D53" s="339" t="n">
        <v>9884</v>
      </c>
      <c r="E53" s="114" t="inlineStr">
        <is>
          <t>센텀수영강변e-편한세상2차</t>
        </is>
      </c>
      <c r="F53" s="339" t="n">
        <v>2004.08</v>
      </c>
      <c r="G53" s="339" t="n">
        <v>486</v>
      </c>
      <c r="H53" s="339">
        <f>2026-F53+1</f>
        <v/>
      </c>
      <c r="I53" s="339" t="n"/>
      <c r="J53" s="339" t="n">
        <v>107</v>
      </c>
      <c r="K53" s="339" t="n">
        <v>84</v>
      </c>
      <c r="L53" s="339" t="n">
        <v>32</v>
      </c>
      <c r="M53" s="339" t="inlineStr">
        <is>
          <t>계단식</t>
        </is>
      </c>
      <c r="N53" s="339" t="n">
        <v>3</v>
      </c>
      <c r="O53" s="339" t="n">
        <v>2</v>
      </c>
      <c r="P53" s="339" t="n">
        <v>317</v>
      </c>
      <c r="Q53" s="339" t="n">
        <v>37000</v>
      </c>
      <c r="R53" s="339" t="n">
        <v>29000</v>
      </c>
      <c r="S53" s="339">
        <f>Q53-R53</f>
        <v/>
      </c>
      <c r="T53" s="362">
        <f>R53/Q53</f>
        <v/>
      </c>
      <c r="U53" s="339" t="n">
        <v>59000</v>
      </c>
      <c r="V53" s="339" t="n">
        <v>34000</v>
      </c>
      <c r="W53" s="339" t="n"/>
      <c r="X53" s="339" t="n"/>
      <c r="Y53" s="339" t="n"/>
      <c r="Z53" s="339" t="n"/>
      <c r="AA53" s="339" t="n"/>
      <c r="AB53" s="339" t="n"/>
      <c r="AC53" s="339" t="n"/>
      <c r="AG53" s="339" t="n"/>
      <c r="AH53" s="339" t="n"/>
      <c r="AI53" s="339" t="n"/>
      <c r="AJ53" s="339" t="n"/>
      <c r="AR53" s="339" t="n"/>
    </row>
    <row r="54">
      <c r="A54" s="133" t="inlineStr">
        <is>
          <t>망미동</t>
        </is>
      </c>
      <c r="B54" s="133" t="n"/>
      <c r="C54" s="133" t="n"/>
      <c r="D54" s="133" t="n">
        <v>109225</v>
      </c>
      <c r="E54" s="115" t="inlineStr">
        <is>
          <t>망미이진캐스빌</t>
        </is>
      </c>
      <c r="F54" s="133" t="n">
        <v>2017.08</v>
      </c>
      <c r="G54" s="133" t="n">
        <v>343</v>
      </c>
      <c r="H54" s="133">
        <f>2026-F54+1</f>
        <v/>
      </c>
      <c r="I54" s="133" t="n"/>
      <c r="J54" s="133" t="n">
        <v>87</v>
      </c>
      <c r="K54" s="133" t="n">
        <v>62</v>
      </c>
      <c r="L54" s="133" t="n">
        <v>26</v>
      </c>
      <c r="M54" s="133" t="inlineStr">
        <is>
          <t>계단식</t>
        </is>
      </c>
      <c r="N54" s="133" t="n">
        <v>3</v>
      </c>
      <c r="O54" s="133" t="n">
        <v>2</v>
      </c>
      <c r="P54" s="133" t="n">
        <v>207</v>
      </c>
      <c r="Q54" s="133" t="n">
        <v>36500</v>
      </c>
      <c r="R54" s="133" t="n">
        <v>27000</v>
      </c>
      <c r="S54" s="339">
        <f>Q54-R54</f>
        <v/>
      </c>
      <c r="T54" s="362">
        <f>R54/Q54</f>
        <v/>
      </c>
      <c r="U54" s="133" t="n">
        <v>47500</v>
      </c>
      <c r="V54" s="133" t="n">
        <v>34000</v>
      </c>
      <c r="W54" s="133" t="n"/>
      <c r="X54" s="133" t="n"/>
      <c r="Y54" s="133" t="n"/>
      <c r="Z54" s="133" t="n"/>
      <c r="AA54" s="133" t="n"/>
      <c r="AB54" s="133" t="n"/>
      <c r="AC54" s="133" t="n"/>
      <c r="AG54" s="133" t="n"/>
      <c r="AH54" s="133" t="n"/>
      <c r="AI54" s="133" t="n"/>
      <c r="AJ54" s="133" t="n"/>
      <c r="AR54" s="133" t="n"/>
    </row>
    <row r="55">
      <c r="A55" s="339" t="inlineStr">
        <is>
          <t>망미동</t>
        </is>
      </c>
      <c r="B55" s="339" t="n"/>
      <c r="C55" s="339" t="n"/>
      <c r="D55" s="339" t="n">
        <v>9884</v>
      </c>
      <c r="E55" s="150" t="inlineStr">
        <is>
          <t>센텀수영강변e-편한세상2차</t>
        </is>
      </c>
      <c r="F55" s="339" t="n">
        <v>2004.08</v>
      </c>
      <c r="G55" s="339" t="n">
        <v>486</v>
      </c>
      <c r="H55" s="339">
        <f>2026-F55+1</f>
        <v/>
      </c>
      <c r="I55" s="339" t="n"/>
      <c r="J55" s="339" t="n">
        <v>79</v>
      </c>
      <c r="K55" s="339" t="n">
        <v>59</v>
      </c>
      <c r="L55" s="339" t="n">
        <v>24</v>
      </c>
      <c r="M55" s="339" t="inlineStr">
        <is>
          <t>계단식</t>
        </is>
      </c>
      <c r="N55" s="339" t="n">
        <v>3</v>
      </c>
      <c r="O55" s="339" t="n">
        <v>2</v>
      </c>
      <c r="P55" s="339" t="n">
        <v>169</v>
      </c>
      <c r="Q55" s="339" t="n">
        <v>32000</v>
      </c>
      <c r="R55" s="339" t="n">
        <v>21000</v>
      </c>
      <c r="S55" s="339">
        <f>Q55-R55</f>
        <v/>
      </c>
      <c r="T55" s="362">
        <f>R55/Q55</f>
        <v/>
      </c>
      <c r="U55" s="339" t="n">
        <v>46000</v>
      </c>
      <c r="V55" s="339" t="n">
        <v>31900</v>
      </c>
      <c r="W55" s="339" t="n"/>
      <c r="X55" s="339" t="n"/>
      <c r="Y55" s="339" t="n"/>
      <c r="Z55" s="339" t="n"/>
      <c r="AA55" s="339" t="n"/>
      <c r="AB55" s="339" t="n"/>
      <c r="AC55" s="339" t="n"/>
      <c r="AG55" s="339" t="n"/>
      <c r="AH55" s="339" t="n"/>
      <c r="AI55" s="339" t="n"/>
      <c r="AJ55" s="339" t="n"/>
      <c r="AR55" s="339" t="n"/>
    </row>
    <row r="56">
      <c r="A56" s="339" t="inlineStr">
        <is>
          <t>망미동</t>
        </is>
      </c>
      <c r="D56" s="339" t="n">
        <v>7881</v>
      </c>
      <c r="E56" s="114" t="inlineStr">
        <is>
          <t>삼성</t>
        </is>
      </c>
      <c r="F56" s="339" t="n">
        <v>1991.11</v>
      </c>
      <c r="G56" s="339" t="n">
        <v>672</v>
      </c>
      <c r="H56" s="339">
        <f>2026-F56+1</f>
        <v/>
      </c>
      <c r="J56" s="339" t="n"/>
      <c r="K56" s="339" t="n">
        <v>84</v>
      </c>
      <c r="L56" s="339" t="n"/>
      <c r="M56" s="339" t="inlineStr">
        <is>
          <t>계단식</t>
        </is>
      </c>
      <c r="N56" s="339" t="n">
        <v>3</v>
      </c>
      <c r="O56" s="339" t="n">
        <v>2</v>
      </c>
      <c r="P56" s="339" t="n">
        <v>255</v>
      </c>
      <c r="Q56" s="339" t="n">
        <v>26000</v>
      </c>
      <c r="R56" s="339" t="n">
        <v>23000</v>
      </c>
      <c r="S56" s="339">
        <f>Q56-R56</f>
        <v/>
      </c>
      <c r="T56" s="362">
        <f>R56/Q56</f>
        <v/>
      </c>
      <c r="U56" s="339" t="n">
        <v>45300</v>
      </c>
      <c r="V56" s="339" t="n">
        <v>26000</v>
      </c>
    </row>
    <row r="57">
      <c r="A57" s="133" t="inlineStr">
        <is>
          <t>광안동</t>
        </is>
      </c>
      <c r="B57" s="133" t="n"/>
      <c r="C57" s="133" t="n"/>
      <c r="D57" s="133" t="n">
        <v>7363</v>
      </c>
      <c r="E57" s="115" t="inlineStr">
        <is>
          <t>광원</t>
        </is>
      </c>
      <c r="F57" s="133" t="n">
        <v>1995.11</v>
      </c>
      <c r="G57" s="133" t="n">
        <v>589</v>
      </c>
      <c r="H57" s="133">
        <f>2026-F57+1</f>
        <v/>
      </c>
      <c r="I57" s="133" t="n"/>
      <c r="J57" s="133" t="n">
        <v>75</v>
      </c>
      <c r="K57" s="133" t="n">
        <v>59</v>
      </c>
      <c r="L57" s="133" t="n">
        <v>23</v>
      </c>
      <c r="M57" s="133" t="inlineStr">
        <is>
          <t>계단식</t>
        </is>
      </c>
      <c r="N57" s="133" t="n">
        <v>2</v>
      </c>
      <c r="O57" s="133" t="n">
        <v>1</v>
      </c>
      <c r="P57" s="133" t="n">
        <v>265</v>
      </c>
      <c r="Q57" s="133" t="n">
        <v>24500</v>
      </c>
      <c r="R57" s="133" t="n"/>
      <c r="S57" s="339">
        <f>Q57-R57</f>
        <v/>
      </c>
      <c r="T57" s="362">
        <f>R57/Q57</f>
        <v/>
      </c>
      <c r="U57" s="133" t="n">
        <v>31750</v>
      </c>
      <c r="V57" s="133" t="n">
        <v>20000</v>
      </c>
      <c r="W57" s="133" t="n"/>
      <c r="X57" s="133" t="n"/>
      <c r="Y57" s="133" t="n"/>
      <c r="Z57" s="133" t="n"/>
      <c r="AA57" s="133" t="n"/>
      <c r="AB57" s="133" t="n"/>
      <c r="AC57" s="133" t="n"/>
      <c r="AG57" s="133" t="n"/>
      <c r="AH57" s="133" t="n"/>
      <c r="AI57" s="133" t="n"/>
      <c r="AJ57" s="133" t="n"/>
      <c r="AR57" s="133" t="n"/>
    </row>
    <row r="58">
      <c r="A58" s="133" t="inlineStr">
        <is>
          <t>광안동</t>
        </is>
      </c>
      <c r="B58" s="133" t="n"/>
      <c r="C58" s="133" t="n"/>
      <c r="D58" s="133" t="n">
        <v>7509</v>
      </c>
      <c r="E58" s="115" t="inlineStr">
        <is>
          <t>비치그린</t>
        </is>
      </c>
      <c r="F58" s="133" t="n">
        <v>1996.02</v>
      </c>
      <c r="G58" s="133" t="n">
        <v>1038</v>
      </c>
      <c r="H58" s="133">
        <f>2026-F58+1</f>
        <v/>
      </c>
      <c r="I58" s="133" t="n"/>
      <c r="J58" s="133" t="n"/>
      <c r="K58" s="133" t="n">
        <v>59</v>
      </c>
      <c r="L58" s="133" t="n"/>
      <c r="M58" s="133" t="inlineStr">
        <is>
          <t>복도식</t>
        </is>
      </c>
      <c r="N58" s="133" t="n">
        <v>3</v>
      </c>
      <c r="O58" s="133" t="n">
        <v>1</v>
      </c>
      <c r="P58" s="133" t="n">
        <v>384</v>
      </c>
      <c r="Q58" s="133" t="n">
        <v>24000</v>
      </c>
      <c r="R58" s="133" t="n">
        <v>20000</v>
      </c>
      <c r="S58" s="339">
        <f>Q58-R58</f>
        <v/>
      </c>
      <c r="T58" s="362">
        <f>R58/Q58</f>
        <v/>
      </c>
      <c r="U58" s="133" t="n">
        <v>36200</v>
      </c>
      <c r="V58" s="133" t="n">
        <v>23900</v>
      </c>
      <c r="W58" s="133" t="n"/>
      <c r="X58" s="133" t="n"/>
      <c r="Y58" s="133" t="n"/>
      <c r="Z58" s="133" t="n"/>
      <c r="AA58" s="133" t="n"/>
      <c r="AB58" s="133" t="n"/>
      <c r="AC58" s="133" t="n"/>
      <c r="AG58" s="133" t="n"/>
      <c r="AH58" s="133" t="n"/>
      <c r="AI58" s="133" t="n"/>
      <c r="AJ58" s="133" t="n"/>
      <c r="AR58" s="133" t="n"/>
    </row>
    <row r="59">
      <c r="A59" s="133" t="inlineStr">
        <is>
          <t>망미동</t>
        </is>
      </c>
      <c r="B59" s="133" t="n"/>
      <c r="C59" s="133" t="n"/>
      <c r="D59" s="133" t="n">
        <v>7887</v>
      </c>
      <c r="E59" s="115" t="inlineStr">
        <is>
          <t>현대한누리타운</t>
        </is>
      </c>
      <c r="F59" s="133" t="n">
        <v>1993.11</v>
      </c>
      <c r="G59" s="133" t="n">
        <v>458</v>
      </c>
      <c r="H59" s="133">
        <f>2026-F59+1</f>
        <v/>
      </c>
      <c r="I59" s="133" t="n"/>
      <c r="J59" s="133" t="n"/>
      <c r="K59" s="133" t="n">
        <v>84</v>
      </c>
      <c r="L59" s="133" t="n"/>
      <c r="M59" s="133" t="inlineStr">
        <is>
          <t>계단식</t>
        </is>
      </c>
      <c r="N59" s="133" t="n">
        <v>3</v>
      </c>
      <c r="O59" s="133" t="n">
        <v>2</v>
      </c>
      <c r="P59" s="133" t="n">
        <v>330</v>
      </c>
      <c r="Q59" s="133" t="n">
        <v>23000</v>
      </c>
      <c r="R59" s="133" t="n">
        <v>16000</v>
      </c>
      <c r="S59" s="339">
        <f>Q59-R59</f>
        <v/>
      </c>
      <c r="T59" s="362">
        <f>R59/Q59</f>
        <v/>
      </c>
      <c r="U59" s="133" t="n">
        <v>31600</v>
      </c>
      <c r="V59" s="133" t="n">
        <v>21500</v>
      </c>
      <c r="W59" s="133" t="n"/>
      <c r="X59" s="133" t="n"/>
      <c r="Y59" s="133" t="n"/>
      <c r="Z59" s="133" t="n"/>
      <c r="AA59" s="133" t="n"/>
      <c r="AB59" s="133" t="n"/>
      <c r="AC59" s="133" t="n"/>
      <c r="AG59" s="133" t="n"/>
      <c r="AH59" s="133" t="n"/>
      <c r="AI59" s="133" t="n"/>
      <c r="AJ59" s="133" t="n"/>
      <c r="AR59" s="133" t="n"/>
    </row>
    <row r="60">
      <c r="A60" s="339" t="inlineStr">
        <is>
          <t>망미동</t>
        </is>
      </c>
      <c r="D60" s="339" t="n">
        <v>7878</v>
      </c>
      <c r="E60" s="114" t="inlineStr">
        <is>
          <t>망미로얄베스토피아</t>
        </is>
      </c>
      <c r="F60" s="339" t="n">
        <v>1993.06</v>
      </c>
      <c r="G60" s="339" t="n">
        <v>490</v>
      </c>
      <c r="H60" s="339">
        <f>2026-F60+1</f>
        <v/>
      </c>
      <c r="J60" s="339" t="n">
        <v>107</v>
      </c>
      <c r="K60" s="339" t="n">
        <v>80</v>
      </c>
      <c r="L60" s="339" t="n">
        <v>32</v>
      </c>
      <c r="M60" s="339" t="inlineStr">
        <is>
          <t>계단식</t>
        </is>
      </c>
      <c r="N60" s="339" t="n">
        <v>3</v>
      </c>
      <c r="O60" s="339" t="n">
        <v>1</v>
      </c>
      <c r="P60" s="339" t="n">
        <v>14</v>
      </c>
      <c r="Q60" s="339" t="n">
        <v>21000</v>
      </c>
      <c r="R60" s="339" t="n">
        <v>15000</v>
      </c>
      <c r="S60" s="339">
        <f>Q60-R60</f>
        <v/>
      </c>
      <c r="T60" s="362">
        <f>R60/Q60</f>
        <v/>
      </c>
      <c r="U60" s="339" t="n">
        <v>21200</v>
      </c>
      <c r="V60" s="339" t="n">
        <v>12100</v>
      </c>
    </row>
    <row r="61">
      <c r="A61" s="339" t="inlineStr">
        <is>
          <t>망미동</t>
        </is>
      </c>
      <c r="B61" s="339" t="n"/>
      <c r="C61" s="339" t="n"/>
      <c r="D61" s="339" t="n">
        <v>7878</v>
      </c>
      <c r="E61" s="114" t="inlineStr">
        <is>
          <t>망미로얄베스토피아</t>
        </is>
      </c>
      <c r="F61" s="339" t="n">
        <v>1993.06</v>
      </c>
      <c r="G61" s="339" t="n">
        <v>490</v>
      </c>
      <c r="H61" s="339">
        <f>2026-F61+1</f>
        <v/>
      </c>
      <c r="I61" s="339" t="n"/>
      <c r="J61" s="339" t="n"/>
      <c r="K61" s="339" t="n">
        <v>84</v>
      </c>
      <c r="L61" s="339" t="n"/>
      <c r="M61" s="339" t="inlineStr">
        <is>
          <t>계단식</t>
        </is>
      </c>
      <c r="N61" s="339" t="n">
        <v>3</v>
      </c>
      <c r="O61" s="339" t="n">
        <v>2</v>
      </c>
      <c r="P61" s="339" t="n">
        <v>266</v>
      </c>
      <c r="Q61" s="339" t="n">
        <v>17000</v>
      </c>
      <c r="R61" s="339" t="n">
        <v>15000</v>
      </c>
      <c r="S61" s="339">
        <f>Q61-R61</f>
        <v/>
      </c>
      <c r="T61" s="362">
        <f>R61/Q61</f>
        <v/>
      </c>
      <c r="U61" s="339" t="n">
        <v>26500</v>
      </c>
      <c r="V61" s="339" t="n">
        <v>21000</v>
      </c>
      <c r="W61" s="339" t="n"/>
      <c r="X61" s="339" t="n"/>
      <c r="Y61" s="339" t="n"/>
      <c r="Z61" s="339" t="n"/>
      <c r="AA61" s="339" t="n"/>
      <c r="AB61" s="339" t="n"/>
      <c r="AC61" s="339" t="n"/>
      <c r="AG61" s="339" t="n"/>
      <c r="AH61" s="339" t="n"/>
      <c r="AI61" s="339" t="n"/>
      <c r="AJ61" s="339" t="n"/>
      <c r="AR61" s="339" t="n"/>
    </row>
    <row r="62">
      <c r="A62" s="339" t="inlineStr">
        <is>
          <t>망미동</t>
        </is>
      </c>
      <c r="D62" s="339" t="n">
        <v>7878</v>
      </c>
      <c r="E62" s="114" t="inlineStr">
        <is>
          <t>망미로얄베스토피아</t>
        </is>
      </c>
      <c r="F62" s="339" t="n">
        <v>1993.06</v>
      </c>
      <c r="G62" s="339" t="n">
        <v>490</v>
      </c>
      <c r="H62" s="339">
        <f>2026-F62+1</f>
        <v/>
      </c>
      <c r="J62" s="339" t="n">
        <v>97</v>
      </c>
      <c r="K62" s="339" t="n">
        <v>78</v>
      </c>
      <c r="L62" s="339" t="n">
        <v>29</v>
      </c>
      <c r="M62" s="339" t="inlineStr">
        <is>
          <t>계단식</t>
        </is>
      </c>
      <c r="N62" s="339" t="n">
        <v>3</v>
      </c>
      <c r="O62" s="339" t="n">
        <v>1</v>
      </c>
      <c r="P62" s="339" t="n">
        <v>122</v>
      </c>
      <c r="Q62" s="339" t="n">
        <v>16500</v>
      </c>
      <c r="S62" s="339">
        <f>Q62-R62</f>
        <v/>
      </c>
      <c r="T62" s="362">
        <f>R62/Q62</f>
        <v/>
      </c>
      <c r="U62" s="339" t="n">
        <v>21200</v>
      </c>
      <c r="V62" s="339" t="n">
        <v>19250</v>
      </c>
    </row>
    <row r="63">
      <c r="A63" s="339" t="inlineStr">
        <is>
          <t>광안동</t>
        </is>
      </c>
      <c r="D63" s="339" t="n">
        <v>104037</v>
      </c>
      <c r="E63" s="114" t="inlineStr">
        <is>
          <t>부산광안쌍용예가디오션</t>
        </is>
      </c>
      <c r="F63" s="339" t="n">
        <v>2014.11</v>
      </c>
      <c r="G63" s="339" t="n">
        <v>928</v>
      </c>
      <c r="H63" s="339">
        <f>2026-F63+1</f>
        <v/>
      </c>
      <c r="J63" s="339" t="n"/>
      <c r="K63" s="339" t="n">
        <v>84</v>
      </c>
      <c r="L63" s="339" t="n"/>
      <c r="M63" s="339" t="inlineStr">
        <is>
          <t>계단식</t>
        </is>
      </c>
      <c r="N63" s="339" t="n">
        <v>3</v>
      </c>
      <c r="O63" s="339" t="n">
        <v>2</v>
      </c>
      <c r="P63" s="339" t="n">
        <v>743</v>
      </c>
      <c r="Q63" s="339" t="n">
        <v>10000</v>
      </c>
      <c r="R63" s="339" t="n">
        <v>58000</v>
      </c>
      <c r="S63" s="339">
        <f>Q63-R63</f>
        <v/>
      </c>
      <c r="T63" s="362">
        <f>R63/Q63</f>
        <v/>
      </c>
      <c r="U63" s="339" t="n">
        <v>160000</v>
      </c>
      <c r="V63" s="339" t="n">
        <v>72000</v>
      </c>
    </row>
    <row r="64">
      <c r="A64" s="339" t="inlineStr">
        <is>
          <t>광안동</t>
        </is>
      </c>
      <c r="D64" s="339" t="n">
        <v>14059</v>
      </c>
      <c r="E64" s="114" t="inlineStr">
        <is>
          <t>광안SK뷰(주상복합)</t>
        </is>
      </c>
      <c r="F64" s="339" t="n">
        <v>2006.03</v>
      </c>
      <c r="G64" s="339" t="n">
        <v>361</v>
      </c>
      <c r="H64" s="339">
        <f>2026-F64+1</f>
        <v/>
      </c>
      <c r="J64" s="339" t="n">
        <v>119</v>
      </c>
      <c r="K64" s="339" t="n">
        <v>84</v>
      </c>
      <c r="L64" s="339" t="n">
        <v>36</v>
      </c>
      <c r="M64" s="339" t="inlineStr">
        <is>
          <t>계단식</t>
        </is>
      </c>
      <c r="N64" s="339" t="n">
        <v>3</v>
      </c>
      <c r="O64" s="339" t="n">
        <v>2</v>
      </c>
      <c r="P64" s="339" t="n">
        <v>48</v>
      </c>
      <c r="S64" s="339">
        <f>Q64-R64</f>
        <v/>
      </c>
      <c r="T64" s="362">
        <f>R64/Q64</f>
        <v/>
      </c>
      <c r="U64" s="339" t="n">
        <v>39400</v>
      </c>
      <c r="V64" s="339" t="n">
        <v>33500</v>
      </c>
    </row>
    <row r="65">
      <c r="A65" s="339" t="inlineStr">
        <is>
          <t>광안동</t>
        </is>
      </c>
      <c r="B65" s="339" t="n"/>
      <c r="C65" s="339" t="n"/>
      <c r="D65" s="339" t="n">
        <v>14059</v>
      </c>
      <c r="E65" s="114" t="inlineStr">
        <is>
          <t>광안SK뷰(주상복합)</t>
        </is>
      </c>
      <c r="F65" s="339" t="n">
        <v>2006.03</v>
      </c>
      <c r="G65" s="339" t="n">
        <v>361</v>
      </c>
      <c r="H65" s="339">
        <f>2026-F65+1</f>
        <v/>
      </c>
      <c r="I65" s="339" t="n"/>
      <c r="J65" s="339" t="n">
        <v>155</v>
      </c>
      <c r="K65" s="339" t="n">
        <v>111</v>
      </c>
      <c r="L65" s="339" t="n">
        <v>47</v>
      </c>
      <c r="M65" s="339" t="inlineStr">
        <is>
          <t>계단식</t>
        </is>
      </c>
      <c r="N65" s="339" t="n">
        <v>3</v>
      </c>
      <c r="O65" s="339" t="n">
        <v>2</v>
      </c>
      <c r="P65" s="339" t="n">
        <v>275</v>
      </c>
      <c r="Q65" s="339" t="n"/>
      <c r="R65" s="339" t="n"/>
      <c r="S65" s="339">
        <f>Q65-R65</f>
        <v/>
      </c>
      <c r="T65" s="362">
        <f>R65/Q65</f>
        <v/>
      </c>
      <c r="U65" s="339" t="n">
        <v>77000</v>
      </c>
      <c r="V65" s="339" t="n">
        <v>62000</v>
      </c>
      <c r="W65" s="339" t="n"/>
      <c r="X65" s="339" t="n"/>
      <c r="Y65" s="339" t="n"/>
      <c r="Z65" s="339" t="n"/>
      <c r="AA65" s="339" t="n"/>
      <c r="AB65" s="339" t="n"/>
      <c r="AC65" s="339" t="n"/>
      <c r="AG65" s="339" t="n"/>
      <c r="AH65" s="339" t="n"/>
      <c r="AI65" s="339" t="n"/>
      <c r="AJ65" s="339" t="n"/>
      <c r="AR65" s="339" t="n"/>
    </row>
    <row r="66">
      <c r="A66" s="339" t="inlineStr">
        <is>
          <t>광안동</t>
        </is>
      </c>
      <c r="B66" s="339" t="n"/>
      <c r="C66" s="339" t="n"/>
      <c r="D66" s="339" t="n">
        <v>14059</v>
      </c>
      <c r="E66" s="114" t="inlineStr">
        <is>
          <t>광안SK뷰(주상복합)</t>
        </is>
      </c>
      <c r="F66" s="339" t="n">
        <v>2006.03</v>
      </c>
      <c r="G66" s="339" t="n">
        <v>361</v>
      </c>
      <c r="H66" s="339">
        <f>2026-F66+1</f>
        <v/>
      </c>
      <c r="I66" s="339" t="n"/>
      <c r="J66" s="339" t="n">
        <v>181</v>
      </c>
      <c r="K66" s="339" t="n">
        <v>134</v>
      </c>
      <c r="L66" s="339" t="n">
        <v>55</v>
      </c>
      <c r="M66" s="339" t="inlineStr">
        <is>
          <t>계단식</t>
        </is>
      </c>
      <c r="N66" s="339" t="n">
        <v>4</v>
      </c>
      <c r="O66" s="339" t="n">
        <v>2</v>
      </c>
      <c r="P66" s="339" t="n">
        <v>38</v>
      </c>
      <c r="Q66" s="339" t="n"/>
      <c r="R66" s="339" t="n"/>
      <c r="S66" s="339">
        <f>Q66-R66</f>
        <v/>
      </c>
      <c r="T66" s="362">
        <f>R66/Q66</f>
        <v/>
      </c>
      <c r="U66" s="339" t="n"/>
      <c r="V66" s="339" t="n">
        <v>88000</v>
      </c>
      <c r="W66" s="339" t="n"/>
      <c r="X66" s="339" t="n"/>
      <c r="Y66" s="339" t="n"/>
      <c r="Z66" s="339" t="n"/>
      <c r="AA66" s="339" t="n"/>
      <c r="AB66" s="339" t="n"/>
      <c r="AC66" s="339" t="n"/>
      <c r="AG66" s="339" t="n"/>
      <c r="AH66" s="339" t="n"/>
      <c r="AI66" s="339" t="n"/>
      <c r="AJ66" s="339" t="n"/>
      <c r="AR66" s="339" t="n"/>
    </row>
    <row r="67">
      <c r="A67" s="133" t="inlineStr">
        <is>
          <t>광안동</t>
        </is>
      </c>
      <c r="B67" s="133" t="n"/>
      <c r="C67" s="133" t="n"/>
      <c r="D67" s="133" t="n">
        <v>19136</v>
      </c>
      <c r="E67" s="115" t="inlineStr">
        <is>
          <t>광안유림노르웨이아침(주상복합)</t>
        </is>
      </c>
      <c r="F67" s="133" t="n">
        <v>2004.11</v>
      </c>
      <c r="G67" s="133" t="n">
        <v>423</v>
      </c>
      <c r="H67" s="133">
        <f>2026-F67+1</f>
        <v/>
      </c>
      <c r="I67" s="133" t="n"/>
      <c r="J67" s="133" t="n">
        <v>31</v>
      </c>
      <c r="K67" s="133" t="n">
        <v>23</v>
      </c>
      <c r="L67" s="133" t="n">
        <v>9</v>
      </c>
      <c r="M67" s="133" t="inlineStr">
        <is>
          <t>복합식</t>
        </is>
      </c>
      <c r="N67" s="133" t="n">
        <v>1</v>
      </c>
      <c r="O67" s="133" t="n">
        <v>1</v>
      </c>
      <c r="P67" s="133" t="n">
        <v>38</v>
      </c>
      <c r="Q67" s="133" t="n"/>
      <c r="R67" s="133" t="n"/>
      <c r="S67" s="339">
        <f>Q67-R67</f>
        <v/>
      </c>
      <c r="T67" s="362">
        <f>R67/Q67</f>
        <v/>
      </c>
      <c r="U67" s="133" t="n">
        <v>7900</v>
      </c>
      <c r="V67" s="133" t="n">
        <v>7900</v>
      </c>
      <c r="W67" s="133" t="n"/>
      <c r="X67" s="133" t="n"/>
      <c r="Y67" s="133" t="n"/>
      <c r="Z67" s="133" t="n"/>
      <c r="AA67" s="133" t="n"/>
      <c r="AB67" s="133" t="n"/>
      <c r="AC67" s="133" t="n"/>
      <c r="AG67" s="133" t="n"/>
      <c r="AH67" s="133" t="n"/>
      <c r="AI67" s="133" t="n"/>
      <c r="AJ67" s="133" t="n"/>
      <c r="AR67" s="133" t="n"/>
    </row>
    <row r="68">
      <c r="A68" s="133" t="inlineStr">
        <is>
          <t>광안동</t>
        </is>
      </c>
      <c r="B68" s="133" t="n"/>
      <c r="C68" s="133" t="n"/>
      <c r="D68" s="133" t="n">
        <v>19136</v>
      </c>
      <c r="E68" s="115" t="inlineStr">
        <is>
          <t>광안유림노르웨이아침(주상복합)</t>
        </is>
      </c>
      <c r="F68" s="133" t="n">
        <v>2004.11</v>
      </c>
      <c r="G68" s="133" t="n">
        <v>423</v>
      </c>
      <c r="H68" s="133">
        <f>2026-F68+1</f>
        <v/>
      </c>
      <c r="I68" s="133" t="n"/>
      <c r="J68" s="133" t="n">
        <v>33</v>
      </c>
      <c r="K68" s="133" t="n">
        <v>24</v>
      </c>
      <c r="L68" s="133" t="n">
        <v>10</v>
      </c>
      <c r="M68" s="133" t="inlineStr">
        <is>
          <t>복합식</t>
        </is>
      </c>
      <c r="N68" s="133" t="n">
        <v>1</v>
      </c>
      <c r="O68" s="133" t="n">
        <v>1</v>
      </c>
      <c r="P68" s="133" t="n">
        <v>8</v>
      </c>
      <c r="Q68" s="133" t="n"/>
      <c r="R68" s="133" t="n"/>
      <c r="S68" s="339">
        <f>Q68-R68</f>
        <v/>
      </c>
      <c r="T68" s="362">
        <f>R68/Q68</f>
        <v/>
      </c>
      <c r="U68" s="133" t="n">
        <v>7900</v>
      </c>
      <c r="V68" s="133" t="n">
        <v>7900</v>
      </c>
      <c r="W68" s="133" t="n"/>
      <c r="X68" s="133" t="n"/>
      <c r="Y68" s="133" t="n"/>
      <c r="Z68" s="133" t="n"/>
      <c r="AA68" s="133" t="n"/>
      <c r="AB68" s="133" t="n"/>
      <c r="AC68" s="133" t="n"/>
      <c r="AG68" s="133" t="n"/>
      <c r="AH68" s="133" t="n"/>
      <c r="AI68" s="133" t="n"/>
      <c r="AJ68" s="133" t="n"/>
      <c r="AR68" s="133" t="n"/>
    </row>
    <row r="69">
      <c r="A69" s="133" t="inlineStr">
        <is>
          <t>광안동</t>
        </is>
      </c>
      <c r="B69" s="133" t="n"/>
      <c r="C69" s="133" t="n"/>
      <c r="D69" s="133" t="n">
        <v>19136</v>
      </c>
      <c r="E69" s="115" t="inlineStr">
        <is>
          <t>광안유림노르웨이아침(주상복합)</t>
        </is>
      </c>
      <c r="F69" s="133" t="n">
        <v>2004.11</v>
      </c>
      <c r="G69" s="133" t="n">
        <v>423</v>
      </c>
      <c r="H69" s="133">
        <f>2026-F69+1</f>
        <v/>
      </c>
      <c r="I69" s="133" t="n"/>
      <c r="J69" s="133" t="n">
        <v>37</v>
      </c>
      <c r="K69" s="133" t="n">
        <v>27</v>
      </c>
      <c r="L69" s="133" t="n">
        <v>11</v>
      </c>
      <c r="M69" s="133" t="inlineStr">
        <is>
          <t>복합식</t>
        </is>
      </c>
      <c r="N69" s="133" t="n">
        <v>1</v>
      </c>
      <c r="O69" s="133" t="n">
        <v>1</v>
      </c>
      <c r="P69" s="133" t="n">
        <v>107</v>
      </c>
      <c r="Q69" s="133" t="n"/>
      <c r="R69" s="133" t="n"/>
      <c r="S69" s="339">
        <f>Q69-R69</f>
        <v/>
      </c>
      <c r="T69" s="362">
        <f>R69/Q69</f>
        <v/>
      </c>
      <c r="U69" s="133" t="n">
        <v>7850</v>
      </c>
      <c r="V69" s="133" t="n">
        <v>7850</v>
      </c>
      <c r="W69" s="133" t="n"/>
      <c r="X69" s="133" t="n"/>
      <c r="Y69" s="133" t="n"/>
      <c r="Z69" s="133" t="n"/>
      <c r="AA69" s="133" t="n"/>
      <c r="AB69" s="133" t="n"/>
      <c r="AC69" s="133" t="n"/>
      <c r="AG69" s="133" t="n"/>
      <c r="AH69" s="133" t="n"/>
      <c r="AI69" s="133" t="n"/>
      <c r="AJ69" s="133" t="n"/>
      <c r="AR69" s="133" t="n"/>
    </row>
    <row r="70">
      <c r="A70" s="133" t="inlineStr">
        <is>
          <t>광안동</t>
        </is>
      </c>
      <c r="B70" s="133" t="n"/>
      <c r="C70" s="133" t="n"/>
      <c r="D70" s="133" t="n">
        <v>19136</v>
      </c>
      <c r="E70" s="115" t="inlineStr">
        <is>
          <t>광안유림노르웨이아침(주상복합)</t>
        </is>
      </c>
      <c r="F70" s="133" t="n">
        <v>2004.11</v>
      </c>
      <c r="G70" s="133" t="n">
        <v>423</v>
      </c>
      <c r="H70" s="133">
        <f>2026-F70+1</f>
        <v/>
      </c>
      <c r="I70" s="133" t="n"/>
      <c r="J70" s="133" t="n">
        <v>46</v>
      </c>
      <c r="K70" s="133" t="n">
        <v>34</v>
      </c>
      <c r="L70" s="133" t="n">
        <v>14</v>
      </c>
      <c r="M70" s="133" t="inlineStr">
        <is>
          <t>복합식</t>
        </is>
      </c>
      <c r="N70" s="133" t="n">
        <v>1</v>
      </c>
      <c r="O70" s="133" t="n">
        <v>1</v>
      </c>
      <c r="P70" s="133" t="n">
        <v>270</v>
      </c>
      <c r="Q70" s="133" t="n"/>
      <c r="R70" s="133" t="n"/>
      <c r="S70" s="339">
        <f>Q70-R70</f>
        <v/>
      </c>
      <c r="T70" s="362">
        <f>R70/Q70</f>
        <v/>
      </c>
      <c r="U70" s="133" t="n">
        <v>12550</v>
      </c>
      <c r="V70" s="133" t="n">
        <v>9100</v>
      </c>
      <c r="W70" s="133" t="n"/>
      <c r="X70" s="133" t="n"/>
      <c r="Y70" s="133" t="n"/>
      <c r="Z70" s="133" t="n"/>
      <c r="AA70" s="133" t="n"/>
      <c r="AB70" s="133" t="n"/>
      <c r="AC70" s="133" t="n"/>
      <c r="AG70" s="133" t="n"/>
      <c r="AH70" s="133" t="n"/>
      <c r="AI70" s="133" t="n"/>
      <c r="AJ70" s="133" t="n"/>
      <c r="AR70" s="133" t="n"/>
    </row>
    <row r="71">
      <c r="A71" s="339" t="inlineStr">
        <is>
          <t>광안동</t>
        </is>
      </c>
      <c r="D71" s="339" t="n">
        <v>119208</v>
      </c>
      <c r="E71" s="114" t="inlineStr">
        <is>
          <t>광안자이</t>
        </is>
      </c>
      <c r="F71" s="339" t="n">
        <v>2020.08</v>
      </c>
      <c r="G71" s="339" t="n">
        <v>971</v>
      </c>
      <c r="H71" s="339">
        <f>2026-F71+1</f>
        <v/>
      </c>
      <c r="J71" s="339" t="n">
        <v>132</v>
      </c>
      <c r="K71" s="339" t="n">
        <v>100</v>
      </c>
      <c r="L71" s="339" t="n">
        <v>40</v>
      </c>
      <c r="M71" s="339" t="inlineStr">
        <is>
          <t>계단식</t>
        </is>
      </c>
      <c r="N71" s="339" t="n">
        <v>4</v>
      </c>
      <c r="O71" s="339" t="n">
        <v>2</v>
      </c>
      <c r="P71" s="339" t="n">
        <v>85</v>
      </c>
      <c r="S71" s="339">
        <f>Q71-R71</f>
        <v/>
      </c>
      <c r="T71" s="362">
        <f>R71/Q71</f>
        <v/>
      </c>
      <c r="U71" s="339" t="n">
        <v>144000</v>
      </c>
      <c r="V71" s="339" t="n">
        <v>115000</v>
      </c>
    </row>
    <row r="72">
      <c r="A72" s="133" t="inlineStr">
        <is>
          <t>광안동</t>
        </is>
      </c>
      <c r="B72" s="133" t="n"/>
      <c r="C72" s="133" t="n"/>
      <c r="D72" s="133" t="n">
        <v>7363</v>
      </c>
      <c r="E72" s="115" t="inlineStr">
        <is>
          <t>광원</t>
        </is>
      </c>
      <c r="F72" s="133" t="n">
        <v>1995.11</v>
      </c>
      <c r="G72" s="133" t="n">
        <v>589</v>
      </c>
      <c r="H72" s="133">
        <f>2026-F72+1</f>
        <v/>
      </c>
      <c r="I72" s="133" t="n"/>
      <c r="J72" s="133" t="n">
        <v>147</v>
      </c>
      <c r="K72" s="133" t="n">
        <v>130</v>
      </c>
      <c r="L72" s="133" t="n">
        <v>44</v>
      </c>
      <c r="M72" s="133" t="inlineStr">
        <is>
          <t>계단식</t>
        </is>
      </c>
      <c r="N72" s="133" t="n">
        <v>4</v>
      </c>
      <c r="O72" s="133" t="n">
        <v>2</v>
      </c>
      <c r="P72" s="133" t="n">
        <v>128</v>
      </c>
      <c r="Q72" s="133" t="n"/>
      <c r="R72" s="133" t="n"/>
      <c r="S72" s="339">
        <f>Q72-R72</f>
        <v/>
      </c>
      <c r="T72" s="362">
        <f>R72/Q72</f>
        <v/>
      </c>
      <c r="U72" s="133" t="n">
        <v>64300</v>
      </c>
      <c r="V72" s="133" t="n">
        <v>54000</v>
      </c>
      <c r="W72" s="133" t="n"/>
      <c r="X72" s="133" t="n"/>
      <c r="Y72" s="133" t="n"/>
      <c r="Z72" s="133" t="n"/>
      <c r="AA72" s="133" t="n"/>
      <c r="AB72" s="133" t="n"/>
      <c r="AC72" s="133" t="n"/>
      <c r="AG72" s="133" t="n"/>
      <c r="AH72" s="133" t="n"/>
      <c r="AI72" s="133" t="n"/>
      <c r="AJ72" s="133" t="n"/>
      <c r="AR72" s="133" t="n"/>
    </row>
    <row r="73">
      <c r="A73" s="339" t="inlineStr">
        <is>
          <t>광안동</t>
        </is>
      </c>
      <c r="D73" s="339" t="n">
        <v>104037</v>
      </c>
      <c r="E73" s="114" t="inlineStr">
        <is>
          <t>부산광안쌍용예가디오션</t>
        </is>
      </c>
      <c r="F73" s="339" t="n">
        <v>2014.11</v>
      </c>
      <c r="G73" s="339" t="n">
        <v>928</v>
      </c>
      <c r="H73" s="339">
        <f>2026-F73+1</f>
        <v/>
      </c>
      <c r="K73" s="339" t="n">
        <v>84</v>
      </c>
      <c r="M73" s="339" t="inlineStr">
        <is>
          <t>계단식</t>
        </is>
      </c>
      <c r="N73" s="339" t="n">
        <v>4</v>
      </c>
      <c r="O73" s="339" t="n">
        <v>2</v>
      </c>
      <c r="P73" s="339" t="n">
        <v>22</v>
      </c>
      <c r="S73" s="339">
        <f>Q73-R73</f>
        <v/>
      </c>
      <c r="T73" s="362">
        <f>R73/Q73</f>
        <v/>
      </c>
      <c r="U73" s="339" t="n">
        <v>160000</v>
      </c>
      <c r="V73" s="339" t="n">
        <v>72000</v>
      </c>
    </row>
    <row r="74">
      <c r="A74" s="339" t="inlineStr">
        <is>
          <t>광안동</t>
        </is>
      </c>
      <c r="D74" s="339" t="n">
        <v>104037</v>
      </c>
      <c r="E74" s="114" t="inlineStr">
        <is>
          <t>부산광안쌍용예가디오션</t>
        </is>
      </c>
      <c r="F74" s="339" t="n">
        <v>2014.11</v>
      </c>
      <c r="G74" s="339" t="n">
        <v>928</v>
      </c>
      <c r="H74" s="339">
        <f>2026-F74+1</f>
        <v/>
      </c>
      <c r="J74" s="339" t="n">
        <v>150</v>
      </c>
      <c r="K74" s="339" t="n">
        <v>112</v>
      </c>
      <c r="L74" s="339" t="n">
        <v>45</v>
      </c>
      <c r="M74" s="339" t="inlineStr">
        <is>
          <t>계단식</t>
        </is>
      </c>
      <c r="N74" s="339" t="n">
        <v>4</v>
      </c>
      <c r="O74" s="339" t="n">
        <v>2</v>
      </c>
      <c r="P74" s="339" t="n">
        <v>90</v>
      </c>
      <c r="S74" s="339">
        <f>Q74-R74</f>
        <v/>
      </c>
      <c r="T74" s="362">
        <f>R74/Q74</f>
        <v/>
      </c>
      <c r="U74" s="339" t="n">
        <v>167500</v>
      </c>
      <c r="V74" s="339" t="n">
        <v>110000</v>
      </c>
    </row>
    <row r="75">
      <c r="A75" s="339" t="inlineStr">
        <is>
          <t>광안동</t>
        </is>
      </c>
      <c r="D75" s="339" t="n">
        <v>104037</v>
      </c>
      <c r="E75" s="114" t="inlineStr">
        <is>
          <t>부산광안쌍용예가디오션</t>
        </is>
      </c>
      <c r="F75" s="339" t="n">
        <v>2014.11</v>
      </c>
      <c r="G75" s="339" t="n">
        <v>928</v>
      </c>
      <c r="H75" s="339">
        <f>2026-F75+1</f>
        <v/>
      </c>
      <c r="J75" s="339" t="n">
        <v>151</v>
      </c>
      <c r="K75" s="339" t="n">
        <v>113</v>
      </c>
      <c r="L75" s="339" t="n">
        <v>46</v>
      </c>
      <c r="M75" s="339" t="inlineStr">
        <is>
          <t>계단식</t>
        </is>
      </c>
      <c r="N75" s="339" t="n">
        <v>4</v>
      </c>
      <c r="O75" s="339" t="n">
        <v>2</v>
      </c>
      <c r="P75" s="339" t="n">
        <v>30</v>
      </c>
      <c r="S75" s="339">
        <f>Q75-R75</f>
        <v/>
      </c>
      <c r="T75" s="362">
        <f>R75/Q75</f>
        <v/>
      </c>
      <c r="U75" s="339" t="n">
        <v>167500</v>
      </c>
      <c r="V75" s="339" t="n">
        <v>110000</v>
      </c>
    </row>
    <row r="76">
      <c r="A76" s="339" t="inlineStr">
        <is>
          <t>광안동</t>
        </is>
      </c>
      <c r="D76" s="339" t="n">
        <v>104037</v>
      </c>
      <c r="E76" s="114" t="inlineStr">
        <is>
          <t>부산광안쌍용예가디오션</t>
        </is>
      </c>
      <c r="F76" s="339" t="n">
        <v>2014.11</v>
      </c>
      <c r="G76" s="339" t="n">
        <v>928</v>
      </c>
      <c r="H76" s="339">
        <f>2026-F76+1</f>
        <v/>
      </c>
      <c r="J76" s="339" t="n">
        <v>208</v>
      </c>
      <c r="K76" s="339" t="n">
        <v>153</v>
      </c>
      <c r="L76" s="339" t="n">
        <v>63</v>
      </c>
      <c r="M76" s="339" t="inlineStr">
        <is>
          <t>계단식</t>
        </is>
      </c>
      <c r="N76" s="339" t="n">
        <v>5</v>
      </c>
      <c r="O76" s="339" t="n">
        <v>3</v>
      </c>
      <c r="P76" s="339" t="n">
        <v>3</v>
      </c>
      <c r="S76" s="339">
        <f>Q76-R76</f>
        <v/>
      </c>
      <c r="T76" s="362">
        <f>R76/Q76</f>
        <v/>
      </c>
      <c r="U76" s="339" t="n"/>
      <c r="V76" s="339" t="n"/>
    </row>
    <row r="77">
      <c r="A77" s="339" t="inlineStr">
        <is>
          <t>광안동</t>
        </is>
      </c>
      <c r="D77" s="339" t="n">
        <v>104037</v>
      </c>
      <c r="E77" s="114" t="inlineStr">
        <is>
          <t>부산광안쌍용예가디오션</t>
        </is>
      </c>
      <c r="F77" s="339" t="n">
        <v>2014.11</v>
      </c>
      <c r="G77" s="339" t="n">
        <v>928</v>
      </c>
      <c r="H77" s="339">
        <f>2026-F77+1</f>
        <v/>
      </c>
      <c r="J77" s="339" t="n">
        <v>215</v>
      </c>
      <c r="K77" s="339" t="n">
        <v>161</v>
      </c>
      <c r="L77" s="339" t="n">
        <v>65</v>
      </c>
      <c r="M77" s="339" t="inlineStr">
        <is>
          <t>계단식</t>
        </is>
      </c>
      <c r="N77" s="339" t="n">
        <v>4</v>
      </c>
      <c r="O77" s="339" t="n">
        <v>3</v>
      </c>
      <c r="P77" s="339" t="n">
        <v>1</v>
      </c>
      <c r="S77" s="339">
        <f>Q77-R77</f>
        <v/>
      </c>
      <c r="T77" s="362">
        <f>R77/Q77</f>
        <v/>
      </c>
      <c r="U77" s="339" t="n"/>
      <c r="V77" s="339" t="n"/>
    </row>
    <row r="78">
      <c r="A78" s="133" t="inlineStr">
        <is>
          <t>광안동</t>
        </is>
      </c>
      <c r="B78" s="133" t="n"/>
      <c r="C78" s="133" t="n"/>
      <c r="D78" s="133" t="n">
        <v>7509</v>
      </c>
      <c r="E78" s="115" t="inlineStr">
        <is>
          <t>비치그린</t>
        </is>
      </c>
      <c r="F78" s="133" t="n">
        <v>1996.02</v>
      </c>
      <c r="G78" s="133" t="n">
        <v>1038</v>
      </c>
      <c r="H78" s="133">
        <f>2026-F78+1</f>
        <v/>
      </c>
      <c r="I78" s="133" t="n"/>
      <c r="J78" s="133" t="n"/>
      <c r="K78" s="133" t="n">
        <v>59</v>
      </c>
      <c r="L78" s="133" t="n"/>
      <c r="M78" s="133" t="inlineStr">
        <is>
          <t>계단식</t>
        </is>
      </c>
      <c r="N78" s="133" t="n">
        <v>3</v>
      </c>
      <c r="O78" s="133" t="n">
        <v>1</v>
      </c>
      <c r="P78" s="133" t="n">
        <v>53</v>
      </c>
      <c r="S78" s="339">
        <f>Q79-R79</f>
        <v/>
      </c>
      <c r="T78" s="362">
        <f>R79/Q79</f>
        <v/>
      </c>
      <c r="U78" s="133" t="n">
        <v>36200</v>
      </c>
      <c r="V78" s="133" t="n">
        <v>23900</v>
      </c>
      <c r="W78" s="133" t="n"/>
      <c r="X78" s="133" t="n"/>
      <c r="Y78" s="133" t="n"/>
      <c r="Z78" s="133" t="n"/>
      <c r="AA78" s="133" t="n"/>
      <c r="AB78" s="133" t="n"/>
      <c r="AC78" s="133" t="n"/>
      <c r="AG78" s="133" t="n"/>
      <c r="AH78" s="133" t="n"/>
      <c r="AI78" s="133" t="n"/>
      <c r="AJ78" s="133" t="n"/>
      <c r="AR78" s="133" t="n"/>
    </row>
    <row r="79">
      <c r="A79" s="339" t="inlineStr">
        <is>
          <t>남천동</t>
        </is>
      </c>
      <c r="D79" s="339" t="n">
        <v>114752</v>
      </c>
      <c r="E79" s="114" t="inlineStr">
        <is>
          <t>남천금호어울림더비치</t>
        </is>
      </c>
      <c r="F79" s="339" t="n">
        <v>2019.07</v>
      </c>
      <c r="G79" s="339" t="n">
        <v>421</v>
      </c>
      <c r="H79" s="339">
        <f>2026-F79+1</f>
        <v/>
      </c>
      <c r="J79" s="339" t="n"/>
      <c r="K79" s="339" t="n">
        <v>104</v>
      </c>
      <c r="L79" s="339" t="n"/>
      <c r="M79" s="339" t="inlineStr">
        <is>
          <t>계단식</t>
        </is>
      </c>
      <c r="N79" s="339" t="n">
        <v>4</v>
      </c>
      <c r="O79" s="339" t="n">
        <v>2</v>
      </c>
      <c r="P79" s="339" t="n">
        <v>76</v>
      </c>
      <c r="S79" s="339">
        <f>Q79-R79</f>
        <v/>
      </c>
      <c r="T79" s="362">
        <f>R79/Q79</f>
        <v/>
      </c>
      <c r="U79" s="339" t="n">
        <v>164000</v>
      </c>
      <c r="V79" s="339" t="n">
        <v>112500</v>
      </c>
    </row>
    <row r="80">
      <c r="A80" s="133" t="inlineStr">
        <is>
          <t>남천동</t>
        </is>
      </c>
      <c r="B80" s="133" t="n"/>
      <c r="C80" s="133" t="n"/>
      <c r="D80" s="133" t="n">
        <v>7650</v>
      </c>
      <c r="E80" s="115" t="inlineStr">
        <is>
          <t>남천동원로얄듀크</t>
        </is>
      </c>
      <c r="F80" s="133" t="n">
        <v>2000.05</v>
      </c>
      <c r="G80" s="133" t="n">
        <v>422</v>
      </c>
      <c r="H80" s="133">
        <f>2026-F80+1</f>
        <v/>
      </c>
      <c r="I80" s="133" t="n"/>
      <c r="J80" s="133" t="n">
        <v>135</v>
      </c>
      <c r="K80" s="133" t="n">
        <v>115</v>
      </c>
      <c r="L80" s="133" t="n">
        <v>41</v>
      </c>
      <c r="M80" s="133" t="inlineStr">
        <is>
          <t>계단식</t>
        </is>
      </c>
      <c r="N80" s="133" t="n">
        <v>4</v>
      </c>
      <c r="O80" s="133" t="n">
        <v>2</v>
      </c>
      <c r="P80" s="133" t="n">
        <v>106</v>
      </c>
      <c r="Q80" s="133" t="n"/>
      <c r="R80" s="133" t="n"/>
      <c r="S80" s="339">
        <f>Q80-R80</f>
        <v/>
      </c>
      <c r="T80" s="362">
        <f>R80/Q80</f>
        <v/>
      </c>
      <c r="U80" s="133" t="n">
        <v>82500</v>
      </c>
      <c r="V80" s="133" t="n">
        <v>60500</v>
      </c>
      <c r="W80" s="133" t="n"/>
      <c r="X80" s="133" t="n"/>
      <c r="Y80" s="133" t="n"/>
      <c r="Z80" s="133" t="n"/>
      <c r="AA80" s="133" t="n"/>
      <c r="AB80" s="133" t="n"/>
      <c r="AC80" s="133" t="n"/>
      <c r="AG80" s="133" t="n"/>
      <c r="AH80" s="133" t="n"/>
      <c r="AI80" s="133" t="n"/>
      <c r="AJ80" s="133" t="n"/>
      <c r="AR80" s="133" t="n"/>
    </row>
    <row r="81">
      <c r="A81" s="133" t="inlineStr">
        <is>
          <t>남천동</t>
        </is>
      </c>
      <c r="B81" s="133" t="n"/>
      <c r="C81" s="133" t="n"/>
      <c r="D81" s="133" t="n">
        <v>7650</v>
      </c>
      <c r="E81" s="115" t="inlineStr">
        <is>
          <t>남천동원로얄듀크</t>
        </is>
      </c>
      <c r="F81" s="133" t="n">
        <v>2000.05</v>
      </c>
      <c r="G81" s="133" t="n">
        <v>422</v>
      </c>
      <c r="H81" s="133">
        <f>2026-F81+1</f>
        <v/>
      </c>
      <c r="I81" s="133" t="n"/>
      <c r="J81" s="133" t="n">
        <v>172</v>
      </c>
      <c r="K81" s="133" t="n">
        <v>141</v>
      </c>
      <c r="L81" s="133" t="n">
        <v>52</v>
      </c>
      <c r="M81" s="133" t="inlineStr">
        <is>
          <t>계단식</t>
        </is>
      </c>
      <c r="N81" s="133" t="n">
        <v>4</v>
      </c>
      <c r="O81" s="133" t="n">
        <v>2</v>
      </c>
      <c r="P81" s="133" t="n">
        <v>24</v>
      </c>
      <c r="Q81" s="133" t="n"/>
      <c r="R81" s="133" t="n"/>
      <c r="S81" s="339">
        <f>Q81-R81</f>
        <v/>
      </c>
      <c r="T81" s="362">
        <f>R81/Q81</f>
        <v/>
      </c>
      <c r="U81" s="133" t="n">
        <v>80000</v>
      </c>
      <c r="V81" s="133" t="n">
        <v>80000</v>
      </c>
      <c r="W81" s="133" t="n"/>
      <c r="X81" s="133" t="n"/>
      <c r="Y81" s="133" t="n"/>
      <c r="Z81" s="133" t="n"/>
      <c r="AA81" s="133" t="n"/>
      <c r="AB81" s="133" t="n"/>
      <c r="AC81" s="133" t="n"/>
      <c r="AG81" s="133" t="n"/>
      <c r="AH81" s="133" t="n"/>
      <c r="AI81" s="133" t="n"/>
      <c r="AJ81" s="133" t="n"/>
      <c r="AR81" s="133" t="n"/>
    </row>
    <row r="82">
      <c r="A82" s="133" t="inlineStr">
        <is>
          <t>남천동</t>
        </is>
      </c>
      <c r="B82" s="133" t="n"/>
      <c r="C82" s="133" t="n"/>
      <c r="D82" s="133" t="n">
        <v>7650</v>
      </c>
      <c r="E82" s="115" t="inlineStr">
        <is>
          <t>남천동원로얄듀크</t>
        </is>
      </c>
      <c r="F82" s="133" t="n">
        <v>2000.05</v>
      </c>
      <c r="G82" s="133" t="n">
        <v>422</v>
      </c>
      <c r="H82" s="133">
        <f>2026-F82+1</f>
        <v/>
      </c>
      <c r="I82" s="133" t="n"/>
      <c r="J82" s="133" t="n">
        <v>215</v>
      </c>
      <c r="K82" s="133" t="n">
        <v>182</v>
      </c>
      <c r="L82" s="133" t="n">
        <v>65</v>
      </c>
      <c r="M82" s="133" t="inlineStr">
        <is>
          <t>계단식</t>
        </is>
      </c>
      <c r="N82" s="133" t="n">
        <v>5</v>
      </c>
      <c r="O82" s="133" t="n">
        <v>2</v>
      </c>
      <c r="P82" s="133" t="n">
        <v>126</v>
      </c>
      <c r="Q82" s="133" t="n"/>
      <c r="R82" s="133" t="n"/>
      <c r="S82" s="339">
        <f>Q82-R82</f>
        <v/>
      </c>
      <c r="T82" s="362">
        <f>R82/Q82</f>
        <v/>
      </c>
      <c r="U82" s="133" t="n">
        <v>73000</v>
      </c>
      <c r="V82" s="133" t="n"/>
      <c r="W82" s="133" t="n"/>
      <c r="X82" s="133" t="n"/>
      <c r="Y82" s="133" t="n"/>
      <c r="Z82" s="133" t="n"/>
      <c r="AA82" s="133" t="n"/>
      <c r="AB82" s="133" t="n"/>
      <c r="AC82" s="133" t="n"/>
      <c r="AG82" s="133" t="n"/>
      <c r="AH82" s="133" t="n"/>
      <c r="AI82" s="133" t="n"/>
      <c r="AJ82" s="133" t="n"/>
      <c r="AR82" s="133" t="n"/>
    </row>
    <row r="83">
      <c r="A83" s="339" t="inlineStr">
        <is>
          <t>남천동</t>
        </is>
      </c>
      <c r="B83" s="339" t="n"/>
      <c r="C83" s="339" t="n"/>
      <c r="D83" s="339" t="n">
        <v>154302</v>
      </c>
      <c r="E83" s="114" t="inlineStr">
        <is>
          <t>남천자이</t>
        </is>
      </c>
      <c r="F83" s="339" t="n">
        <v>2023.01</v>
      </c>
      <c r="G83" s="339" t="n">
        <v>913</v>
      </c>
      <c r="H83" s="339">
        <f>2026-F83+1</f>
        <v/>
      </c>
      <c r="I83" s="339" t="n"/>
      <c r="J83" s="339" t="n">
        <v>133</v>
      </c>
      <c r="K83" s="339" t="n">
        <v>101</v>
      </c>
      <c r="L83" s="339" t="n">
        <v>40</v>
      </c>
      <c r="M83" s="339" t="inlineStr">
        <is>
          <t>계단식</t>
        </is>
      </c>
      <c r="N83" s="339" t="n">
        <v>4</v>
      </c>
      <c r="O83" s="339" t="n">
        <v>2</v>
      </c>
      <c r="P83" s="339" t="n">
        <v>66</v>
      </c>
      <c r="Q83" s="339" t="n"/>
      <c r="R83" s="339" t="n"/>
      <c r="S83" s="339">
        <f>Q83-R83</f>
        <v/>
      </c>
      <c r="T83" s="362">
        <f>R83/Q83</f>
        <v/>
      </c>
      <c r="U83" s="339" t="n"/>
      <c r="V83" s="339" t="n">
        <v>220000</v>
      </c>
      <c r="W83" s="339" t="n"/>
      <c r="X83" s="339" t="n"/>
      <c r="Y83" s="339" t="n"/>
      <c r="Z83" s="339" t="n"/>
      <c r="AA83" s="339" t="n"/>
      <c r="AB83" s="339" t="n"/>
      <c r="AC83" s="339" t="n"/>
      <c r="AG83" s="339" t="n"/>
      <c r="AH83" s="339" t="n"/>
      <c r="AI83" s="339" t="n"/>
      <c r="AJ83" s="339" t="n"/>
      <c r="AR83" s="339" t="n"/>
    </row>
    <row r="84">
      <c r="A84" s="339" t="inlineStr">
        <is>
          <t>남천동</t>
        </is>
      </c>
      <c r="B84" s="339" t="n"/>
      <c r="C84" s="339" t="n"/>
      <c r="D84" s="339" t="n">
        <v>154302</v>
      </c>
      <c r="E84" s="114" t="inlineStr">
        <is>
          <t>남천자이</t>
        </is>
      </c>
      <c r="F84" s="339" t="n">
        <v>2023.01</v>
      </c>
      <c r="G84" s="339" t="n">
        <v>913</v>
      </c>
      <c r="H84" s="339">
        <f>2026-F84+1</f>
        <v/>
      </c>
      <c r="I84" s="339" t="n"/>
      <c r="J84" s="339" t="n">
        <v>150</v>
      </c>
      <c r="K84" s="339" t="n">
        <v>115</v>
      </c>
      <c r="L84" s="339" t="n">
        <v>45</v>
      </c>
      <c r="M84" s="339" t="inlineStr">
        <is>
          <t>계단식</t>
        </is>
      </c>
      <c r="N84" s="339" t="n">
        <v>4</v>
      </c>
      <c r="O84" s="339" t="n">
        <v>2</v>
      </c>
      <c r="P84" s="339" t="n">
        <v>32</v>
      </c>
      <c r="Q84" s="339" t="n"/>
      <c r="R84" s="339" t="n"/>
      <c r="S84" s="339">
        <f>Q84-R84</f>
        <v/>
      </c>
      <c r="T84" s="362">
        <f>R84/Q84</f>
        <v/>
      </c>
      <c r="U84" s="339" t="n"/>
      <c r="V84" s="339" t="n"/>
      <c r="W84" s="339" t="n"/>
      <c r="X84" s="339" t="n"/>
      <c r="Y84" s="339" t="n"/>
      <c r="Z84" s="339" t="n"/>
      <c r="AA84" s="339" t="n"/>
      <c r="AB84" s="339" t="n"/>
      <c r="AC84" s="339" t="n"/>
      <c r="AG84" s="339" t="n"/>
      <c r="AH84" s="339" t="n"/>
      <c r="AI84" s="339" t="n"/>
      <c r="AJ84" s="339" t="n"/>
      <c r="AR84" s="339" t="n"/>
    </row>
    <row r="85">
      <c r="A85" s="339" t="inlineStr">
        <is>
          <t>남천동</t>
        </is>
      </c>
      <c r="B85" s="339" t="n"/>
      <c r="C85" s="339" t="n"/>
      <c r="D85" s="339" t="n">
        <v>154302</v>
      </c>
      <c r="E85" s="114" t="inlineStr">
        <is>
          <t>남천자이</t>
        </is>
      </c>
      <c r="F85" s="339" t="n">
        <v>2023.01</v>
      </c>
      <c r="G85" s="339" t="n">
        <v>913</v>
      </c>
      <c r="H85" s="339">
        <f>2026-F85+1</f>
        <v/>
      </c>
      <c r="I85" s="339" t="n"/>
      <c r="J85" s="339" t="n">
        <v>163</v>
      </c>
      <c r="K85" s="339" t="n">
        <v>125</v>
      </c>
      <c r="L85" s="339" t="n">
        <v>49</v>
      </c>
      <c r="M85" s="339" t="inlineStr">
        <is>
          <t>계단식</t>
        </is>
      </c>
      <c r="N85" s="339" t="n">
        <v>4</v>
      </c>
      <c r="O85" s="339" t="n">
        <v>2</v>
      </c>
      <c r="P85" s="339" t="n">
        <v>34</v>
      </c>
      <c r="Q85" s="339" t="n"/>
      <c r="R85" s="339" t="n"/>
      <c r="S85" s="339">
        <f>Q85-R85</f>
        <v/>
      </c>
      <c r="T85" s="362">
        <f>R85/Q85</f>
        <v/>
      </c>
      <c r="U85" s="339" t="n"/>
      <c r="V85" s="339" t="n"/>
      <c r="W85" s="339" t="n"/>
      <c r="X85" s="339" t="n"/>
      <c r="Y85" s="339" t="n"/>
      <c r="Z85" s="339" t="n"/>
      <c r="AA85" s="339" t="n"/>
      <c r="AB85" s="339" t="n"/>
      <c r="AC85" s="339" t="n"/>
      <c r="AG85" s="339" t="n"/>
      <c r="AH85" s="339" t="n"/>
      <c r="AI85" s="339" t="n"/>
      <c r="AJ85" s="339" t="n"/>
      <c r="AR85" s="339" t="n"/>
    </row>
    <row r="86">
      <c r="A86" s="339" t="inlineStr">
        <is>
          <t>남천동</t>
        </is>
      </c>
      <c r="B86" s="339" t="n"/>
      <c r="C86" s="339" t="n"/>
      <c r="D86" s="339" t="n">
        <v>154302</v>
      </c>
      <c r="E86" s="114" t="inlineStr">
        <is>
          <t>남천자이</t>
        </is>
      </c>
      <c r="F86" s="339" t="n">
        <v>2023.01</v>
      </c>
      <c r="G86" s="339" t="n">
        <v>913</v>
      </c>
      <c r="H86" s="339">
        <f>2026-F86+1</f>
        <v/>
      </c>
      <c r="I86" s="339" t="n"/>
      <c r="J86" s="339" t="n">
        <v>189</v>
      </c>
      <c r="K86" s="339" t="n">
        <v>142</v>
      </c>
      <c r="L86" s="339" t="n">
        <v>57</v>
      </c>
      <c r="M86" s="339" t="inlineStr">
        <is>
          <t>계단식</t>
        </is>
      </c>
      <c r="N86" s="339" t="n">
        <v>4</v>
      </c>
      <c r="O86" s="339" t="n">
        <v>3</v>
      </c>
      <c r="P86" s="339" t="n">
        <v>1</v>
      </c>
      <c r="Q86" s="339" t="n"/>
      <c r="R86" s="339" t="n"/>
      <c r="S86" s="339">
        <f>Q86-R86</f>
        <v/>
      </c>
      <c r="T86" s="362">
        <f>R86/Q86</f>
        <v/>
      </c>
      <c r="U86" s="339" t="n"/>
      <c r="V86" s="339" t="n"/>
      <c r="W86" s="339" t="n"/>
      <c r="X86" s="339" t="n"/>
      <c r="Y86" s="339" t="n"/>
      <c r="Z86" s="339" t="n"/>
      <c r="AA86" s="339" t="n"/>
      <c r="AB86" s="339" t="n"/>
      <c r="AC86" s="339" t="n"/>
      <c r="AG86" s="339" t="n"/>
      <c r="AH86" s="339" t="n"/>
      <c r="AI86" s="339" t="n"/>
      <c r="AJ86" s="339" t="n"/>
      <c r="AR86" s="339" t="n"/>
    </row>
    <row r="87">
      <c r="A87" s="339" t="inlineStr">
        <is>
          <t>남천동</t>
        </is>
      </c>
      <c r="D87" s="339" t="n">
        <v>154302</v>
      </c>
      <c r="E87" s="114" t="inlineStr">
        <is>
          <t>남천자이</t>
        </is>
      </c>
      <c r="F87" s="339" t="n">
        <v>2023.01</v>
      </c>
      <c r="G87" s="339" t="n">
        <v>913</v>
      </c>
      <c r="H87" s="339">
        <f>2026-F87+1</f>
        <v/>
      </c>
      <c r="J87" s="339" t="n"/>
      <c r="K87" s="339" t="n">
        <v>145</v>
      </c>
      <c r="L87" s="339" t="n"/>
      <c r="M87" s="339" t="inlineStr">
        <is>
          <t>계단식</t>
        </is>
      </c>
      <c r="N87" s="339" t="n">
        <v>4</v>
      </c>
      <c r="O87" s="339" t="n">
        <v>3</v>
      </c>
      <c r="P87" s="339" t="n">
        <v>3</v>
      </c>
      <c r="S87" s="339">
        <f>Q87-R87</f>
        <v/>
      </c>
      <c r="T87" s="362">
        <f>R87/Q87</f>
        <v/>
      </c>
      <c r="U87" s="339" t="n"/>
      <c r="V87" s="339" t="n"/>
    </row>
    <row r="88">
      <c r="A88" s="339" t="inlineStr">
        <is>
          <t>남천동</t>
        </is>
      </c>
      <c r="D88" s="339" t="n">
        <v>154302</v>
      </c>
      <c r="E88" s="114" t="inlineStr">
        <is>
          <t>남천자이</t>
        </is>
      </c>
      <c r="F88" s="339" t="n">
        <v>2023.01</v>
      </c>
      <c r="G88" s="339" t="n">
        <v>913</v>
      </c>
      <c r="H88" s="339">
        <f>2026-F88+1</f>
        <v/>
      </c>
      <c r="K88" s="339" t="n">
        <v>157</v>
      </c>
      <c r="M88" s="339" t="inlineStr">
        <is>
          <t>계단식</t>
        </is>
      </c>
      <c r="N88" s="339" t="n">
        <v>4</v>
      </c>
      <c r="O88" s="339" t="n">
        <v>3</v>
      </c>
      <c r="P88" s="339" t="n">
        <v>2</v>
      </c>
      <c r="S88" s="339">
        <f>Q88-R88</f>
        <v/>
      </c>
      <c r="T88" s="362">
        <f>R88/Q88</f>
        <v/>
      </c>
      <c r="U88" s="339" t="n"/>
      <c r="V88" s="339" t="n"/>
    </row>
    <row r="89">
      <c r="A89" s="133" t="inlineStr">
        <is>
          <t>남천동</t>
        </is>
      </c>
      <c r="B89" s="133" t="n"/>
      <c r="C89" s="133" t="n"/>
      <c r="D89" s="133" t="n">
        <v>24896</v>
      </c>
      <c r="E89" s="115" t="inlineStr">
        <is>
          <t>남천코오롱하늘채골든비치</t>
        </is>
      </c>
      <c r="F89" s="133" t="n">
        <v>2009.01</v>
      </c>
      <c r="G89" s="133" t="n">
        <v>987</v>
      </c>
      <c r="H89" s="133">
        <f>2026-F89+1</f>
        <v/>
      </c>
      <c r="I89" s="133" t="n"/>
      <c r="J89" s="133" t="n">
        <v>129</v>
      </c>
      <c r="K89" s="133" t="n">
        <v>101</v>
      </c>
      <c r="L89" s="133" t="n">
        <v>39</v>
      </c>
      <c r="M89" s="133" t="inlineStr">
        <is>
          <t>복합식</t>
        </is>
      </c>
      <c r="N89" s="133" t="n">
        <v>3</v>
      </c>
      <c r="O89" s="133" t="n">
        <v>2</v>
      </c>
      <c r="P89" s="133" t="n">
        <v>152</v>
      </c>
      <c r="Q89" s="133" t="n"/>
      <c r="R89" s="133" t="n"/>
      <c r="S89" s="339">
        <f>Q89-R89</f>
        <v/>
      </c>
      <c r="T89" s="362">
        <f>R89/Q89</f>
        <v/>
      </c>
      <c r="U89" s="133" t="n"/>
      <c r="V89" s="133" t="n">
        <v>105000</v>
      </c>
      <c r="W89" s="133" t="n"/>
      <c r="X89" s="133" t="n"/>
      <c r="Y89" s="133" t="n"/>
      <c r="Z89" s="133" t="n"/>
      <c r="AA89" s="133" t="n"/>
      <c r="AB89" s="133" t="n"/>
      <c r="AC89" s="133" t="n"/>
      <c r="AG89" s="133" t="n"/>
      <c r="AH89" s="133" t="n"/>
      <c r="AI89" s="133" t="n"/>
      <c r="AJ89" s="133" t="n"/>
      <c r="AR89" s="133" t="n"/>
    </row>
    <row r="90">
      <c r="A90" s="133" t="inlineStr">
        <is>
          <t>남천동</t>
        </is>
      </c>
      <c r="B90" s="133" t="n"/>
      <c r="C90" s="133" t="n"/>
      <c r="D90" s="133" t="n">
        <v>24896</v>
      </c>
      <c r="E90" s="115" t="inlineStr">
        <is>
          <t>남천코오롱하늘채골든비치</t>
        </is>
      </c>
      <c r="F90" s="133" t="n">
        <v>2009.01</v>
      </c>
      <c r="G90" s="133" t="n">
        <v>987</v>
      </c>
      <c r="H90" s="133">
        <f>2026-F90+1</f>
        <v/>
      </c>
      <c r="I90" s="133" t="n"/>
      <c r="J90" s="133" t="n">
        <v>147</v>
      </c>
      <c r="K90" s="133" t="n">
        <v>118</v>
      </c>
      <c r="L90" s="133" t="n">
        <v>44</v>
      </c>
      <c r="M90" s="133" t="inlineStr">
        <is>
          <t>복합식</t>
        </is>
      </c>
      <c r="N90" s="133" t="n">
        <v>4</v>
      </c>
      <c r="O90" s="133" t="n">
        <v>2</v>
      </c>
      <c r="P90" s="133" t="n">
        <v>116</v>
      </c>
      <c r="Q90" s="133" t="n"/>
      <c r="R90" s="133" t="n"/>
      <c r="S90" s="339">
        <f>Q90-R90</f>
        <v/>
      </c>
      <c r="T90" s="362">
        <f>R90/Q90</f>
        <v/>
      </c>
      <c r="U90" s="133" t="n">
        <v>129000</v>
      </c>
      <c r="V90" s="133" t="n">
        <v>94000</v>
      </c>
      <c r="W90" s="133" t="n"/>
      <c r="X90" s="133" t="n"/>
      <c r="Y90" s="133" t="n"/>
      <c r="Z90" s="133" t="n"/>
      <c r="AA90" s="133" t="n"/>
      <c r="AB90" s="133" t="n"/>
      <c r="AC90" s="133" t="n"/>
      <c r="AG90" s="133" t="n"/>
      <c r="AH90" s="133" t="n"/>
      <c r="AI90" s="133" t="n"/>
      <c r="AJ90" s="133" t="n"/>
      <c r="AR90" s="133" t="n"/>
    </row>
    <row r="91">
      <c r="A91" s="133" t="inlineStr">
        <is>
          <t>남천동</t>
        </is>
      </c>
      <c r="B91" s="133" t="n"/>
      <c r="C91" s="133" t="n"/>
      <c r="D91" s="133" t="n">
        <v>24896</v>
      </c>
      <c r="E91" s="115" t="inlineStr">
        <is>
          <t>남천코오롱하늘채골든비치</t>
        </is>
      </c>
      <c r="F91" s="133" t="n">
        <v>2009.01</v>
      </c>
      <c r="G91" s="133" t="n">
        <v>987</v>
      </c>
      <c r="H91" s="133">
        <f>2026-F91+1</f>
        <v/>
      </c>
      <c r="I91" s="133" t="n"/>
      <c r="J91" s="133" t="n"/>
      <c r="K91" s="133" t="n">
        <v>126</v>
      </c>
      <c r="L91" s="133" t="n"/>
      <c r="M91" s="133" t="inlineStr">
        <is>
          <t>복합식</t>
        </is>
      </c>
      <c r="N91" s="133" t="n">
        <v>4</v>
      </c>
      <c r="O91" s="133" t="n">
        <v>2</v>
      </c>
      <c r="P91" s="133" t="n">
        <v>104</v>
      </c>
      <c r="Q91" s="133" t="n"/>
      <c r="R91" s="133" t="n"/>
      <c r="S91" s="339">
        <f>Q91-R91</f>
        <v/>
      </c>
      <c r="T91" s="362">
        <f>R91/Q91</f>
        <v/>
      </c>
      <c r="U91" s="133" t="n">
        <v>127000</v>
      </c>
      <c r="V91" s="133" t="n">
        <v>86000</v>
      </c>
      <c r="W91" s="133" t="n"/>
      <c r="X91" s="133" t="n"/>
      <c r="Y91" s="133" t="n"/>
      <c r="Z91" s="133" t="n"/>
      <c r="AA91" s="133" t="n"/>
      <c r="AB91" s="133" t="n"/>
      <c r="AC91" s="133" t="n"/>
      <c r="AG91" s="133" t="n"/>
      <c r="AH91" s="133" t="n"/>
      <c r="AI91" s="133" t="n"/>
      <c r="AJ91" s="133" t="n"/>
      <c r="AR91" s="133" t="n"/>
    </row>
    <row r="92">
      <c r="A92" s="133" t="inlineStr">
        <is>
          <t>남천동</t>
        </is>
      </c>
      <c r="B92" s="133" t="n"/>
      <c r="C92" s="133" t="n"/>
      <c r="D92" s="133" t="n">
        <v>24896</v>
      </c>
      <c r="E92" s="115" t="inlineStr">
        <is>
          <t>남천코오롱하늘채골든비치</t>
        </is>
      </c>
      <c r="F92" s="133" t="n">
        <v>2009.01</v>
      </c>
      <c r="G92" s="133" t="n">
        <v>987</v>
      </c>
      <c r="H92" s="133">
        <f>2026-F92+1</f>
        <v/>
      </c>
      <c r="I92" s="133" t="n"/>
      <c r="J92" s="133" t="n"/>
      <c r="K92" s="133" t="n">
        <v>125</v>
      </c>
      <c r="L92" s="133" t="n"/>
      <c r="M92" s="133" t="inlineStr">
        <is>
          <t>복합식</t>
        </is>
      </c>
      <c r="N92" s="133" t="n">
        <v>4</v>
      </c>
      <c r="O92" s="133" t="n">
        <v>2</v>
      </c>
      <c r="P92" s="133" t="n">
        <v>104</v>
      </c>
      <c r="Q92" s="133" t="n"/>
      <c r="R92" s="133" t="n"/>
      <c r="S92" s="339">
        <f>Q92-R92</f>
        <v/>
      </c>
      <c r="T92" s="362">
        <f>R92/Q92</f>
        <v/>
      </c>
      <c r="U92" s="133" t="n">
        <v>127000</v>
      </c>
      <c r="V92" s="133" t="n">
        <v>86000</v>
      </c>
      <c r="W92" s="133" t="n"/>
      <c r="X92" s="133" t="n"/>
      <c r="Y92" s="133" t="n"/>
      <c r="Z92" s="133" t="n"/>
      <c r="AA92" s="133" t="n"/>
      <c r="AB92" s="133" t="n"/>
      <c r="AC92" s="133" t="n"/>
      <c r="AG92" s="133" t="n"/>
      <c r="AH92" s="133" t="n"/>
      <c r="AI92" s="133" t="n"/>
      <c r="AJ92" s="133" t="n"/>
      <c r="AR92" s="133" t="n"/>
    </row>
    <row r="93">
      <c r="A93" s="133" t="inlineStr">
        <is>
          <t>남천동</t>
        </is>
      </c>
      <c r="B93" s="133" t="n"/>
      <c r="C93" s="133" t="n"/>
      <c r="D93" s="133" t="n">
        <v>24896</v>
      </c>
      <c r="E93" s="115" t="inlineStr">
        <is>
          <t>남천코오롱하늘채골든비치</t>
        </is>
      </c>
      <c r="F93" s="133" t="n">
        <v>2009.01</v>
      </c>
      <c r="G93" s="133" t="n">
        <v>987</v>
      </c>
      <c r="H93" s="133">
        <f>2026-F93+1</f>
        <v/>
      </c>
      <c r="I93" s="133" t="n"/>
      <c r="J93" s="133" t="n"/>
      <c r="K93" s="133" t="n">
        <v>129</v>
      </c>
      <c r="L93" s="133" t="n"/>
      <c r="M93" s="133" t="inlineStr">
        <is>
          <t>복합식</t>
        </is>
      </c>
      <c r="N93" s="133" t="n">
        <v>4</v>
      </c>
      <c r="O93" s="133" t="n">
        <v>2</v>
      </c>
      <c r="P93" s="133" t="n">
        <v>64</v>
      </c>
      <c r="Q93" s="133" t="n"/>
      <c r="R93" s="133" t="n"/>
      <c r="S93" s="339">
        <f>Q93-R93</f>
        <v/>
      </c>
      <c r="T93" s="362">
        <f>R93/Q93</f>
        <v/>
      </c>
      <c r="U93" s="133" t="n">
        <v>128000</v>
      </c>
      <c r="V93" s="133" t="n">
        <v>96500</v>
      </c>
      <c r="W93" s="133" t="n"/>
      <c r="X93" s="133" t="n"/>
      <c r="Y93" s="133" t="n"/>
      <c r="Z93" s="133" t="n"/>
      <c r="AA93" s="133" t="n"/>
      <c r="AB93" s="133" t="n"/>
      <c r="AC93" s="133" t="n"/>
      <c r="AG93" s="133" t="n"/>
      <c r="AH93" s="133" t="n"/>
      <c r="AI93" s="133" t="n"/>
      <c r="AJ93" s="133" t="n"/>
      <c r="AR93" s="133" t="n"/>
    </row>
    <row r="94">
      <c r="A94" s="133" t="inlineStr">
        <is>
          <t>남천동</t>
        </is>
      </c>
      <c r="B94" s="133" t="n"/>
      <c r="C94" s="133" t="n"/>
      <c r="D94" s="133" t="n">
        <v>24896</v>
      </c>
      <c r="E94" s="115" t="inlineStr">
        <is>
          <t>남천코오롱하늘채골든비치</t>
        </is>
      </c>
      <c r="F94" s="133" t="n">
        <v>2009.01</v>
      </c>
      <c r="G94" s="133" t="n">
        <v>987</v>
      </c>
      <c r="H94" s="133">
        <f>2026-F94+1</f>
        <v/>
      </c>
      <c r="I94" s="133" t="n"/>
      <c r="J94" s="133" t="n">
        <v>185</v>
      </c>
      <c r="K94" s="133" t="n">
        <v>147</v>
      </c>
      <c r="L94" s="133" t="n">
        <v>56</v>
      </c>
      <c r="M94" s="133" t="inlineStr">
        <is>
          <t>복합식</t>
        </is>
      </c>
      <c r="N94" s="133" t="n">
        <v>4</v>
      </c>
      <c r="O94" s="133" t="n">
        <v>2</v>
      </c>
      <c r="P94" s="133" t="n">
        <v>217</v>
      </c>
      <c r="Q94" s="133" t="n"/>
      <c r="R94" s="133" t="n"/>
      <c r="S94" s="339">
        <f>Q94-R94</f>
        <v/>
      </c>
      <c r="T94" s="362">
        <f>R94/Q94</f>
        <v/>
      </c>
      <c r="U94" s="133" t="n">
        <v>134000</v>
      </c>
      <c r="V94" s="133" t="n">
        <v>99700</v>
      </c>
      <c r="W94" s="133" t="n"/>
      <c r="X94" s="133" t="n"/>
      <c r="Y94" s="133" t="n"/>
      <c r="Z94" s="133" t="n"/>
      <c r="AA94" s="133" t="n"/>
      <c r="AB94" s="133" t="n"/>
      <c r="AC94" s="133" t="n"/>
      <c r="AG94" s="133" t="n"/>
      <c r="AH94" s="133" t="n"/>
      <c r="AI94" s="133" t="n"/>
      <c r="AJ94" s="133" t="n"/>
      <c r="AR94" s="133" t="n"/>
    </row>
    <row r="95">
      <c r="A95" s="133" t="inlineStr">
        <is>
          <t>남천동</t>
        </is>
      </c>
      <c r="B95" s="133" t="n"/>
      <c r="C95" s="133" t="n"/>
      <c r="D95" s="133" t="n">
        <v>24896</v>
      </c>
      <c r="E95" s="115" t="inlineStr">
        <is>
          <t>남천코오롱하늘채골든비치</t>
        </is>
      </c>
      <c r="F95" s="133" t="n">
        <v>2009.01</v>
      </c>
      <c r="G95" s="133" t="n">
        <v>987</v>
      </c>
      <c r="H95" s="133">
        <f>2026-F95+1</f>
        <v/>
      </c>
      <c r="I95" s="133" t="n"/>
      <c r="J95" s="133" t="n">
        <v>210</v>
      </c>
      <c r="K95" s="133" t="n">
        <v>170</v>
      </c>
      <c r="L95" s="133" t="n">
        <v>64</v>
      </c>
      <c r="M95" s="133" t="inlineStr">
        <is>
          <t>복합식</t>
        </is>
      </c>
      <c r="N95" s="133" t="n">
        <v>4</v>
      </c>
      <c r="O95" s="133" t="n">
        <v>2</v>
      </c>
      <c r="P95" s="133" t="n">
        <v>76</v>
      </c>
      <c r="Q95" s="133" t="n"/>
      <c r="R95" s="133" t="n"/>
      <c r="S95" s="339">
        <f>Q95-R95</f>
        <v/>
      </c>
      <c r="T95" s="362">
        <f>R95/Q95</f>
        <v/>
      </c>
      <c r="U95" s="133" t="n"/>
      <c r="V95" s="133" t="n">
        <v>135000</v>
      </c>
      <c r="W95" s="133" t="n"/>
      <c r="X95" s="133" t="n"/>
      <c r="Y95" s="133" t="n"/>
      <c r="Z95" s="133" t="n"/>
      <c r="AA95" s="133" t="n"/>
      <c r="AB95" s="133" t="n"/>
      <c r="AC95" s="133" t="n"/>
      <c r="AG95" s="133" t="n"/>
      <c r="AH95" s="133" t="n"/>
      <c r="AI95" s="133" t="n"/>
      <c r="AJ95" s="133" t="n"/>
      <c r="AR95" s="133" t="n"/>
    </row>
    <row r="96">
      <c r="A96" s="133" t="inlineStr">
        <is>
          <t>남천동</t>
        </is>
      </c>
      <c r="B96" s="133" t="n"/>
      <c r="C96" s="133" t="n"/>
      <c r="D96" s="133" t="n">
        <v>24896</v>
      </c>
      <c r="E96" s="115" t="inlineStr">
        <is>
          <t>남천코오롱하늘채골든비치</t>
        </is>
      </c>
      <c r="F96" s="133" t="n">
        <v>2009.01</v>
      </c>
      <c r="G96" s="133" t="n">
        <v>987</v>
      </c>
      <c r="H96" s="133">
        <f>2026-F96+1</f>
        <v/>
      </c>
      <c r="I96" s="133" t="n"/>
      <c r="J96" s="133" t="n">
        <v>301</v>
      </c>
      <c r="K96" s="133" t="n">
        <v>236</v>
      </c>
      <c r="L96" s="133" t="n">
        <v>91</v>
      </c>
      <c r="M96" s="133" t="inlineStr">
        <is>
          <t>복합식</t>
        </is>
      </c>
      <c r="N96" s="133" t="n">
        <v>4</v>
      </c>
      <c r="O96" s="133" t="n">
        <v>4</v>
      </c>
      <c r="P96" s="133" t="n">
        <v>3</v>
      </c>
      <c r="Q96" s="133" t="n"/>
      <c r="R96" s="133" t="n"/>
      <c r="S96" s="339">
        <f>Q96-R96</f>
        <v/>
      </c>
      <c r="T96" s="362">
        <f>R96/Q96</f>
        <v/>
      </c>
      <c r="U96" s="133" t="n"/>
      <c r="V96" s="133" t="n"/>
      <c r="W96" s="133" t="n"/>
      <c r="X96" s="133" t="n"/>
      <c r="Y96" s="133" t="n"/>
      <c r="Z96" s="133" t="n"/>
      <c r="AA96" s="133" t="n"/>
      <c r="AB96" s="133" t="n"/>
      <c r="AC96" s="133" t="n"/>
      <c r="AG96" s="133" t="n"/>
      <c r="AH96" s="133" t="n"/>
      <c r="AI96" s="133" t="n"/>
      <c r="AJ96" s="133" t="n"/>
      <c r="AR96" s="133" t="n"/>
    </row>
    <row r="97">
      <c r="A97" s="133" t="inlineStr">
        <is>
          <t>남천동</t>
        </is>
      </c>
      <c r="B97" s="133" t="n"/>
      <c r="C97" s="133" t="n"/>
      <c r="D97" s="133" t="n">
        <v>24896</v>
      </c>
      <c r="E97" s="115" t="inlineStr">
        <is>
          <t>남천코오롱하늘채골든비치</t>
        </is>
      </c>
      <c r="F97" s="133" t="n">
        <v>2009.01</v>
      </c>
      <c r="G97" s="133" t="n">
        <v>987</v>
      </c>
      <c r="H97" s="133">
        <f>2026-F97+1</f>
        <v/>
      </c>
      <c r="I97" s="133" t="n"/>
      <c r="J97" s="133" t="n">
        <v>342</v>
      </c>
      <c r="K97" s="133" t="n">
        <v>269</v>
      </c>
      <c r="L97" s="133" t="n">
        <v>103</v>
      </c>
      <c r="M97" s="133" t="inlineStr">
        <is>
          <t>복합식</t>
        </is>
      </c>
      <c r="N97" s="133" t="n">
        <v>4</v>
      </c>
      <c r="O97" s="133" t="n">
        <v>4</v>
      </c>
      <c r="P97" s="133" t="n">
        <v>2</v>
      </c>
      <c r="Q97" s="133" t="n"/>
      <c r="R97" s="133" t="n"/>
      <c r="S97" s="339">
        <f>Q97-R97</f>
        <v/>
      </c>
      <c r="T97" s="362">
        <f>R97/Q97</f>
        <v/>
      </c>
      <c r="U97" s="133" t="n"/>
      <c r="V97" s="133" t="n"/>
      <c r="W97" s="133" t="n"/>
      <c r="X97" s="133" t="n"/>
      <c r="Y97" s="133" t="n"/>
      <c r="Z97" s="133" t="n"/>
      <c r="AA97" s="133" t="n"/>
      <c r="AB97" s="133" t="n"/>
      <c r="AC97" s="133" t="n"/>
      <c r="AG97" s="133" t="n"/>
      <c r="AH97" s="133" t="n"/>
      <c r="AI97" s="133" t="n"/>
      <c r="AJ97" s="133" t="n"/>
      <c r="AR97" s="133" t="n"/>
    </row>
    <row r="98">
      <c r="A98" s="339" t="inlineStr">
        <is>
          <t>남천동</t>
        </is>
      </c>
      <c r="D98" s="339" t="n">
        <v>7717</v>
      </c>
      <c r="E98" s="114" t="inlineStr">
        <is>
          <t>뉴비치</t>
        </is>
      </c>
      <c r="F98" s="339" t="n">
        <v>1986.05</v>
      </c>
      <c r="G98" s="339" t="n">
        <v>990</v>
      </c>
      <c r="H98" s="339">
        <f>2026-F98+1</f>
        <v/>
      </c>
      <c r="J98" s="339" t="n">
        <v>120</v>
      </c>
      <c r="K98" s="339" t="n">
        <v>102</v>
      </c>
      <c r="L98" s="339" t="n">
        <v>36</v>
      </c>
      <c r="M98" s="339" t="inlineStr">
        <is>
          <t>계단식</t>
        </is>
      </c>
      <c r="N98" s="339" t="n">
        <v>4</v>
      </c>
      <c r="O98" s="339" t="n">
        <v>2</v>
      </c>
      <c r="P98" s="339" t="n">
        <v>90</v>
      </c>
      <c r="S98" s="339">
        <f>Q98-R98</f>
        <v/>
      </c>
      <c r="T98" s="362">
        <f>R98/Q98</f>
        <v/>
      </c>
      <c r="U98" s="339" t="n"/>
      <c r="V98" s="339" t="n"/>
    </row>
    <row r="99">
      <c r="A99" s="339" t="inlineStr">
        <is>
          <t>남천동</t>
        </is>
      </c>
      <c r="D99" s="339" t="n">
        <v>7717</v>
      </c>
      <c r="E99" s="114" t="inlineStr">
        <is>
          <t>뉴비치</t>
        </is>
      </c>
      <c r="F99" s="339" t="n">
        <v>1986.05</v>
      </c>
      <c r="G99" s="339" t="n">
        <v>990</v>
      </c>
      <c r="H99" s="339">
        <f>2026-F99+1</f>
        <v/>
      </c>
      <c r="J99" s="339" t="n">
        <v>143</v>
      </c>
      <c r="K99" s="339" t="n">
        <v>123</v>
      </c>
      <c r="L99" s="339" t="n">
        <v>43</v>
      </c>
      <c r="M99" s="339" t="inlineStr">
        <is>
          <t>계단식</t>
        </is>
      </c>
      <c r="N99" s="339" t="n">
        <v>4</v>
      </c>
      <c r="O99" s="339" t="n">
        <v>2</v>
      </c>
      <c r="P99" s="339" t="n">
        <v>90</v>
      </c>
      <c r="S99" s="339">
        <f>Q99-R99</f>
        <v/>
      </c>
      <c r="T99" s="362">
        <f>R99/Q99</f>
        <v/>
      </c>
      <c r="U99" s="339" t="n"/>
      <c r="V99" s="339" t="n">
        <v>110000</v>
      </c>
    </row>
    <row r="100">
      <c r="A100" s="339" t="inlineStr">
        <is>
          <t>남천동</t>
        </is>
      </c>
      <c r="D100" s="339" t="n">
        <v>7717</v>
      </c>
      <c r="E100" s="114" t="inlineStr">
        <is>
          <t>뉴비치</t>
        </is>
      </c>
      <c r="F100" s="339" t="n">
        <v>1986.05</v>
      </c>
      <c r="G100" s="339" t="n">
        <v>990</v>
      </c>
      <c r="H100" s="339">
        <f>2026-F100+1</f>
        <v/>
      </c>
      <c r="J100" s="339" t="n">
        <v>165</v>
      </c>
      <c r="K100" s="339" t="n">
        <v>145</v>
      </c>
      <c r="L100" s="339" t="n">
        <v>50</v>
      </c>
      <c r="M100" s="339" t="inlineStr">
        <is>
          <t>계단식</t>
        </is>
      </c>
      <c r="N100" s="339" t="n">
        <v>4</v>
      </c>
      <c r="O100" s="339" t="n">
        <v>2</v>
      </c>
      <c r="P100" s="339" t="n">
        <v>60</v>
      </c>
      <c r="S100" s="339">
        <f>Q100-R100</f>
        <v/>
      </c>
      <c r="T100" s="362">
        <f>R100/Q100</f>
        <v/>
      </c>
      <c r="U100" s="339" t="n"/>
      <c r="V100" s="339" t="n">
        <v>128000</v>
      </c>
    </row>
    <row r="101">
      <c r="A101" s="339" t="inlineStr">
        <is>
          <t>남천동</t>
        </is>
      </c>
      <c r="D101" s="339" t="n">
        <v>7717</v>
      </c>
      <c r="E101" s="114" t="inlineStr">
        <is>
          <t>뉴비치</t>
        </is>
      </c>
      <c r="F101" s="339" t="n">
        <v>1986.05</v>
      </c>
      <c r="G101" s="339" t="n">
        <v>990</v>
      </c>
      <c r="H101" s="339">
        <f>2026-F101+1</f>
        <v/>
      </c>
      <c r="J101" s="339" t="n">
        <v>207</v>
      </c>
      <c r="K101" s="339" t="n">
        <v>182</v>
      </c>
      <c r="L101" s="339" t="n">
        <v>63</v>
      </c>
      <c r="M101" s="339" t="inlineStr">
        <is>
          <t>계단식</t>
        </is>
      </c>
      <c r="N101" s="339" t="n">
        <v>5</v>
      </c>
      <c r="O101" s="339" t="n">
        <v>2</v>
      </c>
      <c r="P101" s="339" t="n">
        <v>30</v>
      </c>
      <c r="S101" s="339">
        <f>Q101-R101</f>
        <v/>
      </c>
      <c r="T101" s="362">
        <f>R101/Q101</f>
        <v/>
      </c>
      <c r="U101" s="339" t="n">
        <v>182000</v>
      </c>
    </row>
    <row r="102">
      <c r="A102" s="339" t="inlineStr">
        <is>
          <t>남천동</t>
        </is>
      </c>
      <c r="B102" s="339" t="n"/>
      <c r="C102" s="339" t="n"/>
      <c r="D102" s="339" t="n">
        <v>7717</v>
      </c>
      <c r="E102" s="114" t="inlineStr">
        <is>
          <t>뉴비치</t>
        </is>
      </c>
      <c r="F102" s="339" t="n">
        <v>1986.05</v>
      </c>
      <c r="G102" s="339" t="n">
        <v>990</v>
      </c>
      <c r="H102" s="339">
        <f>2026-F102+1</f>
        <v/>
      </c>
      <c r="I102" s="339" t="n"/>
      <c r="J102" s="339" t="n">
        <v>235</v>
      </c>
      <c r="K102" s="339" t="n">
        <v>209</v>
      </c>
      <c r="L102" s="339" t="n">
        <v>71</v>
      </c>
      <c r="M102" s="339" t="inlineStr">
        <is>
          <t>계단식</t>
        </is>
      </c>
      <c r="N102" s="339" t="n">
        <v>6</v>
      </c>
      <c r="O102" s="339" t="n">
        <v>2</v>
      </c>
      <c r="P102" s="339" t="n">
        <v>30</v>
      </c>
      <c r="Q102" s="339" t="n"/>
      <c r="R102" s="339" t="n"/>
      <c r="S102" s="339">
        <f>Q102-R102</f>
        <v/>
      </c>
      <c r="T102" s="362">
        <f>R102/Q102</f>
        <v/>
      </c>
      <c r="U102" s="339" t="n"/>
      <c r="V102" s="339" t="n"/>
      <c r="W102" s="339" t="n"/>
      <c r="X102" s="339" t="n"/>
      <c r="Y102" s="339" t="n"/>
      <c r="Z102" s="339" t="n"/>
      <c r="AA102" s="339" t="n"/>
      <c r="AB102" s="339" t="n"/>
      <c r="AC102" s="339" t="n"/>
      <c r="AG102" s="339" t="n"/>
      <c r="AH102" s="339" t="n"/>
      <c r="AI102" s="339" t="n"/>
      <c r="AJ102" s="339" t="n"/>
      <c r="AR102" s="339" t="n"/>
    </row>
    <row r="103">
      <c r="A103" s="133" t="inlineStr">
        <is>
          <t>남천동</t>
        </is>
      </c>
      <c r="B103" s="133" t="n"/>
      <c r="C103" s="133" t="n"/>
      <c r="D103" s="133" t="n">
        <v>127133</v>
      </c>
      <c r="E103" s="115" t="inlineStr">
        <is>
          <t>더샵남천프레스티지</t>
        </is>
      </c>
      <c r="F103" s="133" t="n">
        <v>2022.09</v>
      </c>
      <c r="G103" s="133" t="n">
        <v>975</v>
      </c>
      <c r="H103" s="133">
        <f>2026-F103+1</f>
        <v/>
      </c>
      <c r="I103" s="133" t="n"/>
      <c r="J103" s="133" t="n">
        <v>125</v>
      </c>
      <c r="K103" s="133" t="n">
        <v>92</v>
      </c>
      <c r="L103" s="133" t="n">
        <v>38</v>
      </c>
      <c r="M103" s="133" t="inlineStr">
        <is>
          <t>계단식</t>
        </is>
      </c>
      <c r="N103" s="133" t="n">
        <v>3</v>
      </c>
      <c r="O103" s="133" t="n">
        <v>2</v>
      </c>
      <c r="P103" s="133" t="n">
        <v>84</v>
      </c>
      <c r="Q103" s="133" t="n"/>
      <c r="R103" s="133" t="n"/>
      <c r="S103" s="339">
        <f>Q103-R103</f>
        <v/>
      </c>
      <c r="T103" s="362">
        <f>R103/Q103</f>
        <v/>
      </c>
      <c r="U103" s="133" t="n"/>
      <c r="V103" s="133" t="n"/>
      <c r="W103" s="133" t="n"/>
      <c r="X103" s="133" t="n"/>
      <c r="Y103" s="133" t="n"/>
      <c r="Z103" s="133" t="n"/>
      <c r="AA103" s="133" t="n"/>
      <c r="AB103" s="133" t="n"/>
      <c r="AC103" s="133" t="n"/>
      <c r="AG103" s="133" t="n"/>
      <c r="AH103" s="133" t="n"/>
      <c r="AI103" s="133" t="n"/>
      <c r="AJ103" s="133" t="n"/>
      <c r="AR103" s="133" t="n"/>
    </row>
    <row r="104">
      <c r="A104" s="133" t="inlineStr">
        <is>
          <t>남천동</t>
        </is>
      </c>
      <c r="B104" s="133" t="n"/>
      <c r="C104" s="133" t="n"/>
      <c r="D104" s="133" t="n">
        <v>127133</v>
      </c>
      <c r="E104" s="115" t="inlineStr">
        <is>
          <t>더샵남천프레스티지</t>
        </is>
      </c>
      <c r="F104" s="133" t="n">
        <v>2022.09</v>
      </c>
      <c r="G104" s="133" t="n">
        <v>975</v>
      </c>
      <c r="H104" s="133">
        <f>2026-F104+1</f>
        <v/>
      </c>
      <c r="I104" s="133" t="n"/>
      <c r="J104" s="133" t="n">
        <v>132</v>
      </c>
      <c r="K104" s="133" t="n">
        <v>93</v>
      </c>
      <c r="L104" s="133" t="n">
        <v>40</v>
      </c>
      <c r="M104" s="133" t="inlineStr">
        <is>
          <t>계단식</t>
        </is>
      </c>
      <c r="N104" s="133" t="n">
        <v>3</v>
      </c>
      <c r="O104" s="133" t="n">
        <v>2</v>
      </c>
      <c r="P104" s="133" t="n">
        <v>56</v>
      </c>
      <c r="Q104" s="133" t="n"/>
      <c r="R104" s="133" t="n"/>
      <c r="S104" s="339">
        <f>Q104-R104</f>
        <v/>
      </c>
      <c r="T104" s="362">
        <f>R104/Q104</f>
        <v/>
      </c>
      <c r="U104" s="133" t="n"/>
      <c r="V104" s="133" t="n"/>
      <c r="W104" s="133" t="n"/>
      <c r="X104" s="133" t="n"/>
      <c r="Y104" s="133" t="n"/>
      <c r="Z104" s="133" t="n"/>
      <c r="AA104" s="133" t="n"/>
      <c r="AB104" s="133" t="n"/>
      <c r="AC104" s="133" t="n"/>
      <c r="AG104" s="133" t="n"/>
      <c r="AH104" s="133" t="n"/>
      <c r="AI104" s="133" t="n"/>
      <c r="AJ104" s="133" t="n"/>
      <c r="AR104" s="133" t="n"/>
    </row>
    <row r="105">
      <c r="A105" s="133" t="inlineStr">
        <is>
          <t>남천동</t>
        </is>
      </c>
      <c r="B105" s="133" t="n"/>
      <c r="C105" s="133" t="n"/>
      <c r="D105" s="133" t="n">
        <v>127133</v>
      </c>
      <c r="E105" s="115" t="inlineStr">
        <is>
          <t>더샵남천프레스티지</t>
        </is>
      </c>
      <c r="F105" s="133" t="n">
        <v>2022.09</v>
      </c>
      <c r="G105" s="133" t="n">
        <v>975</v>
      </c>
      <c r="H105" s="133">
        <f>2026-F105+1</f>
        <v/>
      </c>
      <c r="I105" s="133" t="n"/>
      <c r="J105" s="133" t="n"/>
      <c r="K105" s="133" t="n">
        <v>107</v>
      </c>
      <c r="L105" s="133" t="n"/>
      <c r="M105" s="133" t="inlineStr">
        <is>
          <t>계단식</t>
        </is>
      </c>
      <c r="N105" s="133" t="n">
        <v>4</v>
      </c>
      <c r="O105" s="133" t="n">
        <v>2</v>
      </c>
      <c r="P105" s="133" t="n">
        <v>102</v>
      </c>
      <c r="Q105" s="133" t="n"/>
      <c r="R105" s="133" t="n"/>
      <c r="S105" s="339">
        <f>Q105-R105</f>
        <v/>
      </c>
      <c r="T105" s="362">
        <f>R105/Q105</f>
        <v/>
      </c>
      <c r="U105" s="133" t="n"/>
      <c r="V105" s="133" t="n"/>
      <c r="W105" s="133" t="n"/>
      <c r="X105" s="133" t="n"/>
      <c r="Y105" s="133" t="n"/>
      <c r="Z105" s="133" t="n"/>
      <c r="AA105" s="133" t="n"/>
      <c r="AB105" s="133" t="n"/>
      <c r="AC105" s="133" t="n"/>
      <c r="AG105" s="133" t="n"/>
      <c r="AH105" s="133" t="n"/>
      <c r="AI105" s="133" t="n"/>
      <c r="AJ105" s="133" t="n"/>
      <c r="AR105" s="133" t="n"/>
    </row>
    <row r="106">
      <c r="A106" s="339" t="inlineStr">
        <is>
          <t>남천동</t>
        </is>
      </c>
      <c r="D106" s="339" t="n">
        <v>7770</v>
      </c>
      <c r="E106" s="150" t="inlineStr">
        <is>
          <t>삼익비치타운</t>
        </is>
      </c>
      <c r="F106" s="339" t="n">
        <v>1979.1</v>
      </c>
      <c r="G106" s="339" t="n">
        <v>3060</v>
      </c>
      <c r="H106" s="339">
        <f>2026-F106+1</f>
        <v/>
      </c>
      <c r="J106" s="339" t="n">
        <v>116</v>
      </c>
      <c r="K106" s="339" t="n">
        <v>95</v>
      </c>
      <c r="L106" s="339" t="n">
        <v>35</v>
      </c>
      <c r="M106" s="339" t="inlineStr">
        <is>
          <t>복도식</t>
        </is>
      </c>
      <c r="N106" s="339" t="n">
        <v>4</v>
      </c>
      <c r="O106" s="339" t="n">
        <v>1</v>
      </c>
      <c r="P106" s="339" t="n">
        <v>108</v>
      </c>
      <c r="S106" s="339">
        <f>Q106-R106</f>
        <v/>
      </c>
      <c r="T106" s="362">
        <f>R106/Q106</f>
        <v/>
      </c>
      <c r="U106" s="339" t="n">
        <v>179500</v>
      </c>
      <c r="V106" s="339" t="n">
        <v>120000</v>
      </c>
    </row>
    <row r="107">
      <c r="A107" s="339" t="inlineStr">
        <is>
          <t>남천동</t>
        </is>
      </c>
      <c r="D107" s="339" t="n">
        <v>7770</v>
      </c>
      <c r="E107" s="114" t="inlineStr">
        <is>
          <t>삼익비치타운</t>
        </is>
      </c>
      <c r="F107" s="339" t="n">
        <v>1979.1</v>
      </c>
      <c r="G107" s="339" t="n">
        <v>3060</v>
      </c>
      <c r="H107" s="339">
        <f>2026-F107+1</f>
        <v/>
      </c>
      <c r="J107" s="339" t="n">
        <v>138</v>
      </c>
      <c r="K107" s="339" t="n">
        <v>115</v>
      </c>
      <c r="L107" s="339" t="n">
        <v>42</v>
      </c>
      <c r="M107" s="339" t="inlineStr">
        <is>
          <t>계단식</t>
        </is>
      </c>
      <c r="N107" s="339" t="n">
        <v>4</v>
      </c>
      <c r="O107" s="339" t="n">
        <v>2</v>
      </c>
      <c r="P107" s="339" t="n">
        <v>288</v>
      </c>
      <c r="S107" s="339">
        <f>Q107-R107</f>
        <v/>
      </c>
      <c r="T107" s="362">
        <f>R107/Q107</f>
        <v/>
      </c>
      <c r="U107" s="339" t="n">
        <v>190000</v>
      </c>
      <c r="V107" s="339" t="n">
        <v>131200</v>
      </c>
    </row>
    <row r="108">
      <c r="A108" s="339" t="inlineStr">
        <is>
          <t>남천동</t>
        </is>
      </c>
      <c r="D108" s="339" t="n">
        <v>7770</v>
      </c>
      <c r="E108" s="114" t="inlineStr">
        <is>
          <t>삼익비치타운</t>
        </is>
      </c>
      <c r="F108" s="339" t="n">
        <v>1979.1</v>
      </c>
      <c r="G108" s="339" t="n">
        <v>3060</v>
      </c>
      <c r="H108" s="339">
        <f>2026-F108+1</f>
        <v/>
      </c>
      <c r="J108" s="339" t="n">
        <v>156</v>
      </c>
      <c r="K108" s="339" t="n">
        <v>131</v>
      </c>
      <c r="L108" s="339" t="n">
        <v>47</v>
      </c>
      <c r="M108" s="339" t="inlineStr">
        <is>
          <t>계단식</t>
        </is>
      </c>
      <c r="N108" s="339" t="n">
        <v>4</v>
      </c>
      <c r="O108" s="339" t="n">
        <v>2</v>
      </c>
      <c r="P108" s="339" t="n">
        <v>576</v>
      </c>
      <c r="S108" s="339">
        <f>Q108-R108</f>
        <v/>
      </c>
      <c r="T108" s="362">
        <f>R108/Q108</f>
        <v/>
      </c>
      <c r="U108" s="339" t="n">
        <v>220000</v>
      </c>
      <c r="V108" s="339" t="n">
        <v>149000</v>
      </c>
    </row>
    <row r="109">
      <c r="A109" s="339" t="inlineStr">
        <is>
          <t>남천동</t>
        </is>
      </c>
      <c r="B109" s="339" t="n"/>
      <c r="C109" s="339" t="n"/>
      <c r="D109" s="339" t="n">
        <v>7770</v>
      </c>
      <c r="E109" s="114" t="inlineStr">
        <is>
          <t>삼익비치타운</t>
        </is>
      </c>
      <c r="F109" s="339" t="n">
        <v>1979.1</v>
      </c>
      <c r="G109" s="339" t="n">
        <v>3060</v>
      </c>
      <c r="H109" s="339">
        <f>2026-F109+1</f>
        <v/>
      </c>
      <c r="I109" s="339" t="n"/>
      <c r="J109" s="339" t="n">
        <v>174</v>
      </c>
      <c r="K109" s="339" t="n">
        <v>148</v>
      </c>
      <c r="L109" s="339" t="n">
        <v>53</v>
      </c>
      <c r="M109" s="339" t="inlineStr">
        <is>
          <t>계단식</t>
        </is>
      </c>
      <c r="N109" s="339" t="n">
        <v>5</v>
      </c>
      <c r="O109" s="339" t="n">
        <v>2</v>
      </c>
      <c r="P109" s="339" t="n">
        <v>132</v>
      </c>
      <c r="Q109" s="339" t="n"/>
      <c r="R109" s="339" t="n"/>
      <c r="S109" s="339">
        <f>Q109-R109</f>
        <v/>
      </c>
      <c r="T109" s="362">
        <f>R109/Q109</f>
        <v/>
      </c>
      <c r="U109" s="339" t="n">
        <v>270000</v>
      </c>
      <c r="V109" s="339" t="n">
        <v>195000</v>
      </c>
      <c r="W109" s="339" t="n"/>
      <c r="X109" s="339" t="n"/>
      <c r="Y109" s="339" t="n"/>
      <c r="Z109" s="339" t="n"/>
      <c r="AA109" s="339" t="n"/>
      <c r="AB109" s="339" t="n"/>
      <c r="AC109" s="339" t="n"/>
      <c r="AG109" s="339" t="n"/>
      <c r="AH109" s="339" t="n"/>
      <c r="AI109" s="339" t="n"/>
      <c r="AJ109" s="339" t="n"/>
      <c r="AR109" s="339" t="n"/>
    </row>
    <row r="110">
      <c r="A110" s="133" t="inlineStr">
        <is>
          <t>망미동</t>
        </is>
      </c>
      <c r="B110" s="133" t="n"/>
      <c r="C110" s="133" t="n"/>
      <c r="D110" s="133" t="n">
        <v>19305</v>
      </c>
      <c r="E110" s="135" t="inlineStr">
        <is>
          <t>더샵파크리치</t>
        </is>
      </c>
      <c r="F110" s="133" t="n">
        <v>2007.09</v>
      </c>
      <c r="G110" s="133" t="n">
        <v>862</v>
      </c>
      <c r="H110" s="133">
        <f>2026-F110+1</f>
        <v/>
      </c>
      <c r="I110" s="133" t="n"/>
      <c r="J110" s="133" t="n">
        <v>131</v>
      </c>
      <c r="K110" s="133" t="n">
        <v>101</v>
      </c>
      <c r="L110" s="133" t="n">
        <v>40</v>
      </c>
      <c r="M110" s="133" t="inlineStr">
        <is>
          <t>계단식</t>
        </is>
      </c>
      <c r="N110" s="133" t="n">
        <v>3</v>
      </c>
      <c r="O110" s="133" t="n">
        <v>2</v>
      </c>
      <c r="P110" s="133" t="n">
        <v>141</v>
      </c>
      <c r="Q110" s="133" t="n"/>
      <c r="R110" s="133" t="n"/>
      <c r="S110" s="339">
        <f>Q110-R110</f>
        <v/>
      </c>
      <c r="T110" s="362">
        <f>R110/Q110</f>
        <v/>
      </c>
      <c r="U110" s="133" t="n">
        <v>75000</v>
      </c>
      <c r="V110" s="133" t="n">
        <v>59000</v>
      </c>
      <c r="W110" s="133" t="n"/>
      <c r="X110" s="133" t="n"/>
      <c r="Y110" s="133" t="n"/>
      <c r="Z110" s="133" t="n"/>
      <c r="AA110" s="133" t="n"/>
      <c r="AB110" s="133" t="n"/>
      <c r="AC110" s="133" t="n"/>
      <c r="AG110" s="133" t="n"/>
      <c r="AH110" s="133" t="n"/>
      <c r="AI110" s="133" t="n"/>
      <c r="AJ110" s="133" t="n"/>
      <c r="AR110" s="133" t="n"/>
    </row>
    <row r="111">
      <c r="A111" s="133" t="inlineStr">
        <is>
          <t>망미동</t>
        </is>
      </c>
      <c r="B111" s="133" t="n"/>
      <c r="C111" s="133" t="n"/>
      <c r="D111" s="133" t="n">
        <v>19305</v>
      </c>
      <c r="E111" s="115" t="inlineStr">
        <is>
          <t>더샵파크리치</t>
        </is>
      </c>
      <c r="F111" s="133" t="n">
        <v>2007.09</v>
      </c>
      <c r="G111" s="133" t="n">
        <v>862</v>
      </c>
      <c r="H111" s="133">
        <f>2026-F111+1</f>
        <v/>
      </c>
      <c r="I111" s="133" t="n"/>
      <c r="J111" s="133" t="n">
        <v>149</v>
      </c>
      <c r="K111" s="133" t="n">
        <v>117</v>
      </c>
      <c r="L111" s="133" t="n">
        <v>45</v>
      </c>
      <c r="M111" s="133" t="inlineStr">
        <is>
          <t>계단식</t>
        </is>
      </c>
      <c r="N111" s="133" t="n">
        <v>4</v>
      </c>
      <c r="O111" s="133" t="n">
        <v>2</v>
      </c>
      <c r="P111" s="133" t="n">
        <v>92</v>
      </c>
      <c r="Q111" s="133" t="n"/>
      <c r="R111" s="133" t="n"/>
      <c r="S111" s="339">
        <f>Q111-R111</f>
        <v/>
      </c>
      <c r="T111" s="362">
        <f>R111/Q111</f>
        <v/>
      </c>
      <c r="U111" s="133" t="n">
        <v>85000</v>
      </c>
      <c r="V111" s="133" t="n">
        <v>70000</v>
      </c>
      <c r="W111" s="133" t="n"/>
      <c r="X111" s="133" t="n"/>
      <c r="Y111" s="133" t="n"/>
      <c r="Z111" s="133" t="n"/>
      <c r="AA111" s="133" t="n"/>
      <c r="AB111" s="133" t="n"/>
      <c r="AC111" s="133" t="n"/>
      <c r="AG111" s="133" t="n"/>
      <c r="AH111" s="133" t="n"/>
      <c r="AI111" s="133" t="n"/>
      <c r="AJ111" s="133" t="n"/>
      <c r="AR111" s="133" t="n"/>
    </row>
    <row r="112">
      <c r="A112" s="133" t="inlineStr">
        <is>
          <t>망미동</t>
        </is>
      </c>
      <c r="B112" s="133" t="n"/>
      <c r="C112" s="133" t="n"/>
      <c r="D112" s="133" t="n">
        <v>19305</v>
      </c>
      <c r="E112" s="115" t="inlineStr">
        <is>
          <t>더샵파크리치</t>
        </is>
      </c>
      <c r="F112" s="133" t="n">
        <v>2007.09</v>
      </c>
      <c r="G112" s="133" t="n">
        <v>862</v>
      </c>
      <c r="H112" s="133">
        <f>2026-F112+1</f>
        <v/>
      </c>
      <c r="I112" s="133" t="n"/>
      <c r="J112" s="133" t="n">
        <v>161</v>
      </c>
      <c r="K112" s="133" t="n">
        <v>127</v>
      </c>
      <c r="L112" s="133" t="n">
        <v>49</v>
      </c>
      <c r="M112" s="133" t="inlineStr">
        <is>
          <t>계단식</t>
        </is>
      </c>
      <c r="N112" s="133" t="n">
        <v>4</v>
      </c>
      <c r="O112" s="133" t="n">
        <v>2</v>
      </c>
      <c r="P112" s="133" t="n">
        <v>165</v>
      </c>
      <c r="Q112" s="133" t="n"/>
      <c r="R112" s="133" t="n"/>
      <c r="S112" s="339">
        <f>Q112-R112</f>
        <v/>
      </c>
      <c r="T112" s="362">
        <f>R112/Q112</f>
        <v/>
      </c>
      <c r="U112" s="133" t="n">
        <v>88000</v>
      </c>
      <c r="V112" s="133" t="n">
        <v>88000</v>
      </c>
      <c r="W112" s="133" t="n"/>
      <c r="X112" s="133" t="n"/>
      <c r="Y112" s="133" t="n"/>
      <c r="Z112" s="133" t="n"/>
      <c r="AA112" s="133" t="n"/>
      <c r="AB112" s="133" t="n"/>
      <c r="AC112" s="133" t="n"/>
      <c r="AG112" s="133" t="n"/>
      <c r="AH112" s="133" t="n"/>
      <c r="AI112" s="133" t="n"/>
      <c r="AJ112" s="133" t="n"/>
      <c r="AR112" s="133" t="n"/>
    </row>
    <row r="113">
      <c r="A113" s="133" t="inlineStr">
        <is>
          <t>망미동</t>
        </is>
      </c>
      <c r="B113" s="133" t="n"/>
      <c r="C113" s="133" t="n"/>
      <c r="D113" s="133" t="n">
        <v>19305</v>
      </c>
      <c r="E113" s="115" t="inlineStr">
        <is>
          <t>더샵파크리치</t>
        </is>
      </c>
      <c r="F113" s="133" t="n">
        <v>2007.09</v>
      </c>
      <c r="G113" s="133" t="n">
        <v>862</v>
      </c>
      <c r="H113" s="133">
        <f>2026-F113+1</f>
        <v/>
      </c>
      <c r="I113" s="133" t="n"/>
      <c r="J113" s="133" t="n">
        <v>164</v>
      </c>
      <c r="K113" s="133" t="n">
        <v>129</v>
      </c>
      <c r="L113" s="133" t="n">
        <v>50</v>
      </c>
      <c r="M113" s="133" t="inlineStr">
        <is>
          <t>계단식</t>
        </is>
      </c>
      <c r="N113" s="133" t="n">
        <v>4</v>
      </c>
      <c r="O113" s="133" t="n">
        <v>2</v>
      </c>
      <c r="P113" s="133" t="n">
        <v>204</v>
      </c>
      <c r="Q113" s="133" t="n"/>
      <c r="R113" s="133" t="n"/>
      <c r="S113" s="339">
        <f>Q113-R113</f>
        <v/>
      </c>
      <c r="T113" s="362">
        <f>R113/Q113</f>
        <v/>
      </c>
      <c r="U113" s="133" t="n">
        <v>94000</v>
      </c>
      <c r="V113" s="133" t="n">
        <v>68000</v>
      </c>
      <c r="W113" s="133" t="n"/>
      <c r="X113" s="133" t="n"/>
      <c r="Y113" s="133" t="n"/>
      <c r="Z113" s="133" t="n"/>
      <c r="AA113" s="133" t="n"/>
      <c r="AB113" s="133" t="n"/>
      <c r="AC113" s="133" t="n"/>
      <c r="AG113" s="133" t="n"/>
      <c r="AH113" s="133" t="n"/>
      <c r="AI113" s="133" t="n"/>
      <c r="AJ113" s="133" t="n"/>
      <c r="AR113" s="133" t="n"/>
    </row>
    <row r="114">
      <c r="A114" s="133" t="inlineStr">
        <is>
          <t>망미동</t>
        </is>
      </c>
      <c r="B114" s="133" t="n"/>
      <c r="C114" s="133" t="n"/>
      <c r="D114" s="133" t="n">
        <v>19305</v>
      </c>
      <c r="E114" s="115" t="inlineStr">
        <is>
          <t>더샵파크리치</t>
        </is>
      </c>
      <c r="F114" s="133" t="n">
        <v>2007.09</v>
      </c>
      <c r="G114" s="133" t="n">
        <v>862</v>
      </c>
      <c r="H114" s="133">
        <f>2026-F114+1</f>
        <v/>
      </c>
      <c r="I114" s="133" t="n"/>
      <c r="J114" s="133" t="n">
        <v>190</v>
      </c>
      <c r="K114" s="133" t="n">
        <v>149</v>
      </c>
      <c r="L114" s="133" t="n">
        <v>57</v>
      </c>
      <c r="M114" s="133" t="inlineStr">
        <is>
          <t>계단식</t>
        </is>
      </c>
      <c r="N114" s="133" t="n">
        <v>4</v>
      </c>
      <c r="O114" s="133" t="n">
        <v>2</v>
      </c>
      <c r="P114" s="133" t="n">
        <v>112</v>
      </c>
      <c r="Q114" s="133" t="n"/>
      <c r="R114" s="133" t="n"/>
      <c r="S114" s="339">
        <f>Q114-R114</f>
        <v/>
      </c>
      <c r="T114" s="362">
        <f>R114/Q114</f>
        <v/>
      </c>
      <c r="U114" s="133" t="n"/>
      <c r="V114" s="133" t="n">
        <v>85000</v>
      </c>
      <c r="W114" s="133" t="n"/>
      <c r="X114" s="133" t="n"/>
      <c r="Y114" s="133" t="n"/>
      <c r="Z114" s="133" t="n"/>
      <c r="AA114" s="133" t="n"/>
      <c r="AB114" s="133" t="n"/>
      <c r="AC114" s="133" t="n"/>
      <c r="AG114" s="133" t="n"/>
      <c r="AH114" s="133" t="n"/>
      <c r="AI114" s="133" t="n"/>
      <c r="AJ114" s="133" t="n"/>
      <c r="AR114" s="133" t="n"/>
    </row>
    <row r="115">
      <c r="A115" s="133" t="inlineStr">
        <is>
          <t>망미동</t>
        </is>
      </c>
      <c r="B115" s="133" t="n"/>
      <c r="C115" s="133" t="n"/>
      <c r="D115" s="133" t="n">
        <v>19305</v>
      </c>
      <c r="E115" s="115" t="inlineStr">
        <is>
          <t>더샵파크리치</t>
        </is>
      </c>
      <c r="F115" s="133" t="n">
        <v>2007.09</v>
      </c>
      <c r="G115" s="133" t="n">
        <v>862</v>
      </c>
      <c r="H115" s="133">
        <f>2026-F115+1</f>
        <v/>
      </c>
      <c r="I115" s="133" t="n"/>
      <c r="J115" s="133" t="n">
        <v>221</v>
      </c>
      <c r="K115" s="133" t="n">
        <v>179</v>
      </c>
      <c r="L115" s="133" t="n">
        <v>67</v>
      </c>
      <c r="M115" s="133" t="inlineStr">
        <is>
          <t>계단식</t>
        </is>
      </c>
      <c r="N115" s="133" t="n">
        <v>4</v>
      </c>
      <c r="O115" s="133" t="n">
        <v>3</v>
      </c>
      <c r="P115" s="133" t="n">
        <v>52</v>
      </c>
      <c r="Q115" s="133" t="n"/>
      <c r="R115" s="133" t="n"/>
      <c r="S115" s="339">
        <f>Q115-R115</f>
        <v/>
      </c>
      <c r="T115" s="362">
        <f>R115/Q115</f>
        <v/>
      </c>
      <c r="U115" s="133" t="n">
        <v>115000</v>
      </c>
      <c r="V115" s="133" t="n">
        <v>115000</v>
      </c>
      <c r="W115" s="133" t="n"/>
      <c r="X115" s="133" t="n"/>
      <c r="Y115" s="133" t="n"/>
      <c r="Z115" s="133" t="n"/>
      <c r="AA115" s="133" t="n"/>
      <c r="AB115" s="133" t="n"/>
      <c r="AC115" s="133" t="n"/>
      <c r="AG115" s="133" t="n"/>
      <c r="AH115" s="133" t="n"/>
      <c r="AI115" s="133" t="n"/>
      <c r="AJ115" s="133" t="n"/>
      <c r="AR115" s="133" t="n"/>
    </row>
    <row r="116">
      <c r="A116" s="339" t="inlineStr">
        <is>
          <t>망미동</t>
        </is>
      </c>
      <c r="B116" s="339" t="n"/>
      <c r="C116" s="339" t="n"/>
      <c r="D116" s="339" t="n">
        <v>7878</v>
      </c>
      <c r="E116" s="114" t="inlineStr">
        <is>
          <t>망미로얄베스토피아</t>
        </is>
      </c>
      <c r="F116" s="339" t="n">
        <v>1993.06</v>
      </c>
      <c r="G116" s="339" t="n">
        <v>490</v>
      </c>
      <c r="H116" s="339">
        <f>2026-F116+1</f>
        <v/>
      </c>
      <c r="I116" s="339" t="n"/>
      <c r="J116" s="339" t="n">
        <v>139</v>
      </c>
      <c r="K116" s="339" t="n">
        <v>117</v>
      </c>
      <c r="L116" s="339" t="n">
        <v>42</v>
      </c>
      <c r="M116" s="339" t="inlineStr">
        <is>
          <t>계단식</t>
        </is>
      </c>
      <c r="N116" s="339" t="n">
        <v>4</v>
      </c>
      <c r="O116" s="339" t="n">
        <v>2</v>
      </c>
      <c r="P116" s="339" t="n">
        <v>44</v>
      </c>
      <c r="Q116" s="339" t="n"/>
      <c r="R116" s="339" t="n"/>
      <c r="S116" s="339">
        <f>Q116-R116</f>
        <v/>
      </c>
      <c r="T116" s="362">
        <f>R116/Q116</f>
        <v/>
      </c>
      <c r="U116" s="339" t="n">
        <v>31700</v>
      </c>
      <c r="V116" s="339" t="n">
        <v>28300</v>
      </c>
      <c r="W116" s="339" t="n"/>
      <c r="X116" s="339" t="n"/>
      <c r="Y116" s="339" t="n"/>
      <c r="Z116" s="339" t="n"/>
      <c r="AA116" s="339" t="n"/>
      <c r="AB116" s="339" t="n"/>
      <c r="AC116" s="339" t="n"/>
      <c r="AG116" s="339" t="n"/>
      <c r="AH116" s="339" t="n"/>
      <c r="AI116" s="339" t="n"/>
      <c r="AJ116" s="339" t="n"/>
      <c r="AR116" s="339" t="n"/>
    </row>
    <row r="117">
      <c r="A117" s="339" t="inlineStr">
        <is>
          <t>망미동</t>
        </is>
      </c>
      <c r="B117" s="339" t="n"/>
      <c r="C117" s="339" t="n"/>
      <c r="D117" s="339" t="n">
        <v>7878</v>
      </c>
      <c r="E117" s="114" t="inlineStr">
        <is>
          <t>망미로얄베스토피아</t>
        </is>
      </c>
      <c r="F117" s="339" t="n">
        <v>1993.06</v>
      </c>
      <c r="G117" s="339" t="n">
        <v>490</v>
      </c>
      <c r="H117" s="339">
        <f>2026-F117+1</f>
        <v/>
      </c>
      <c r="I117" s="339" t="n"/>
      <c r="J117" s="339" t="n">
        <v>163</v>
      </c>
      <c r="K117" s="339" t="n">
        <v>139</v>
      </c>
      <c r="L117" s="339" t="n">
        <v>49</v>
      </c>
      <c r="M117" s="339" t="inlineStr">
        <is>
          <t>계단식</t>
        </is>
      </c>
      <c r="N117" s="339" t="n">
        <v>5</v>
      </c>
      <c r="O117" s="339" t="n">
        <v>2</v>
      </c>
      <c r="P117" s="339" t="n">
        <v>22</v>
      </c>
      <c r="Q117" s="339" t="n"/>
      <c r="R117" s="339" t="n"/>
      <c r="S117" s="339">
        <f>Q117-R117</f>
        <v/>
      </c>
      <c r="T117" s="362">
        <f>R117/Q117</f>
        <v/>
      </c>
      <c r="U117" s="339" t="n">
        <v>32500</v>
      </c>
      <c r="V117" s="339" t="n">
        <v>32000</v>
      </c>
      <c r="W117" s="339" t="n"/>
      <c r="X117" s="339" t="n"/>
      <c r="Y117" s="339" t="n"/>
      <c r="Z117" s="339" t="n"/>
      <c r="AA117" s="339" t="n"/>
      <c r="AB117" s="339" t="n"/>
      <c r="AC117" s="339" t="n"/>
      <c r="AG117" s="339" t="n"/>
      <c r="AH117" s="339" t="n"/>
      <c r="AI117" s="339" t="n"/>
      <c r="AJ117" s="339" t="n"/>
      <c r="AR117" s="339" t="n"/>
    </row>
    <row r="118">
      <c r="A118" s="339" t="inlineStr">
        <is>
          <t>망미동</t>
        </is>
      </c>
      <c r="D118" s="339" t="n">
        <v>7878</v>
      </c>
      <c r="E118" s="114" t="inlineStr">
        <is>
          <t>망미로얄베스토피아</t>
        </is>
      </c>
      <c r="F118" s="339" t="n">
        <v>1993.06</v>
      </c>
      <c r="G118" s="339" t="n">
        <v>490</v>
      </c>
      <c r="H118" s="339">
        <f>2026-F118+1</f>
        <v/>
      </c>
      <c r="J118" s="339" t="n">
        <v>200</v>
      </c>
      <c r="K118" s="339" t="n">
        <v>172</v>
      </c>
      <c r="L118" s="339" t="n">
        <v>60</v>
      </c>
      <c r="M118" s="339" t="inlineStr">
        <is>
          <t>계단식</t>
        </is>
      </c>
      <c r="N118" s="339" t="n">
        <v>6</v>
      </c>
      <c r="O118" s="339" t="n">
        <v>2</v>
      </c>
      <c r="P118" s="339" t="n">
        <v>22</v>
      </c>
      <c r="S118" s="339">
        <f>Q118-R118</f>
        <v/>
      </c>
      <c r="T118" s="362">
        <f>R118/Q118</f>
        <v/>
      </c>
      <c r="U118" s="339" t="n">
        <v>37800</v>
      </c>
      <c r="V118" s="339" t="n"/>
    </row>
    <row r="119">
      <c r="A119" s="133" t="inlineStr">
        <is>
          <t>망미동</t>
        </is>
      </c>
      <c r="B119" s="133" t="n"/>
      <c r="C119" s="133" t="n"/>
      <c r="D119" s="133" t="n">
        <v>109225</v>
      </c>
      <c r="E119" s="115" t="inlineStr">
        <is>
          <t>망미이진캐스빌</t>
        </is>
      </c>
      <c r="F119" s="133" t="n">
        <v>2017.08</v>
      </c>
      <c r="G119" s="133" t="n">
        <v>343</v>
      </c>
      <c r="H119" s="133">
        <f>2026-F119+1</f>
        <v/>
      </c>
      <c r="I119" s="133" t="n"/>
      <c r="J119" s="133" t="n">
        <v>92</v>
      </c>
      <c r="K119" s="133" t="n">
        <v>65</v>
      </c>
      <c r="L119" s="133" t="n">
        <v>28</v>
      </c>
      <c r="M119" s="133" t="inlineStr">
        <is>
          <t>계단식</t>
        </is>
      </c>
      <c r="N119" s="133" t="n">
        <v>3</v>
      </c>
      <c r="O119" s="133" t="n">
        <v>2</v>
      </c>
      <c r="P119" s="133" t="n">
        <v>46</v>
      </c>
      <c r="Q119" s="133" t="n"/>
      <c r="R119" s="133" t="n"/>
      <c r="S119" s="339">
        <f>Q119-R119</f>
        <v/>
      </c>
      <c r="T119" s="362">
        <f>R119/Q119</f>
        <v/>
      </c>
      <c r="U119" s="133" t="n">
        <v>46200</v>
      </c>
      <c r="V119" s="133" t="n">
        <v>35000</v>
      </c>
      <c r="W119" s="133" t="n"/>
      <c r="X119" s="133" t="n"/>
      <c r="Y119" s="133" t="n"/>
      <c r="Z119" s="133" t="n"/>
      <c r="AA119" s="133" t="n"/>
      <c r="AB119" s="133" t="n"/>
      <c r="AC119" s="133" t="n"/>
      <c r="AG119" s="133" t="n"/>
      <c r="AH119" s="133" t="n"/>
      <c r="AI119" s="133" t="n"/>
      <c r="AJ119" s="133" t="n"/>
      <c r="AR119" s="133" t="n"/>
    </row>
    <row r="120">
      <c r="A120" s="339" t="inlineStr">
        <is>
          <t>망미동</t>
        </is>
      </c>
      <c r="D120" s="339" t="n">
        <v>7881</v>
      </c>
      <c r="E120" s="114" t="inlineStr">
        <is>
          <t>삼성</t>
        </is>
      </c>
      <c r="F120" s="339" t="n">
        <v>1991.11</v>
      </c>
      <c r="G120" s="339" t="n">
        <v>672</v>
      </c>
      <c r="H120" s="339">
        <f>2026-F120+1</f>
        <v/>
      </c>
      <c r="K120" s="339" t="n">
        <v>84</v>
      </c>
      <c r="M120" s="339" t="inlineStr">
        <is>
          <t>계단식</t>
        </is>
      </c>
      <c r="N120" s="339" t="n">
        <v>3</v>
      </c>
      <c r="O120" s="339" t="n">
        <v>1</v>
      </c>
      <c r="P120" s="339" t="n">
        <v>45</v>
      </c>
      <c r="S120" s="339">
        <f>Q120-R120</f>
        <v/>
      </c>
      <c r="T120" s="362">
        <f>R120/Q120</f>
        <v/>
      </c>
      <c r="U120" s="339" t="n">
        <v>45300</v>
      </c>
      <c r="V120" s="339" t="n">
        <v>26000</v>
      </c>
    </row>
    <row r="121">
      <c r="A121" s="339" t="inlineStr">
        <is>
          <t>망미동</t>
        </is>
      </c>
      <c r="D121" s="339" t="n">
        <v>7881</v>
      </c>
      <c r="E121" s="114" t="inlineStr">
        <is>
          <t>삼성</t>
        </is>
      </c>
      <c r="F121" s="339" t="n">
        <v>1991.11</v>
      </c>
      <c r="G121" s="339" t="n">
        <v>672</v>
      </c>
      <c r="H121" s="339">
        <f>2026-F121+1</f>
        <v/>
      </c>
      <c r="J121" s="339" t="n">
        <v>126</v>
      </c>
      <c r="K121" s="339" t="n">
        <v>115</v>
      </c>
      <c r="L121" s="339" t="n">
        <v>38</v>
      </c>
      <c r="M121" s="339" t="inlineStr">
        <is>
          <t>계단식</t>
        </is>
      </c>
      <c r="N121" s="339" t="n">
        <v>4</v>
      </c>
      <c r="O121" s="339" t="n">
        <v>2</v>
      </c>
      <c r="P121" s="339" t="n">
        <v>90</v>
      </c>
      <c r="S121" s="339">
        <f>Q121-R121</f>
        <v/>
      </c>
      <c r="T121" s="362">
        <f>R121/Q121</f>
        <v/>
      </c>
      <c r="U121" s="339" t="n">
        <v>49500</v>
      </c>
      <c r="V121" s="339" t="n">
        <v>41500</v>
      </c>
    </row>
    <row r="122">
      <c r="A122" s="339" t="inlineStr">
        <is>
          <t>망미동</t>
        </is>
      </c>
      <c r="D122" s="339" t="n">
        <v>7881</v>
      </c>
      <c r="E122" s="114" t="inlineStr">
        <is>
          <t>삼성</t>
        </is>
      </c>
      <c r="F122" s="339" t="n">
        <v>1991.11</v>
      </c>
      <c r="G122" s="339" t="n">
        <v>672</v>
      </c>
      <c r="H122" s="339">
        <f>2026-F122+1</f>
        <v/>
      </c>
      <c r="J122" s="339" t="n">
        <v>145</v>
      </c>
      <c r="K122" s="339" t="n">
        <v>133</v>
      </c>
      <c r="L122" s="339" t="n">
        <v>44</v>
      </c>
      <c r="M122" s="339" t="inlineStr">
        <is>
          <t>계단식</t>
        </is>
      </c>
      <c r="N122" s="339" t="n">
        <v>4</v>
      </c>
      <c r="O122" s="339" t="n">
        <v>2</v>
      </c>
      <c r="P122" s="339" t="n">
        <v>150</v>
      </c>
      <c r="S122" s="339">
        <f>Q122-R122</f>
        <v/>
      </c>
      <c r="T122" s="362">
        <f>R122/Q122</f>
        <v/>
      </c>
      <c r="U122" s="339" t="n">
        <v>59000</v>
      </c>
      <c r="V122" s="339" t="n">
        <v>44500</v>
      </c>
    </row>
    <row r="123">
      <c r="A123" s="339" t="inlineStr">
        <is>
          <t>망미동</t>
        </is>
      </c>
      <c r="B123" s="339" t="n"/>
      <c r="C123" s="339" t="n"/>
      <c r="D123" s="339" t="n">
        <v>7881</v>
      </c>
      <c r="E123" s="114" t="inlineStr">
        <is>
          <t>삼성</t>
        </is>
      </c>
      <c r="F123" s="339" t="n">
        <v>1991.11</v>
      </c>
      <c r="G123" s="339" t="n">
        <v>672</v>
      </c>
      <c r="H123" s="339">
        <f>2026-F123+1</f>
        <v/>
      </c>
      <c r="I123" s="339" t="n"/>
      <c r="J123" s="339" t="n">
        <v>170</v>
      </c>
      <c r="K123" s="339" t="n">
        <v>147</v>
      </c>
      <c r="L123" s="339" t="n">
        <v>51</v>
      </c>
      <c r="M123" s="339" t="inlineStr">
        <is>
          <t>계단식</t>
        </is>
      </c>
      <c r="N123" s="339" t="n">
        <v>5</v>
      </c>
      <c r="O123" s="339" t="n">
        <v>2</v>
      </c>
      <c r="P123" s="339" t="n">
        <v>120</v>
      </c>
      <c r="Q123" s="339" t="n"/>
      <c r="R123" s="339" t="n"/>
      <c r="S123" s="339">
        <f>Q123-R123</f>
        <v/>
      </c>
      <c r="T123" s="362">
        <f>R123/Q123</f>
        <v/>
      </c>
      <c r="U123" s="339" t="n">
        <v>66300</v>
      </c>
      <c r="V123" s="339" t="n">
        <v>45000</v>
      </c>
      <c r="W123" s="339" t="n"/>
      <c r="X123" s="339" t="n"/>
      <c r="Y123" s="339" t="n"/>
      <c r="Z123" s="339" t="n"/>
      <c r="AA123" s="339" t="n"/>
      <c r="AB123" s="339" t="n"/>
      <c r="AC123" s="339" t="n"/>
      <c r="AG123" s="339" t="n"/>
      <c r="AH123" s="339" t="n"/>
      <c r="AI123" s="339" t="n"/>
      <c r="AJ123" s="339" t="n"/>
      <c r="AR123" s="339" t="n"/>
    </row>
    <row r="124">
      <c r="A124" s="339" t="inlineStr">
        <is>
          <t>망미동</t>
        </is>
      </c>
      <c r="B124" s="339" t="n"/>
      <c r="C124" s="339" t="n"/>
      <c r="D124" s="339" t="n">
        <v>7881</v>
      </c>
      <c r="E124" s="114" t="inlineStr">
        <is>
          <t>삼성</t>
        </is>
      </c>
      <c r="F124" s="339" t="n">
        <v>1991.11</v>
      </c>
      <c r="G124" s="339" t="n">
        <v>672</v>
      </c>
      <c r="H124" s="339">
        <f>2026-F124+1</f>
        <v/>
      </c>
      <c r="I124" s="339" t="n"/>
      <c r="J124" s="339" t="n">
        <v>175</v>
      </c>
      <c r="K124" s="339" t="n">
        <v>163</v>
      </c>
      <c r="L124" s="339" t="n">
        <v>53</v>
      </c>
      <c r="M124" s="339" t="inlineStr">
        <is>
          <t>계단식</t>
        </is>
      </c>
      <c r="N124" s="339" t="n">
        <v>4</v>
      </c>
      <c r="O124" s="339" t="n">
        <v>2</v>
      </c>
      <c r="P124" s="339" t="n">
        <v>12</v>
      </c>
      <c r="Q124" s="339" t="n"/>
      <c r="R124" s="339" t="n"/>
      <c r="S124" s="339">
        <f>Q124-R124</f>
        <v/>
      </c>
      <c r="T124" s="362">
        <f>R124/Q124</f>
        <v/>
      </c>
      <c r="U124" s="339" t="n"/>
      <c r="V124" s="339" t="n"/>
      <c r="W124" s="339" t="n"/>
      <c r="X124" s="339" t="n"/>
      <c r="Y124" s="339" t="n"/>
      <c r="Z124" s="339" t="n"/>
      <c r="AA124" s="339" t="n"/>
      <c r="AB124" s="339" t="n"/>
      <c r="AC124" s="339" t="n"/>
      <c r="AG124" s="339" t="n"/>
      <c r="AH124" s="339" t="n"/>
      <c r="AI124" s="339" t="n"/>
      <c r="AJ124" s="339" t="n"/>
      <c r="AR124" s="339" t="n"/>
    </row>
    <row r="125">
      <c r="A125" s="133" t="inlineStr">
        <is>
          <t>망미동</t>
        </is>
      </c>
      <c r="B125" s="133" t="n"/>
      <c r="C125" s="133" t="n"/>
      <c r="D125" s="133" t="n">
        <v>9885</v>
      </c>
      <c r="E125" s="115" t="inlineStr">
        <is>
          <t>센텀수영강변e-편한세상1차</t>
        </is>
      </c>
      <c r="F125" s="133" t="n">
        <v>2004.06</v>
      </c>
      <c r="G125" s="133" t="n">
        <v>480</v>
      </c>
      <c r="H125" s="133">
        <f>2026-F125+1</f>
        <v/>
      </c>
      <c r="I125" s="133" t="n"/>
      <c r="J125" s="133" t="n">
        <v>107</v>
      </c>
      <c r="K125" s="133" t="n">
        <v>84</v>
      </c>
      <c r="L125" s="133" t="n">
        <v>32</v>
      </c>
      <c r="M125" s="133" t="inlineStr">
        <is>
          <t>계단식</t>
        </is>
      </c>
      <c r="N125" s="133" t="n">
        <v>3</v>
      </c>
      <c r="O125" s="133" t="n">
        <v>2</v>
      </c>
      <c r="P125" s="133" t="n">
        <v>480</v>
      </c>
      <c r="Q125" s="133" t="n"/>
      <c r="R125" s="133" t="n"/>
      <c r="S125" s="339">
        <f>Q125-R125</f>
        <v/>
      </c>
      <c r="T125" s="362">
        <f>R125/Q125</f>
        <v/>
      </c>
      <c r="U125" s="133" t="n">
        <v>59000</v>
      </c>
      <c r="V125" s="133" t="n">
        <v>34000</v>
      </c>
      <c r="W125" s="133" t="n"/>
      <c r="X125" s="133" t="n"/>
      <c r="Y125" s="133" t="n"/>
      <c r="Z125" s="133" t="n"/>
      <c r="AA125" s="133" t="n"/>
      <c r="AB125" s="133" t="n"/>
      <c r="AC125" s="133" t="n"/>
      <c r="AG125" s="133" t="n"/>
      <c r="AH125" s="133" t="n"/>
      <c r="AI125" s="133" t="n"/>
      <c r="AJ125" s="133" t="n"/>
      <c r="AR125" s="133" t="n"/>
    </row>
    <row r="126">
      <c r="A126" s="133" t="inlineStr">
        <is>
          <t>망미동</t>
        </is>
      </c>
      <c r="B126" s="133" t="n"/>
      <c r="C126" s="133" t="n"/>
      <c r="D126" s="133" t="n">
        <v>11005</v>
      </c>
      <c r="E126" s="115" t="inlineStr">
        <is>
          <t>센텀수영강변e-편한세상3차</t>
        </is>
      </c>
      <c r="F126" s="133" t="n">
        <v>2005.07</v>
      </c>
      <c r="G126" s="133" t="n">
        <v>530</v>
      </c>
      <c r="H126" s="133">
        <f>2026-F126+1</f>
        <v/>
      </c>
      <c r="I126" s="133" t="n"/>
      <c r="J126" s="133" t="n"/>
      <c r="K126" s="133" t="n">
        <v>84</v>
      </c>
      <c r="L126" s="133" t="n"/>
      <c r="M126" s="133" t="inlineStr">
        <is>
          <t>계단식</t>
        </is>
      </c>
      <c r="N126" s="133" t="n">
        <v>3</v>
      </c>
      <c r="O126" s="133" t="n">
        <v>2</v>
      </c>
      <c r="P126" s="133" t="n">
        <v>530</v>
      </c>
      <c r="Q126" s="133" t="n"/>
      <c r="R126" s="133" t="n"/>
      <c r="S126" s="339">
        <f>Q126-R126</f>
        <v/>
      </c>
      <c r="T126" s="362">
        <f>R126/Q126</f>
        <v/>
      </c>
      <c r="U126" s="133" t="n">
        <v>63300</v>
      </c>
      <c r="V126" s="133" t="n">
        <v>35000</v>
      </c>
      <c r="W126" s="133" t="n"/>
      <c r="X126" s="133" t="n"/>
      <c r="Y126" s="133" t="n"/>
      <c r="Z126" s="133" t="n"/>
      <c r="AA126" s="133" t="n"/>
      <c r="AB126" s="133" t="n"/>
      <c r="AC126" s="133" t="n"/>
      <c r="AG126" s="133" t="n"/>
      <c r="AH126" s="133" t="n"/>
      <c r="AI126" s="133" t="n"/>
      <c r="AJ126" s="133" t="n"/>
      <c r="AR126" s="133" t="n"/>
    </row>
    <row r="127">
      <c r="A127" s="133" t="inlineStr">
        <is>
          <t>망미동</t>
        </is>
      </c>
      <c r="B127" s="133" t="n"/>
      <c r="C127" s="133" t="n"/>
      <c r="D127" s="133" t="n">
        <v>7887</v>
      </c>
      <c r="E127" s="115" t="inlineStr">
        <is>
          <t>현대한누리타운</t>
        </is>
      </c>
      <c r="F127" s="133" t="n">
        <v>1993.11</v>
      </c>
      <c r="G127" s="133" t="n">
        <v>458</v>
      </c>
      <c r="H127" s="133">
        <f>2026-F127+1</f>
        <v/>
      </c>
      <c r="I127" s="133" t="n"/>
      <c r="J127" s="133" t="n">
        <v>75</v>
      </c>
      <c r="K127" s="133" t="n">
        <v>61</v>
      </c>
      <c r="L127" s="133" t="n">
        <v>23</v>
      </c>
      <c r="M127" s="133" t="inlineStr">
        <is>
          <t>계단식</t>
        </is>
      </c>
      <c r="N127" s="133" t="n">
        <v>3</v>
      </c>
      <c r="O127" s="133" t="n">
        <v>1</v>
      </c>
      <c r="P127" s="133" t="n">
        <v>50</v>
      </c>
      <c r="Q127" s="133" t="n"/>
      <c r="R127" s="133" t="n"/>
      <c r="S127" s="339">
        <f>Q127-R127</f>
        <v/>
      </c>
      <c r="T127" s="362">
        <f>R127/Q127</f>
        <v/>
      </c>
      <c r="U127" s="133" t="n">
        <v>23500</v>
      </c>
      <c r="V127" s="133" t="n">
        <v>19500</v>
      </c>
      <c r="W127" s="133" t="n"/>
      <c r="X127" s="133" t="n"/>
      <c r="Y127" s="133" t="n"/>
      <c r="Z127" s="133" t="n"/>
      <c r="AA127" s="133" t="n"/>
      <c r="AB127" s="133" t="n"/>
      <c r="AC127" s="133" t="n"/>
      <c r="AG127" s="133" t="n"/>
      <c r="AH127" s="133" t="n"/>
      <c r="AI127" s="133" t="n"/>
      <c r="AJ127" s="133" t="n"/>
      <c r="AR127" s="133" t="n"/>
    </row>
    <row r="128">
      <c r="A128" s="133" t="inlineStr">
        <is>
          <t>망미동</t>
        </is>
      </c>
      <c r="B128" s="133" t="n"/>
      <c r="C128" s="133" t="n"/>
      <c r="D128" s="133" t="n">
        <v>7887</v>
      </c>
      <c r="E128" s="135" t="inlineStr">
        <is>
          <t>현대한누리타운</t>
        </is>
      </c>
      <c r="F128" s="133" t="n">
        <v>1993.11</v>
      </c>
      <c r="G128" s="133" t="n">
        <v>458</v>
      </c>
      <c r="H128" s="133">
        <f>2026-F128+1</f>
        <v/>
      </c>
      <c r="I128" s="133" t="n"/>
      <c r="J128" s="133" t="n">
        <v>91</v>
      </c>
      <c r="K128" s="133" t="n">
        <v>74</v>
      </c>
      <c r="L128" s="133" t="n">
        <v>28</v>
      </c>
      <c r="M128" s="133" t="inlineStr">
        <is>
          <t>계단식</t>
        </is>
      </c>
      <c r="N128" s="133" t="n">
        <v>3</v>
      </c>
      <c r="O128" s="133" t="n">
        <v>1</v>
      </c>
      <c r="P128" s="133" t="n">
        <v>78</v>
      </c>
      <c r="Q128" s="133" t="n"/>
      <c r="R128" s="133" t="n"/>
      <c r="S128" s="339">
        <f>Q128-R128</f>
        <v/>
      </c>
      <c r="T128" s="362">
        <f>R128/Q128</f>
        <v/>
      </c>
      <c r="U128" s="133" t="n">
        <v>27500</v>
      </c>
      <c r="V128" s="133" t="n">
        <v>20500</v>
      </c>
      <c r="W128" s="133" t="n"/>
      <c r="X128" s="133" t="n"/>
      <c r="Y128" s="133" t="n"/>
      <c r="Z128" s="133" t="n"/>
      <c r="AA128" s="133" t="n"/>
      <c r="AB128" s="133" t="n"/>
      <c r="AC128" s="133" t="n"/>
      <c r="AG128" s="133" t="n"/>
      <c r="AH128" s="133" t="n"/>
      <c r="AI128" s="133" t="n"/>
      <c r="AJ128" s="133" t="n"/>
      <c r="AR128" s="133" t="n"/>
    </row>
    <row r="129">
      <c r="A129" s="133" t="inlineStr">
        <is>
          <t>민락동</t>
        </is>
      </c>
      <c r="B129" s="133" t="n"/>
      <c r="C129" s="133" t="n"/>
      <c r="D129" s="133" t="n">
        <v>117979</v>
      </c>
      <c r="E129" s="115" t="inlineStr">
        <is>
          <t>e편한세상오션테라스3단지</t>
        </is>
      </c>
      <c r="F129" s="133" t="n">
        <v>2020.01</v>
      </c>
      <c r="G129" s="133" t="n">
        <v>316</v>
      </c>
      <c r="H129" s="133">
        <f>2026-F129+1</f>
        <v/>
      </c>
      <c r="I129" s="133" t="n"/>
      <c r="J129" s="133" t="n"/>
      <c r="K129" s="133" t="n">
        <v>91</v>
      </c>
      <c r="L129" s="133" t="n"/>
      <c r="M129" s="133" t="inlineStr">
        <is>
          <t>계단식</t>
        </is>
      </c>
      <c r="N129" s="133" t="n">
        <v>3</v>
      </c>
      <c r="O129" s="133" t="n">
        <v>2</v>
      </c>
      <c r="P129" s="133" t="n">
        <v>78</v>
      </c>
      <c r="Q129" s="133" t="n"/>
      <c r="R129" s="133" t="n"/>
      <c r="S129" s="339">
        <f>Q129-R129</f>
        <v/>
      </c>
      <c r="T129" s="362">
        <f>R129/Q129</f>
        <v/>
      </c>
      <c r="U129" s="133" t="n">
        <v>110000</v>
      </c>
      <c r="V129" s="133" t="n">
        <v>85000</v>
      </c>
      <c r="W129" s="133" t="n"/>
      <c r="X129" s="133" t="n"/>
      <c r="Y129" s="133" t="n"/>
      <c r="Z129" s="133" t="n"/>
      <c r="AA129" s="133" t="n"/>
      <c r="AB129" s="133" t="n"/>
      <c r="AC129" s="133" t="n"/>
      <c r="AG129" s="133" t="n"/>
      <c r="AH129" s="133" t="n"/>
      <c r="AI129" s="133" t="n"/>
      <c r="AJ129" s="133" t="n"/>
      <c r="AR129" s="133" t="n"/>
    </row>
    <row r="130">
      <c r="A130" s="133" t="inlineStr">
        <is>
          <t>민락동</t>
        </is>
      </c>
      <c r="B130" s="133" t="n"/>
      <c r="C130" s="133" t="n"/>
      <c r="D130" s="133" t="n">
        <v>117979</v>
      </c>
      <c r="E130" s="135" t="inlineStr">
        <is>
          <t>e편한세상오션테라스3단지</t>
        </is>
      </c>
      <c r="F130" s="133" t="n">
        <v>2020.01</v>
      </c>
      <c r="G130" s="133" t="n">
        <v>316</v>
      </c>
      <c r="H130" s="133">
        <f>2026-F130+1</f>
        <v/>
      </c>
      <c r="I130" s="133" t="n"/>
      <c r="J130" s="133" t="n"/>
      <c r="K130" s="133" t="n">
        <v>114</v>
      </c>
      <c r="L130" s="133" t="n"/>
      <c r="M130" s="133" t="inlineStr">
        <is>
          <t>계단식</t>
        </is>
      </c>
      <c r="N130" s="133" t="n">
        <v>3</v>
      </c>
      <c r="O130" s="133" t="n">
        <v>2</v>
      </c>
      <c r="P130" s="133" t="n">
        <v>78</v>
      </c>
      <c r="Q130" s="133" t="n"/>
      <c r="R130" s="133" t="n"/>
      <c r="S130" s="339">
        <f>Q130-R130</f>
        <v/>
      </c>
      <c r="T130" s="362">
        <f>R130/Q130</f>
        <v/>
      </c>
      <c r="U130" s="133" t="n"/>
      <c r="V130" s="133" t="n">
        <v>101000</v>
      </c>
      <c r="W130" s="133" t="n"/>
      <c r="X130" s="133" t="n"/>
      <c r="Y130" s="133" t="n"/>
      <c r="Z130" s="133" t="n"/>
      <c r="AA130" s="133" t="n"/>
      <c r="AB130" s="133" t="n"/>
      <c r="AC130" s="133" t="n"/>
      <c r="AG130" s="133" t="n"/>
      <c r="AH130" s="133" t="n"/>
      <c r="AI130" s="133" t="n"/>
      <c r="AJ130" s="133" t="n"/>
      <c r="AR130" s="133" t="n"/>
    </row>
    <row r="131">
      <c r="A131" s="133" t="inlineStr">
        <is>
          <t>민락동</t>
        </is>
      </c>
      <c r="B131" s="133" t="n"/>
      <c r="C131" s="133" t="n"/>
      <c r="D131" s="133" t="n">
        <v>117979</v>
      </c>
      <c r="E131" s="115" t="inlineStr">
        <is>
          <t>e편한세상오션테라스3단지</t>
        </is>
      </c>
      <c r="F131" s="133" t="n">
        <v>2020.01</v>
      </c>
      <c r="G131" s="133" t="n">
        <v>316</v>
      </c>
      <c r="H131" s="133">
        <f>2026-F131+1</f>
        <v/>
      </c>
      <c r="I131" s="133" t="n"/>
      <c r="J131" s="133" t="n"/>
      <c r="K131" s="133" t="n">
        <v>159</v>
      </c>
      <c r="L131" s="133" t="n"/>
      <c r="M131" s="133" t="inlineStr">
        <is>
          <t>계단식</t>
        </is>
      </c>
      <c r="N131" s="133" t="n">
        <v>4</v>
      </c>
      <c r="O131" s="133" t="n">
        <v>3</v>
      </c>
      <c r="P131" s="133" t="n">
        <v>2</v>
      </c>
      <c r="Q131" s="133" t="n"/>
      <c r="R131" s="133" t="n"/>
      <c r="S131" s="339">
        <f>Q131-R131</f>
        <v/>
      </c>
      <c r="T131" s="362">
        <f>R131/Q131</f>
        <v/>
      </c>
      <c r="U131" s="133" t="n">
        <v>238000</v>
      </c>
      <c r="V131" s="133" t="n">
        <v>238000</v>
      </c>
      <c r="W131" s="133" t="n"/>
      <c r="X131" s="133" t="n"/>
      <c r="Y131" s="133" t="n"/>
      <c r="Z131" s="133" t="n"/>
      <c r="AA131" s="133" t="n"/>
      <c r="AB131" s="133" t="n"/>
      <c r="AC131" s="133" t="n"/>
      <c r="AG131" s="133" t="n"/>
      <c r="AH131" s="133" t="n"/>
      <c r="AI131" s="133" t="n"/>
      <c r="AJ131" s="133" t="n"/>
      <c r="AR131" s="133" t="n"/>
    </row>
    <row r="132">
      <c r="A132" s="133" t="inlineStr">
        <is>
          <t>민락동</t>
        </is>
      </c>
      <c r="B132" s="133" t="n"/>
      <c r="C132" s="133" t="n"/>
      <c r="D132" s="133" t="n">
        <v>117979</v>
      </c>
      <c r="E132" s="115" t="inlineStr">
        <is>
          <t>e편한세상오션테라스3단지</t>
        </is>
      </c>
      <c r="F132" s="133" t="n">
        <v>2020.01</v>
      </c>
      <c r="G132" s="133" t="n">
        <v>316</v>
      </c>
      <c r="H132" s="133">
        <f>2026-F132+1</f>
        <v/>
      </c>
      <c r="I132" s="133" t="n"/>
      <c r="J132" s="133" t="n"/>
      <c r="K132" s="133" t="n">
        <v>160</v>
      </c>
      <c r="L132" s="133" t="n"/>
      <c r="M132" s="133" t="inlineStr">
        <is>
          <t>계단식</t>
        </is>
      </c>
      <c r="N132" s="133" t="n">
        <v>4</v>
      </c>
      <c r="O132" s="133" t="n">
        <v>3</v>
      </c>
      <c r="P132" s="133" t="n">
        <v>2</v>
      </c>
      <c r="Q132" s="133" t="n"/>
      <c r="R132" s="133" t="n"/>
      <c r="S132" s="339">
        <f>Q132-R132</f>
        <v/>
      </c>
      <c r="T132" s="362">
        <f>R132/Q132</f>
        <v/>
      </c>
      <c r="U132" s="133" t="n">
        <v>238000</v>
      </c>
      <c r="V132" s="133" t="n">
        <v>238000</v>
      </c>
      <c r="W132" s="133" t="n"/>
      <c r="X132" s="133" t="n"/>
      <c r="Y132" s="133" t="n"/>
      <c r="Z132" s="133" t="n"/>
      <c r="AA132" s="133" t="n"/>
      <c r="AB132" s="133" t="n"/>
      <c r="AC132" s="133" t="n"/>
      <c r="AG132" s="133" t="n"/>
      <c r="AH132" s="133" t="n"/>
      <c r="AI132" s="133" t="n"/>
      <c r="AJ132" s="133" t="n"/>
      <c r="AR132" s="133" t="n"/>
    </row>
    <row r="133">
      <c r="A133" s="339" t="inlineStr">
        <is>
          <t>민락동</t>
        </is>
      </c>
      <c r="B133" s="339" t="n"/>
      <c r="C133" s="339" t="n"/>
      <c r="D133" s="339" t="n">
        <v>117980</v>
      </c>
      <c r="E133" s="114" t="inlineStr">
        <is>
          <t>e편한세상오션테라스4단지</t>
        </is>
      </c>
      <c r="F133" s="339" t="n">
        <v>2020.01</v>
      </c>
      <c r="G133" s="339" t="n">
        <v>308</v>
      </c>
      <c r="H133" s="339">
        <f>2026-F133+1</f>
        <v/>
      </c>
      <c r="I133" s="339" t="n"/>
      <c r="J133" s="339" t="n"/>
      <c r="K133" s="339" t="n">
        <v>91</v>
      </c>
      <c r="L133" s="339" t="n"/>
      <c r="M133" s="339" t="inlineStr">
        <is>
          <t>계단식</t>
        </is>
      </c>
      <c r="N133" s="339" t="n">
        <v>3</v>
      </c>
      <c r="O133" s="339" t="n">
        <v>2</v>
      </c>
      <c r="P133" s="339" t="n">
        <v>76</v>
      </c>
      <c r="Q133" s="339" t="n"/>
      <c r="R133" s="339" t="n"/>
      <c r="S133" s="339">
        <f>Q133-R133</f>
        <v/>
      </c>
      <c r="T133" s="362">
        <f>R133/Q133</f>
        <v/>
      </c>
      <c r="U133" s="339" t="n">
        <v>123000</v>
      </c>
      <c r="V133" s="339" t="n">
        <v>122500</v>
      </c>
      <c r="W133" s="339" t="n"/>
      <c r="X133" s="339" t="n"/>
      <c r="Y133" s="339" t="n"/>
      <c r="Z133" s="339" t="n"/>
      <c r="AA133" s="339" t="n"/>
      <c r="AB133" s="339" t="n"/>
      <c r="AC133" s="339" t="n"/>
      <c r="AG133" s="339" t="n"/>
      <c r="AH133" s="339" t="n"/>
      <c r="AI133" s="339" t="n"/>
      <c r="AJ133" s="339" t="n"/>
      <c r="AR133" s="339" t="n"/>
    </row>
    <row r="134">
      <c r="A134" s="339" t="inlineStr">
        <is>
          <t>민락동</t>
        </is>
      </c>
      <c r="B134" s="339" t="n"/>
      <c r="C134" s="339" t="n"/>
      <c r="D134" s="339" t="n">
        <v>117980</v>
      </c>
      <c r="E134" s="114" t="inlineStr">
        <is>
          <t>e편한세상오션테라스4단지</t>
        </is>
      </c>
      <c r="F134" s="339" t="n">
        <v>2020.01</v>
      </c>
      <c r="G134" s="339" t="n">
        <v>308</v>
      </c>
      <c r="H134" s="339">
        <f>2026-F134+1</f>
        <v/>
      </c>
      <c r="I134" s="339" t="n"/>
      <c r="J134" s="339" t="n"/>
      <c r="K134" s="339" t="n">
        <v>114</v>
      </c>
      <c r="L134" s="339" t="n"/>
      <c r="M134" s="339" t="inlineStr">
        <is>
          <t>계단식</t>
        </is>
      </c>
      <c r="N134" s="339" t="n">
        <v>3</v>
      </c>
      <c r="O134" s="339" t="n">
        <v>2</v>
      </c>
      <c r="P134" s="339" t="n">
        <v>76</v>
      </c>
      <c r="Q134" s="339" t="n"/>
      <c r="R134" s="339" t="n"/>
      <c r="S134" s="339">
        <f>Q134-R134</f>
        <v/>
      </c>
      <c r="T134" s="362">
        <f>R134/Q134</f>
        <v/>
      </c>
      <c r="U134" s="339" t="n"/>
      <c r="V134" s="339" t="n">
        <v>140000</v>
      </c>
      <c r="W134" s="339" t="n"/>
      <c r="X134" s="339" t="n"/>
      <c r="Y134" s="339" t="n"/>
      <c r="Z134" s="339" t="n"/>
      <c r="AA134" s="339" t="n"/>
      <c r="AB134" s="339" t="n"/>
      <c r="AC134" s="339" t="n"/>
      <c r="AG134" s="339" t="n"/>
      <c r="AH134" s="339" t="n"/>
      <c r="AI134" s="339" t="n"/>
      <c r="AJ134" s="339" t="n"/>
      <c r="AR134" s="339" t="n"/>
    </row>
    <row r="135">
      <c r="A135" s="339" t="inlineStr">
        <is>
          <t>민락동</t>
        </is>
      </c>
      <c r="B135" s="339" t="n"/>
      <c r="C135" s="339" t="n"/>
      <c r="D135" s="339" t="n">
        <v>117980</v>
      </c>
      <c r="E135" s="114" t="inlineStr">
        <is>
          <t>e편한세상오션테라스4단지</t>
        </is>
      </c>
      <c r="F135" s="339" t="n">
        <v>2020.01</v>
      </c>
      <c r="G135" s="339" t="n">
        <v>308</v>
      </c>
      <c r="H135" s="339">
        <f>2026-F135+1</f>
        <v/>
      </c>
      <c r="I135" s="339" t="n"/>
      <c r="J135" s="339" t="n"/>
      <c r="K135" s="339" t="n">
        <v>159</v>
      </c>
      <c r="L135" s="339" t="n"/>
      <c r="M135" s="339" t="inlineStr">
        <is>
          <t>계단식</t>
        </is>
      </c>
      <c r="N135" s="339" t="n">
        <v>4</v>
      </c>
      <c r="O135" s="339" t="n">
        <v>3</v>
      </c>
      <c r="P135" s="339" t="n">
        <v>2</v>
      </c>
      <c r="Q135" s="339" t="n"/>
      <c r="R135" s="339" t="n"/>
      <c r="S135" s="339">
        <f>Q135-R135</f>
        <v/>
      </c>
      <c r="T135" s="362">
        <f>R135/Q135</f>
        <v/>
      </c>
      <c r="U135" s="339" t="n">
        <v>238000</v>
      </c>
      <c r="V135" s="339" t="n">
        <v>238000</v>
      </c>
      <c r="W135" s="339" t="n"/>
      <c r="X135" s="339" t="n"/>
      <c r="Y135" s="339" t="n"/>
      <c r="Z135" s="339" t="n"/>
      <c r="AA135" s="339" t="n"/>
      <c r="AB135" s="339" t="n"/>
      <c r="AC135" s="339" t="n"/>
      <c r="AG135" s="339" t="n"/>
      <c r="AH135" s="339" t="n"/>
      <c r="AI135" s="339" t="n"/>
      <c r="AJ135" s="339" t="n"/>
      <c r="AR135" s="339" t="n"/>
    </row>
    <row r="136">
      <c r="A136" s="339" t="inlineStr">
        <is>
          <t>민락동</t>
        </is>
      </c>
      <c r="D136" s="339" t="n">
        <v>117980</v>
      </c>
      <c r="E136" s="114" t="inlineStr">
        <is>
          <t>e편한세상오션테라스4단지</t>
        </is>
      </c>
      <c r="F136" s="339" t="n">
        <v>2020.01</v>
      </c>
      <c r="G136" s="339" t="n">
        <v>308</v>
      </c>
      <c r="H136" s="339">
        <f>2026-F136+1</f>
        <v/>
      </c>
      <c r="K136" s="339" t="n">
        <v>160</v>
      </c>
      <c r="M136" s="339" t="inlineStr">
        <is>
          <t>계단식</t>
        </is>
      </c>
      <c r="N136" s="339" t="n">
        <v>4</v>
      </c>
      <c r="O136" s="339" t="n">
        <v>3</v>
      </c>
      <c r="P136" s="339" t="n">
        <v>2</v>
      </c>
      <c r="S136" s="339">
        <f>Q136-R136</f>
        <v/>
      </c>
      <c r="T136" s="362">
        <f>R136/Q136</f>
        <v/>
      </c>
      <c r="U136" s="339" t="n">
        <v>238000</v>
      </c>
      <c r="V136" s="339" t="n">
        <v>238000</v>
      </c>
    </row>
    <row r="137">
      <c r="A137" s="133" t="inlineStr">
        <is>
          <t>민락동</t>
        </is>
      </c>
      <c r="B137" s="133" t="n"/>
      <c r="C137" s="133" t="n"/>
      <c r="D137" s="133" t="n">
        <v>11792</v>
      </c>
      <c r="E137" s="115" t="inlineStr">
        <is>
          <t>롯데캐슬자이언트</t>
        </is>
      </c>
      <c r="F137" s="133" t="n">
        <v>2003.11</v>
      </c>
      <c r="G137" s="133" t="n">
        <v>591</v>
      </c>
      <c r="H137" s="133">
        <f>2026-F137+1</f>
        <v/>
      </c>
      <c r="I137" s="133" t="n"/>
      <c r="J137" s="133" t="n">
        <v>147</v>
      </c>
      <c r="K137" s="133" t="n">
        <v>121</v>
      </c>
      <c r="L137" s="133" t="n">
        <v>44</v>
      </c>
      <c r="M137" s="133" t="inlineStr">
        <is>
          <t>계단식</t>
        </is>
      </c>
      <c r="N137" s="133" t="n">
        <v>4</v>
      </c>
      <c r="O137" s="133" t="n">
        <v>2</v>
      </c>
      <c r="P137" s="133" t="n">
        <v>192</v>
      </c>
      <c r="Q137" s="133" t="n"/>
      <c r="R137" s="133" t="n"/>
      <c r="S137" s="339">
        <f>Q137-R137</f>
        <v/>
      </c>
      <c r="T137" s="362">
        <f>R137/Q137</f>
        <v/>
      </c>
      <c r="U137" s="133" t="n">
        <v>89800</v>
      </c>
      <c r="V137" s="133" t="n">
        <v>79300</v>
      </c>
      <c r="W137" s="133" t="n"/>
      <c r="X137" s="133" t="n"/>
      <c r="Y137" s="133" t="n"/>
      <c r="Z137" s="133" t="n"/>
      <c r="AA137" s="133" t="n"/>
      <c r="AB137" s="133" t="n"/>
      <c r="AC137" s="133" t="n"/>
      <c r="AG137" s="133" t="n"/>
      <c r="AH137" s="133" t="n"/>
      <c r="AI137" s="133" t="n"/>
      <c r="AJ137" s="133" t="n"/>
      <c r="AR137" s="133" t="n"/>
    </row>
    <row r="138">
      <c r="A138" s="133" t="inlineStr">
        <is>
          <t>민락동</t>
        </is>
      </c>
      <c r="B138" s="133" t="n"/>
      <c r="C138" s="133" t="n"/>
      <c r="D138" s="133" t="n">
        <v>11792</v>
      </c>
      <c r="E138" s="115" t="inlineStr">
        <is>
          <t>롯데캐슬자이언트</t>
        </is>
      </c>
      <c r="F138" s="133" t="n">
        <v>2003.11</v>
      </c>
      <c r="G138" s="133" t="n">
        <v>591</v>
      </c>
      <c r="H138" s="133">
        <f>2026-F138+1</f>
        <v/>
      </c>
      <c r="I138" s="133" t="n"/>
      <c r="J138" s="133" t="n">
        <v>169</v>
      </c>
      <c r="K138" s="133" t="n">
        <v>141</v>
      </c>
      <c r="L138" s="133" t="n">
        <v>51</v>
      </c>
      <c r="M138" s="133" t="inlineStr">
        <is>
          <t>계단식</t>
        </is>
      </c>
      <c r="N138" s="133" t="n">
        <v>4</v>
      </c>
      <c r="O138" s="133" t="n">
        <v>2</v>
      </c>
      <c r="P138" s="133" t="n">
        <v>135</v>
      </c>
      <c r="Q138" s="133" t="n"/>
      <c r="R138" s="133" t="n"/>
      <c r="S138" s="339">
        <f>Q138-R138</f>
        <v/>
      </c>
      <c r="T138" s="362">
        <f>R138/Q138</f>
        <v/>
      </c>
      <c r="U138" s="133" t="n">
        <v>115000</v>
      </c>
      <c r="V138" s="133" t="n">
        <v>110000</v>
      </c>
      <c r="W138" s="133" t="n"/>
      <c r="X138" s="133" t="n"/>
      <c r="Y138" s="133" t="n"/>
      <c r="Z138" s="133" t="n"/>
      <c r="AA138" s="133" t="n"/>
      <c r="AB138" s="133" t="n"/>
      <c r="AC138" s="133" t="n"/>
      <c r="AG138" s="133" t="n"/>
      <c r="AH138" s="133" t="n"/>
      <c r="AI138" s="133" t="n"/>
      <c r="AJ138" s="133" t="n"/>
      <c r="AR138" s="133" t="n"/>
    </row>
    <row r="139">
      <c r="A139" s="133" t="inlineStr">
        <is>
          <t>민락동</t>
        </is>
      </c>
      <c r="B139" s="133" t="n"/>
      <c r="C139" s="133" t="n"/>
      <c r="D139" s="133" t="n">
        <v>11792</v>
      </c>
      <c r="E139" s="115" t="inlineStr">
        <is>
          <t>롯데캐슬자이언트</t>
        </is>
      </c>
      <c r="F139" s="133" t="n">
        <v>2003.11</v>
      </c>
      <c r="G139" s="133" t="n">
        <v>591</v>
      </c>
      <c r="H139" s="133">
        <f>2026-F139+1</f>
        <v/>
      </c>
      <c r="I139" s="133" t="n"/>
      <c r="J139" s="133" t="n">
        <v>198</v>
      </c>
      <c r="K139" s="133" t="n">
        <v>170</v>
      </c>
      <c r="L139" s="133" t="n">
        <v>60</v>
      </c>
      <c r="M139" s="133" t="inlineStr">
        <is>
          <t>계단식</t>
        </is>
      </c>
      <c r="N139" s="133" t="n">
        <v>5</v>
      </c>
      <c r="O139" s="133" t="n">
        <v>3</v>
      </c>
      <c r="P139" s="133" t="n">
        <v>68</v>
      </c>
      <c r="Q139" s="133" t="n"/>
      <c r="R139" s="133" t="n"/>
      <c r="S139" s="339">
        <f>Q139-R139</f>
        <v/>
      </c>
      <c r="T139" s="362">
        <f>R139/Q139</f>
        <v/>
      </c>
      <c r="U139" s="133" t="n">
        <v>158000</v>
      </c>
      <c r="V139" s="133" t="n"/>
      <c r="W139" s="133" t="n"/>
      <c r="X139" s="133" t="n"/>
      <c r="Y139" s="133" t="n"/>
      <c r="Z139" s="133" t="n"/>
      <c r="AA139" s="133" t="n"/>
      <c r="AB139" s="133" t="n"/>
      <c r="AC139" s="133" t="n"/>
      <c r="AG139" s="133" t="n"/>
      <c r="AH139" s="133" t="n"/>
      <c r="AI139" s="133" t="n"/>
      <c r="AJ139" s="133" t="n"/>
      <c r="AR139" s="133" t="n"/>
    </row>
    <row r="140">
      <c r="A140" s="339" t="inlineStr">
        <is>
          <t>민락동</t>
        </is>
      </c>
      <c r="B140" s="339" t="n"/>
      <c r="C140" s="339" t="n"/>
      <c r="D140" s="339" t="n">
        <v>103401</v>
      </c>
      <c r="E140" s="114" t="inlineStr">
        <is>
          <t>부산더샵센텀포레</t>
        </is>
      </c>
      <c r="F140" s="339" t="n">
        <v>2014.07</v>
      </c>
      <c r="G140" s="339" t="n">
        <v>1006</v>
      </c>
      <c r="H140" s="339">
        <f>2026-F140+1</f>
        <v/>
      </c>
      <c r="I140" s="339" t="n"/>
      <c r="J140" s="339" t="n">
        <v>130</v>
      </c>
      <c r="K140" s="339" t="n">
        <v>99</v>
      </c>
      <c r="L140" s="339" t="n">
        <v>39</v>
      </c>
      <c r="M140" s="339" t="inlineStr">
        <is>
          <t>계단식</t>
        </is>
      </c>
      <c r="N140" s="339" t="n">
        <v>3</v>
      </c>
      <c r="O140" s="339" t="n">
        <v>2</v>
      </c>
      <c r="P140" s="339" t="n">
        <v>81</v>
      </c>
      <c r="Q140" s="339" t="n"/>
      <c r="R140" s="339" t="n"/>
      <c r="S140" s="339">
        <f>Q140-R140</f>
        <v/>
      </c>
      <c r="T140" s="362">
        <f>R140/Q140</f>
        <v/>
      </c>
      <c r="U140" s="339" t="n">
        <v>102000</v>
      </c>
      <c r="V140" s="339" t="n">
        <v>74000</v>
      </c>
      <c r="W140" s="339" t="n"/>
      <c r="X140" s="339" t="n"/>
      <c r="Y140" s="339" t="n"/>
      <c r="Z140" s="339" t="n"/>
      <c r="AA140" s="339" t="n"/>
      <c r="AB140" s="339" t="n"/>
      <c r="AC140" s="339" t="n"/>
      <c r="AG140" s="339" t="n"/>
      <c r="AH140" s="339" t="n"/>
      <c r="AI140" s="339" t="n"/>
      <c r="AJ140" s="339" t="n"/>
      <c r="AR140" s="339" t="n"/>
    </row>
    <row r="141">
      <c r="A141" s="339" t="inlineStr">
        <is>
          <t>민락동</t>
        </is>
      </c>
      <c r="B141" s="339" t="n"/>
      <c r="C141" s="339" t="n"/>
      <c r="D141" s="339" t="n">
        <v>103401</v>
      </c>
      <c r="E141" s="114" t="inlineStr">
        <is>
          <t>부산더샵센텀포레</t>
        </is>
      </c>
      <c r="F141" s="339" t="n">
        <v>2014.07</v>
      </c>
      <c r="G141" s="339" t="n">
        <v>1006</v>
      </c>
      <c r="H141" s="339">
        <f>2026-F141+1</f>
        <v/>
      </c>
      <c r="I141" s="339" t="n"/>
      <c r="J141" s="339" t="n"/>
      <c r="K141" s="339" t="n">
        <v>128</v>
      </c>
      <c r="L141" s="339" t="n"/>
      <c r="M141" s="339" t="inlineStr">
        <is>
          <t>계단식</t>
        </is>
      </c>
      <c r="N141" s="339" t="n">
        <v>4</v>
      </c>
      <c r="O141" s="339" t="n">
        <v>2</v>
      </c>
      <c r="P141" s="339" t="n">
        <v>84</v>
      </c>
      <c r="Q141" s="339" t="n"/>
      <c r="R141" s="339" t="n"/>
      <c r="S141" s="339">
        <f>Q141-R141</f>
        <v/>
      </c>
      <c r="T141" s="362">
        <f>R141/Q141</f>
        <v/>
      </c>
      <c r="U141" s="339" t="n">
        <v>140000</v>
      </c>
      <c r="V141" s="339" t="n">
        <v>103000</v>
      </c>
      <c r="W141" s="339" t="n"/>
      <c r="X141" s="339" t="n"/>
      <c r="Y141" s="339" t="n"/>
      <c r="Z141" s="339" t="n"/>
      <c r="AA141" s="339" t="n"/>
      <c r="AB141" s="339" t="n"/>
      <c r="AC141" s="339" t="n"/>
      <c r="AG141" s="339" t="n"/>
      <c r="AH141" s="339" t="n"/>
      <c r="AI141" s="339" t="n"/>
      <c r="AJ141" s="339" t="n"/>
      <c r="AR141" s="339" t="n"/>
    </row>
    <row r="142">
      <c r="A142" s="339" t="inlineStr">
        <is>
          <t>민락동</t>
        </is>
      </c>
      <c r="B142" s="339" t="n"/>
      <c r="C142" s="339" t="n"/>
      <c r="D142" s="339" t="n">
        <v>103401</v>
      </c>
      <c r="E142" s="150" t="inlineStr">
        <is>
          <t>부산더샵센텀포레</t>
        </is>
      </c>
      <c r="F142" s="339" t="n">
        <v>2014.07</v>
      </c>
      <c r="G142" s="339" t="n">
        <v>1006</v>
      </c>
      <c r="H142" s="339">
        <f>2026-F142+1</f>
        <v/>
      </c>
      <c r="I142" s="339" t="n"/>
      <c r="J142" s="339" t="n"/>
      <c r="K142" s="339" t="n">
        <v>129</v>
      </c>
      <c r="L142" s="339" t="n"/>
      <c r="M142" s="339" t="inlineStr">
        <is>
          <t>계단식</t>
        </is>
      </c>
      <c r="N142" s="339" t="n">
        <v>4</v>
      </c>
      <c r="O142" s="339" t="n">
        <v>2</v>
      </c>
      <c r="P142" s="339" t="n">
        <v>46</v>
      </c>
      <c r="Q142" s="339" t="n"/>
      <c r="R142" s="339" t="n"/>
      <c r="S142" s="339">
        <f>Q142-R142</f>
        <v/>
      </c>
      <c r="T142" s="362">
        <f>R142/Q142</f>
        <v/>
      </c>
      <c r="U142" s="339" t="n">
        <v>140000</v>
      </c>
      <c r="V142" s="339" t="n">
        <v>103000</v>
      </c>
      <c r="W142" s="339" t="n"/>
      <c r="X142" s="339" t="n"/>
      <c r="Y142" s="339" t="n"/>
      <c r="Z142" s="339" t="n"/>
      <c r="AA142" s="339" t="n"/>
      <c r="AB142" s="339" t="n"/>
      <c r="AC142" s="339" t="n"/>
      <c r="AG142" s="339" t="n"/>
      <c r="AH142" s="339" t="n"/>
      <c r="AI142" s="339" t="n"/>
      <c r="AJ142" s="339" t="n"/>
      <c r="AR142" s="339" t="n"/>
    </row>
    <row r="143">
      <c r="A143" s="339" t="inlineStr">
        <is>
          <t>민락동</t>
        </is>
      </c>
      <c r="D143" s="339" t="n">
        <v>103401</v>
      </c>
      <c r="E143" s="114" t="inlineStr">
        <is>
          <t>부산더샵센텀포레</t>
        </is>
      </c>
      <c r="F143" s="339" t="n">
        <v>2014.07</v>
      </c>
      <c r="G143" s="339" t="n">
        <v>1006</v>
      </c>
      <c r="H143" s="339">
        <f>2026-F143+1</f>
        <v/>
      </c>
      <c r="J143" s="339" t="n">
        <v>193</v>
      </c>
      <c r="K143" s="339" t="n">
        <v>154</v>
      </c>
      <c r="L143" s="339" t="n">
        <v>58</v>
      </c>
      <c r="M143" s="339" t="inlineStr">
        <is>
          <t>계단식</t>
        </is>
      </c>
      <c r="N143" s="339" t="n">
        <v>4</v>
      </c>
      <c r="O143" s="339" t="n">
        <v>2</v>
      </c>
      <c r="P143" s="339" t="n">
        <v>49</v>
      </c>
      <c r="S143" s="339">
        <f>Q143-R143</f>
        <v/>
      </c>
      <c r="T143" s="362">
        <f>R143/Q143</f>
        <v/>
      </c>
      <c r="U143" s="339" t="n">
        <v>190000</v>
      </c>
      <c r="V143" s="339" t="n">
        <v>175000</v>
      </c>
    </row>
    <row r="144">
      <c r="A144" s="133" t="inlineStr">
        <is>
          <t>민락동</t>
        </is>
      </c>
      <c r="B144" s="133" t="n"/>
      <c r="C144" s="133" t="n"/>
      <c r="D144" s="133" t="n">
        <v>108274</v>
      </c>
      <c r="E144" s="115" t="inlineStr">
        <is>
          <t>센텀비스타동원</t>
        </is>
      </c>
      <c r="F144" s="133" t="n">
        <v>2017.07</v>
      </c>
      <c r="G144" s="133" t="n">
        <v>840</v>
      </c>
      <c r="H144" s="133">
        <f>2026-F144+1</f>
        <v/>
      </c>
      <c r="I144" s="133" t="n"/>
      <c r="J144" s="133" t="n"/>
      <c r="K144" s="133" t="n">
        <v>88</v>
      </c>
      <c r="L144" s="133" t="n"/>
      <c r="M144" s="133" t="inlineStr">
        <is>
          <t>계단식</t>
        </is>
      </c>
      <c r="N144" s="133" t="n">
        <v>3</v>
      </c>
      <c r="O144" s="133" t="n">
        <v>2</v>
      </c>
      <c r="P144" s="133" t="n">
        <v>9</v>
      </c>
      <c r="Q144" s="133" t="n"/>
      <c r="R144" s="133" t="n"/>
      <c r="S144" s="339">
        <f>Q144-R144</f>
        <v/>
      </c>
      <c r="T144" s="362">
        <f>R144/Q144</f>
        <v/>
      </c>
      <c r="U144" s="133" t="n"/>
      <c r="V144" s="133" t="n">
        <v>81000</v>
      </c>
      <c r="W144" s="133" t="n"/>
      <c r="X144" s="133" t="n"/>
      <c r="Y144" s="133" t="n"/>
      <c r="Z144" s="133" t="n"/>
      <c r="AA144" s="133" t="n"/>
      <c r="AB144" s="133" t="n"/>
      <c r="AC144" s="133" t="n"/>
      <c r="AG144" s="133" t="n"/>
      <c r="AH144" s="133" t="n"/>
      <c r="AI144" s="133" t="n"/>
      <c r="AJ144" s="133" t="n"/>
      <c r="AR144" s="133" t="n"/>
    </row>
    <row r="145">
      <c r="A145" s="133" t="inlineStr">
        <is>
          <t>민락동</t>
        </is>
      </c>
      <c r="B145" s="133" t="n"/>
      <c r="C145" s="133" t="n"/>
      <c r="D145" s="133" t="n">
        <v>108274</v>
      </c>
      <c r="E145" s="115" t="inlineStr">
        <is>
          <t>센텀비스타동원</t>
        </is>
      </c>
      <c r="F145" s="133" t="n">
        <v>2017.07</v>
      </c>
      <c r="G145" s="133" t="n">
        <v>840</v>
      </c>
      <c r="H145" s="133">
        <f>2026-F145+1</f>
        <v/>
      </c>
      <c r="I145" s="133" t="n"/>
      <c r="J145" s="133" t="n"/>
      <c r="K145" s="133" t="n">
        <v>109</v>
      </c>
      <c r="L145" s="133" t="n"/>
      <c r="M145" s="133" t="inlineStr">
        <is>
          <t>계단식</t>
        </is>
      </c>
      <c r="N145" s="133" t="n">
        <v>4</v>
      </c>
      <c r="O145" s="133" t="n">
        <v>2</v>
      </c>
      <c r="P145" s="133" t="n">
        <v>170</v>
      </c>
      <c r="Q145" s="133" t="n"/>
      <c r="R145" s="133" t="n"/>
      <c r="S145" s="339">
        <f>Q145-R145</f>
        <v/>
      </c>
      <c r="T145" s="362">
        <f>R145/Q145</f>
        <v/>
      </c>
      <c r="U145" s="133" t="n">
        <v>148000</v>
      </c>
      <c r="V145" s="133" t="n">
        <v>95000</v>
      </c>
      <c r="W145" s="133" t="n"/>
      <c r="X145" s="133" t="n"/>
      <c r="Y145" s="133" t="n"/>
      <c r="Z145" s="133" t="n"/>
      <c r="AA145" s="133" t="n"/>
      <c r="AB145" s="133" t="n"/>
      <c r="AC145" s="133" t="n"/>
      <c r="AG145" s="133" t="n"/>
      <c r="AH145" s="133" t="n"/>
      <c r="AI145" s="133" t="n"/>
      <c r="AJ145" s="133" t="n"/>
      <c r="AR145" s="133" t="n"/>
    </row>
    <row r="146">
      <c r="A146" s="339" t="inlineStr">
        <is>
          <t>민락동</t>
        </is>
      </c>
      <c r="B146" s="339" t="n"/>
      <c r="C146" s="339" t="n"/>
      <c r="D146" s="339" t="n">
        <v>106850</v>
      </c>
      <c r="E146" s="114" t="inlineStr">
        <is>
          <t>센텀비스타동원2차</t>
        </is>
      </c>
      <c r="F146" s="339" t="n">
        <v>2017.03</v>
      </c>
      <c r="G146" s="339" t="n">
        <v>405</v>
      </c>
      <c r="H146" s="339">
        <f>2026-F146+1</f>
        <v/>
      </c>
      <c r="I146" s="339" t="n"/>
      <c r="J146" s="339" t="n"/>
      <c r="K146" s="339" t="n">
        <v>84</v>
      </c>
      <c r="L146" s="339" t="n"/>
      <c r="M146" s="339" t="inlineStr">
        <is>
          <t>계단식</t>
        </is>
      </c>
      <c r="N146" s="339" t="n">
        <v>3</v>
      </c>
      <c r="O146" s="339" t="n">
        <v>2</v>
      </c>
      <c r="P146" s="339" t="n">
        <v>405</v>
      </c>
      <c r="Q146" s="339" t="n"/>
      <c r="R146" s="339" t="n"/>
      <c r="S146" s="339">
        <f>Q146-R146</f>
        <v/>
      </c>
      <c r="T146" s="362">
        <f>R146/Q146</f>
        <v/>
      </c>
      <c r="U146" s="339" t="n">
        <v>110000</v>
      </c>
      <c r="V146" s="339" t="n">
        <v>63000</v>
      </c>
      <c r="W146" s="339" t="n"/>
      <c r="X146" s="339" t="n"/>
      <c r="Y146" s="339" t="n"/>
      <c r="Z146" s="339" t="n"/>
      <c r="AA146" s="339" t="n"/>
      <c r="AB146" s="339" t="n"/>
      <c r="AC146" s="339" t="n"/>
      <c r="AG146" s="339" t="n"/>
      <c r="AH146" s="339" t="n"/>
      <c r="AI146" s="339" t="n"/>
      <c r="AJ146" s="339" t="n"/>
      <c r="AR146" s="339" t="n"/>
    </row>
    <row r="147">
      <c r="A147" s="133" t="inlineStr">
        <is>
          <t>민락동</t>
        </is>
      </c>
      <c r="B147" s="133" t="n"/>
      <c r="C147" s="133" t="n"/>
      <c r="D147" s="133" t="n">
        <v>9904</v>
      </c>
      <c r="E147" s="115" t="inlineStr">
        <is>
          <t>센텀비치푸르지오</t>
        </is>
      </c>
      <c r="F147" s="133" t="n">
        <v>2003.08</v>
      </c>
      <c r="G147" s="133" t="n">
        <v>1082</v>
      </c>
      <c r="H147" s="133">
        <f>2026-F147+1</f>
        <v/>
      </c>
      <c r="I147" s="133" t="n"/>
      <c r="J147" s="133" t="n">
        <v>128</v>
      </c>
      <c r="K147" s="133" t="n">
        <v>98</v>
      </c>
      <c r="L147" s="133" t="n">
        <v>39</v>
      </c>
      <c r="M147" s="133" t="inlineStr">
        <is>
          <t>계단식</t>
        </is>
      </c>
      <c r="N147" s="133" t="n">
        <v>3</v>
      </c>
      <c r="O147" s="133" t="n">
        <v>2</v>
      </c>
      <c r="P147" s="133" t="n">
        <v>120</v>
      </c>
      <c r="Q147" s="133" t="n"/>
      <c r="R147" s="133" t="n"/>
      <c r="S147" s="339">
        <f>Q147-R147</f>
        <v/>
      </c>
      <c r="T147" s="362">
        <f>R147/Q147</f>
        <v/>
      </c>
      <c r="U147" s="133" t="n">
        <v>84300</v>
      </c>
      <c r="V147" s="133" t="n">
        <v>67000</v>
      </c>
      <c r="W147" s="133" t="n"/>
      <c r="X147" s="133" t="n"/>
      <c r="Y147" s="133" t="n"/>
      <c r="Z147" s="133" t="n"/>
      <c r="AA147" s="133" t="n"/>
      <c r="AB147" s="133" t="n"/>
      <c r="AC147" s="133" t="n"/>
      <c r="AG147" s="133" t="n"/>
      <c r="AH147" s="133" t="n"/>
      <c r="AI147" s="133" t="n"/>
      <c r="AJ147" s="133" t="n"/>
      <c r="AR147" s="133" t="n"/>
    </row>
    <row r="148">
      <c r="A148" s="133" t="inlineStr">
        <is>
          <t>민락동</t>
        </is>
      </c>
      <c r="B148" s="133" t="n"/>
      <c r="C148" s="133" t="n"/>
      <c r="D148" s="133" t="n">
        <v>9904</v>
      </c>
      <c r="E148" s="115" t="inlineStr">
        <is>
          <t>센텀비치푸르지오</t>
        </is>
      </c>
      <c r="F148" s="133" t="n">
        <v>2003.08</v>
      </c>
      <c r="G148" s="133" t="n">
        <v>1082</v>
      </c>
      <c r="H148" s="133">
        <f>2026-F148+1</f>
        <v/>
      </c>
      <c r="I148" s="133" t="n"/>
      <c r="J148" s="133" t="n"/>
      <c r="K148" s="133" t="n">
        <v>131</v>
      </c>
      <c r="L148" s="133" t="n"/>
      <c r="M148" s="133" t="inlineStr">
        <is>
          <t>계단식</t>
        </is>
      </c>
      <c r="N148" s="133" t="n">
        <v>4</v>
      </c>
      <c r="O148" s="133" t="n">
        <v>2</v>
      </c>
      <c r="P148" s="133" t="n">
        <v>184</v>
      </c>
      <c r="Q148" s="133" t="n"/>
      <c r="R148" s="133" t="n"/>
      <c r="S148" s="339">
        <f>Q148-R148</f>
        <v/>
      </c>
      <c r="T148" s="362">
        <f>R148/Q148</f>
        <v/>
      </c>
      <c r="U148" s="133" t="n">
        <v>110000</v>
      </c>
      <c r="V148" s="133" t="n">
        <v>52000</v>
      </c>
      <c r="W148" s="133" t="n"/>
      <c r="X148" s="133" t="n"/>
      <c r="Y148" s="133" t="n"/>
      <c r="Z148" s="133" t="n"/>
      <c r="AA148" s="133" t="n"/>
      <c r="AB148" s="133" t="n"/>
      <c r="AC148" s="133" t="n"/>
      <c r="AG148" s="133" t="n"/>
      <c r="AH148" s="133" t="n"/>
      <c r="AI148" s="133" t="n"/>
      <c r="AJ148" s="133" t="n"/>
      <c r="AR148" s="133" t="n"/>
    </row>
    <row r="149">
      <c r="A149" s="133" t="inlineStr">
        <is>
          <t>민락동</t>
        </is>
      </c>
      <c r="B149" s="133" t="n"/>
      <c r="C149" s="133" t="n"/>
      <c r="D149" s="133" t="n">
        <v>9904</v>
      </c>
      <c r="E149" s="115" t="inlineStr">
        <is>
          <t>센텀비치푸르지오</t>
        </is>
      </c>
      <c r="F149" s="133" t="n">
        <v>2003.08</v>
      </c>
      <c r="G149" s="133" t="n">
        <v>1082</v>
      </c>
      <c r="H149" s="133">
        <f>2026-F149+1</f>
        <v/>
      </c>
      <c r="I149" s="133" t="n"/>
      <c r="J149" s="133" t="n"/>
      <c r="K149" s="133" t="n">
        <v>132</v>
      </c>
      <c r="L149" s="133" t="n"/>
      <c r="M149" s="133" t="inlineStr">
        <is>
          <t>계단식</t>
        </is>
      </c>
      <c r="N149" s="133" t="n">
        <v>4</v>
      </c>
      <c r="O149" s="133" t="n">
        <v>2</v>
      </c>
      <c r="P149" s="133" t="n">
        <v>90</v>
      </c>
      <c r="Q149" s="133" t="n"/>
      <c r="R149" s="133" t="n"/>
      <c r="S149" s="339">
        <f>Q149-R149</f>
        <v/>
      </c>
      <c r="T149" s="362">
        <f>R149/Q149</f>
        <v/>
      </c>
      <c r="U149" s="133" t="n">
        <v>110000</v>
      </c>
      <c r="V149" s="133" t="n">
        <v>52000</v>
      </c>
      <c r="W149" s="133" t="n"/>
      <c r="X149" s="133" t="n"/>
      <c r="Y149" s="133" t="n"/>
      <c r="Z149" s="133" t="n"/>
      <c r="AA149" s="133" t="n"/>
      <c r="AB149" s="133" t="n"/>
      <c r="AC149" s="133" t="n"/>
      <c r="AG149" s="133" t="n"/>
      <c r="AH149" s="133" t="n"/>
      <c r="AI149" s="133" t="n"/>
      <c r="AJ149" s="133" t="n"/>
      <c r="AR149" s="133" t="n"/>
    </row>
    <row r="150">
      <c r="A150" s="133" t="inlineStr">
        <is>
          <t>민락동</t>
        </is>
      </c>
      <c r="B150" s="133" t="n"/>
      <c r="C150" s="133" t="n"/>
      <c r="D150" s="133" t="n">
        <v>9904</v>
      </c>
      <c r="E150" s="115" t="inlineStr">
        <is>
          <t>센텀비치푸르지오</t>
        </is>
      </c>
      <c r="F150" s="133" t="n">
        <v>2003.08</v>
      </c>
      <c r="G150" s="133" t="n">
        <v>1082</v>
      </c>
      <c r="H150" s="133">
        <f>2026-F150+1</f>
        <v/>
      </c>
      <c r="I150" s="133" t="n"/>
      <c r="J150" s="133" t="n">
        <v>183</v>
      </c>
      <c r="K150" s="133" t="n">
        <v>150</v>
      </c>
      <c r="L150" s="133" t="n">
        <v>55</v>
      </c>
      <c r="M150" s="133" t="inlineStr">
        <is>
          <t>계단식</t>
        </is>
      </c>
      <c r="N150" s="133" t="n">
        <v>5</v>
      </c>
      <c r="O150" s="133" t="n">
        <v>2</v>
      </c>
      <c r="P150" s="133" t="n">
        <v>124</v>
      </c>
      <c r="Q150" s="133" t="n"/>
      <c r="R150" s="133" t="n"/>
      <c r="S150" s="339">
        <f>Q150-R150</f>
        <v/>
      </c>
      <c r="T150" s="362">
        <f>R150/Q150</f>
        <v/>
      </c>
      <c r="U150" s="133" t="n">
        <v>116000</v>
      </c>
      <c r="V150" s="133" t="n">
        <v>103000</v>
      </c>
      <c r="W150" s="133" t="n"/>
      <c r="X150" s="133" t="n"/>
      <c r="Y150" s="133" t="n"/>
      <c r="Z150" s="133" t="n"/>
      <c r="AA150" s="133" t="n"/>
      <c r="AB150" s="133" t="n"/>
      <c r="AC150" s="133" t="n"/>
      <c r="AG150" s="133" t="n"/>
      <c r="AH150" s="133" t="n"/>
      <c r="AI150" s="133" t="n"/>
      <c r="AJ150" s="133" t="n"/>
      <c r="AR150" s="133" t="n"/>
    </row>
    <row r="151">
      <c r="A151" s="339" t="inlineStr">
        <is>
          <t>민락동</t>
        </is>
      </c>
      <c r="D151" s="339" t="n">
        <v>7888</v>
      </c>
      <c r="E151" s="114" t="inlineStr">
        <is>
          <t>진로비치1단지</t>
        </is>
      </c>
      <c r="F151" s="339" t="n">
        <v>1997.05</v>
      </c>
      <c r="G151" s="339" t="n">
        <v>352</v>
      </c>
      <c r="H151" s="339">
        <f>2026-F151+1</f>
        <v/>
      </c>
      <c r="J151" s="339" t="n">
        <v>158</v>
      </c>
      <c r="K151" s="339" t="n">
        <v>134</v>
      </c>
      <c r="L151" s="339" t="n">
        <v>48</v>
      </c>
      <c r="M151" s="339" t="inlineStr">
        <is>
          <t>계단식</t>
        </is>
      </c>
      <c r="N151" s="339" t="n">
        <v>4</v>
      </c>
      <c r="O151" s="339" t="n">
        <v>2</v>
      </c>
      <c r="P151" s="339" t="n">
        <v>60</v>
      </c>
      <c r="S151" s="339">
        <f>Q151-R151</f>
        <v/>
      </c>
      <c r="T151" s="362">
        <f>R151/Q151</f>
        <v/>
      </c>
      <c r="U151" s="339" t="n"/>
      <c r="V151" s="339" t="n">
        <v>48000</v>
      </c>
    </row>
    <row r="152">
      <c r="A152" s="339" t="inlineStr">
        <is>
          <t>수영동</t>
        </is>
      </c>
      <c r="B152" s="339" t="n"/>
      <c r="C152" s="339" t="n"/>
      <c r="D152" s="339" t="n">
        <v>10383</v>
      </c>
      <c r="E152" s="114" t="inlineStr">
        <is>
          <t>수영협성르네상스타운</t>
        </is>
      </c>
      <c r="F152" s="339" t="n">
        <v>2004.07</v>
      </c>
      <c r="G152" s="339" t="n">
        <v>684</v>
      </c>
      <c r="H152" s="339">
        <f>2026-F152+1</f>
        <v/>
      </c>
      <c r="I152" s="339" t="n"/>
      <c r="J152" s="339" t="n">
        <v>88</v>
      </c>
      <c r="K152" s="339" t="n">
        <v>59</v>
      </c>
      <c r="L152" s="339" t="n">
        <v>27</v>
      </c>
      <c r="M152" s="339" t="inlineStr">
        <is>
          <t>계단식</t>
        </is>
      </c>
      <c r="N152" s="339" t="n">
        <v>3</v>
      </c>
      <c r="O152" s="339" t="n">
        <v>2</v>
      </c>
      <c r="P152" s="339" t="n">
        <v>100</v>
      </c>
      <c r="Q152" s="339" t="n"/>
      <c r="R152" s="339" t="n"/>
      <c r="S152" s="339">
        <f>Q152-R152</f>
        <v/>
      </c>
      <c r="T152" s="362">
        <f>R152/Q152</f>
        <v/>
      </c>
      <c r="U152" s="339" t="n">
        <v>60000</v>
      </c>
      <c r="V152" s="339" t="n">
        <v>52000</v>
      </c>
      <c r="W152" s="339" t="n"/>
      <c r="X152" s="339" t="n"/>
      <c r="Y152" s="339" t="n"/>
      <c r="Z152" s="339" t="n"/>
      <c r="AA152" s="339" t="n"/>
      <c r="AB152" s="339" t="n"/>
      <c r="AC152" s="339" t="n"/>
      <c r="AG152" s="339" t="n"/>
      <c r="AH152" s="339" t="n"/>
      <c r="AI152" s="339" t="n"/>
      <c r="AJ152" s="339" t="n"/>
      <c r="AR152" s="339" t="n"/>
    </row>
    <row r="153">
      <c r="A153" s="339" t="inlineStr">
        <is>
          <t>수영동</t>
        </is>
      </c>
      <c r="B153" s="339" t="n"/>
      <c r="C153" s="339" t="n"/>
      <c r="D153" s="339" t="n">
        <v>10383</v>
      </c>
      <c r="E153" s="150" t="inlineStr">
        <is>
          <t>수영협성르네상스타운</t>
        </is>
      </c>
      <c r="F153" s="339" t="n">
        <v>2004.07</v>
      </c>
      <c r="G153" s="339" t="n">
        <v>684</v>
      </c>
      <c r="H153" s="339">
        <f>2026-F153+1</f>
        <v/>
      </c>
      <c r="I153" s="339" t="n"/>
      <c r="J153" s="339" t="n">
        <v>153</v>
      </c>
      <c r="K153" s="339" t="n">
        <v>126</v>
      </c>
      <c r="L153" s="339" t="n">
        <v>46</v>
      </c>
      <c r="M153" s="339" t="inlineStr">
        <is>
          <t>계단식</t>
        </is>
      </c>
      <c r="N153" s="339" t="n">
        <v>4</v>
      </c>
      <c r="O153" s="339" t="n">
        <v>2</v>
      </c>
      <c r="P153" s="339" t="n">
        <v>150</v>
      </c>
      <c r="Q153" s="339" t="n"/>
      <c r="R153" s="339" t="n"/>
      <c r="S153" s="339">
        <f>Q153-R153</f>
        <v/>
      </c>
      <c r="T153" s="362">
        <f>R153/Q153</f>
        <v/>
      </c>
      <c r="U153" s="339" t="n">
        <v>94500</v>
      </c>
      <c r="V153" s="339" t="n">
        <v>90000</v>
      </c>
      <c r="W153" s="339" t="n"/>
      <c r="X153" s="339" t="n"/>
      <c r="Y153" s="339" t="n"/>
      <c r="Z153" s="339" t="n"/>
      <c r="AA153" s="339" t="n"/>
      <c r="AB153" s="339" t="n"/>
      <c r="AC153" s="339" t="n"/>
      <c r="AG153" s="339" t="n"/>
      <c r="AH153" s="339" t="n"/>
      <c r="AI153" s="339" t="n"/>
      <c r="AJ153" s="339" t="n"/>
      <c r="AR153" s="339" t="n"/>
    </row>
    <row r="154">
      <c r="A154" s="339" t="inlineStr">
        <is>
          <t>수영동</t>
        </is>
      </c>
      <c r="B154" s="339" t="n"/>
      <c r="C154" s="339" t="n"/>
      <c r="D154" s="339" t="n">
        <v>10383</v>
      </c>
      <c r="E154" s="114" t="inlineStr">
        <is>
          <t>수영협성르네상스타운</t>
        </is>
      </c>
      <c r="F154" s="339" t="n">
        <v>2004.07</v>
      </c>
      <c r="G154" s="339" t="n">
        <v>684</v>
      </c>
      <c r="H154" s="339">
        <f>2026-F154+1</f>
        <v/>
      </c>
      <c r="I154" s="339" t="n"/>
      <c r="J154" s="339" t="n">
        <v>183</v>
      </c>
      <c r="K154" s="339" t="n">
        <v>154</v>
      </c>
      <c r="L154" s="339" t="n">
        <v>55</v>
      </c>
      <c r="M154" s="339" t="inlineStr">
        <is>
          <t>계단식</t>
        </is>
      </c>
      <c r="N154" s="339" t="n">
        <v>5</v>
      </c>
      <c r="O154" s="339" t="n">
        <v>2</v>
      </c>
      <c r="P154" s="339" t="n">
        <v>50</v>
      </c>
      <c r="Q154" s="339" t="n"/>
      <c r="R154" s="339" t="n"/>
      <c r="S154" s="339">
        <f>Q154-R154</f>
        <v/>
      </c>
      <c r="T154" s="362">
        <f>R154/Q154</f>
        <v/>
      </c>
      <c r="U154" s="339" t="n">
        <v>112000</v>
      </c>
      <c r="V154" s="339" t="n">
        <v>130000</v>
      </c>
      <c r="W154" s="339" t="n"/>
      <c r="X154" s="339" t="n"/>
      <c r="Y154" s="339" t="n"/>
      <c r="Z154" s="339" t="n"/>
      <c r="AA154" s="339" t="n"/>
      <c r="AB154" s="339" t="n"/>
      <c r="AC154" s="339" t="n"/>
      <c r="AG154" s="339" t="n"/>
      <c r="AH154" s="339" t="n"/>
      <c r="AI154" s="339" t="n"/>
      <c r="AJ154" s="339" t="n"/>
      <c r="AR154" s="339" t="n"/>
    </row>
    <row r="155">
      <c r="A155" s="133" t="inlineStr">
        <is>
          <t>수영동</t>
        </is>
      </c>
      <c r="B155" s="133" t="n"/>
      <c r="C155" s="133" t="n"/>
      <c r="D155" s="133" t="n">
        <v>7914</v>
      </c>
      <c r="E155" s="115" t="inlineStr">
        <is>
          <t>현대</t>
        </is>
      </c>
      <c r="F155" s="133" t="n">
        <v>1988.04</v>
      </c>
      <c r="G155" s="133" t="n">
        <v>1180</v>
      </c>
      <c r="H155" s="133">
        <f>2026-F155+1</f>
        <v/>
      </c>
      <c r="I155" s="133" t="n"/>
      <c r="J155" s="133" t="n">
        <v>82</v>
      </c>
      <c r="K155" s="133" t="n">
        <v>62</v>
      </c>
      <c r="L155" s="133" t="n">
        <v>25</v>
      </c>
      <c r="M155" s="133" t="inlineStr">
        <is>
          <t>계단식</t>
        </is>
      </c>
      <c r="N155" s="133" t="n">
        <v>3</v>
      </c>
      <c r="O155" s="133" t="n">
        <v>1</v>
      </c>
      <c r="P155" s="133" t="n">
        <v>23</v>
      </c>
      <c r="Q155" s="133" t="n"/>
      <c r="R155" s="133" t="n">
        <v>19000</v>
      </c>
      <c r="S155" s="339">
        <f>Q155-R155</f>
        <v/>
      </c>
      <c r="T155" s="362">
        <f>R155/Q155</f>
        <v/>
      </c>
      <c r="U155" s="133" t="n"/>
      <c r="V155" s="133" t="n"/>
      <c r="W155" s="133" t="n"/>
      <c r="X155" s="133" t="n"/>
      <c r="Y155" s="133" t="n"/>
      <c r="Z155" s="133" t="n"/>
      <c r="AA155" s="133" t="n"/>
      <c r="AB155" s="133" t="n"/>
      <c r="AC155" s="133" t="n"/>
      <c r="AG155" s="133" t="n"/>
      <c r="AH155" s="133" t="n"/>
      <c r="AI155" s="133" t="n"/>
      <c r="AJ155" s="133" t="n"/>
      <c r="AR155" s="133" t="n"/>
    </row>
    <row r="156">
      <c r="A156" s="133" t="inlineStr">
        <is>
          <t>수영동</t>
        </is>
      </c>
      <c r="B156" s="133" t="n"/>
      <c r="C156" s="133" t="n"/>
      <c r="D156" s="133" t="n">
        <v>7914</v>
      </c>
      <c r="E156" s="115" t="inlineStr">
        <is>
          <t>현대</t>
        </is>
      </c>
      <c r="F156" s="133" t="n">
        <v>1988.04</v>
      </c>
      <c r="G156" s="133" t="n">
        <v>1180</v>
      </c>
      <c r="H156" s="133">
        <f>2026-F156+1</f>
        <v/>
      </c>
      <c r="I156" s="133" t="n"/>
      <c r="J156" s="133" t="n">
        <v>145</v>
      </c>
      <c r="K156" s="133" t="n">
        <v>125</v>
      </c>
      <c r="L156" s="133" t="n">
        <v>44</v>
      </c>
      <c r="M156" s="133" t="inlineStr">
        <is>
          <t>계단식</t>
        </is>
      </c>
      <c r="N156" s="133" t="n">
        <v>4</v>
      </c>
      <c r="O156" s="133" t="n">
        <v>2</v>
      </c>
      <c r="P156" s="133" t="n">
        <v>120</v>
      </c>
      <c r="Q156" s="133" t="n"/>
      <c r="R156" s="133" t="n"/>
      <c r="S156" s="339">
        <f>Q156-R156</f>
        <v/>
      </c>
      <c r="T156" s="362">
        <f>R156/Q156</f>
        <v/>
      </c>
      <c r="U156" s="133" t="n"/>
      <c r="V156" s="133" t="n"/>
      <c r="W156" s="133" t="n"/>
      <c r="X156" s="133" t="n"/>
      <c r="Y156" s="133" t="n"/>
      <c r="Z156" s="133" t="n"/>
      <c r="AA156" s="133" t="n"/>
      <c r="AB156" s="133" t="n"/>
      <c r="AC156" s="133" t="n"/>
      <c r="AG156" s="133" t="n"/>
      <c r="AH156" s="133" t="n"/>
      <c r="AI156" s="133" t="n"/>
      <c r="AJ156" s="133" t="n"/>
      <c r="AR156" s="133" t="n"/>
    </row>
  </sheetData>
  <autoFilter ref="A4:AR4">
    <sortState ref="A5:AR156">
      <sortCondition descending="1" ref="Q4"/>
    </sortState>
  </autoFilter>
  <mergeCells count="2">
    <mergeCell ref="B3:C3"/>
    <mergeCell ref="AD3:AH3"/>
  </mergeCells>
  <conditionalFormatting sqref="AH1:AH4">
    <cfRule type="dataBar" priority="7">
      <dataBar>
        <cfvo type="min"/>
        <cfvo type="max"/>
        <color rgb="FF63C384"/>
      </dataBar>
    </cfRule>
  </conditionalFormatting>
  <conditionalFormatting sqref="B1">
    <cfRule type="cellIs" priority="5" operator="equal" dxfId="1">
      <formula>"중"</formula>
    </cfRule>
    <cfRule type="cellIs" priority="6" operator="equal" dxfId="0">
      <formula>"상"</formula>
    </cfRule>
  </conditionalFormatting>
  <conditionalFormatting sqref="C1:D1">
    <cfRule type="cellIs" priority="3" operator="equal" dxfId="1">
      <formula>"중"</formula>
    </cfRule>
    <cfRule type="cellIs" priority="4" operator="equal" dxfId="0">
      <formula>"상"</formula>
    </cfRule>
  </conditionalFormatting>
  <conditionalFormatting sqref="B2">
    <cfRule type="cellIs" priority="1" operator="equal" dxfId="1">
      <formula>"중"</formula>
    </cfRule>
    <cfRule type="cellIs" priority="2" operator="equal" dxfId="0">
      <formula>"상"</formula>
    </cfRule>
  </conditionalFormatting>
  <hyperlinks>
    <hyperlink xmlns:r="http://schemas.openxmlformats.org/officeDocument/2006/relationships" ref="E5" r:id="rId1"/>
    <hyperlink xmlns:r="http://schemas.openxmlformats.org/officeDocument/2006/relationships" ref="E6" r:id="rId2"/>
    <hyperlink xmlns:r="http://schemas.openxmlformats.org/officeDocument/2006/relationships" ref="E7" r:id="rId3"/>
    <hyperlink xmlns:r="http://schemas.openxmlformats.org/officeDocument/2006/relationships" ref="E8" r:id="rId4"/>
    <hyperlink xmlns:r="http://schemas.openxmlformats.org/officeDocument/2006/relationships" ref="E9" r:id="rId5"/>
    <hyperlink xmlns:r="http://schemas.openxmlformats.org/officeDocument/2006/relationships" ref="E10" r:id="rId6"/>
    <hyperlink xmlns:r="http://schemas.openxmlformats.org/officeDocument/2006/relationships" ref="E11" r:id="rId7"/>
    <hyperlink xmlns:r="http://schemas.openxmlformats.org/officeDocument/2006/relationships" ref="E12" r:id="rId8"/>
    <hyperlink xmlns:r="http://schemas.openxmlformats.org/officeDocument/2006/relationships" ref="E13" r:id="rId9"/>
    <hyperlink xmlns:r="http://schemas.openxmlformats.org/officeDocument/2006/relationships" ref="E14" r:id="rId10"/>
    <hyperlink xmlns:r="http://schemas.openxmlformats.org/officeDocument/2006/relationships" ref="E15" r:id="rId11"/>
    <hyperlink xmlns:r="http://schemas.openxmlformats.org/officeDocument/2006/relationships" ref="E16" r:id="rId12"/>
    <hyperlink xmlns:r="http://schemas.openxmlformats.org/officeDocument/2006/relationships" ref="E17" r:id="rId13"/>
    <hyperlink xmlns:r="http://schemas.openxmlformats.org/officeDocument/2006/relationships" ref="E18" r:id="rId14"/>
    <hyperlink xmlns:r="http://schemas.openxmlformats.org/officeDocument/2006/relationships" ref="E19" r:id="rId15"/>
    <hyperlink xmlns:r="http://schemas.openxmlformats.org/officeDocument/2006/relationships" ref="E20" r:id="rId16"/>
    <hyperlink xmlns:r="http://schemas.openxmlformats.org/officeDocument/2006/relationships" ref="E21" r:id="rId17"/>
    <hyperlink xmlns:r="http://schemas.openxmlformats.org/officeDocument/2006/relationships" ref="E22" r:id="rId18"/>
    <hyperlink xmlns:r="http://schemas.openxmlformats.org/officeDocument/2006/relationships" ref="E23" r:id="rId19"/>
    <hyperlink xmlns:r="http://schemas.openxmlformats.org/officeDocument/2006/relationships" ref="E24" r:id="rId20"/>
    <hyperlink xmlns:r="http://schemas.openxmlformats.org/officeDocument/2006/relationships" ref="E25" r:id="rId21"/>
    <hyperlink xmlns:r="http://schemas.openxmlformats.org/officeDocument/2006/relationships" ref="E26" r:id="rId22"/>
    <hyperlink xmlns:r="http://schemas.openxmlformats.org/officeDocument/2006/relationships" ref="E27" r:id="rId23"/>
    <hyperlink xmlns:r="http://schemas.openxmlformats.org/officeDocument/2006/relationships" ref="E28" r:id="rId24"/>
    <hyperlink xmlns:r="http://schemas.openxmlformats.org/officeDocument/2006/relationships" ref="E29" r:id="rId25"/>
    <hyperlink xmlns:r="http://schemas.openxmlformats.org/officeDocument/2006/relationships" ref="E30" r:id="rId26"/>
    <hyperlink xmlns:r="http://schemas.openxmlformats.org/officeDocument/2006/relationships" ref="E31" r:id="rId27"/>
    <hyperlink xmlns:r="http://schemas.openxmlformats.org/officeDocument/2006/relationships" ref="E32" r:id="rId28"/>
    <hyperlink xmlns:r="http://schemas.openxmlformats.org/officeDocument/2006/relationships" ref="E33" r:id="rId29"/>
    <hyperlink xmlns:r="http://schemas.openxmlformats.org/officeDocument/2006/relationships" ref="E34" r:id="rId30"/>
    <hyperlink xmlns:r="http://schemas.openxmlformats.org/officeDocument/2006/relationships" ref="E35" r:id="rId31"/>
    <hyperlink xmlns:r="http://schemas.openxmlformats.org/officeDocument/2006/relationships" ref="E36" r:id="rId32"/>
    <hyperlink xmlns:r="http://schemas.openxmlformats.org/officeDocument/2006/relationships" ref="E37" r:id="rId33"/>
    <hyperlink xmlns:r="http://schemas.openxmlformats.org/officeDocument/2006/relationships" ref="E38" r:id="rId34"/>
    <hyperlink xmlns:r="http://schemas.openxmlformats.org/officeDocument/2006/relationships" ref="E39" r:id="rId35"/>
    <hyperlink xmlns:r="http://schemas.openxmlformats.org/officeDocument/2006/relationships" ref="E40" r:id="rId36"/>
    <hyperlink xmlns:r="http://schemas.openxmlformats.org/officeDocument/2006/relationships" ref="E41" r:id="rId37"/>
    <hyperlink xmlns:r="http://schemas.openxmlformats.org/officeDocument/2006/relationships" ref="E42" r:id="rId38"/>
    <hyperlink xmlns:r="http://schemas.openxmlformats.org/officeDocument/2006/relationships" ref="E43" r:id="rId39"/>
    <hyperlink xmlns:r="http://schemas.openxmlformats.org/officeDocument/2006/relationships" ref="E44" r:id="rId40"/>
    <hyperlink xmlns:r="http://schemas.openxmlformats.org/officeDocument/2006/relationships" ref="E45" r:id="rId41"/>
    <hyperlink xmlns:r="http://schemas.openxmlformats.org/officeDocument/2006/relationships" ref="E46" r:id="rId42"/>
    <hyperlink xmlns:r="http://schemas.openxmlformats.org/officeDocument/2006/relationships" ref="E47" r:id="rId43"/>
    <hyperlink xmlns:r="http://schemas.openxmlformats.org/officeDocument/2006/relationships" ref="E48" r:id="rId44"/>
    <hyperlink xmlns:r="http://schemas.openxmlformats.org/officeDocument/2006/relationships" ref="E49" r:id="rId45"/>
    <hyperlink xmlns:r="http://schemas.openxmlformats.org/officeDocument/2006/relationships" ref="E50" r:id="rId46"/>
    <hyperlink xmlns:r="http://schemas.openxmlformats.org/officeDocument/2006/relationships" ref="E51" r:id="rId47"/>
    <hyperlink xmlns:r="http://schemas.openxmlformats.org/officeDocument/2006/relationships" ref="E52" r:id="rId48"/>
    <hyperlink xmlns:r="http://schemas.openxmlformats.org/officeDocument/2006/relationships" ref="E53" r:id="rId49"/>
    <hyperlink xmlns:r="http://schemas.openxmlformats.org/officeDocument/2006/relationships" ref="E54" r:id="rId50"/>
    <hyperlink xmlns:r="http://schemas.openxmlformats.org/officeDocument/2006/relationships" ref="E55" r:id="rId51"/>
    <hyperlink xmlns:r="http://schemas.openxmlformats.org/officeDocument/2006/relationships" ref="E56" r:id="rId52"/>
    <hyperlink xmlns:r="http://schemas.openxmlformats.org/officeDocument/2006/relationships" ref="E57" r:id="rId53"/>
    <hyperlink xmlns:r="http://schemas.openxmlformats.org/officeDocument/2006/relationships" ref="E58" r:id="rId54"/>
    <hyperlink xmlns:r="http://schemas.openxmlformats.org/officeDocument/2006/relationships" ref="E59" r:id="rId55"/>
    <hyperlink xmlns:r="http://schemas.openxmlformats.org/officeDocument/2006/relationships" ref="E60" r:id="rId56"/>
    <hyperlink xmlns:r="http://schemas.openxmlformats.org/officeDocument/2006/relationships" ref="E61" r:id="rId57"/>
    <hyperlink xmlns:r="http://schemas.openxmlformats.org/officeDocument/2006/relationships" ref="E62" r:id="rId58"/>
    <hyperlink xmlns:r="http://schemas.openxmlformats.org/officeDocument/2006/relationships" ref="E63" r:id="rId59"/>
    <hyperlink xmlns:r="http://schemas.openxmlformats.org/officeDocument/2006/relationships" ref="E64" r:id="rId60"/>
    <hyperlink xmlns:r="http://schemas.openxmlformats.org/officeDocument/2006/relationships" ref="E65" r:id="rId61"/>
    <hyperlink xmlns:r="http://schemas.openxmlformats.org/officeDocument/2006/relationships" ref="E66" r:id="rId62"/>
    <hyperlink xmlns:r="http://schemas.openxmlformats.org/officeDocument/2006/relationships" ref="E67" r:id="rId63"/>
    <hyperlink xmlns:r="http://schemas.openxmlformats.org/officeDocument/2006/relationships" ref="E68" r:id="rId64"/>
    <hyperlink xmlns:r="http://schemas.openxmlformats.org/officeDocument/2006/relationships" ref="E69" r:id="rId65"/>
    <hyperlink xmlns:r="http://schemas.openxmlformats.org/officeDocument/2006/relationships" ref="E70" r:id="rId66"/>
    <hyperlink xmlns:r="http://schemas.openxmlformats.org/officeDocument/2006/relationships" ref="E71" r:id="rId67"/>
    <hyperlink xmlns:r="http://schemas.openxmlformats.org/officeDocument/2006/relationships" ref="E72" r:id="rId68"/>
    <hyperlink xmlns:r="http://schemas.openxmlformats.org/officeDocument/2006/relationships" ref="E73" r:id="rId69"/>
    <hyperlink xmlns:r="http://schemas.openxmlformats.org/officeDocument/2006/relationships" ref="E74" r:id="rId70"/>
    <hyperlink xmlns:r="http://schemas.openxmlformats.org/officeDocument/2006/relationships" ref="E75" r:id="rId71"/>
    <hyperlink xmlns:r="http://schemas.openxmlformats.org/officeDocument/2006/relationships" ref="E76" r:id="rId72"/>
    <hyperlink xmlns:r="http://schemas.openxmlformats.org/officeDocument/2006/relationships" ref="E77" r:id="rId73"/>
    <hyperlink xmlns:r="http://schemas.openxmlformats.org/officeDocument/2006/relationships" ref="E78" r:id="rId74"/>
    <hyperlink xmlns:r="http://schemas.openxmlformats.org/officeDocument/2006/relationships" ref="E79" r:id="rId75"/>
    <hyperlink xmlns:r="http://schemas.openxmlformats.org/officeDocument/2006/relationships" ref="E80" r:id="rId76"/>
    <hyperlink xmlns:r="http://schemas.openxmlformats.org/officeDocument/2006/relationships" ref="E81" r:id="rId77"/>
    <hyperlink xmlns:r="http://schemas.openxmlformats.org/officeDocument/2006/relationships" ref="E82" r:id="rId78"/>
    <hyperlink xmlns:r="http://schemas.openxmlformats.org/officeDocument/2006/relationships" ref="E83" r:id="rId79"/>
    <hyperlink xmlns:r="http://schemas.openxmlformats.org/officeDocument/2006/relationships" ref="E84" r:id="rId80"/>
    <hyperlink xmlns:r="http://schemas.openxmlformats.org/officeDocument/2006/relationships" ref="E85" r:id="rId81"/>
    <hyperlink xmlns:r="http://schemas.openxmlformats.org/officeDocument/2006/relationships" ref="E86" r:id="rId82"/>
    <hyperlink xmlns:r="http://schemas.openxmlformats.org/officeDocument/2006/relationships" ref="E87" r:id="rId83"/>
    <hyperlink xmlns:r="http://schemas.openxmlformats.org/officeDocument/2006/relationships" ref="E88" r:id="rId84"/>
    <hyperlink xmlns:r="http://schemas.openxmlformats.org/officeDocument/2006/relationships" ref="E89" r:id="rId85"/>
    <hyperlink xmlns:r="http://schemas.openxmlformats.org/officeDocument/2006/relationships" ref="E90" r:id="rId86"/>
    <hyperlink xmlns:r="http://schemas.openxmlformats.org/officeDocument/2006/relationships" ref="E91" r:id="rId87"/>
    <hyperlink xmlns:r="http://schemas.openxmlformats.org/officeDocument/2006/relationships" ref="E92" r:id="rId88"/>
    <hyperlink xmlns:r="http://schemas.openxmlformats.org/officeDocument/2006/relationships" ref="E93" r:id="rId89"/>
    <hyperlink xmlns:r="http://schemas.openxmlformats.org/officeDocument/2006/relationships" ref="E94" r:id="rId90"/>
    <hyperlink xmlns:r="http://schemas.openxmlformats.org/officeDocument/2006/relationships" ref="E95" r:id="rId91"/>
    <hyperlink xmlns:r="http://schemas.openxmlformats.org/officeDocument/2006/relationships" ref="E96" r:id="rId92"/>
    <hyperlink xmlns:r="http://schemas.openxmlformats.org/officeDocument/2006/relationships" ref="E97" r:id="rId93"/>
    <hyperlink xmlns:r="http://schemas.openxmlformats.org/officeDocument/2006/relationships" ref="E98" r:id="rId94"/>
    <hyperlink xmlns:r="http://schemas.openxmlformats.org/officeDocument/2006/relationships" ref="E99" r:id="rId95"/>
    <hyperlink xmlns:r="http://schemas.openxmlformats.org/officeDocument/2006/relationships" ref="E100" r:id="rId96"/>
    <hyperlink xmlns:r="http://schemas.openxmlformats.org/officeDocument/2006/relationships" ref="E101" r:id="rId97"/>
    <hyperlink xmlns:r="http://schemas.openxmlformats.org/officeDocument/2006/relationships" ref="E102" r:id="rId98"/>
    <hyperlink xmlns:r="http://schemas.openxmlformats.org/officeDocument/2006/relationships" ref="E103" r:id="rId99"/>
    <hyperlink xmlns:r="http://schemas.openxmlformats.org/officeDocument/2006/relationships" ref="E104" r:id="rId100"/>
    <hyperlink xmlns:r="http://schemas.openxmlformats.org/officeDocument/2006/relationships" ref="E105" r:id="rId101"/>
    <hyperlink xmlns:r="http://schemas.openxmlformats.org/officeDocument/2006/relationships" ref="E106" r:id="rId102"/>
    <hyperlink xmlns:r="http://schemas.openxmlformats.org/officeDocument/2006/relationships" ref="E107" r:id="rId103"/>
    <hyperlink xmlns:r="http://schemas.openxmlformats.org/officeDocument/2006/relationships" ref="E108" r:id="rId104"/>
    <hyperlink xmlns:r="http://schemas.openxmlformats.org/officeDocument/2006/relationships" ref="E109" r:id="rId105"/>
    <hyperlink xmlns:r="http://schemas.openxmlformats.org/officeDocument/2006/relationships" ref="E110" r:id="rId106"/>
    <hyperlink xmlns:r="http://schemas.openxmlformats.org/officeDocument/2006/relationships" ref="E111" r:id="rId107"/>
    <hyperlink xmlns:r="http://schemas.openxmlformats.org/officeDocument/2006/relationships" ref="E112" r:id="rId108"/>
    <hyperlink xmlns:r="http://schemas.openxmlformats.org/officeDocument/2006/relationships" ref="E113" r:id="rId109"/>
    <hyperlink xmlns:r="http://schemas.openxmlformats.org/officeDocument/2006/relationships" ref="E114" r:id="rId110"/>
    <hyperlink xmlns:r="http://schemas.openxmlformats.org/officeDocument/2006/relationships" ref="E115" r:id="rId111"/>
    <hyperlink xmlns:r="http://schemas.openxmlformats.org/officeDocument/2006/relationships" ref="E116" r:id="rId112"/>
    <hyperlink xmlns:r="http://schemas.openxmlformats.org/officeDocument/2006/relationships" ref="E117" r:id="rId113"/>
    <hyperlink xmlns:r="http://schemas.openxmlformats.org/officeDocument/2006/relationships" ref="E118" r:id="rId114"/>
    <hyperlink xmlns:r="http://schemas.openxmlformats.org/officeDocument/2006/relationships" ref="E119" r:id="rId115"/>
    <hyperlink xmlns:r="http://schemas.openxmlformats.org/officeDocument/2006/relationships" ref="E120" r:id="rId116"/>
    <hyperlink xmlns:r="http://schemas.openxmlformats.org/officeDocument/2006/relationships" ref="E121" r:id="rId117"/>
    <hyperlink xmlns:r="http://schemas.openxmlformats.org/officeDocument/2006/relationships" ref="E122" r:id="rId118"/>
    <hyperlink xmlns:r="http://schemas.openxmlformats.org/officeDocument/2006/relationships" ref="E123" r:id="rId119"/>
    <hyperlink xmlns:r="http://schemas.openxmlformats.org/officeDocument/2006/relationships" ref="E124" r:id="rId120"/>
    <hyperlink xmlns:r="http://schemas.openxmlformats.org/officeDocument/2006/relationships" ref="E125" r:id="rId121"/>
    <hyperlink xmlns:r="http://schemas.openxmlformats.org/officeDocument/2006/relationships" ref="E126" r:id="rId122"/>
    <hyperlink xmlns:r="http://schemas.openxmlformats.org/officeDocument/2006/relationships" ref="E127" r:id="rId123"/>
    <hyperlink xmlns:r="http://schemas.openxmlformats.org/officeDocument/2006/relationships" ref="E128" r:id="rId124"/>
    <hyperlink xmlns:r="http://schemas.openxmlformats.org/officeDocument/2006/relationships" ref="E129" r:id="rId125"/>
    <hyperlink xmlns:r="http://schemas.openxmlformats.org/officeDocument/2006/relationships" ref="E130" r:id="rId126"/>
    <hyperlink xmlns:r="http://schemas.openxmlformats.org/officeDocument/2006/relationships" ref="E131" r:id="rId127"/>
    <hyperlink xmlns:r="http://schemas.openxmlformats.org/officeDocument/2006/relationships" ref="E132" r:id="rId128"/>
    <hyperlink xmlns:r="http://schemas.openxmlformats.org/officeDocument/2006/relationships" ref="E133" r:id="rId129"/>
    <hyperlink xmlns:r="http://schemas.openxmlformats.org/officeDocument/2006/relationships" ref="E134" r:id="rId130"/>
    <hyperlink xmlns:r="http://schemas.openxmlformats.org/officeDocument/2006/relationships" ref="E135" r:id="rId131"/>
    <hyperlink xmlns:r="http://schemas.openxmlformats.org/officeDocument/2006/relationships" ref="E136" r:id="rId132"/>
    <hyperlink xmlns:r="http://schemas.openxmlformats.org/officeDocument/2006/relationships" ref="E137" r:id="rId133"/>
    <hyperlink xmlns:r="http://schemas.openxmlformats.org/officeDocument/2006/relationships" ref="E138" r:id="rId134"/>
    <hyperlink xmlns:r="http://schemas.openxmlformats.org/officeDocument/2006/relationships" ref="E139" r:id="rId135"/>
    <hyperlink xmlns:r="http://schemas.openxmlformats.org/officeDocument/2006/relationships" ref="E140" r:id="rId136"/>
    <hyperlink xmlns:r="http://schemas.openxmlformats.org/officeDocument/2006/relationships" ref="E141" r:id="rId137"/>
    <hyperlink xmlns:r="http://schemas.openxmlformats.org/officeDocument/2006/relationships" ref="E142" r:id="rId138"/>
    <hyperlink xmlns:r="http://schemas.openxmlformats.org/officeDocument/2006/relationships" ref="E143" r:id="rId139"/>
    <hyperlink xmlns:r="http://schemas.openxmlformats.org/officeDocument/2006/relationships" ref="E144" r:id="rId140"/>
    <hyperlink xmlns:r="http://schemas.openxmlformats.org/officeDocument/2006/relationships" ref="E145" r:id="rId141"/>
    <hyperlink xmlns:r="http://schemas.openxmlformats.org/officeDocument/2006/relationships" ref="E146" r:id="rId142"/>
    <hyperlink xmlns:r="http://schemas.openxmlformats.org/officeDocument/2006/relationships" ref="E147" r:id="rId143"/>
    <hyperlink xmlns:r="http://schemas.openxmlformats.org/officeDocument/2006/relationships" ref="E148" r:id="rId144"/>
    <hyperlink xmlns:r="http://schemas.openxmlformats.org/officeDocument/2006/relationships" ref="E149" r:id="rId145"/>
    <hyperlink xmlns:r="http://schemas.openxmlformats.org/officeDocument/2006/relationships" ref="E150" r:id="rId146"/>
    <hyperlink xmlns:r="http://schemas.openxmlformats.org/officeDocument/2006/relationships" ref="E151" r:id="rId147"/>
    <hyperlink xmlns:r="http://schemas.openxmlformats.org/officeDocument/2006/relationships" ref="E152" r:id="rId148"/>
    <hyperlink xmlns:r="http://schemas.openxmlformats.org/officeDocument/2006/relationships" ref="E153" r:id="rId149"/>
    <hyperlink xmlns:r="http://schemas.openxmlformats.org/officeDocument/2006/relationships" ref="E154" r:id="rId150"/>
    <hyperlink xmlns:r="http://schemas.openxmlformats.org/officeDocument/2006/relationships" ref="E155" r:id="rId151"/>
    <hyperlink xmlns:r="http://schemas.openxmlformats.org/officeDocument/2006/relationships" ref="E156" r:id="rId152"/>
  </hyperlinks>
  <pageMargins left="0.7" right="0.7" top="0.75" bottom="0.75" header="0.3" footer="0.3"/>
  <pageSetup orientation="portrait" paperSize="9" horizontalDpi="360" verticalDpi="36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301"/>
  <sheetViews>
    <sheetView workbookViewId="0">
      <selection activeCell="A1" sqref="A1"/>
    </sheetView>
  </sheetViews>
  <sheetFormatPr baseColWidth="8" defaultRowHeight="15"/>
  <cols>
    <col width="8.7265625" customWidth="1" style="139" min="1" max="1"/>
    <col width="7.81640625" customWidth="1" style="139" min="2" max="2"/>
    <col width="9.453125" customWidth="1" style="139" min="3" max="3"/>
    <col width="9.453125" customWidth="1" style="139" min="4" max="4"/>
    <col width="33.453125" customWidth="1" style="139" min="5" max="5"/>
    <col width="9.54296875" customWidth="1" style="139" min="6" max="6"/>
    <col width="7.81640625" customWidth="1" style="139" min="7" max="7"/>
    <col width="5.90625" customWidth="1" style="139" min="8" max="8"/>
    <col width="6.7265625" customWidth="1" style="139" min="9" max="9"/>
    <col width="13" customWidth="1" style="139" min="10" max="10"/>
    <col width="5.453125" customWidth="1" style="139" min="11" max="11"/>
    <col width="6.6328125" customWidth="1" style="139" min="12" max="12"/>
    <col width="5.08984375" customWidth="1" style="139" min="13" max="13"/>
    <col width="7.08984375" customWidth="1" style="139" min="14" max="14"/>
    <col width="6.6328125" customWidth="1" style="139" min="15" max="15"/>
    <col width="5" customWidth="1" style="139" min="16" max="16"/>
    <col width="11" customWidth="1" style="139" min="17" max="17"/>
    <col width="13" customWidth="1" style="139" min="18" max="18"/>
    <col width="9.81640625" customWidth="1" style="139" min="19" max="19"/>
    <col width="9.81640625" customWidth="1" style="139" min="20" max="20"/>
    <col width="9.6328125" customWidth="1" style="139" min="21" max="21"/>
    <col width="13" customWidth="1" style="139" min="22" max="22"/>
    <col width="6.90625" customWidth="1" style="139" min="23" max="23"/>
    <col width="3.90625" customWidth="1" style="139" min="24" max="24"/>
    <col width="13" customWidth="1" style="139" min="25" max="25"/>
    <col width="5.7265625" customWidth="1" style="139" min="26" max="26"/>
    <col width="9.81640625" customWidth="1" style="139" min="27" max="27"/>
    <col width="10.26953125" customWidth="1" style="139" min="28" max="28"/>
    <col width="5.90625" customWidth="1" style="139" min="29" max="29"/>
    <col width="9.81640625" customWidth="1" style="139" min="30" max="30"/>
    <col width="13" customWidth="1" style="139" min="31" max="31"/>
    <col width="13" customWidth="1" style="139" min="32" max="32"/>
    <col width="7.81640625" customWidth="1" style="139" min="33" max="33"/>
    <col width="9.81640625" customWidth="1" style="139" min="34" max="34"/>
    <col width="9.81640625" customWidth="1" style="139" min="35" max="35"/>
    <col width="13" customWidth="1" style="139" min="36" max="36"/>
    <col width="7.81640625" customWidth="1" style="139" min="37" max="37"/>
    <col width="13" customWidth="1" style="139" min="38" max="38"/>
    <col width="8.7265625" customWidth="1" style="139" min="39" max="39"/>
    <col width="11.1796875" customWidth="1" style="139" min="40" max="40"/>
    <col width="8.7265625" customWidth="1" style="139" min="41" max="41"/>
    <col width="13" customWidth="1" style="139" min="42" max="42"/>
    <col width="13" customWidth="1" style="139" min="43" max="43"/>
    <col width="13" customWidth="1" style="139" min="44" max="44"/>
    <col width="13" customWidth="1" style="139" min="45" max="45"/>
    <col width="13" customWidth="1" style="139" min="46" max="46"/>
    <col width="13" customWidth="1" style="139" min="47" max="47"/>
    <col width="8.453125" customWidth="1" style="139" min="48" max="48"/>
  </cols>
  <sheetData>
    <row r="1">
      <c r="B1" s="172" t="inlineStr">
        <is>
          <t>상</t>
        </is>
      </c>
      <c r="C1" s="13" t="inlineStr">
        <is>
          <t>중</t>
        </is>
      </c>
      <c r="D1" s="165" t="n"/>
      <c r="AH1" s="350" t="n"/>
      <c r="AM1" s="363" t="n"/>
    </row>
    <row r="2">
      <c r="B2" s="172" t="inlineStr">
        <is>
          <t>하</t>
        </is>
      </c>
      <c r="C2" s="172" t="n"/>
      <c r="AH2" s="350" t="n"/>
      <c r="AM2" s="363" t="n"/>
    </row>
    <row r="3">
      <c r="A3" s="332" t="n">
        <v>84</v>
      </c>
      <c r="B3" s="370" t="inlineStr">
        <is>
          <t>선호도</t>
        </is>
      </c>
      <c r="C3" s="367" t="n"/>
      <c r="D3" s="523" t="n"/>
      <c r="E3" s="524" t="inlineStr">
        <is>
          <t>단지정보 (30평)</t>
        </is>
      </c>
      <c r="F3" s="525" t="n"/>
      <c r="G3" s="525" t="n"/>
      <c r="H3" s="525" t="n"/>
      <c r="I3" s="525" t="n"/>
      <c r="J3" s="525" t="n"/>
      <c r="K3" s="525" t="n"/>
      <c r="L3" s="525" t="n"/>
      <c r="M3" s="525" t="n"/>
      <c r="N3" s="525" t="n"/>
      <c r="O3" s="525" t="n"/>
      <c r="P3" s="525" t="n"/>
      <c r="Q3" s="526" t="n"/>
      <c r="R3" s="526" t="n"/>
      <c r="S3" s="525" t="n"/>
      <c r="T3" s="525" t="n"/>
      <c r="U3" s="525" t="n"/>
      <c r="V3" s="525" t="n"/>
      <c r="W3" s="525" t="n"/>
      <c r="X3" s="525" t="n"/>
      <c r="Y3" s="525" t="n"/>
      <c r="Z3" s="525" t="n"/>
      <c r="AA3" s="525" t="n"/>
      <c r="AB3" s="525" t="n"/>
      <c r="AC3" s="525" t="n"/>
      <c r="AD3" s="525" t="n"/>
      <c r="AE3" s="525" t="n"/>
      <c r="AF3" s="525" t="n"/>
      <c r="AG3" s="525" t="n"/>
      <c r="AH3" s="369" t="inlineStr">
        <is>
          <t>투자결과</t>
        </is>
      </c>
      <c r="AI3" s="365" t="n"/>
      <c r="AJ3" s="365" t="n"/>
      <c r="AK3" s="365" t="n"/>
      <c r="AL3" s="367" t="n"/>
    </row>
    <row r="4">
      <c r="B4" s="177" t="inlineStr">
        <is>
          <t>생활권</t>
        </is>
      </c>
      <c r="C4" s="178" t="inlineStr">
        <is>
          <t>생활권 내</t>
        </is>
      </c>
      <c r="D4" s="350" t="inlineStr">
        <is>
          <t>단지코드</t>
        </is>
      </c>
      <c r="E4" s="350" t="inlineStr">
        <is>
          <t>단지명</t>
        </is>
      </c>
      <c r="F4" s="350" t="inlineStr">
        <is>
          <t>사용승인일</t>
        </is>
      </c>
      <c r="G4" s="350" t="inlineStr">
        <is>
          <t>총세대수</t>
        </is>
      </c>
      <c r="H4" s="22" t="inlineStr">
        <is>
          <t>나이</t>
        </is>
      </c>
      <c r="I4" s="68" t="inlineStr">
        <is>
          <t>타입</t>
        </is>
      </c>
      <c r="J4" s="68" t="inlineStr">
        <is>
          <t>공급면적</t>
        </is>
      </c>
      <c r="K4" s="179" t="inlineStr">
        <is>
          <t>전용면적</t>
        </is>
      </c>
      <c r="L4" s="179" t="inlineStr">
        <is>
          <t>평형</t>
        </is>
      </c>
      <c r="M4" s="350" t="inlineStr">
        <is>
          <t>구조</t>
        </is>
      </c>
      <c r="N4" s="350" t="inlineStr">
        <is>
          <t>방수</t>
        </is>
      </c>
      <c r="O4" s="350" t="inlineStr">
        <is>
          <t>욕실수</t>
        </is>
      </c>
      <c r="P4" s="350" t="inlineStr">
        <is>
          <t>평형별 세대수</t>
        </is>
      </c>
      <c r="Q4" s="527" t="inlineStr">
        <is>
          <t>매</t>
        </is>
      </c>
      <c r="R4" s="527" t="inlineStr">
        <is>
          <t>전</t>
        </is>
      </c>
      <c r="S4" s="179" t="inlineStr">
        <is>
          <t>차</t>
        </is>
      </c>
      <c r="T4" s="179" t="inlineStr">
        <is>
          <t>전세가율</t>
        </is>
      </c>
      <c r="U4" s="179" t="inlineStr">
        <is>
          <t>전고</t>
        </is>
      </c>
      <c r="V4" s="179" t="inlineStr">
        <is>
          <t>전저</t>
        </is>
      </c>
      <c r="W4" s="57" t="inlineStr">
        <is>
          <t>계/복</t>
        </is>
      </c>
      <c r="X4" s="179" t="inlineStr">
        <is>
          <t>방</t>
        </is>
      </c>
      <c r="Y4" s="179" t="inlineStr">
        <is>
          <t>화</t>
        </is>
      </c>
      <c r="Z4" s="179" t="inlineStr">
        <is>
          <t>면적세대수</t>
        </is>
      </c>
      <c r="AA4" s="332" t="inlineStr">
        <is>
          <t>시기(년)</t>
        </is>
      </c>
      <c r="AB4" s="363" t="inlineStr">
        <is>
          <t>(전세가율80%이상인)기간</t>
        </is>
      </c>
      <c r="AC4" s="332" t="inlineStr">
        <is>
          <t>평형</t>
        </is>
      </c>
      <c r="AD4" s="332" t="inlineStr">
        <is>
          <t>매매가</t>
        </is>
      </c>
      <c r="AE4" s="332" t="inlineStr">
        <is>
          <t>전세가</t>
        </is>
      </c>
      <c r="AF4" s="332" t="inlineStr">
        <is>
          <t>전세가율</t>
        </is>
      </c>
      <c r="AG4" s="24" t="inlineStr">
        <is>
          <t>투자금</t>
        </is>
      </c>
      <c r="AH4" s="177" t="inlineStr">
        <is>
          <t>시기(년)</t>
        </is>
      </c>
      <c r="AI4" s="177" t="inlineStr">
        <is>
          <t>매매가</t>
        </is>
      </c>
      <c r="AJ4" s="177" t="inlineStr">
        <is>
          <t>수익금</t>
        </is>
      </c>
      <c r="AK4" s="528" t="inlineStr">
        <is>
          <t>상승율</t>
        </is>
      </c>
      <c r="AL4" s="529" t="inlineStr">
        <is>
          <t>수익율</t>
        </is>
      </c>
      <c r="AN4" s="14" t="n"/>
    </row>
    <row r="5">
      <c r="A5" s="530" t="inlineStr">
        <is>
          <t>가음동</t>
        </is>
      </c>
      <c r="B5" s="530" t="n"/>
      <c r="C5" s="530" t="n"/>
      <c r="D5" s="530" t="n">
        <v>16761</v>
      </c>
      <c r="E5" s="531" t="inlineStr">
        <is>
          <t>은아</t>
        </is>
      </c>
      <c r="F5" s="530" t="n">
        <v>1987.12</v>
      </c>
      <c r="G5" s="530" t="n">
        <v>500</v>
      </c>
      <c r="H5" s="530">
        <f>2026-F5+1</f>
        <v/>
      </c>
      <c r="I5" s="530" t="n"/>
      <c r="J5" s="530" t="n">
        <v>59</v>
      </c>
      <c r="K5" s="530" t="n">
        <v>49</v>
      </c>
      <c r="L5" s="530" t="n">
        <v>18</v>
      </c>
      <c r="M5" s="530" t="inlineStr">
        <is>
          <t>계단식</t>
        </is>
      </c>
      <c r="N5" s="530" t="n">
        <v>2</v>
      </c>
      <c r="O5" s="530" t="n">
        <v>1</v>
      </c>
      <c r="P5" s="530" t="n">
        <v>500</v>
      </c>
      <c r="Q5" s="530" t="n"/>
      <c r="R5" s="530" t="n"/>
      <c r="S5" s="530" t="n"/>
      <c r="T5" s="530" t="n"/>
      <c r="U5" s="530" t="n">
        <v>2.9</v>
      </c>
      <c r="V5" s="530" t="n">
        <v>1.9</v>
      </c>
      <c r="W5" s="530" t="n"/>
      <c r="X5" s="530" t="n"/>
      <c r="Y5" s="530" t="n"/>
      <c r="Z5" s="530" t="n"/>
      <c r="AA5" s="530" t="n"/>
      <c r="AB5" s="530" t="n"/>
      <c r="AC5" s="530" t="n"/>
      <c r="AD5" s="530" t="n"/>
      <c r="AE5" s="530" t="n"/>
      <c r="AF5" s="530" t="n"/>
      <c r="AG5" s="530" t="n"/>
      <c r="AH5" s="530" t="n"/>
      <c r="AI5" s="530" t="n"/>
      <c r="AJ5" s="530" t="n"/>
      <c r="AK5" s="530" t="n"/>
      <c r="AL5" s="530" t="n"/>
    </row>
    <row r="6">
      <c r="A6" s="339" t="inlineStr">
        <is>
          <t>가음동</t>
        </is>
      </c>
      <c r="D6" s="339" t="n">
        <v>112175</v>
      </c>
      <c r="E6" s="532" t="inlineStr">
        <is>
          <t>창원가음정한림풀에버</t>
        </is>
      </c>
      <c r="F6" s="339" t="n">
        <v>2014.07</v>
      </c>
      <c r="G6" s="339" t="n">
        <v>266</v>
      </c>
      <c r="H6" s="339">
        <f>2026-F6+1</f>
        <v/>
      </c>
      <c r="J6" s="339" t="n">
        <v>90</v>
      </c>
      <c r="K6" s="339" t="n">
        <v>64</v>
      </c>
      <c r="L6" s="339" t="n">
        <v>27</v>
      </c>
      <c r="M6" s="339" t="inlineStr">
        <is>
          <t>계단식</t>
        </is>
      </c>
      <c r="N6" s="339" t="n">
        <v>3</v>
      </c>
      <c r="O6" s="339" t="n">
        <v>2</v>
      </c>
      <c r="P6" s="339" t="n">
        <v>78</v>
      </c>
      <c r="U6" t="n">
        <v>5.7</v>
      </c>
      <c r="V6" t="n">
        <v>4.23</v>
      </c>
    </row>
    <row r="7">
      <c r="A7" s="339" t="inlineStr">
        <is>
          <t>가음동</t>
        </is>
      </c>
      <c r="D7" s="339" t="n">
        <v>112175</v>
      </c>
      <c r="E7" s="532" t="inlineStr">
        <is>
          <t>창원가음정한림풀에버</t>
        </is>
      </c>
      <c r="F7" s="339" t="n">
        <v>2014.07</v>
      </c>
      <c r="G7" s="339" t="n">
        <v>266</v>
      </c>
      <c r="H7" s="339">
        <f>2026-F7+1</f>
        <v/>
      </c>
      <c r="J7" s="339" t="n">
        <v>112</v>
      </c>
      <c r="K7" s="339" t="n">
        <v>84</v>
      </c>
      <c r="L7" s="339" t="n">
        <v>34</v>
      </c>
      <c r="M7" s="339" t="inlineStr">
        <is>
          <t>계단식</t>
        </is>
      </c>
      <c r="N7" s="339" t="n">
        <v>3</v>
      </c>
      <c r="O7" s="339" t="n">
        <v>2</v>
      </c>
      <c r="P7" s="339" t="n">
        <v>188</v>
      </c>
      <c r="U7" t="n">
        <v>6.3</v>
      </c>
      <c r="V7" t="n">
        <v>5.02</v>
      </c>
    </row>
    <row r="8">
      <c r="A8" s="530" t="inlineStr">
        <is>
          <t>가음동</t>
        </is>
      </c>
      <c r="B8" s="530" t="n"/>
      <c r="C8" s="530" t="n"/>
      <c r="D8" s="530" t="n">
        <v>109672</v>
      </c>
      <c r="E8" s="531" t="inlineStr">
        <is>
          <t>창원가음한화꿈에그린</t>
        </is>
      </c>
      <c r="F8" s="530" t="n">
        <v>2017.07</v>
      </c>
      <c r="G8" s="530" t="n">
        <v>749</v>
      </c>
      <c r="H8" s="530">
        <f>2026-F8+1</f>
        <v/>
      </c>
      <c r="I8" s="530" t="n"/>
      <c r="J8" s="530" t="n">
        <v>79</v>
      </c>
      <c r="K8" s="530" t="n">
        <v>59</v>
      </c>
      <c r="L8" s="530" t="n">
        <v>24</v>
      </c>
      <c r="M8" s="530" t="inlineStr">
        <is>
          <t>계단식</t>
        </is>
      </c>
      <c r="N8" s="530" t="n">
        <v>3</v>
      </c>
      <c r="O8" s="530" t="n">
        <v>2</v>
      </c>
      <c r="P8" s="530" t="n">
        <v>88</v>
      </c>
      <c r="Q8" s="530" t="n"/>
      <c r="R8" s="530" t="n"/>
      <c r="S8" s="530" t="n"/>
      <c r="T8" s="530" t="n"/>
      <c r="U8" s="530" t="n">
        <v>5.9</v>
      </c>
      <c r="V8" s="530" t="n">
        <v>4.28</v>
      </c>
      <c r="W8" s="530" t="n"/>
      <c r="X8" s="530" t="n"/>
      <c r="Y8" s="530" t="n"/>
      <c r="Z8" s="530" t="n"/>
      <c r="AA8" s="530" t="n"/>
      <c r="AB8" s="530" t="n"/>
      <c r="AC8" s="530" t="n"/>
      <c r="AD8" s="530" t="n"/>
      <c r="AE8" s="530" t="n"/>
      <c r="AF8" s="530" t="n"/>
      <c r="AG8" s="530" t="n"/>
      <c r="AH8" s="530" t="n"/>
      <c r="AI8" s="530" t="n"/>
      <c r="AJ8" s="530" t="n"/>
      <c r="AK8" s="530" t="n"/>
      <c r="AL8" s="530" t="n"/>
    </row>
    <row r="9">
      <c r="A9" s="530" t="inlineStr">
        <is>
          <t>가음동</t>
        </is>
      </c>
      <c r="B9" s="530" t="n"/>
      <c r="C9" s="530" t="n"/>
      <c r="D9" s="530" t="n">
        <v>109672</v>
      </c>
      <c r="E9" s="531" t="inlineStr">
        <is>
          <t>창원가음한화꿈에그린</t>
        </is>
      </c>
      <c r="F9" s="530" t="n">
        <v>2017.07</v>
      </c>
      <c r="G9" s="530" t="n">
        <v>749</v>
      </c>
      <c r="H9" s="530">
        <f>2026-F9+1</f>
        <v/>
      </c>
      <c r="I9" s="530" t="n"/>
      <c r="J9" s="530" t="n">
        <v>94</v>
      </c>
      <c r="K9" s="530" t="n">
        <v>70</v>
      </c>
      <c r="L9" s="530" t="n">
        <v>28</v>
      </c>
      <c r="M9" s="530" t="inlineStr">
        <is>
          <t>계단식</t>
        </is>
      </c>
      <c r="N9" s="530" t="n">
        <v>3</v>
      </c>
      <c r="O9" s="530" t="n">
        <v>2</v>
      </c>
      <c r="P9" s="530" t="n">
        <v>54</v>
      </c>
      <c r="Q9" s="530" t="n"/>
      <c r="R9" s="530" t="n"/>
      <c r="S9" s="530" t="n"/>
      <c r="T9" s="530" t="n"/>
      <c r="U9" s="530" t="n">
        <v>5.99</v>
      </c>
      <c r="V9" s="530" t="n">
        <v>4.8</v>
      </c>
      <c r="W9" s="530" t="n"/>
      <c r="X9" s="530" t="n"/>
      <c r="Y9" s="530" t="n"/>
      <c r="Z9" s="530" t="n"/>
      <c r="AA9" s="530" t="n"/>
      <c r="AB9" s="530" t="n"/>
      <c r="AC9" s="530" t="n"/>
      <c r="AD9" s="530" t="n"/>
      <c r="AE9" s="530" t="n"/>
      <c r="AF9" s="530" t="n"/>
      <c r="AG9" s="530" t="n"/>
      <c r="AH9" s="530" t="n"/>
      <c r="AI9" s="530" t="n"/>
      <c r="AJ9" s="530" t="n"/>
      <c r="AK9" s="530" t="n"/>
      <c r="AL9" s="530" t="n"/>
    </row>
    <row r="10">
      <c r="A10" s="530" t="inlineStr">
        <is>
          <t>가음동</t>
        </is>
      </c>
      <c r="B10" s="530" t="n"/>
      <c r="C10" s="530" t="n"/>
      <c r="D10" s="530" t="n">
        <v>109672</v>
      </c>
      <c r="E10" s="531" t="inlineStr">
        <is>
          <t>창원가음한화꿈에그린</t>
        </is>
      </c>
      <c r="F10" s="530" t="n">
        <v>2017.07</v>
      </c>
      <c r="G10" s="530" t="n">
        <v>749</v>
      </c>
      <c r="H10" s="530">
        <f>2026-F10+1</f>
        <v/>
      </c>
      <c r="I10" s="530" t="n"/>
      <c r="J10" s="530" t="n">
        <v>112</v>
      </c>
      <c r="K10" s="530" t="n">
        <v>84</v>
      </c>
      <c r="L10" s="530" t="n">
        <v>34</v>
      </c>
      <c r="M10" s="530" t="inlineStr">
        <is>
          <t>계단식</t>
        </is>
      </c>
      <c r="N10" s="530" t="n">
        <v>3</v>
      </c>
      <c r="O10" s="530" t="n">
        <v>2</v>
      </c>
      <c r="P10" s="530" t="n">
        <v>495</v>
      </c>
      <c r="Q10" s="530" t="n"/>
      <c r="R10" s="530" t="n"/>
      <c r="S10" s="530" t="n"/>
      <c r="T10" s="530" t="n"/>
      <c r="U10" s="530" t="n">
        <v>7.75</v>
      </c>
      <c r="V10" s="530" t="n">
        <v>5.2</v>
      </c>
      <c r="W10" s="530" t="n"/>
      <c r="X10" s="530" t="n"/>
      <c r="Y10" s="530" t="n"/>
      <c r="Z10" s="530" t="n"/>
      <c r="AA10" s="530" t="n"/>
      <c r="AB10" s="530" t="n"/>
      <c r="AC10" s="530" t="n"/>
      <c r="AD10" s="530" t="n"/>
      <c r="AE10" s="530" t="n"/>
      <c r="AF10" s="530" t="n"/>
      <c r="AG10" s="530" t="n"/>
      <c r="AH10" s="530" t="n"/>
      <c r="AI10" s="530" t="n"/>
      <c r="AJ10" s="530" t="n"/>
      <c r="AK10" s="530" t="n"/>
      <c r="AL10" s="530" t="n"/>
    </row>
    <row r="11">
      <c r="A11" s="530" t="inlineStr">
        <is>
          <t>가음동</t>
        </is>
      </c>
      <c r="B11" s="530" t="n"/>
      <c r="C11" s="530" t="n"/>
      <c r="D11" s="530" t="n">
        <v>109672</v>
      </c>
      <c r="E11" s="531" t="inlineStr">
        <is>
          <t>창원가음한화꿈에그린</t>
        </is>
      </c>
      <c r="F11" s="530" t="n">
        <v>2017.07</v>
      </c>
      <c r="G11" s="530" t="n">
        <v>749</v>
      </c>
      <c r="H11" s="530">
        <f>2026-F11+1</f>
        <v/>
      </c>
      <c r="I11" s="530" t="n"/>
      <c r="J11" s="530" t="n">
        <v>131</v>
      </c>
      <c r="K11" s="530" t="n">
        <v>100</v>
      </c>
      <c r="L11" s="530" t="n">
        <v>40</v>
      </c>
      <c r="M11" s="530" t="inlineStr">
        <is>
          <t>계단식</t>
        </is>
      </c>
      <c r="N11" s="530" t="n">
        <v>4</v>
      </c>
      <c r="O11" s="530" t="n">
        <v>2</v>
      </c>
      <c r="P11" s="530" t="n">
        <v>85</v>
      </c>
      <c r="Q11" s="530" t="n"/>
      <c r="R11" s="530" t="n"/>
      <c r="S11" s="530" t="n"/>
      <c r="T11" s="530" t="n"/>
      <c r="U11" s="530" t="n">
        <v>8.6</v>
      </c>
      <c r="V11" s="530" t="n">
        <v>6.25</v>
      </c>
      <c r="W11" s="530" t="n"/>
      <c r="X11" s="530" t="n"/>
      <c r="Y11" s="530" t="n"/>
      <c r="Z11" s="530" t="n"/>
      <c r="AA11" s="530" t="n"/>
      <c r="AB11" s="530" t="n"/>
      <c r="AC11" s="530" t="n"/>
      <c r="AD11" s="530" t="n"/>
      <c r="AE11" s="530" t="n"/>
      <c r="AF11" s="530" t="n"/>
      <c r="AG11" s="530" t="n"/>
      <c r="AH11" s="530" t="n"/>
      <c r="AI11" s="530" t="n"/>
      <c r="AJ11" s="530" t="n"/>
      <c r="AK11" s="530" t="n"/>
      <c r="AL11" s="530" t="n"/>
    </row>
    <row r="12">
      <c r="A12" s="530" t="inlineStr">
        <is>
          <t>가음동</t>
        </is>
      </c>
      <c r="B12" s="530" t="n"/>
      <c r="C12" s="530" t="n"/>
      <c r="D12" s="530" t="n">
        <v>109672</v>
      </c>
      <c r="E12" s="531" t="inlineStr">
        <is>
          <t>창원가음한화꿈에그린</t>
        </is>
      </c>
      <c r="F12" s="530" t="n">
        <v>2017.07</v>
      </c>
      <c r="G12" s="530" t="n">
        <v>749</v>
      </c>
      <c r="H12" s="530">
        <f>2026-F12+1</f>
        <v/>
      </c>
      <c r="I12" s="530" t="n"/>
      <c r="J12" s="530" t="n">
        <v>144</v>
      </c>
      <c r="K12" s="530" t="n">
        <v>110</v>
      </c>
      <c r="L12" s="530" t="n">
        <v>44</v>
      </c>
      <c r="M12" s="530" t="inlineStr">
        <is>
          <t>계단식</t>
        </is>
      </c>
      <c r="N12" s="530" t="n">
        <v>4</v>
      </c>
      <c r="O12" s="530" t="n">
        <v>2</v>
      </c>
      <c r="P12" s="530" t="n">
        <v>27</v>
      </c>
      <c r="Q12" s="530" t="n"/>
      <c r="R12" s="530" t="n"/>
      <c r="S12" s="530" t="n"/>
      <c r="T12" s="530" t="n"/>
      <c r="U12" s="530" t="n"/>
      <c r="V12" s="530" t="n"/>
      <c r="W12" s="530" t="n"/>
      <c r="X12" s="530" t="n"/>
      <c r="Y12" s="530" t="n"/>
      <c r="Z12" s="530" t="n"/>
      <c r="AA12" s="530" t="n"/>
      <c r="AB12" s="530" t="n"/>
      <c r="AC12" s="530" t="n"/>
      <c r="AD12" s="530" t="n"/>
      <c r="AE12" s="530" t="n"/>
      <c r="AF12" s="530" t="n"/>
      <c r="AG12" s="530" t="n"/>
      <c r="AH12" s="530" t="n"/>
      <c r="AI12" s="530" t="n"/>
      <c r="AJ12" s="530" t="n"/>
      <c r="AK12" s="530" t="n"/>
      <c r="AL12" s="530" t="n"/>
    </row>
    <row r="13">
      <c r="A13" s="339" t="inlineStr">
        <is>
          <t>가음동</t>
        </is>
      </c>
      <c r="D13" s="339" t="n">
        <v>109271</v>
      </c>
      <c r="E13" s="532" t="inlineStr">
        <is>
          <t>창원더샵센트럴파크1단지</t>
        </is>
      </c>
      <c r="F13" s="339" t="n">
        <v>2017.04</v>
      </c>
      <c r="G13" s="339" t="n">
        <v>386</v>
      </c>
      <c r="H13" s="339">
        <f>2026-F13+1</f>
        <v/>
      </c>
      <c r="J13" s="339" t="n">
        <v>107</v>
      </c>
      <c r="K13" s="339" t="n">
        <v>84</v>
      </c>
      <c r="L13" s="339" t="n">
        <v>32</v>
      </c>
      <c r="M13" s="339" t="inlineStr">
        <is>
          <t>계단식</t>
        </is>
      </c>
      <c r="N13" s="339" t="n">
        <v>3</v>
      </c>
      <c r="O13" s="339" t="n">
        <v>2</v>
      </c>
      <c r="P13" s="339" t="n">
        <v>196</v>
      </c>
      <c r="U13" t="n">
        <v>7.6</v>
      </c>
      <c r="V13" t="n">
        <v>5.1</v>
      </c>
    </row>
    <row r="14">
      <c r="A14" s="339" t="inlineStr">
        <is>
          <t>가음동</t>
        </is>
      </c>
      <c r="D14" s="339" t="n">
        <v>109271</v>
      </c>
      <c r="E14" s="532" t="inlineStr">
        <is>
          <t>창원더샵센트럴파크1단지</t>
        </is>
      </c>
      <c r="F14" s="339" t="n">
        <v>2017.04</v>
      </c>
      <c r="G14" s="339" t="n">
        <v>386</v>
      </c>
      <c r="H14" s="339">
        <f>2026-F14+1</f>
        <v/>
      </c>
      <c r="J14" s="339" t="n">
        <v>125</v>
      </c>
      <c r="K14" s="339" t="n">
        <v>98</v>
      </c>
      <c r="L14" s="339" t="n">
        <v>38</v>
      </c>
      <c r="M14" s="339" t="inlineStr">
        <is>
          <t>계단식</t>
        </is>
      </c>
      <c r="N14" s="339" t="n">
        <v>4</v>
      </c>
      <c r="O14" s="339" t="n">
        <v>2</v>
      </c>
      <c r="P14" s="339" t="n">
        <v>98</v>
      </c>
      <c r="U14" t="n">
        <v>7.8</v>
      </c>
      <c r="V14" t="n">
        <v>6.06</v>
      </c>
    </row>
    <row r="15">
      <c r="A15" s="339" t="inlineStr">
        <is>
          <t>가음동</t>
        </is>
      </c>
      <c r="D15" s="339" t="n">
        <v>109271</v>
      </c>
      <c r="E15" s="532" t="inlineStr">
        <is>
          <t>창원더샵센트럴파크1단지</t>
        </is>
      </c>
      <c r="F15" s="339" t="n">
        <v>2017.04</v>
      </c>
      <c r="G15" s="339" t="n">
        <v>386</v>
      </c>
      <c r="H15" s="339">
        <f>2026-F15+1</f>
        <v/>
      </c>
      <c r="J15" s="339" t="n">
        <v>147</v>
      </c>
      <c r="K15" s="339" t="n">
        <v>117</v>
      </c>
      <c r="L15" s="339" t="n">
        <v>44</v>
      </c>
      <c r="M15" s="339" t="inlineStr">
        <is>
          <t>계단식</t>
        </is>
      </c>
      <c r="N15" s="339" t="n">
        <v>4</v>
      </c>
      <c r="O15" s="339" t="n">
        <v>2</v>
      </c>
      <c r="P15" s="339" t="n">
        <v>92</v>
      </c>
      <c r="U15" t="n">
        <v>9</v>
      </c>
      <c r="V15" t="n">
        <v>7.98</v>
      </c>
    </row>
    <row r="16">
      <c r="A16" s="530" t="inlineStr">
        <is>
          <t>가음동</t>
        </is>
      </c>
      <c r="B16" s="530" t="n"/>
      <c r="C16" s="530" t="n"/>
      <c r="D16" s="530" t="n">
        <v>109272</v>
      </c>
      <c r="E16" s="531" t="inlineStr">
        <is>
          <t>창원더샵센트럴파크2단지</t>
        </is>
      </c>
      <c r="F16" s="530" t="n">
        <v>2017.04</v>
      </c>
      <c r="G16" s="530" t="n">
        <v>624</v>
      </c>
      <c r="H16" s="530">
        <f>2026-F16+1</f>
        <v/>
      </c>
      <c r="I16" s="530" t="n"/>
      <c r="J16" s="530" t="n">
        <v>78</v>
      </c>
      <c r="K16" s="530" t="n">
        <v>59</v>
      </c>
      <c r="L16" s="530" t="n">
        <v>24</v>
      </c>
      <c r="M16" s="530" t="inlineStr">
        <is>
          <t>계단식</t>
        </is>
      </c>
      <c r="N16" s="530" t="n">
        <v>3</v>
      </c>
      <c r="O16" s="530" t="n">
        <v>2</v>
      </c>
      <c r="P16" s="530" t="n">
        <v>100</v>
      </c>
      <c r="Q16" s="530" t="n"/>
      <c r="R16" s="530" t="n"/>
      <c r="S16" s="530" t="n"/>
      <c r="T16" s="530" t="n"/>
      <c r="U16" s="530" t="n">
        <v>5.89</v>
      </c>
      <c r="V16" s="530" t="n">
        <v>4.55</v>
      </c>
      <c r="W16" s="530" t="n"/>
      <c r="X16" s="530" t="n"/>
      <c r="Y16" s="530" t="n"/>
      <c r="Z16" s="530" t="n"/>
      <c r="AA16" s="530" t="n"/>
      <c r="AB16" s="530" t="n"/>
      <c r="AC16" s="530" t="n"/>
      <c r="AD16" s="530" t="n"/>
      <c r="AE16" s="530" t="n"/>
      <c r="AF16" s="530" t="n"/>
      <c r="AG16" s="530" t="n"/>
      <c r="AH16" s="530" t="n"/>
      <c r="AI16" s="530" t="n"/>
      <c r="AJ16" s="530" t="n"/>
      <c r="AK16" s="530" t="n"/>
      <c r="AL16" s="530" t="n"/>
    </row>
    <row r="17">
      <c r="A17" s="530" t="inlineStr">
        <is>
          <t>가음동</t>
        </is>
      </c>
      <c r="B17" s="530" t="n"/>
      <c r="C17" s="530" t="n"/>
      <c r="D17" s="530" t="n">
        <v>109272</v>
      </c>
      <c r="E17" s="531" t="inlineStr">
        <is>
          <t>창원더샵센트럴파크2단지</t>
        </is>
      </c>
      <c r="F17" s="530" t="n">
        <v>2017.04</v>
      </c>
      <c r="G17" s="530" t="n">
        <v>624</v>
      </c>
      <c r="H17" s="530">
        <f>2026-F17+1</f>
        <v/>
      </c>
      <c r="I17" s="530" t="n"/>
      <c r="J17" s="530" t="n">
        <v>110</v>
      </c>
      <c r="K17" s="530" t="n">
        <v>84</v>
      </c>
      <c r="L17" s="530" t="n">
        <v>33</v>
      </c>
      <c r="M17" s="530" t="inlineStr">
        <is>
          <t>계단식</t>
        </is>
      </c>
      <c r="N17" s="530" t="n">
        <v>3</v>
      </c>
      <c r="O17" s="530" t="n">
        <v>2</v>
      </c>
      <c r="P17" s="530" t="n">
        <v>424</v>
      </c>
      <c r="Q17" s="530" t="n"/>
      <c r="R17" s="530" t="n"/>
      <c r="S17" s="530" t="n"/>
      <c r="T17" s="530" t="n"/>
      <c r="U17" s="530" t="n">
        <v>7.75</v>
      </c>
      <c r="V17" s="530" t="n">
        <v>5.4</v>
      </c>
      <c r="W17" s="530" t="n"/>
      <c r="X17" s="530" t="n"/>
      <c r="Y17" s="530" t="n"/>
      <c r="Z17" s="530" t="n"/>
      <c r="AA17" s="530" t="n"/>
      <c r="AB17" s="530" t="n"/>
      <c r="AC17" s="530" t="n"/>
      <c r="AD17" s="530" t="n"/>
      <c r="AE17" s="530" t="n"/>
      <c r="AF17" s="530" t="n"/>
      <c r="AG17" s="530" t="n"/>
      <c r="AH17" s="530" t="n"/>
      <c r="AI17" s="530" t="n"/>
      <c r="AJ17" s="530" t="n"/>
      <c r="AK17" s="530" t="n"/>
      <c r="AL17" s="530" t="n"/>
    </row>
    <row r="18">
      <c r="A18" s="530" t="inlineStr">
        <is>
          <t>가음동</t>
        </is>
      </c>
      <c r="B18" s="530" t="n"/>
      <c r="C18" s="530" t="n"/>
      <c r="D18" s="530" t="n">
        <v>109272</v>
      </c>
      <c r="E18" s="531" t="inlineStr">
        <is>
          <t>창원더샵센트럴파크2단지</t>
        </is>
      </c>
      <c r="F18" s="530" t="n">
        <v>2017.04</v>
      </c>
      <c r="G18" s="530" t="n">
        <v>624</v>
      </c>
      <c r="H18" s="530">
        <f>2026-F18+1</f>
        <v/>
      </c>
      <c r="I18" s="530" t="n"/>
      <c r="J18" s="530" t="n">
        <v>129</v>
      </c>
      <c r="K18" s="530" t="n">
        <v>98</v>
      </c>
      <c r="L18" s="530" t="n">
        <v>39</v>
      </c>
      <c r="M18" s="530" t="inlineStr">
        <is>
          <t>계단식</t>
        </is>
      </c>
      <c r="N18" s="530" t="n">
        <v>4</v>
      </c>
      <c r="O18" s="530" t="n">
        <v>2</v>
      </c>
      <c r="P18" s="530" t="n">
        <v>100</v>
      </c>
      <c r="Q18" s="530" t="n"/>
      <c r="R18" s="530" t="n"/>
      <c r="S18" s="530" t="n"/>
      <c r="T18" s="530" t="n"/>
      <c r="U18" s="530" t="n">
        <v>8.199999999999999</v>
      </c>
      <c r="V18" s="530" t="n">
        <v>6.4</v>
      </c>
      <c r="W18" s="530" t="n"/>
      <c r="X18" s="530" t="n"/>
      <c r="Y18" s="530" t="n"/>
      <c r="Z18" s="530" t="n"/>
      <c r="AA18" s="530" t="n"/>
      <c r="AB18" s="530" t="n"/>
      <c r="AC18" s="530" t="n"/>
      <c r="AD18" s="530" t="n"/>
      <c r="AE18" s="530" t="n"/>
      <c r="AF18" s="530" t="n"/>
      <c r="AG18" s="530" t="n"/>
      <c r="AH18" s="530" t="n"/>
      <c r="AI18" s="530" t="n"/>
      <c r="AJ18" s="530" t="n"/>
      <c r="AK18" s="530" t="n"/>
      <c r="AL18" s="530" t="n"/>
    </row>
    <row r="19">
      <c r="A19" s="339" t="inlineStr">
        <is>
          <t>가음동</t>
        </is>
      </c>
      <c r="D19" s="339" t="n">
        <v>109273</v>
      </c>
      <c r="E19" s="532" t="inlineStr">
        <is>
          <t>창원더샵센트럴파크3단지</t>
        </is>
      </c>
      <c r="F19" s="339" t="n">
        <v>2017.04</v>
      </c>
      <c r="G19" s="339" t="n">
        <v>448</v>
      </c>
      <c r="H19" s="339">
        <f>2026-F19+1</f>
        <v/>
      </c>
      <c r="J19" s="339" t="n">
        <v>93</v>
      </c>
      <c r="K19" s="339" t="n">
        <v>71</v>
      </c>
      <c r="L19" s="339" t="n">
        <v>28</v>
      </c>
      <c r="M19" s="339" t="inlineStr">
        <is>
          <t>계단식</t>
        </is>
      </c>
      <c r="N19" s="339" t="n">
        <v>3</v>
      </c>
      <c r="O19" s="339" t="n">
        <v>2</v>
      </c>
      <c r="P19" s="339" t="n">
        <v>160</v>
      </c>
      <c r="U19" t="n">
        <v>6.48</v>
      </c>
      <c r="V19" t="n">
        <v>4.82</v>
      </c>
    </row>
    <row r="20">
      <c r="A20" s="339" t="inlineStr">
        <is>
          <t>가음동</t>
        </is>
      </c>
      <c r="D20" s="339" t="n">
        <v>109273</v>
      </c>
      <c r="E20" s="532" t="inlineStr">
        <is>
          <t>창원더샵센트럴파크3단지</t>
        </is>
      </c>
      <c r="F20" s="339" t="n">
        <v>2017.04</v>
      </c>
      <c r="G20" s="339" t="n">
        <v>448</v>
      </c>
      <c r="H20" s="339">
        <f>2026-F20+1</f>
        <v/>
      </c>
      <c r="J20" s="339" t="n">
        <v>110</v>
      </c>
      <c r="K20" s="339" t="n">
        <v>84</v>
      </c>
      <c r="L20" s="339" t="n">
        <v>33</v>
      </c>
      <c r="M20" s="339" t="inlineStr">
        <is>
          <t>계단식</t>
        </is>
      </c>
      <c r="N20" s="339" t="n">
        <v>3</v>
      </c>
      <c r="O20" s="339" t="n">
        <v>2</v>
      </c>
      <c r="P20" s="339" t="n">
        <v>236</v>
      </c>
      <c r="U20" t="n">
        <v>7.6</v>
      </c>
      <c r="V20" t="n">
        <v>5.55</v>
      </c>
    </row>
    <row r="21">
      <c r="A21" s="339" t="inlineStr">
        <is>
          <t>가음동</t>
        </is>
      </c>
      <c r="D21" s="339" t="n">
        <v>109273</v>
      </c>
      <c r="E21" s="532" t="inlineStr">
        <is>
          <t>창원더샵센트럴파크3단지</t>
        </is>
      </c>
      <c r="F21" s="339" t="n">
        <v>2017.04</v>
      </c>
      <c r="G21" s="339" t="n">
        <v>448</v>
      </c>
      <c r="H21" s="339">
        <f>2026-F21+1</f>
        <v/>
      </c>
      <c r="J21" s="339" t="n">
        <v>129</v>
      </c>
      <c r="K21" s="339" t="n">
        <v>98</v>
      </c>
      <c r="L21" s="339" t="n">
        <v>39</v>
      </c>
      <c r="M21" s="339" t="inlineStr">
        <is>
          <t>계단식</t>
        </is>
      </c>
      <c r="N21" s="339" t="n">
        <v>4</v>
      </c>
      <c r="O21" s="339" t="n">
        <v>2</v>
      </c>
      <c r="P21" s="339" t="n">
        <v>52</v>
      </c>
      <c r="U21" t="n">
        <v>8.199999999999999</v>
      </c>
      <c r="V21" t="n">
        <v>5.5</v>
      </c>
    </row>
    <row r="22">
      <c r="A22" s="530" t="inlineStr">
        <is>
          <t>가음동</t>
        </is>
      </c>
      <c r="B22" s="530" t="n"/>
      <c r="C22" s="530" t="n"/>
      <c r="D22" s="530" t="n">
        <v>118728</v>
      </c>
      <c r="E22" s="531" t="inlineStr">
        <is>
          <t>창원센텀푸르지오</t>
        </is>
      </c>
      <c r="F22" s="530" t="n">
        <v>2018.01</v>
      </c>
      <c r="G22" s="530" t="n">
        <v>975</v>
      </c>
      <c r="H22" s="530">
        <f>2026-F22+1</f>
        <v/>
      </c>
      <c r="I22" s="530" t="n"/>
      <c r="J22" s="530" t="n">
        <v>84</v>
      </c>
      <c r="K22" s="530" t="n">
        <v>59</v>
      </c>
      <c r="L22" s="530" t="n">
        <v>25</v>
      </c>
      <c r="M22" s="530" t="inlineStr">
        <is>
          <t>계단식</t>
        </is>
      </c>
      <c r="N22" s="530" t="n">
        <v>3</v>
      </c>
      <c r="O22" s="530" t="n">
        <v>2</v>
      </c>
      <c r="P22" s="530" t="n">
        <v>224</v>
      </c>
      <c r="Q22" s="530" t="n"/>
      <c r="R22" s="530" t="n"/>
      <c r="S22" s="530" t="n"/>
      <c r="T22" s="530" t="n"/>
      <c r="U22" s="530" t="n">
        <v>6.15</v>
      </c>
      <c r="V22" s="530" t="n">
        <v>4.2</v>
      </c>
      <c r="W22" s="530" t="n"/>
      <c r="X22" s="530" t="n"/>
      <c r="Y22" s="530" t="n"/>
      <c r="Z22" s="530" t="n"/>
      <c r="AA22" s="530" t="n"/>
      <c r="AB22" s="530" t="n"/>
      <c r="AC22" s="530" t="n"/>
      <c r="AD22" s="530" t="n"/>
      <c r="AE22" s="530" t="n"/>
      <c r="AF22" s="530" t="n"/>
      <c r="AG22" s="530" t="n"/>
      <c r="AH22" s="530" t="n"/>
      <c r="AI22" s="530" t="n"/>
      <c r="AJ22" s="530" t="n"/>
      <c r="AK22" s="530" t="n"/>
      <c r="AL22" s="530" t="n"/>
    </row>
    <row r="23">
      <c r="A23" s="530" t="inlineStr">
        <is>
          <t>가음동</t>
        </is>
      </c>
      <c r="B23" s="530" t="n"/>
      <c r="C23" s="530" t="n"/>
      <c r="D23" s="530" t="n">
        <v>118728</v>
      </c>
      <c r="E23" s="531" t="inlineStr">
        <is>
          <t>창원센텀푸르지오</t>
        </is>
      </c>
      <c r="F23" s="530" t="n">
        <v>2018.01</v>
      </c>
      <c r="G23" s="530" t="n">
        <v>975</v>
      </c>
      <c r="H23" s="530">
        <f>2026-F23+1</f>
        <v/>
      </c>
      <c r="I23" s="530" t="n"/>
      <c r="J23" s="530" t="n">
        <v>98</v>
      </c>
      <c r="K23" s="530" t="n">
        <v>73</v>
      </c>
      <c r="L23" s="530" t="n">
        <v>30</v>
      </c>
      <c r="M23" s="530" t="inlineStr">
        <is>
          <t>계단식</t>
        </is>
      </c>
      <c r="N23" s="530" t="n">
        <v>3</v>
      </c>
      <c r="O23" s="530" t="n">
        <v>2</v>
      </c>
      <c r="P23" s="530" t="n">
        <v>216</v>
      </c>
      <c r="Q23" s="530" t="n"/>
      <c r="R23" s="530" t="n"/>
      <c r="S23" s="530" t="n"/>
      <c r="T23" s="530" t="n"/>
      <c r="U23" s="530" t="n">
        <v>7.1</v>
      </c>
      <c r="V23" s="530" t="n">
        <v>4.9</v>
      </c>
      <c r="W23" s="530" t="n"/>
      <c r="X23" s="530" t="n"/>
      <c r="Y23" s="530" t="n"/>
      <c r="Z23" s="530" t="n"/>
      <c r="AA23" s="530" t="n"/>
      <c r="AB23" s="530" t="n"/>
      <c r="AC23" s="530" t="n"/>
      <c r="AD23" s="530" t="n"/>
      <c r="AE23" s="530" t="n"/>
      <c r="AF23" s="530" t="n"/>
      <c r="AG23" s="530" t="n"/>
      <c r="AH23" s="530" t="n"/>
      <c r="AI23" s="530" t="n"/>
      <c r="AJ23" s="530" t="n"/>
      <c r="AK23" s="530" t="n"/>
      <c r="AL23" s="530" t="n"/>
    </row>
    <row r="24">
      <c r="A24" s="530" t="inlineStr">
        <is>
          <t>가음동</t>
        </is>
      </c>
      <c r="B24" s="530" t="n"/>
      <c r="C24" s="530" t="n"/>
      <c r="D24" s="530" t="n">
        <v>118728</v>
      </c>
      <c r="E24" s="531" t="inlineStr">
        <is>
          <t>창원센텀푸르지오</t>
        </is>
      </c>
      <c r="F24" s="530" t="n">
        <v>2018.01</v>
      </c>
      <c r="G24" s="530" t="n">
        <v>975</v>
      </c>
      <c r="H24" s="530">
        <f>2026-F24+1</f>
        <v/>
      </c>
      <c r="I24" s="530" t="n"/>
      <c r="J24" s="530" t="n">
        <v>111</v>
      </c>
      <c r="K24" s="530" t="n">
        <v>84</v>
      </c>
      <c r="L24" s="530" t="n">
        <v>34</v>
      </c>
      <c r="M24" s="530" t="inlineStr">
        <is>
          <t>계단식</t>
        </is>
      </c>
      <c r="N24" s="530" t="n">
        <v>4</v>
      </c>
      <c r="O24" s="530" t="n">
        <v>2</v>
      </c>
      <c r="P24" s="530" t="n">
        <v>491</v>
      </c>
      <c r="Q24" s="530" t="n"/>
      <c r="R24" s="530" t="n"/>
      <c r="S24" s="530" t="n"/>
      <c r="T24" s="530" t="n"/>
      <c r="U24" s="530" t="n">
        <v>8.199999999999999</v>
      </c>
      <c r="V24" s="530" t="n">
        <v>5.9</v>
      </c>
      <c r="W24" s="530" t="n"/>
      <c r="X24" s="530" t="n"/>
      <c r="Y24" s="530" t="n"/>
      <c r="Z24" s="530" t="n"/>
      <c r="AA24" s="530" t="n"/>
      <c r="AB24" s="530" t="n"/>
      <c r="AC24" s="530" t="n"/>
      <c r="AD24" s="530" t="n"/>
      <c r="AE24" s="530" t="n"/>
      <c r="AF24" s="530" t="n"/>
      <c r="AG24" s="530" t="n"/>
      <c r="AH24" s="530" t="n"/>
      <c r="AI24" s="530" t="n"/>
      <c r="AJ24" s="530" t="n"/>
      <c r="AK24" s="530" t="n"/>
      <c r="AL24" s="530" t="n"/>
    </row>
    <row r="25">
      <c r="A25" s="530" t="inlineStr">
        <is>
          <t>가음동</t>
        </is>
      </c>
      <c r="B25" s="530" t="n"/>
      <c r="C25" s="530" t="n"/>
      <c r="D25" s="530" t="n">
        <v>118728</v>
      </c>
      <c r="E25" s="531" t="inlineStr">
        <is>
          <t>창원센텀푸르지오</t>
        </is>
      </c>
      <c r="F25" s="530" t="n">
        <v>2018.01</v>
      </c>
      <c r="G25" s="530" t="n">
        <v>975</v>
      </c>
      <c r="H25" s="530">
        <f>2026-F25+1</f>
        <v/>
      </c>
      <c r="I25" s="530" t="n"/>
      <c r="J25" s="530" t="n">
        <v>131</v>
      </c>
      <c r="K25" s="530" t="n">
        <v>101</v>
      </c>
      <c r="L25" s="530" t="n">
        <v>40</v>
      </c>
      <c r="M25" s="530" t="inlineStr">
        <is>
          <t>계단식</t>
        </is>
      </c>
      <c r="N25" s="530" t="n">
        <v>4</v>
      </c>
      <c r="O25" s="530" t="n">
        <v>2</v>
      </c>
      <c r="P25" s="530" t="n">
        <v>44</v>
      </c>
      <c r="Q25" s="530" t="n"/>
      <c r="R25" s="530" t="n"/>
      <c r="S25" s="530" t="n"/>
      <c r="T25" s="530" t="n"/>
      <c r="U25" s="530" t="n">
        <v>8.800000000000001</v>
      </c>
      <c r="V25" s="530" t="n">
        <v>7.05</v>
      </c>
      <c r="W25" s="530" t="n"/>
      <c r="X25" s="530" t="n"/>
      <c r="Y25" s="530" t="n"/>
      <c r="Z25" s="530" t="n"/>
      <c r="AA25" s="530" t="n"/>
      <c r="AB25" s="530" t="n"/>
      <c r="AC25" s="530" t="n"/>
      <c r="AD25" s="530" t="n"/>
      <c r="AE25" s="530" t="n"/>
      <c r="AF25" s="530" t="n"/>
      <c r="AG25" s="530" t="n"/>
      <c r="AH25" s="530" t="n"/>
      <c r="AI25" s="530" t="n"/>
      <c r="AJ25" s="530" t="n"/>
      <c r="AK25" s="530" t="n"/>
      <c r="AL25" s="530" t="n"/>
    </row>
    <row r="26">
      <c r="A26" s="339" t="inlineStr">
        <is>
          <t>가음동</t>
        </is>
      </c>
      <c r="D26" s="339" t="n">
        <v>151284</v>
      </c>
      <c r="E26" s="532" t="inlineStr">
        <is>
          <t>창원자이시그니처</t>
        </is>
      </c>
      <c r="F26" s="339" t="n">
        <v>2025.04</v>
      </c>
      <c r="G26" s="339" t="n">
        <v>786</v>
      </c>
      <c r="H26" s="339">
        <f>2026-F26+1</f>
        <v/>
      </c>
      <c r="J26" s="339" t="n">
        <v>81</v>
      </c>
      <c r="K26" s="339" t="n">
        <v>59</v>
      </c>
      <c r="L26" s="339" t="n">
        <v>25</v>
      </c>
      <c r="M26" s="339" t="inlineStr">
        <is>
          <t>계단식</t>
        </is>
      </c>
      <c r="N26" s="339" t="n">
        <v>3</v>
      </c>
      <c r="O26" s="339" t="n">
        <v>2</v>
      </c>
      <c r="P26" s="339" t="n">
        <v>279</v>
      </c>
    </row>
    <row r="27">
      <c r="A27" s="339" t="inlineStr">
        <is>
          <t>가음동</t>
        </is>
      </c>
      <c r="D27" s="339" t="n">
        <v>151284</v>
      </c>
      <c r="E27" s="532" t="inlineStr">
        <is>
          <t>창원자이시그니처</t>
        </is>
      </c>
      <c r="F27" s="339" t="n">
        <v>2025.04</v>
      </c>
      <c r="G27" s="339" t="n">
        <v>786</v>
      </c>
      <c r="H27" s="339">
        <f>2026-F27+1</f>
        <v/>
      </c>
      <c r="J27" s="339" t="n">
        <v>99</v>
      </c>
      <c r="K27" s="339" t="n">
        <v>75</v>
      </c>
      <c r="L27" s="339" t="n">
        <v>30</v>
      </c>
      <c r="M27" s="339" t="inlineStr">
        <is>
          <t>계단식</t>
        </is>
      </c>
      <c r="N27" s="339" t="n">
        <v>3</v>
      </c>
      <c r="O27" s="339" t="n">
        <v>2</v>
      </c>
      <c r="P27" s="339" t="n">
        <v>239</v>
      </c>
    </row>
    <row r="28">
      <c r="A28" s="339" t="inlineStr">
        <is>
          <t>가음동</t>
        </is>
      </c>
      <c r="D28" s="339" t="n">
        <v>151284</v>
      </c>
      <c r="E28" s="532" t="inlineStr">
        <is>
          <t>창원자이시그니처</t>
        </is>
      </c>
      <c r="F28" s="339" t="n">
        <v>2025.04</v>
      </c>
      <c r="G28" s="339" t="n">
        <v>786</v>
      </c>
      <c r="H28" s="339">
        <f>2026-F28+1</f>
        <v/>
      </c>
      <c r="J28" s="339" t="n">
        <v>110</v>
      </c>
      <c r="K28" s="339" t="n">
        <v>84</v>
      </c>
      <c r="L28" s="339" t="n">
        <v>33</v>
      </c>
      <c r="M28" s="339" t="inlineStr">
        <is>
          <t>계단식</t>
        </is>
      </c>
      <c r="N28" s="339" t="n">
        <v>3</v>
      </c>
      <c r="O28" s="339" t="n">
        <v>2</v>
      </c>
      <c r="P28" s="339" t="n">
        <v>268</v>
      </c>
    </row>
    <row r="29">
      <c r="A29" s="530" t="inlineStr">
        <is>
          <t>가음정동</t>
        </is>
      </c>
      <c r="B29" s="530" t="n"/>
      <c r="C29" s="530" t="n"/>
      <c r="D29" s="530" t="n">
        <v>7600</v>
      </c>
      <c r="E29" s="531" t="inlineStr">
        <is>
          <t>소라</t>
        </is>
      </c>
      <c r="F29" s="530" t="n">
        <v>1990.01</v>
      </c>
      <c r="G29" s="530" t="n">
        <v>348</v>
      </c>
      <c r="H29" s="530">
        <f>2026-F29+1</f>
        <v/>
      </c>
      <c r="I29" s="530" t="n"/>
      <c r="J29" s="530" t="n">
        <v>83</v>
      </c>
      <c r="K29" s="530" t="n">
        <v>59</v>
      </c>
      <c r="L29" s="530" t="n">
        <v>25</v>
      </c>
      <c r="M29" s="530" t="inlineStr">
        <is>
          <t>복도식</t>
        </is>
      </c>
      <c r="N29" s="530" t="n">
        <v>3</v>
      </c>
      <c r="O29" s="530" t="n">
        <v>1</v>
      </c>
      <c r="P29" s="530" t="n">
        <v>252</v>
      </c>
      <c r="Q29" s="530" t="n"/>
      <c r="R29" s="530" t="n"/>
      <c r="S29" s="530" t="n"/>
      <c r="T29" s="530" t="n"/>
      <c r="U29" s="530" t="n">
        <v>1.38</v>
      </c>
      <c r="V29" s="530" t="n">
        <v>0.92</v>
      </c>
      <c r="W29" s="530" t="n"/>
      <c r="X29" s="530" t="n"/>
      <c r="Y29" s="530" t="n"/>
      <c r="Z29" s="530" t="n"/>
      <c r="AA29" s="530" t="n"/>
      <c r="AB29" s="530" t="n"/>
      <c r="AC29" s="530" t="n"/>
      <c r="AD29" s="530" t="n"/>
      <c r="AE29" s="530" t="n"/>
      <c r="AF29" s="530" t="n"/>
      <c r="AG29" s="530" t="n"/>
      <c r="AH29" s="530" t="n"/>
      <c r="AI29" s="530" t="n"/>
      <c r="AJ29" s="530" t="n"/>
      <c r="AK29" s="530" t="n"/>
      <c r="AL29" s="530" t="n"/>
    </row>
    <row r="30">
      <c r="A30" s="530" t="inlineStr">
        <is>
          <t>가음정동</t>
        </is>
      </c>
      <c r="B30" s="530" t="n"/>
      <c r="C30" s="530" t="n"/>
      <c r="D30" s="530" t="n">
        <v>7600</v>
      </c>
      <c r="E30" s="531" t="inlineStr">
        <is>
          <t>소라</t>
        </is>
      </c>
      <c r="F30" s="530" t="n">
        <v>1990.01</v>
      </c>
      <c r="G30" s="530" t="n">
        <v>348</v>
      </c>
      <c r="H30" s="530">
        <f>2026-F30+1</f>
        <v/>
      </c>
      <c r="I30" s="530" t="n"/>
      <c r="J30" s="530" t="n">
        <v>102</v>
      </c>
      <c r="K30" s="530" t="n">
        <v>84</v>
      </c>
      <c r="L30" s="530" t="n">
        <v>31</v>
      </c>
      <c r="M30" s="530" t="inlineStr">
        <is>
          <t>계단식</t>
        </is>
      </c>
      <c r="N30" s="530" t="n">
        <v>3</v>
      </c>
      <c r="O30" s="530" t="n">
        <v>2</v>
      </c>
      <c r="P30" s="530" t="n">
        <v>96</v>
      </c>
      <c r="Q30" s="530" t="n"/>
      <c r="R30" s="530" t="n"/>
      <c r="S30" s="530" t="n"/>
      <c r="T30" s="530" t="n"/>
      <c r="U30" s="530" t="n">
        <v>1.83</v>
      </c>
      <c r="V30" s="530" t="n">
        <v>1.75</v>
      </c>
      <c r="W30" s="530" t="n"/>
      <c r="X30" s="530" t="n"/>
      <c r="Y30" s="530" t="n"/>
      <c r="Z30" s="530" t="n"/>
      <c r="AA30" s="530" t="n"/>
      <c r="AB30" s="530" t="n"/>
      <c r="AC30" s="530" t="n"/>
      <c r="AD30" s="530" t="n"/>
      <c r="AE30" s="530" t="n"/>
      <c r="AF30" s="530" t="n"/>
      <c r="AG30" s="530" t="n"/>
      <c r="AH30" s="530" t="n"/>
      <c r="AI30" s="530" t="n"/>
      <c r="AJ30" s="530" t="n"/>
      <c r="AK30" s="530" t="n"/>
      <c r="AL30" s="530" t="n"/>
    </row>
    <row r="31">
      <c r="A31" s="339" t="inlineStr">
        <is>
          <t>남산동</t>
        </is>
      </c>
      <c r="D31" s="339" t="n">
        <v>115783</v>
      </c>
      <c r="E31" s="532" t="inlineStr">
        <is>
          <t>남산효성해링턴플레이스</t>
        </is>
      </c>
      <c r="F31" s="339" t="n">
        <v>2018.06</v>
      </c>
      <c r="G31" s="339" t="n">
        <v>460</v>
      </c>
      <c r="H31" s="339">
        <f>2026-F31+1</f>
        <v/>
      </c>
      <c r="J31" s="339" t="n">
        <v>79</v>
      </c>
      <c r="K31" s="339" t="n">
        <v>59</v>
      </c>
      <c r="L31" s="339" t="n">
        <v>24</v>
      </c>
      <c r="M31" s="339" t="inlineStr">
        <is>
          <t>계단식</t>
        </is>
      </c>
      <c r="N31" s="339" t="n">
        <v>3</v>
      </c>
      <c r="O31" s="339" t="n">
        <v>2</v>
      </c>
      <c r="P31" s="339" t="n">
        <v>222</v>
      </c>
      <c r="U31" t="n">
        <v>2.7</v>
      </c>
      <c r="V31" t="n">
        <v>2.32</v>
      </c>
    </row>
    <row r="32">
      <c r="A32" s="339" t="inlineStr">
        <is>
          <t>남산동</t>
        </is>
      </c>
      <c r="D32" s="339" t="n">
        <v>115783</v>
      </c>
      <c r="E32" s="532" t="inlineStr">
        <is>
          <t>남산효성해링턴플레이스</t>
        </is>
      </c>
      <c r="F32" s="339" t="n">
        <v>2018.06</v>
      </c>
      <c r="G32" s="339" t="n">
        <v>460</v>
      </c>
      <c r="H32" s="339">
        <f>2026-F32+1</f>
        <v/>
      </c>
      <c r="J32" s="339" t="n">
        <v>101</v>
      </c>
      <c r="K32" s="339" t="n">
        <v>79</v>
      </c>
      <c r="L32" s="339" t="n">
        <v>31</v>
      </c>
      <c r="M32" s="339" t="inlineStr">
        <is>
          <t>계단식</t>
        </is>
      </c>
      <c r="N32" s="339" t="n">
        <v>3</v>
      </c>
      <c r="O32" s="339" t="n">
        <v>2</v>
      </c>
      <c r="P32" s="339" t="n">
        <v>112</v>
      </c>
      <c r="U32" t="n">
        <v>3.18</v>
      </c>
      <c r="V32" t="n">
        <v>2.75</v>
      </c>
    </row>
    <row r="33">
      <c r="A33" s="339" t="inlineStr">
        <is>
          <t>남산동</t>
        </is>
      </c>
      <c r="D33" s="339" t="n">
        <v>115783</v>
      </c>
      <c r="E33" s="532" t="inlineStr">
        <is>
          <t>남산효성해링턴플레이스</t>
        </is>
      </c>
      <c r="F33" s="339" t="n">
        <v>2018.06</v>
      </c>
      <c r="G33" s="339" t="n">
        <v>460</v>
      </c>
      <c r="H33" s="339">
        <f>2026-F33+1</f>
        <v/>
      </c>
      <c r="J33" s="339" t="n">
        <v>108</v>
      </c>
      <c r="K33" s="339" t="n">
        <v>84</v>
      </c>
      <c r="L33" s="339" t="n">
        <v>33</v>
      </c>
      <c r="M33" s="339" t="inlineStr">
        <is>
          <t>계단식</t>
        </is>
      </c>
      <c r="N33" s="339" t="n">
        <v>3</v>
      </c>
      <c r="O33" s="339" t="n">
        <v>2</v>
      </c>
      <c r="P33" s="339" t="n">
        <v>126</v>
      </c>
      <c r="U33" t="n">
        <v>3.34</v>
      </c>
      <c r="V33" t="n">
        <v>3</v>
      </c>
    </row>
    <row r="34">
      <c r="A34" s="530" t="inlineStr">
        <is>
          <t>남산동</t>
        </is>
      </c>
      <c r="B34" s="530" t="n"/>
      <c r="C34" s="530" t="n"/>
      <c r="D34" s="530" t="n">
        <v>7616</v>
      </c>
      <c r="E34" s="531" t="inlineStr">
        <is>
          <t>대우1차</t>
        </is>
      </c>
      <c r="F34" s="530" t="n">
        <v>1991.09</v>
      </c>
      <c r="G34" s="530" t="n">
        <v>636</v>
      </c>
      <c r="H34" s="530">
        <f>2026-F34+1</f>
        <v/>
      </c>
      <c r="I34" s="530" t="n"/>
      <c r="J34" s="530" t="n">
        <v>51</v>
      </c>
      <c r="K34" s="530" t="n">
        <v>37</v>
      </c>
      <c r="L34" s="530" t="n">
        <v>15</v>
      </c>
      <c r="M34" s="530" t="inlineStr">
        <is>
          <t>복도식</t>
        </is>
      </c>
      <c r="N34" s="530" t="n">
        <v>2</v>
      </c>
      <c r="O34" s="530" t="n">
        <v>1</v>
      </c>
      <c r="P34" s="530" t="n">
        <v>61</v>
      </c>
      <c r="Q34" s="530" t="n"/>
      <c r="R34" s="530" t="n"/>
      <c r="S34" s="530" t="n"/>
      <c r="T34" s="530" t="n"/>
      <c r="U34" s="530" t="n">
        <v>0.74</v>
      </c>
      <c r="V34" s="530" t="n">
        <v>0.55</v>
      </c>
      <c r="W34" s="530" t="n"/>
      <c r="X34" s="530" t="n"/>
      <c r="Y34" s="530" t="n"/>
      <c r="Z34" s="530" t="n"/>
      <c r="AA34" s="530" t="n"/>
      <c r="AB34" s="530" t="n"/>
      <c r="AC34" s="530" t="n"/>
      <c r="AD34" s="530" t="n"/>
      <c r="AE34" s="530" t="n"/>
      <c r="AF34" s="530" t="n"/>
      <c r="AG34" s="530" t="n"/>
      <c r="AH34" s="530" t="n"/>
      <c r="AI34" s="530" t="n"/>
      <c r="AJ34" s="530" t="n"/>
      <c r="AK34" s="530" t="n"/>
      <c r="AL34" s="530" t="n"/>
    </row>
    <row r="35">
      <c r="A35" s="530" t="inlineStr">
        <is>
          <t>남산동</t>
        </is>
      </c>
      <c r="B35" s="530" t="n"/>
      <c r="C35" s="530" t="n"/>
      <c r="D35" s="530" t="n">
        <v>7616</v>
      </c>
      <c r="E35" s="531" t="inlineStr">
        <is>
          <t>대우1차</t>
        </is>
      </c>
      <c r="F35" s="530" t="n">
        <v>1991.09</v>
      </c>
      <c r="G35" s="530" t="n">
        <v>636</v>
      </c>
      <c r="H35" s="530">
        <f>2026-F35+1</f>
        <v/>
      </c>
      <c r="I35" s="530" t="n"/>
      <c r="J35" s="530" t="n">
        <v>66</v>
      </c>
      <c r="K35" s="530" t="n">
        <v>48</v>
      </c>
      <c r="L35" s="530" t="n">
        <v>20</v>
      </c>
      <c r="M35" s="530" t="inlineStr">
        <is>
          <t>복도식</t>
        </is>
      </c>
      <c r="N35" s="530" t="n">
        <v>3</v>
      </c>
      <c r="O35" s="530" t="n">
        <v>1</v>
      </c>
      <c r="P35" s="530" t="n">
        <v>60</v>
      </c>
      <c r="Q35" s="530" t="n"/>
      <c r="R35" s="530" t="n"/>
      <c r="S35" s="530" t="n"/>
      <c r="T35" s="530" t="n"/>
      <c r="U35" s="530" t="n">
        <v>1.1</v>
      </c>
      <c r="V35" s="530" t="n">
        <v>0.8</v>
      </c>
      <c r="W35" s="530" t="n"/>
      <c r="X35" s="530" t="n"/>
      <c r="Y35" s="530" t="n"/>
      <c r="Z35" s="530" t="n"/>
      <c r="AA35" s="530" t="n"/>
      <c r="AB35" s="530" t="n"/>
      <c r="AC35" s="530" t="n"/>
      <c r="AD35" s="530" t="n"/>
      <c r="AE35" s="530" t="n"/>
      <c r="AF35" s="530" t="n"/>
      <c r="AG35" s="530" t="n"/>
      <c r="AH35" s="530" t="n"/>
      <c r="AI35" s="530" t="n"/>
      <c r="AJ35" s="530" t="n"/>
      <c r="AK35" s="530" t="n"/>
      <c r="AL35" s="530" t="n"/>
    </row>
    <row r="36">
      <c r="A36" s="339" t="inlineStr">
        <is>
          <t>남산동</t>
        </is>
      </c>
      <c r="D36" s="339" t="n">
        <v>7610</v>
      </c>
      <c r="E36" s="532" t="inlineStr">
        <is>
          <t>대우2차</t>
        </is>
      </c>
      <c r="F36" s="339" t="n">
        <v>1991.09</v>
      </c>
      <c r="G36" s="339" t="n">
        <v>408</v>
      </c>
      <c r="H36" s="339">
        <f>2026-F36+1</f>
        <v/>
      </c>
      <c r="J36" s="339" t="n">
        <v>65</v>
      </c>
      <c r="K36" s="339" t="n">
        <v>48</v>
      </c>
      <c r="L36" s="339" t="n">
        <v>20</v>
      </c>
      <c r="M36" s="339" t="inlineStr">
        <is>
          <t>복도식</t>
        </is>
      </c>
      <c r="N36" s="339" t="n">
        <v>2</v>
      </c>
      <c r="O36" s="339" t="n">
        <v>1</v>
      </c>
      <c r="P36" s="339" t="n">
        <v>192</v>
      </c>
      <c r="U36" t="n">
        <v>1.1</v>
      </c>
      <c r="V36" t="n">
        <v>0.8</v>
      </c>
    </row>
    <row r="37">
      <c r="A37" s="339" t="inlineStr">
        <is>
          <t>남산동</t>
        </is>
      </c>
      <c r="D37" s="339" t="n">
        <v>7610</v>
      </c>
      <c r="E37" s="532" t="inlineStr">
        <is>
          <t>대우2차</t>
        </is>
      </c>
      <c r="F37" s="339" t="n">
        <v>1991.09</v>
      </c>
      <c r="G37" s="339" t="n">
        <v>408</v>
      </c>
      <c r="H37" s="339">
        <f>2026-F37+1</f>
        <v/>
      </c>
      <c r="J37" s="339" t="n">
        <v>83</v>
      </c>
      <c r="K37" s="339" t="n">
        <v>67</v>
      </c>
      <c r="L37" s="339" t="n">
        <v>25</v>
      </c>
      <c r="M37" s="339" t="inlineStr">
        <is>
          <t>계단식</t>
        </is>
      </c>
      <c r="N37" s="339" t="n">
        <v>3</v>
      </c>
      <c r="O37" s="339" t="n">
        <v>1</v>
      </c>
      <c r="P37" s="339" t="n">
        <v>72</v>
      </c>
      <c r="U37" t="n">
        <v>1.7</v>
      </c>
      <c r="V37" t="n">
        <v>1.3</v>
      </c>
    </row>
    <row r="38">
      <c r="A38" s="339" t="inlineStr">
        <is>
          <t>남산동</t>
        </is>
      </c>
      <c r="D38" s="339" t="n">
        <v>7610</v>
      </c>
      <c r="E38" s="532" t="inlineStr">
        <is>
          <t>대우2차</t>
        </is>
      </c>
      <c r="F38" s="339" t="n">
        <v>1991.09</v>
      </c>
      <c r="G38" s="339" t="n">
        <v>408</v>
      </c>
      <c r="H38" s="339">
        <f>2026-F38+1</f>
        <v/>
      </c>
      <c r="J38" s="339" t="n">
        <v>84</v>
      </c>
      <c r="K38" s="339" t="n">
        <v>68</v>
      </c>
      <c r="L38" s="339" t="n">
        <v>25</v>
      </c>
      <c r="M38" s="339" t="inlineStr">
        <is>
          <t>계단식</t>
        </is>
      </c>
      <c r="N38" s="339" t="n">
        <v>3</v>
      </c>
      <c r="O38" s="339" t="n">
        <v>1</v>
      </c>
      <c r="P38" s="339" t="n">
        <v>72</v>
      </c>
      <c r="U38" t="n">
        <v>1.7</v>
      </c>
      <c r="V38" t="n">
        <v>1.3</v>
      </c>
    </row>
    <row r="39">
      <c r="A39" s="339" t="inlineStr">
        <is>
          <t>남산동</t>
        </is>
      </c>
      <c r="D39" s="339" t="n">
        <v>7610</v>
      </c>
      <c r="E39" s="532" t="inlineStr">
        <is>
          <t>대우2차</t>
        </is>
      </c>
      <c r="F39" s="339" t="n">
        <v>1991.09</v>
      </c>
      <c r="G39" s="339" t="n">
        <v>408</v>
      </c>
      <c r="H39" s="339">
        <f>2026-F39+1</f>
        <v/>
      </c>
      <c r="J39" s="339" t="n">
        <v>96</v>
      </c>
      <c r="K39" s="339" t="n">
        <v>78</v>
      </c>
      <c r="L39" s="339" t="n">
        <v>29</v>
      </c>
      <c r="M39" s="339" t="inlineStr">
        <is>
          <t>계단식</t>
        </is>
      </c>
      <c r="N39" s="339" t="n">
        <v>3</v>
      </c>
      <c r="O39" s="339" t="n">
        <v>2</v>
      </c>
      <c r="P39" s="339" t="n">
        <v>24</v>
      </c>
    </row>
    <row r="40">
      <c r="A40" s="339" t="inlineStr">
        <is>
          <t>남산동</t>
        </is>
      </c>
      <c r="D40" s="339" t="n">
        <v>7610</v>
      </c>
      <c r="E40" s="532" t="inlineStr">
        <is>
          <t>대우2차</t>
        </is>
      </c>
      <c r="F40" s="339" t="n">
        <v>1991.09</v>
      </c>
      <c r="G40" s="339" t="n">
        <v>408</v>
      </c>
      <c r="H40" s="339">
        <f>2026-F40+1</f>
        <v/>
      </c>
      <c r="J40" s="339" t="n">
        <v>98</v>
      </c>
      <c r="K40" s="339" t="n">
        <v>80</v>
      </c>
      <c r="L40" s="339" t="n">
        <v>30</v>
      </c>
      <c r="M40" s="339" t="inlineStr">
        <is>
          <t>계단식</t>
        </is>
      </c>
      <c r="N40" s="339" t="n">
        <v>3</v>
      </c>
      <c r="O40" s="339" t="n">
        <v>1</v>
      </c>
      <c r="P40" s="339" t="n">
        <v>48</v>
      </c>
      <c r="U40" t="n">
        <v>1.85</v>
      </c>
      <c r="V40" t="n">
        <v>1.45</v>
      </c>
    </row>
    <row r="41">
      <c r="A41" s="530" t="inlineStr">
        <is>
          <t>남산동</t>
        </is>
      </c>
      <c r="B41" s="530" t="n"/>
      <c r="C41" s="530" t="n"/>
      <c r="D41" s="530" t="n">
        <v>15723</v>
      </c>
      <c r="E41" s="531" t="inlineStr">
        <is>
          <t>한양</t>
        </is>
      </c>
      <c r="F41" s="530" t="n">
        <v>1986.05</v>
      </c>
      <c r="G41" s="530" t="n">
        <v>332</v>
      </c>
      <c r="H41" s="530">
        <f>2026-F41+1</f>
        <v/>
      </c>
      <c r="I41" s="530" t="n"/>
      <c r="J41" s="530" t="n">
        <v>59</v>
      </c>
      <c r="K41" s="530" t="n">
        <v>43</v>
      </c>
      <c r="L41" s="530" t="n">
        <v>18</v>
      </c>
      <c r="M41" s="530" t="inlineStr">
        <is>
          <t>복도식</t>
        </is>
      </c>
      <c r="N41" s="530" t="n">
        <v>2</v>
      </c>
      <c r="O41" s="530" t="n">
        <v>1</v>
      </c>
      <c r="P41" s="530" t="n">
        <v>70</v>
      </c>
      <c r="Q41" s="530" t="n"/>
      <c r="R41" s="530" t="n"/>
      <c r="S41" s="530" t="n"/>
      <c r="T41" s="530" t="n"/>
      <c r="U41" s="530" t="n"/>
      <c r="V41" s="530" t="n"/>
      <c r="W41" s="530" t="n"/>
      <c r="X41" s="530" t="n"/>
      <c r="Y41" s="530" t="n"/>
      <c r="Z41" s="530" t="n"/>
      <c r="AA41" s="530" t="n"/>
      <c r="AB41" s="530" t="n"/>
      <c r="AC41" s="530" t="n"/>
      <c r="AD41" s="530" t="n"/>
      <c r="AE41" s="530" t="n"/>
      <c r="AF41" s="530" t="n"/>
      <c r="AG41" s="530" t="n"/>
      <c r="AH41" s="530" t="n"/>
      <c r="AI41" s="530" t="n"/>
      <c r="AJ41" s="530" t="n"/>
      <c r="AK41" s="530" t="n"/>
      <c r="AL41" s="530" t="n"/>
    </row>
    <row r="42">
      <c r="A42" s="530" t="inlineStr">
        <is>
          <t>남산동</t>
        </is>
      </c>
      <c r="B42" s="530" t="n"/>
      <c r="C42" s="530" t="n"/>
      <c r="D42" s="530" t="n">
        <v>15723</v>
      </c>
      <c r="E42" s="531" t="inlineStr">
        <is>
          <t>한양</t>
        </is>
      </c>
      <c r="F42" s="530" t="n">
        <v>1986.05</v>
      </c>
      <c r="G42" s="530" t="n">
        <v>332</v>
      </c>
      <c r="H42" s="530">
        <f>2026-F42+1</f>
        <v/>
      </c>
      <c r="I42" s="530" t="n"/>
      <c r="J42" s="530" t="n">
        <v>87</v>
      </c>
      <c r="K42" s="530" t="n">
        <v>63</v>
      </c>
      <c r="L42" s="530" t="n">
        <v>26</v>
      </c>
      <c r="M42" s="530" t="inlineStr">
        <is>
          <t>복도식</t>
        </is>
      </c>
      <c r="N42" s="530" t="n">
        <v>3</v>
      </c>
      <c r="O42" s="530" t="n">
        <v>1</v>
      </c>
      <c r="P42" s="530" t="n">
        <v>48</v>
      </c>
      <c r="Q42" s="530" t="n"/>
      <c r="R42" s="530" t="n"/>
      <c r="S42" s="530" t="n"/>
      <c r="T42" s="530" t="n"/>
      <c r="U42" s="530" t="n"/>
      <c r="V42" s="530" t="n"/>
      <c r="W42" s="530" t="n"/>
      <c r="X42" s="530" t="n"/>
      <c r="Y42" s="530" t="n"/>
      <c r="Z42" s="530" t="n"/>
      <c r="AA42" s="530" t="n"/>
      <c r="AB42" s="530" t="n"/>
      <c r="AC42" s="530" t="n"/>
      <c r="AD42" s="530" t="n"/>
      <c r="AE42" s="530" t="n"/>
      <c r="AF42" s="530" t="n"/>
      <c r="AG42" s="530" t="n"/>
      <c r="AH42" s="530" t="n"/>
      <c r="AI42" s="530" t="n"/>
      <c r="AJ42" s="530" t="n"/>
      <c r="AK42" s="530" t="n"/>
      <c r="AL42" s="530" t="n"/>
    </row>
    <row r="43">
      <c r="A43" s="530" t="inlineStr">
        <is>
          <t>남산동</t>
        </is>
      </c>
      <c r="B43" s="530" t="n"/>
      <c r="C43" s="530" t="n"/>
      <c r="D43" s="530" t="n">
        <v>15723</v>
      </c>
      <c r="E43" s="531" t="inlineStr">
        <is>
          <t>한양</t>
        </is>
      </c>
      <c r="F43" s="530" t="n">
        <v>1986.05</v>
      </c>
      <c r="G43" s="530" t="n">
        <v>332</v>
      </c>
      <c r="H43" s="530">
        <f>2026-F43+1</f>
        <v/>
      </c>
      <c r="I43" s="530" t="n"/>
      <c r="J43" s="530" t="n">
        <v>116</v>
      </c>
      <c r="K43" s="530" t="n">
        <v>84</v>
      </c>
      <c r="L43" s="530" t="n">
        <v>35</v>
      </c>
      <c r="M43" s="530" t="inlineStr">
        <is>
          <t>복도식</t>
        </is>
      </c>
      <c r="N43" s="530" t="n">
        <v>3</v>
      </c>
      <c r="O43" s="530" t="n">
        <v>1</v>
      </c>
      <c r="P43" s="530" t="n">
        <v>48</v>
      </c>
      <c r="Q43" s="530" t="n"/>
      <c r="R43" s="530" t="n"/>
      <c r="S43" s="530" t="n"/>
      <c r="T43" s="530" t="n"/>
      <c r="U43" s="530" t="n"/>
      <c r="V43" s="530" t="n"/>
      <c r="W43" s="530" t="n"/>
      <c r="X43" s="530" t="n"/>
      <c r="Y43" s="530" t="n"/>
      <c r="Z43" s="530" t="n"/>
      <c r="AA43" s="530" t="n"/>
      <c r="AB43" s="530" t="n"/>
      <c r="AC43" s="530" t="n"/>
      <c r="AD43" s="530" t="n"/>
      <c r="AE43" s="530" t="n"/>
      <c r="AF43" s="530" t="n"/>
      <c r="AG43" s="530" t="n"/>
      <c r="AH43" s="530" t="n"/>
      <c r="AI43" s="530" t="n"/>
      <c r="AJ43" s="530" t="n"/>
      <c r="AK43" s="530" t="n"/>
      <c r="AL43" s="530" t="n"/>
    </row>
    <row r="44">
      <c r="A44" s="339" t="inlineStr">
        <is>
          <t>남양동</t>
        </is>
      </c>
      <c r="D44" s="339" t="n">
        <v>7626</v>
      </c>
      <c r="E44" s="532" t="inlineStr">
        <is>
          <t>롯데</t>
        </is>
      </c>
      <c r="F44" s="339" t="n">
        <v>1990.09</v>
      </c>
      <c r="G44" s="339" t="n">
        <v>450</v>
      </c>
      <c r="H44" s="339">
        <f>2026-F44+1</f>
        <v/>
      </c>
      <c r="J44" s="339" t="n">
        <v>87</v>
      </c>
      <c r="K44" s="339" t="n">
        <v>71</v>
      </c>
      <c r="L44" s="339" t="n">
        <v>26</v>
      </c>
      <c r="M44" s="339" t="inlineStr">
        <is>
          <t>계단식</t>
        </is>
      </c>
      <c r="N44" s="339" t="n">
        <v>3</v>
      </c>
      <c r="O44" s="339" t="n">
        <v>1</v>
      </c>
      <c r="P44" s="339" t="n">
        <v>150</v>
      </c>
      <c r="U44" t="n">
        <v>3.09</v>
      </c>
      <c r="V44" t="n">
        <v>2.3</v>
      </c>
    </row>
    <row r="45">
      <c r="A45" s="339" t="inlineStr">
        <is>
          <t>남양동</t>
        </is>
      </c>
      <c r="D45" s="339" t="n">
        <v>7626</v>
      </c>
      <c r="E45" s="532" t="inlineStr">
        <is>
          <t>롯데</t>
        </is>
      </c>
      <c r="F45" s="339" t="n">
        <v>1990.09</v>
      </c>
      <c r="G45" s="339" t="n">
        <v>450</v>
      </c>
      <c r="H45" s="339">
        <f>2026-F45+1</f>
        <v/>
      </c>
      <c r="J45" s="339" t="n">
        <v>102</v>
      </c>
      <c r="K45" s="339" t="n">
        <v>84</v>
      </c>
      <c r="L45" s="339" t="n">
        <v>31</v>
      </c>
      <c r="M45" s="339" t="inlineStr">
        <is>
          <t>계단식</t>
        </is>
      </c>
      <c r="N45" s="339" t="n">
        <v>3</v>
      </c>
      <c r="O45" s="339" t="n">
        <v>2</v>
      </c>
      <c r="P45" s="339" t="n">
        <v>180</v>
      </c>
      <c r="U45" t="n">
        <v>3.17</v>
      </c>
      <c r="V45" t="n">
        <v>2.5</v>
      </c>
    </row>
    <row r="46">
      <c r="A46" s="339" t="inlineStr">
        <is>
          <t>남양동</t>
        </is>
      </c>
      <c r="D46" s="339" t="n">
        <v>7626</v>
      </c>
      <c r="E46" s="532" t="inlineStr">
        <is>
          <t>롯데</t>
        </is>
      </c>
      <c r="F46" s="339" t="n">
        <v>1990.09</v>
      </c>
      <c r="G46" s="339" t="n">
        <v>450</v>
      </c>
      <c r="H46" s="339">
        <f>2026-F46+1</f>
        <v/>
      </c>
      <c r="J46" s="339" t="n">
        <v>149</v>
      </c>
      <c r="K46" s="339" t="n">
        <v>129</v>
      </c>
      <c r="L46" s="339" t="n">
        <v>45</v>
      </c>
      <c r="M46" s="339" t="inlineStr">
        <is>
          <t>계단식</t>
        </is>
      </c>
      <c r="N46" s="339" t="n">
        <v>4</v>
      </c>
      <c r="O46" s="339" t="n">
        <v>2</v>
      </c>
      <c r="P46" s="339" t="n">
        <v>120</v>
      </c>
      <c r="U46" t="n">
        <v>4.2</v>
      </c>
      <c r="V46" t="n">
        <v>3.4</v>
      </c>
    </row>
    <row r="47">
      <c r="A47" s="530" t="inlineStr">
        <is>
          <t>남양동</t>
        </is>
      </c>
      <c r="B47" s="530" t="n"/>
      <c r="C47" s="530" t="n"/>
      <c r="D47" s="530" t="n">
        <v>7624</v>
      </c>
      <c r="E47" s="531" t="inlineStr">
        <is>
          <t>상남동성(남양동성)</t>
        </is>
      </c>
      <c r="F47" s="530" t="n">
        <v>1990.09</v>
      </c>
      <c r="G47" s="530" t="n">
        <v>540</v>
      </c>
      <c r="H47" s="530">
        <f>2026-F47+1</f>
        <v/>
      </c>
      <c r="I47" s="530" t="n"/>
      <c r="J47" s="530" t="n">
        <v>93</v>
      </c>
      <c r="K47" s="530" t="n">
        <v>77</v>
      </c>
      <c r="L47" s="530" t="n">
        <v>28</v>
      </c>
      <c r="M47" s="530" t="inlineStr">
        <is>
          <t>계단식</t>
        </is>
      </c>
      <c r="N47" s="530" t="n">
        <v>3</v>
      </c>
      <c r="O47" s="530" t="n">
        <v>1</v>
      </c>
      <c r="P47" s="530" t="n">
        <v>180</v>
      </c>
      <c r="Q47" s="530" t="n"/>
      <c r="R47" s="530" t="n"/>
      <c r="S47" s="530" t="n"/>
      <c r="T47" s="530" t="n"/>
      <c r="U47" s="530" t="n">
        <v>2.93</v>
      </c>
      <c r="V47" s="530" t="n">
        <v>2</v>
      </c>
      <c r="W47" s="530" t="n"/>
      <c r="X47" s="530" t="n"/>
      <c r="Y47" s="530" t="n"/>
      <c r="Z47" s="530" t="n"/>
      <c r="AA47" s="530" t="n"/>
      <c r="AB47" s="530" t="n"/>
      <c r="AC47" s="530" t="n"/>
      <c r="AD47" s="530" t="n"/>
      <c r="AE47" s="530" t="n"/>
      <c r="AF47" s="530" t="n"/>
      <c r="AG47" s="530" t="n"/>
      <c r="AH47" s="530" t="n"/>
      <c r="AI47" s="530" t="n"/>
      <c r="AJ47" s="530" t="n"/>
      <c r="AK47" s="530" t="n"/>
      <c r="AL47" s="530" t="n"/>
    </row>
    <row r="48">
      <c r="A48" s="530" t="inlineStr">
        <is>
          <t>남양동</t>
        </is>
      </c>
      <c r="B48" s="530" t="n"/>
      <c r="C48" s="530" t="n"/>
      <c r="D48" s="530" t="n">
        <v>7624</v>
      </c>
      <c r="E48" s="531" t="inlineStr">
        <is>
          <t>상남동성(남양동성)</t>
        </is>
      </c>
      <c r="F48" s="530" t="n">
        <v>1990.09</v>
      </c>
      <c r="G48" s="530" t="n">
        <v>540</v>
      </c>
      <c r="H48" s="530">
        <f>2026-F48+1</f>
        <v/>
      </c>
      <c r="I48" s="530" t="n"/>
      <c r="J48" s="530" t="n">
        <v>101</v>
      </c>
      <c r="K48" s="530" t="n">
        <v>84</v>
      </c>
      <c r="L48" s="530" t="n">
        <v>31</v>
      </c>
      <c r="M48" s="530" t="inlineStr">
        <is>
          <t>계단식</t>
        </is>
      </c>
      <c r="N48" s="530" t="n">
        <v>3</v>
      </c>
      <c r="O48" s="530" t="n">
        <v>2</v>
      </c>
      <c r="P48" s="530" t="n">
        <v>180</v>
      </c>
      <c r="Q48" s="530" t="n"/>
      <c r="R48" s="530" t="n"/>
      <c r="S48" s="530" t="n"/>
      <c r="T48" s="530" t="n"/>
      <c r="U48" s="530" t="n">
        <v>3.4</v>
      </c>
      <c r="V48" s="530" t="n">
        <v>2.36</v>
      </c>
      <c r="W48" s="530" t="n"/>
      <c r="X48" s="530" t="n"/>
      <c r="Y48" s="530" t="n"/>
      <c r="Z48" s="530" t="n"/>
      <c r="AA48" s="530" t="n"/>
      <c r="AB48" s="530" t="n"/>
      <c r="AC48" s="530" t="n"/>
      <c r="AD48" s="530" t="n"/>
      <c r="AE48" s="530" t="n"/>
      <c r="AF48" s="530" t="n"/>
      <c r="AG48" s="530" t="n"/>
      <c r="AH48" s="530" t="n"/>
      <c r="AI48" s="530" t="n"/>
      <c r="AJ48" s="530" t="n"/>
      <c r="AK48" s="530" t="n"/>
      <c r="AL48" s="530" t="n"/>
    </row>
    <row r="49">
      <c r="A49" s="530" t="inlineStr">
        <is>
          <t>남양동</t>
        </is>
      </c>
      <c r="B49" s="530" t="n"/>
      <c r="C49" s="530" t="n"/>
      <c r="D49" s="530" t="n">
        <v>7624</v>
      </c>
      <c r="E49" s="531" t="inlineStr">
        <is>
          <t>상남동성(남양동성)</t>
        </is>
      </c>
      <c r="F49" s="530" t="n">
        <v>1990.09</v>
      </c>
      <c r="G49" s="530" t="n">
        <v>540</v>
      </c>
      <c r="H49" s="530">
        <f>2026-F49+1</f>
        <v/>
      </c>
      <c r="I49" s="530" t="n"/>
      <c r="J49" s="530" t="n">
        <v>155</v>
      </c>
      <c r="K49" s="530" t="n">
        <v>135</v>
      </c>
      <c r="L49" s="530" t="n">
        <v>47</v>
      </c>
      <c r="M49" s="530" t="inlineStr">
        <is>
          <t>계단식</t>
        </is>
      </c>
      <c r="N49" s="530" t="n">
        <v>4</v>
      </c>
      <c r="O49" s="530" t="n">
        <v>2</v>
      </c>
      <c r="P49" s="530" t="n">
        <v>180</v>
      </c>
      <c r="Q49" s="530" t="n"/>
      <c r="R49" s="530" t="n"/>
      <c r="S49" s="530" t="n"/>
      <c r="T49" s="530" t="n"/>
      <c r="U49" s="530" t="n">
        <v>4.05</v>
      </c>
      <c r="V49" s="530" t="n">
        <v>3.25</v>
      </c>
      <c r="W49" s="530" t="n"/>
      <c r="X49" s="530" t="n"/>
      <c r="Y49" s="530" t="n"/>
      <c r="Z49" s="530" t="n"/>
      <c r="AA49" s="530" t="n"/>
      <c r="AB49" s="530" t="n"/>
      <c r="AC49" s="530" t="n"/>
      <c r="AD49" s="530" t="n"/>
      <c r="AE49" s="530" t="n"/>
      <c r="AF49" s="530" t="n"/>
      <c r="AG49" s="530" t="n"/>
      <c r="AH49" s="530" t="n"/>
      <c r="AI49" s="530" t="n"/>
      <c r="AJ49" s="530" t="n"/>
      <c r="AK49" s="530" t="n"/>
      <c r="AL49" s="530" t="n"/>
    </row>
    <row r="50">
      <c r="A50" s="339" t="inlineStr">
        <is>
          <t>남양동</t>
        </is>
      </c>
      <c r="D50" s="339" t="n">
        <v>7631</v>
      </c>
      <c r="E50" s="532" t="inlineStr">
        <is>
          <t>성원1차(그랜드타운남산)</t>
        </is>
      </c>
      <c r="F50" s="339" t="n">
        <v>1991.01</v>
      </c>
      <c r="G50" s="339" t="n">
        <v>1350</v>
      </c>
      <c r="H50" s="339">
        <f>2026-F50+1</f>
        <v/>
      </c>
      <c r="J50" s="339" t="n">
        <v>95</v>
      </c>
      <c r="K50" s="339" t="n">
        <v>79</v>
      </c>
      <c r="L50" s="339" t="n">
        <v>29</v>
      </c>
      <c r="M50" s="339" t="inlineStr">
        <is>
          <t>계단식</t>
        </is>
      </c>
      <c r="N50" s="339" t="n">
        <v>3</v>
      </c>
      <c r="O50" s="339" t="n">
        <v>1</v>
      </c>
      <c r="P50" s="339" t="n">
        <v>360</v>
      </c>
      <c r="U50" t="n">
        <v>3.05</v>
      </c>
      <c r="V50" t="n">
        <v>2.19</v>
      </c>
    </row>
    <row r="51">
      <c r="A51" s="339" t="inlineStr">
        <is>
          <t>남양동</t>
        </is>
      </c>
      <c r="D51" s="339" t="n">
        <v>7631</v>
      </c>
      <c r="E51" s="532" t="inlineStr">
        <is>
          <t>성원1차(그랜드타운남산)</t>
        </is>
      </c>
      <c r="F51" s="339" t="n">
        <v>1991.01</v>
      </c>
      <c r="G51" s="339" t="n">
        <v>1350</v>
      </c>
      <c r="H51" s="339">
        <f>2026-F51+1</f>
        <v/>
      </c>
      <c r="J51" s="339" t="n">
        <v>102</v>
      </c>
      <c r="K51" s="339" t="n">
        <v>84</v>
      </c>
      <c r="L51" s="339" t="n">
        <v>31</v>
      </c>
      <c r="M51" s="339" t="inlineStr">
        <is>
          <t>계단식</t>
        </is>
      </c>
      <c r="N51" s="339" t="n">
        <v>3</v>
      </c>
      <c r="O51" s="339" t="n">
        <v>2</v>
      </c>
      <c r="P51" s="339" t="n">
        <v>765</v>
      </c>
      <c r="U51" t="n">
        <v>3.7</v>
      </c>
      <c r="V51" t="n">
        <v>2.36</v>
      </c>
    </row>
    <row r="52">
      <c r="A52" s="339" t="inlineStr">
        <is>
          <t>남양동</t>
        </is>
      </c>
      <c r="D52" s="339" t="n">
        <v>7631</v>
      </c>
      <c r="E52" s="532" t="inlineStr">
        <is>
          <t>성원1차(그랜드타운남산)</t>
        </is>
      </c>
      <c r="F52" s="339" t="n">
        <v>1991.01</v>
      </c>
      <c r="G52" s="339" t="n">
        <v>1350</v>
      </c>
      <c r="H52" s="339">
        <f>2026-F52+1</f>
        <v/>
      </c>
      <c r="J52" s="339" t="n">
        <v>116</v>
      </c>
      <c r="K52" s="339" t="n">
        <v>96</v>
      </c>
      <c r="L52" s="339" t="n">
        <v>35</v>
      </c>
      <c r="M52" s="339" t="inlineStr">
        <is>
          <t>계단식</t>
        </is>
      </c>
      <c r="N52" s="339" t="n">
        <v>3</v>
      </c>
      <c r="O52" s="339" t="n">
        <v>2</v>
      </c>
      <c r="P52" s="339" t="n">
        <v>15</v>
      </c>
    </row>
    <row r="53">
      <c r="A53" s="339" t="inlineStr">
        <is>
          <t>남양동</t>
        </is>
      </c>
      <c r="D53" s="339" t="n">
        <v>7631</v>
      </c>
      <c r="E53" s="532" t="inlineStr">
        <is>
          <t>성원1차(그랜드타운남산)</t>
        </is>
      </c>
      <c r="F53" s="339" t="n">
        <v>1991.01</v>
      </c>
      <c r="G53" s="339" t="n">
        <v>1350</v>
      </c>
      <c r="H53" s="339">
        <f>2026-F53+1</f>
        <v/>
      </c>
      <c r="J53" s="339" t="n">
        <v>139</v>
      </c>
      <c r="K53" s="339" t="n">
        <v>118</v>
      </c>
      <c r="L53" s="339" t="n">
        <v>42</v>
      </c>
      <c r="M53" s="339" t="inlineStr">
        <is>
          <t>계단식</t>
        </is>
      </c>
      <c r="N53" s="339" t="n">
        <v>4</v>
      </c>
      <c r="O53" s="339" t="n">
        <v>2</v>
      </c>
      <c r="P53" s="339" t="n">
        <v>150</v>
      </c>
      <c r="U53" t="n">
        <v>4.17</v>
      </c>
      <c r="V53" t="n">
        <v>3.22</v>
      </c>
    </row>
    <row r="54">
      <c r="A54" s="339" t="inlineStr">
        <is>
          <t>남양동</t>
        </is>
      </c>
      <c r="D54" s="339" t="n">
        <v>7631</v>
      </c>
      <c r="E54" s="532" t="inlineStr">
        <is>
          <t>성원1차(그랜드타운남산)</t>
        </is>
      </c>
      <c r="F54" s="339" t="n">
        <v>1991.01</v>
      </c>
      <c r="G54" s="339" t="n">
        <v>1350</v>
      </c>
      <c r="H54" s="339">
        <f>2026-F54+1</f>
        <v/>
      </c>
      <c r="J54" s="339" t="n">
        <v>163</v>
      </c>
      <c r="K54" s="339" t="n">
        <v>140</v>
      </c>
      <c r="L54" s="339" t="n">
        <v>49</v>
      </c>
      <c r="M54" s="339" t="inlineStr">
        <is>
          <t>계단식</t>
        </is>
      </c>
      <c r="N54" s="339" t="n">
        <v>4</v>
      </c>
      <c r="O54" s="339" t="n">
        <v>2</v>
      </c>
      <c r="P54" s="339" t="n">
        <v>60</v>
      </c>
      <c r="U54" t="n">
        <v>3.9</v>
      </c>
      <c r="V54" t="n">
        <v>3.49</v>
      </c>
    </row>
    <row r="55">
      <c r="A55" s="530" t="inlineStr">
        <is>
          <t>남양동</t>
        </is>
      </c>
      <c r="B55" s="530" t="n"/>
      <c r="C55" s="530" t="n"/>
      <c r="D55" s="530" t="n">
        <v>7637</v>
      </c>
      <c r="E55" s="531" t="inlineStr">
        <is>
          <t>성원2차</t>
        </is>
      </c>
      <c r="F55" s="530" t="n">
        <v>1992.02</v>
      </c>
      <c r="G55" s="530" t="n">
        <v>1404</v>
      </c>
      <c r="H55" s="530">
        <f>2026-F55+1</f>
        <v/>
      </c>
      <c r="I55" s="530" t="n"/>
      <c r="J55" s="530" t="n">
        <v>96</v>
      </c>
      <c r="K55" s="530" t="n">
        <v>79</v>
      </c>
      <c r="L55" s="530" t="n">
        <v>29</v>
      </c>
      <c r="M55" s="530" t="inlineStr">
        <is>
          <t>계단식</t>
        </is>
      </c>
      <c r="N55" s="530" t="n">
        <v>3</v>
      </c>
      <c r="O55" s="530" t="n">
        <v>1</v>
      </c>
      <c r="P55" s="530" t="n">
        <v>144</v>
      </c>
      <c r="Q55" s="530" t="n"/>
      <c r="R55" s="530" t="n"/>
      <c r="S55" s="530" t="n"/>
      <c r="T55" s="530" t="n"/>
      <c r="U55" s="530" t="n">
        <v>3.25</v>
      </c>
      <c r="V55" s="530" t="n">
        <v>2.55</v>
      </c>
      <c r="W55" s="530" t="n"/>
      <c r="X55" s="530" t="n"/>
      <c r="Y55" s="530" t="n"/>
      <c r="Z55" s="530" t="n"/>
      <c r="AA55" s="530" t="n"/>
      <c r="AB55" s="530" t="n"/>
      <c r="AC55" s="530" t="n"/>
      <c r="AD55" s="530" t="n"/>
      <c r="AE55" s="530" t="n"/>
      <c r="AF55" s="530" t="n"/>
      <c r="AG55" s="530" t="n"/>
      <c r="AH55" s="530" t="n"/>
      <c r="AI55" s="530" t="n"/>
      <c r="AJ55" s="530" t="n"/>
      <c r="AK55" s="530" t="n"/>
      <c r="AL55" s="530" t="n"/>
    </row>
    <row r="56">
      <c r="A56" s="530" t="inlineStr">
        <is>
          <t>남양동</t>
        </is>
      </c>
      <c r="B56" s="530" t="n"/>
      <c r="C56" s="530" t="n"/>
      <c r="D56" s="530" t="n">
        <v>7637</v>
      </c>
      <c r="E56" s="531" t="inlineStr">
        <is>
          <t>성원2차</t>
        </is>
      </c>
      <c r="F56" s="530" t="n">
        <v>1992.02</v>
      </c>
      <c r="G56" s="530" t="n">
        <v>1404</v>
      </c>
      <c r="H56" s="530">
        <f>2026-F56+1</f>
        <v/>
      </c>
      <c r="I56" s="530" t="n"/>
      <c r="J56" s="530" t="n">
        <v>102</v>
      </c>
      <c r="K56" s="530" t="n">
        <v>84</v>
      </c>
      <c r="L56" s="530" t="n">
        <v>31</v>
      </c>
      <c r="M56" s="530" t="inlineStr">
        <is>
          <t>계단식</t>
        </is>
      </c>
      <c r="N56" s="530" t="n">
        <v>3</v>
      </c>
      <c r="O56" s="530" t="n">
        <v>2</v>
      </c>
      <c r="P56" s="530" t="n">
        <v>1020</v>
      </c>
      <c r="Q56" s="530" t="n"/>
      <c r="R56" s="530" t="n"/>
      <c r="S56" s="530" t="n"/>
      <c r="T56" s="530" t="n"/>
      <c r="U56" s="530" t="n">
        <v>3.45</v>
      </c>
      <c r="V56" s="530" t="n">
        <v>2.3</v>
      </c>
      <c r="W56" s="530" t="n"/>
      <c r="X56" s="530" t="n"/>
      <c r="Y56" s="530" t="n"/>
      <c r="Z56" s="530" t="n"/>
      <c r="AA56" s="530" t="n"/>
      <c r="AB56" s="530" t="n"/>
      <c r="AC56" s="530" t="n"/>
      <c r="AD56" s="530" t="n"/>
      <c r="AE56" s="530" t="n"/>
      <c r="AF56" s="530" t="n"/>
      <c r="AG56" s="530" t="n"/>
      <c r="AH56" s="530" t="n"/>
      <c r="AI56" s="530" t="n"/>
      <c r="AJ56" s="530" t="n"/>
      <c r="AK56" s="530" t="n"/>
      <c r="AL56" s="530" t="n"/>
    </row>
    <row r="57">
      <c r="A57" s="530" t="inlineStr">
        <is>
          <t>남양동</t>
        </is>
      </c>
      <c r="B57" s="530" t="n"/>
      <c r="C57" s="530" t="n"/>
      <c r="D57" s="530" t="n">
        <v>7637</v>
      </c>
      <c r="E57" s="531" t="inlineStr">
        <is>
          <t>성원2차</t>
        </is>
      </c>
      <c r="F57" s="530" t="n">
        <v>1992.02</v>
      </c>
      <c r="G57" s="530" t="n">
        <v>1404</v>
      </c>
      <c r="H57" s="530">
        <f>2026-F57+1</f>
        <v/>
      </c>
      <c r="I57" s="530" t="n"/>
      <c r="J57" s="530" t="n">
        <v>115</v>
      </c>
      <c r="K57" s="530" t="n">
        <v>96</v>
      </c>
      <c r="L57" s="530" t="n">
        <v>35</v>
      </c>
      <c r="M57" s="530" t="inlineStr">
        <is>
          <t>계단식</t>
        </is>
      </c>
      <c r="N57" s="530" t="n">
        <v>3</v>
      </c>
      <c r="O57" s="530" t="n">
        <v>2</v>
      </c>
      <c r="P57" s="530" t="n">
        <v>30</v>
      </c>
      <c r="Q57" s="530" t="n"/>
      <c r="R57" s="530" t="n"/>
      <c r="S57" s="530" t="n"/>
      <c r="T57" s="530" t="n"/>
      <c r="U57" s="530" t="n">
        <v>2.9</v>
      </c>
      <c r="V57" s="530" t="n">
        <v>2.7</v>
      </c>
      <c r="W57" s="530" t="n"/>
      <c r="X57" s="530" t="n"/>
      <c r="Y57" s="530" t="n"/>
      <c r="Z57" s="530" t="n"/>
      <c r="AA57" s="530" t="n"/>
      <c r="AB57" s="530" t="n"/>
      <c r="AC57" s="530" t="n"/>
      <c r="AD57" s="530" t="n"/>
      <c r="AE57" s="530" t="n"/>
      <c r="AF57" s="530" t="n"/>
      <c r="AG57" s="530" t="n"/>
      <c r="AH57" s="530" t="n"/>
      <c r="AI57" s="530" t="n"/>
      <c r="AJ57" s="530" t="n"/>
      <c r="AK57" s="530" t="n"/>
      <c r="AL57" s="530" t="n"/>
    </row>
    <row r="58">
      <c r="A58" s="530" t="inlineStr">
        <is>
          <t>남양동</t>
        </is>
      </c>
      <c r="B58" s="530" t="n"/>
      <c r="C58" s="530" t="n"/>
      <c r="D58" s="530" t="n">
        <v>7637</v>
      </c>
      <c r="E58" s="531" t="inlineStr">
        <is>
          <t>성원2차</t>
        </is>
      </c>
      <c r="F58" s="530" t="n">
        <v>1992.02</v>
      </c>
      <c r="G58" s="530" t="n">
        <v>1404</v>
      </c>
      <c r="H58" s="530">
        <f>2026-F58+1</f>
        <v/>
      </c>
      <c r="I58" s="530" t="n"/>
      <c r="J58" s="530" t="n">
        <v>131</v>
      </c>
      <c r="K58" s="530" t="n">
        <v>112</v>
      </c>
      <c r="L58" s="530" t="n">
        <v>40</v>
      </c>
      <c r="M58" s="530" t="inlineStr">
        <is>
          <t>계단식</t>
        </is>
      </c>
      <c r="N58" s="530" t="n">
        <v>4</v>
      </c>
      <c r="O58" s="530" t="n">
        <v>2</v>
      </c>
      <c r="P58" s="530" t="n">
        <v>30</v>
      </c>
      <c r="Q58" s="530" t="n"/>
      <c r="R58" s="530" t="n"/>
      <c r="S58" s="530" t="n"/>
      <c r="T58" s="530" t="n"/>
      <c r="U58" s="530" t="n"/>
      <c r="V58" s="530" t="n">
        <v>2.95</v>
      </c>
      <c r="W58" s="530" t="n"/>
      <c r="X58" s="530" t="n"/>
      <c r="Y58" s="530" t="n"/>
      <c r="Z58" s="530" t="n"/>
      <c r="AA58" s="530" t="n"/>
      <c r="AB58" s="530" t="n"/>
      <c r="AC58" s="530" t="n"/>
      <c r="AD58" s="530" t="n"/>
      <c r="AE58" s="530" t="n"/>
      <c r="AF58" s="530" t="n"/>
      <c r="AG58" s="530" t="n"/>
      <c r="AH58" s="530" t="n"/>
      <c r="AI58" s="530" t="n"/>
      <c r="AJ58" s="530" t="n"/>
      <c r="AK58" s="530" t="n"/>
      <c r="AL58" s="530" t="n"/>
    </row>
    <row r="59">
      <c r="A59" s="530" t="inlineStr">
        <is>
          <t>남양동</t>
        </is>
      </c>
      <c r="B59" s="530" t="n"/>
      <c r="C59" s="530" t="n"/>
      <c r="D59" s="530" t="n">
        <v>7637</v>
      </c>
      <c r="E59" s="531" t="inlineStr">
        <is>
          <t>성원2차</t>
        </is>
      </c>
      <c r="F59" s="530" t="n">
        <v>1992.02</v>
      </c>
      <c r="G59" s="530" t="n">
        <v>1404</v>
      </c>
      <c r="H59" s="530">
        <f>2026-F59+1</f>
        <v/>
      </c>
      <c r="I59" s="530" t="n"/>
      <c r="J59" s="530" t="n">
        <v>136</v>
      </c>
      <c r="K59" s="530" t="n">
        <v>118</v>
      </c>
      <c r="L59" s="530" t="n">
        <v>41</v>
      </c>
      <c r="M59" s="530" t="inlineStr">
        <is>
          <t>계단식</t>
        </is>
      </c>
      <c r="N59" s="530" t="n">
        <v>4</v>
      </c>
      <c r="O59" s="530" t="n">
        <v>2</v>
      </c>
      <c r="P59" s="530" t="n">
        <v>90</v>
      </c>
      <c r="Q59" s="530" t="n"/>
      <c r="R59" s="530" t="n"/>
      <c r="S59" s="530" t="n"/>
      <c r="T59" s="530" t="n"/>
      <c r="U59" s="530" t="n">
        <v>3.9</v>
      </c>
      <c r="V59" s="530" t="n">
        <v>3</v>
      </c>
      <c r="W59" s="530" t="n"/>
      <c r="X59" s="530" t="n"/>
      <c r="Y59" s="530" t="n"/>
      <c r="Z59" s="530" t="n"/>
      <c r="AA59" s="530" t="n"/>
      <c r="AB59" s="530" t="n"/>
      <c r="AC59" s="530" t="n"/>
      <c r="AD59" s="530" t="n"/>
      <c r="AE59" s="530" t="n"/>
      <c r="AF59" s="530" t="n"/>
      <c r="AG59" s="530" t="n"/>
      <c r="AH59" s="530" t="n"/>
      <c r="AI59" s="530" t="n"/>
      <c r="AJ59" s="530" t="n"/>
      <c r="AK59" s="530" t="n"/>
      <c r="AL59" s="530" t="n"/>
    </row>
    <row r="60">
      <c r="A60" s="530" t="inlineStr">
        <is>
          <t>남양동</t>
        </is>
      </c>
      <c r="B60" s="530" t="n"/>
      <c r="C60" s="530" t="n"/>
      <c r="D60" s="530" t="n">
        <v>7637</v>
      </c>
      <c r="E60" s="531" t="inlineStr">
        <is>
          <t>성원2차</t>
        </is>
      </c>
      <c r="F60" s="530" t="n">
        <v>1992.02</v>
      </c>
      <c r="G60" s="530" t="n">
        <v>1404</v>
      </c>
      <c r="H60" s="530">
        <f>2026-F60+1</f>
        <v/>
      </c>
      <c r="I60" s="530" t="n"/>
      <c r="J60" s="530" t="n">
        <v>175</v>
      </c>
      <c r="K60" s="530" t="n">
        <v>153</v>
      </c>
      <c r="L60" s="530" t="n">
        <v>53</v>
      </c>
      <c r="M60" s="530" t="inlineStr">
        <is>
          <t>계단식</t>
        </is>
      </c>
      <c r="N60" s="530" t="n">
        <v>5</v>
      </c>
      <c r="O60" s="530" t="n">
        <v>2</v>
      </c>
      <c r="P60" s="530" t="n">
        <v>60</v>
      </c>
      <c r="Q60" s="530" t="n"/>
      <c r="R60" s="530" t="n"/>
      <c r="S60" s="530" t="n"/>
      <c r="T60" s="530" t="n"/>
      <c r="U60" s="530" t="n">
        <v>3.8</v>
      </c>
      <c r="V60" s="530" t="n">
        <v>3.3</v>
      </c>
      <c r="W60" s="530" t="n"/>
      <c r="X60" s="530" t="n"/>
      <c r="Y60" s="530" t="n"/>
      <c r="Z60" s="530" t="n"/>
      <c r="AA60" s="530" t="n"/>
      <c r="AB60" s="530" t="n"/>
      <c r="AC60" s="530" t="n"/>
      <c r="AD60" s="530" t="n"/>
      <c r="AE60" s="530" t="n"/>
      <c r="AF60" s="530" t="n"/>
      <c r="AG60" s="530" t="n"/>
      <c r="AH60" s="530" t="n"/>
      <c r="AI60" s="530" t="n"/>
      <c r="AJ60" s="530" t="n"/>
      <c r="AK60" s="530" t="n"/>
      <c r="AL60" s="530" t="n"/>
    </row>
    <row r="61">
      <c r="A61" s="530" t="inlineStr">
        <is>
          <t>남양동</t>
        </is>
      </c>
      <c r="B61" s="530" t="n"/>
      <c r="C61" s="530" t="n"/>
      <c r="D61" s="530" t="n">
        <v>7637</v>
      </c>
      <c r="E61" s="531" t="inlineStr">
        <is>
          <t>성원2차</t>
        </is>
      </c>
      <c r="F61" s="530" t="n">
        <v>1992.02</v>
      </c>
      <c r="G61" s="530" t="n">
        <v>1404</v>
      </c>
      <c r="H61" s="530">
        <f>2026-F61+1</f>
        <v/>
      </c>
      <c r="I61" s="530" t="n"/>
      <c r="J61" s="530" t="n">
        <v>218</v>
      </c>
      <c r="K61" s="530" t="n">
        <v>192</v>
      </c>
      <c r="L61" s="530" t="n">
        <v>66</v>
      </c>
      <c r="M61" s="530" t="inlineStr">
        <is>
          <t>계단식</t>
        </is>
      </c>
      <c r="N61" s="530" t="n">
        <v>6</v>
      </c>
      <c r="O61" s="530" t="n">
        <v>3</v>
      </c>
      <c r="P61" s="530" t="n">
        <v>30</v>
      </c>
      <c r="Q61" s="530" t="n"/>
      <c r="R61" s="530" t="n"/>
      <c r="S61" s="530" t="n"/>
      <c r="T61" s="530" t="n"/>
      <c r="U61" s="530" t="n">
        <v>4.5</v>
      </c>
      <c r="V61" s="530" t="n"/>
      <c r="W61" s="530" t="n"/>
      <c r="X61" s="530" t="n"/>
      <c r="Y61" s="530" t="n"/>
      <c r="Z61" s="530" t="n"/>
      <c r="AA61" s="530" t="n"/>
      <c r="AB61" s="530" t="n"/>
      <c r="AC61" s="530" t="n"/>
      <c r="AD61" s="530" t="n"/>
      <c r="AE61" s="530" t="n"/>
      <c r="AF61" s="530" t="n"/>
      <c r="AG61" s="530" t="n"/>
      <c r="AH61" s="530" t="n"/>
      <c r="AI61" s="530" t="n"/>
      <c r="AJ61" s="530" t="n"/>
      <c r="AK61" s="530" t="n"/>
      <c r="AL61" s="530" t="n"/>
    </row>
    <row r="62">
      <c r="A62" s="339" t="inlineStr">
        <is>
          <t>남양동</t>
        </is>
      </c>
      <c r="D62" s="339" t="n">
        <v>7646</v>
      </c>
      <c r="E62" s="532" t="inlineStr">
        <is>
          <t>우성</t>
        </is>
      </c>
      <c r="F62" s="339" t="n">
        <v>1989.12</v>
      </c>
      <c r="G62" s="339" t="n">
        <v>750</v>
      </c>
      <c r="H62" s="339">
        <f>2026-F62+1</f>
        <v/>
      </c>
      <c r="J62" s="339" t="n">
        <v>83</v>
      </c>
      <c r="K62" s="339" t="n">
        <v>68</v>
      </c>
      <c r="L62" s="339" t="n">
        <v>25</v>
      </c>
      <c r="M62" s="339" t="inlineStr">
        <is>
          <t>계단식</t>
        </is>
      </c>
      <c r="N62" s="339" t="n">
        <v>3</v>
      </c>
      <c r="O62" s="339" t="n">
        <v>1</v>
      </c>
      <c r="P62" s="339" t="n">
        <v>90</v>
      </c>
      <c r="U62" t="n">
        <v>3.05</v>
      </c>
      <c r="V62" t="n">
        <v>2.4</v>
      </c>
    </row>
    <row r="63">
      <c r="A63" s="339" t="inlineStr">
        <is>
          <t>남양동</t>
        </is>
      </c>
      <c r="D63" s="339" t="n">
        <v>7646</v>
      </c>
      <c r="E63" s="532" t="inlineStr">
        <is>
          <t>우성</t>
        </is>
      </c>
      <c r="F63" s="339" t="n">
        <v>1989.12</v>
      </c>
      <c r="G63" s="339" t="n">
        <v>750</v>
      </c>
      <c r="H63" s="339">
        <f>2026-F63+1</f>
        <v/>
      </c>
      <c r="J63" s="339" t="n">
        <v>88</v>
      </c>
      <c r="K63" s="339" t="n">
        <v>73</v>
      </c>
      <c r="L63" s="339" t="n">
        <v>27</v>
      </c>
      <c r="M63" s="339" t="inlineStr">
        <is>
          <t>계단식</t>
        </is>
      </c>
      <c r="N63" s="339" t="n">
        <v>3</v>
      </c>
      <c r="O63" s="339" t="n">
        <v>1</v>
      </c>
      <c r="P63" s="339" t="n">
        <v>270</v>
      </c>
      <c r="U63" t="n">
        <v>3.5</v>
      </c>
      <c r="V63" t="n">
        <v>2.49</v>
      </c>
    </row>
    <row r="64">
      <c r="A64" s="339" t="inlineStr">
        <is>
          <t>남양동</t>
        </is>
      </c>
      <c r="D64" s="339" t="n">
        <v>7646</v>
      </c>
      <c r="E64" s="532" t="inlineStr">
        <is>
          <t>우성</t>
        </is>
      </c>
      <c r="F64" s="339" t="n">
        <v>1989.12</v>
      </c>
      <c r="G64" s="339" t="n">
        <v>750</v>
      </c>
      <c r="H64" s="339">
        <f>2026-F64+1</f>
        <v/>
      </c>
      <c r="J64" s="339" t="n">
        <v>99</v>
      </c>
      <c r="K64" s="339" t="n">
        <v>83</v>
      </c>
      <c r="L64" s="339" t="n">
        <v>30</v>
      </c>
      <c r="M64" s="339" t="inlineStr">
        <is>
          <t>계단식</t>
        </is>
      </c>
      <c r="N64" s="339" t="n">
        <v>3</v>
      </c>
      <c r="O64" s="339" t="n">
        <v>1</v>
      </c>
      <c r="P64" s="339" t="n">
        <v>390</v>
      </c>
      <c r="U64" t="n">
        <v>3.99</v>
      </c>
      <c r="V64" t="n">
        <v>2.5</v>
      </c>
    </row>
    <row r="65">
      <c r="A65" s="530" t="inlineStr">
        <is>
          <t>남양동</t>
        </is>
      </c>
      <c r="B65" s="530" t="n"/>
      <c r="C65" s="530" t="n"/>
      <c r="D65" s="530" t="n">
        <v>22621</v>
      </c>
      <c r="E65" s="531" t="inlineStr">
        <is>
          <t>위드파크</t>
        </is>
      </c>
      <c r="F65" s="530" t="n">
        <v>1998.05</v>
      </c>
      <c r="G65" s="530" t="n">
        <v>960</v>
      </c>
      <c r="H65" s="530">
        <f>2026-F65+1</f>
        <v/>
      </c>
      <c r="I65" s="530" t="n"/>
      <c r="J65" s="530" t="n">
        <v>69</v>
      </c>
      <c r="K65" s="530" t="n">
        <v>51</v>
      </c>
      <c r="L65" s="530" t="n">
        <v>21</v>
      </c>
      <c r="M65" s="530" t="inlineStr">
        <is>
          <t>복도식</t>
        </is>
      </c>
      <c r="N65" s="530" t="n">
        <v>3</v>
      </c>
      <c r="O65" s="530" t="n">
        <v>1</v>
      </c>
      <c r="P65" s="530" t="n">
        <v>120</v>
      </c>
      <c r="Q65" s="530" t="n"/>
      <c r="R65" s="530" t="n"/>
      <c r="S65" s="530" t="n"/>
      <c r="T65" s="530" t="n"/>
      <c r="U65" s="530" t="n">
        <v>2.19</v>
      </c>
      <c r="V65" s="530" t="n">
        <v>1.62</v>
      </c>
      <c r="W65" s="530" t="n"/>
      <c r="X65" s="530" t="n"/>
      <c r="Y65" s="530" t="n"/>
      <c r="Z65" s="530" t="n"/>
      <c r="AA65" s="530" t="n"/>
      <c r="AB65" s="530" t="n"/>
      <c r="AC65" s="530" t="n"/>
      <c r="AD65" s="530" t="n"/>
      <c r="AE65" s="530" t="n"/>
      <c r="AF65" s="530" t="n"/>
      <c r="AG65" s="530" t="n"/>
      <c r="AH65" s="530" t="n"/>
      <c r="AI65" s="530" t="n"/>
      <c r="AJ65" s="530" t="n"/>
      <c r="AK65" s="530" t="n"/>
      <c r="AL65" s="530" t="n"/>
    </row>
    <row r="66">
      <c r="A66" s="530" t="inlineStr">
        <is>
          <t>남양동</t>
        </is>
      </c>
      <c r="B66" s="530" t="n"/>
      <c r="C66" s="530" t="n"/>
      <c r="D66" s="530" t="n">
        <v>22621</v>
      </c>
      <c r="E66" s="531" t="inlineStr">
        <is>
          <t>위드파크</t>
        </is>
      </c>
      <c r="F66" s="530" t="n">
        <v>1998.05</v>
      </c>
      <c r="G66" s="530" t="n">
        <v>960</v>
      </c>
      <c r="H66" s="530">
        <f>2026-F66+1</f>
        <v/>
      </c>
      <c r="I66" s="530" t="n"/>
      <c r="J66" s="530" t="n">
        <v>70</v>
      </c>
      <c r="K66" s="530" t="n">
        <v>53</v>
      </c>
      <c r="L66" s="530" t="n">
        <v>21</v>
      </c>
      <c r="M66" s="530" t="inlineStr">
        <is>
          <t>복도식</t>
        </is>
      </c>
      <c r="N66" s="530" t="n">
        <v>3</v>
      </c>
      <c r="O66" s="530" t="n">
        <v>1</v>
      </c>
      <c r="P66" s="530" t="n">
        <v>390</v>
      </c>
      <c r="Q66" s="530" t="n"/>
      <c r="R66" s="530" t="n"/>
      <c r="S66" s="530" t="n"/>
      <c r="T66" s="530" t="n"/>
      <c r="U66" s="530" t="n">
        <v>2.28</v>
      </c>
      <c r="V66" s="530" t="n">
        <v>1.63</v>
      </c>
      <c r="W66" s="530" t="n"/>
      <c r="X66" s="530" t="n"/>
      <c r="Y66" s="530" t="n"/>
      <c r="Z66" s="530" t="n"/>
      <c r="AA66" s="530" t="n"/>
      <c r="AB66" s="530" t="n"/>
      <c r="AC66" s="530" t="n"/>
      <c r="AD66" s="530" t="n"/>
      <c r="AE66" s="530" t="n"/>
      <c r="AF66" s="530" t="n"/>
      <c r="AG66" s="530" t="n"/>
      <c r="AH66" s="530" t="n"/>
      <c r="AI66" s="530" t="n"/>
      <c r="AJ66" s="530" t="n"/>
      <c r="AK66" s="530" t="n"/>
      <c r="AL66" s="530" t="n"/>
    </row>
    <row r="67">
      <c r="A67" s="530" t="inlineStr">
        <is>
          <t>남양동</t>
        </is>
      </c>
      <c r="B67" s="530" t="n"/>
      <c r="C67" s="530" t="n"/>
      <c r="D67" s="530" t="n">
        <v>22621</v>
      </c>
      <c r="E67" s="531" t="inlineStr">
        <is>
          <t>위드파크</t>
        </is>
      </c>
      <c r="F67" s="530" t="n">
        <v>1998.05</v>
      </c>
      <c r="G67" s="530" t="n">
        <v>960</v>
      </c>
      <c r="H67" s="530">
        <f>2026-F67+1</f>
        <v/>
      </c>
      <c r="I67" s="530" t="n"/>
      <c r="J67" s="530" t="n">
        <v>76</v>
      </c>
      <c r="K67" s="530" t="n">
        <v>58</v>
      </c>
      <c r="L67" s="530" t="n">
        <v>23</v>
      </c>
      <c r="M67" s="530" t="inlineStr">
        <is>
          <t>복도식</t>
        </is>
      </c>
      <c r="N67" s="530" t="n">
        <v>3</v>
      </c>
      <c r="O67" s="530" t="n">
        <v>1</v>
      </c>
      <c r="P67" s="530" t="n">
        <v>360</v>
      </c>
      <c r="Q67" s="530" t="n"/>
      <c r="R67" s="530" t="n"/>
      <c r="S67" s="530" t="n"/>
      <c r="T67" s="530" t="n"/>
      <c r="U67" s="530" t="n">
        <v>2.68</v>
      </c>
      <c r="V67" s="530" t="n">
        <v>1.95</v>
      </c>
      <c r="W67" s="530" t="n"/>
      <c r="X67" s="530" t="n"/>
      <c r="Y67" s="530" t="n"/>
      <c r="Z67" s="530" t="n"/>
      <c r="AA67" s="530" t="n"/>
      <c r="AB67" s="530" t="n"/>
      <c r="AC67" s="530" t="n"/>
      <c r="AD67" s="530" t="n"/>
      <c r="AE67" s="530" t="n"/>
      <c r="AF67" s="530" t="n"/>
      <c r="AG67" s="530" t="n"/>
      <c r="AH67" s="530" t="n"/>
      <c r="AI67" s="530" t="n"/>
      <c r="AJ67" s="530" t="n"/>
      <c r="AK67" s="530" t="n"/>
      <c r="AL67" s="530" t="n"/>
    </row>
    <row r="68">
      <c r="A68" s="530" t="inlineStr">
        <is>
          <t>남양동</t>
        </is>
      </c>
      <c r="B68" s="530" t="n"/>
      <c r="C68" s="530" t="n"/>
      <c r="D68" s="530" t="n">
        <v>22621</v>
      </c>
      <c r="E68" s="531" t="inlineStr">
        <is>
          <t>위드파크</t>
        </is>
      </c>
      <c r="F68" s="530" t="n">
        <v>1998.05</v>
      </c>
      <c r="G68" s="530" t="n">
        <v>960</v>
      </c>
      <c r="H68" s="530">
        <f>2026-F68+1</f>
        <v/>
      </c>
      <c r="I68" s="530" t="n"/>
      <c r="J68" s="530" t="n">
        <v>78</v>
      </c>
      <c r="K68" s="530" t="n">
        <v>59</v>
      </c>
      <c r="L68" s="530" t="n">
        <v>24</v>
      </c>
      <c r="M68" s="530" t="inlineStr">
        <is>
          <t>복도식</t>
        </is>
      </c>
      <c r="N68" s="530" t="n">
        <v>3</v>
      </c>
      <c r="O68" s="530" t="n">
        <v>1</v>
      </c>
      <c r="P68" s="530" t="n">
        <v>90</v>
      </c>
      <c r="Q68" s="530" t="n"/>
      <c r="R68" s="530" t="n"/>
      <c r="S68" s="530" t="n"/>
      <c r="T68" s="530" t="n"/>
      <c r="U68" s="530" t="n">
        <v>2.68</v>
      </c>
      <c r="V68" s="530" t="n">
        <v>1.95</v>
      </c>
      <c r="W68" s="530" t="n"/>
      <c r="X68" s="530" t="n"/>
      <c r="Y68" s="530" t="n"/>
      <c r="Z68" s="530" t="n"/>
      <c r="AA68" s="530" t="n"/>
      <c r="AB68" s="530" t="n"/>
      <c r="AC68" s="530" t="n"/>
      <c r="AD68" s="530" t="n"/>
      <c r="AE68" s="530" t="n"/>
      <c r="AF68" s="530" t="n"/>
      <c r="AG68" s="530" t="n"/>
      <c r="AH68" s="530" t="n"/>
      <c r="AI68" s="530" t="n"/>
      <c r="AJ68" s="530" t="n"/>
      <c r="AK68" s="530" t="n"/>
      <c r="AL68" s="530" t="n"/>
    </row>
    <row r="69">
      <c r="A69" s="339" t="inlineStr">
        <is>
          <t>남양동</t>
        </is>
      </c>
      <c r="D69" s="339" t="n">
        <v>15724</v>
      </c>
      <c r="E69" s="532" t="inlineStr">
        <is>
          <t>피오르빌</t>
        </is>
      </c>
      <c r="F69" s="339" t="n">
        <v>1995.07</v>
      </c>
      <c r="G69" s="339" t="n">
        <v>1560</v>
      </c>
      <c r="H69" s="339">
        <f>2026-F69+1</f>
        <v/>
      </c>
      <c r="J69" s="339" t="n">
        <v>52</v>
      </c>
      <c r="K69" s="339" t="n">
        <v>39</v>
      </c>
      <c r="L69" s="339" t="n">
        <v>16</v>
      </c>
      <c r="M69" s="339" t="inlineStr">
        <is>
          <t>복도식</t>
        </is>
      </c>
      <c r="N69" s="339" t="n">
        <v>2</v>
      </c>
      <c r="O69" s="339" t="n">
        <v>1</v>
      </c>
      <c r="P69" s="339" t="n">
        <v>540</v>
      </c>
      <c r="U69" t="n">
        <v>1.78</v>
      </c>
      <c r="V69" t="n">
        <v>1.1</v>
      </c>
    </row>
    <row r="70">
      <c r="A70" s="339" t="inlineStr">
        <is>
          <t>남양동</t>
        </is>
      </c>
      <c r="D70" s="339" t="n">
        <v>15724</v>
      </c>
      <c r="E70" s="532" t="inlineStr">
        <is>
          <t>피오르빌</t>
        </is>
      </c>
      <c r="F70" s="339" t="n">
        <v>1995.07</v>
      </c>
      <c r="G70" s="339" t="n">
        <v>1560</v>
      </c>
      <c r="H70" s="339">
        <f>2026-F70+1</f>
        <v/>
      </c>
      <c r="J70" s="339" t="n">
        <v>66</v>
      </c>
      <c r="K70" s="339" t="n">
        <v>49</v>
      </c>
      <c r="L70" s="339" t="n">
        <v>20</v>
      </c>
      <c r="M70" s="339" t="inlineStr">
        <is>
          <t>복도식</t>
        </is>
      </c>
      <c r="N70" s="339" t="n">
        <v>2</v>
      </c>
      <c r="O70" s="339" t="n">
        <v>1</v>
      </c>
      <c r="P70" s="339" t="n">
        <v>1020</v>
      </c>
      <c r="U70" t="n">
        <v>2.3</v>
      </c>
      <c r="V70" t="n">
        <v>1.5</v>
      </c>
    </row>
    <row r="71">
      <c r="A71" s="530" t="inlineStr">
        <is>
          <t>남양동</t>
        </is>
      </c>
      <c r="B71" s="530" t="n"/>
      <c r="C71" s="530" t="n"/>
      <c r="D71" s="530" t="n">
        <v>15726</v>
      </c>
      <c r="E71" s="531" t="inlineStr">
        <is>
          <t>한림엘리시온</t>
        </is>
      </c>
      <c r="F71" s="530" t="n">
        <v>2002.05</v>
      </c>
      <c r="G71" s="530" t="n">
        <v>210</v>
      </c>
      <c r="H71" s="530">
        <f>2026-F71+1</f>
        <v/>
      </c>
      <c r="I71" s="530" t="n"/>
      <c r="J71" s="530" t="n">
        <v>109</v>
      </c>
      <c r="K71" s="530" t="n">
        <v>84</v>
      </c>
      <c r="L71" s="530" t="n">
        <v>33</v>
      </c>
      <c r="M71" s="530" t="inlineStr">
        <is>
          <t>계단식</t>
        </is>
      </c>
      <c r="N71" s="530" t="n">
        <v>3</v>
      </c>
      <c r="O71" s="530" t="n">
        <v>2</v>
      </c>
      <c r="P71" s="530" t="n">
        <v>210</v>
      </c>
      <c r="Q71" s="530" t="n"/>
      <c r="R71" s="530" t="n"/>
      <c r="S71" s="530" t="n"/>
      <c r="T71" s="530" t="n"/>
      <c r="U71" s="530" t="n">
        <v>4.14</v>
      </c>
      <c r="V71" s="530" t="n">
        <v>3.48</v>
      </c>
      <c r="W71" s="530" t="n"/>
      <c r="X71" s="530" t="n"/>
      <c r="Y71" s="530" t="n"/>
      <c r="Z71" s="530" t="n"/>
      <c r="AA71" s="530" t="n"/>
      <c r="AB71" s="530" t="n"/>
      <c r="AC71" s="530" t="n"/>
      <c r="AD71" s="530" t="n"/>
      <c r="AE71" s="530" t="n"/>
      <c r="AF71" s="530" t="n"/>
      <c r="AG71" s="530" t="n"/>
      <c r="AH71" s="530" t="n"/>
      <c r="AI71" s="530" t="n"/>
      <c r="AJ71" s="530" t="n"/>
      <c r="AK71" s="530" t="n"/>
      <c r="AL71" s="530" t="n"/>
    </row>
    <row r="72">
      <c r="A72" s="339" t="inlineStr">
        <is>
          <t>내동</t>
        </is>
      </c>
      <c r="D72" s="339" t="n">
        <v>15736</v>
      </c>
      <c r="E72" s="532" t="inlineStr">
        <is>
          <t>내동주공1단지</t>
        </is>
      </c>
      <c r="F72" s="339" t="n">
        <v>1977.01</v>
      </c>
      <c r="G72" s="339" t="n">
        <v>200</v>
      </c>
      <c r="H72" s="339">
        <f>2026-F72+1</f>
        <v/>
      </c>
      <c r="J72" s="339" t="n">
        <v>50</v>
      </c>
      <c r="K72" s="339" t="n">
        <v>49</v>
      </c>
      <c r="L72" s="339" t="n">
        <v>15</v>
      </c>
      <c r="M72" s="339" t="inlineStr">
        <is>
          <t>복도식</t>
        </is>
      </c>
      <c r="N72" s="339" t="n">
        <v>2</v>
      </c>
      <c r="O72" s="339" t="n">
        <v>1</v>
      </c>
      <c r="P72" s="339" t="n">
        <v>200</v>
      </c>
    </row>
    <row r="73">
      <c r="A73" s="530" t="inlineStr">
        <is>
          <t>내동</t>
        </is>
      </c>
      <c r="B73" s="530" t="n"/>
      <c r="C73" s="530" t="n"/>
      <c r="D73" s="530" t="n">
        <v>15727</v>
      </c>
      <c r="E73" s="531" t="inlineStr">
        <is>
          <t>목련</t>
        </is>
      </c>
      <c r="F73" s="530" t="n">
        <v>1979.09</v>
      </c>
      <c r="G73" s="530" t="n">
        <v>238</v>
      </c>
      <c r="H73" s="530">
        <f>2026-F73+1</f>
        <v/>
      </c>
      <c r="I73" s="530" t="n"/>
      <c r="J73" s="530" t="n">
        <v>52</v>
      </c>
      <c r="K73" s="530" t="n">
        <v>41</v>
      </c>
      <c r="L73" s="530" t="n">
        <v>16</v>
      </c>
      <c r="M73" s="530" t="inlineStr">
        <is>
          <t>복도식</t>
        </is>
      </c>
      <c r="N73" s="530" t="n">
        <v>2</v>
      </c>
      <c r="O73" s="530" t="n">
        <v>1</v>
      </c>
      <c r="P73" s="530" t="n">
        <v>178</v>
      </c>
      <c r="Q73" s="530" t="n"/>
      <c r="R73" s="530" t="n"/>
      <c r="S73" s="530" t="n"/>
      <c r="T73" s="530" t="n"/>
      <c r="U73" s="530" t="n">
        <v>1.3</v>
      </c>
      <c r="V73" s="530" t="n">
        <v>0.9</v>
      </c>
      <c r="W73" s="530" t="n"/>
      <c r="X73" s="530" t="n"/>
      <c r="Y73" s="530" t="n"/>
      <c r="Z73" s="530" t="n"/>
      <c r="AA73" s="530" t="n"/>
      <c r="AB73" s="530" t="n"/>
      <c r="AC73" s="530" t="n"/>
      <c r="AD73" s="530" t="n"/>
      <c r="AE73" s="530" t="n"/>
      <c r="AF73" s="530" t="n"/>
      <c r="AG73" s="530" t="n"/>
      <c r="AH73" s="530" t="n"/>
      <c r="AI73" s="530" t="n"/>
      <c r="AJ73" s="530" t="n"/>
      <c r="AK73" s="530" t="n"/>
      <c r="AL73" s="530" t="n"/>
    </row>
    <row r="74">
      <c r="A74" s="530" t="inlineStr">
        <is>
          <t>내동</t>
        </is>
      </c>
      <c r="B74" s="530" t="n"/>
      <c r="C74" s="530" t="n"/>
      <c r="D74" s="530" t="n">
        <v>15727</v>
      </c>
      <c r="E74" s="531" t="inlineStr">
        <is>
          <t>목련</t>
        </is>
      </c>
      <c r="F74" s="530" t="n">
        <v>1979.09</v>
      </c>
      <c r="G74" s="530" t="n">
        <v>238</v>
      </c>
      <c r="H74" s="530">
        <f>2026-F74+1</f>
        <v/>
      </c>
      <c r="I74" s="530" t="n"/>
      <c r="J74" s="530" t="n">
        <v>76</v>
      </c>
      <c r="K74" s="530" t="n">
        <v>59</v>
      </c>
      <c r="L74" s="530" t="n">
        <v>23</v>
      </c>
      <c r="M74" s="530" t="inlineStr">
        <is>
          <t>복도식</t>
        </is>
      </c>
      <c r="N74" s="530" t="n">
        <v>3</v>
      </c>
      <c r="O74" s="530" t="n">
        <v>1</v>
      </c>
      <c r="P74" s="530" t="n">
        <v>20</v>
      </c>
      <c r="Q74" s="530" t="n"/>
      <c r="R74" s="530" t="n"/>
      <c r="S74" s="530" t="n"/>
      <c r="T74" s="530" t="n"/>
      <c r="U74" s="530" t="n">
        <v>1.7</v>
      </c>
      <c r="V74" s="530" t="n">
        <v>1.43</v>
      </c>
      <c r="W74" s="530" t="n"/>
      <c r="X74" s="530" t="n"/>
      <c r="Y74" s="530" t="n"/>
      <c r="Z74" s="530" t="n"/>
      <c r="AA74" s="530" t="n"/>
      <c r="AB74" s="530" t="n"/>
      <c r="AC74" s="530" t="n"/>
      <c r="AD74" s="530" t="n"/>
      <c r="AE74" s="530" t="n"/>
      <c r="AF74" s="530" t="n"/>
      <c r="AG74" s="530" t="n"/>
      <c r="AH74" s="530" t="n"/>
      <c r="AI74" s="530" t="n"/>
      <c r="AJ74" s="530" t="n"/>
      <c r="AK74" s="530" t="n"/>
      <c r="AL74" s="530" t="n"/>
    </row>
    <row r="75">
      <c r="A75" s="530" t="inlineStr">
        <is>
          <t>내동</t>
        </is>
      </c>
      <c r="B75" s="530" t="n"/>
      <c r="C75" s="530" t="n"/>
      <c r="D75" s="530" t="n">
        <v>15727</v>
      </c>
      <c r="E75" s="531" t="inlineStr">
        <is>
          <t>목련</t>
        </is>
      </c>
      <c r="F75" s="530" t="n">
        <v>1979.09</v>
      </c>
      <c r="G75" s="530" t="n">
        <v>238</v>
      </c>
      <c r="H75" s="530">
        <f>2026-F75+1</f>
        <v/>
      </c>
      <c r="I75" s="530" t="n"/>
      <c r="J75" s="530" t="n">
        <v>82</v>
      </c>
      <c r="K75" s="530" t="n">
        <v>64</v>
      </c>
      <c r="L75" s="530" t="n">
        <v>25</v>
      </c>
      <c r="M75" s="530" t="inlineStr">
        <is>
          <t>복도식</t>
        </is>
      </c>
      <c r="N75" s="530" t="n">
        <v>3</v>
      </c>
      <c r="O75" s="530" t="n">
        <v>1</v>
      </c>
      <c r="P75" s="530" t="n">
        <v>20</v>
      </c>
      <c r="Q75" s="530" t="n"/>
      <c r="R75" s="530" t="n"/>
      <c r="S75" s="530" t="n"/>
      <c r="T75" s="530" t="n"/>
      <c r="U75" s="530" t="n">
        <v>1.82</v>
      </c>
      <c r="V75" s="530" t="n">
        <v>1.3</v>
      </c>
      <c r="W75" s="530" t="n"/>
      <c r="X75" s="530" t="n"/>
      <c r="Y75" s="530" t="n"/>
      <c r="Z75" s="530" t="n"/>
      <c r="AA75" s="530" t="n"/>
      <c r="AB75" s="530" t="n"/>
      <c r="AC75" s="530" t="n"/>
      <c r="AD75" s="530" t="n"/>
      <c r="AE75" s="530" t="n"/>
      <c r="AF75" s="530" t="n"/>
      <c r="AG75" s="530" t="n"/>
      <c r="AH75" s="530" t="n"/>
      <c r="AI75" s="530" t="n"/>
      <c r="AJ75" s="530" t="n"/>
      <c r="AK75" s="530" t="n"/>
      <c r="AL75" s="530" t="n"/>
    </row>
    <row r="76">
      <c r="A76" s="530" t="inlineStr">
        <is>
          <t>내동</t>
        </is>
      </c>
      <c r="B76" s="530" t="n"/>
      <c r="C76" s="530" t="n"/>
      <c r="D76" s="530" t="n">
        <v>15727</v>
      </c>
      <c r="E76" s="531" t="inlineStr">
        <is>
          <t>목련</t>
        </is>
      </c>
      <c r="F76" s="530" t="n">
        <v>1979.09</v>
      </c>
      <c r="G76" s="530" t="n">
        <v>238</v>
      </c>
      <c r="H76" s="530">
        <f>2026-F76+1</f>
        <v/>
      </c>
      <c r="I76" s="530" t="n"/>
      <c r="J76" s="530" t="n">
        <v>102</v>
      </c>
      <c r="K76" s="530" t="n">
        <v>81</v>
      </c>
      <c r="L76" s="530" t="n">
        <v>31</v>
      </c>
      <c r="M76" s="530" t="inlineStr">
        <is>
          <t>복도식</t>
        </is>
      </c>
      <c r="N76" s="530" t="n">
        <v>3</v>
      </c>
      <c r="O76" s="530" t="n">
        <v>1</v>
      </c>
      <c r="P76" s="530" t="n">
        <v>10</v>
      </c>
      <c r="Q76" s="530" t="n"/>
      <c r="R76" s="530" t="n"/>
      <c r="S76" s="530" t="n"/>
      <c r="T76" s="530" t="n"/>
      <c r="U76" s="530" t="n"/>
      <c r="V76" s="530" t="n"/>
      <c r="W76" s="530" t="n"/>
      <c r="X76" s="530" t="n"/>
      <c r="Y76" s="530" t="n"/>
      <c r="Z76" s="530" t="n"/>
      <c r="AA76" s="530" t="n"/>
      <c r="AB76" s="530" t="n"/>
      <c r="AC76" s="530" t="n"/>
      <c r="AD76" s="530" t="n"/>
      <c r="AE76" s="530" t="n"/>
      <c r="AF76" s="530" t="n"/>
      <c r="AG76" s="530" t="n"/>
      <c r="AH76" s="530" t="n"/>
      <c r="AI76" s="530" t="n"/>
      <c r="AJ76" s="530" t="n"/>
      <c r="AK76" s="530" t="n"/>
      <c r="AL76" s="530" t="n"/>
    </row>
    <row r="77">
      <c r="A77" s="530" t="inlineStr">
        <is>
          <t>내동</t>
        </is>
      </c>
      <c r="B77" s="530" t="n"/>
      <c r="C77" s="530" t="n"/>
      <c r="D77" s="530" t="n">
        <v>15727</v>
      </c>
      <c r="E77" s="531" t="inlineStr">
        <is>
          <t>목련</t>
        </is>
      </c>
      <c r="F77" s="530" t="n">
        <v>1979.09</v>
      </c>
      <c r="G77" s="530" t="n">
        <v>238</v>
      </c>
      <c r="H77" s="530">
        <f>2026-F77+1</f>
        <v/>
      </c>
      <c r="I77" s="530" t="n"/>
      <c r="J77" s="530" t="n">
        <v>105</v>
      </c>
      <c r="K77" s="530" t="n">
        <v>84</v>
      </c>
      <c r="L77" s="530" t="n">
        <v>32</v>
      </c>
      <c r="M77" s="530" t="inlineStr">
        <is>
          <t>복도식</t>
        </is>
      </c>
      <c r="N77" s="530" t="n">
        <v>3</v>
      </c>
      <c r="O77" s="530" t="n">
        <v>1</v>
      </c>
      <c r="P77" s="530" t="n">
        <v>10</v>
      </c>
      <c r="Q77" s="530" t="n"/>
      <c r="R77" s="530" t="n"/>
      <c r="S77" s="530" t="n"/>
      <c r="T77" s="530" t="n"/>
      <c r="U77" s="530" t="n">
        <v>2.03</v>
      </c>
      <c r="V77" s="530" t="n">
        <v>2.03</v>
      </c>
      <c r="W77" s="530" t="n"/>
      <c r="X77" s="530" t="n"/>
      <c r="Y77" s="530" t="n"/>
      <c r="Z77" s="530" t="n"/>
      <c r="AA77" s="530" t="n"/>
      <c r="AB77" s="530" t="n"/>
      <c r="AC77" s="530" t="n"/>
      <c r="AD77" s="530" t="n"/>
      <c r="AE77" s="530" t="n"/>
      <c r="AF77" s="530" t="n"/>
      <c r="AG77" s="530" t="n"/>
      <c r="AH77" s="530" t="n"/>
      <c r="AI77" s="530" t="n"/>
      <c r="AJ77" s="530" t="n"/>
      <c r="AK77" s="530" t="n"/>
      <c r="AL77" s="530" t="n"/>
    </row>
    <row r="78">
      <c r="A78" s="339" t="inlineStr">
        <is>
          <t>내동</t>
        </is>
      </c>
      <c r="D78" s="339" t="n">
        <v>15735</v>
      </c>
      <c r="E78" s="532" t="inlineStr">
        <is>
          <t>일성그라미</t>
        </is>
      </c>
      <c r="F78" s="339" t="n">
        <v>1990.03</v>
      </c>
      <c r="G78" s="339" t="n">
        <v>240</v>
      </c>
      <c r="H78" s="339">
        <f>2026-F78+1</f>
        <v/>
      </c>
      <c r="J78" s="339" t="n">
        <v>87</v>
      </c>
      <c r="K78" s="339" t="n">
        <v>71</v>
      </c>
      <c r="L78" s="339" t="n">
        <v>26</v>
      </c>
      <c r="M78" s="339" t="inlineStr">
        <is>
          <t>계단식</t>
        </is>
      </c>
      <c r="N78" s="339" t="n">
        <v>3</v>
      </c>
      <c r="O78" s="339" t="n">
        <v>1</v>
      </c>
      <c r="P78" s="339" t="n">
        <v>120</v>
      </c>
      <c r="U78" t="n">
        <v>1.73</v>
      </c>
      <c r="V78" t="n">
        <v>1.34</v>
      </c>
    </row>
    <row r="79">
      <c r="A79" s="339" t="inlineStr">
        <is>
          <t>내동</t>
        </is>
      </c>
      <c r="D79" s="339" t="n">
        <v>15735</v>
      </c>
      <c r="E79" s="532" t="inlineStr">
        <is>
          <t>일성그라미</t>
        </is>
      </c>
      <c r="F79" s="339" t="n">
        <v>1990.03</v>
      </c>
      <c r="G79" s="339" t="n">
        <v>240</v>
      </c>
      <c r="H79" s="339">
        <f>2026-F79+1</f>
        <v/>
      </c>
      <c r="J79" s="339" t="n">
        <v>96</v>
      </c>
      <c r="K79" s="339" t="n">
        <v>80</v>
      </c>
      <c r="L79" s="339" t="n">
        <v>29</v>
      </c>
      <c r="M79" s="339" t="inlineStr">
        <is>
          <t>계단식</t>
        </is>
      </c>
      <c r="N79" s="339" t="n">
        <v>3</v>
      </c>
      <c r="O79" s="339" t="n">
        <v>1</v>
      </c>
      <c r="P79" s="339" t="n">
        <v>120</v>
      </c>
      <c r="U79" t="n">
        <v>1.84</v>
      </c>
      <c r="V79" t="n">
        <v>1.62</v>
      </c>
    </row>
    <row r="80">
      <c r="A80" s="530" t="inlineStr">
        <is>
          <t>내동</t>
        </is>
      </c>
      <c r="B80" s="530" t="n"/>
      <c r="C80" s="530" t="n"/>
      <c r="D80" s="530" t="n">
        <v>10888</v>
      </c>
      <c r="E80" s="531" t="inlineStr">
        <is>
          <t>창원월드메르디앙웨스턴애비뉴</t>
        </is>
      </c>
      <c r="F80" s="530" t="n">
        <v>2009.02</v>
      </c>
      <c r="G80" s="530" t="n">
        <v>504</v>
      </c>
      <c r="H80" s="530">
        <f>2026-F80+1</f>
        <v/>
      </c>
      <c r="I80" s="530" t="n"/>
      <c r="J80" s="530" t="n">
        <v>77</v>
      </c>
      <c r="K80" s="530" t="n">
        <v>59</v>
      </c>
      <c r="L80" s="530" t="n">
        <v>23</v>
      </c>
      <c r="M80" s="530" t="inlineStr">
        <is>
          <t>계단식</t>
        </is>
      </c>
      <c r="N80" s="530" t="n">
        <v>3</v>
      </c>
      <c r="O80" s="530" t="n">
        <v>2</v>
      </c>
      <c r="P80" s="530" t="n">
        <v>180</v>
      </c>
      <c r="Q80" s="530" t="n"/>
      <c r="R80" s="530" t="n"/>
      <c r="S80" s="530" t="n"/>
      <c r="T80" s="530" t="n"/>
      <c r="U80" s="530" t="n">
        <v>2.26</v>
      </c>
      <c r="V80" s="530" t="n">
        <v>2.14</v>
      </c>
      <c r="W80" s="530" t="n"/>
      <c r="X80" s="530" t="n"/>
      <c r="Y80" s="530" t="n"/>
      <c r="Z80" s="530" t="n"/>
      <c r="AA80" s="530" t="n"/>
      <c r="AB80" s="530" t="n"/>
      <c r="AC80" s="530" t="n"/>
      <c r="AD80" s="530" t="n"/>
      <c r="AE80" s="530" t="n"/>
      <c r="AF80" s="530" t="n"/>
      <c r="AG80" s="530" t="n"/>
      <c r="AH80" s="530" t="n"/>
      <c r="AI80" s="530" t="n"/>
      <c r="AJ80" s="530" t="n"/>
      <c r="AK80" s="530" t="n"/>
      <c r="AL80" s="530" t="n"/>
    </row>
    <row r="81">
      <c r="A81" s="530" t="inlineStr">
        <is>
          <t>내동</t>
        </is>
      </c>
      <c r="B81" s="530" t="n"/>
      <c r="C81" s="530" t="n"/>
      <c r="D81" s="530" t="n">
        <v>10888</v>
      </c>
      <c r="E81" s="531" t="inlineStr">
        <is>
          <t>창원월드메르디앙웨스턴애비뉴</t>
        </is>
      </c>
      <c r="F81" s="530" t="n">
        <v>2009.02</v>
      </c>
      <c r="G81" s="530" t="n">
        <v>504</v>
      </c>
      <c r="H81" s="530">
        <f>2026-F81+1</f>
        <v/>
      </c>
      <c r="I81" s="530" t="n"/>
      <c r="J81" s="530" t="n">
        <v>107</v>
      </c>
      <c r="K81" s="530" t="n">
        <v>84</v>
      </c>
      <c r="L81" s="530" t="n">
        <v>32</v>
      </c>
      <c r="M81" s="530" t="inlineStr">
        <is>
          <t>계단식</t>
        </is>
      </c>
      <c r="N81" s="530" t="n">
        <v>3</v>
      </c>
      <c r="O81" s="530" t="n">
        <v>2</v>
      </c>
      <c r="P81" s="530" t="n">
        <v>272</v>
      </c>
      <c r="Q81" s="530" t="n"/>
      <c r="R81" s="530" t="n"/>
      <c r="S81" s="530" t="n"/>
      <c r="T81" s="530" t="n"/>
      <c r="U81" s="530" t="n">
        <v>3.03</v>
      </c>
      <c r="V81" s="530" t="n">
        <v>2.7</v>
      </c>
      <c r="W81" s="530" t="n"/>
      <c r="X81" s="530" t="n"/>
      <c r="Y81" s="530" t="n"/>
      <c r="Z81" s="530" t="n"/>
      <c r="AA81" s="530" t="n"/>
      <c r="AB81" s="530" t="n"/>
      <c r="AC81" s="530" t="n"/>
      <c r="AD81" s="530" t="n"/>
      <c r="AE81" s="530" t="n"/>
      <c r="AF81" s="530" t="n"/>
      <c r="AG81" s="530" t="n"/>
      <c r="AH81" s="530" t="n"/>
      <c r="AI81" s="530" t="n"/>
      <c r="AJ81" s="530" t="n"/>
      <c r="AK81" s="530" t="n"/>
      <c r="AL81" s="530" t="n"/>
    </row>
    <row r="82">
      <c r="A82" s="530" t="inlineStr">
        <is>
          <t>내동</t>
        </is>
      </c>
      <c r="B82" s="530" t="n"/>
      <c r="C82" s="530" t="n"/>
      <c r="D82" s="530" t="n">
        <v>10888</v>
      </c>
      <c r="E82" s="531" t="inlineStr">
        <is>
          <t>창원월드메르디앙웨스턴애비뉴</t>
        </is>
      </c>
      <c r="F82" s="530" t="n">
        <v>2009.02</v>
      </c>
      <c r="G82" s="530" t="n">
        <v>504</v>
      </c>
      <c r="H82" s="530">
        <f>2026-F82+1</f>
        <v/>
      </c>
      <c r="I82" s="530" t="n"/>
      <c r="J82" s="530" t="n">
        <v>143</v>
      </c>
      <c r="K82" s="530" t="n">
        <v>115</v>
      </c>
      <c r="L82" s="530" t="n">
        <v>43</v>
      </c>
      <c r="M82" s="530" t="inlineStr">
        <is>
          <t>계단식</t>
        </is>
      </c>
      <c r="N82" s="530" t="n">
        <v>4</v>
      </c>
      <c r="O82" s="530" t="n">
        <v>2</v>
      </c>
      <c r="P82" s="530" t="n">
        <v>52</v>
      </c>
      <c r="Q82" s="530" t="n"/>
      <c r="R82" s="530" t="n"/>
      <c r="S82" s="530" t="n"/>
      <c r="T82" s="530" t="n"/>
      <c r="U82" s="530" t="n">
        <v>3.45</v>
      </c>
      <c r="V82" s="530" t="n">
        <v>3</v>
      </c>
      <c r="W82" s="530" t="n"/>
      <c r="X82" s="530" t="n"/>
      <c r="Y82" s="530" t="n"/>
      <c r="Z82" s="530" t="n"/>
      <c r="AA82" s="530" t="n"/>
      <c r="AB82" s="530" t="n"/>
      <c r="AC82" s="530" t="n"/>
      <c r="AD82" s="530" t="n"/>
      <c r="AE82" s="530" t="n"/>
      <c r="AF82" s="530" t="n"/>
      <c r="AG82" s="530" t="n"/>
      <c r="AH82" s="530" t="n"/>
      <c r="AI82" s="530" t="n"/>
      <c r="AJ82" s="530" t="n"/>
      <c r="AK82" s="530" t="n"/>
      <c r="AL82" s="530" t="n"/>
    </row>
    <row r="83">
      <c r="A83" s="339" t="inlineStr">
        <is>
          <t>대방동</t>
        </is>
      </c>
      <c r="D83" s="339" t="n">
        <v>7674</v>
      </c>
      <c r="E83" s="532" t="inlineStr">
        <is>
          <t>대동디지털황토</t>
        </is>
      </c>
      <c r="F83" s="339" t="n">
        <v>2001.09</v>
      </c>
      <c r="G83" s="339" t="n">
        <v>704</v>
      </c>
      <c r="H83" s="339">
        <f>2026-F83+1</f>
        <v/>
      </c>
      <c r="J83" s="339" t="n">
        <v>85</v>
      </c>
      <c r="K83" s="339" t="n">
        <v>59</v>
      </c>
      <c r="L83" s="339" t="n">
        <v>26</v>
      </c>
      <c r="M83" s="339" t="inlineStr">
        <is>
          <t>계단식</t>
        </is>
      </c>
      <c r="N83" s="339" t="n">
        <v>3</v>
      </c>
      <c r="O83" s="339" t="n">
        <v>1</v>
      </c>
      <c r="P83" s="339" t="n">
        <v>228</v>
      </c>
      <c r="U83" t="n">
        <v>3.48</v>
      </c>
      <c r="V83" t="n">
        <v>2.4</v>
      </c>
    </row>
    <row r="84">
      <c r="A84" s="339" t="inlineStr">
        <is>
          <t>대방동</t>
        </is>
      </c>
      <c r="D84" s="339" t="n">
        <v>7674</v>
      </c>
      <c r="E84" s="532" t="inlineStr">
        <is>
          <t>대동디지털황토</t>
        </is>
      </c>
      <c r="F84" s="339" t="n">
        <v>2001.09</v>
      </c>
      <c r="G84" s="339" t="n">
        <v>704</v>
      </c>
      <c r="H84" s="339">
        <f>2026-F84+1</f>
        <v/>
      </c>
      <c r="J84" s="339" t="n">
        <v>114</v>
      </c>
      <c r="K84" s="339" t="n">
        <v>84</v>
      </c>
      <c r="L84" s="339" t="n">
        <v>34</v>
      </c>
      <c r="M84" s="339" t="inlineStr">
        <is>
          <t>계단식</t>
        </is>
      </c>
      <c r="N84" s="339" t="n">
        <v>3</v>
      </c>
      <c r="O84" s="339" t="n">
        <v>2</v>
      </c>
      <c r="P84" s="339" t="n">
        <v>356</v>
      </c>
      <c r="U84" t="n">
        <v>4.45</v>
      </c>
      <c r="V84" t="n">
        <v>2.75</v>
      </c>
    </row>
    <row r="85">
      <c r="A85" s="339" t="inlineStr">
        <is>
          <t>대방동</t>
        </is>
      </c>
      <c r="D85" s="339" t="n">
        <v>7674</v>
      </c>
      <c r="E85" s="532" t="inlineStr">
        <is>
          <t>대동디지털황토</t>
        </is>
      </c>
      <c r="F85" s="339" t="n">
        <v>2001.09</v>
      </c>
      <c r="G85" s="339" t="n">
        <v>704</v>
      </c>
      <c r="H85" s="339">
        <f>2026-F85+1</f>
        <v/>
      </c>
      <c r="J85" s="339" t="n">
        <v>148</v>
      </c>
      <c r="K85" s="339" t="n">
        <v>114</v>
      </c>
      <c r="L85" s="339" t="n">
        <v>45</v>
      </c>
      <c r="M85" s="339" t="inlineStr">
        <is>
          <t>계단식</t>
        </is>
      </c>
      <c r="N85" s="339" t="n">
        <v>4</v>
      </c>
      <c r="O85" s="339" t="n">
        <v>2</v>
      </c>
      <c r="P85" s="339" t="n">
        <v>120</v>
      </c>
      <c r="U85" t="n">
        <v>5.13</v>
      </c>
      <c r="V85" t="n">
        <v>4.55</v>
      </c>
    </row>
    <row r="86">
      <c r="A86" s="530" t="inlineStr">
        <is>
          <t>대방동</t>
        </is>
      </c>
      <c r="B86" s="530" t="n"/>
      <c r="C86" s="530" t="n"/>
      <c r="D86" s="530" t="n">
        <v>7692</v>
      </c>
      <c r="E86" s="531" t="inlineStr">
        <is>
          <t>대방개나리1차</t>
        </is>
      </c>
      <c r="F86" s="530" t="n">
        <v>1992.09</v>
      </c>
      <c r="G86" s="530" t="n">
        <v>1005</v>
      </c>
      <c r="H86" s="530">
        <f>2026-F86+1</f>
        <v/>
      </c>
      <c r="I86" s="530" t="n"/>
      <c r="J86" s="530" t="n">
        <v>58</v>
      </c>
      <c r="K86" s="530" t="n">
        <v>42</v>
      </c>
      <c r="L86" s="530" t="n">
        <v>18</v>
      </c>
      <c r="M86" s="530" t="inlineStr">
        <is>
          <t>복도식</t>
        </is>
      </c>
      <c r="N86" s="530" t="n">
        <v>2</v>
      </c>
      <c r="O86" s="530" t="n">
        <v>1</v>
      </c>
      <c r="P86" s="530" t="n">
        <v>600</v>
      </c>
      <c r="Q86" s="530" t="n"/>
      <c r="R86" s="530" t="n"/>
      <c r="S86" s="530" t="n"/>
      <c r="T86" s="530" t="n"/>
      <c r="U86" s="530" t="n">
        <v>1.78</v>
      </c>
      <c r="V86" s="530" t="n">
        <v>1.21</v>
      </c>
      <c r="W86" s="530" t="n"/>
      <c r="X86" s="530" t="n"/>
      <c r="Y86" s="530" t="n"/>
      <c r="Z86" s="530" t="n"/>
      <c r="AA86" s="530" t="n"/>
      <c r="AB86" s="530" t="n"/>
      <c r="AC86" s="530" t="n"/>
      <c r="AD86" s="530" t="n"/>
      <c r="AE86" s="530" t="n"/>
      <c r="AF86" s="530" t="n"/>
      <c r="AG86" s="530" t="n"/>
      <c r="AH86" s="530" t="n"/>
      <c r="AI86" s="530" t="n"/>
      <c r="AJ86" s="530" t="n"/>
      <c r="AK86" s="530" t="n"/>
      <c r="AL86" s="530" t="n"/>
    </row>
    <row r="87">
      <c r="A87" s="530" t="inlineStr">
        <is>
          <t>대방동</t>
        </is>
      </c>
      <c r="B87" s="530" t="n"/>
      <c r="C87" s="530" t="n"/>
      <c r="D87" s="530" t="n">
        <v>7692</v>
      </c>
      <c r="E87" s="531" t="inlineStr">
        <is>
          <t>대방개나리1차</t>
        </is>
      </c>
      <c r="F87" s="530" t="n">
        <v>1992.09</v>
      </c>
      <c r="G87" s="530" t="n">
        <v>1005</v>
      </c>
      <c r="H87" s="530">
        <f>2026-F87+1</f>
        <v/>
      </c>
      <c r="I87" s="530" t="n"/>
      <c r="J87" s="530" t="n">
        <v>68</v>
      </c>
      <c r="K87" s="530" t="n">
        <v>49</v>
      </c>
      <c r="L87" s="530" t="n">
        <v>21</v>
      </c>
      <c r="M87" s="530" t="inlineStr">
        <is>
          <t>복도식</t>
        </is>
      </c>
      <c r="N87" s="530" t="n">
        <v>3</v>
      </c>
      <c r="O87" s="530" t="n">
        <v>1</v>
      </c>
      <c r="P87" s="530" t="n">
        <v>405</v>
      </c>
      <c r="Q87" s="530" t="n"/>
      <c r="R87" s="530" t="n"/>
      <c r="S87" s="530" t="n"/>
      <c r="T87" s="530" t="n"/>
      <c r="U87" s="530" t="n">
        <v>2</v>
      </c>
      <c r="V87" s="530" t="n">
        <v>1.38</v>
      </c>
      <c r="W87" s="530" t="n"/>
      <c r="X87" s="530" t="n"/>
      <c r="Y87" s="530" t="n"/>
      <c r="Z87" s="530" t="n"/>
      <c r="AA87" s="530" t="n"/>
      <c r="AB87" s="530" t="n"/>
      <c r="AC87" s="530" t="n"/>
      <c r="AD87" s="530" t="n"/>
      <c r="AE87" s="530" t="n"/>
      <c r="AF87" s="530" t="n"/>
      <c r="AG87" s="530" t="n"/>
      <c r="AH87" s="530" t="n"/>
      <c r="AI87" s="530" t="n"/>
      <c r="AJ87" s="530" t="n"/>
      <c r="AK87" s="530" t="n"/>
      <c r="AL87" s="530" t="n"/>
    </row>
    <row r="88">
      <c r="A88" s="339" t="inlineStr">
        <is>
          <t>대방동</t>
        </is>
      </c>
      <c r="D88" s="339" t="n">
        <v>7683</v>
      </c>
      <c r="E88" s="532" t="inlineStr">
        <is>
          <t>대방그린빌</t>
        </is>
      </c>
      <c r="F88" s="339" t="n">
        <v>1996.06</v>
      </c>
      <c r="G88" s="339" t="n">
        <v>834</v>
      </c>
      <c r="H88" s="339">
        <f>2026-F88+1</f>
        <v/>
      </c>
      <c r="J88" s="339" t="n">
        <v>54</v>
      </c>
      <c r="K88" s="339" t="n">
        <v>39</v>
      </c>
      <c r="L88" s="339" t="n">
        <v>16</v>
      </c>
      <c r="M88" s="339" t="inlineStr">
        <is>
          <t>복도식</t>
        </is>
      </c>
      <c r="N88" s="339" t="n">
        <v>2</v>
      </c>
      <c r="O88" s="339" t="n">
        <v>1</v>
      </c>
      <c r="P88" s="339" t="n">
        <v>426</v>
      </c>
      <c r="U88" t="n">
        <v>1.79</v>
      </c>
      <c r="V88" t="n">
        <v>1.2</v>
      </c>
    </row>
    <row r="89">
      <c r="A89" s="339" t="inlineStr">
        <is>
          <t>대방동</t>
        </is>
      </c>
      <c r="D89" s="339" t="n">
        <v>7683</v>
      </c>
      <c r="E89" s="532" t="inlineStr">
        <is>
          <t>대방그린빌</t>
        </is>
      </c>
      <c r="F89" s="339" t="n">
        <v>1996.06</v>
      </c>
      <c r="G89" s="339" t="n">
        <v>834</v>
      </c>
      <c r="H89" s="339">
        <f>2026-F89+1</f>
        <v/>
      </c>
      <c r="J89" s="339" t="n">
        <v>68</v>
      </c>
      <c r="K89" s="339" t="n">
        <v>49</v>
      </c>
      <c r="L89" s="339" t="n">
        <v>21</v>
      </c>
      <c r="M89" s="339" t="inlineStr">
        <is>
          <t>복도식</t>
        </is>
      </c>
      <c r="N89" s="339" t="n">
        <v>3</v>
      </c>
      <c r="O89" s="339" t="n">
        <v>1</v>
      </c>
      <c r="P89" s="339" t="n">
        <v>408</v>
      </c>
      <c r="U89" t="n">
        <v>1.89</v>
      </c>
      <c r="V89" t="n">
        <v>1.35</v>
      </c>
    </row>
    <row r="90">
      <c r="A90" s="530" t="inlineStr">
        <is>
          <t>대방동</t>
        </is>
      </c>
      <c r="B90" s="530" t="n"/>
      <c r="C90" s="530" t="n"/>
      <c r="D90" s="530" t="n">
        <v>7677</v>
      </c>
      <c r="E90" s="531" t="inlineStr">
        <is>
          <t>대방대동</t>
        </is>
      </c>
      <c r="F90" s="530" t="n">
        <v>1992.09</v>
      </c>
      <c r="G90" s="530" t="n">
        <v>1835</v>
      </c>
      <c r="H90" s="530">
        <f>2026-F90+1</f>
        <v/>
      </c>
      <c r="I90" s="530" t="n"/>
      <c r="J90" s="530" t="n">
        <v>68</v>
      </c>
      <c r="K90" s="530" t="n">
        <v>49</v>
      </c>
      <c r="L90" s="530" t="n">
        <v>21</v>
      </c>
      <c r="M90" s="530" t="inlineStr">
        <is>
          <t>복도식</t>
        </is>
      </c>
      <c r="N90" s="530" t="n">
        <v>2</v>
      </c>
      <c r="O90" s="530" t="n">
        <v>1</v>
      </c>
      <c r="P90" s="530" t="n">
        <v>767</v>
      </c>
      <c r="Q90" s="530" t="n"/>
      <c r="R90" s="530" t="n"/>
      <c r="S90" s="530" t="n"/>
      <c r="T90" s="530" t="n"/>
      <c r="U90" s="530" t="n">
        <v>2.17</v>
      </c>
      <c r="V90" s="530" t="n">
        <v>1.37</v>
      </c>
      <c r="W90" s="530" t="n"/>
      <c r="X90" s="530" t="n"/>
      <c r="Y90" s="530" t="n"/>
      <c r="Z90" s="530" t="n"/>
      <c r="AA90" s="530" t="n"/>
      <c r="AB90" s="530" t="n"/>
      <c r="AC90" s="530" t="n"/>
      <c r="AD90" s="530" t="n"/>
      <c r="AE90" s="530" t="n"/>
      <c r="AF90" s="530" t="n"/>
      <c r="AG90" s="530" t="n"/>
      <c r="AH90" s="530" t="n"/>
      <c r="AI90" s="530" t="n"/>
      <c r="AJ90" s="530" t="n"/>
      <c r="AK90" s="530" t="n"/>
      <c r="AL90" s="530" t="n"/>
    </row>
    <row r="91">
      <c r="A91" s="530" t="inlineStr">
        <is>
          <t>대방동</t>
        </is>
      </c>
      <c r="B91" s="530" t="n"/>
      <c r="C91" s="530" t="n"/>
      <c r="D91" s="530" t="n">
        <v>7677</v>
      </c>
      <c r="E91" s="531" t="inlineStr">
        <is>
          <t>대방대동</t>
        </is>
      </c>
      <c r="F91" s="530" t="n">
        <v>1992.09</v>
      </c>
      <c r="G91" s="530" t="n">
        <v>1835</v>
      </c>
      <c r="H91" s="530">
        <f>2026-F91+1</f>
        <v/>
      </c>
      <c r="I91" s="530" t="n"/>
      <c r="J91" s="530" t="n">
        <v>76</v>
      </c>
      <c r="K91" s="530" t="n">
        <v>59</v>
      </c>
      <c r="L91" s="530" t="n">
        <v>23</v>
      </c>
      <c r="M91" s="530" t="inlineStr">
        <is>
          <t>계단식</t>
        </is>
      </c>
      <c r="N91" s="530" t="n">
        <v>2</v>
      </c>
      <c r="O91" s="530" t="n">
        <v>1</v>
      </c>
      <c r="P91" s="530" t="n">
        <v>408</v>
      </c>
      <c r="Q91" s="530" t="n"/>
      <c r="R91" s="530" t="n"/>
      <c r="S91" s="530" t="n"/>
      <c r="T91" s="530" t="n"/>
      <c r="U91" s="530" t="n">
        <v>2.73</v>
      </c>
      <c r="V91" s="530" t="n">
        <v>1.8</v>
      </c>
      <c r="W91" s="530" t="n"/>
      <c r="X91" s="530" t="n"/>
      <c r="Y91" s="530" t="n"/>
      <c r="Z91" s="530" t="n"/>
      <c r="AA91" s="530" t="n"/>
      <c r="AB91" s="530" t="n"/>
      <c r="AC91" s="530" t="n"/>
      <c r="AD91" s="530" t="n"/>
      <c r="AE91" s="530" t="n"/>
      <c r="AF91" s="530" t="n"/>
      <c r="AG91" s="530" t="n"/>
      <c r="AH91" s="530" t="n"/>
      <c r="AI91" s="530" t="n"/>
      <c r="AJ91" s="530" t="n"/>
      <c r="AK91" s="530" t="n"/>
      <c r="AL91" s="530" t="n"/>
    </row>
    <row r="92">
      <c r="A92" s="530" t="inlineStr">
        <is>
          <t>대방동</t>
        </is>
      </c>
      <c r="B92" s="530" t="n"/>
      <c r="C92" s="530" t="n"/>
      <c r="D92" s="530" t="n">
        <v>7677</v>
      </c>
      <c r="E92" s="531" t="inlineStr">
        <is>
          <t>대방대동</t>
        </is>
      </c>
      <c r="F92" s="530" t="n">
        <v>1992.09</v>
      </c>
      <c r="G92" s="530" t="n">
        <v>1835</v>
      </c>
      <c r="H92" s="530">
        <f>2026-F92+1</f>
        <v/>
      </c>
      <c r="I92" s="530" t="n"/>
      <c r="J92" s="530" t="n">
        <v>100</v>
      </c>
      <c r="K92" s="530" t="n">
        <v>84</v>
      </c>
      <c r="L92" s="530" t="n">
        <v>30</v>
      </c>
      <c r="M92" s="530" t="inlineStr">
        <is>
          <t>계단식</t>
        </is>
      </c>
      <c r="N92" s="530" t="n">
        <v>3</v>
      </c>
      <c r="O92" s="530" t="n">
        <v>2</v>
      </c>
      <c r="P92" s="530" t="n">
        <v>570</v>
      </c>
      <c r="Q92" s="530" t="n"/>
      <c r="R92" s="530" t="n"/>
      <c r="S92" s="530" t="n"/>
      <c r="T92" s="530" t="n"/>
      <c r="U92" s="530" t="n">
        <v>3.77</v>
      </c>
      <c r="V92" s="530" t="n">
        <v>2.65</v>
      </c>
      <c r="W92" s="530" t="n"/>
      <c r="X92" s="530" t="n"/>
      <c r="Y92" s="530" t="n"/>
      <c r="Z92" s="530" t="n"/>
      <c r="AA92" s="530" t="n"/>
      <c r="AB92" s="530" t="n"/>
      <c r="AC92" s="530" t="n"/>
      <c r="AD92" s="530" t="n"/>
      <c r="AE92" s="530" t="n"/>
      <c r="AF92" s="530" t="n"/>
      <c r="AG92" s="530" t="n"/>
      <c r="AH92" s="530" t="n"/>
      <c r="AI92" s="530" t="n"/>
      <c r="AJ92" s="530" t="n"/>
      <c r="AK92" s="530" t="n"/>
      <c r="AL92" s="530" t="n"/>
    </row>
    <row r="93">
      <c r="A93" s="530" t="inlineStr">
        <is>
          <t>대방동</t>
        </is>
      </c>
      <c r="B93" s="530" t="n"/>
      <c r="C93" s="530" t="n"/>
      <c r="D93" s="530" t="n">
        <v>7677</v>
      </c>
      <c r="E93" s="531" t="inlineStr">
        <is>
          <t>대방대동</t>
        </is>
      </c>
      <c r="F93" s="530" t="n">
        <v>1992.09</v>
      </c>
      <c r="G93" s="530" t="n">
        <v>1835</v>
      </c>
      <c r="H93" s="530">
        <f>2026-F93+1</f>
        <v/>
      </c>
      <c r="I93" s="530" t="n"/>
      <c r="J93" s="530" t="n">
        <v>146</v>
      </c>
      <c r="K93" s="530" t="n">
        <v>126</v>
      </c>
      <c r="L93" s="530" t="n">
        <v>44</v>
      </c>
      <c r="M93" s="530" t="inlineStr">
        <is>
          <t>계단식</t>
        </is>
      </c>
      <c r="N93" s="530" t="n">
        <v>4</v>
      </c>
      <c r="O93" s="530" t="n">
        <v>2</v>
      </c>
      <c r="P93" s="530" t="n">
        <v>90</v>
      </c>
      <c r="Q93" s="530" t="n"/>
      <c r="R93" s="530" t="n"/>
      <c r="S93" s="530" t="n"/>
      <c r="T93" s="530" t="n"/>
      <c r="U93" s="530" t="n">
        <v>4.49</v>
      </c>
      <c r="V93" s="530" t="n">
        <v>3.8</v>
      </c>
      <c r="W93" s="530" t="n"/>
      <c r="X93" s="530" t="n"/>
      <c r="Y93" s="530" t="n"/>
      <c r="Z93" s="530" t="n"/>
      <c r="AA93" s="530" t="n"/>
      <c r="AB93" s="530" t="n"/>
      <c r="AC93" s="530" t="n"/>
      <c r="AD93" s="530" t="n"/>
      <c r="AE93" s="530" t="n"/>
      <c r="AF93" s="530" t="n"/>
      <c r="AG93" s="530" t="n"/>
      <c r="AH93" s="530" t="n"/>
      <c r="AI93" s="530" t="n"/>
      <c r="AJ93" s="530" t="n"/>
      <c r="AK93" s="530" t="n"/>
      <c r="AL93" s="530" t="n"/>
    </row>
    <row r="94">
      <c r="A94" s="339" t="inlineStr">
        <is>
          <t>대방동</t>
        </is>
      </c>
      <c r="D94" s="339" t="n">
        <v>100888</v>
      </c>
      <c r="E94" s="532" t="inlineStr">
        <is>
          <t>대방대동황토방</t>
        </is>
      </c>
      <c r="F94" s="339" t="n">
        <v>2001.05</v>
      </c>
      <c r="G94" s="339" t="n">
        <v>708</v>
      </c>
      <c r="H94" s="339">
        <f>2026-F94+1</f>
        <v/>
      </c>
      <c r="J94" s="339" t="n">
        <v>84</v>
      </c>
      <c r="K94" s="339" t="n">
        <v>59</v>
      </c>
      <c r="L94" s="339" t="n">
        <v>25</v>
      </c>
      <c r="M94" s="339" t="inlineStr">
        <is>
          <t>계단식</t>
        </is>
      </c>
      <c r="N94" s="339" t="n">
        <v>3</v>
      </c>
      <c r="O94" s="339" t="n">
        <v>1</v>
      </c>
      <c r="P94" s="339" t="n">
        <v>312</v>
      </c>
      <c r="U94" t="n">
        <v>3.4</v>
      </c>
      <c r="V94" t="n">
        <v>2.45</v>
      </c>
    </row>
    <row r="95">
      <c r="A95" s="339" t="inlineStr">
        <is>
          <t>대방동</t>
        </is>
      </c>
      <c r="D95" s="339" t="n">
        <v>100888</v>
      </c>
      <c r="E95" s="532" t="inlineStr">
        <is>
          <t>대방대동황토방</t>
        </is>
      </c>
      <c r="F95" s="339" t="n">
        <v>2001.05</v>
      </c>
      <c r="G95" s="339" t="n">
        <v>708</v>
      </c>
      <c r="H95" s="339">
        <f>2026-F95+1</f>
        <v/>
      </c>
      <c r="J95" s="339" t="n">
        <v>112</v>
      </c>
      <c r="K95" s="339" t="n">
        <v>84</v>
      </c>
      <c r="L95" s="339" t="n">
        <v>34</v>
      </c>
      <c r="M95" s="339" t="inlineStr">
        <is>
          <t>계단식</t>
        </is>
      </c>
      <c r="N95" s="339" t="n">
        <v>3</v>
      </c>
      <c r="O95" s="339" t="n">
        <v>2</v>
      </c>
      <c r="P95" s="339" t="n">
        <v>324</v>
      </c>
      <c r="U95" t="n">
        <v>4.32</v>
      </c>
      <c r="V95" t="n">
        <v>3.65</v>
      </c>
    </row>
    <row r="96">
      <c r="A96" s="339" t="inlineStr">
        <is>
          <t>대방동</t>
        </is>
      </c>
      <c r="D96" s="339" t="n">
        <v>100888</v>
      </c>
      <c r="E96" s="532" t="inlineStr">
        <is>
          <t>대방대동황토방</t>
        </is>
      </c>
      <c r="F96" s="339" t="n">
        <v>2001.05</v>
      </c>
      <c r="G96" s="339" t="n">
        <v>708</v>
      </c>
      <c r="H96" s="339">
        <f>2026-F96+1</f>
        <v/>
      </c>
      <c r="J96" s="339" t="n">
        <v>148</v>
      </c>
      <c r="K96" s="339" t="n">
        <v>114</v>
      </c>
      <c r="L96" s="339" t="n">
        <v>45</v>
      </c>
      <c r="M96" s="339" t="inlineStr">
        <is>
          <t>계단식</t>
        </is>
      </c>
      <c r="N96" s="339" t="n">
        <v>4</v>
      </c>
      <c r="O96" s="339" t="n">
        <v>2</v>
      </c>
      <c r="P96" s="339" t="n">
        <v>72</v>
      </c>
      <c r="U96" t="n">
        <v>4.98</v>
      </c>
      <c r="V96" t="n">
        <v>3.67</v>
      </c>
    </row>
    <row r="97">
      <c r="A97" s="530" t="inlineStr">
        <is>
          <t>대방동</t>
        </is>
      </c>
      <c r="B97" s="530" t="n"/>
      <c r="C97" s="530" t="n"/>
      <c r="D97" s="530" t="n">
        <v>7695</v>
      </c>
      <c r="E97" s="531" t="inlineStr">
        <is>
          <t>대방덕산타운</t>
        </is>
      </c>
      <c r="F97" s="530" t="n">
        <v>1992.07</v>
      </c>
      <c r="G97" s="530" t="n">
        <v>920</v>
      </c>
      <c r="H97" s="530">
        <f>2026-F97+1</f>
        <v/>
      </c>
      <c r="I97" s="530" t="n"/>
      <c r="J97" s="530" t="n">
        <v>69</v>
      </c>
      <c r="K97" s="530" t="n">
        <v>49</v>
      </c>
      <c r="L97" s="530" t="n">
        <v>21</v>
      </c>
      <c r="M97" s="530" t="inlineStr">
        <is>
          <t>계단식</t>
        </is>
      </c>
      <c r="N97" s="530" t="n">
        <v>3</v>
      </c>
      <c r="O97" s="530" t="n">
        <v>1</v>
      </c>
      <c r="P97" s="530" t="n">
        <v>380</v>
      </c>
      <c r="Q97" s="530" t="n"/>
      <c r="R97" s="530" t="n"/>
      <c r="S97" s="530" t="n"/>
      <c r="T97" s="530" t="n"/>
      <c r="U97" s="530" t="n">
        <v>1.87</v>
      </c>
      <c r="V97" s="530" t="n">
        <v>0.82</v>
      </c>
      <c r="W97" s="530" t="n"/>
      <c r="X97" s="530" t="n"/>
      <c r="Y97" s="530" t="n"/>
      <c r="Z97" s="530" t="n"/>
      <c r="AA97" s="530" t="n"/>
      <c r="AB97" s="530" t="n"/>
      <c r="AC97" s="530" t="n"/>
      <c r="AD97" s="530" t="n"/>
      <c r="AE97" s="530" t="n"/>
      <c r="AF97" s="530" t="n"/>
      <c r="AG97" s="530" t="n"/>
      <c r="AH97" s="530" t="n"/>
      <c r="AI97" s="530" t="n"/>
      <c r="AJ97" s="530" t="n"/>
      <c r="AK97" s="530" t="n"/>
      <c r="AL97" s="530" t="n"/>
    </row>
    <row r="98">
      <c r="A98" s="530" t="inlineStr">
        <is>
          <t>대방동</t>
        </is>
      </c>
      <c r="B98" s="530" t="n"/>
      <c r="C98" s="530" t="n"/>
      <c r="D98" s="530" t="n">
        <v>7695</v>
      </c>
      <c r="E98" s="531" t="inlineStr">
        <is>
          <t>대방덕산타운</t>
        </is>
      </c>
      <c r="F98" s="530" t="n">
        <v>1992.07</v>
      </c>
      <c r="G98" s="530" t="n">
        <v>920</v>
      </c>
      <c r="H98" s="530">
        <f>2026-F98+1</f>
        <v/>
      </c>
      <c r="I98" s="530" t="n"/>
      <c r="J98" s="530" t="n">
        <v>74</v>
      </c>
      <c r="K98" s="530" t="n">
        <v>59</v>
      </c>
      <c r="L98" s="530" t="n">
        <v>22</v>
      </c>
      <c r="M98" s="530" t="inlineStr">
        <is>
          <t>계단식</t>
        </is>
      </c>
      <c r="N98" s="530" t="n">
        <v>3</v>
      </c>
      <c r="O98" s="530" t="n">
        <v>1</v>
      </c>
      <c r="P98" s="530" t="n">
        <v>150</v>
      </c>
      <c r="Q98" s="530" t="n"/>
      <c r="R98" s="530" t="n"/>
      <c r="S98" s="530" t="n"/>
      <c r="T98" s="530" t="n"/>
      <c r="U98" s="530" t="n">
        <v>2.15</v>
      </c>
      <c r="V98" s="530" t="n">
        <v>1.41</v>
      </c>
      <c r="W98" s="530" t="n"/>
      <c r="X98" s="530" t="n"/>
      <c r="Y98" s="530" t="n"/>
      <c r="Z98" s="530" t="n"/>
      <c r="AA98" s="530" t="n"/>
      <c r="AB98" s="530" t="n"/>
      <c r="AC98" s="530" t="n"/>
      <c r="AD98" s="530" t="n"/>
      <c r="AE98" s="530" t="n"/>
      <c r="AF98" s="530" t="n"/>
      <c r="AG98" s="530" t="n"/>
      <c r="AH98" s="530" t="n"/>
      <c r="AI98" s="530" t="n"/>
      <c r="AJ98" s="530" t="n"/>
      <c r="AK98" s="530" t="n"/>
      <c r="AL98" s="530" t="n"/>
    </row>
    <row r="99">
      <c r="A99" s="530" t="inlineStr">
        <is>
          <t>대방동</t>
        </is>
      </c>
      <c r="B99" s="530" t="n"/>
      <c r="C99" s="530" t="n"/>
      <c r="D99" s="530" t="n">
        <v>7695</v>
      </c>
      <c r="E99" s="531" t="inlineStr">
        <is>
          <t>대방덕산타운</t>
        </is>
      </c>
      <c r="F99" s="530" t="n">
        <v>1992.07</v>
      </c>
      <c r="G99" s="530" t="n">
        <v>920</v>
      </c>
      <c r="H99" s="530">
        <f>2026-F99+1</f>
        <v/>
      </c>
      <c r="I99" s="530" t="n"/>
      <c r="J99" s="530" t="n">
        <v>75</v>
      </c>
      <c r="K99" s="530" t="n">
        <v>59</v>
      </c>
      <c r="L99" s="530" t="n">
        <v>23</v>
      </c>
      <c r="M99" s="530" t="inlineStr">
        <is>
          <t>계단식</t>
        </is>
      </c>
      <c r="N99" s="530" t="n">
        <v>2</v>
      </c>
      <c r="O99" s="530" t="n">
        <v>1</v>
      </c>
      <c r="P99" s="530" t="n">
        <v>90</v>
      </c>
      <c r="Q99" s="530" t="n"/>
      <c r="R99" s="530" t="n"/>
      <c r="S99" s="530" t="n"/>
      <c r="T99" s="530" t="n"/>
      <c r="U99" s="530" t="n">
        <v>2.15</v>
      </c>
      <c r="V99" s="530" t="n">
        <v>1.41</v>
      </c>
      <c r="W99" s="530" t="n"/>
      <c r="X99" s="530" t="n"/>
      <c r="Y99" s="530" t="n"/>
      <c r="Z99" s="530" t="n"/>
      <c r="AA99" s="530" t="n"/>
      <c r="AB99" s="530" t="n"/>
      <c r="AC99" s="530" t="n"/>
      <c r="AD99" s="530" t="n"/>
      <c r="AE99" s="530" t="n"/>
      <c r="AF99" s="530" t="n"/>
      <c r="AG99" s="530" t="n"/>
      <c r="AH99" s="530" t="n"/>
      <c r="AI99" s="530" t="n"/>
      <c r="AJ99" s="530" t="n"/>
      <c r="AK99" s="530" t="n"/>
      <c r="AL99" s="530" t="n"/>
    </row>
    <row r="100">
      <c r="A100" s="530" t="inlineStr">
        <is>
          <t>대방동</t>
        </is>
      </c>
      <c r="B100" s="530" t="n"/>
      <c r="C100" s="530" t="n"/>
      <c r="D100" s="530" t="n">
        <v>7695</v>
      </c>
      <c r="E100" s="531" t="inlineStr">
        <is>
          <t>대방덕산타운</t>
        </is>
      </c>
      <c r="F100" s="530" t="n">
        <v>1992.07</v>
      </c>
      <c r="G100" s="530" t="n">
        <v>920</v>
      </c>
      <c r="H100" s="530">
        <f>2026-F100+1</f>
        <v/>
      </c>
      <c r="I100" s="530" t="n"/>
      <c r="J100" s="530" t="n">
        <v>101</v>
      </c>
      <c r="K100" s="530" t="n">
        <v>84</v>
      </c>
      <c r="L100" s="530" t="n">
        <v>31</v>
      </c>
      <c r="M100" s="530" t="inlineStr">
        <is>
          <t>계단식</t>
        </is>
      </c>
      <c r="N100" s="530" t="n">
        <v>3</v>
      </c>
      <c r="O100" s="530" t="n">
        <v>2</v>
      </c>
      <c r="P100" s="530" t="n">
        <v>240</v>
      </c>
      <c r="Q100" s="530" t="n"/>
      <c r="R100" s="530" t="n"/>
      <c r="S100" s="530" t="n"/>
      <c r="T100" s="530" t="n"/>
      <c r="U100" s="530" t="n">
        <v>3.2</v>
      </c>
      <c r="V100" s="530" t="n">
        <v>2.35</v>
      </c>
      <c r="W100" s="530" t="n"/>
      <c r="X100" s="530" t="n"/>
      <c r="Y100" s="530" t="n"/>
      <c r="Z100" s="530" t="n"/>
      <c r="AA100" s="530" t="n"/>
      <c r="AB100" s="530" t="n"/>
      <c r="AC100" s="530" t="n"/>
      <c r="AD100" s="530" t="n"/>
      <c r="AE100" s="530" t="n"/>
      <c r="AF100" s="530" t="n"/>
      <c r="AG100" s="530" t="n"/>
      <c r="AH100" s="530" t="n"/>
      <c r="AI100" s="530" t="n"/>
      <c r="AJ100" s="530" t="n"/>
      <c r="AK100" s="530" t="n"/>
      <c r="AL100" s="530" t="n"/>
    </row>
    <row r="101">
      <c r="A101" s="530" t="inlineStr">
        <is>
          <t>대방동</t>
        </is>
      </c>
      <c r="B101" s="530" t="n"/>
      <c r="C101" s="530" t="n"/>
      <c r="D101" s="530" t="n">
        <v>7695</v>
      </c>
      <c r="E101" s="531" t="inlineStr">
        <is>
          <t>대방덕산타운</t>
        </is>
      </c>
      <c r="F101" s="530" t="n">
        <v>1992.07</v>
      </c>
      <c r="G101" s="530" t="n">
        <v>920</v>
      </c>
      <c r="H101" s="530">
        <f>2026-F101+1</f>
        <v/>
      </c>
      <c r="I101" s="530" t="n"/>
      <c r="J101" s="530" t="n">
        <v>153</v>
      </c>
      <c r="K101" s="530" t="n">
        <v>131</v>
      </c>
      <c r="L101" s="530" t="n">
        <v>46</v>
      </c>
      <c r="M101" s="530" t="inlineStr">
        <is>
          <t>계단식</t>
        </is>
      </c>
      <c r="N101" s="530" t="n">
        <v>4</v>
      </c>
      <c r="O101" s="530" t="n">
        <v>2</v>
      </c>
      <c r="P101" s="530" t="n">
        <v>60</v>
      </c>
      <c r="Q101" s="530" t="n"/>
      <c r="R101" s="530" t="n"/>
      <c r="S101" s="530" t="n"/>
      <c r="T101" s="530" t="n"/>
      <c r="U101" s="530" t="n">
        <v>3.7</v>
      </c>
      <c r="V101" s="530" t="n">
        <v>3.1</v>
      </c>
      <c r="W101" s="530" t="n"/>
      <c r="X101" s="530" t="n"/>
      <c r="Y101" s="530" t="n"/>
      <c r="Z101" s="530" t="n"/>
      <c r="AA101" s="530" t="n"/>
      <c r="AB101" s="530" t="n"/>
      <c r="AC101" s="530" t="n"/>
      <c r="AD101" s="530" t="n"/>
      <c r="AE101" s="530" t="n"/>
      <c r="AF101" s="530" t="n"/>
      <c r="AG101" s="530" t="n"/>
      <c r="AH101" s="530" t="n"/>
      <c r="AI101" s="530" t="n"/>
      <c r="AJ101" s="530" t="n"/>
      <c r="AK101" s="530" t="n"/>
      <c r="AL101" s="530" t="n"/>
    </row>
    <row r="102">
      <c r="A102" s="339" t="inlineStr">
        <is>
          <t>대방동</t>
        </is>
      </c>
      <c r="D102" s="339" t="n">
        <v>7685</v>
      </c>
      <c r="E102" s="532" t="inlineStr">
        <is>
          <t>대방덕산타운2차</t>
        </is>
      </c>
      <c r="F102" s="339" t="n">
        <v>1996.02</v>
      </c>
      <c r="G102" s="339" t="n">
        <v>586</v>
      </c>
      <c r="H102" s="339">
        <f>2026-F102+1</f>
        <v/>
      </c>
      <c r="J102" s="339" t="n">
        <v>78</v>
      </c>
      <c r="K102" s="339" t="n">
        <v>59</v>
      </c>
      <c r="L102" s="339" t="n">
        <v>24</v>
      </c>
      <c r="M102" s="339" t="inlineStr">
        <is>
          <t>계단식</t>
        </is>
      </c>
      <c r="N102" s="339" t="n">
        <v>3</v>
      </c>
      <c r="O102" s="339" t="n">
        <v>1</v>
      </c>
      <c r="P102" s="339" t="n">
        <v>238</v>
      </c>
      <c r="U102" t="n">
        <v>2.7</v>
      </c>
      <c r="V102" t="n">
        <v>2.1</v>
      </c>
    </row>
    <row r="103">
      <c r="A103" s="339" t="inlineStr">
        <is>
          <t>대방동</t>
        </is>
      </c>
      <c r="D103" s="339" t="n">
        <v>7685</v>
      </c>
      <c r="E103" s="532" t="inlineStr">
        <is>
          <t>대방덕산타운2차</t>
        </is>
      </c>
      <c r="F103" s="339" t="n">
        <v>1996.02</v>
      </c>
      <c r="G103" s="339" t="n">
        <v>586</v>
      </c>
      <c r="H103" s="339">
        <f>2026-F103+1</f>
        <v/>
      </c>
      <c r="J103" s="339" t="n">
        <v>91</v>
      </c>
      <c r="K103" s="339" t="n">
        <v>71</v>
      </c>
      <c r="L103" s="339" t="n">
        <v>28</v>
      </c>
      <c r="M103" s="339" t="inlineStr">
        <is>
          <t>계단식</t>
        </is>
      </c>
      <c r="N103" s="339" t="n">
        <v>3</v>
      </c>
      <c r="O103" s="339" t="n">
        <v>1</v>
      </c>
      <c r="P103" s="339" t="n">
        <v>120</v>
      </c>
      <c r="U103" t="n">
        <v>3.05</v>
      </c>
      <c r="V103" t="n">
        <v>2.73</v>
      </c>
    </row>
    <row r="104">
      <c r="A104" s="339" t="inlineStr">
        <is>
          <t>대방동</t>
        </is>
      </c>
      <c r="D104" s="339" t="n">
        <v>7685</v>
      </c>
      <c r="E104" s="532" t="inlineStr">
        <is>
          <t>대방덕산타운2차</t>
        </is>
      </c>
      <c r="F104" s="339" t="n">
        <v>1996.02</v>
      </c>
      <c r="G104" s="339" t="n">
        <v>586</v>
      </c>
      <c r="H104" s="339">
        <f>2026-F104+1</f>
        <v/>
      </c>
      <c r="J104" s="339" t="n">
        <v>105</v>
      </c>
      <c r="K104" s="339" t="n">
        <v>84</v>
      </c>
      <c r="L104" s="339" t="n">
        <v>32</v>
      </c>
      <c r="M104" s="339" t="inlineStr">
        <is>
          <t>계단식</t>
        </is>
      </c>
      <c r="N104" s="339" t="n">
        <v>3</v>
      </c>
      <c r="O104" s="339" t="n">
        <v>2</v>
      </c>
      <c r="P104" s="339" t="n">
        <v>228</v>
      </c>
      <c r="U104" t="n">
        <v>3.83</v>
      </c>
      <c r="V104" t="n">
        <v>3</v>
      </c>
    </row>
    <row r="105">
      <c r="A105" s="530" t="inlineStr">
        <is>
          <t>대방동</t>
        </is>
      </c>
      <c r="B105" s="530" t="n"/>
      <c r="C105" s="530" t="n"/>
      <c r="D105" s="530" t="n">
        <v>7693</v>
      </c>
      <c r="E105" s="531" t="inlineStr">
        <is>
          <t>대방동성</t>
        </is>
      </c>
      <c r="F105" s="530" t="n">
        <v>1996.05</v>
      </c>
      <c r="G105" s="530" t="n">
        <v>556</v>
      </c>
      <c r="H105" s="530">
        <f>2026-F105+1</f>
        <v/>
      </c>
      <c r="I105" s="530" t="n"/>
      <c r="J105" s="530" t="n">
        <v>76</v>
      </c>
      <c r="K105" s="530" t="n">
        <v>60</v>
      </c>
      <c r="L105" s="530" t="n">
        <v>23</v>
      </c>
      <c r="M105" s="530" t="inlineStr">
        <is>
          <t>계단식</t>
        </is>
      </c>
      <c r="N105" s="530" t="n">
        <v>3</v>
      </c>
      <c r="O105" s="530" t="n">
        <v>1</v>
      </c>
      <c r="P105" s="530" t="n">
        <v>238</v>
      </c>
      <c r="Q105" s="530" t="n"/>
      <c r="R105" s="530" t="n"/>
      <c r="S105" s="530" t="n"/>
      <c r="T105" s="530" t="n"/>
      <c r="U105" s="530" t="n">
        <v>2.8</v>
      </c>
      <c r="V105" s="530" t="n">
        <v>2.2</v>
      </c>
      <c r="W105" s="530" t="n"/>
      <c r="X105" s="530" t="n"/>
      <c r="Y105" s="530" t="n"/>
      <c r="Z105" s="530" t="n"/>
      <c r="AA105" s="530" t="n"/>
      <c r="AB105" s="530" t="n"/>
      <c r="AC105" s="530" t="n"/>
      <c r="AD105" s="530" t="n"/>
      <c r="AE105" s="530" t="n"/>
      <c r="AF105" s="530" t="n"/>
      <c r="AG105" s="530" t="n"/>
      <c r="AH105" s="530" t="n"/>
      <c r="AI105" s="530" t="n"/>
      <c r="AJ105" s="530" t="n"/>
      <c r="AK105" s="530" t="n"/>
      <c r="AL105" s="530" t="n"/>
    </row>
    <row r="106">
      <c r="A106" s="530" t="inlineStr">
        <is>
          <t>대방동</t>
        </is>
      </c>
      <c r="B106" s="530" t="n"/>
      <c r="C106" s="530" t="n"/>
      <c r="D106" s="530" t="n">
        <v>7693</v>
      </c>
      <c r="E106" s="531" t="inlineStr">
        <is>
          <t>대방동성</t>
        </is>
      </c>
      <c r="F106" s="530" t="n">
        <v>1996.05</v>
      </c>
      <c r="G106" s="530" t="n">
        <v>556</v>
      </c>
      <c r="H106" s="530">
        <f>2026-F106+1</f>
        <v/>
      </c>
      <c r="I106" s="530" t="n"/>
      <c r="J106" s="530" t="n">
        <v>108</v>
      </c>
      <c r="K106" s="530" t="n">
        <v>84</v>
      </c>
      <c r="L106" s="530" t="n">
        <v>33</v>
      </c>
      <c r="M106" s="530" t="inlineStr">
        <is>
          <t>계단식</t>
        </is>
      </c>
      <c r="N106" s="530" t="n">
        <v>3</v>
      </c>
      <c r="O106" s="530" t="n">
        <v>2</v>
      </c>
      <c r="P106" s="530" t="n">
        <v>198</v>
      </c>
      <c r="Q106" s="530" t="n"/>
      <c r="R106" s="530" t="n"/>
      <c r="S106" s="530" t="n"/>
      <c r="T106" s="530" t="n"/>
      <c r="U106" s="530" t="n">
        <v>3.85</v>
      </c>
      <c r="V106" s="530" t="n">
        <v>3</v>
      </c>
      <c r="W106" s="530" t="n"/>
      <c r="X106" s="530" t="n"/>
      <c r="Y106" s="530" t="n"/>
      <c r="Z106" s="530" t="n"/>
      <c r="AA106" s="530" t="n"/>
      <c r="AB106" s="530" t="n"/>
      <c r="AC106" s="530" t="n"/>
      <c r="AD106" s="530" t="n"/>
      <c r="AE106" s="530" t="n"/>
      <c r="AF106" s="530" t="n"/>
      <c r="AG106" s="530" t="n"/>
      <c r="AH106" s="530" t="n"/>
      <c r="AI106" s="530" t="n"/>
      <c r="AJ106" s="530" t="n"/>
      <c r="AK106" s="530" t="n"/>
      <c r="AL106" s="530" t="n"/>
    </row>
    <row r="107">
      <c r="A107" s="530" t="inlineStr">
        <is>
          <t>대방동</t>
        </is>
      </c>
      <c r="B107" s="530" t="n"/>
      <c r="C107" s="530" t="n"/>
      <c r="D107" s="530" t="n">
        <v>7693</v>
      </c>
      <c r="E107" s="531" t="inlineStr">
        <is>
          <t>대방동성</t>
        </is>
      </c>
      <c r="F107" s="530" t="n">
        <v>1996.05</v>
      </c>
      <c r="G107" s="530" t="n">
        <v>556</v>
      </c>
      <c r="H107" s="530">
        <f>2026-F107+1</f>
        <v/>
      </c>
      <c r="I107" s="530" t="n"/>
      <c r="J107" s="530" t="n">
        <v>129</v>
      </c>
      <c r="K107" s="530" t="n">
        <v>101</v>
      </c>
      <c r="L107" s="530" t="n">
        <v>39</v>
      </c>
      <c r="M107" s="530" t="inlineStr">
        <is>
          <t>계단식</t>
        </is>
      </c>
      <c r="N107" s="530" t="n">
        <v>4</v>
      </c>
      <c r="O107" s="530" t="n">
        <v>2</v>
      </c>
      <c r="P107" s="530" t="n">
        <v>120</v>
      </c>
      <c r="Q107" s="530" t="n"/>
      <c r="R107" s="530" t="n"/>
      <c r="S107" s="530" t="n"/>
      <c r="T107" s="530" t="n"/>
      <c r="U107" s="530" t="n">
        <v>4</v>
      </c>
      <c r="V107" s="530" t="n">
        <v>2.96</v>
      </c>
      <c r="W107" s="530" t="n"/>
      <c r="X107" s="530" t="n"/>
      <c r="Y107" s="530" t="n"/>
      <c r="Z107" s="530" t="n"/>
      <c r="AA107" s="530" t="n"/>
      <c r="AB107" s="530" t="n"/>
      <c r="AC107" s="530" t="n"/>
      <c r="AD107" s="530" t="n"/>
      <c r="AE107" s="530" t="n"/>
      <c r="AF107" s="530" t="n"/>
      <c r="AG107" s="530" t="n"/>
      <c r="AH107" s="530" t="n"/>
      <c r="AI107" s="530" t="n"/>
      <c r="AJ107" s="530" t="n"/>
      <c r="AK107" s="530" t="n"/>
      <c r="AL107" s="530" t="n"/>
    </row>
    <row r="108">
      <c r="A108" s="339" t="inlineStr">
        <is>
          <t>대방동</t>
        </is>
      </c>
      <c r="D108" s="339" t="n">
        <v>106374</v>
      </c>
      <c r="E108" s="532" t="inlineStr">
        <is>
          <t>성원남산3차(301~308동)</t>
        </is>
      </c>
      <c r="F108" s="339" t="n">
        <v>1992.11</v>
      </c>
      <c r="G108" s="339" t="n">
        <v>1397</v>
      </c>
      <c r="H108" s="339">
        <f>2026-F108+1</f>
        <v/>
      </c>
      <c r="J108" s="339" t="n">
        <v>68</v>
      </c>
      <c r="K108" s="339" t="n">
        <v>49</v>
      </c>
      <c r="L108" s="339" t="n">
        <v>21</v>
      </c>
      <c r="M108" s="339" t="inlineStr">
        <is>
          <t>복도식</t>
        </is>
      </c>
      <c r="N108" s="339" t="n">
        <v>3</v>
      </c>
      <c r="O108" s="339" t="n">
        <v>1</v>
      </c>
      <c r="P108" s="339" t="n">
        <v>159</v>
      </c>
      <c r="U108" t="n">
        <v>1.87</v>
      </c>
      <c r="V108" t="n">
        <v>0.82</v>
      </c>
    </row>
    <row r="109">
      <c r="A109" s="339" t="inlineStr">
        <is>
          <t>대방동</t>
        </is>
      </c>
      <c r="D109" s="339" t="n">
        <v>106374</v>
      </c>
      <c r="E109" s="532" t="inlineStr">
        <is>
          <t>성원남산3차(301~308동)</t>
        </is>
      </c>
      <c r="F109" s="339" t="n">
        <v>1992.11</v>
      </c>
      <c r="G109" s="339" t="n">
        <v>1397</v>
      </c>
      <c r="H109" s="339">
        <f>2026-F109+1</f>
        <v/>
      </c>
      <c r="J109" s="339" t="n">
        <v>80</v>
      </c>
      <c r="K109" s="339" t="n">
        <v>59</v>
      </c>
      <c r="L109" s="339" t="n">
        <v>24</v>
      </c>
      <c r="M109" s="339" t="inlineStr">
        <is>
          <t>복도식</t>
        </is>
      </c>
      <c r="N109" s="339" t="n">
        <v>3</v>
      </c>
      <c r="O109" s="339" t="n">
        <v>1</v>
      </c>
      <c r="P109" s="339" t="n">
        <v>479</v>
      </c>
      <c r="U109" t="n">
        <v>2.15</v>
      </c>
      <c r="V109" t="n">
        <v>1.41</v>
      </c>
    </row>
    <row r="110">
      <c r="A110" s="339" t="inlineStr">
        <is>
          <t>대방동</t>
        </is>
      </c>
      <c r="D110" s="339" t="n">
        <v>106374</v>
      </c>
      <c r="E110" s="532" t="inlineStr">
        <is>
          <t>성원남산3차(301~308동)</t>
        </is>
      </c>
      <c r="F110" s="339" t="n">
        <v>1992.11</v>
      </c>
      <c r="G110" s="339" t="n">
        <v>1397</v>
      </c>
      <c r="H110" s="339">
        <f>2026-F110+1</f>
        <v/>
      </c>
      <c r="J110" s="339" t="n">
        <v>105</v>
      </c>
      <c r="K110" s="339" t="n">
        <v>84</v>
      </c>
      <c r="L110" s="339" t="n">
        <v>32</v>
      </c>
      <c r="M110" s="339" t="inlineStr">
        <is>
          <t>계단식</t>
        </is>
      </c>
      <c r="N110" s="339" t="n">
        <v>3</v>
      </c>
      <c r="O110" s="339" t="n">
        <v>2</v>
      </c>
      <c r="P110" s="339" t="n">
        <v>759</v>
      </c>
      <c r="U110" t="n">
        <v>3.2</v>
      </c>
      <c r="V110" t="n">
        <v>2.35</v>
      </c>
    </row>
    <row r="111">
      <c r="A111" s="530" t="inlineStr">
        <is>
          <t>대방동</t>
        </is>
      </c>
      <c r="B111" s="530" t="n"/>
      <c r="C111" s="530" t="n"/>
      <c r="D111" s="530" t="n">
        <v>7688</v>
      </c>
      <c r="E111" s="531" t="inlineStr">
        <is>
          <t>성원남산3차(309~311동)</t>
        </is>
      </c>
      <c r="F111" s="530" t="n">
        <v>1992.11</v>
      </c>
      <c r="G111" s="530" t="n">
        <v>1017</v>
      </c>
      <c r="H111" s="530">
        <f>2026-F111+1</f>
        <v/>
      </c>
      <c r="I111" s="530" t="n"/>
      <c r="J111" s="530" t="n">
        <v>61</v>
      </c>
      <c r="K111" s="530" t="n">
        <v>47</v>
      </c>
      <c r="L111" s="530" t="n">
        <v>18</v>
      </c>
      <c r="M111" s="530" t="inlineStr">
        <is>
          <t>복도식</t>
        </is>
      </c>
      <c r="N111" s="530" t="n">
        <v>2</v>
      </c>
      <c r="O111" s="530" t="n">
        <v>1</v>
      </c>
      <c r="P111" s="530" t="n">
        <v>1017</v>
      </c>
      <c r="Q111" s="530" t="n"/>
      <c r="R111" s="530" t="n"/>
      <c r="S111" s="530" t="n"/>
      <c r="T111" s="530" t="n"/>
      <c r="U111" s="530" t="n">
        <v>1.55</v>
      </c>
      <c r="V111" s="530" t="n">
        <v>0.82</v>
      </c>
      <c r="W111" s="530" t="n"/>
      <c r="X111" s="530" t="n"/>
      <c r="Y111" s="530" t="n"/>
      <c r="Z111" s="530" t="n"/>
      <c r="AA111" s="530" t="n"/>
      <c r="AB111" s="530" t="n"/>
      <c r="AC111" s="530" t="n"/>
      <c r="AD111" s="530" t="n"/>
      <c r="AE111" s="530" t="n"/>
      <c r="AF111" s="530" t="n"/>
      <c r="AG111" s="530" t="n"/>
      <c r="AH111" s="530" t="n"/>
      <c r="AI111" s="530" t="n"/>
      <c r="AJ111" s="530" t="n"/>
      <c r="AK111" s="530" t="n"/>
      <c r="AL111" s="530" t="n"/>
    </row>
    <row r="112">
      <c r="A112" s="339" t="inlineStr">
        <is>
          <t>대원동</t>
        </is>
      </c>
      <c r="D112" s="339" t="n">
        <v>7701</v>
      </c>
      <c r="E112" s="532" t="inlineStr">
        <is>
          <t>대원대동황토방1차</t>
        </is>
      </c>
      <c r="F112" s="339" t="n">
        <v>1999.04</v>
      </c>
      <c r="G112" s="339" t="n">
        <v>486</v>
      </c>
      <c r="H112" s="339">
        <f>2026-F112+1</f>
        <v/>
      </c>
      <c r="J112" s="339" t="n">
        <v>104</v>
      </c>
      <c r="K112" s="339" t="n">
        <v>84</v>
      </c>
      <c r="L112" s="339" t="n">
        <v>31</v>
      </c>
      <c r="M112" s="339" t="inlineStr">
        <is>
          <t>계단식</t>
        </is>
      </c>
      <c r="N112" s="339" t="n">
        <v>3</v>
      </c>
      <c r="O112" s="339" t="n">
        <v>2</v>
      </c>
      <c r="P112" s="339" t="n">
        <v>330</v>
      </c>
      <c r="U112" t="n">
        <v>2.59</v>
      </c>
      <c r="V112" t="n">
        <v>2.1</v>
      </c>
    </row>
    <row r="113">
      <c r="A113" s="339" t="inlineStr">
        <is>
          <t>대원동</t>
        </is>
      </c>
      <c r="D113" s="339" t="n">
        <v>7701</v>
      </c>
      <c r="E113" s="532" t="inlineStr">
        <is>
          <t>대원대동황토방1차</t>
        </is>
      </c>
      <c r="F113" s="339" t="n">
        <v>1999.04</v>
      </c>
      <c r="G113" s="339" t="n">
        <v>486</v>
      </c>
      <c r="H113" s="339">
        <f>2026-F113+1</f>
        <v/>
      </c>
      <c r="J113" s="339" t="n">
        <v>143</v>
      </c>
      <c r="K113" s="339" t="n">
        <v>120</v>
      </c>
      <c r="L113" s="339" t="n">
        <v>43</v>
      </c>
      <c r="M113" s="339" t="inlineStr">
        <is>
          <t>계단식</t>
        </is>
      </c>
      <c r="N113" s="339" t="n">
        <v>4</v>
      </c>
      <c r="O113" s="339" t="n">
        <v>2</v>
      </c>
      <c r="P113" s="339" t="n">
        <v>156</v>
      </c>
      <c r="U113" t="n">
        <v>3</v>
      </c>
      <c r="V113" t="n">
        <v>2.73</v>
      </c>
    </row>
    <row r="114">
      <c r="A114" s="530" t="inlineStr">
        <is>
          <t>대원동</t>
        </is>
      </c>
      <c r="B114" s="530" t="n"/>
      <c r="C114" s="530" t="n"/>
      <c r="D114" s="530" t="n">
        <v>15745</v>
      </c>
      <c r="E114" s="531" t="inlineStr">
        <is>
          <t>대원파크빌</t>
        </is>
      </c>
      <c r="F114" s="530" t="n">
        <v>1997.12</v>
      </c>
      <c r="G114" s="530" t="n">
        <v>603</v>
      </c>
      <c r="H114" s="530">
        <f>2026-F114+1</f>
        <v/>
      </c>
      <c r="I114" s="530" t="n"/>
      <c r="J114" s="530" t="n">
        <v>64</v>
      </c>
      <c r="K114" s="530" t="n">
        <v>52</v>
      </c>
      <c r="L114" s="530" t="n">
        <v>19</v>
      </c>
      <c r="M114" s="530" t="inlineStr">
        <is>
          <t>복도식</t>
        </is>
      </c>
      <c r="N114" s="530" t="n">
        <v>3</v>
      </c>
      <c r="O114" s="530" t="n">
        <v>1</v>
      </c>
      <c r="P114" s="530" t="n">
        <v>603</v>
      </c>
      <c r="Q114" s="530" t="n"/>
      <c r="R114" s="530" t="n"/>
      <c r="S114" s="530" t="n"/>
      <c r="T114" s="530" t="n"/>
      <c r="U114" s="530" t="n">
        <v>1.35</v>
      </c>
      <c r="V114" s="530" t="n">
        <v>1</v>
      </c>
      <c r="W114" s="530" t="n"/>
      <c r="X114" s="530" t="n"/>
      <c r="Y114" s="530" t="n"/>
      <c r="Z114" s="530" t="n"/>
      <c r="AA114" s="530" t="n"/>
      <c r="AB114" s="530" t="n"/>
      <c r="AC114" s="530" t="n"/>
      <c r="AD114" s="530" t="n"/>
      <c r="AE114" s="530" t="n"/>
      <c r="AF114" s="530" t="n"/>
      <c r="AG114" s="530" t="n"/>
      <c r="AH114" s="530" t="n"/>
      <c r="AI114" s="530" t="n"/>
      <c r="AJ114" s="530" t="n"/>
      <c r="AK114" s="530" t="n"/>
      <c r="AL114" s="530" t="n"/>
    </row>
    <row r="115">
      <c r="A115" s="339" t="inlineStr">
        <is>
          <t>대원동</t>
        </is>
      </c>
      <c r="D115" s="339" t="n">
        <v>153685</v>
      </c>
      <c r="E115" s="532" t="inlineStr">
        <is>
          <t>창원센트럴파크에일린의뜰</t>
        </is>
      </c>
      <c r="F115" s="339" t="n">
        <v>2025.06</v>
      </c>
      <c r="G115" s="339" t="n">
        <v>1470</v>
      </c>
      <c r="H115" s="339">
        <f>2026-F115+1</f>
        <v/>
      </c>
      <c r="J115" s="339" t="n">
        <v>82</v>
      </c>
      <c r="K115" s="339" t="n">
        <v>59</v>
      </c>
      <c r="L115" s="339" t="n">
        <v>25</v>
      </c>
      <c r="M115" s="339" t="inlineStr">
        <is>
          <t>계단식</t>
        </is>
      </c>
      <c r="N115" s="339" t="n">
        <v>3</v>
      </c>
      <c r="O115" s="339" t="n">
        <v>2</v>
      </c>
      <c r="P115" s="339" t="n">
        <v>172</v>
      </c>
    </row>
    <row r="116">
      <c r="A116" s="339" t="inlineStr">
        <is>
          <t>대원동</t>
        </is>
      </c>
      <c r="D116" s="339" t="n">
        <v>153685</v>
      </c>
      <c r="E116" s="532" t="inlineStr">
        <is>
          <t>창원센트럴파크에일린의뜰</t>
        </is>
      </c>
      <c r="F116" s="339" t="n">
        <v>2025.06</v>
      </c>
      <c r="G116" s="339" t="n">
        <v>1470</v>
      </c>
      <c r="H116" s="339">
        <f>2026-F116+1</f>
        <v/>
      </c>
      <c r="J116" s="339" t="n">
        <v>100</v>
      </c>
      <c r="K116" s="339" t="n">
        <v>75</v>
      </c>
      <c r="L116" s="339" t="n">
        <v>30</v>
      </c>
      <c r="M116" s="339" t="inlineStr">
        <is>
          <t>계단식</t>
        </is>
      </c>
      <c r="N116" s="339" t="n">
        <v>3</v>
      </c>
      <c r="O116" s="339" t="n">
        <v>2</v>
      </c>
      <c r="P116" s="339" t="n">
        <v>532</v>
      </c>
    </row>
    <row r="117">
      <c r="A117" s="339" t="inlineStr">
        <is>
          <t>대원동</t>
        </is>
      </c>
      <c r="D117" s="339" t="n">
        <v>153685</v>
      </c>
      <c r="E117" s="532" t="inlineStr">
        <is>
          <t>창원센트럴파크에일린의뜰</t>
        </is>
      </c>
      <c r="F117" s="339" t="n">
        <v>2025.06</v>
      </c>
      <c r="G117" s="339" t="n">
        <v>1470</v>
      </c>
      <c r="H117" s="339">
        <f>2026-F117+1</f>
        <v/>
      </c>
      <c r="J117" s="339" t="n">
        <v>101</v>
      </c>
      <c r="K117" s="339" t="n">
        <v>75</v>
      </c>
      <c r="L117" s="339" t="n">
        <v>31</v>
      </c>
      <c r="M117" s="339" t="inlineStr">
        <is>
          <t>계단식</t>
        </is>
      </c>
      <c r="N117" s="339" t="n">
        <v>4</v>
      </c>
      <c r="O117" s="339" t="n">
        <v>2</v>
      </c>
      <c r="P117" s="339" t="n">
        <v>32</v>
      </c>
    </row>
    <row r="118">
      <c r="A118" s="339" t="inlineStr">
        <is>
          <t>대원동</t>
        </is>
      </c>
      <c r="D118" s="339" t="n">
        <v>153685</v>
      </c>
      <c r="E118" s="532" t="inlineStr">
        <is>
          <t>창원센트럴파크에일린의뜰</t>
        </is>
      </c>
      <c r="F118" s="339" t="n">
        <v>2025.06</v>
      </c>
      <c r="G118" s="339" t="n">
        <v>1470</v>
      </c>
      <c r="H118" s="339">
        <f>2026-F118+1</f>
        <v/>
      </c>
      <c r="J118" s="339" t="n">
        <v>108</v>
      </c>
      <c r="K118" s="339" t="n">
        <v>84</v>
      </c>
      <c r="L118" s="339" t="n">
        <v>33</v>
      </c>
      <c r="M118" s="339" t="inlineStr">
        <is>
          <t>계단식</t>
        </is>
      </c>
      <c r="N118" s="339" t="n">
        <v>3</v>
      </c>
      <c r="O118" s="339" t="n">
        <v>2</v>
      </c>
      <c r="P118" s="339" t="n">
        <v>492</v>
      </c>
    </row>
    <row r="119">
      <c r="A119" s="339" t="inlineStr">
        <is>
          <t>대원동</t>
        </is>
      </c>
      <c r="D119" s="339" t="n">
        <v>153685</v>
      </c>
      <c r="E119" s="532" t="inlineStr">
        <is>
          <t>창원센트럴파크에일린의뜰</t>
        </is>
      </c>
      <c r="F119" s="339" t="n">
        <v>2025.06</v>
      </c>
      <c r="G119" s="339" t="n">
        <v>1470</v>
      </c>
      <c r="H119" s="339">
        <f>2026-F119+1</f>
        <v/>
      </c>
      <c r="J119" s="339" t="n">
        <v>125</v>
      </c>
      <c r="K119" s="339" t="n">
        <v>101</v>
      </c>
      <c r="L119" s="339" t="n">
        <v>38</v>
      </c>
      <c r="M119" s="339" t="inlineStr">
        <is>
          <t>계단식</t>
        </is>
      </c>
      <c r="N119" s="339" t="n">
        <v>3</v>
      </c>
      <c r="O119" s="339" t="n">
        <v>2</v>
      </c>
      <c r="P119" s="339" t="n">
        <v>242</v>
      </c>
    </row>
    <row r="120">
      <c r="A120" s="530" t="inlineStr">
        <is>
          <t>대원동</t>
        </is>
      </c>
      <c r="B120" s="530" t="n"/>
      <c r="C120" s="530" t="n"/>
      <c r="D120" s="530" t="n">
        <v>112657</v>
      </c>
      <c r="E120" s="531" t="inlineStr">
        <is>
          <t>포레나대원</t>
        </is>
      </c>
      <c r="F120" s="530" t="n">
        <v>2018.12</v>
      </c>
      <c r="G120" s="530" t="n">
        <v>1530</v>
      </c>
      <c r="H120" s="530">
        <f>2026-F120+1</f>
        <v/>
      </c>
      <c r="I120" s="530" t="n"/>
      <c r="J120" s="530" t="n">
        <v>82</v>
      </c>
      <c r="K120" s="530" t="n">
        <v>59</v>
      </c>
      <c r="L120" s="530" t="n">
        <v>25</v>
      </c>
      <c r="M120" s="530" t="inlineStr">
        <is>
          <t>계단식</t>
        </is>
      </c>
      <c r="N120" s="530" t="n">
        <v>3</v>
      </c>
      <c r="O120" s="530" t="n">
        <v>2</v>
      </c>
      <c r="P120" s="530" t="n">
        <v>515</v>
      </c>
      <c r="Q120" s="530" t="n"/>
      <c r="R120" s="530" t="n"/>
      <c r="S120" s="530" t="n"/>
      <c r="T120" s="530" t="n"/>
      <c r="U120" s="530" t="n">
        <v>6.25</v>
      </c>
      <c r="V120" s="530" t="n">
        <v>4.3</v>
      </c>
      <c r="W120" s="530" t="n"/>
      <c r="X120" s="530" t="n"/>
      <c r="Y120" s="530" t="n"/>
      <c r="Z120" s="530" t="n"/>
      <c r="AA120" s="530" t="n"/>
      <c r="AB120" s="530" t="n"/>
      <c r="AC120" s="530" t="n"/>
      <c r="AD120" s="530" t="n"/>
      <c r="AE120" s="530" t="n"/>
      <c r="AF120" s="530" t="n"/>
      <c r="AG120" s="530" t="n"/>
      <c r="AH120" s="530" t="n"/>
      <c r="AI120" s="530" t="n"/>
      <c r="AJ120" s="530" t="n"/>
      <c r="AK120" s="530" t="n"/>
      <c r="AL120" s="530" t="n"/>
    </row>
    <row r="121">
      <c r="A121" s="530" t="inlineStr">
        <is>
          <t>대원동</t>
        </is>
      </c>
      <c r="B121" s="530" t="n"/>
      <c r="C121" s="530" t="n"/>
      <c r="D121" s="530" t="n">
        <v>112657</v>
      </c>
      <c r="E121" s="531" t="inlineStr">
        <is>
          <t>포레나대원</t>
        </is>
      </c>
      <c r="F121" s="530" t="n">
        <v>2018.12</v>
      </c>
      <c r="G121" s="530" t="n">
        <v>1530</v>
      </c>
      <c r="H121" s="530">
        <f>2026-F121+1</f>
        <v/>
      </c>
      <c r="I121" s="530" t="n"/>
      <c r="J121" s="530" t="n">
        <v>94</v>
      </c>
      <c r="K121" s="530" t="n">
        <v>68</v>
      </c>
      <c r="L121" s="530" t="n">
        <v>28</v>
      </c>
      <c r="M121" s="530" t="inlineStr">
        <is>
          <t>계단식</t>
        </is>
      </c>
      <c r="N121" s="530" t="n">
        <v>3</v>
      </c>
      <c r="O121" s="530" t="n">
        <v>2</v>
      </c>
      <c r="P121" s="530" t="n">
        <v>365</v>
      </c>
      <c r="Q121" s="530" t="n"/>
      <c r="R121" s="530" t="n"/>
      <c r="S121" s="530" t="n"/>
      <c r="T121" s="530" t="n"/>
      <c r="U121" s="530" t="n">
        <v>7.1</v>
      </c>
      <c r="V121" s="530" t="n">
        <v>5</v>
      </c>
      <c r="W121" s="530" t="n"/>
      <c r="X121" s="530" t="n"/>
      <c r="Y121" s="530" t="n"/>
      <c r="Z121" s="530" t="n"/>
      <c r="AA121" s="530" t="n"/>
      <c r="AB121" s="530" t="n"/>
      <c r="AC121" s="530" t="n"/>
      <c r="AD121" s="530" t="n"/>
      <c r="AE121" s="530" t="n"/>
      <c r="AF121" s="530" t="n"/>
      <c r="AG121" s="530" t="n"/>
      <c r="AH121" s="530" t="n"/>
      <c r="AI121" s="530" t="n"/>
      <c r="AJ121" s="530" t="n"/>
      <c r="AK121" s="530" t="n"/>
      <c r="AL121" s="530" t="n"/>
    </row>
    <row r="122">
      <c r="A122" s="530" t="inlineStr">
        <is>
          <t>대원동</t>
        </is>
      </c>
      <c r="B122" s="530" t="n"/>
      <c r="C122" s="530" t="n"/>
      <c r="D122" s="530" t="n">
        <v>112657</v>
      </c>
      <c r="E122" s="531" t="inlineStr">
        <is>
          <t>포레나대원</t>
        </is>
      </c>
      <c r="F122" s="530" t="n">
        <v>2018.12</v>
      </c>
      <c r="G122" s="530" t="n">
        <v>1530</v>
      </c>
      <c r="H122" s="530">
        <f>2026-F122+1</f>
        <v/>
      </c>
      <c r="I122" s="530" t="n"/>
      <c r="J122" s="530" t="n">
        <v>116</v>
      </c>
      <c r="K122" s="530" t="n">
        <v>84</v>
      </c>
      <c r="L122" s="530" t="n">
        <v>35</v>
      </c>
      <c r="M122" s="530" t="inlineStr">
        <is>
          <t>계단식</t>
        </is>
      </c>
      <c r="N122" s="530" t="n">
        <v>3</v>
      </c>
      <c r="O122" s="530" t="n">
        <v>2</v>
      </c>
      <c r="P122" s="530" t="n">
        <v>602</v>
      </c>
      <c r="Q122" s="530" t="n"/>
      <c r="R122" s="530" t="n"/>
      <c r="S122" s="530" t="n"/>
      <c r="T122" s="530" t="n"/>
      <c r="U122" s="530" t="n">
        <v>8.199999999999999</v>
      </c>
      <c r="V122" s="530" t="n">
        <v>5.35</v>
      </c>
      <c r="W122" s="530" t="n"/>
      <c r="X122" s="530" t="n"/>
      <c r="Y122" s="530" t="n"/>
      <c r="Z122" s="530" t="n"/>
      <c r="AA122" s="530" t="n"/>
      <c r="AB122" s="530" t="n"/>
      <c r="AC122" s="530" t="n"/>
      <c r="AD122" s="530" t="n"/>
      <c r="AE122" s="530" t="n"/>
      <c r="AF122" s="530" t="n"/>
      <c r="AG122" s="530" t="n"/>
      <c r="AH122" s="530" t="n"/>
      <c r="AI122" s="530" t="n"/>
      <c r="AJ122" s="530" t="n"/>
      <c r="AK122" s="530" t="n"/>
      <c r="AL122" s="530" t="n"/>
    </row>
    <row r="123">
      <c r="A123" s="530" t="inlineStr">
        <is>
          <t>대원동</t>
        </is>
      </c>
      <c r="B123" s="530" t="n"/>
      <c r="C123" s="530" t="n"/>
      <c r="D123" s="530" t="n">
        <v>112657</v>
      </c>
      <c r="E123" s="531" t="inlineStr">
        <is>
          <t>포레나대원</t>
        </is>
      </c>
      <c r="F123" s="530" t="n">
        <v>2018.12</v>
      </c>
      <c r="G123" s="530" t="n">
        <v>1530</v>
      </c>
      <c r="H123" s="530">
        <f>2026-F123+1</f>
        <v/>
      </c>
      <c r="I123" s="530" t="n"/>
      <c r="J123" s="530" t="n">
        <v>147</v>
      </c>
      <c r="K123" s="530" t="n">
        <v>108</v>
      </c>
      <c r="L123" s="530" t="n">
        <v>44</v>
      </c>
      <c r="M123" s="530" t="inlineStr">
        <is>
          <t>계단식</t>
        </is>
      </c>
      <c r="N123" s="530" t="n">
        <v>4</v>
      </c>
      <c r="O123" s="530" t="n">
        <v>2</v>
      </c>
      <c r="P123" s="530" t="n">
        <v>48</v>
      </c>
      <c r="Q123" s="530" t="n"/>
      <c r="R123" s="530" t="n"/>
      <c r="S123" s="530" t="n"/>
      <c r="T123" s="530" t="n"/>
      <c r="U123" s="530" t="n">
        <v>10.45</v>
      </c>
      <c r="V123" s="530" t="n">
        <v>7.3</v>
      </c>
      <c r="W123" s="530" t="n"/>
      <c r="X123" s="530" t="n"/>
      <c r="Y123" s="530" t="n"/>
      <c r="Z123" s="530" t="n"/>
      <c r="AA123" s="530" t="n"/>
      <c r="AB123" s="530" t="n"/>
      <c r="AC123" s="530" t="n"/>
      <c r="AD123" s="530" t="n"/>
      <c r="AE123" s="530" t="n"/>
      <c r="AF123" s="530" t="n"/>
      <c r="AG123" s="530" t="n"/>
      <c r="AH123" s="530" t="n"/>
      <c r="AI123" s="530" t="n"/>
      <c r="AJ123" s="530" t="n"/>
      <c r="AK123" s="530" t="n"/>
      <c r="AL123" s="530" t="n"/>
    </row>
    <row r="124">
      <c r="A124" s="339" t="inlineStr">
        <is>
          <t>대원동</t>
        </is>
      </c>
      <c r="D124" s="339" t="n">
        <v>151257</v>
      </c>
      <c r="E124" s="532" t="inlineStr">
        <is>
          <t>힐스테이트마크로엔</t>
        </is>
      </c>
      <c r="F124" s="339" t="n">
        <v>2025.04</v>
      </c>
      <c r="G124" s="339" t="n">
        <v>951</v>
      </c>
      <c r="H124" s="339">
        <f>2026-F124+1</f>
        <v/>
      </c>
      <c r="J124" s="339" t="n">
        <v>85</v>
      </c>
      <c r="K124" s="339" t="n">
        <v>59</v>
      </c>
      <c r="L124" s="339" t="n">
        <v>26</v>
      </c>
      <c r="M124" s="339" t="inlineStr">
        <is>
          <t>계단식</t>
        </is>
      </c>
      <c r="N124" s="339" t="n">
        <v>3</v>
      </c>
      <c r="O124" s="339" t="n">
        <v>2</v>
      </c>
      <c r="P124" s="339" t="n">
        <v>552</v>
      </c>
    </row>
    <row r="125">
      <c r="A125" s="339" t="inlineStr">
        <is>
          <t>대원동</t>
        </is>
      </c>
      <c r="D125" s="339" t="n">
        <v>151257</v>
      </c>
      <c r="E125" s="532" t="inlineStr">
        <is>
          <t>힐스테이트마크로엔</t>
        </is>
      </c>
      <c r="F125" s="339" t="n">
        <v>2025.04</v>
      </c>
      <c r="G125" s="339" t="n">
        <v>951</v>
      </c>
      <c r="H125" s="339">
        <f>2026-F125+1</f>
        <v/>
      </c>
      <c r="J125" s="339" t="n">
        <v>97</v>
      </c>
      <c r="K125" s="339" t="n">
        <v>71</v>
      </c>
      <c r="L125" s="339" t="n">
        <v>29</v>
      </c>
      <c r="M125" s="339" t="inlineStr">
        <is>
          <t>계단식</t>
        </is>
      </c>
      <c r="N125" s="339" t="n">
        <v>3</v>
      </c>
      <c r="O125" s="339" t="n">
        <v>2</v>
      </c>
      <c r="P125" s="339" t="n">
        <v>293</v>
      </c>
    </row>
    <row r="126">
      <c r="A126" s="339" t="inlineStr">
        <is>
          <t>대원동</t>
        </is>
      </c>
      <c r="D126" s="339" t="n">
        <v>151257</v>
      </c>
      <c r="E126" s="532" t="inlineStr">
        <is>
          <t>힐스테이트마크로엔</t>
        </is>
      </c>
      <c r="F126" s="339" t="n">
        <v>2025.04</v>
      </c>
      <c r="G126" s="339" t="n">
        <v>951</v>
      </c>
      <c r="H126" s="339">
        <f>2026-F126+1</f>
        <v/>
      </c>
      <c r="J126" s="339" t="n">
        <v>112</v>
      </c>
      <c r="K126" s="339" t="n">
        <v>84</v>
      </c>
      <c r="L126" s="339" t="n">
        <v>34</v>
      </c>
      <c r="M126" s="339" t="inlineStr">
        <is>
          <t>계단식</t>
        </is>
      </c>
      <c r="N126" s="339" t="n">
        <v>3</v>
      </c>
      <c r="O126" s="339" t="n">
        <v>2</v>
      </c>
      <c r="P126" s="339" t="n">
        <v>106</v>
      </c>
    </row>
    <row r="127">
      <c r="A127" s="530" t="inlineStr">
        <is>
          <t>반림동</t>
        </is>
      </c>
      <c r="B127" s="530" t="n"/>
      <c r="C127" s="530" t="n"/>
      <c r="D127" s="530" t="n">
        <v>25168</v>
      </c>
      <c r="E127" s="531" t="inlineStr">
        <is>
          <t>노블파크</t>
        </is>
      </c>
      <c r="F127" s="530" t="n">
        <v>2007.12</v>
      </c>
      <c r="G127" s="530" t="n">
        <v>2699</v>
      </c>
      <c r="H127" s="530">
        <f>2026-F127+1</f>
        <v/>
      </c>
      <c r="I127" s="530" t="n"/>
      <c r="J127" s="530" t="n">
        <v>69</v>
      </c>
      <c r="K127" s="530" t="n">
        <v>51</v>
      </c>
      <c r="L127" s="530" t="n">
        <v>21</v>
      </c>
      <c r="M127" s="530" t="inlineStr">
        <is>
          <t>계단식</t>
        </is>
      </c>
      <c r="N127" s="530" t="n">
        <v>2</v>
      </c>
      <c r="O127" s="530" t="n">
        <v>1</v>
      </c>
      <c r="P127" s="530" t="n">
        <v>30</v>
      </c>
      <c r="Q127" s="530" t="n"/>
      <c r="R127" s="530" t="n"/>
      <c r="S127" s="530" t="n"/>
      <c r="T127" s="530" t="n"/>
      <c r="U127" s="530" t="n">
        <v>4</v>
      </c>
      <c r="V127" s="530" t="n">
        <v>3.27</v>
      </c>
      <c r="W127" s="530" t="n"/>
      <c r="X127" s="530" t="n"/>
      <c r="Y127" s="530" t="n"/>
      <c r="Z127" s="530" t="n"/>
      <c r="AA127" s="530" t="n"/>
      <c r="AB127" s="530" t="n"/>
      <c r="AC127" s="530" t="n"/>
      <c r="AD127" s="530" t="n"/>
      <c r="AE127" s="530" t="n"/>
      <c r="AF127" s="530" t="n"/>
      <c r="AG127" s="530" t="n"/>
      <c r="AH127" s="530" t="n"/>
      <c r="AI127" s="530" t="n"/>
      <c r="AJ127" s="530" t="n"/>
      <c r="AK127" s="530" t="n"/>
      <c r="AL127" s="530" t="n"/>
    </row>
    <row r="128">
      <c r="A128" s="530" t="inlineStr">
        <is>
          <t>반림동</t>
        </is>
      </c>
      <c r="B128" s="530" t="n"/>
      <c r="C128" s="530" t="n"/>
      <c r="D128" s="530" t="n">
        <v>25168</v>
      </c>
      <c r="E128" s="531" t="inlineStr">
        <is>
          <t>노블파크</t>
        </is>
      </c>
      <c r="F128" s="530" t="n">
        <v>2007.12</v>
      </c>
      <c r="G128" s="530" t="n">
        <v>2699</v>
      </c>
      <c r="H128" s="530">
        <f>2026-F128+1</f>
        <v/>
      </c>
      <c r="I128" s="530" t="n"/>
      <c r="J128" s="530" t="n">
        <v>84</v>
      </c>
      <c r="K128" s="530" t="n">
        <v>59</v>
      </c>
      <c r="L128" s="530" t="n">
        <v>25</v>
      </c>
      <c r="M128" s="530" t="inlineStr">
        <is>
          <t>계단식</t>
        </is>
      </c>
      <c r="N128" s="530" t="n">
        <v>3</v>
      </c>
      <c r="O128" s="530" t="n">
        <v>2</v>
      </c>
      <c r="P128" s="530" t="n">
        <v>164</v>
      </c>
      <c r="Q128" s="530" t="n"/>
      <c r="R128" s="530" t="n"/>
      <c r="S128" s="530" t="n"/>
      <c r="T128" s="530" t="n"/>
      <c r="U128" s="530" t="n">
        <v>5.3</v>
      </c>
      <c r="V128" s="530" t="n">
        <v>4</v>
      </c>
      <c r="W128" s="530" t="n"/>
      <c r="X128" s="530" t="n"/>
      <c r="Y128" s="530" t="n"/>
      <c r="Z128" s="530" t="n"/>
      <c r="AA128" s="530" t="n"/>
      <c r="AB128" s="530" t="n"/>
      <c r="AC128" s="530" t="n"/>
      <c r="AD128" s="530" t="n"/>
      <c r="AE128" s="530" t="n"/>
      <c r="AF128" s="530" t="n"/>
      <c r="AG128" s="530" t="n"/>
      <c r="AH128" s="530" t="n"/>
      <c r="AI128" s="530" t="n"/>
      <c r="AJ128" s="530" t="n"/>
      <c r="AK128" s="530" t="n"/>
      <c r="AL128" s="530" t="n"/>
    </row>
    <row r="129">
      <c r="A129" s="530" t="inlineStr">
        <is>
          <t>반림동</t>
        </is>
      </c>
      <c r="B129" s="530" t="n"/>
      <c r="C129" s="530" t="n"/>
      <c r="D129" s="530" t="n">
        <v>25168</v>
      </c>
      <c r="E129" s="531" t="inlineStr">
        <is>
          <t>노블파크</t>
        </is>
      </c>
      <c r="F129" s="530" t="n">
        <v>2007.12</v>
      </c>
      <c r="G129" s="530" t="n">
        <v>2699</v>
      </c>
      <c r="H129" s="530">
        <f>2026-F129+1</f>
        <v/>
      </c>
      <c r="I129" s="530" t="n"/>
      <c r="J129" s="530" t="n">
        <v>90</v>
      </c>
      <c r="K129" s="530" t="n">
        <v>66</v>
      </c>
      <c r="L129" s="530" t="n">
        <v>27</v>
      </c>
      <c r="M129" s="530" t="inlineStr">
        <is>
          <t>계단식</t>
        </is>
      </c>
      <c r="N129" s="530" t="n">
        <v>2</v>
      </c>
      <c r="O129" s="530" t="n">
        <v>2</v>
      </c>
      <c r="P129" s="530" t="n">
        <v>6</v>
      </c>
      <c r="Q129" s="530" t="n"/>
      <c r="R129" s="530" t="n"/>
      <c r="S129" s="530" t="n"/>
      <c r="T129" s="530" t="n"/>
      <c r="U129" s="530" t="n"/>
      <c r="V129" s="530" t="n">
        <v>3.93</v>
      </c>
      <c r="W129" s="530" t="n"/>
      <c r="X129" s="530" t="n"/>
      <c r="Y129" s="530" t="n"/>
      <c r="Z129" s="530" t="n"/>
      <c r="AA129" s="530" t="n"/>
      <c r="AB129" s="530" t="n"/>
      <c r="AC129" s="530" t="n"/>
      <c r="AD129" s="530" t="n"/>
      <c r="AE129" s="530" t="n"/>
      <c r="AF129" s="530" t="n"/>
      <c r="AG129" s="530" t="n"/>
      <c r="AH129" s="530" t="n"/>
      <c r="AI129" s="530" t="n"/>
      <c r="AJ129" s="530" t="n"/>
      <c r="AK129" s="530" t="n"/>
      <c r="AL129" s="530" t="n"/>
    </row>
    <row r="130">
      <c r="A130" s="530" t="inlineStr">
        <is>
          <t>반림동</t>
        </is>
      </c>
      <c r="B130" s="530" t="n"/>
      <c r="C130" s="530" t="n"/>
      <c r="D130" s="530" t="n">
        <v>25168</v>
      </c>
      <c r="E130" s="531" t="inlineStr">
        <is>
          <t>노블파크</t>
        </is>
      </c>
      <c r="F130" s="530" t="n">
        <v>2007.12</v>
      </c>
      <c r="G130" s="530" t="n">
        <v>2699</v>
      </c>
      <c r="H130" s="530">
        <f>2026-F130+1</f>
        <v/>
      </c>
      <c r="I130" s="530" t="n"/>
      <c r="J130" s="530" t="n">
        <v>102</v>
      </c>
      <c r="K130" s="530" t="n">
        <v>76</v>
      </c>
      <c r="L130" s="530" t="n">
        <v>31</v>
      </c>
      <c r="M130" s="530" t="inlineStr">
        <is>
          <t>계단식</t>
        </is>
      </c>
      <c r="N130" s="530" t="n">
        <v>3</v>
      </c>
      <c r="O130" s="530" t="n">
        <v>2</v>
      </c>
      <c r="P130" s="530" t="n">
        <v>416</v>
      </c>
      <c r="Q130" s="530" t="n"/>
      <c r="R130" s="530" t="n"/>
      <c r="S130" s="530" t="n"/>
      <c r="T130" s="530" t="n"/>
      <c r="U130" s="530" t="n">
        <v>6.25</v>
      </c>
      <c r="V130" s="530" t="n">
        <v>4.4</v>
      </c>
      <c r="W130" s="530" t="n"/>
      <c r="X130" s="530" t="n"/>
      <c r="Y130" s="530" t="n"/>
      <c r="Z130" s="530" t="n"/>
      <c r="AA130" s="530" t="n"/>
      <c r="AB130" s="530" t="n"/>
      <c r="AC130" s="530" t="n"/>
      <c r="AD130" s="530" t="n"/>
      <c r="AE130" s="530" t="n"/>
      <c r="AF130" s="530" t="n"/>
      <c r="AG130" s="530" t="n"/>
      <c r="AH130" s="530" t="n"/>
      <c r="AI130" s="530" t="n"/>
      <c r="AJ130" s="530" t="n"/>
      <c r="AK130" s="530" t="n"/>
      <c r="AL130" s="530" t="n"/>
    </row>
    <row r="131">
      <c r="A131" s="530" t="inlineStr">
        <is>
          <t>반림동</t>
        </is>
      </c>
      <c r="B131" s="530" t="n"/>
      <c r="C131" s="530" t="n"/>
      <c r="D131" s="530" t="n">
        <v>25168</v>
      </c>
      <c r="E131" s="531" t="inlineStr">
        <is>
          <t>노블파크</t>
        </is>
      </c>
      <c r="F131" s="530" t="n">
        <v>2007.12</v>
      </c>
      <c r="G131" s="530" t="n">
        <v>2699</v>
      </c>
      <c r="H131" s="530">
        <f>2026-F131+1</f>
        <v/>
      </c>
      <c r="I131" s="530" t="n"/>
      <c r="J131" s="530" t="n">
        <v>103</v>
      </c>
      <c r="K131" s="530" t="n">
        <v>75</v>
      </c>
      <c r="L131" s="530" t="n">
        <v>31</v>
      </c>
      <c r="M131" s="530" t="inlineStr">
        <is>
          <t>계단식</t>
        </is>
      </c>
      <c r="N131" s="530" t="n">
        <v>3</v>
      </c>
      <c r="O131" s="530" t="n">
        <v>2</v>
      </c>
      <c r="P131" s="530" t="n">
        <v>176</v>
      </c>
      <c r="Q131" s="530" t="n"/>
      <c r="R131" s="530" t="n"/>
      <c r="S131" s="530" t="n"/>
      <c r="T131" s="530" t="n"/>
      <c r="U131" s="530" t="n">
        <v>6.25</v>
      </c>
      <c r="V131" s="530" t="n">
        <v>4.4</v>
      </c>
      <c r="W131" s="530" t="n"/>
      <c r="X131" s="530" t="n"/>
      <c r="Y131" s="530" t="n"/>
      <c r="Z131" s="530" t="n"/>
      <c r="AA131" s="530" t="n"/>
      <c r="AB131" s="530" t="n"/>
      <c r="AC131" s="530" t="n"/>
      <c r="AD131" s="530" t="n"/>
      <c r="AE131" s="530" t="n"/>
      <c r="AF131" s="530" t="n"/>
      <c r="AG131" s="530" t="n"/>
      <c r="AH131" s="530" t="n"/>
      <c r="AI131" s="530" t="n"/>
      <c r="AJ131" s="530" t="n"/>
      <c r="AK131" s="530" t="n"/>
      <c r="AL131" s="530" t="n"/>
    </row>
    <row r="132">
      <c r="A132" s="530" t="inlineStr">
        <is>
          <t>반림동</t>
        </is>
      </c>
      <c r="B132" s="530" t="n"/>
      <c r="C132" s="530" t="n"/>
      <c r="D132" s="530" t="n">
        <v>25168</v>
      </c>
      <c r="E132" s="531" t="inlineStr">
        <is>
          <t>노블파크</t>
        </is>
      </c>
      <c r="F132" s="530" t="n">
        <v>2007.12</v>
      </c>
      <c r="G132" s="530" t="n">
        <v>2699</v>
      </c>
      <c r="H132" s="530">
        <f>2026-F132+1</f>
        <v/>
      </c>
      <c r="I132" s="530" t="n"/>
      <c r="J132" s="530" t="n">
        <v>113</v>
      </c>
      <c r="K132" s="530" t="n">
        <v>84</v>
      </c>
      <c r="L132" s="530" t="n">
        <v>34</v>
      </c>
      <c r="M132" s="530" t="inlineStr">
        <is>
          <t>계단식</t>
        </is>
      </c>
      <c r="N132" s="530" t="n">
        <v>3</v>
      </c>
      <c r="O132" s="530" t="n">
        <v>2</v>
      </c>
      <c r="P132" s="530" t="n">
        <v>1382</v>
      </c>
      <c r="Q132" s="530" t="n"/>
      <c r="R132" s="530" t="n"/>
      <c r="S132" s="530" t="n"/>
      <c r="T132" s="530" t="n"/>
      <c r="U132" s="530" t="n">
        <v>7.1</v>
      </c>
      <c r="V132" s="530" t="n">
        <v>4.28</v>
      </c>
      <c r="W132" s="530" t="n"/>
      <c r="X132" s="530" t="n"/>
      <c r="Y132" s="530" t="n"/>
      <c r="Z132" s="530" t="n"/>
      <c r="AA132" s="530" t="n"/>
      <c r="AB132" s="530" t="n"/>
      <c r="AC132" s="530" t="n"/>
      <c r="AD132" s="530" t="n"/>
      <c r="AE132" s="530" t="n"/>
      <c r="AF132" s="530" t="n"/>
      <c r="AG132" s="530" t="n"/>
      <c r="AH132" s="530" t="n"/>
      <c r="AI132" s="530" t="n"/>
      <c r="AJ132" s="530" t="n"/>
      <c r="AK132" s="530" t="n"/>
      <c r="AL132" s="530" t="n"/>
    </row>
    <row r="133">
      <c r="A133" s="530" t="inlineStr">
        <is>
          <t>반림동</t>
        </is>
      </c>
      <c r="B133" s="530" t="n"/>
      <c r="C133" s="530" t="n"/>
      <c r="D133" s="530" t="n">
        <v>25168</v>
      </c>
      <c r="E133" s="531" t="inlineStr">
        <is>
          <t>노블파크</t>
        </is>
      </c>
      <c r="F133" s="530" t="n">
        <v>2007.12</v>
      </c>
      <c r="G133" s="530" t="n">
        <v>2699</v>
      </c>
      <c r="H133" s="530">
        <f>2026-F133+1</f>
        <v/>
      </c>
      <c r="I133" s="530" t="n"/>
      <c r="J133" s="530" t="n">
        <v>131</v>
      </c>
      <c r="K133" s="530" t="n">
        <v>101</v>
      </c>
      <c r="L133" s="530" t="n">
        <v>40</v>
      </c>
      <c r="M133" s="530" t="inlineStr">
        <is>
          <t>계단식</t>
        </is>
      </c>
      <c r="N133" s="530" t="n">
        <v>3</v>
      </c>
      <c r="O133" s="530" t="n">
        <v>2</v>
      </c>
      <c r="P133" s="530" t="n">
        <v>247</v>
      </c>
      <c r="Q133" s="530" t="n"/>
      <c r="R133" s="530" t="n"/>
      <c r="S133" s="530" t="n"/>
      <c r="T133" s="530" t="n"/>
      <c r="U133" s="530" t="n">
        <v>7.25</v>
      </c>
      <c r="V133" s="530" t="n">
        <v>5.02</v>
      </c>
      <c r="W133" s="530" t="n"/>
      <c r="X133" s="530" t="n"/>
      <c r="Y133" s="530" t="n"/>
      <c r="Z133" s="530" t="n"/>
      <c r="AA133" s="530" t="n"/>
      <c r="AB133" s="530" t="n"/>
      <c r="AC133" s="530" t="n"/>
      <c r="AD133" s="530" t="n"/>
      <c r="AE133" s="530" t="n"/>
      <c r="AF133" s="530" t="n"/>
      <c r="AG133" s="530" t="n"/>
      <c r="AH133" s="530" t="n"/>
      <c r="AI133" s="530" t="n"/>
      <c r="AJ133" s="530" t="n"/>
      <c r="AK133" s="530" t="n"/>
      <c r="AL133" s="530" t="n"/>
    </row>
    <row r="134">
      <c r="A134" s="530" t="inlineStr">
        <is>
          <t>반림동</t>
        </is>
      </c>
      <c r="B134" s="530" t="n"/>
      <c r="C134" s="530" t="n"/>
      <c r="D134" s="530" t="n">
        <v>25168</v>
      </c>
      <c r="E134" s="531" t="inlineStr">
        <is>
          <t>노블파크</t>
        </is>
      </c>
      <c r="F134" s="530" t="n">
        <v>2007.12</v>
      </c>
      <c r="G134" s="530" t="n">
        <v>2699</v>
      </c>
      <c r="H134" s="530">
        <f>2026-F134+1</f>
        <v/>
      </c>
      <c r="I134" s="530" t="n"/>
      <c r="J134" s="530" t="n">
        <v>163</v>
      </c>
      <c r="K134" s="530" t="n">
        <v>129</v>
      </c>
      <c r="L134" s="530" t="n">
        <v>49</v>
      </c>
      <c r="M134" s="530" t="inlineStr">
        <is>
          <t>계단식</t>
        </is>
      </c>
      <c r="N134" s="530" t="n">
        <v>4</v>
      </c>
      <c r="O134" s="530" t="n">
        <v>2</v>
      </c>
      <c r="P134" s="530" t="n">
        <v>158</v>
      </c>
      <c r="Q134" s="530" t="n"/>
      <c r="R134" s="530" t="n"/>
      <c r="S134" s="530" t="n"/>
      <c r="T134" s="530" t="n"/>
      <c r="U134" s="530" t="n">
        <v>9.5</v>
      </c>
      <c r="V134" s="530" t="n">
        <v>7</v>
      </c>
      <c r="W134" s="530" t="n"/>
      <c r="X134" s="530" t="n"/>
      <c r="Y134" s="530" t="n"/>
      <c r="Z134" s="530" t="n"/>
      <c r="AA134" s="530" t="n"/>
      <c r="AB134" s="530" t="n"/>
      <c r="AC134" s="530" t="n"/>
      <c r="AD134" s="530" t="n"/>
      <c r="AE134" s="530" t="n"/>
      <c r="AF134" s="530" t="n"/>
      <c r="AG134" s="530" t="n"/>
      <c r="AH134" s="530" t="n"/>
      <c r="AI134" s="530" t="n"/>
      <c r="AJ134" s="530" t="n"/>
      <c r="AK134" s="530" t="n"/>
      <c r="AL134" s="530" t="n"/>
    </row>
    <row r="135">
      <c r="A135" s="530" t="inlineStr">
        <is>
          <t>반림동</t>
        </is>
      </c>
      <c r="B135" s="530" t="n"/>
      <c r="C135" s="530" t="n"/>
      <c r="D135" s="530" t="n">
        <v>25168</v>
      </c>
      <c r="E135" s="531" t="inlineStr">
        <is>
          <t>노블파크</t>
        </is>
      </c>
      <c r="F135" s="530" t="n">
        <v>2007.12</v>
      </c>
      <c r="G135" s="530" t="n">
        <v>2699</v>
      </c>
      <c r="H135" s="530">
        <f>2026-F135+1</f>
        <v/>
      </c>
      <c r="I135" s="530" t="n"/>
      <c r="J135" s="530" t="n">
        <v>191</v>
      </c>
      <c r="K135" s="530" t="n">
        <v>148</v>
      </c>
      <c r="L135" s="530" t="n">
        <v>58</v>
      </c>
      <c r="M135" s="530" t="inlineStr">
        <is>
          <t>계단식</t>
        </is>
      </c>
      <c r="N135" s="530" t="n">
        <v>4</v>
      </c>
      <c r="O135" s="530" t="n">
        <v>2</v>
      </c>
      <c r="P135" s="530" t="n">
        <v>120</v>
      </c>
      <c r="Q135" s="530" t="n"/>
      <c r="R135" s="530" t="n"/>
      <c r="S135" s="530" t="n"/>
      <c r="T135" s="530" t="n"/>
      <c r="U135" s="530" t="n">
        <v>9.699999999999999</v>
      </c>
      <c r="V135" s="530" t="n">
        <v>8.5</v>
      </c>
      <c r="W135" s="530" t="n"/>
      <c r="X135" s="530" t="n"/>
      <c r="Y135" s="530" t="n"/>
      <c r="Z135" s="530" t="n"/>
      <c r="AA135" s="530" t="n"/>
      <c r="AB135" s="530" t="n"/>
      <c r="AC135" s="530" t="n"/>
      <c r="AD135" s="530" t="n"/>
      <c r="AE135" s="530" t="n"/>
      <c r="AF135" s="530" t="n"/>
      <c r="AG135" s="530" t="n"/>
      <c r="AH135" s="530" t="n"/>
      <c r="AI135" s="530" t="n"/>
      <c r="AJ135" s="530" t="n"/>
      <c r="AK135" s="530" t="n"/>
      <c r="AL135" s="530" t="n"/>
    </row>
    <row r="136">
      <c r="A136" s="339" t="inlineStr">
        <is>
          <t>반림동</t>
        </is>
      </c>
      <c r="D136" s="339" t="n">
        <v>15778</v>
      </c>
      <c r="E136" s="532" t="inlineStr">
        <is>
          <t>반림럭키</t>
        </is>
      </c>
      <c r="F136" s="339" t="n">
        <v>1989.01</v>
      </c>
      <c r="G136" s="339" t="n">
        <v>1620</v>
      </c>
      <c r="H136" s="339">
        <f>2026-F136+1</f>
        <v/>
      </c>
      <c r="J136" s="339" t="n">
        <v>66</v>
      </c>
      <c r="K136" s="339" t="n">
        <v>49</v>
      </c>
      <c r="L136" s="339" t="n">
        <v>20</v>
      </c>
      <c r="M136" s="339" t="inlineStr">
        <is>
          <t>복도식</t>
        </is>
      </c>
      <c r="N136" s="339" t="n">
        <v>2</v>
      </c>
      <c r="O136" s="339" t="n">
        <v>1</v>
      </c>
      <c r="P136" s="339" t="n">
        <v>300</v>
      </c>
      <c r="U136" t="n">
        <v>2.35</v>
      </c>
      <c r="V136" t="n">
        <v>1.87</v>
      </c>
    </row>
    <row r="137">
      <c r="A137" s="339" t="inlineStr">
        <is>
          <t>반림동</t>
        </is>
      </c>
      <c r="D137" s="339" t="n">
        <v>15778</v>
      </c>
      <c r="E137" s="532" t="inlineStr">
        <is>
          <t>반림럭키</t>
        </is>
      </c>
      <c r="F137" s="339" t="n">
        <v>1989.01</v>
      </c>
      <c r="G137" s="339" t="n">
        <v>1620</v>
      </c>
      <c r="H137" s="339">
        <f>2026-F137+1</f>
        <v/>
      </c>
      <c r="J137" s="339" t="n">
        <v>79</v>
      </c>
      <c r="K137" s="339" t="n">
        <v>59</v>
      </c>
      <c r="L137" s="339" t="n">
        <v>24</v>
      </c>
      <c r="M137" s="339" t="inlineStr">
        <is>
          <t>복도식</t>
        </is>
      </c>
      <c r="N137" s="339" t="n">
        <v>2</v>
      </c>
      <c r="O137" s="339" t="n">
        <v>1</v>
      </c>
      <c r="P137" s="339" t="n">
        <v>210</v>
      </c>
      <c r="U137" t="n">
        <v>3</v>
      </c>
      <c r="V137" t="n">
        <v>1.75</v>
      </c>
    </row>
    <row r="138">
      <c r="A138" s="339" t="inlineStr">
        <is>
          <t>반림동</t>
        </is>
      </c>
      <c r="D138" s="339" t="n">
        <v>15778</v>
      </c>
      <c r="E138" s="532" t="inlineStr">
        <is>
          <t>반림럭키</t>
        </is>
      </c>
      <c r="F138" s="339" t="n">
        <v>1989.01</v>
      </c>
      <c r="G138" s="339" t="n">
        <v>1620</v>
      </c>
      <c r="H138" s="339">
        <f>2026-F138+1</f>
        <v/>
      </c>
      <c r="J138" s="339" t="n">
        <v>93</v>
      </c>
      <c r="K138" s="339" t="n">
        <v>76</v>
      </c>
      <c r="L138" s="339" t="n">
        <v>28</v>
      </c>
      <c r="M138" s="339" t="inlineStr">
        <is>
          <t>계단식</t>
        </is>
      </c>
      <c r="N138" s="339" t="n">
        <v>3</v>
      </c>
      <c r="O138" s="339" t="n">
        <v>1</v>
      </c>
      <c r="P138" s="339" t="n">
        <v>540</v>
      </c>
      <c r="U138" t="n">
        <v>4.6</v>
      </c>
      <c r="V138" t="n">
        <v>2.12</v>
      </c>
    </row>
    <row r="139">
      <c r="A139" s="339" t="inlineStr">
        <is>
          <t>반림동</t>
        </is>
      </c>
      <c r="D139" s="339" t="n">
        <v>15778</v>
      </c>
      <c r="E139" s="532" t="inlineStr">
        <is>
          <t>반림럭키</t>
        </is>
      </c>
      <c r="F139" s="339" t="n">
        <v>1989.01</v>
      </c>
      <c r="G139" s="339" t="n">
        <v>1620</v>
      </c>
      <c r="H139" s="339">
        <f>2026-F139+1</f>
        <v/>
      </c>
      <c r="J139" s="339" t="n">
        <v>102</v>
      </c>
      <c r="K139" s="339" t="n">
        <v>84</v>
      </c>
      <c r="L139" s="339" t="n">
        <v>31</v>
      </c>
      <c r="M139" s="339" t="inlineStr">
        <is>
          <t>계단식</t>
        </is>
      </c>
      <c r="N139" s="339" t="n">
        <v>3</v>
      </c>
      <c r="O139" s="339" t="n">
        <v>2</v>
      </c>
      <c r="P139" s="339" t="n">
        <v>570</v>
      </c>
      <c r="U139" t="n">
        <v>4.45</v>
      </c>
      <c r="V139" t="n">
        <v>2.42</v>
      </c>
    </row>
    <row r="140">
      <c r="A140" s="530" t="inlineStr">
        <is>
          <t>반림동</t>
        </is>
      </c>
      <c r="B140" s="530" t="n"/>
      <c r="C140" s="530" t="n"/>
      <c r="D140" s="530" t="n">
        <v>19740</v>
      </c>
      <c r="E140" s="531" t="inlineStr">
        <is>
          <t>트리비앙</t>
        </is>
      </c>
      <c r="F140" s="530" t="n">
        <v>2006.1</v>
      </c>
      <c r="G140" s="530" t="n">
        <v>2610</v>
      </c>
      <c r="H140" s="530">
        <f>2026-F140+1</f>
        <v/>
      </c>
      <c r="I140" s="530" t="n"/>
      <c r="J140" s="530" t="n">
        <v>85</v>
      </c>
      <c r="K140" s="530" t="n">
        <v>59</v>
      </c>
      <c r="L140" s="530" t="n">
        <v>26</v>
      </c>
      <c r="M140" s="530" t="inlineStr">
        <is>
          <t>계단식</t>
        </is>
      </c>
      <c r="N140" s="530" t="n">
        <v>3</v>
      </c>
      <c r="O140" s="530" t="n">
        <v>2</v>
      </c>
      <c r="P140" s="530" t="n">
        <v>338</v>
      </c>
      <c r="Q140" s="530" t="n"/>
      <c r="R140" s="530" t="n"/>
      <c r="S140" s="530" t="n"/>
      <c r="T140" s="530" t="n"/>
      <c r="U140" s="530" t="n">
        <v>5.57</v>
      </c>
      <c r="V140" s="530" t="n">
        <v>3.8</v>
      </c>
      <c r="W140" s="530" t="n"/>
      <c r="X140" s="530" t="n"/>
      <c r="Y140" s="530" t="n"/>
      <c r="Z140" s="530" t="n"/>
      <c r="AA140" s="530" t="n"/>
      <c r="AB140" s="530" t="n"/>
      <c r="AC140" s="530" t="n"/>
      <c r="AD140" s="530" t="n"/>
      <c r="AE140" s="530" t="n"/>
      <c r="AF140" s="530" t="n"/>
      <c r="AG140" s="530" t="n"/>
      <c r="AH140" s="530" t="n"/>
      <c r="AI140" s="530" t="n"/>
      <c r="AJ140" s="530" t="n"/>
      <c r="AK140" s="530" t="n"/>
      <c r="AL140" s="530" t="n"/>
    </row>
    <row r="141">
      <c r="A141" s="530" t="inlineStr">
        <is>
          <t>반림동</t>
        </is>
      </c>
      <c r="B141" s="530" t="n"/>
      <c r="C141" s="530" t="n"/>
      <c r="D141" s="530" t="n">
        <v>19740</v>
      </c>
      <c r="E141" s="531" t="inlineStr">
        <is>
          <t>트리비앙</t>
        </is>
      </c>
      <c r="F141" s="530" t="n">
        <v>2006.1</v>
      </c>
      <c r="G141" s="530" t="n">
        <v>2610</v>
      </c>
      <c r="H141" s="530">
        <f>2026-F141+1</f>
        <v/>
      </c>
      <c r="I141" s="530" t="n"/>
      <c r="J141" s="530" t="n">
        <v>89</v>
      </c>
      <c r="K141" s="530" t="n">
        <v>66</v>
      </c>
      <c r="L141" s="530" t="n">
        <v>27</v>
      </c>
      <c r="M141" s="530" t="inlineStr">
        <is>
          <t>계단식</t>
        </is>
      </c>
      <c r="N141" s="530" t="n">
        <v>2</v>
      </c>
      <c r="O141" s="530" t="n">
        <v>2</v>
      </c>
      <c r="P141" s="530" t="n">
        <v>4</v>
      </c>
      <c r="Q141" s="530" t="n"/>
      <c r="R141" s="530" t="n"/>
      <c r="S141" s="530" t="n"/>
      <c r="T141" s="530" t="n"/>
      <c r="U141" s="530" t="n">
        <v>4.75</v>
      </c>
      <c r="V141" s="530" t="n"/>
      <c r="W141" s="530" t="n"/>
      <c r="X141" s="530" t="n"/>
      <c r="Y141" s="530" t="n"/>
      <c r="Z141" s="530" t="n"/>
      <c r="AA141" s="530" t="n"/>
      <c r="AB141" s="530" t="n"/>
      <c r="AC141" s="530" t="n"/>
      <c r="AD141" s="530" t="n"/>
      <c r="AE141" s="530" t="n"/>
      <c r="AF141" s="530" t="n"/>
      <c r="AG141" s="530" t="n"/>
      <c r="AH141" s="530" t="n"/>
      <c r="AI141" s="530" t="n"/>
      <c r="AJ141" s="530" t="n"/>
      <c r="AK141" s="530" t="n"/>
      <c r="AL141" s="530" t="n"/>
    </row>
    <row r="142">
      <c r="A142" s="530" t="inlineStr">
        <is>
          <t>반림동</t>
        </is>
      </c>
      <c r="B142" s="530" t="n"/>
      <c r="C142" s="530" t="n"/>
      <c r="D142" s="530" t="n">
        <v>19740</v>
      </c>
      <c r="E142" s="531" t="inlineStr">
        <is>
          <t>트리비앙</t>
        </is>
      </c>
      <c r="F142" s="530" t="n">
        <v>2006.1</v>
      </c>
      <c r="G142" s="530" t="n">
        <v>2610</v>
      </c>
      <c r="H142" s="530">
        <f>2026-F142+1</f>
        <v/>
      </c>
      <c r="I142" s="530" t="n"/>
      <c r="J142" s="530" t="n">
        <v>98</v>
      </c>
      <c r="K142" s="530" t="n">
        <v>73</v>
      </c>
      <c r="L142" s="530" t="n">
        <v>30</v>
      </c>
      <c r="M142" s="530" t="inlineStr">
        <is>
          <t>계단식</t>
        </is>
      </c>
      <c r="N142" s="530" t="n">
        <v>2</v>
      </c>
      <c r="O142" s="530" t="n">
        <v>2</v>
      </c>
      <c r="P142" s="530" t="n">
        <v>4</v>
      </c>
      <c r="Q142" s="530" t="n"/>
      <c r="R142" s="530" t="n"/>
      <c r="S142" s="530" t="n"/>
      <c r="T142" s="530" t="n"/>
      <c r="U142" s="530" t="n"/>
      <c r="V142" s="530" t="n"/>
      <c r="W142" s="530" t="n"/>
      <c r="X142" s="530" t="n"/>
      <c r="Y142" s="530" t="n"/>
      <c r="Z142" s="530" t="n"/>
      <c r="AA142" s="530" t="n"/>
      <c r="AB142" s="530" t="n"/>
      <c r="AC142" s="530" t="n"/>
      <c r="AD142" s="530" t="n"/>
      <c r="AE142" s="530" t="n"/>
      <c r="AF142" s="530" t="n"/>
      <c r="AG142" s="530" t="n"/>
      <c r="AH142" s="530" t="n"/>
      <c r="AI142" s="530" t="n"/>
      <c r="AJ142" s="530" t="n"/>
      <c r="AK142" s="530" t="n"/>
      <c r="AL142" s="530" t="n"/>
    </row>
    <row r="143">
      <c r="A143" s="530" t="inlineStr">
        <is>
          <t>반림동</t>
        </is>
      </c>
      <c r="B143" s="530" t="n"/>
      <c r="C143" s="530" t="n"/>
      <c r="D143" s="530" t="n">
        <v>19740</v>
      </c>
      <c r="E143" s="531" t="inlineStr">
        <is>
          <t>트리비앙</t>
        </is>
      </c>
      <c r="F143" s="530" t="n">
        <v>2006.1</v>
      </c>
      <c r="G143" s="530" t="n">
        <v>2610</v>
      </c>
      <c r="H143" s="530">
        <f>2026-F143+1</f>
        <v/>
      </c>
      <c r="I143" s="530" t="n"/>
      <c r="J143" s="530" t="n">
        <v>102</v>
      </c>
      <c r="K143" s="530" t="n">
        <v>76</v>
      </c>
      <c r="L143" s="530" t="n">
        <v>31</v>
      </c>
      <c r="M143" s="530" t="inlineStr">
        <is>
          <t>계단식</t>
        </is>
      </c>
      <c r="N143" s="530" t="n">
        <v>3</v>
      </c>
      <c r="O143" s="530" t="n">
        <v>2</v>
      </c>
      <c r="P143" s="530" t="n">
        <v>401</v>
      </c>
      <c r="Q143" s="530" t="n"/>
      <c r="R143" s="530" t="n"/>
      <c r="S143" s="530" t="n"/>
      <c r="T143" s="530" t="n"/>
      <c r="U143" s="530" t="n">
        <v>6.6</v>
      </c>
      <c r="V143" s="530" t="n">
        <v>4.5</v>
      </c>
      <c r="W143" s="530" t="n"/>
      <c r="X143" s="530" t="n"/>
      <c r="Y143" s="530" t="n"/>
      <c r="Z143" s="530" t="n"/>
      <c r="AA143" s="530" t="n"/>
      <c r="AB143" s="530" t="n"/>
      <c r="AC143" s="530" t="n"/>
      <c r="AD143" s="530" t="n"/>
      <c r="AE143" s="530" t="n"/>
      <c r="AF143" s="530" t="n"/>
      <c r="AG143" s="530" t="n"/>
      <c r="AH143" s="530" t="n"/>
      <c r="AI143" s="530" t="n"/>
      <c r="AJ143" s="530" t="n"/>
      <c r="AK143" s="530" t="n"/>
      <c r="AL143" s="530" t="n"/>
    </row>
    <row r="144">
      <c r="A144" s="530" t="inlineStr">
        <is>
          <t>반림동</t>
        </is>
      </c>
      <c r="B144" s="530" t="n"/>
      <c r="C144" s="530" t="n"/>
      <c r="D144" s="530" t="n">
        <v>19740</v>
      </c>
      <c r="E144" s="531" t="inlineStr">
        <is>
          <t>트리비앙</t>
        </is>
      </c>
      <c r="F144" s="530" t="n">
        <v>2006.1</v>
      </c>
      <c r="G144" s="530" t="n">
        <v>2610</v>
      </c>
      <c r="H144" s="530">
        <f>2026-F144+1</f>
        <v/>
      </c>
      <c r="I144" s="530" t="n"/>
      <c r="J144" s="530" t="n">
        <v>102</v>
      </c>
      <c r="K144" s="530" t="n">
        <v>75</v>
      </c>
      <c r="L144" s="530" t="n">
        <v>31</v>
      </c>
      <c r="M144" s="530" t="inlineStr">
        <is>
          <t>계단식</t>
        </is>
      </c>
      <c r="N144" s="530" t="n">
        <v>3</v>
      </c>
      <c r="O144" s="530" t="n">
        <v>2</v>
      </c>
      <c r="P144" s="530" t="n">
        <v>158</v>
      </c>
      <c r="Q144" s="530" t="n"/>
      <c r="R144" s="530" t="n"/>
      <c r="S144" s="530" t="n"/>
      <c r="T144" s="530" t="n"/>
      <c r="U144" s="530" t="n">
        <v>6.6</v>
      </c>
      <c r="V144" s="530" t="n">
        <v>4.5</v>
      </c>
      <c r="W144" s="530" t="n"/>
      <c r="X144" s="530" t="n"/>
      <c r="Y144" s="530" t="n"/>
      <c r="Z144" s="530" t="n"/>
      <c r="AA144" s="530" t="n"/>
      <c r="AB144" s="530" t="n"/>
      <c r="AC144" s="530" t="n"/>
      <c r="AD144" s="530" t="n"/>
      <c r="AE144" s="530" t="n"/>
      <c r="AF144" s="530" t="n"/>
      <c r="AG144" s="530" t="n"/>
      <c r="AH144" s="530" t="n"/>
      <c r="AI144" s="530" t="n"/>
      <c r="AJ144" s="530" t="n"/>
      <c r="AK144" s="530" t="n"/>
      <c r="AL144" s="530" t="n"/>
    </row>
    <row r="145">
      <c r="A145" s="530" t="inlineStr">
        <is>
          <t>반림동</t>
        </is>
      </c>
      <c r="B145" s="530" t="n"/>
      <c r="C145" s="530" t="n"/>
      <c r="D145" s="530" t="n">
        <v>19740</v>
      </c>
      <c r="E145" s="531" t="inlineStr">
        <is>
          <t>트리비앙</t>
        </is>
      </c>
      <c r="F145" s="530" t="n">
        <v>2006.1</v>
      </c>
      <c r="G145" s="530" t="n">
        <v>2610</v>
      </c>
      <c r="H145" s="530">
        <f>2026-F145+1</f>
        <v/>
      </c>
      <c r="I145" s="530" t="n"/>
      <c r="J145" s="530" t="n">
        <v>113</v>
      </c>
      <c r="K145" s="530" t="n">
        <v>84</v>
      </c>
      <c r="L145" s="530" t="n">
        <v>34</v>
      </c>
      <c r="M145" s="530" t="inlineStr">
        <is>
          <t>계단식</t>
        </is>
      </c>
      <c r="N145" s="530" t="n">
        <v>3</v>
      </c>
      <c r="O145" s="530" t="n">
        <v>2</v>
      </c>
      <c r="P145" s="530" t="n">
        <v>1233</v>
      </c>
      <c r="Q145" s="530" t="n"/>
      <c r="R145" s="530" t="n"/>
      <c r="S145" s="530" t="n"/>
      <c r="T145" s="530" t="n"/>
      <c r="U145" s="530" t="n">
        <v>7.1</v>
      </c>
      <c r="V145" s="530" t="n">
        <v>4.5</v>
      </c>
      <c r="W145" s="530" t="n"/>
      <c r="X145" s="530" t="n"/>
      <c r="Y145" s="530" t="n"/>
      <c r="Z145" s="530" t="n"/>
      <c r="AA145" s="530" t="n"/>
      <c r="AB145" s="530" t="n"/>
      <c r="AC145" s="530" t="n"/>
      <c r="AD145" s="530" t="n"/>
      <c r="AE145" s="530" t="n"/>
      <c r="AF145" s="530" t="n"/>
      <c r="AG145" s="530" t="n"/>
      <c r="AH145" s="530" t="n"/>
      <c r="AI145" s="530" t="n"/>
      <c r="AJ145" s="530" t="n"/>
      <c r="AK145" s="530" t="n"/>
      <c r="AL145" s="530" t="n"/>
    </row>
    <row r="146">
      <c r="A146" s="530" t="inlineStr">
        <is>
          <t>반림동</t>
        </is>
      </c>
      <c r="B146" s="530" t="n"/>
      <c r="C146" s="530" t="n"/>
      <c r="D146" s="530" t="n">
        <v>19740</v>
      </c>
      <c r="E146" s="531" t="inlineStr">
        <is>
          <t>트리비앙</t>
        </is>
      </c>
      <c r="F146" s="530" t="n">
        <v>2006.1</v>
      </c>
      <c r="G146" s="530" t="n">
        <v>2610</v>
      </c>
      <c r="H146" s="530">
        <f>2026-F146+1</f>
        <v/>
      </c>
      <c r="I146" s="530" t="n"/>
      <c r="J146" s="530" t="n">
        <v>129</v>
      </c>
      <c r="K146" s="530" t="n">
        <v>101</v>
      </c>
      <c r="L146" s="530" t="n">
        <v>39</v>
      </c>
      <c r="M146" s="530" t="inlineStr">
        <is>
          <t>계단식</t>
        </is>
      </c>
      <c r="N146" s="530" t="n">
        <v>3</v>
      </c>
      <c r="O146" s="530" t="n">
        <v>2</v>
      </c>
      <c r="P146" s="530" t="n">
        <v>235</v>
      </c>
      <c r="Q146" s="530" t="n"/>
      <c r="R146" s="530" t="n"/>
      <c r="S146" s="530" t="n"/>
      <c r="T146" s="530" t="n"/>
      <c r="U146" s="530" t="n">
        <v>7.58</v>
      </c>
      <c r="V146" s="530" t="n">
        <v>5.64</v>
      </c>
      <c r="W146" s="530" t="n"/>
      <c r="X146" s="530" t="n"/>
      <c r="Y146" s="530" t="n"/>
      <c r="Z146" s="530" t="n"/>
      <c r="AA146" s="530" t="n"/>
      <c r="AB146" s="530" t="n"/>
      <c r="AC146" s="530" t="n"/>
      <c r="AD146" s="530" t="n"/>
      <c r="AE146" s="530" t="n"/>
      <c r="AF146" s="530" t="n"/>
      <c r="AG146" s="530" t="n"/>
      <c r="AH146" s="530" t="n"/>
      <c r="AI146" s="530" t="n"/>
      <c r="AJ146" s="530" t="n"/>
      <c r="AK146" s="530" t="n"/>
      <c r="AL146" s="530" t="n"/>
    </row>
    <row r="147">
      <c r="A147" s="530" t="inlineStr">
        <is>
          <t>반림동</t>
        </is>
      </c>
      <c r="B147" s="530" t="n"/>
      <c r="C147" s="530" t="n"/>
      <c r="D147" s="530" t="n">
        <v>19740</v>
      </c>
      <c r="E147" s="531" t="inlineStr">
        <is>
          <t>트리비앙</t>
        </is>
      </c>
      <c r="F147" s="530" t="n">
        <v>2006.1</v>
      </c>
      <c r="G147" s="530" t="n">
        <v>2610</v>
      </c>
      <c r="H147" s="530">
        <f>2026-F147+1</f>
        <v/>
      </c>
      <c r="I147" s="530" t="n"/>
      <c r="J147" s="530" t="n">
        <v>164</v>
      </c>
      <c r="K147" s="530" t="n">
        <v>129</v>
      </c>
      <c r="L147" s="530" t="n">
        <v>50</v>
      </c>
      <c r="M147" s="530" t="inlineStr">
        <is>
          <t>계단식</t>
        </is>
      </c>
      <c r="N147" s="530" t="n">
        <v>4</v>
      </c>
      <c r="O147" s="530" t="n">
        <v>2</v>
      </c>
      <c r="P147" s="530" t="n">
        <v>147</v>
      </c>
      <c r="Q147" s="530" t="n"/>
      <c r="R147" s="530" t="n"/>
      <c r="S147" s="530" t="n"/>
      <c r="T147" s="530" t="n"/>
      <c r="U147" s="530" t="n">
        <v>9.300000000000001</v>
      </c>
      <c r="V147" s="530" t="n">
        <v>7</v>
      </c>
      <c r="W147" s="530" t="n"/>
      <c r="X147" s="530" t="n"/>
      <c r="Y147" s="530" t="n"/>
      <c r="Z147" s="530" t="n"/>
      <c r="AA147" s="530" t="n"/>
      <c r="AB147" s="530" t="n"/>
      <c r="AC147" s="530" t="n"/>
      <c r="AD147" s="530" t="n"/>
      <c r="AE147" s="530" t="n"/>
      <c r="AF147" s="530" t="n"/>
      <c r="AG147" s="530" t="n"/>
      <c r="AH147" s="530" t="n"/>
      <c r="AI147" s="530" t="n"/>
      <c r="AJ147" s="530" t="n"/>
      <c r="AK147" s="530" t="n"/>
      <c r="AL147" s="530" t="n"/>
    </row>
    <row r="148">
      <c r="A148" s="530" t="inlineStr">
        <is>
          <t>반림동</t>
        </is>
      </c>
      <c r="B148" s="530" t="n"/>
      <c r="C148" s="530" t="n"/>
      <c r="D148" s="530" t="n">
        <v>19740</v>
      </c>
      <c r="E148" s="531" t="inlineStr">
        <is>
          <t>트리비앙</t>
        </is>
      </c>
      <c r="F148" s="530" t="n">
        <v>2006.1</v>
      </c>
      <c r="G148" s="530" t="n">
        <v>2610</v>
      </c>
      <c r="H148" s="530">
        <f>2026-F148+1</f>
        <v/>
      </c>
      <c r="I148" s="530" t="n"/>
      <c r="J148" s="530" t="n">
        <v>188</v>
      </c>
      <c r="K148" s="530" t="n">
        <v>148</v>
      </c>
      <c r="L148" s="530" t="n">
        <v>57</v>
      </c>
      <c r="M148" s="530" t="inlineStr">
        <is>
          <t>계단식</t>
        </is>
      </c>
      <c r="N148" s="530" t="n">
        <v>4</v>
      </c>
      <c r="O148" s="530" t="n">
        <v>2</v>
      </c>
      <c r="P148" s="530" t="n">
        <v>90</v>
      </c>
      <c r="Q148" s="530" t="n"/>
      <c r="R148" s="530" t="n"/>
      <c r="S148" s="530" t="n"/>
      <c r="T148" s="530" t="n"/>
      <c r="U148" s="530" t="n">
        <v>9.800000000000001</v>
      </c>
      <c r="V148" s="530" t="n">
        <v>8.449999999999999</v>
      </c>
      <c r="W148" s="530" t="n"/>
      <c r="X148" s="530" t="n"/>
      <c r="Y148" s="530" t="n"/>
      <c r="Z148" s="530" t="n"/>
      <c r="AA148" s="530" t="n"/>
      <c r="AB148" s="530" t="n"/>
      <c r="AC148" s="530" t="n"/>
      <c r="AD148" s="530" t="n"/>
      <c r="AE148" s="530" t="n"/>
      <c r="AF148" s="530" t="n"/>
      <c r="AG148" s="530" t="n"/>
      <c r="AH148" s="530" t="n"/>
      <c r="AI148" s="530" t="n"/>
      <c r="AJ148" s="530" t="n"/>
      <c r="AK148" s="530" t="n"/>
      <c r="AL148" s="530" t="n"/>
    </row>
    <row r="149">
      <c r="A149" s="339" t="inlineStr">
        <is>
          <t>반림동</t>
        </is>
      </c>
      <c r="D149" s="339" t="n">
        <v>7743</v>
      </c>
      <c r="E149" s="532" t="inlineStr">
        <is>
          <t>현대</t>
        </is>
      </c>
      <c r="F149" s="339" t="n">
        <v>1989.04</v>
      </c>
      <c r="G149" s="339" t="n">
        <v>1200</v>
      </c>
      <c r="H149" s="339">
        <f>2026-F149+1</f>
        <v/>
      </c>
      <c r="J149" s="339" t="n">
        <v>84</v>
      </c>
      <c r="K149" s="339" t="n">
        <v>68</v>
      </c>
      <c r="L149" s="339" t="n">
        <v>25</v>
      </c>
      <c r="M149" s="339" t="inlineStr">
        <is>
          <t>계단식</t>
        </is>
      </c>
      <c r="N149" s="339" t="n">
        <v>3</v>
      </c>
      <c r="O149" s="339" t="n">
        <v>1</v>
      </c>
      <c r="P149" s="339" t="n">
        <v>390</v>
      </c>
      <c r="U149" t="n">
        <v>4.05</v>
      </c>
      <c r="V149" t="n">
        <v>2.7</v>
      </c>
    </row>
    <row r="150">
      <c r="A150" s="339" t="inlineStr">
        <is>
          <t>반림동</t>
        </is>
      </c>
      <c r="D150" s="339" t="n">
        <v>7743</v>
      </c>
      <c r="E150" s="532" t="inlineStr">
        <is>
          <t>현대</t>
        </is>
      </c>
      <c r="F150" s="339" t="n">
        <v>1989.04</v>
      </c>
      <c r="G150" s="339" t="n">
        <v>1200</v>
      </c>
      <c r="H150" s="339">
        <f>2026-F150+1</f>
        <v/>
      </c>
      <c r="J150" s="339" t="n">
        <v>85</v>
      </c>
      <c r="K150" s="339" t="n">
        <v>68</v>
      </c>
      <c r="L150" s="339" t="n">
        <v>26</v>
      </c>
      <c r="M150" s="339" t="inlineStr">
        <is>
          <t>계단식</t>
        </is>
      </c>
      <c r="N150" s="339" t="n">
        <v>3</v>
      </c>
      <c r="O150" s="339" t="n">
        <v>2</v>
      </c>
      <c r="P150" s="339" t="n">
        <v>90</v>
      </c>
      <c r="U150" t="n">
        <v>4.05</v>
      </c>
      <c r="V150" t="n">
        <v>2.7</v>
      </c>
    </row>
    <row r="151">
      <c r="A151" s="339" t="inlineStr">
        <is>
          <t>반림동</t>
        </is>
      </c>
      <c r="D151" s="339" t="n">
        <v>7743</v>
      </c>
      <c r="E151" s="532" t="inlineStr">
        <is>
          <t>현대</t>
        </is>
      </c>
      <c r="F151" s="339" t="n">
        <v>1989.04</v>
      </c>
      <c r="G151" s="339" t="n">
        <v>1200</v>
      </c>
      <c r="H151" s="339">
        <f>2026-F151+1</f>
        <v/>
      </c>
      <c r="J151" s="339" t="n">
        <v>102</v>
      </c>
      <c r="K151" s="339" t="n">
        <v>84</v>
      </c>
      <c r="L151" s="339" t="n">
        <v>31</v>
      </c>
      <c r="M151" s="339" t="inlineStr">
        <is>
          <t>계단식</t>
        </is>
      </c>
      <c r="N151" s="339" t="n">
        <v>3</v>
      </c>
      <c r="O151" s="339" t="n">
        <v>2</v>
      </c>
      <c r="P151" s="339" t="n">
        <v>480</v>
      </c>
      <c r="U151" t="n">
        <v>4.9</v>
      </c>
      <c r="V151" t="n">
        <v>3.7</v>
      </c>
    </row>
    <row r="152">
      <c r="A152" s="339" t="inlineStr">
        <is>
          <t>반림동</t>
        </is>
      </c>
      <c r="D152" s="339" t="n">
        <v>7743</v>
      </c>
      <c r="E152" s="532" t="inlineStr">
        <is>
          <t>현대</t>
        </is>
      </c>
      <c r="F152" s="339" t="n">
        <v>1989.04</v>
      </c>
      <c r="G152" s="339" t="n">
        <v>1200</v>
      </c>
      <c r="H152" s="339">
        <f>2026-F152+1</f>
        <v/>
      </c>
      <c r="J152" s="339" t="n">
        <v>124</v>
      </c>
      <c r="K152" s="339" t="n">
        <v>106</v>
      </c>
      <c r="L152" s="339" t="n">
        <v>38</v>
      </c>
      <c r="M152" s="339" t="inlineStr">
        <is>
          <t>계단식</t>
        </is>
      </c>
      <c r="N152" s="339" t="n">
        <v>4</v>
      </c>
      <c r="O152" s="339" t="n">
        <v>2</v>
      </c>
      <c r="P152" s="339" t="n">
        <v>120</v>
      </c>
      <c r="U152" t="n">
        <v>5.6</v>
      </c>
      <c r="V152" t="n">
        <v>4.5</v>
      </c>
    </row>
    <row r="153">
      <c r="A153" s="339" t="inlineStr">
        <is>
          <t>반림동</t>
        </is>
      </c>
      <c r="D153" s="339" t="n">
        <v>7743</v>
      </c>
      <c r="E153" s="532" t="inlineStr">
        <is>
          <t>현대</t>
        </is>
      </c>
      <c r="F153" s="339" t="n">
        <v>1989.04</v>
      </c>
      <c r="G153" s="339" t="n">
        <v>1200</v>
      </c>
      <c r="H153" s="339">
        <f>2026-F153+1</f>
        <v/>
      </c>
      <c r="J153" s="339" t="n">
        <v>145</v>
      </c>
      <c r="K153" s="339" t="n">
        <v>125</v>
      </c>
      <c r="L153" s="339" t="n">
        <v>44</v>
      </c>
      <c r="M153" s="339" t="inlineStr">
        <is>
          <t>계단식</t>
        </is>
      </c>
      <c r="N153" s="339" t="n">
        <v>4</v>
      </c>
      <c r="O153" s="339" t="n">
        <v>2</v>
      </c>
      <c r="P153" s="339" t="n">
        <v>60</v>
      </c>
      <c r="U153" t="n">
        <v>5.8</v>
      </c>
      <c r="V153" t="n">
        <v>4.1</v>
      </c>
    </row>
    <row r="154">
      <c r="A154" s="339" t="inlineStr">
        <is>
          <t>반림동</t>
        </is>
      </c>
      <c r="D154" s="339" t="n">
        <v>7743</v>
      </c>
      <c r="E154" s="532" t="inlineStr">
        <is>
          <t>현대</t>
        </is>
      </c>
      <c r="F154" s="339" t="n">
        <v>1989.04</v>
      </c>
      <c r="G154" s="339" t="n">
        <v>1200</v>
      </c>
      <c r="H154" s="339">
        <f>2026-F154+1</f>
        <v/>
      </c>
      <c r="J154" s="339" t="n">
        <v>147</v>
      </c>
      <c r="K154" s="339" t="n">
        <v>126</v>
      </c>
      <c r="L154" s="339" t="n">
        <v>44</v>
      </c>
      <c r="M154" s="339" t="inlineStr">
        <is>
          <t>계단식</t>
        </is>
      </c>
      <c r="N154" s="339" t="n">
        <v>4</v>
      </c>
      <c r="O154" s="339" t="n">
        <v>2</v>
      </c>
      <c r="P154" s="339" t="n">
        <v>60</v>
      </c>
      <c r="U154" t="n">
        <v>6.3</v>
      </c>
      <c r="V154" t="n">
        <v>4.1</v>
      </c>
    </row>
    <row r="155">
      <c r="A155" s="530" t="inlineStr">
        <is>
          <t>반림동</t>
        </is>
      </c>
      <c r="B155" s="530" t="n"/>
      <c r="C155" s="530" t="n"/>
      <c r="D155" s="530" t="n">
        <v>100902</v>
      </c>
      <c r="E155" s="531" t="inlineStr">
        <is>
          <t>현대2차</t>
        </is>
      </c>
      <c r="F155" s="530" t="n">
        <v>1989.07</v>
      </c>
      <c r="G155" s="530" t="n">
        <v>1395</v>
      </c>
      <c r="H155" s="530">
        <f>2026-F155+1</f>
        <v/>
      </c>
      <c r="I155" s="530" t="n"/>
      <c r="J155" s="530" t="n">
        <v>57</v>
      </c>
      <c r="K155" s="530" t="n">
        <v>44</v>
      </c>
      <c r="L155" s="530" t="n">
        <v>17</v>
      </c>
      <c r="M155" s="530" t="inlineStr">
        <is>
          <t>복도식</t>
        </is>
      </c>
      <c r="N155" s="530" t="n">
        <v>2</v>
      </c>
      <c r="O155" s="530" t="n">
        <v>1</v>
      </c>
      <c r="P155" s="530" t="n">
        <v>135</v>
      </c>
      <c r="Q155" s="530" t="n"/>
      <c r="R155" s="530" t="n"/>
      <c r="S155" s="530" t="n"/>
      <c r="T155" s="530" t="n"/>
      <c r="U155" s="530" t="n">
        <v>2.3</v>
      </c>
      <c r="V155" s="530" t="n">
        <v>1.82</v>
      </c>
      <c r="W155" s="530" t="n"/>
      <c r="X155" s="530" t="n"/>
      <c r="Y155" s="530" t="n"/>
      <c r="Z155" s="530" t="n"/>
      <c r="AA155" s="530" t="n"/>
      <c r="AB155" s="530" t="n"/>
      <c r="AC155" s="530" t="n"/>
      <c r="AD155" s="530" t="n"/>
      <c r="AE155" s="530" t="n"/>
      <c r="AF155" s="530" t="n"/>
      <c r="AG155" s="530" t="n"/>
      <c r="AH155" s="530" t="n"/>
      <c r="AI155" s="530" t="n"/>
      <c r="AJ155" s="530" t="n"/>
      <c r="AK155" s="530" t="n"/>
      <c r="AL155" s="530" t="n"/>
    </row>
    <row r="156">
      <c r="A156" s="530" t="inlineStr">
        <is>
          <t>반림동</t>
        </is>
      </c>
      <c r="B156" s="530" t="n"/>
      <c r="C156" s="530" t="n"/>
      <c r="D156" s="530" t="n">
        <v>100902</v>
      </c>
      <c r="E156" s="531" t="inlineStr">
        <is>
          <t>현대2차</t>
        </is>
      </c>
      <c r="F156" s="530" t="n">
        <v>1989.07</v>
      </c>
      <c r="G156" s="530" t="n">
        <v>1395</v>
      </c>
      <c r="H156" s="530">
        <f>2026-F156+1</f>
        <v/>
      </c>
      <c r="I156" s="530" t="n"/>
      <c r="J156" s="530" t="n">
        <v>86</v>
      </c>
      <c r="K156" s="530" t="n">
        <v>69</v>
      </c>
      <c r="L156" s="530" t="n">
        <v>26</v>
      </c>
      <c r="M156" s="530" t="inlineStr">
        <is>
          <t>계단식</t>
        </is>
      </c>
      <c r="N156" s="530" t="n">
        <v>3</v>
      </c>
      <c r="O156" s="530" t="n">
        <v>1</v>
      </c>
      <c r="P156" s="530" t="n">
        <v>510</v>
      </c>
      <c r="Q156" s="530" t="n"/>
      <c r="R156" s="530" t="n"/>
      <c r="S156" s="530" t="n"/>
      <c r="T156" s="530" t="n"/>
      <c r="U156" s="530" t="n">
        <v>4.08</v>
      </c>
      <c r="V156" s="530" t="n">
        <v>2.7</v>
      </c>
      <c r="W156" s="530" t="n"/>
      <c r="X156" s="530" t="n"/>
      <c r="Y156" s="530" t="n"/>
      <c r="Z156" s="530" t="n"/>
      <c r="AA156" s="530" t="n"/>
      <c r="AB156" s="530" t="n"/>
      <c r="AC156" s="530" t="n"/>
      <c r="AD156" s="530" t="n"/>
      <c r="AE156" s="530" t="n"/>
      <c r="AF156" s="530" t="n"/>
      <c r="AG156" s="530" t="n"/>
      <c r="AH156" s="530" t="n"/>
      <c r="AI156" s="530" t="n"/>
      <c r="AJ156" s="530" t="n"/>
      <c r="AK156" s="530" t="n"/>
      <c r="AL156" s="530" t="n"/>
    </row>
    <row r="157">
      <c r="A157" s="530" t="inlineStr">
        <is>
          <t>반림동</t>
        </is>
      </c>
      <c r="B157" s="530" t="n"/>
      <c r="C157" s="530" t="n"/>
      <c r="D157" s="530" t="n">
        <v>100902</v>
      </c>
      <c r="E157" s="531" t="inlineStr">
        <is>
          <t>현대2차</t>
        </is>
      </c>
      <c r="F157" s="530" t="n">
        <v>1989.07</v>
      </c>
      <c r="G157" s="530" t="n">
        <v>1395</v>
      </c>
      <c r="H157" s="530">
        <f>2026-F157+1</f>
        <v/>
      </c>
      <c r="I157" s="530" t="n"/>
      <c r="J157" s="530" t="n">
        <v>101</v>
      </c>
      <c r="K157" s="530" t="n">
        <v>84</v>
      </c>
      <c r="L157" s="530" t="n">
        <v>31</v>
      </c>
      <c r="M157" s="530" t="inlineStr">
        <is>
          <t>계단식</t>
        </is>
      </c>
      <c r="N157" s="530" t="n">
        <v>3</v>
      </c>
      <c r="O157" s="530" t="n">
        <v>2</v>
      </c>
      <c r="P157" s="530" t="n">
        <v>690</v>
      </c>
      <c r="Q157" s="530" t="n"/>
      <c r="R157" s="530" t="n"/>
      <c r="S157" s="530" t="n"/>
      <c r="T157" s="530" t="n"/>
      <c r="U157" s="530" t="n">
        <v>4.9</v>
      </c>
      <c r="V157" s="530" t="n">
        <v>3.7</v>
      </c>
      <c r="W157" s="530" t="n"/>
      <c r="X157" s="530" t="n"/>
      <c r="Y157" s="530" t="n"/>
      <c r="Z157" s="530" t="n"/>
      <c r="AA157" s="530" t="n"/>
      <c r="AB157" s="530" t="n"/>
      <c r="AC157" s="530" t="n"/>
      <c r="AD157" s="530" t="n"/>
      <c r="AE157" s="530" t="n"/>
      <c r="AF157" s="530" t="n"/>
      <c r="AG157" s="530" t="n"/>
      <c r="AH157" s="530" t="n"/>
      <c r="AI157" s="530" t="n"/>
      <c r="AJ157" s="530" t="n"/>
      <c r="AK157" s="530" t="n"/>
      <c r="AL157" s="530" t="n"/>
    </row>
    <row r="158">
      <c r="A158" s="530" t="inlineStr">
        <is>
          <t>반림동</t>
        </is>
      </c>
      <c r="B158" s="530" t="n"/>
      <c r="C158" s="530" t="n"/>
      <c r="D158" s="530" t="n">
        <v>100902</v>
      </c>
      <c r="E158" s="531" t="inlineStr">
        <is>
          <t>현대2차</t>
        </is>
      </c>
      <c r="F158" s="530" t="n">
        <v>1989.07</v>
      </c>
      <c r="G158" s="530" t="n">
        <v>1395</v>
      </c>
      <c r="H158" s="530">
        <f>2026-F158+1</f>
        <v/>
      </c>
      <c r="I158" s="530" t="n"/>
      <c r="J158" s="530" t="n">
        <v>153</v>
      </c>
      <c r="K158" s="530" t="n">
        <v>132</v>
      </c>
      <c r="L158" s="530" t="n">
        <v>46</v>
      </c>
      <c r="M158" s="530" t="inlineStr">
        <is>
          <t>계단식</t>
        </is>
      </c>
      <c r="N158" s="530" t="n">
        <v>4</v>
      </c>
      <c r="O158" s="530" t="n">
        <v>2</v>
      </c>
      <c r="P158" s="530" t="n">
        <v>60</v>
      </c>
      <c r="Q158" s="530" t="n"/>
      <c r="R158" s="530" t="n"/>
      <c r="S158" s="530" t="n"/>
      <c r="T158" s="530" t="n"/>
      <c r="U158" s="530" t="n">
        <v>6.05</v>
      </c>
      <c r="V158" s="530" t="n">
        <v>6</v>
      </c>
      <c r="W158" s="530" t="n"/>
      <c r="X158" s="530" t="n"/>
      <c r="Y158" s="530" t="n"/>
      <c r="Z158" s="530" t="n"/>
      <c r="AA158" s="530" t="n"/>
      <c r="AB158" s="530" t="n"/>
      <c r="AC158" s="530" t="n"/>
      <c r="AD158" s="530" t="n"/>
      <c r="AE158" s="530" t="n"/>
      <c r="AF158" s="530" t="n"/>
      <c r="AG158" s="530" t="n"/>
      <c r="AH158" s="530" t="n"/>
      <c r="AI158" s="530" t="n"/>
      <c r="AJ158" s="530" t="n"/>
      <c r="AK158" s="530" t="n"/>
      <c r="AL158" s="530" t="n"/>
    </row>
    <row r="159">
      <c r="A159" s="339" t="inlineStr">
        <is>
          <t>반지동</t>
        </is>
      </c>
      <c r="D159" s="339" t="n">
        <v>7751</v>
      </c>
      <c r="E159" s="532" t="inlineStr">
        <is>
          <t>까치1차</t>
        </is>
      </c>
      <c r="F159" s="339" t="n">
        <v>1990.09</v>
      </c>
      <c r="G159" s="339" t="n">
        <v>500</v>
      </c>
      <c r="H159" s="339">
        <f>2026-F159+1</f>
        <v/>
      </c>
      <c r="J159" s="339" t="n">
        <v>38</v>
      </c>
      <c r="K159" s="339" t="n">
        <v>30</v>
      </c>
      <c r="L159" s="339" t="n">
        <v>11</v>
      </c>
      <c r="M159" s="339" t="inlineStr">
        <is>
          <t>계단식</t>
        </is>
      </c>
      <c r="N159" s="339" t="n">
        <v>2</v>
      </c>
      <c r="O159" s="339" t="n">
        <v>1</v>
      </c>
      <c r="P159" s="339" t="n">
        <v>50</v>
      </c>
      <c r="U159" t="n">
        <v>2.35</v>
      </c>
      <c r="V159" t="n">
        <v>1.4</v>
      </c>
    </row>
    <row r="160">
      <c r="A160" s="339" t="inlineStr">
        <is>
          <t>반지동</t>
        </is>
      </c>
      <c r="D160" s="339" t="n">
        <v>7751</v>
      </c>
      <c r="E160" s="532" t="inlineStr">
        <is>
          <t>까치1차</t>
        </is>
      </c>
      <c r="F160" s="339" t="n">
        <v>1990.09</v>
      </c>
      <c r="G160" s="339" t="n">
        <v>500</v>
      </c>
      <c r="H160" s="339">
        <f>2026-F160+1</f>
        <v/>
      </c>
      <c r="J160" s="339" t="n">
        <v>39</v>
      </c>
      <c r="K160" s="339" t="n">
        <v>31</v>
      </c>
      <c r="L160" s="339" t="n">
        <v>12</v>
      </c>
      <c r="M160" s="339" t="inlineStr">
        <is>
          <t>계단식</t>
        </is>
      </c>
      <c r="N160" s="339" t="n">
        <v>2</v>
      </c>
      <c r="O160" s="339" t="n">
        <v>1</v>
      </c>
      <c r="P160" s="339" t="n">
        <v>450</v>
      </c>
      <c r="U160" t="n">
        <v>2.35</v>
      </c>
      <c r="V160" t="n">
        <v>1.4</v>
      </c>
    </row>
    <row r="161">
      <c r="A161" s="530" t="inlineStr">
        <is>
          <t>반지동</t>
        </is>
      </c>
      <c r="B161" s="530" t="n"/>
      <c r="C161" s="530" t="n"/>
      <c r="D161" s="530" t="n">
        <v>7752</v>
      </c>
      <c r="E161" s="531" t="inlineStr">
        <is>
          <t>까치2차</t>
        </is>
      </c>
      <c r="F161" s="530" t="n">
        <v>1991.06</v>
      </c>
      <c r="G161" s="530" t="n">
        <v>416</v>
      </c>
      <c r="H161" s="530">
        <f>2026-F161+1</f>
        <v/>
      </c>
      <c r="I161" s="530" t="n"/>
      <c r="J161" s="530" t="n">
        <v>74</v>
      </c>
      <c r="K161" s="530" t="n">
        <v>54</v>
      </c>
      <c r="L161" s="530" t="n">
        <v>22</v>
      </c>
      <c r="M161" s="530" t="inlineStr">
        <is>
          <t>복도식</t>
        </is>
      </c>
      <c r="N161" s="530" t="n">
        <v>2</v>
      </c>
      <c r="O161" s="530" t="n">
        <v>1</v>
      </c>
      <c r="P161" s="530" t="n">
        <v>416</v>
      </c>
      <c r="Q161" s="530" t="n"/>
      <c r="R161" s="530" t="n"/>
      <c r="S161" s="530" t="n"/>
      <c r="T161" s="530" t="n"/>
      <c r="U161" s="530" t="n">
        <v>1.83</v>
      </c>
      <c r="V161" s="530" t="n">
        <v>1.3</v>
      </c>
      <c r="W161" s="530" t="n"/>
      <c r="X161" s="530" t="n"/>
      <c r="Y161" s="530" t="n"/>
      <c r="Z161" s="530" t="n"/>
      <c r="AA161" s="530" t="n"/>
      <c r="AB161" s="530" t="n"/>
      <c r="AC161" s="530" t="n"/>
      <c r="AD161" s="530" t="n"/>
      <c r="AE161" s="530" t="n"/>
      <c r="AF161" s="530" t="n"/>
      <c r="AG161" s="530" t="n"/>
      <c r="AH161" s="530" t="n"/>
      <c r="AI161" s="530" t="n"/>
      <c r="AJ161" s="530" t="n"/>
      <c r="AK161" s="530" t="n"/>
      <c r="AL161" s="530" t="n"/>
    </row>
    <row r="162">
      <c r="A162" s="339" t="inlineStr">
        <is>
          <t>반지동</t>
        </is>
      </c>
      <c r="D162" s="339" t="n">
        <v>7754</v>
      </c>
      <c r="E162" s="532" t="inlineStr">
        <is>
          <t>반송대동</t>
        </is>
      </c>
      <c r="F162" s="339" t="n">
        <v>1990.12</v>
      </c>
      <c r="G162" s="339" t="n">
        <v>1292</v>
      </c>
      <c r="H162" s="339">
        <f>2026-F162+1</f>
        <v/>
      </c>
      <c r="J162" s="339" t="n">
        <v>83</v>
      </c>
      <c r="K162" s="339" t="n">
        <v>70</v>
      </c>
      <c r="L162" s="339" t="n">
        <v>25</v>
      </c>
      <c r="M162" s="339" t="inlineStr">
        <is>
          <t>계단식</t>
        </is>
      </c>
      <c r="N162" s="339" t="n">
        <v>3</v>
      </c>
      <c r="O162" s="339" t="n">
        <v>1</v>
      </c>
      <c r="P162" s="339" t="n">
        <v>408</v>
      </c>
      <c r="U162" t="n">
        <v>2.78</v>
      </c>
      <c r="V162" t="n">
        <v>2.2</v>
      </c>
    </row>
    <row r="163">
      <c r="A163" s="339" t="inlineStr">
        <is>
          <t>반지동</t>
        </is>
      </c>
      <c r="D163" s="339" t="n">
        <v>7754</v>
      </c>
      <c r="E163" s="532" t="inlineStr">
        <is>
          <t>반송대동</t>
        </is>
      </c>
      <c r="F163" s="339" t="n">
        <v>1990.12</v>
      </c>
      <c r="G163" s="339" t="n">
        <v>1292</v>
      </c>
      <c r="H163" s="339">
        <f>2026-F163+1</f>
        <v/>
      </c>
      <c r="J163" s="339" t="n">
        <v>100</v>
      </c>
      <c r="K163" s="339" t="n">
        <v>84</v>
      </c>
      <c r="L163" s="339" t="n">
        <v>30</v>
      </c>
      <c r="M163" s="339" t="inlineStr">
        <is>
          <t>계단식</t>
        </is>
      </c>
      <c r="N163" s="339" t="n">
        <v>3</v>
      </c>
      <c r="O163" s="339" t="n">
        <v>2</v>
      </c>
      <c r="P163" s="339" t="n">
        <v>734</v>
      </c>
      <c r="U163" t="n">
        <v>3.04</v>
      </c>
      <c r="V163" t="n">
        <v>2.45</v>
      </c>
    </row>
    <row r="164">
      <c r="A164" s="339" t="inlineStr">
        <is>
          <t>반지동</t>
        </is>
      </c>
      <c r="D164" s="339" t="n">
        <v>7754</v>
      </c>
      <c r="E164" s="532" t="inlineStr">
        <is>
          <t>반송대동</t>
        </is>
      </c>
      <c r="F164" s="339" t="n">
        <v>1990.12</v>
      </c>
      <c r="G164" s="339" t="n">
        <v>1292</v>
      </c>
      <c r="H164" s="339">
        <f>2026-F164+1</f>
        <v/>
      </c>
      <c r="J164" s="339" t="n">
        <v>143</v>
      </c>
      <c r="K164" s="339" t="n">
        <v>120</v>
      </c>
      <c r="L164" s="339" t="n">
        <v>43</v>
      </c>
      <c r="M164" s="339" t="inlineStr">
        <is>
          <t>계단식</t>
        </is>
      </c>
      <c r="N164" s="339" t="n">
        <v>4</v>
      </c>
      <c r="O164" s="339" t="n">
        <v>2</v>
      </c>
      <c r="P164" s="339" t="n">
        <v>60</v>
      </c>
      <c r="U164" t="n">
        <v>3.4</v>
      </c>
      <c r="V164" t="n">
        <v>3.3</v>
      </c>
    </row>
    <row r="165">
      <c r="A165" s="339" t="inlineStr">
        <is>
          <t>반지동</t>
        </is>
      </c>
      <c r="D165" s="339" t="n">
        <v>7754</v>
      </c>
      <c r="E165" s="532" t="inlineStr">
        <is>
          <t>반송대동</t>
        </is>
      </c>
      <c r="F165" s="339" t="n">
        <v>1990.12</v>
      </c>
      <c r="G165" s="339" t="n">
        <v>1292</v>
      </c>
      <c r="H165" s="339">
        <f>2026-F165+1</f>
        <v/>
      </c>
      <c r="J165" s="339" t="n">
        <v>147</v>
      </c>
      <c r="K165" s="339" t="n">
        <v>123</v>
      </c>
      <c r="L165" s="339" t="n">
        <v>44</v>
      </c>
      <c r="M165" s="339" t="inlineStr">
        <is>
          <t>계단식</t>
        </is>
      </c>
      <c r="N165" s="339" t="n">
        <v>4</v>
      </c>
      <c r="O165" s="339" t="n">
        <v>2</v>
      </c>
      <c r="P165" s="339" t="n">
        <v>90</v>
      </c>
      <c r="U165" t="n">
        <v>3.95</v>
      </c>
      <c r="V165" t="n">
        <v>3.1</v>
      </c>
    </row>
    <row r="166">
      <c r="A166" s="530" t="inlineStr">
        <is>
          <t>사파동</t>
        </is>
      </c>
      <c r="B166" s="530" t="n"/>
      <c r="C166" s="530" t="n"/>
      <c r="D166" s="530" t="n">
        <v>7768</v>
      </c>
      <c r="E166" s="531" t="inlineStr">
        <is>
          <t>대동1차</t>
        </is>
      </c>
      <c r="F166" s="530" t="n">
        <v>1988.06</v>
      </c>
      <c r="G166" s="530" t="n">
        <v>400</v>
      </c>
      <c r="H166" s="530">
        <f>2026-F166+1</f>
        <v/>
      </c>
      <c r="I166" s="530" t="n"/>
      <c r="J166" s="530" t="n">
        <v>55</v>
      </c>
      <c r="K166" s="530" t="n">
        <v>45</v>
      </c>
      <c r="L166" s="530" t="n">
        <v>17</v>
      </c>
      <c r="M166" s="530" t="inlineStr">
        <is>
          <t>계단식</t>
        </is>
      </c>
      <c r="N166" s="530" t="n">
        <v>2</v>
      </c>
      <c r="O166" s="530" t="n">
        <v>1</v>
      </c>
      <c r="P166" s="530" t="n">
        <v>110</v>
      </c>
      <c r="Q166" s="530" t="n"/>
      <c r="R166" s="530" t="n"/>
      <c r="S166" s="530" t="n"/>
      <c r="T166" s="530" t="n"/>
      <c r="U166" s="530" t="n">
        <v>3.1</v>
      </c>
      <c r="V166" s="530" t="n">
        <v>2.29</v>
      </c>
      <c r="W166" s="530" t="n"/>
      <c r="X166" s="530" t="n"/>
      <c r="Y166" s="530" t="n"/>
      <c r="Z166" s="530" t="n"/>
      <c r="AA166" s="530" t="n"/>
      <c r="AB166" s="530" t="n"/>
      <c r="AC166" s="530" t="n"/>
      <c r="AD166" s="530" t="n"/>
      <c r="AE166" s="530" t="n"/>
      <c r="AF166" s="530" t="n"/>
      <c r="AG166" s="530" t="n"/>
      <c r="AH166" s="530" t="n"/>
      <c r="AI166" s="530" t="n"/>
      <c r="AJ166" s="530" t="n"/>
      <c r="AK166" s="530" t="n"/>
      <c r="AL166" s="530" t="n"/>
    </row>
    <row r="167">
      <c r="A167" s="530" t="inlineStr">
        <is>
          <t>사파동</t>
        </is>
      </c>
      <c r="B167" s="530" t="n"/>
      <c r="C167" s="530" t="n"/>
      <c r="D167" s="530" t="n">
        <v>7768</v>
      </c>
      <c r="E167" s="531" t="inlineStr">
        <is>
          <t>대동1차</t>
        </is>
      </c>
      <c r="F167" s="530" t="n">
        <v>1988.06</v>
      </c>
      <c r="G167" s="530" t="n">
        <v>400</v>
      </c>
      <c r="H167" s="530">
        <f>2026-F167+1</f>
        <v/>
      </c>
      <c r="I167" s="530" t="n"/>
      <c r="J167" s="530" t="n">
        <v>60</v>
      </c>
      <c r="K167" s="530" t="n">
        <v>50</v>
      </c>
      <c r="L167" s="530" t="n">
        <v>18</v>
      </c>
      <c r="M167" s="530" t="inlineStr">
        <is>
          <t>계단식</t>
        </is>
      </c>
      <c r="N167" s="530" t="n">
        <v>3</v>
      </c>
      <c r="O167" s="530" t="n">
        <v>1</v>
      </c>
      <c r="P167" s="530" t="n">
        <v>172</v>
      </c>
      <c r="Q167" s="530" t="n"/>
      <c r="R167" s="530" t="n"/>
      <c r="S167" s="530" t="n"/>
      <c r="T167" s="530" t="n"/>
      <c r="U167" s="530" t="n">
        <v>3.57</v>
      </c>
      <c r="V167" s="530" t="n">
        <v>2.6</v>
      </c>
      <c r="W167" s="530" t="n"/>
      <c r="X167" s="530" t="n"/>
      <c r="Y167" s="530" t="n"/>
      <c r="Z167" s="530" t="n"/>
      <c r="AA167" s="530" t="n"/>
      <c r="AB167" s="530" t="n"/>
      <c r="AC167" s="530" t="n"/>
      <c r="AD167" s="530" t="n"/>
      <c r="AE167" s="530" t="n"/>
      <c r="AF167" s="530" t="n"/>
      <c r="AG167" s="530" t="n"/>
      <c r="AH167" s="530" t="n"/>
      <c r="AI167" s="530" t="n"/>
      <c r="AJ167" s="530" t="n"/>
      <c r="AK167" s="530" t="n"/>
      <c r="AL167" s="530" t="n"/>
    </row>
    <row r="168">
      <c r="A168" s="530" t="inlineStr">
        <is>
          <t>사파동</t>
        </is>
      </c>
      <c r="B168" s="530" t="n"/>
      <c r="C168" s="530" t="n"/>
      <c r="D168" s="530" t="n">
        <v>7768</v>
      </c>
      <c r="E168" s="531" t="inlineStr">
        <is>
          <t>대동1차</t>
        </is>
      </c>
      <c r="F168" s="530" t="n">
        <v>1988.06</v>
      </c>
      <c r="G168" s="530" t="n">
        <v>400</v>
      </c>
      <c r="H168" s="530">
        <f>2026-F168+1</f>
        <v/>
      </c>
      <c r="I168" s="530" t="n"/>
      <c r="J168" s="530" t="n">
        <v>63</v>
      </c>
      <c r="K168" s="530" t="n">
        <v>52</v>
      </c>
      <c r="L168" s="530" t="n">
        <v>19</v>
      </c>
      <c r="M168" s="530" t="inlineStr">
        <is>
          <t>계단식</t>
        </is>
      </c>
      <c r="N168" s="530" t="n">
        <v>3</v>
      </c>
      <c r="O168" s="530" t="n">
        <v>1</v>
      </c>
      <c r="P168" s="530" t="n">
        <v>118</v>
      </c>
      <c r="Q168" s="530" t="n"/>
      <c r="R168" s="530" t="n"/>
      <c r="S168" s="530" t="n"/>
      <c r="T168" s="530" t="n"/>
      <c r="U168" s="530" t="n">
        <v>3.9</v>
      </c>
      <c r="V168" s="530" t="n">
        <v>2.73</v>
      </c>
      <c r="W168" s="530" t="n"/>
      <c r="X168" s="530" t="n"/>
      <c r="Y168" s="530" t="n"/>
      <c r="Z168" s="530" t="n"/>
      <c r="AA168" s="530" t="n"/>
      <c r="AB168" s="530" t="n"/>
      <c r="AC168" s="530" t="n"/>
      <c r="AD168" s="530" t="n"/>
      <c r="AE168" s="530" t="n"/>
      <c r="AF168" s="530" t="n"/>
      <c r="AG168" s="530" t="n"/>
      <c r="AH168" s="530" t="n"/>
      <c r="AI168" s="530" t="n"/>
      <c r="AJ168" s="530" t="n"/>
      <c r="AK168" s="530" t="n"/>
      <c r="AL168" s="530" t="n"/>
    </row>
    <row r="169">
      <c r="A169" s="339" t="inlineStr">
        <is>
          <t>사파동</t>
        </is>
      </c>
      <c r="D169" s="339" t="n">
        <v>7771</v>
      </c>
      <c r="E169" s="532" t="inlineStr">
        <is>
          <t>대동2차</t>
        </is>
      </c>
      <c r="F169" s="339" t="n">
        <v>1989.05</v>
      </c>
      <c r="G169" s="339" t="n">
        <v>470</v>
      </c>
      <c r="H169" s="339">
        <f>2026-F169+1</f>
        <v/>
      </c>
      <c r="J169" s="339" t="n">
        <v>54</v>
      </c>
      <c r="K169" s="339" t="n">
        <v>44</v>
      </c>
      <c r="L169" s="339" t="n">
        <v>16</v>
      </c>
      <c r="M169" s="339" t="inlineStr">
        <is>
          <t>계단식</t>
        </is>
      </c>
      <c r="N169" s="339" t="n">
        <v>2</v>
      </c>
      <c r="O169" s="339" t="n">
        <v>1</v>
      </c>
      <c r="P169" s="339" t="n">
        <v>50</v>
      </c>
    </row>
    <row r="170">
      <c r="A170" s="339" t="inlineStr">
        <is>
          <t>사파동</t>
        </is>
      </c>
      <c r="D170" s="339" t="n">
        <v>7771</v>
      </c>
      <c r="E170" s="532" t="inlineStr">
        <is>
          <t>대동2차</t>
        </is>
      </c>
      <c r="F170" s="339" t="n">
        <v>1989.05</v>
      </c>
      <c r="G170" s="339" t="n">
        <v>470</v>
      </c>
      <c r="H170" s="339">
        <f>2026-F170+1</f>
        <v/>
      </c>
      <c r="J170" s="339" t="n">
        <v>61</v>
      </c>
      <c r="K170" s="339" t="n">
        <v>50</v>
      </c>
      <c r="L170" s="339" t="n">
        <v>18</v>
      </c>
      <c r="M170" s="339" t="inlineStr">
        <is>
          <t>계단식</t>
        </is>
      </c>
      <c r="N170" s="339" t="n">
        <v>3</v>
      </c>
      <c r="O170" s="339" t="n">
        <v>1</v>
      </c>
      <c r="P170" s="339" t="n">
        <v>50</v>
      </c>
    </row>
    <row r="171">
      <c r="A171" s="339" t="inlineStr">
        <is>
          <t>사파동</t>
        </is>
      </c>
      <c r="D171" s="339" t="n">
        <v>7771</v>
      </c>
      <c r="E171" s="532" t="inlineStr">
        <is>
          <t>대동2차</t>
        </is>
      </c>
      <c r="F171" s="339" t="n">
        <v>1989.05</v>
      </c>
      <c r="G171" s="339" t="n">
        <v>470</v>
      </c>
      <c r="H171" s="339">
        <f>2026-F171+1</f>
        <v/>
      </c>
      <c r="J171" s="339" t="n">
        <v>82</v>
      </c>
      <c r="K171" s="339" t="n">
        <v>69</v>
      </c>
      <c r="L171" s="339" t="n">
        <v>25</v>
      </c>
      <c r="M171" s="339" t="inlineStr">
        <is>
          <t>계단식</t>
        </is>
      </c>
      <c r="N171" s="339" t="n">
        <v>3</v>
      </c>
      <c r="O171" s="339" t="n">
        <v>1</v>
      </c>
      <c r="P171" s="339" t="n">
        <v>130</v>
      </c>
    </row>
    <row r="172">
      <c r="A172" s="339" t="inlineStr">
        <is>
          <t>사파동</t>
        </is>
      </c>
      <c r="D172" s="339" t="n">
        <v>7771</v>
      </c>
      <c r="E172" s="532" t="inlineStr">
        <is>
          <t>대동2차</t>
        </is>
      </c>
      <c r="F172" s="339" t="n">
        <v>1989.05</v>
      </c>
      <c r="G172" s="339" t="n">
        <v>470</v>
      </c>
      <c r="H172" s="339">
        <f>2026-F172+1</f>
        <v/>
      </c>
      <c r="J172" s="339" t="n">
        <v>85</v>
      </c>
      <c r="K172" s="339" t="n">
        <v>70</v>
      </c>
      <c r="L172" s="339" t="n">
        <v>26</v>
      </c>
      <c r="M172" s="339" t="inlineStr">
        <is>
          <t>계단식</t>
        </is>
      </c>
      <c r="N172" s="339" t="n">
        <v>3</v>
      </c>
      <c r="O172" s="339" t="n">
        <v>1</v>
      </c>
      <c r="P172" s="339" t="n">
        <v>40</v>
      </c>
    </row>
    <row r="173">
      <c r="A173" s="339" t="inlineStr">
        <is>
          <t>사파동</t>
        </is>
      </c>
      <c r="D173" s="339" t="n">
        <v>7771</v>
      </c>
      <c r="E173" s="532" t="inlineStr">
        <is>
          <t>대동2차</t>
        </is>
      </c>
      <c r="F173" s="339" t="n">
        <v>1989.05</v>
      </c>
      <c r="G173" s="339" t="n">
        <v>470</v>
      </c>
      <c r="H173" s="339">
        <f>2026-F173+1</f>
        <v/>
      </c>
      <c r="J173" s="339" t="n">
        <v>91</v>
      </c>
      <c r="K173" s="339" t="n">
        <v>75</v>
      </c>
      <c r="L173" s="339" t="n">
        <v>28</v>
      </c>
      <c r="M173" s="339" t="inlineStr">
        <is>
          <t>계단식</t>
        </is>
      </c>
      <c r="N173" s="339" t="n">
        <v>3</v>
      </c>
      <c r="O173" s="339" t="n">
        <v>1</v>
      </c>
      <c r="P173" s="339" t="n">
        <v>40</v>
      </c>
    </row>
    <row r="174">
      <c r="A174" s="339" t="inlineStr">
        <is>
          <t>사파동</t>
        </is>
      </c>
      <c r="D174" s="339" t="n">
        <v>7771</v>
      </c>
      <c r="E174" s="532" t="inlineStr">
        <is>
          <t>대동2차</t>
        </is>
      </c>
      <c r="F174" s="339" t="n">
        <v>1989.05</v>
      </c>
      <c r="G174" s="339" t="n">
        <v>470</v>
      </c>
      <c r="H174" s="339">
        <f>2026-F174+1</f>
        <v/>
      </c>
      <c r="J174" s="339" t="n">
        <v>96</v>
      </c>
      <c r="K174" s="339" t="n">
        <v>81</v>
      </c>
      <c r="L174" s="339" t="n">
        <v>29</v>
      </c>
      <c r="M174" s="339" t="inlineStr">
        <is>
          <t>계단식</t>
        </is>
      </c>
      <c r="N174" s="339" t="n">
        <v>3</v>
      </c>
      <c r="O174" s="339" t="n">
        <v>1</v>
      </c>
      <c r="P174" s="339" t="n">
        <v>160</v>
      </c>
    </row>
    <row r="175">
      <c r="A175" s="530" t="inlineStr">
        <is>
          <t>사파동</t>
        </is>
      </c>
      <c r="B175" s="530" t="n"/>
      <c r="C175" s="530" t="n"/>
      <c r="D175" s="530" t="n">
        <v>7781</v>
      </c>
      <c r="E175" s="531" t="inlineStr">
        <is>
          <t>동양무궁화</t>
        </is>
      </c>
      <c r="F175" s="530" t="n">
        <v>1988.02</v>
      </c>
      <c r="G175" s="530" t="n">
        <v>770</v>
      </c>
      <c r="H175" s="530">
        <f>2026-F175+1</f>
        <v/>
      </c>
      <c r="I175" s="530" t="n"/>
      <c r="J175" s="530" t="n">
        <v>61</v>
      </c>
      <c r="K175" s="530" t="n">
        <v>51</v>
      </c>
      <c r="L175" s="530" t="n">
        <v>18</v>
      </c>
      <c r="M175" s="530" t="inlineStr">
        <is>
          <t>계단식</t>
        </is>
      </c>
      <c r="N175" s="530" t="n">
        <v>2</v>
      </c>
      <c r="O175" s="530" t="n">
        <v>1</v>
      </c>
      <c r="P175" s="530" t="n">
        <v>550</v>
      </c>
      <c r="Q175" s="530" t="n"/>
      <c r="R175" s="530" t="n"/>
      <c r="S175" s="530" t="n"/>
      <c r="T175" s="530" t="n"/>
      <c r="U175" s="530" t="n">
        <v>3.79</v>
      </c>
      <c r="V175" s="530" t="n">
        <v>2.29</v>
      </c>
      <c r="W175" s="530" t="n"/>
      <c r="X175" s="530" t="n"/>
      <c r="Y175" s="530" t="n"/>
      <c r="Z175" s="530" t="n"/>
      <c r="AA175" s="530" t="n"/>
      <c r="AB175" s="530" t="n"/>
      <c r="AC175" s="530" t="n"/>
      <c r="AD175" s="530" t="n"/>
      <c r="AE175" s="530" t="n"/>
      <c r="AF175" s="530" t="n"/>
      <c r="AG175" s="530" t="n"/>
      <c r="AH175" s="530" t="n"/>
      <c r="AI175" s="530" t="n"/>
      <c r="AJ175" s="530" t="n"/>
      <c r="AK175" s="530" t="n"/>
      <c r="AL175" s="530" t="n"/>
    </row>
    <row r="176">
      <c r="A176" s="530" t="inlineStr">
        <is>
          <t>사파동</t>
        </is>
      </c>
      <c r="B176" s="530" t="n"/>
      <c r="C176" s="530" t="n"/>
      <c r="D176" s="530" t="n">
        <v>7781</v>
      </c>
      <c r="E176" s="531" t="inlineStr">
        <is>
          <t>동양무궁화</t>
        </is>
      </c>
      <c r="F176" s="530" t="n">
        <v>1988.02</v>
      </c>
      <c r="G176" s="530" t="n">
        <v>770</v>
      </c>
      <c r="H176" s="530">
        <f>2026-F176+1</f>
        <v/>
      </c>
      <c r="I176" s="530" t="n"/>
      <c r="J176" s="530" t="n">
        <v>68</v>
      </c>
      <c r="K176" s="530" t="n">
        <v>59</v>
      </c>
      <c r="L176" s="530" t="n">
        <v>21</v>
      </c>
      <c r="M176" s="530" t="inlineStr">
        <is>
          <t>계단식</t>
        </is>
      </c>
      <c r="N176" s="530" t="n">
        <v>3</v>
      </c>
      <c r="O176" s="530" t="n">
        <v>1</v>
      </c>
      <c r="P176" s="530" t="n">
        <v>220</v>
      </c>
      <c r="Q176" s="530" t="n"/>
      <c r="R176" s="530" t="n"/>
      <c r="S176" s="530" t="n"/>
      <c r="T176" s="530" t="n"/>
      <c r="U176" s="530" t="n">
        <v>4.3</v>
      </c>
      <c r="V176" s="530" t="n">
        <v>3.1</v>
      </c>
      <c r="W176" s="530" t="n"/>
      <c r="X176" s="530" t="n"/>
      <c r="Y176" s="530" t="n"/>
      <c r="Z176" s="530" t="n"/>
      <c r="AA176" s="530" t="n"/>
      <c r="AB176" s="530" t="n"/>
      <c r="AC176" s="530" t="n"/>
      <c r="AD176" s="530" t="n"/>
      <c r="AE176" s="530" t="n"/>
      <c r="AF176" s="530" t="n"/>
      <c r="AG176" s="530" t="n"/>
      <c r="AH176" s="530" t="n"/>
      <c r="AI176" s="530" t="n"/>
      <c r="AJ176" s="530" t="n"/>
      <c r="AK176" s="530" t="n"/>
      <c r="AL176" s="530" t="n"/>
    </row>
    <row r="177">
      <c r="A177" s="339" t="inlineStr">
        <is>
          <t>사파동</t>
        </is>
      </c>
      <c r="D177" s="339" t="n">
        <v>7779</v>
      </c>
      <c r="E177" s="532" t="inlineStr">
        <is>
          <t>사파동성</t>
        </is>
      </c>
      <c r="F177" s="339" t="n">
        <v>1992.11</v>
      </c>
      <c r="G177" s="339" t="n">
        <v>1986</v>
      </c>
      <c r="H177" s="339">
        <f>2026-F177+1</f>
        <v/>
      </c>
      <c r="J177" s="339" t="n">
        <v>71</v>
      </c>
      <c r="K177" s="339" t="n">
        <v>49</v>
      </c>
      <c r="L177" s="339" t="n">
        <v>21</v>
      </c>
      <c r="M177" s="339" t="inlineStr">
        <is>
          <t>복도식</t>
        </is>
      </c>
      <c r="N177" s="339" t="n">
        <v>2</v>
      </c>
      <c r="O177" s="339" t="n">
        <v>1</v>
      </c>
      <c r="P177" s="339" t="n">
        <v>902</v>
      </c>
      <c r="U177" t="n">
        <v>2.25</v>
      </c>
      <c r="V177" t="n">
        <v>1.4</v>
      </c>
    </row>
    <row r="178">
      <c r="A178" s="339" t="inlineStr">
        <is>
          <t>사파동</t>
        </is>
      </c>
      <c r="D178" s="339" t="n">
        <v>7779</v>
      </c>
      <c r="E178" s="532" t="inlineStr">
        <is>
          <t>사파동성</t>
        </is>
      </c>
      <c r="F178" s="339" t="n">
        <v>1992.11</v>
      </c>
      <c r="G178" s="339" t="n">
        <v>1986</v>
      </c>
      <c r="H178" s="339">
        <f>2026-F178+1</f>
        <v/>
      </c>
      <c r="J178" s="339" t="n">
        <v>75</v>
      </c>
      <c r="K178" s="339" t="n">
        <v>59</v>
      </c>
      <c r="L178" s="339" t="n">
        <v>23</v>
      </c>
      <c r="M178" s="339" t="inlineStr">
        <is>
          <t>계단식</t>
        </is>
      </c>
      <c r="N178" s="339" t="n">
        <v>3</v>
      </c>
      <c r="O178" s="339" t="n">
        <v>1</v>
      </c>
      <c r="P178" s="339" t="n">
        <v>370</v>
      </c>
      <c r="U178" t="n">
        <v>2.63</v>
      </c>
      <c r="V178" t="n">
        <v>2</v>
      </c>
    </row>
    <row r="179">
      <c r="A179" s="339" t="inlineStr">
        <is>
          <t>사파동</t>
        </is>
      </c>
      <c r="D179" s="339" t="n">
        <v>7779</v>
      </c>
      <c r="E179" s="532" t="inlineStr">
        <is>
          <t>사파동성</t>
        </is>
      </c>
      <c r="F179" s="339" t="n">
        <v>1992.11</v>
      </c>
      <c r="G179" s="339" t="n">
        <v>1986</v>
      </c>
      <c r="H179" s="339">
        <f>2026-F179+1</f>
        <v/>
      </c>
      <c r="J179" s="339" t="n">
        <v>102</v>
      </c>
      <c r="K179" s="339" t="n">
        <v>84</v>
      </c>
      <c r="L179" s="339" t="n">
        <v>31</v>
      </c>
      <c r="M179" s="339" t="inlineStr">
        <is>
          <t>계단식</t>
        </is>
      </c>
      <c r="N179" s="339" t="n">
        <v>3</v>
      </c>
      <c r="O179" s="339" t="n">
        <v>2</v>
      </c>
      <c r="P179" s="339" t="n">
        <v>504</v>
      </c>
      <c r="U179" t="n">
        <v>3.7</v>
      </c>
      <c r="V179" t="n">
        <v>2.8</v>
      </c>
    </row>
    <row r="180">
      <c r="A180" s="339" t="inlineStr">
        <is>
          <t>사파동</t>
        </is>
      </c>
      <c r="D180" s="339" t="n">
        <v>7779</v>
      </c>
      <c r="E180" s="532" t="inlineStr">
        <is>
          <t>사파동성</t>
        </is>
      </c>
      <c r="F180" s="339" t="n">
        <v>1992.11</v>
      </c>
      <c r="G180" s="339" t="n">
        <v>1986</v>
      </c>
      <c r="H180" s="339">
        <f>2026-F180+1</f>
        <v/>
      </c>
      <c r="J180" s="339" t="n">
        <v>154</v>
      </c>
      <c r="K180" s="339" t="n">
        <v>133</v>
      </c>
      <c r="L180" s="339" t="n">
        <v>47</v>
      </c>
      <c r="M180" s="339" t="inlineStr">
        <is>
          <t>계단식</t>
        </is>
      </c>
      <c r="N180" s="339" t="n">
        <v>4</v>
      </c>
      <c r="O180" s="339" t="n">
        <v>2</v>
      </c>
      <c r="P180" s="339" t="n">
        <v>210</v>
      </c>
      <c r="U180" t="n">
        <v>4</v>
      </c>
      <c r="V180" t="n">
        <v>3.3</v>
      </c>
    </row>
    <row r="181">
      <c r="A181" s="530" t="inlineStr">
        <is>
          <t>사파동</t>
        </is>
      </c>
      <c r="B181" s="530" t="n"/>
      <c r="C181" s="530" t="n"/>
      <c r="D181" s="530" t="n">
        <v>7783</v>
      </c>
      <c r="E181" s="531" t="inlineStr">
        <is>
          <t>삼익1차</t>
        </is>
      </c>
      <c r="F181" s="530" t="n">
        <v>1988.09</v>
      </c>
      <c r="G181" s="530" t="n">
        <v>570</v>
      </c>
      <c r="H181" s="530">
        <f>2026-F181+1</f>
        <v/>
      </c>
      <c r="I181" s="530" t="n"/>
      <c r="J181" s="530" t="n">
        <v>48</v>
      </c>
      <c r="K181" s="530" t="n">
        <v>39</v>
      </c>
      <c r="L181" s="530" t="n">
        <v>15</v>
      </c>
      <c r="M181" s="530" t="inlineStr">
        <is>
          <t>계단식</t>
        </is>
      </c>
      <c r="N181" s="530" t="n">
        <v>2</v>
      </c>
      <c r="O181" s="530" t="n">
        <v>1</v>
      </c>
      <c r="P181" s="530" t="n">
        <v>120</v>
      </c>
      <c r="Q181" s="530" t="n"/>
      <c r="R181" s="530" t="n"/>
      <c r="S181" s="530" t="n"/>
      <c r="T181" s="530" t="n"/>
      <c r="U181" s="530" t="n">
        <v>3.1</v>
      </c>
      <c r="V181" s="530" t="n">
        <v>2.45</v>
      </c>
      <c r="W181" s="530" t="n"/>
      <c r="X181" s="530" t="n"/>
      <c r="Y181" s="530" t="n"/>
      <c r="Z181" s="530" t="n"/>
      <c r="AA181" s="530" t="n"/>
      <c r="AB181" s="530" t="n"/>
      <c r="AC181" s="530" t="n"/>
      <c r="AD181" s="530" t="n"/>
      <c r="AE181" s="530" t="n"/>
      <c r="AF181" s="530" t="n"/>
      <c r="AG181" s="530" t="n"/>
      <c r="AH181" s="530" t="n"/>
      <c r="AI181" s="530" t="n"/>
      <c r="AJ181" s="530" t="n"/>
      <c r="AK181" s="530" t="n"/>
      <c r="AL181" s="530" t="n"/>
    </row>
    <row r="182">
      <c r="A182" s="530" t="inlineStr">
        <is>
          <t>사파동</t>
        </is>
      </c>
      <c r="B182" s="530" t="n"/>
      <c r="C182" s="530" t="n"/>
      <c r="D182" s="530" t="n">
        <v>7783</v>
      </c>
      <c r="E182" s="531" t="inlineStr">
        <is>
          <t>삼익1차</t>
        </is>
      </c>
      <c r="F182" s="530" t="n">
        <v>1988.09</v>
      </c>
      <c r="G182" s="530" t="n">
        <v>570</v>
      </c>
      <c r="H182" s="530">
        <f>2026-F182+1</f>
        <v/>
      </c>
      <c r="I182" s="530" t="n"/>
      <c r="J182" s="530" t="n">
        <v>59</v>
      </c>
      <c r="K182" s="530" t="n">
        <v>49</v>
      </c>
      <c r="L182" s="530" t="n">
        <v>18</v>
      </c>
      <c r="M182" s="530" t="inlineStr">
        <is>
          <t>계단식</t>
        </is>
      </c>
      <c r="N182" s="530" t="n">
        <v>3</v>
      </c>
      <c r="O182" s="530" t="n">
        <v>1</v>
      </c>
      <c r="P182" s="530" t="n">
        <v>200</v>
      </c>
      <c r="Q182" s="530" t="n"/>
      <c r="R182" s="530" t="n"/>
      <c r="S182" s="530" t="n"/>
      <c r="T182" s="530" t="n"/>
      <c r="U182" s="530" t="n">
        <v>4.05</v>
      </c>
      <c r="V182" s="530" t="n">
        <v>2.72</v>
      </c>
      <c r="W182" s="530" t="n"/>
      <c r="X182" s="530" t="n"/>
      <c r="Y182" s="530" t="n"/>
      <c r="Z182" s="530" t="n"/>
      <c r="AA182" s="530" t="n"/>
      <c r="AB182" s="530" t="n"/>
      <c r="AC182" s="530" t="n"/>
      <c r="AD182" s="530" t="n"/>
      <c r="AE182" s="530" t="n"/>
      <c r="AF182" s="530" t="n"/>
      <c r="AG182" s="530" t="n"/>
      <c r="AH182" s="530" t="n"/>
      <c r="AI182" s="530" t="n"/>
      <c r="AJ182" s="530" t="n"/>
      <c r="AK182" s="530" t="n"/>
      <c r="AL182" s="530" t="n"/>
    </row>
    <row r="183">
      <c r="A183" s="530" t="inlineStr">
        <is>
          <t>사파동</t>
        </is>
      </c>
      <c r="B183" s="530" t="n"/>
      <c r="C183" s="530" t="n"/>
      <c r="D183" s="530" t="n">
        <v>7783</v>
      </c>
      <c r="E183" s="531" t="inlineStr">
        <is>
          <t>삼익1차</t>
        </is>
      </c>
      <c r="F183" s="530" t="n">
        <v>1988.09</v>
      </c>
      <c r="G183" s="530" t="n">
        <v>570</v>
      </c>
      <c r="H183" s="530">
        <f>2026-F183+1</f>
        <v/>
      </c>
      <c r="I183" s="530" t="n"/>
      <c r="J183" s="530" t="n">
        <v>70</v>
      </c>
      <c r="K183" s="530" t="n">
        <v>59</v>
      </c>
      <c r="L183" s="530" t="n">
        <v>21</v>
      </c>
      <c r="M183" s="530" t="inlineStr">
        <is>
          <t>계단식</t>
        </is>
      </c>
      <c r="N183" s="530" t="n">
        <v>3</v>
      </c>
      <c r="O183" s="530" t="n">
        <v>1</v>
      </c>
      <c r="P183" s="530" t="n">
        <v>250</v>
      </c>
      <c r="Q183" s="530" t="n"/>
      <c r="R183" s="530" t="n"/>
      <c r="S183" s="530" t="n"/>
      <c r="T183" s="530" t="n"/>
      <c r="U183" s="530" t="n">
        <v>5.04</v>
      </c>
      <c r="V183" s="530" t="n">
        <v>3.35</v>
      </c>
      <c r="W183" s="530" t="n"/>
      <c r="X183" s="530" t="n"/>
      <c r="Y183" s="530" t="n"/>
      <c r="Z183" s="530" t="n"/>
      <c r="AA183" s="530" t="n"/>
      <c r="AB183" s="530" t="n"/>
      <c r="AC183" s="530" t="n"/>
      <c r="AD183" s="530" t="n"/>
      <c r="AE183" s="530" t="n"/>
      <c r="AF183" s="530" t="n"/>
      <c r="AG183" s="530" t="n"/>
      <c r="AH183" s="530" t="n"/>
      <c r="AI183" s="530" t="n"/>
      <c r="AJ183" s="530" t="n"/>
      <c r="AK183" s="530" t="n"/>
      <c r="AL183" s="530" t="n"/>
    </row>
    <row r="184">
      <c r="A184" s="339" t="inlineStr">
        <is>
          <t>사파동</t>
        </is>
      </c>
      <c r="D184" s="339" t="n">
        <v>7786</v>
      </c>
      <c r="E184" s="532" t="inlineStr">
        <is>
          <t>삼익2차</t>
        </is>
      </c>
      <c r="F184" s="339" t="n">
        <v>1989.01</v>
      </c>
      <c r="G184" s="339" t="n">
        <v>400</v>
      </c>
      <c r="H184" s="339">
        <f>2026-F184+1</f>
        <v/>
      </c>
      <c r="J184" s="339" t="n">
        <v>50</v>
      </c>
      <c r="K184" s="339" t="n">
        <v>41</v>
      </c>
      <c r="L184" s="339" t="n">
        <v>15</v>
      </c>
      <c r="M184" s="339" t="inlineStr">
        <is>
          <t>계단식</t>
        </is>
      </c>
      <c r="N184" s="339" t="n">
        <v>2</v>
      </c>
      <c r="O184" s="339" t="n">
        <v>1</v>
      </c>
      <c r="P184" s="339" t="n">
        <v>20</v>
      </c>
      <c r="U184" t="n">
        <v>3.25</v>
      </c>
      <c r="V184" t="n">
        <v>2.2</v>
      </c>
    </row>
    <row r="185">
      <c r="A185" s="339" t="inlineStr">
        <is>
          <t>사파동</t>
        </is>
      </c>
      <c r="D185" s="339" t="n">
        <v>7786</v>
      </c>
      <c r="E185" s="532" t="inlineStr">
        <is>
          <t>삼익2차</t>
        </is>
      </c>
      <c r="F185" s="339" t="n">
        <v>1989.01</v>
      </c>
      <c r="G185" s="339" t="n">
        <v>400</v>
      </c>
      <c r="H185" s="339">
        <f>2026-F185+1</f>
        <v/>
      </c>
      <c r="J185" s="339" t="n">
        <v>79</v>
      </c>
      <c r="K185" s="339" t="n">
        <v>68</v>
      </c>
      <c r="L185" s="339" t="n">
        <v>24</v>
      </c>
      <c r="M185" s="339" t="inlineStr">
        <is>
          <t>계단식</t>
        </is>
      </c>
      <c r="N185" s="339" t="n">
        <v>3</v>
      </c>
      <c r="O185" s="339" t="n">
        <v>1</v>
      </c>
      <c r="P185" s="339" t="n">
        <v>140</v>
      </c>
    </row>
    <row r="186">
      <c r="A186" s="339" t="inlineStr">
        <is>
          <t>사파동</t>
        </is>
      </c>
      <c r="D186" s="339" t="n">
        <v>7786</v>
      </c>
      <c r="E186" s="532" t="inlineStr">
        <is>
          <t>삼익2차</t>
        </is>
      </c>
      <c r="F186" s="339" t="n">
        <v>1989.01</v>
      </c>
      <c r="G186" s="339" t="n">
        <v>400</v>
      </c>
      <c r="H186" s="339">
        <f>2026-F186+1</f>
        <v/>
      </c>
      <c r="J186" s="339" t="n">
        <v>91</v>
      </c>
      <c r="K186" s="339" t="n">
        <v>79</v>
      </c>
      <c r="L186" s="339" t="n">
        <v>28</v>
      </c>
      <c r="M186" s="339" t="inlineStr">
        <is>
          <t>계단식</t>
        </is>
      </c>
      <c r="N186" s="339" t="n">
        <v>3</v>
      </c>
      <c r="O186" s="339" t="n">
        <v>1</v>
      </c>
      <c r="P186" s="339" t="n">
        <v>200</v>
      </c>
    </row>
    <row r="187">
      <c r="A187" s="339" t="inlineStr">
        <is>
          <t>사파동</t>
        </is>
      </c>
      <c r="D187" s="339" t="n">
        <v>7786</v>
      </c>
      <c r="E187" s="532" t="inlineStr">
        <is>
          <t>삼익2차</t>
        </is>
      </c>
      <c r="F187" s="339" t="n">
        <v>1989.01</v>
      </c>
      <c r="G187" s="339" t="n">
        <v>400</v>
      </c>
      <c r="H187" s="339">
        <f>2026-F187+1</f>
        <v/>
      </c>
      <c r="J187" s="339" t="n">
        <v>129</v>
      </c>
      <c r="K187" s="339" t="n">
        <v>114</v>
      </c>
      <c r="L187" s="339" t="n">
        <v>39</v>
      </c>
      <c r="M187" s="339" t="inlineStr">
        <is>
          <t>계단식</t>
        </is>
      </c>
      <c r="N187" s="339" t="n">
        <v>4</v>
      </c>
      <c r="O187" s="339" t="n">
        <v>2</v>
      </c>
      <c r="P187" s="339" t="n">
        <v>40</v>
      </c>
    </row>
    <row r="188">
      <c r="A188" s="530" t="inlineStr">
        <is>
          <t>사파정동</t>
        </is>
      </c>
      <c r="B188" s="530" t="n"/>
      <c r="C188" s="530" t="n"/>
      <c r="D188" s="530" t="n">
        <v>132290</v>
      </c>
      <c r="E188" s="531" t="inlineStr">
        <is>
          <t>성산반도유보라아이비파크</t>
        </is>
      </c>
      <c r="F188" s="530" t="n">
        <v>2022.03</v>
      </c>
      <c r="G188" s="530" t="n">
        <v>1045</v>
      </c>
      <c r="H188" s="530">
        <f>2026-F188+1</f>
        <v/>
      </c>
      <c r="I188" s="530" t="n"/>
      <c r="J188" s="530" t="n">
        <v>74</v>
      </c>
      <c r="K188" s="530" t="n">
        <v>55</v>
      </c>
      <c r="L188" s="530" t="n">
        <v>22</v>
      </c>
      <c r="M188" s="530" t="inlineStr">
        <is>
          <t>계단식</t>
        </is>
      </c>
      <c r="N188" s="530" t="n">
        <v>3</v>
      </c>
      <c r="O188" s="530" t="n">
        <v>2</v>
      </c>
      <c r="P188" s="530" t="n">
        <v>350</v>
      </c>
      <c r="Q188" s="530" t="n"/>
      <c r="R188" s="530" t="n"/>
      <c r="S188" s="530" t="n"/>
      <c r="T188" s="530" t="n"/>
      <c r="U188" s="530" t="n"/>
      <c r="V188" s="530" t="n"/>
      <c r="W188" s="530" t="n"/>
      <c r="X188" s="530" t="n"/>
      <c r="Y188" s="530" t="n"/>
      <c r="Z188" s="530" t="n"/>
      <c r="AA188" s="530" t="n"/>
      <c r="AB188" s="530" t="n"/>
      <c r="AC188" s="530" t="n"/>
      <c r="AD188" s="530" t="n"/>
      <c r="AE188" s="530" t="n"/>
      <c r="AF188" s="530" t="n"/>
      <c r="AG188" s="530" t="n"/>
      <c r="AH188" s="530" t="n"/>
      <c r="AI188" s="530" t="n"/>
      <c r="AJ188" s="530" t="n"/>
      <c r="AK188" s="530" t="n"/>
      <c r="AL188" s="530" t="n"/>
    </row>
    <row r="189">
      <c r="A189" s="530" t="inlineStr">
        <is>
          <t>사파정동</t>
        </is>
      </c>
      <c r="B189" s="530" t="n"/>
      <c r="C189" s="530" t="n"/>
      <c r="D189" s="530" t="n">
        <v>132290</v>
      </c>
      <c r="E189" s="531" t="inlineStr">
        <is>
          <t>성산반도유보라아이비파크</t>
        </is>
      </c>
      <c r="F189" s="530" t="n">
        <v>2022.03</v>
      </c>
      <c r="G189" s="530" t="n">
        <v>1045</v>
      </c>
      <c r="H189" s="530">
        <f>2026-F189+1</f>
        <v/>
      </c>
      <c r="I189" s="530" t="n"/>
      <c r="J189" s="530" t="n">
        <v>75</v>
      </c>
      <c r="K189" s="530" t="n">
        <v>56</v>
      </c>
      <c r="L189" s="530" t="n">
        <v>23</v>
      </c>
      <c r="M189" s="530" t="inlineStr">
        <is>
          <t>계단식</t>
        </is>
      </c>
      <c r="N189" s="530" t="n">
        <v>3</v>
      </c>
      <c r="O189" s="530" t="n">
        <v>2</v>
      </c>
      <c r="P189" s="530" t="n">
        <v>30</v>
      </c>
      <c r="Q189" s="530" t="n"/>
      <c r="R189" s="530" t="n"/>
      <c r="S189" s="530" t="n"/>
      <c r="T189" s="530" t="n"/>
      <c r="U189" s="530" t="n"/>
      <c r="V189" s="530" t="n"/>
      <c r="W189" s="530" t="n"/>
      <c r="X189" s="530" t="n"/>
      <c r="Y189" s="530" t="n"/>
      <c r="Z189" s="530" t="n"/>
      <c r="AA189" s="530" t="n"/>
      <c r="AB189" s="530" t="n"/>
      <c r="AC189" s="530" t="n"/>
      <c r="AD189" s="530" t="n"/>
      <c r="AE189" s="530" t="n"/>
      <c r="AF189" s="530" t="n"/>
      <c r="AG189" s="530" t="n"/>
      <c r="AH189" s="530" t="n"/>
      <c r="AI189" s="530" t="n"/>
      <c r="AJ189" s="530" t="n"/>
      <c r="AK189" s="530" t="n"/>
      <c r="AL189" s="530" t="n"/>
    </row>
    <row r="190">
      <c r="A190" s="530" t="inlineStr">
        <is>
          <t>사파정동</t>
        </is>
      </c>
      <c r="B190" s="530" t="n"/>
      <c r="C190" s="530" t="n"/>
      <c r="D190" s="530" t="n">
        <v>132290</v>
      </c>
      <c r="E190" s="531" t="inlineStr">
        <is>
          <t>성산반도유보라아이비파크</t>
        </is>
      </c>
      <c r="F190" s="530" t="n">
        <v>2022.03</v>
      </c>
      <c r="G190" s="530" t="n">
        <v>1045</v>
      </c>
      <c r="H190" s="530">
        <f>2026-F190+1</f>
        <v/>
      </c>
      <c r="I190" s="530" t="n"/>
      <c r="J190" s="530" t="n">
        <v>84</v>
      </c>
      <c r="K190" s="530" t="n">
        <v>64</v>
      </c>
      <c r="L190" s="530" t="n">
        <v>25</v>
      </c>
      <c r="M190" s="530" t="inlineStr">
        <is>
          <t>계단식</t>
        </is>
      </c>
      <c r="N190" s="530" t="n">
        <v>3</v>
      </c>
      <c r="O190" s="530" t="n">
        <v>2</v>
      </c>
      <c r="P190" s="530" t="n">
        <v>218</v>
      </c>
      <c r="Q190" s="530" t="n"/>
      <c r="R190" s="530" t="n"/>
      <c r="S190" s="530" t="n"/>
      <c r="T190" s="530" t="n"/>
      <c r="U190" s="530" t="n">
        <v>4.24</v>
      </c>
      <c r="V190" s="530" t="n">
        <v>3.98</v>
      </c>
      <c r="W190" s="530" t="n"/>
      <c r="X190" s="530" t="n"/>
      <c r="Y190" s="530" t="n"/>
      <c r="Z190" s="530" t="n"/>
      <c r="AA190" s="530" t="n"/>
      <c r="AB190" s="530" t="n"/>
      <c r="AC190" s="530" t="n"/>
      <c r="AD190" s="530" t="n"/>
      <c r="AE190" s="530" t="n"/>
      <c r="AF190" s="530" t="n"/>
      <c r="AG190" s="530" t="n"/>
      <c r="AH190" s="530" t="n"/>
      <c r="AI190" s="530" t="n"/>
      <c r="AJ190" s="530" t="n"/>
      <c r="AK190" s="530" t="n"/>
      <c r="AL190" s="530" t="n"/>
    </row>
    <row r="191">
      <c r="A191" s="530" t="inlineStr">
        <is>
          <t>사파정동</t>
        </is>
      </c>
      <c r="B191" s="530" t="n"/>
      <c r="C191" s="530" t="n"/>
      <c r="D191" s="530" t="n">
        <v>132290</v>
      </c>
      <c r="E191" s="531" t="inlineStr">
        <is>
          <t>성산반도유보라아이비파크</t>
        </is>
      </c>
      <c r="F191" s="530" t="n">
        <v>2022.03</v>
      </c>
      <c r="G191" s="530" t="n">
        <v>1045</v>
      </c>
      <c r="H191" s="530">
        <f>2026-F191+1</f>
        <v/>
      </c>
      <c r="I191" s="530" t="n"/>
      <c r="J191" s="530" t="n">
        <v>102</v>
      </c>
      <c r="K191" s="530" t="n">
        <v>78</v>
      </c>
      <c r="L191" s="530" t="n">
        <v>31</v>
      </c>
      <c r="M191" s="530" t="inlineStr">
        <is>
          <t>계단식</t>
        </is>
      </c>
      <c r="N191" s="530" t="n">
        <v>3</v>
      </c>
      <c r="O191" s="530" t="n">
        <v>2</v>
      </c>
      <c r="P191" s="530" t="n">
        <v>426</v>
      </c>
      <c r="Q191" s="530" t="n"/>
      <c r="R191" s="530" t="n"/>
      <c r="S191" s="530" t="n"/>
      <c r="T191" s="530" t="n"/>
      <c r="U191" s="530" t="n">
        <v>5</v>
      </c>
      <c r="V191" s="530" t="n">
        <v>4.58</v>
      </c>
      <c r="W191" s="530" t="n"/>
      <c r="X191" s="530" t="n"/>
      <c r="Y191" s="530" t="n"/>
      <c r="Z191" s="530" t="n"/>
      <c r="AA191" s="530" t="n"/>
      <c r="AB191" s="530" t="n"/>
      <c r="AC191" s="530" t="n"/>
      <c r="AD191" s="530" t="n"/>
      <c r="AE191" s="530" t="n"/>
      <c r="AF191" s="530" t="n"/>
      <c r="AG191" s="530" t="n"/>
      <c r="AH191" s="530" t="n"/>
      <c r="AI191" s="530" t="n"/>
      <c r="AJ191" s="530" t="n"/>
      <c r="AK191" s="530" t="n"/>
      <c r="AL191" s="530" t="n"/>
    </row>
    <row r="192">
      <c r="A192" s="530" t="inlineStr">
        <is>
          <t>사파정동</t>
        </is>
      </c>
      <c r="B192" s="530" t="n"/>
      <c r="C192" s="530" t="n"/>
      <c r="D192" s="530" t="n">
        <v>132290</v>
      </c>
      <c r="E192" s="531" t="inlineStr">
        <is>
          <t>성산반도유보라아이비파크</t>
        </is>
      </c>
      <c r="F192" s="530" t="n">
        <v>2022.03</v>
      </c>
      <c r="G192" s="530" t="n">
        <v>1045</v>
      </c>
      <c r="H192" s="530">
        <f>2026-F192+1</f>
        <v/>
      </c>
      <c r="I192" s="530" t="n"/>
      <c r="J192" s="530" t="n">
        <v>116</v>
      </c>
      <c r="K192" s="530" t="n">
        <v>86</v>
      </c>
      <c r="L192" s="530" t="n">
        <v>35</v>
      </c>
      <c r="M192" s="530" t="inlineStr">
        <is>
          <t>계단식</t>
        </is>
      </c>
      <c r="N192" s="530" t="n">
        <v>3</v>
      </c>
      <c r="O192" s="530" t="n">
        <v>2</v>
      </c>
      <c r="P192" s="530" t="n">
        <v>21</v>
      </c>
      <c r="Q192" s="530" t="n"/>
      <c r="R192" s="530" t="n"/>
      <c r="S192" s="530" t="n"/>
      <c r="T192" s="530" t="n"/>
      <c r="U192" s="530" t="n">
        <v>6.5</v>
      </c>
      <c r="V192" s="530" t="n">
        <v>6.5</v>
      </c>
      <c r="W192" s="530" t="n"/>
      <c r="X192" s="530" t="n"/>
      <c r="Y192" s="530" t="n"/>
      <c r="Z192" s="530" t="n"/>
      <c r="AA192" s="530" t="n"/>
      <c r="AB192" s="530" t="n"/>
      <c r="AC192" s="530" t="n"/>
      <c r="AD192" s="530" t="n"/>
      <c r="AE192" s="530" t="n"/>
      <c r="AF192" s="530" t="n"/>
      <c r="AG192" s="530" t="n"/>
      <c r="AH192" s="530" t="n"/>
      <c r="AI192" s="530" t="n"/>
      <c r="AJ192" s="530" t="n"/>
      <c r="AK192" s="530" t="n"/>
      <c r="AL192" s="530" t="n"/>
    </row>
    <row r="193">
      <c r="A193" s="339" t="inlineStr">
        <is>
          <t>상남동</t>
        </is>
      </c>
      <c r="D193" s="339" t="n">
        <v>7799</v>
      </c>
      <c r="E193" s="532" t="inlineStr">
        <is>
          <t>대동</t>
        </is>
      </c>
      <c r="F193" s="339" t="n">
        <v>1994.12</v>
      </c>
      <c r="G193" s="339" t="n">
        <v>2810</v>
      </c>
      <c r="H193" s="339">
        <f>2026-F193+1</f>
        <v/>
      </c>
      <c r="J193" s="339" t="n">
        <v>67</v>
      </c>
      <c r="K193" s="339" t="n">
        <v>49</v>
      </c>
      <c r="L193" s="339" t="n">
        <v>20</v>
      </c>
      <c r="M193" s="339" t="inlineStr">
        <is>
          <t>복도식</t>
        </is>
      </c>
      <c r="N193" s="339" t="n">
        <v>3</v>
      </c>
      <c r="O193" s="339" t="n">
        <v>1</v>
      </c>
      <c r="P193" s="339" t="n">
        <v>452</v>
      </c>
      <c r="U193" t="n">
        <v>2.77</v>
      </c>
      <c r="V193" t="n">
        <v>1.8</v>
      </c>
    </row>
    <row r="194">
      <c r="A194" s="339" t="inlineStr">
        <is>
          <t>상남동</t>
        </is>
      </c>
      <c r="D194" s="339" t="n">
        <v>7799</v>
      </c>
      <c r="E194" s="532" t="inlineStr">
        <is>
          <t>대동</t>
        </is>
      </c>
      <c r="F194" s="339" t="n">
        <v>1994.12</v>
      </c>
      <c r="G194" s="339" t="n">
        <v>2810</v>
      </c>
      <c r="H194" s="339">
        <f>2026-F194+1</f>
        <v/>
      </c>
      <c r="J194" s="339" t="n">
        <v>77</v>
      </c>
      <c r="K194" s="339" t="n">
        <v>59</v>
      </c>
      <c r="L194" s="339" t="n">
        <v>23</v>
      </c>
      <c r="M194" s="339" t="inlineStr">
        <is>
          <t>계단식</t>
        </is>
      </c>
      <c r="N194" s="339" t="n">
        <v>2</v>
      </c>
      <c r="O194" s="339" t="n">
        <v>1</v>
      </c>
      <c r="P194" s="339" t="n">
        <v>662</v>
      </c>
      <c r="U194" t="n">
        <v>3.79</v>
      </c>
      <c r="V194" t="n">
        <v>2.5</v>
      </c>
    </row>
    <row r="195">
      <c r="A195" s="339" t="inlineStr">
        <is>
          <t>상남동</t>
        </is>
      </c>
      <c r="D195" s="339" t="n">
        <v>7799</v>
      </c>
      <c r="E195" s="532" t="inlineStr">
        <is>
          <t>대동</t>
        </is>
      </c>
      <c r="F195" s="339" t="n">
        <v>1994.12</v>
      </c>
      <c r="G195" s="339" t="n">
        <v>2810</v>
      </c>
      <c r="H195" s="339">
        <f>2026-F195+1</f>
        <v/>
      </c>
      <c r="J195" s="339" t="n">
        <v>105</v>
      </c>
      <c r="K195" s="339" t="n">
        <v>84</v>
      </c>
      <c r="L195" s="339" t="n">
        <v>32</v>
      </c>
      <c r="M195" s="339" t="inlineStr">
        <is>
          <t>계단식</t>
        </is>
      </c>
      <c r="N195" s="339" t="n">
        <v>3</v>
      </c>
      <c r="O195" s="339" t="n">
        <v>2</v>
      </c>
      <c r="P195" s="339" t="n">
        <v>890</v>
      </c>
      <c r="U195" t="n">
        <v>4.75</v>
      </c>
      <c r="V195" t="n">
        <v>3.5</v>
      </c>
    </row>
    <row r="196">
      <c r="A196" s="339" t="inlineStr">
        <is>
          <t>상남동</t>
        </is>
      </c>
      <c r="D196" s="339" t="n">
        <v>7799</v>
      </c>
      <c r="E196" s="532" t="inlineStr">
        <is>
          <t>대동</t>
        </is>
      </c>
      <c r="F196" s="339" t="n">
        <v>1994.12</v>
      </c>
      <c r="G196" s="339" t="n">
        <v>2810</v>
      </c>
      <c r="H196" s="339">
        <f>2026-F196+1</f>
        <v/>
      </c>
      <c r="J196" s="339" t="n">
        <v>138</v>
      </c>
      <c r="K196" s="339" t="n">
        <v>115</v>
      </c>
      <c r="L196" s="339" t="n">
        <v>42</v>
      </c>
      <c r="M196" s="339" t="inlineStr">
        <is>
          <t>계단식</t>
        </is>
      </c>
      <c r="N196" s="339" t="n">
        <v>4</v>
      </c>
      <c r="O196" s="339" t="n">
        <v>2</v>
      </c>
      <c r="P196" s="339" t="n">
        <v>366</v>
      </c>
      <c r="U196" t="n">
        <v>5.65</v>
      </c>
      <c r="V196" t="n">
        <v>4</v>
      </c>
    </row>
    <row r="197">
      <c r="A197" s="339" t="inlineStr">
        <is>
          <t>상남동</t>
        </is>
      </c>
      <c r="D197" s="339" t="n">
        <v>7799</v>
      </c>
      <c r="E197" s="532" t="inlineStr">
        <is>
          <t>대동</t>
        </is>
      </c>
      <c r="F197" s="339" t="n">
        <v>1994.12</v>
      </c>
      <c r="G197" s="339" t="n">
        <v>2810</v>
      </c>
      <c r="H197" s="339">
        <f>2026-F197+1</f>
        <v/>
      </c>
      <c r="J197" s="339" t="n">
        <v>140</v>
      </c>
      <c r="K197" s="339" t="n">
        <v>116</v>
      </c>
      <c r="L197" s="339" t="n">
        <v>42</v>
      </c>
      <c r="M197" s="339" t="inlineStr">
        <is>
          <t>계단식</t>
        </is>
      </c>
      <c r="N197" s="339" t="n">
        <v>4</v>
      </c>
      <c r="O197" s="339" t="n">
        <v>2</v>
      </c>
      <c r="P197" s="339" t="n">
        <v>110</v>
      </c>
      <c r="U197" t="n">
        <v>5.65</v>
      </c>
      <c r="V197" t="n">
        <v>3.9</v>
      </c>
    </row>
    <row r="198">
      <c r="A198" s="339" t="inlineStr">
        <is>
          <t>상남동</t>
        </is>
      </c>
      <c r="D198" s="339" t="n">
        <v>7799</v>
      </c>
      <c r="E198" s="532" t="inlineStr">
        <is>
          <t>대동</t>
        </is>
      </c>
      <c r="F198" s="339" t="n">
        <v>1994.12</v>
      </c>
      <c r="G198" s="339" t="n">
        <v>2810</v>
      </c>
      <c r="H198" s="339">
        <f>2026-F198+1</f>
        <v/>
      </c>
      <c r="J198" s="339" t="n">
        <v>157</v>
      </c>
      <c r="K198" s="339" t="n">
        <v>132</v>
      </c>
      <c r="L198" s="339" t="n">
        <v>47</v>
      </c>
      <c r="M198" s="339" t="inlineStr">
        <is>
          <t>계단식</t>
        </is>
      </c>
      <c r="N198" s="339" t="n">
        <v>4</v>
      </c>
      <c r="O198" s="339" t="n">
        <v>2</v>
      </c>
      <c r="P198" s="339" t="n">
        <v>230</v>
      </c>
      <c r="U198" t="n">
        <v>5.88</v>
      </c>
      <c r="V198" t="n">
        <v>4.5</v>
      </c>
    </row>
    <row r="199">
      <c r="A199" s="339" t="inlineStr">
        <is>
          <t>상남동</t>
        </is>
      </c>
      <c r="D199" s="339" t="n">
        <v>7799</v>
      </c>
      <c r="E199" s="532" t="inlineStr">
        <is>
          <t>대동</t>
        </is>
      </c>
      <c r="F199" s="339" t="n">
        <v>1994.12</v>
      </c>
      <c r="G199" s="339" t="n">
        <v>2810</v>
      </c>
      <c r="H199" s="339">
        <f>2026-F199+1</f>
        <v/>
      </c>
      <c r="J199" s="339" t="n">
        <v>192</v>
      </c>
      <c r="K199" s="339" t="n">
        <v>164</v>
      </c>
      <c r="L199" s="339" t="n">
        <v>58</v>
      </c>
      <c r="M199" s="339" t="inlineStr">
        <is>
          <t>계단식</t>
        </is>
      </c>
      <c r="N199" s="339" t="n">
        <v>5</v>
      </c>
      <c r="O199" s="339" t="n">
        <v>2</v>
      </c>
      <c r="P199" s="339" t="n">
        <v>100</v>
      </c>
      <c r="U199" t="n">
        <v>6.3</v>
      </c>
      <c r="V199" t="n">
        <v>4.6</v>
      </c>
    </row>
    <row r="200">
      <c r="A200" s="530" t="inlineStr">
        <is>
          <t>상남동</t>
        </is>
      </c>
      <c r="B200" s="530" t="n"/>
      <c r="C200" s="530" t="n"/>
      <c r="D200" s="530" t="n">
        <v>7789</v>
      </c>
      <c r="E200" s="531" t="inlineStr">
        <is>
          <t>대우</t>
        </is>
      </c>
      <c r="F200" s="530" t="n">
        <v>1985.12</v>
      </c>
      <c r="G200" s="530" t="n">
        <v>680</v>
      </c>
      <c r="H200" s="530">
        <f>2026-F200+1</f>
        <v/>
      </c>
      <c r="I200" s="530" t="n"/>
      <c r="J200" s="530" t="n">
        <v>44</v>
      </c>
      <c r="K200" s="530" t="n">
        <v>35</v>
      </c>
      <c r="L200" s="530" t="n">
        <v>13</v>
      </c>
      <c r="M200" s="530" t="inlineStr">
        <is>
          <t>계단식</t>
        </is>
      </c>
      <c r="N200" s="530" t="n">
        <v>1</v>
      </c>
      <c r="O200" s="530" t="n">
        <v>1</v>
      </c>
      <c r="P200" s="530" t="n">
        <v>80</v>
      </c>
      <c r="Q200" s="530" t="n"/>
      <c r="R200" s="530" t="n"/>
      <c r="S200" s="530" t="n"/>
      <c r="T200" s="530" t="n"/>
      <c r="U200" s="530" t="n">
        <v>3.35</v>
      </c>
      <c r="V200" s="530" t="n">
        <v>2.05</v>
      </c>
      <c r="W200" s="530" t="n"/>
      <c r="X200" s="530" t="n"/>
      <c r="Y200" s="530" t="n"/>
      <c r="Z200" s="530" t="n"/>
      <c r="AA200" s="530" t="n"/>
      <c r="AB200" s="530" t="n"/>
      <c r="AC200" s="530" t="n"/>
      <c r="AD200" s="530" t="n"/>
      <c r="AE200" s="530" t="n"/>
      <c r="AF200" s="530" t="n"/>
      <c r="AG200" s="530" t="n"/>
      <c r="AH200" s="530" t="n"/>
      <c r="AI200" s="530" t="n"/>
      <c r="AJ200" s="530" t="n"/>
      <c r="AK200" s="530" t="n"/>
      <c r="AL200" s="530" t="n"/>
    </row>
    <row r="201">
      <c r="A201" s="530" t="inlineStr">
        <is>
          <t>상남동</t>
        </is>
      </c>
      <c r="B201" s="530" t="n"/>
      <c r="C201" s="530" t="n"/>
      <c r="D201" s="530" t="n">
        <v>7789</v>
      </c>
      <c r="E201" s="531" t="inlineStr">
        <is>
          <t>대우</t>
        </is>
      </c>
      <c r="F201" s="530" t="n">
        <v>1985.12</v>
      </c>
      <c r="G201" s="530" t="n">
        <v>680</v>
      </c>
      <c r="H201" s="530">
        <f>2026-F201+1</f>
        <v/>
      </c>
      <c r="I201" s="530" t="n"/>
      <c r="J201" s="530" t="n">
        <v>51</v>
      </c>
      <c r="K201" s="530" t="n">
        <v>42</v>
      </c>
      <c r="L201" s="530" t="n">
        <v>15</v>
      </c>
      <c r="M201" s="530" t="inlineStr">
        <is>
          <t>계단식</t>
        </is>
      </c>
      <c r="N201" s="530" t="n">
        <v>2</v>
      </c>
      <c r="O201" s="530" t="n">
        <v>1</v>
      </c>
      <c r="P201" s="530" t="n">
        <v>160</v>
      </c>
      <c r="Q201" s="530" t="n"/>
      <c r="R201" s="530" t="n"/>
      <c r="S201" s="530" t="n"/>
      <c r="T201" s="530" t="n"/>
      <c r="U201" s="530" t="n">
        <v>3.8</v>
      </c>
      <c r="V201" s="530" t="n">
        <v>1.9</v>
      </c>
      <c r="W201" s="530" t="n"/>
      <c r="X201" s="530" t="n"/>
      <c r="Y201" s="530" t="n"/>
      <c r="Z201" s="530" t="n"/>
      <c r="AA201" s="530" t="n"/>
      <c r="AB201" s="530" t="n"/>
      <c r="AC201" s="530" t="n"/>
      <c r="AD201" s="530" t="n"/>
      <c r="AE201" s="530" t="n"/>
      <c r="AF201" s="530" t="n"/>
      <c r="AG201" s="530" t="n"/>
      <c r="AH201" s="530" t="n"/>
      <c r="AI201" s="530" t="n"/>
      <c r="AJ201" s="530" t="n"/>
      <c r="AK201" s="530" t="n"/>
      <c r="AL201" s="530" t="n"/>
    </row>
    <row r="202">
      <c r="A202" s="530" t="inlineStr">
        <is>
          <t>상남동</t>
        </is>
      </c>
      <c r="B202" s="530" t="n"/>
      <c r="C202" s="530" t="n"/>
      <c r="D202" s="530" t="n">
        <v>7789</v>
      </c>
      <c r="E202" s="531" t="inlineStr">
        <is>
          <t>대우</t>
        </is>
      </c>
      <c r="F202" s="530" t="n">
        <v>1985.12</v>
      </c>
      <c r="G202" s="530" t="n">
        <v>680</v>
      </c>
      <c r="H202" s="530">
        <f>2026-F202+1</f>
        <v/>
      </c>
      <c r="I202" s="530" t="n"/>
      <c r="J202" s="530" t="n">
        <v>56</v>
      </c>
      <c r="K202" s="530" t="n">
        <v>49</v>
      </c>
      <c r="L202" s="530" t="n">
        <v>17</v>
      </c>
      <c r="M202" s="530" t="inlineStr">
        <is>
          <t>계단식</t>
        </is>
      </c>
      <c r="N202" s="530" t="n">
        <v>2</v>
      </c>
      <c r="O202" s="530" t="n">
        <v>1</v>
      </c>
      <c r="P202" s="530" t="n">
        <v>300</v>
      </c>
      <c r="Q202" s="530" t="n"/>
      <c r="R202" s="530" t="n"/>
      <c r="S202" s="530" t="n"/>
      <c r="T202" s="530" t="n"/>
      <c r="U202" s="530" t="n">
        <v>4.7</v>
      </c>
      <c r="V202" s="530" t="n">
        <v>2.3</v>
      </c>
      <c r="W202" s="530" t="n"/>
      <c r="X202" s="530" t="n"/>
      <c r="Y202" s="530" t="n"/>
      <c r="Z202" s="530" t="n"/>
      <c r="AA202" s="530" t="n"/>
      <c r="AB202" s="530" t="n"/>
      <c r="AC202" s="530" t="n"/>
      <c r="AD202" s="530" t="n"/>
      <c r="AE202" s="530" t="n"/>
      <c r="AF202" s="530" t="n"/>
      <c r="AG202" s="530" t="n"/>
      <c r="AH202" s="530" t="n"/>
      <c r="AI202" s="530" t="n"/>
      <c r="AJ202" s="530" t="n"/>
      <c r="AK202" s="530" t="n"/>
      <c r="AL202" s="530" t="n"/>
    </row>
    <row r="203">
      <c r="A203" s="530" t="inlineStr">
        <is>
          <t>상남동</t>
        </is>
      </c>
      <c r="B203" s="530" t="n"/>
      <c r="C203" s="530" t="n"/>
      <c r="D203" s="530" t="n">
        <v>7789</v>
      </c>
      <c r="E203" s="531" t="inlineStr">
        <is>
          <t>대우</t>
        </is>
      </c>
      <c r="F203" s="530" t="n">
        <v>1985.12</v>
      </c>
      <c r="G203" s="530" t="n">
        <v>680</v>
      </c>
      <c r="H203" s="530">
        <f>2026-F203+1</f>
        <v/>
      </c>
      <c r="I203" s="530" t="n"/>
      <c r="J203" s="530" t="n">
        <v>66</v>
      </c>
      <c r="K203" s="530" t="n">
        <v>58</v>
      </c>
      <c r="L203" s="530" t="n">
        <v>20</v>
      </c>
      <c r="M203" s="530" t="inlineStr">
        <is>
          <t>계단식</t>
        </is>
      </c>
      <c r="N203" s="530" t="n">
        <v>3</v>
      </c>
      <c r="O203" s="530" t="n">
        <v>1</v>
      </c>
      <c r="P203" s="530" t="n">
        <v>100</v>
      </c>
      <c r="Q203" s="530" t="n"/>
      <c r="R203" s="530" t="n"/>
      <c r="S203" s="530" t="n"/>
      <c r="T203" s="530" t="n"/>
      <c r="U203" s="530" t="n">
        <v>5.3</v>
      </c>
      <c r="V203" s="530" t="n">
        <v>3.7</v>
      </c>
      <c r="W203" s="530" t="n"/>
      <c r="X203" s="530" t="n"/>
      <c r="Y203" s="530" t="n"/>
      <c r="Z203" s="530" t="n"/>
      <c r="AA203" s="530" t="n"/>
      <c r="AB203" s="530" t="n"/>
      <c r="AC203" s="530" t="n"/>
      <c r="AD203" s="530" t="n"/>
      <c r="AE203" s="530" t="n"/>
      <c r="AF203" s="530" t="n"/>
      <c r="AG203" s="530" t="n"/>
      <c r="AH203" s="530" t="n"/>
      <c r="AI203" s="530" t="n"/>
      <c r="AJ203" s="530" t="n"/>
      <c r="AK203" s="530" t="n"/>
      <c r="AL203" s="530" t="n"/>
    </row>
    <row r="204">
      <c r="A204" s="530" t="inlineStr">
        <is>
          <t>상남동</t>
        </is>
      </c>
      <c r="B204" s="530" t="n"/>
      <c r="C204" s="530" t="n"/>
      <c r="D204" s="530" t="n">
        <v>7789</v>
      </c>
      <c r="E204" s="531" t="inlineStr">
        <is>
          <t>대우</t>
        </is>
      </c>
      <c r="F204" s="530" t="n">
        <v>1985.12</v>
      </c>
      <c r="G204" s="530" t="n">
        <v>680</v>
      </c>
      <c r="H204" s="530">
        <f>2026-F204+1</f>
        <v/>
      </c>
      <c r="I204" s="530" t="n"/>
      <c r="J204" s="530" t="n">
        <v>82</v>
      </c>
      <c r="K204" s="530" t="n">
        <v>73</v>
      </c>
      <c r="L204" s="530" t="n">
        <v>25</v>
      </c>
      <c r="M204" s="530" t="inlineStr">
        <is>
          <t>계단식</t>
        </is>
      </c>
      <c r="N204" s="530" t="n">
        <v>3</v>
      </c>
      <c r="O204" s="530" t="n">
        <v>1</v>
      </c>
      <c r="P204" s="530" t="n">
        <v>30</v>
      </c>
      <c r="Q204" s="530" t="n"/>
      <c r="R204" s="530" t="n"/>
      <c r="S204" s="530" t="n"/>
      <c r="T204" s="530" t="n"/>
      <c r="U204" s="530" t="n"/>
      <c r="V204" s="530" t="n"/>
      <c r="W204" s="530" t="n"/>
      <c r="X204" s="530" t="n"/>
      <c r="Y204" s="530" t="n"/>
      <c r="Z204" s="530" t="n"/>
      <c r="AA204" s="530" t="n"/>
      <c r="AB204" s="530" t="n"/>
      <c r="AC204" s="530" t="n"/>
      <c r="AD204" s="530" t="n"/>
      <c r="AE204" s="530" t="n"/>
      <c r="AF204" s="530" t="n"/>
      <c r="AG204" s="530" t="n"/>
      <c r="AH204" s="530" t="n"/>
      <c r="AI204" s="530" t="n"/>
      <c r="AJ204" s="530" t="n"/>
      <c r="AK204" s="530" t="n"/>
      <c r="AL204" s="530" t="n"/>
    </row>
    <row r="205">
      <c r="A205" s="530" t="inlineStr">
        <is>
          <t>상남동</t>
        </is>
      </c>
      <c r="B205" s="530" t="n"/>
      <c r="C205" s="530" t="n"/>
      <c r="D205" s="530" t="n">
        <v>7789</v>
      </c>
      <c r="E205" s="531" t="inlineStr">
        <is>
          <t>대우</t>
        </is>
      </c>
      <c r="F205" s="530" t="n">
        <v>1985.12</v>
      </c>
      <c r="G205" s="530" t="n">
        <v>680</v>
      </c>
      <c r="H205" s="530">
        <f>2026-F205+1</f>
        <v/>
      </c>
      <c r="I205" s="530" t="n"/>
      <c r="J205" s="530" t="n">
        <v>130</v>
      </c>
      <c r="K205" s="530" t="n">
        <v>120</v>
      </c>
      <c r="L205" s="530" t="n">
        <v>39</v>
      </c>
      <c r="M205" s="530" t="inlineStr">
        <is>
          <t>계단식</t>
        </is>
      </c>
      <c r="N205" s="530" t="n">
        <v>4</v>
      </c>
      <c r="O205" s="530" t="n">
        <v>2</v>
      </c>
      <c r="P205" s="530" t="n">
        <v>10</v>
      </c>
      <c r="Q205" s="530" t="n"/>
      <c r="R205" s="530" t="n"/>
      <c r="S205" s="530" t="n"/>
      <c r="T205" s="530" t="n"/>
      <c r="U205" s="530" t="n">
        <v>10.34</v>
      </c>
      <c r="V205" s="530" t="n">
        <v>10.34</v>
      </c>
      <c r="W205" s="530" t="n"/>
      <c r="X205" s="530" t="n"/>
      <c r="Y205" s="530" t="n"/>
      <c r="Z205" s="530" t="n"/>
      <c r="AA205" s="530" t="n"/>
      <c r="AB205" s="530" t="n"/>
      <c r="AC205" s="530" t="n"/>
      <c r="AD205" s="530" t="n"/>
      <c r="AE205" s="530" t="n"/>
      <c r="AF205" s="530" t="n"/>
      <c r="AG205" s="530" t="n"/>
      <c r="AH205" s="530" t="n"/>
      <c r="AI205" s="530" t="n"/>
      <c r="AJ205" s="530" t="n"/>
      <c r="AK205" s="530" t="n"/>
      <c r="AL205" s="530" t="n"/>
    </row>
    <row r="206">
      <c r="A206" s="339" t="inlineStr">
        <is>
          <t>상남동</t>
        </is>
      </c>
      <c r="D206" s="339" t="n">
        <v>105570</v>
      </c>
      <c r="E206" s="532" t="inlineStr">
        <is>
          <t>상남꿈에그린</t>
        </is>
      </c>
      <c r="F206" s="339" t="n">
        <v>2014.09</v>
      </c>
      <c r="G206" s="339" t="n">
        <v>812</v>
      </c>
      <c r="H206" s="339">
        <f>2026-F206+1</f>
        <v/>
      </c>
      <c r="J206" s="339" t="n">
        <v>100</v>
      </c>
      <c r="K206" s="339" t="n">
        <v>72</v>
      </c>
      <c r="L206" s="339" t="n">
        <v>30</v>
      </c>
      <c r="M206" s="339" t="inlineStr">
        <is>
          <t>계단식</t>
        </is>
      </c>
      <c r="N206" s="339" t="n">
        <v>3</v>
      </c>
      <c r="O206" s="339" t="n">
        <v>2</v>
      </c>
      <c r="P206" s="339" t="n">
        <v>86</v>
      </c>
      <c r="U206" t="n">
        <v>6.2</v>
      </c>
      <c r="V206" t="n">
        <v>4.99</v>
      </c>
    </row>
    <row r="207">
      <c r="A207" s="339" t="inlineStr">
        <is>
          <t>상남동</t>
        </is>
      </c>
      <c r="D207" s="339" t="n">
        <v>105570</v>
      </c>
      <c r="E207" s="532" t="inlineStr">
        <is>
          <t>상남꿈에그린</t>
        </is>
      </c>
      <c r="F207" s="339" t="n">
        <v>2014.09</v>
      </c>
      <c r="G207" s="339" t="n">
        <v>812</v>
      </c>
      <c r="H207" s="339">
        <f>2026-F207+1</f>
        <v/>
      </c>
      <c r="J207" s="339" t="n">
        <v>113</v>
      </c>
      <c r="K207" s="339" t="n">
        <v>84</v>
      </c>
      <c r="L207" s="339" t="n">
        <v>34</v>
      </c>
      <c r="M207" s="339" t="inlineStr">
        <is>
          <t>계단식</t>
        </is>
      </c>
      <c r="N207" s="339" t="n">
        <v>3</v>
      </c>
      <c r="O207" s="339" t="n">
        <v>2</v>
      </c>
      <c r="P207" s="339" t="n">
        <v>538</v>
      </c>
      <c r="U207" t="n">
        <v>7.2</v>
      </c>
      <c r="V207" t="n">
        <v>4.6</v>
      </c>
    </row>
    <row r="208">
      <c r="A208" s="339" t="inlineStr">
        <is>
          <t>상남동</t>
        </is>
      </c>
      <c r="D208" s="339" t="n">
        <v>105570</v>
      </c>
      <c r="E208" s="532" t="inlineStr">
        <is>
          <t>상남꿈에그린</t>
        </is>
      </c>
      <c r="F208" s="339" t="n">
        <v>2014.09</v>
      </c>
      <c r="G208" s="339" t="n">
        <v>812</v>
      </c>
      <c r="H208" s="339">
        <f>2026-F208+1</f>
        <v/>
      </c>
      <c r="J208" s="339" t="n">
        <v>129</v>
      </c>
      <c r="K208" s="339" t="n">
        <v>101</v>
      </c>
      <c r="L208" s="339" t="n">
        <v>39</v>
      </c>
      <c r="M208" s="339" t="inlineStr">
        <is>
          <t>계단식</t>
        </is>
      </c>
      <c r="N208" s="339" t="n">
        <v>4</v>
      </c>
      <c r="O208" s="339" t="n">
        <v>2</v>
      </c>
      <c r="P208" s="339" t="n">
        <v>88</v>
      </c>
      <c r="U208" t="n">
        <v>8.199999999999999</v>
      </c>
      <c r="V208" t="n">
        <v>5.2</v>
      </c>
    </row>
    <row r="209">
      <c r="A209" s="339" t="inlineStr">
        <is>
          <t>상남동</t>
        </is>
      </c>
      <c r="D209" s="339" t="n">
        <v>105570</v>
      </c>
      <c r="E209" s="532" t="inlineStr">
        <is>
          <t>상남꿈에그린</t>
        </is>
      </c>
      <c r="F209" s="339" t="n">
        <v>2014.09</v>
      </c>
      <c r="G209" s="339" t="n">
        <v>812</v>
      </c>
      <c r="H209" s="339">
        <f>2026-F209+1</f>
        <v/>
      </c>
      <c r="J209" s="339" t="n">
        <v>156</v>
      </c>
      <c r="K209" s="339" t="n">
        <v>124</v>
      </c>
      <c r="L209" s="339" t="n">
        <v>47</v>
      </c>
      <c r="M209" s="339" t="inlineStr">
        <is>
          <t>계단식</t>
        </is>
      </c>
      <c r="N209" s="339" t="n">
        <v>4</v>
      </c>
      <c r="O209" s="339" t="n">
        <v>2</v>
      </c>
      <c r="P209" s="339" t="n">
        <v>100</v>
      </c>
      <c r="U209" t="n">
        <v>9.4</v>
      </c>
      <c r="V209" t="n">
        <v>7.3</v>
      </c>
    </row>
    <row r="210">
      <c r="A210" s="530" t="inlineStr">
        <is>
          <t>상남동</t>
        </is>
      </c>
      <c r="B210" s="530" t="n"/>
      <c r="C210" s="530" t="n"/>
      <c r="D210" s="530" t="n">
        <v>7810</v>
      </c>
      <c r="E210" s="531" t="inlineStr">
        <is>
          <t>성원(토월그랜드타운)</t>
        </is>
      </c>
      <c r="F210" s="530" t="n">
        <v>1994.06</v>
      </c>
      <c r="G210" s="530" t="n">
        <v>6252</v>
      </c>
      <c r="H210" s="530">
        <f>2026-F210+1</f>
        <v/>
      </c>
      <c r="I210" s="530" t="n"/>
      <c r="J210" s="530" t="n">
        <v>71</v>
      </c>
      <c r="K210" s="530" t="n">
        <v>49</v>
      </c>
      <c r="L210" s="530" t="n">
        <v>21</v>
      </c>
      <c r="M210" s="530" t="inlineStr">
        <is>
          <t>복도식</t>
        </is>
      </c>
      <c r="N210" s="530" t="n">
        <v>2</v>
      </c>
      <c r="O210" s="530" t="n">
        <v>1</v>
      </c>
      <c r="P210" s="530" t="n">
        <v>920</v>
      </c>
      <c r="Q210" s="530" t="n"/>
      <c r="R210" s="530" t="n"/>
      <c r="S210" s="530" t="n"/>
      <c r="T210" s="530" t="n"/>
      <c r="U210" s="530" t="n">
        <v>2.7</v>
      </c>
      <c r="V210" s="530" t="n">
        <v>1.44</v>
      </c>
      <c r="W210" s="530" t="n"/>
      <c r="X210" s="530" t="n"/>
      <c r="Y210" s="530" t="n"/>
      <c r="Z210" s="530" t="n"/>
      <c r="AA210" s="530" t="n"/>
      <c r="AB210" s="530" t="n"/>
      <c r="AC210" s="530" t="n"/>
      <c r="AD210" s="530" t="n"/>
      <c r="AE210" s="530" t="n"/>
      <c r="AF210" s="530" t="n"/>
      <c r="AG210" s="530" t="n"/>
      <c r="AH210" s="530" t="n"/>
      <c r="AI210" s="530" t="n"/>
      <c r="AJ210" s="530" t="n"/>
      <c r="AK210" s="530" t="n"/>
      <c r="AL210" s="530" t="n"/>
    </row>
    <row r="211">
      <c r="A211" s="530" t="inlineStr">
        <is>
          <t>상남동</t>
        </is>
      </c>
      <c r="B211" s="530" t="n"/>
      <c r="C211" s="530" t="n"/>
      <c r="D211" s="530" t="n">
        <v>7810</v>
      </c>
      <c r="E211" s="531" t="inlineStr">
        <is>
          <t>성원(토월그랜드타운)</t>
        </is>
      </c>
      <c r="F211" s="530" t="n">
        <v>1994.06</v>
      </c>
      <c r="G211" s="530" t="n">
        <v>6252</v>
      </c>
      <c r="H211" s="530">
        <f>2026-F211+1</f>
        <v/>
      </c>
      <c r="I211" s="530" t="n"/>
      <c r="J211" s="530" t="n">
        <v>86</v>
      </c>
      <c r="K211" s="530" t="n">
        <v>59</v>
      </c>
      <c r="L211" s="530" t="n">
        <v>26</v>
      </c>
      <c r="M211" s="530" t="inlineStr">
        <is>
          <t>복도식</t>
        </is>
      </c>
      <c r="N211" s="530" t="n">
        <v>3</v>
      </c>
      <c r="O211" s="530" t="n">
        <v>1</v>
      </c>
      <c r="P211" s="530" t="n">
        <v>1500</v>
      </c>
      <c r="Q211" s="530" t="n"/>
      <c r="R211" s="530" t="n"/>
      <c r="S211" s="530" t="n"/>
      <c r="T211" s="530" t="n"/>
      <c r="U211" s="530" t="n">
        <v>3.21</v>
      </c>
      <c r="V211" s="530" t="n">
        <v>1.73</v>
      </c>
      <c r="W211" s="530" t="n"/>
      <c r="X211" s="530" t="n"/>
      <c r="Y211" s="530" t="n"/>
      <c r="Z211" s="530" t="n"/>
      <c r="AA211" s="530" t="n"/>
      <c r="AB211" s="530" t="n"/>
      <c r="AC211" s="530" t="n"/>
      <c r="AD211" s="530" t="n"/>
      <c r="AE211" s="530" t="n"/>
      <c r="AF211" s="530" t="n"/>
      <c r="AG211" s="530" t="n"/>
      <c r="AH211" s="530" t="n"/>
      <c r="AI211" s="530" t="n"/>
      <c r="AJ211" s="530" t="n"/>
      <c r="AK211" s="530" t="n"/>
      <c r="AL211" s="530" t="n"/>
    </row>
    <row r="212">
      <c r="A212" s="530" t="inlineStr">
        <is>
          <t>상남동</t>
        </is>
      </c>
      <c r="B212" s="530" t="n"/>
      <c r="C212" s="530" t="n"/>
      <c r="D212" s="530" t="n">
        <v>7810</v>
      </c>
      <c r="E212" s="531" t="inlineStr">
        <is>
          <t>성원(토월그랜드타운)</t>
        </is>
      </c>
      <c r="F212" s="530" t="n">
        <v>1994.06</v>
      </c>
      <c r="G212" s="530" t="n">
        <v>6252</v>
      </c>
      <c r="H212" s="530">
        <f>2026-F212+1</f>
        <v/>
      </c>
      <c r="I212" s="530" t="n"/>
      <c r="J212" s="530" t="n">
        <v>107</v>
      </c>
      <c r="K212" s="530" t="n">
        <v>84</v>
      </c>
      <c r="L212" s="530" t="n">
        <v>32</v>
      </c>
      <c r="M212" s="530" t="inlineStr">
        <is>
          <t>계단식</t>
        </is>
      </c>
      <c r="N212" s="530" t="n">
        <v>3</v>
      </c>
      <c r="O212" s="530" t="n">
        <v>2</v>
      </c>
      <c r="P212" s="530" t="n">
        <v>2782</v>
      </c>
      <c r="Q212" s="530" t="n"/>
      <c r="R212" s="530" t="n"/>
      <c r="S212" s="530" t="n"/>
      <c r="T212" s="530" t="n"/>
      <c r="U212" s="530" t="n">
        <v>5</v>
      </c>
      <c r="V212" s="530" t="n">
        <v>2.7</v>
      </c>
      <c r="W212" s="530" t="n"/>
      <c r="X212" s="530" t="n"/>
      <c r="Y212" s="530" t="n"/>
      <c r="Z212" s="530" t="n"/>
      <c r="AA212" s="530" t="n"/>
      <c r="AB212" s="530" t="n"/>
      <c r="AC212" s="530" t="n"/>
      <c r="AD212" s="530" t="n"/>
      <c r="AE212" s="530" t="n"/>
      <c r="AF212" s="530" t="n"/>
      <c r="AG212" s="530" t="n"/>
      <c r="AH212" s="530" t="n"/>
      <c r="AI212" s="530" t="n"/>
      <c r="AJ212" s="530" t="n"/>
      <c r="AK212" s="530" t="n"/>
      <c r="AL212" s="530" t="n"/>
    </row>
    <row r="213">
      <c r="A213" s="530" t="inlineStr">
        <is>
          <t>상남동</t>
        </is>
      </c>
      <c r="B213" s="530" t="n"/>
      <c r="C213" s="530" t="n"/>
      <c r="D213" s="530" t="n">
        <v>7810</v>
      </c>
      <c r="E213" s="531" t="inlineStr">
        <is>
          <t>성원(토월그랜드타운)</t>
        </is>
      </c>
      <c r="F213" s="530" t="n">
        <v>1994.06</v>
      </c>
      <c r="G213" s="530" t="n">
        <v>6252</v>
      </c>
      <c r="H213" s="530">
        <f>2026-F213+1</f>
        <v/>
      </c>
      <c r="I213" s="530" t="n"/>
      <c r="J213" s="530" t="n">
        <v>132</v>
      </c>
      <c r="K213" s="530" t="n">
        <v>108</v>
      </c>
      <c r="L213" s="530" t="n">
        <v>40</v>
      </c>
      <c r="M213" s="530" t="inlineStr">
        <is>
          <t>계단식</t>
        </is>
      </c>
      <c r="N213" s="530" t="n">
        <v>4</v>
      </c>
      <c r="O213" s="530" t="n">
        <v>2</v>
      </c>
      <c r="P213" s="530" t="n">
        <v>700</v>
      </c>
      <c r="Q213" s="530" t="n"/>
      <c r="R213" s="530" t="n"/>
      <c r="S213" s="530" t="n"/>
      <c r="T213" s="530" t="n"/>
      <c r="U213" s="530" t="n">
        <v>5.8</v>
      </c>
      <c r="V213" s="530" t="n">
        <v>3.5</v>
      </c>
      <c r="W213" s="530" t="n"/>
      <c r="X213" s="530" t="n"/>
      <c r="Y213" s="530" t="n"/>
      <c r="Z213" s="530" t="n"/>
      <c r="AA213" s="530" t="n"/>
      <c r="AB213" s="530" t="n"/>
      <c r="AC213" s="530" t="n"/>
      <c r="AD213" s="530" t="n"/>
      <c r="AE213" s="530" t="n"/>
      <c r="AF213" s="530" t="n"/>
      <c r="AG213" s="530" t="n"/>
      <c r="AH213" s="530" t="n"/>
      <c r="AI213" s="530" t="n"/>
      <c r="AJ213" s="530" t="n"/>
      <c r="AK213" s="530" t="n"/>
      <c r="AL213" s="530" t="n"/>
    </row>
    <row r="214">
      <c r="A214" s="530" t="inlineStr">
        <is>
          <t>상남동</t>
        </is>
      </c>
      <c r="B214" s="530" t="n"/>
      <c r="C214" s="530" t="n"/>
      <c r="D214" s="530" t="n">
        <v>7810</v>
      </c>
      <c r="E214" s="531" t="inlineStr">
        <is>
          <t>성원(토월그랜드타운)</t>
        </is>
      </c>
      <c r="F214" s="530" t="n">
        <v>1994.06</v>
      </c>
      <c r="G214" s="530" t="n">
        <v>6252</v>
      </c>
      <c r="H214" s="530">
        <f>2026-F214+1</f>
        <v/>
      </c>
      <c r="I214" s="530" t="n"/>
      <c r="J214" s="530" t="n">
        <v>164</v>
      </c>
      <c r="K214" s="530" t="n">
        <v>136</v>
      </c>
      <c r="L214" s="530" t="n">
        <v>50</v>
      </c>
      <c r="M214" s="530" t="inlineStr">
        <is>
          <t>계단식</t>
        </is>
      </c>
      <c r="N214" s="530" t="n">
        <v>4</v>
      </c>
      <c r="O214" s="530" t="n">
        <v>2</v>
      </c>
      <c r="P214" s="530" t="n">
        <v>200</v>
      </c>
      <c r="Q214" s="530" t="n"/>
      <c r="R214" s="530" t="n"/>
      <c r="S214" s="530" t="n"/>
      <c r="T214" s="530" t="n"/>
      <c r="U214" s="530" t="n">
        <v>6.5</v>
      </c>
      <c r="V214" s="530" t="n">
        <v>4.6</v>
      </c>
      <c r="W214" s="530" t="n"/>
      <c r="X214" s="530" t="n"/>
      <c r="Y214" s="530" t="n"/>
      <c r="Z214" s="530" t="n"/>
      <c r="AA214" s="530" t="n"/>
      <c r="AB214" s="530" t="n"/>
      <c r="AC214" s="530" t="n"/>
      <c r="AD214" s="530" t="n"/>
      <c r="AE214" s="530" t="n"/>
      <c r="AF214" s="530" t="n"/>
      <c r="AG214" s="530" t="n"/>
      <c r="AH214" s="530" t="n"/>
      <c r="AI214" s="530" t="n"/>
      <c r="AJ214" s="530" t="n"/>
      <c r="AK214" s="530" t="n"/>
      <c r="AL214" s="530" t="n"/>
    </row>
    <row r="215">
      <c r="A215" s="530" t="inlineStr">
        <is>
          <t>상남동</t>
        </is>
      </c>
      <c r="B215" s="530" t="n"/>
      <c r="C215" s="530" t="n"/>
      <c r="D215" s="530" t="n">
        <v>7810</v>
      </c>
      <c r="E215" s="531" t="inlineStr">
        <is>
          <t>성원(토월그랜드타운)</t>
        </is>
      </c>
      <c r="F215" s="530" t="n">
        <v>1994.06</v>
      </c>
      <c r="G215" s="530" t="n">
        <v>6252</v>
      </c>
      <c r="H215" s="530">
        <f>2026-F215+1</f>
        <v/>
      </c>
      <c r="I215" s="530" t="n"/>
      <c r="J215" s="530" t="n">
        <v>198</v>
      </c>
      <c r="K215" s="530" t="n">
        <v>167</v>
      </c>
      <c r="L215" s="530" t="n">
        <v>60</v>
      </c>
      <c r="M215" s="530" t="inlineStr">
        <is>
          <t>계단식</t>
        </is>
      </c>
      <c r="N215" s="530" t="n">
        <v>6</v>
      </c>
      <c r="O215" s="530" t="n">
        <v>2</v>
      </c>
      <c r="P215" s="530" t="n">
        <v>150</v>
      </c>
      <c r="Q215" s="530" t="n"/>
      <c r="R215" s="530" t="n"/>
      <c r="S215" s="530" t="n"/>
      <c r="T215" s="530" t="n"/>
      <c r="U215" s="530" t="n">
        <v>6.5</v>
      </c>
      <c r="V215" s="530" t="n">
        <v>5.05</v>
      </c>
      <c r="W215" s="530" t="n"/>
      <c r="X215" s="530" t="n"/>
      <c r="Y215" s="530" t="n"/>
      <c r="Z215" s="530" t="n"/>
      <c r="AA215" s="530" t="n"/>
      <c r="AB215" s="530" t="n"/>
      <c r="AC215" s="530" t="n"/>
      <c r="AD215" s="530" t="n"/>
      <c r="AE215" s="530" t="n"/>
      <c r="AF215" s="530" t="n"/>
      <c r="AG215" s="530" t="n"/>
      <c r="AH215" s="530" t="n"/>
      <c r="AI215" s="530" t="n"/>
      <c r="AJ215" s="530" t="n"/>
      <c r="AK215" s="530" t="n"/>
      <c r="AL215" s="530" t="n"/>
    </row>
    <row r="216">
      <c r="A216" s="339" t="inlineStr">
        <is>
          <t>성주동</t>
        </is>
      </c>
      <c r="D216" s="339" t="n">
        <v>105107</v>
      </c>
      <c r="E216" s="532" t="inlineStr">
        <is>
          <t>성주효성해링턴코트</t>
        </is>
      </c>
      <c r="F216" s="339" t="n">
        <v>2013.12</v>
      </c>
      <c r="G216" s="339" t="n">
        <v>365</v>
      </c>
      <c r="H216" s="339">
        <f>2026-F216+1</f>
        <v/>
      </c>
      <c r="J216" s="339" t="n">
        <v>109</v>
      </c>
      <c r="K216" s="339" t="n">
        <v>84</v>
      </c>
      <c r="L216" s="339" t="n">
        <v>33</v>
      </c>
      <c r="M216" s="339" t="inlineStr">
        <is>
          <t>계단식</t>
        </is>
      </c>
      <c r="N216" s="339" t="n">
        <v>3</v>
      </c>
      <c r="O216" s="339" t="n">
        <v>2</v>
      </c>
      <c r="P216" s="339" t="n">
        <v>272</v>
      </c>
    </row>
    <row r="217">
      <c r="A217" s="339" t="inlineStr">
        <is>
          <t>성주동</t>
        </is>
      </c>
      <c r="D217" s="339" t="n">
        <v>105107</v>
      </c>
      <c r="E217" s="532" t="inlineStr">
        <is>
          <t>성주효성해링턴코트</t>
        </is>
      </c>
      <c r="F217" s="339" t="n">
        <v>2013.12</v>
      </c>
      <c r="G217" s="339" t="n">
        <v>365</v>
      </c>
      <c r="H217" s="339">
        <f>2026-F217+1</f>
        <v/>
      </c>
      <c r="J217" s="339" t="n">
        <v>129</v>
      </c>
      <c r="K217" s="339" t="n">
        <v>100</v>
      </c>
      <c r="L217" s="339" t="n">
        <v>39</v>
      </c>
      <c r="M217" s="339" t="inlineStr">
        <is>
          <t>계단식</t>
        </is>
      </c>
      <c r="N217" s="339" t="n">
        <v>3</v>
      </c>
      <c r="O217" s="339" t="n">
        <v>2</v>
      </c>
      <c r="P217" s="339" t="n">
        <v>76</v>
      </c>
    </row>
    <row r="218">
      <c r="A218" s="339" t="inlineStr">
        <is>
          <t>성주동</t>
        </is>
      </c>
      <c r="D218" s="339" t="n">
        <v>105107</v>
      </c>
      <c r="E218" s="532" t="inlineStr">
        <is>
          <t>성주효성해링턴코트</t>
        </is>
      </c>
      <c r="F218" s="339" t="n">
        <v>2013.12</v>
      </c>
      <c r="G218" s="339" t="n">
        <v>365</v>
      </c>
      <c r="H218" s="339">
        <f>2026-F218+1</f>
        <v/>
      </c>
      <c r="J218" s="339" t="n">
        <v>151</v>
      </c>
      <c r="K218" s="339" t="n">
        <v>118</v>
      </c>
      <c r="L218" s="339" t="n">
        <v>46</v>
      </c>
      <c r="M218" s="339" t="inlineStr">
        <is>
          <t>계단식</t>
        </is>
      </c>
      <c r="N218" s="339" t="n">
        <v>4</v>
      </c>
      <c r="O218" s="339" t="n">
        <v>2</v>
      </c>
      <c r="P218" s="339" t="n">
        <v>17</v>
      </c>
    </row>
    <row r="219">
      <c r="A219" s="530" t="inlineStr">
        <is>
          <t>성주동</t>
        </is>
      </c>
      <c r="B219" s="530" t="n"/>
      <c r="C219" s="530" t="n"/>
      <c r="D219" s="530" t="n">
        <v>17375</v>
      </c>
      <c r="E219" s="531" t="inlineStr">
        <is>
          <t>유니온빌리지</t>
        </is>
      </c>
      <c r="F219" s="530" t="n">
        <v>2005.1</v>
      </c>
      <c r="G219" s="530" t="n">
        <v>1360</v>
      </c>
      <c r="H219" s="530">
        <f>2026-F219+1</f>
        <v/>
      </c>
      <c r="I219" s="530" t="n"/>
      <c r="J219" s="530" t="n">
        <v>107</v>
      </c>
      <c r="K219" s="530" t="n">
        <v>84</v>
      </c>
      <c r="L219" s="530" t="n">
        <v>32</v>
      </c>
      <c r="M219" s="530" t="inlineStr">
        <is>
          <t>계단식</t>
        </is>
      </c>
      <c r="N219" s="530" t="n">
        <v>3</v>
      </c>
      <c r="O219" s="530" t="n">
        <v>2</v>
      </c>
      <c r="P219" s="530" t="n">
        <v>683</v>
      </c>
      <c r="Q219" s="530" t="n"/>
      <c r="R219" s="530" t="n"/>
      <c r="S219" s="530" t="n"/>
      <c r="T219" s="530" t="n"/>
      <c r="U219" s="530" t="n">
        <v>4.78</v>
      </c>
      <c r="V219" s="530" t="n">
        <v>3.3</v>
      </c>
      <c r="W219" s="530" t="n"/>
      <c r="X219" s="530" t="n"/>
      <c r="Y219" s="530" t="n"/>
      <c r="Z219" s="530" t="n"/>
      <c r="AA219" s="530" t="n"/>
      <c r="AB219" s="530" t="n"/>
      <c r="AC219" s="530" t="n"/>
      <c r="AD219" s="530" t="n"/>
      <c r="AE219" s="530" t="n"/>
      <c r="AF219" s="530" t="n"/>
      <c r="AG219" s="530" t="n"/>
      <c r="AH219" s="530" t="n"/>
      <c r="AI219" s="530" t="n"/>
      <c r="AJ219" s="530" t="n"/>
      <c r="AK219" s="530" t="n"/>
      <c r="AL219" s="530" t="n"/>
    </row>
    <row r="220">
      <c r="A220" s="530" t="inlineStr">
        <is>
          <t>성주동</t>
        </is>
      </c>
      <c r="B220" s="530" t="n"/>
      <c r="C220" s="530" t="n"/>
      <c r="D220" s="530" t="n">
        <v>17375</v>
      </c>
      <c r="E220" s="531" t="inlineStr">
        <is>
          <t>유니온빌리지</t>
        </is>
      </c>
      <c r="F220" s="530" t="n">
        <v>2005.1</v>
      </c>
      <c r="G220" s="530" t="n">
        <v>1360</v>
      </c>
      <c r="H220" s="530">
        <f>2026-F220+1</f>
        <v/>
      </c>
      <c r="I220" s="530" t="n"/>
      <c r="J220" s="530" t="n">
        <v>133</v>
      </c>
      <c r="K220" s="530" t="n">
        <v>101</v>
      </c>
      <c r="L220" s="530" t="n">
        <v>40</v>
      </c>
      <c r="M220" s="530" t="inlineStr">
        <is>
          <t>계단식</t>
        </is>
      </c>
      <c r="N220" s="530" t="n">
        <v>3</v>
      </c>
      <c r="O220" s="530" t="n">
        <v>2</v>
      </c>
      <c r="P220" s="530" t="n">
        <v>327</v>
      </c>
      <c r="Q220" s="530" t="n"/>
      <c r="R220" s="530" t="n"/>
      <c r="S220" s="530" t="n"/>
      <c r="T220" s="530" t="n"/>
      <c r="U220" s="530" t="n">
        <v>5.48</v>
      </c>
      <c r="V220" s="530" t="n">
        <v>4.2</v>
      </c>
      <c r="W220" s="530" t="n"/>
      <c r="X220" s="530" t="n"/>
      <c r="Y220" s="530" t="n"/>
      <c r="Z220" s="530" t="n"/>
      <c r="AA220" s="530" t="n"/>
      <c r="AB220" s="530" t="n"/>
      <c r="AC220" s="530" t="n"/>
      <c r="AD220" s="530" t="n"/>
      <c r="AE220" s="530" t="n"/>
      <c r="AF220" s="530" t="n"/>
      <c r="AG220" s="530" t="n"/>
      <c r="AH220" s="530" t="n"/>
      <c r="AI220" s="530" t="n"/>
      <c r="AJ220" s="530" t="n"/>
      <c r="AK220" s="530" t="n"/>
      <c r="AL220" s="530" t="n"/>
    </row>
    <row r="221">
      <c r="A221" s="530" t="inlineStr">
        <is>
          <t>성주동</t>
        </is>
      </c>
      <c r="B221" s="530" t="n"/>
      <c r="C221" s="530" t="n"/>
      <c r="D221" s="530" t="n">
        <v>17375</v>
      </c>
      <c r="E221" s="531" t="inlineStr">
        <is>
          <t>유니온빌리지</t>
        </is>
      </c>
      <c r="F221" s="530" t="n">
        <v>2005.1</v>
      </c>
      <c r="G221" s="530" t="n">
        <v>1360</v>
      </c>
      <c r="H221" s="530">
        <f>2026-F221+1</f>
        <v/>
      </c>
      <c r="I221" s="530" t="n"/>
      <c r="J221" s="530" t="n">
        <v>163</v>
      </c>
      <c r="K221" s="530" t="n">
        <v>130</v>
      </c>
      <c r="L221" s="530" t="n">
        <v>49</v>
      </c>
      <c r="M221" s="530" t="inlineStr">
        <is>
          <t>계단식</t>
        </is>
      </c>
      <c r="N221" s="530" t="n">
        <v>4</v>
      </c>
      <c r="O221" s="530" t="n">
        <v>2</v>
      </c>
      <c r="P221" s="530" t="n">
        <v>118</v>
      </c>
      <c r="Q221" s="530" t="n"/>
      <c r="R221" s="530" t="n"/>
      <c r="S221" s="530" t="n"/>
      <c r="T221" s="530" t="n"/>
      <c r="U221" s="530" t="n">
        <v>6.2</v>
      </c>
      <c r="V221" s="530" t="n">
        <v>4.98</v>
      </c>
      <c r="W221" s="530" t="n"/>
      <c r="X221" s="530" t="n"/>
      <c r="Y221" s="530" t="n"/>
      <c r="Z221" s="530" t="n"/>
      <c r="AA221" s="530" t="n"/>
      <c r="AB221" s="530" t="n"/>
      <c r="AC221" s="530" t="n"/>
      <c r="AD221" s="530" t="n"/>
      <c r="AE221" s="530" t="n"/>
      <c r="AF221" s="530" t="n"/>
      <c r="AG221" s="530" t="n"/>
      <c r="AH221" s="530" t="n"/>
      <c r="AI221" s="530" t="n"/>
      <c r="AJ221" s="530" t="n"/>
      <c r="AK221" s="530" t="n"/>
      <c r="AL221" s="530" t="n"/>
    </row>
    <row r="222">
      <c r="A222" s="530" t="inlineStr">
        <is>
          <t>성주동</t>
        </is>
      </c>
      <c r="B222" s="530" t="n"/>
      <c r="C222" s="530" t="n"/>
      <c r="D222" s="530" t="n">
        <v>17375</v>
      </c>
      <c r="E222" s="531" t="inlineStr">
        <is>
          <t>유니온빌리지</t>
        </is>
      </c>
      <c r="F222" s="530" t="n">
        <v>2005.1</v>
      </c>
      <c r="G222" s="530" t="n">
        <v>1360</v>
      </c>
      <c r="H222" s="530">
        <f>2026-F222+1</f>
        <v/>
      </c>
      <c r="I222" s="530" t="n"/>
      <c r="J222" s="530" t="n">
        <v>184</v>
      </c>
      <c r="K222" s="530" t="n">
        <v>147</v>
      </c>
      <c r="L222" s="530" t="n">
        <v>56</v>
      </c>
      <c r="M222" s="530" t="inlineStr">
        <is>
          <t>계단식</t>
        </is>
      </c>
      <c r="N222" s="530" t="n">
        <v>4</v>
      </c>
      <c r="O222" s="530" t="n">
        <v>2</v>
      </c>
      <c r="P222" s="530" t="n">
        <v>152</v>
      </c>
      <c r="Q222" s="530" t="n"/>
      <c r="R222" s="530" t="n"/>
      <c r="S222" s="530" t="n"/>
      <c r="T222" s="530" t="n"/>
      <c r="U222" s="530" t="n">
        <v>6.4</v>
      </c>
      <c r="V222" s="530" t="n">
        <v>5</v>
      </c>
      <c r="W222" s="530" t="n"/>
      <c r="X222" s="530" t="n"/>
      <c r="Y222" s="530" t="n"/>
      <c r="Z222" s="530" t="n"/>
      <c r="AA222" s="530" t="n"/>
      <c r="AB222" s="530" t="n"/>
      <c r="AC222" s="530" t="n"/>
      <c r="AD222" s="530" t="n"/>
      <c r="AE222" s="530" t="n"/>
      <c r="AF222" s="530" t="n"/>
      <c r="AG222" s="530" t="n"/>
      <c r="AH222" s="530" t="n"/>
      <c r="AI222" s="530" t="n"/>
      <c r="AJ222" s="530" t="n"/>
      <c r="AK222" s="530" t="n"/>
      <c r="AL222" s="530" t="n"/>
    </row>
    <row r="223">
      <c r="A223" s="530" t="inlineStr">
        <is>
          <t>성주동</t>
        </is>
      </c>
      <c r="B223" s="530" t="n"/>
      <c r="C223" s="530" t="n"/>
      <c r="D223" s="530" t="n">
        <v>17375</v>
      </c>
      <c r="E223" s="531" t="inlineStr">
        <is>
          <t>유니온빌리지</t>
        </is>
      </c>
      <c r="F223" s="530" t="n">
        <v>2005.1</v>
      </c>
      <c r="G223" s="530" t="n">
        <v>1360</v>
      </c>
      <c r="H223" s="530">
        <f>2026-F223+1</f>
        <v/>
      </c>
      <c r="I223" s="530" t="n"/>
      <c r="J223" s="530" t="n">
        <v>221</v>
      </c>
      <c r="K223" s="530" t="n">
        <v>181</v>
      </c>
      <c r="L223" s="530" t="n">
        <v>67</v>
      </c>
      <c r="M223" s="530" t="inlineStr">
        <is>
          <t>계단식</t>
        </is>
      </c>
      <c r="N223" s="530" t="n">
        <v>5</v>
      </c>
      <c r="O223" s="530" t="n">
        <v>2</v>
      </c>
      <c r="P223" s="530" t="n">
        <v>80</v>
      </c>
      <c r="Q223" s="530" t="n"/>
      <c r="R223" s="530" t="n"/>
      <c r="S223" s="530" t="n"/>
      <c r="T223" s="530" t="n"/>
      <c r="U223" s="530" t="n">
        <v>8.5</v>
      </c>
      <c r="V223" s="530" t="n">
        <v>8.5</v>
      </c>
      <c r="W223" s="530" t="n"/>
      <c r="X223" s="530" t="n"/>
      <c r="Y223" s="530" t="n"/>
      <c r="Z223" s="530" t="n"/>
      <c r="AA223" s="530" t="n"/>
      <c r="AB223" s="530" t="n"/>
      <c r="AC223" s="530" t="n"/>
      <c r="AD223" s="530" t="n"/>
      <c r="AE223" s="530" t="n"/>
      <c r="AF223" s="530" t="n"/>
      <c r="AG223" s="530" t="n"/>
      <c r="AH223" s="530" t="n"/>
      <c r="AI223" s="530" t="n"/>
      <c r="AJ223" s="530" t="n"/>
      <c r="AK223" s="530" t="n"/>
      <c r="AL223" s="530" t="n"/>
    </row>
    <row r="224">
      <c r="A224" s="339" t="inlineStr">
        <is>
          <t>성주동</t>
        </is>
      </c>
      <c r="D224" s="339" t="n">
        <v>101107</v>
      </c>
      <c r="E224" s="532" t="inlineStr">
        <is>
          <t>프리빌리지</t>
        </is>
      </c>
      <c r="F224" s="339" t="n">
        <v>2003.1</v>
      </c>
      <c r="G224" s="339" t="n">
        <v>1062</v>
      </c>
      <c r="H224" s="339">
        <f>2026-F224+1</f>
        <v/>
      </c>
      <c r="J224" s="339" t="n">
        <v>110</v>
      </c>
      <c r="K224" s="339" t="n">
        <v>84</v>
      </c>
      <c r="L224" s="339" t="n">
        <v>33</v>
      </c>
      <c r="M224" s="339" t="inlineStr">
        <is>
          <t>계단식</t>
        </is>
      </c>
      <c r="N224" s="339" t="n">
        <v>3</v>
      </c>
      <c r="O224" s="339" t="n">
        <v>2</v>
      </c>
      <c r="P224" s="339" t="n">
        <v>554</v>
      </c>
      <c r="U224" t="n">
        <v>5.35</v>
      </c>
      <c r="V224" t="n">
        <v>3.95</v>
      </c>
    </row>
    <row r="225">
      <c r="A225" s="339" t="inlineStr">
        <is>
          <t>성주동</t>
        </is>
      </c>
      <c r="D225" s="339" t="n">
        <v>101107</v>
      </c>
      <c r="E225" s="532" t="inlineStr">
        <is>
          <t>프리빌리지</t>
        </is>
      </c>
      <c r="F225" s="339" t="n">
        <v>2003.1</v>
      </c>
      <c r="G225" s="339" t="n">
        <v>1062</v>
      </c>
      <c r="H225" s="339">
        <f>2026-F225+1</f>
        <v/>
      </c>
      <c r="J225" s="339" t="n">
        <v>128</v>
      </c>
      <c r="K225" s="339" t="n">
        <v>101</v>
      </c>
      <c r="L225" s="339" t="n">
        <v>39</v>
      </c>
      <c r="M225" s="339" t="inlineStr">
        <is>
          <t>계단식</t>
        </is>
      </c>
      <c r="N225" s="339" t="n">
        <v>3</v>
      </c>
      <c r="O225" s="339" t="n">
        <v>2</v>
      </c>
      <c r="P225" s="339" t="n">
        <v>240</v>
      </c>
      <c r="U225" t="n">
        <v>5.7</v>
      </c>
      <c r="V225" t="n">
        <v>4.35</v>
      </c>
    </row>
    <row r="226">
      <c r="A226" s="339" t="inlineStr">
        <is>
          <t>성주동</t>
        </is>
      </c>
      <c r="D226" s="339" t="n">
        <v>101107</v>
      </c>
      <c r="E226" s="532" t="inlineStr">
        <is>
          <t>프리빌리지</t>
        </is>
      </c>
      <c r="F226" s="339" t="n">
        <v>2003.1</v>
      </c>
      <c r="G226" s="339" t="n">
        <v>1062</v>
      </c>
      <c r="H226" s="339">
        <f>2026-F226+1</f>
        <v/>
      </c>
      <c r="J226" s="339" t="n">
        <v>150</v>
      </c>
      <c r="K226" s="339" t="n">
        <v>124</v>
      </c>
      <c r="L226" s="339" t="n">
        <v>45</v>
      </c>
      <c r="M226" s="339" t="inlineStr">
        <is>
          <t>계단식</t>
        </is>
      </c>
      <c r="N226" s="339" t="n">
        <v>3</v>
      </c>
      <c r="O226" s="339" t="n">
        <v>2</v>
      </c>
      <c r="P226" s="339" t="n">
        <v>40</v>
      </c>
      <c r="U226" t="n">
        <v>5.67</v>
      </c>
    </row>
    <row r="227">
      <c r="A227" s="339" t="inlineStr">
        <is>
          <t>성주동</t>
        </is>
      </c>
      <c r="D227" s="339" t="n">
        <v>101107</v>
      </c>
      <c r="E227" s="532" t="inlineStr">
        <is>
          <t>프리빌리지</t>
        </is>
      </c>
      <c r="F227" s="339" t="n">
        <v>2003.1</v>
      </c>
      <c r="G227" s="339" t="n">
        <v>1062</v>
      </c>
      <c r="H227" s="339">
        <f>2026-F227+1</f>
        <v/>
      </c>
      <c r="J227" s="339" t="n">
        <v>165</v>
      </c>
      <c r="K227" s="339" t="n">
        <v>134</v>
      </c>
      <c r="L227" s="339" t="n">
        <v>50</v>
      </c>
      <c r="M227" s="339" t="inlineStr">
        <is>
          <t>계단식</t>
        </is>
      </c>
      <c r="N227" s="339" t="n">
        <v>4</v>
      </c>
      <c r="O227" s="339" t="n">
        <v>2</v>
      </c>
      <c r="P227" s="339" t="n">
        <v>188</v>
      </c>
      <c r="U227" t="n">
        <v>6.7</v>
      </c>
      <c r="V227" t="n">
        <v>4.7</v>
      </c>
    </row>
    <row r="228">
      <c r="A228" s="339" t="inlineStr">
        <is>
          <t>성주동</t>
        </is>
      </c>
      <c r="D228" s="339" t="n">
        <v>101107</v>
      </c>
      <c r="E228" s="532" t="inlineStr">
        <is>
          <t>프리빌리지</t>
        </is>
      </c>
      <c r="F228" s="339" t="n">
        <v>2003.1</v>
      </c>
      <c r="G228" s="339" t="n">
        <v>1062</v>
      </c>
      <c r="H228" s="339">
        <f>2026-F228+1</f>
        <v/>
      </c>
      <c r="J228" s="339" t="n">
        <v>195</v>
      </c>
      <c r="K228" s="339" t="n">
        <v>160</v>
      </c>
      <c r="L228" s="339" t="n">
        <v>59</v>
      </c>
      <c r="M228" s="339" t="inlineStr">
        <is>
          <t>계단식</t>
        </is>
      </c>
      <c r="N228" s="339" t="n">
        <v>5</v>
      </c>
      <c r="O228" s="339" t="n">
        <v>2</v>
      </c>
      <c r="P228" s="339" t="n">
        <v>40</v>
      </c>
      <c r="U228" t="n">
        <v>6.9</v>
      </c>
      <c r="V228" t="n">
        <v>7.5</v>
      </c>
    </row>
    <row r="229">
      <c r="A229" s="530" t="inlineStr">
        <is>
          <t>성주동</t>
        </is>
      </c>
      <c r="B229" s="530" t="n"/>
      <c r="C229" s="530" t="n"/>
      <c r="D229" s="530" t="n">
        <v>106792</v>
      </c>
      <c r="E229" s="531" t="inlineStr">
        <is>
          <t>프리빌리지2차</t>
        </is>
      </c>
      <c r="F229" s="530" t="n">
        <v>2010.12</v>
      </c>
      <c r="G229" s="530" t="n">
        <v>672</v>
      </c>
      <c r="H229" s="530">
        <f>2026-F229+1</f>
        <v/>
      </c>
      <c r="I229" s="530" t="n"/>
      <c r="J229" s="530" t="n">
        <v>111</v>
      </c>
      <c r="K229" s="530" t="n">
        <v>84</v>
      </c>
      <c r="L229" s="530" t="n">
        <v>34</v>
      </c>
      <c r="M229" s="530" t="inlineStr">
        <is>
          <t>계단식</t>
        </is>
      </c>
      <c r="N229" s="530" t="n">
        <v>3</v>
      </c>
      <c r="O229" s="530" t="n">
        <v>2</v>
      </c>
      <c r="P229" s="530" t="n">
        <v>286</v>
      </c>
      <c r="Q229" s="530" t="n"/>
      <c r="R229" s="530" t="n"/>
      <c r="S229" s="530" t="n"/>
      <c r="T229" s="530" t="n"/>
      <c r="U229" s="530" t="n">
        <v>5.54</v>
      </c>
      <c r="V229" s="530" t="n">
        <v>4.1</v>
      </c>
      <c r="W229" s="530" t="n"/>
      <c r="X229" s="530" t="n"/>
      <c r="Y229" s="530" t="n"/>
      <c r="Z229" s="530" t="n"/>
      <c r="AA229" s="530" t="n"/>
      <c r="AB229" s="530" t="n"/>
      <c r="AC229" s="530" t="n"/>
      <c r="AD229" s="530" t="n"/>
      <c r="AE229" s="530" t="n"/>
      <c r="AF229" s="530" t="n"/>
      <c r="AG229" s="530" t="n"/>
      <c r="AH229" s="530" t="n"/>
      <c r="AI229" s="530" t="n"/>
      <c r="AJ229" s="530" t="n"/>
      <c r="AK229" s="530" t="n"/>
      <c r="AL229" s="530" t="n"/>
    </row>
    <row r="230">
      <c r="A230" s="530" t="inlineStr">
        <is>
          <t>성주동</t>
        </is>
      </c>
      <c r="B230" s="530" t="n"/>
      <c r="C230" s="530" t="n"/>
      <c r="D230" s="530" t="n">
        <v>106792</v>
      </c>
      <c r="E230" s="531" t="inlineStr">
        <is>
          <t>프리빌리지2차</t>
        </is>
      </c>
      <c r="F230" s="530" t="n">
        <v>2010.12</v>
      </c>
      <c r="G230" s="530" t="n">
        <v>672</v>
      </c>
      <c r="H230" s="530">
        <f>2026-F230+1</f>
        <v/>
      </c>
      <c r="I230" s="530" t="n"/>
      <c r="J230" s="530" t="n">
        <v>132</v>
      </c>
      <c r="K230" s="530" t="n">
        <v>101</v>
      </c>
      <c r="L230" s="530" t="n">
        <v>40</v>
      </c>
      <c r="M230" s="530" t="inlineStr">
        <is>
          <t>계단식</t>
        </is>
      </c>
      <c r="N230" s="530" t="n">
        <v>3</v>
      </c>
      <c r="O230" s="530" t="n">
        <v>2</v>
      </c>
      <c r="P230" s="530" t="n">
        <v>96</v>
      </c>
      <c r="Q230" s="530" t="n"/>
      <c r="R230" s="530" t="n"/>
      <c r="S230" s="530" t="n"/>
      <c r="T230" s="530" t="n"/>
      <c r="U230" s="530" t="n">
        <v>5.95</v>
      </c>
      <c r="V230" s="530" t="n">
        <v>4.5</v>
      </c>
      <c r="W230" s="530" t="n"/>
      <c r="X230" s="530" t="n"/>
      <c r="Y230" s="530" t="n"/>
      <c r="Z230" s="530" t="n"/>
      <c r="AA230" s="530" t="n"/>
      <c r="AB230" s="530" t="n"/>
      <c r="AC230" s="530" t="n"/>
      <c r="AD230" s="530" t="n"/>
      <c r="AE230" s="530" t="n"/>
      <c r="AF230" s="530" t="n"/>
      <c r="AG230" s="530" t="n"/>
      <c r="AH230" s="530" t="n"/>
      <c r="AI230" s="530" t="n"/>
      <c r="AJ230" s="530" t="n"/>
      <c r="AK230" s="530" t="n"/>
      <c r="AL230" s="530" t="n"/>
    </row>
    <row r="231">
      <c r="A231" s="530" t="inlineStr">
        <is>
          <t>성주동</t>
        </is>
      </c>
      <c r="B231" s="530" t="n"/>
      <c r="C231" s="530" t="n"/>
      <c r="D231" s="530" t="n">
        <v>106792</v>
      </c>
      <c r="E231" s="531" t="inlineStr">
        <is>
          <t>프리빌리지2차</t>
        </is>
      </c>
      <c r="F231" s="530" t="n">
        <v>2010.12</v>
      </c>
      <c r="G231" s="530" t="n">
        <v>672</v>
      </c>
      <c r="H231" s="530">
        <f>2026-F231+1</f>
        <v/>
      </c>
      <c r="I231" s="530" t="n"/>
      <c r="J231" s="530" t="n">
        <v>152</v>
      </c>
      <c r="K231" s="530" t="n">
        <v>124</v>
      </c>
      <c r="L231" s="530" t="n">
        <v>46</v>
      </c>
      <c r="M231" s="530" t="inlineStr">
        <is>
          <t>계단식</t>
        </is>
      </c>
      <c r="N231" s="530" t="n">
        <v>4</v>
      </c>
      <c r="O231" s="530" t="n">
        <v>2</v>
      </c>
      <c r="P231" s="530" t="n">
        <v>142</v>
      </c>
      <c r="Q231" s="530" t="n"/>
      <c r="R231" s="530" t="n"/>
      <c r="S231" s="530" t="n"/>
      <c r="T231" s="530" t="n"/>
      <c r="U231" s="530" t="n">
        <v>6.4</v>
      </c>
      <c r="V231" s="530" t="n">
        <v>5.4</v>
      </c>
      <c r="W231" s="530" t="n"/>
      <c r="X231" s="530" t="n"/>
      <c r="Y231" s="530" t="n"/>
      <c r="Z231" s="530" t="n"/>
      <c r="AA231" s="530" t="n"/>
      <c r="AB231" s="530" t="n"/>
      <c r="AC231" s="530" t="n"/>
      <c r="AD231" s="530" t="n"/>
      <c r="AE231" s="530" t="n"/>
      <c r="AF231" s="530" t="n"/>
      <c r="AG231" s="530" t="n"/>
      <c r="AH231" s="530" t="n"/>
      <c r="AI231" s="530" t="n"/>
      <c r="AJ231" s="530" t="n"/>
      <c r="AK231" s="530" t="n"/>
      <c r="AL231" s="530" t="n"/>
    </row>
    <row r="232">
      <c r="A232" s="530" t="inlineStr">
        <is>
          <t>성주동</t>
        </is>
      </c>
      <c r="B232" s="530" t="n"/>
      <c r="C232" s="530" t="n"/>
      <c r="D232" s="530" t="n">
        <v>106792</v>
      </c>
      <c r="E232" s="531" t="inlineStr">
        <is>
          <t>프리빌리지2차</t>
        </is>
      </c>
      <c r="F232" s="530" t="n">
        <v>2010.12</v>
      </c>
      <c r="G232" s="530" t="n">
        <v>672</v>
      </c>
      <c r="H232" s="530">
        <f>2026-F232+1</f>
        <v/>
      </c>
      <c r="I232" s="530" t="n"/>
      <c r="J232" s="530" t="n">
        <v>196</v>
      </c>
      <c r="K232" s="530" t="n">
        <v>161</v>
      </c>
      <c r="L232" s="530" t="n">
        <v>59</v>
      </c>
      <c r="M232" s="530" t="inlineStr">
        <is>
          <t>계단식</t>
        </is>
      </c>
      <c r="N232" s="530" t="n">
        <v>4</v>
      </c>
      <c r="O232" s="530" t="n">
        <v>2</v>
      </c>
      <c r="P232" s="530" t="n">
        <v>148</v>
      </c>
      <c r="Q232" s="530" t="n"/>
      <c r="R232" s="530" t="n"/>
      <c r="S232" s="530" t="n"/>
      <c r="T232" s="530" t="n"/>
      <c r="U232" s="530" t="n">
        <v>6.95</v>
      </c>
      <c r="V232" s="530" t="n">
        <v>5.9</v>
      </c>
      <c r="W232" s="530" t="n"/>
      <c r="X232" s="530" t="n"/>
      <c r="Y232" s="530" t="n"/>
      <c r="Z232" s="530" t="n"/>
      <c r="AA232" s="530" t="n"/>
      <c r="AB232" s="530" t="n"/>
      <c r="AC232" s="530" t="n"/>
      <c r="AD232" s="530" t="n"/>
      <c r="AE232" s="530" t="n"/>
      <c r="AF232" s="530" t="n"/>
      <c r="AG232" s="530" t="n"/>
      <c r="AH232" s="530" t="n"/>
      <c r="AI232" s="530" t="n"/>
      <c r="AJ232" s="530" t="n"/>
      <c r="AK232" s="530" t="n"/>
      <c r="AL232" s="530" t="n"/>
    </row>
    <row r="233">
      <c r="A233" s="339" t="inlineStr">
        <is>
          <t>성주동</t>
        </is>
      </c>
      <c r="D233" s="339" t="n">
        <v>17376</v>
      </c>
      <c r="E233" s="532" t="inlineStr">
        <is>
          <t>한림푸르지오</t>
        </is>
      </c>
      <c r="F233" s="339" t="n">
        <v>2003.12</v>
      </c>
      <c r="G233" s="339" t="n">
        <v>520</v>
      </c>
      <c r="H233" s="339">
        <f>2026-F233+1</f>
        <v/>
      </c>
      <c r="J233" s="339" t="n">
        <v>110</v>
      </c>
      <c r="K233" s="339" t="n">
        <v>84</v>
      </c>
      <c r="L233" s="339" t="n">
        <v>33</v>
      </c>
      <c r="M233" s="339" t="inlineStr">
        <is>
          <t>계단식</t>
        </is>
      </c>
      <c r="N233" s="339" t="n">
        <v>3</v>
      </c>
      <c r="O233" s="339" t="n">
        <v>2</v>
      </c>
      <c r="P233" s="339" t="n">
        <v>280</v>
      </c>
      <c r="U233" t="n">
        <v>5.53</v>
      </c>
      <c r="V233" t="n">
        <v>3.98</v>
      </c>
    </row>
    <row r="234">
      <c r="A234" s="339" t="inlineStr">
        <is>
          <t>성주동</t>
        </is>
      </c>
      <c r="D234" s="339" t="n">
        <v>17376</v>
      </c>
      <c r="E234" s="532" t="inlineStr">
        <is>
          <t>한림푸르지오</t>
        </is>
      </c>
      <c r="F234" s="339" t="n">
        <v>2003.12</v>
      </c>
      <c r="G234" s="339" t="n">
        <v>520</v>
      </c>
      <c r="H234" s="339">
        <f>2026-F234+1</f>
        <v/>
      </c>
      <c r="J234" s="339" t="n">
        <v>126</v>
      </c>
      <c r="K234" s="339" t="n">
        <v>101</v>
      </c>
      <c r="L234" s="339" t="n">
        <v>38</v>
      </c>
      <c r="M234" s="339" t="inlineStr">
        <is>
          <t>계단식</t>
        </is>
      </c>
      <c r="N234" s="339" t="n">
        <v>3</v>
      </c>
      <c r="O234" s="339" t="n">
        <v>2</v>
      </c>
      <c r="P234" s="339" t="n">
        <v>120</v>
      </c>
      <c r="U234" t="n">
        <v>5.85</v>
      </c>
      <c r="V234" t="n">
        <v>4.91</v>
      </c>
    </row>
    <row r="235">
      <c r="A235" s="339" t="inlineStr">
        <is>
          <t>성주동</t>
        </is>
      </c>
      <c r="D235" s="339" t="n">
        <v>17376</v>
      </c>
      <c r="E235" s="532" t="inlineStr">
        <is>
          <t>한림푸르지오</t>
        </is>
      </c>
      <c r="F235" s="339" t="n">
        <v>2003.12</v>
      </c>
      <c r="G235" s="339" t="n">
        <v>520</v>
      </c>
      <c r="H235" s="339">
        <f>2026-F235+1</f>
        <v/>
      </c>
      <c r="J235" s="339" t="n">
        <v>169</v>
      </c>
      <c r="K235" s="339" t="n">
        <v>140</v>
      </c>
      <c r="L235" s="339" t="n">
        <v>51</v>
      </c>
      <c r="M235" s="339" t="inlineStr">
        <is>
          <t>계단식</t>
        </is>
      </c>
      <c r="N235" s="339" t="n">
        <v>4</v>
      </c>
      <c r="O235" s="339" t="n">
        <v>2</v>
      </c>
      <c r="P235" s="339" t="n">
        <v>80</v>
      </c>
      <c r="U235" t="n">
        <v>8.33</v>
      </c>
      <c r="V235" t="n">
        <v>6.9</v>
      </c>
    </row>
    <row r="236">
      <c r="A236" s="339" t="inlineStr">
        <is>
          <t>성주동</t>
        </is>
      </c>
      <c r="D236" s="339" t="n">
        <v>17376</v>
      </c>
      <c r="E236" s="532" t="inlineStr">
        <is>
          <t>한림푸르지오</t>
        </is>
      </c>
      <c r="F236" s="339" t="n">
        <v>2003.12</v>
      </c>
      <c r="G236" s="339" t="n">
        <v>520</v>
      </c>
      <c r="H236" s="339">
        <f>2026-F236+1</f>
        <v/>
      </c>
      <c r="J236" s="339" t="n">
        <v>216</v>
      </c>
      <c r="K236" s="339" t="n">
        <v>186</v>
      </c>
      <c r="L236" s="339" t="n">
        <v>65</v>
      </c>
      <c r="M236" s="339" t="inlineStr">
        <is>
          <t>계단식</t>
        </is>
      </c>
      <c r="N236" s="339" t="n">
        <v>5</v>
      </c>
      <c r="O236" s="339" t="n">
        <v>2</v>
      </c>
      <c r="P236" s="339" t="n">
        <v>40</v>
      </c>
      <c r="U236" t="n">
        <v>9.300000000000001</v>
      </c>
      <c r="V236" t="n">
        <v>9.1</v>
      </c>
    </row>
    <row r="237">
      <c r="A237" s="530" t="inlineStr">
        <is>
          <t>신월동</t>
        </is>
      </c>
      <c r="B237" s="530" t="n"/>
      <c r="C237" s="530" t="n"/>
      <c r="D237" s="530" t="n">
        <v>7847</v>
      </c>
      <c r="E237" s="531" t="inlineStr">
        <is>
          <t>은아</t>
        </is>
      </c>
      <c r="F237" s="530" t="n">
        <v>1988.07</v>
      </c>
      <c r="G237" s="530" t="n">
        <v>1550</v>
      </c>
      <c r="H237" s="530">
        <f>2026-F237+1</f>
        <v/>
      </c>
      <c r="I237" s="530" t="n"/>
      <c r="J237" s="530" t="n">
        <v>68</v>
      </c>
      <c r="K237" s="530" t="n">
        <v>58</v>
      </c>
      <c r="L237" s="530" t="n">
        <v>21</v>
      </c>
      <c r="M237" s="530" t="inlineStr">
        <is>
          <t>계단식</t>
        </is>
      </c>
      <c r="N237" s="530" t="n">
        <v>2</v>
      </c>
      <c r="O237" s="530" t="n">
        <v>1</v>
      </c>
      <c r="P237" s="530" t="n">
        <v>50</v>
      </c>
      <c r="Q237" s="530" t="n"/>
      <c r="R237" s="530" t="n"/>
      <c r="S237" s="530" t="n"/>
      <c r="T237" s="530" t="n"/>
      <c r="U237" s="530" t="n"/>
      <c r="V237" s="530" t="n"/>
      <c r="W237" s="530" t="n"/>
      <c r="X237" s="530" t="n"/>
      <c r="Y237" s="530" t="n"/>
      <c r="Z237" s="530" t="n"/>
      <c r="AA237" s="530" t="n"/>
      <c r="AB237" s="530" t="n"/>
      <c r="AC237" s="530" t="n"/>
      <c r="AD237" s="530" t="n"/>
      <c r="AE237" s="530" t="n"/>
      <c r="AF237" s="530" t="n"/>
      <c r="AG237" s="530" t="n"/>
      <c r="AH237" s="530" t="n"/>
      <c r="AI237" s="530" t="n"/>
      <c r="AJ237" s="530" t="n"/>
      <c r="AK237" s="530" t="n"/>
      <c r="AL237" s="530" t="n"/>
    </row>
    <row r="238">
      <c r="A238" s="530" t="inlineStr">
        <is>
          <t>신월동</t>
        </is>
      </c>
      <c r="B238" s="530" t="n"/>
      <c r="C238" s="530" t="n"/>
      <c r="D238" s="530" t="n">
        <v>7847</v>
      </c>
      <c r="E238" s="531" t="inlineStr">
        <is>
          <t>은아</t>
        </is>
      </c>
      <c r="F238" s="530" t="n">
        <v>1988.07</v>
      </c>
      <c r="G238" s="530" t="n">
        <v>1550</v>
      </c>
      <c r="H238" s="530">
        <f>2026-F238+1</f>
        <v/>
      </c>
      <c r="I238" s="530" t="n"/>
      <c r="J238" s="530" t="n">
        <v>70</v>
      </c>
      <c r="K238" s="530" t="n">
        <v>60</v>
      </c>
      <c r="L238" s="530" t="n">
        <v>21</v>
      </c>
      <c r="M238" s="530" t="inlineStr">
        <is>
          <t>계단식</t>
        </is>
      </c>
      <c r="N238" s="530" t="n">
        <v>2</v>
      </c>
      <c r="O238" s="530" t="n">
        <v>1</v>
      </c>
      <c r="P238" s="530" t="n">
        <v>240</v>
      </c>
      <c r="Q238" s="530" t="n"/>
      <c r="R238" s="530" t="n"/>
      <c r="S238" s="530" t="n"/>
      <c r="T238" s="530" t="n"/>
      <c r="U238" s="530" t="n">
        <v>5.83</v>
      </c>
      <c r="V238" s="530" t="n">
        <v>2.8</v>
      </c>
      <c r="W238" s="530" t="n"/>
      <c r="X238" s="530" t="n"/>
      <c r="Y238" s="530" t="n"/>
      <c r="Z238" s="530" t="n"/>
      <c r="AA238" s="530" t="n"/>
      <c r="AB238" s="530" t="n"/>
      <c r="AC238" s="530" t="n"/>
      <c r="AD238" s="530" t="n"/>
      <c r="AE238" s="530" t="n"/>
      <c r="AF238" s="530" t="n"/>
      <c r="AG238" s="530" t="n"/>
      <c r="AH238" s="530" t="n"/>
      <c r="AI238" s="530" t="n"/>
      <c r="AJ238" s="530" t="n"/>
      <c r="AK238" s="530" t="n"/>
      <c r="AL238" s="530" t="n"/>
    </row>
    <row r="239">
      <c r="A239" s="530" t="inlineStr">
        <is>
          <t>신월동</t>
        </is>
      </c>
      <c r="B239" s="530" t="n"/>
      <c r="C239" s="530" t="n"/>
      <c r="D239" s="530" t="n">
        <v>7847</v>
      </c>
      <c r="E239" s="531" t="inlineStr">
        <is>
          <t>은아</t>
        </is>
      </c>
      <c r="F239" s="530" t="n">
        <v>1988.07</v>
      </c>
      <c r="G239" s="530" t="n">
        <v>1550</v>
      </c>
      <c r="H239" s="530">
        <f>2026-F239+1</f>
        <v/>
      </c>
      <c r="I239" s="530" t="n"/>
      <c r="J239" s="530" t="n">
        <v>84</v>
      </c>
      <c r="K239" s="530" t="n">
        <v>74</v>
      </c>
      <c r="L239" s="530" t="n">
        <v>25</v>
      </c>
      <c r="M239" s="530" t="inlineStr">
        <is>
          <t>계단식</t>
        </is>
      </c>
      <c r="N239" s="530" t="n">
        <v>3</v>
      </c>
      <c r="O239" s="530" t="n">
        <v>1</v>
      </c>
      <c r="P239" s="530" t="n">
        <v>220</v>
      </c>
      <c r="Q239" s="530" t="n"/>
      <c r="R239" s="530" t="n"/>
      <c r="S239" s="530" t="n"/>
      <c r="T239" s="530" t="n"/>
      <c r="U239" s="530" t="n">
        <v>6.63</v>
      </c>
      <c r="V239" s="530" t="n">
        <v>4.6</v>
      </c>
      <c r="W239" s="530" t="n"/>
      <c r="X239" s="530" t="n"/>
      <c r="Y239" s="530" t="n"/>
      <c r="Z239" s="530" t="n"/>
      <c r="AA239" s="530" t="n"/>
      <c r="AB239" s="530" t="n"/>
      <c r="AC239" s="530" t="n"/>
      <c r="AD239" s="530" t="n"/>
      <c r="AE239" s="530" t="n"/>
      <c r="AF239" s="530" t="n"/>
      <c r="AG239" s="530" t="n"/>
      <c r="AH239" s="530" t="n"/>
      <c r="AI239" s="530" t="n"/>
      <c r="AJ239" s="530" t="n"/>
      <c r="AK239" s="530" t="n"/>
      <c r="AL239" s="530" t="n"/>
    </row>
    <row r="240">
      <c r="A240" s="530" t="inlineStr">
        <is>
          <t>신월동</t>
        </is>
      </c>
      <c r="B240" s="530" t="n"/>
      <c r="C240" s="530" t="n"/>
      <c r="D240" s="530" t="n">
        <v>7847</v>
      </c>
      <c r="E240" s="531" t="inlineStr">
        <is>
          <t>은아</t>
        </is>
      </c>
      <c r="F240" s="530" t="n">
        <v>1988.07</v>
      </c>
      <c r="G240" s="530" t="n">
        <v>1550</v>
      </c>
      <c r="H240" s="530">
        <f>2026-F240+1</f>
        <v/>
      </c>
      <c r="I240" s="530" t="n"/>
      <c r="J240" s="530" t="n">
        <v>90</v>
      </c>
      <c r="K240" s="530" t="n">
        <v>79</v>
      </c>
      <c r="L240" s="530" t="n">
        <v>27</v>
      </c>
      <c r="M240" s="530" t="inlineStr">
        <is>
          <t>계단식</t>
        </is>
      </c>
      <c r="N240" s="530" t="n">
        <v>3</v>
      </c>
      <c r="O240" s="530" t="n">
        <v>1</v>
      </c>
      <c r="P240" s="530" t="n">
        <v>230</v>
      </c>
      <c r="Q240" s="530" t="n"/>
      <c r="R240" s="530" t="n"/>
      <c r="S240" s="530" t="n"/>
      <c r="T240" s="530" t="n"/>
      <c r="U240" s="530" t="n">
        <v>7.4</v>
      </c>
      <c r="V240" s="530" t="n">
        <v>5.1</v>
      </c>
      <c r="W240" s="530" t="n"/>
      <c r="X240" s="530" t="n"/>
      <c r="Y240" s="530" t="n"/>
      <c r="Z240" s="530" t="n"/>
      <c r="AA240" s="530" t="n"/>
      <c r="AB240" s="530" t="n"/>
      <c r="AC240" s="530" t="n"/>
      <c r="AD240" s="530" t="n"/>
      <c r="AE240" s="530" t="n"/>
      <c r="AF240" s="530" t="n"/>
      <c r="AG240" s="530" t="n"/>
      <c r="AH240" s="530" t="n"/>
      <c r="AI240" s="530" t="n"/>
      <c r="AJ240" s="530" t="n"/>
      <c r="AK240" s="530" t="n"/>
      <c r="AL240" s="530" t="n"/>
    </row>
    <row r="241">
      <c r="A241" s="530" t="inlineStr">
        <is>
          <t>신월동</t>
        </is>
      </c>
      <c r="B241" s="530" t="n"/>
      <c r="C241" s="530" t="n"/>
      <c r="D241" s="530" t="n">
        <v>7847</v>
      </c>
      <c r="E241" s="531" t="inlineStr">
        <is>
          <t>은아</t>
        </is>
      </c>
      <c r="F241" s="530" t="n">
        <v>1988.07</v>
      </c>
      <c r="G241" s="530" t="n">
        <v>1550</v>
      </c>
      <c r="H241" s="530">
        <f>2026-F241+1</f>
        <v/>
      </c>
      <c r="I241" s="530" t="n"/>
      <c r="J241" s="530" t="n">
        <v>96</v>
      </c>
      <c r="K241" s="530" t="n">
        <v>84</v>
      </c>
      <c r="L241" s="530" t="n">
        <v>29</v>
      </c>
      <c r="M241" s="530" t="inlineStr">
        <is>
          <t>계단식</t>
        </is>
      </c>
      <c r="N241" s="530" t="n">
        <v>3</v>
      </c>
      <c r="O241" s="530" t="n">
        <v>1</v>
      </c>
      <c r="P241" s="530" t="n">
        <v>580</v>
      </c>
      <c r="Q241" s="530" t="n"/>
      <c r="R241" s="530" t="n"/>
      <c r="S241" s="530" t="n"/>
      <c r="T241" s="530" t="n"/>
      <c r="U241" s="530" t="n">
        <v>8.1</v>
      </c>
      <c r="V241" s="530" t="n">
        <v>5.8</v>
      </c>
      <c r="W241" s="530" t="n"/>
      <c r="X241" s="530" t="n"/>
      <c r="Y241" s="530" t="n"/>
      <c r="Z241" s="530" t="n"/>
      <c r="AA241" s="530" t="n"/>
      <c r="AB241" s="530" t="n"/>
      <c r="AC241" s="530" t="n"/>
      <c r="AD241" s="530" t="n"/>
      <c r="AE241" s="530" t="n"/>
      <c r="AF241" s="530" t="n"/>
      <c r="AG241" s="530" t="n"/>
      <c r="AH241" s="530" t="n"/>
      <c r="AI241" s="530" t="n"/>
      <c r="AJ241" s="530" t="n"/>
      <c r="AK241" s="530" t="n"/>
      <c r="AL241" s="530" t="n"/>
    </row>
    <row r="242">
      <c r="A242" s="530" t="inlineStr">
        <is>
          <t>신월동</t>
        </is>
      </c>
      <c r="B242" s="530" t="n"/>
      <c r="C242" s="530" t="n"/>
      <c r="D242" s="530" t="n">
        <v>7847</v>
      </c>
      <c r="E242" s="531" t="inlineStr">
        <is>
          <t>은아</t>
        </is>
      </c>
      <c r="F242" s="530" t="n">
        <v>1988.07</v>
      </c>
      <c r="G242" s="530" t="n">
        <v>1550</v>
      </c>
      <c r="H242" s="530">
        <f>2026-F242+1</f>
        <v/>
      </c>
      <c r="I242" s="530" t="n"/>
      <c r="J242" s="530" t="n">
        <v>125</v>
      </c>
      <c r="K242" s="530" t="n">
        <v>111</v>
      </c>
      <c r="L242" s="530" t="n">
        <v>38</v>
      </c>
      <c r="M242" s="530" t="inlineStr">
        <is>
          <t>계단식</t>
        </is>
      </c>
      <c r="N242" s="530" t="n">
        <v>4</v>
      </c>
      <c r="O242" s="530" t="n">
        <v>2</v>
      </c>
      <c r="P242" s="530" t="n">
        <v>160</v>
      </c>
      <c r="Q242" s="530" t="n"/>
      <c r="R242" s="530" t="n"/>
      <c r="S242" s="530" t="n"/>
      <c r="T242" s="530" t="n"/>
      <c r="U242" s="530" t="n">
        <v>10</v>
      </c>
      <c r="V242" s="530" t="n">
        <v>6.98</v>
      </c>
      <c r="W242" s="530" t="n"/>
      <c r="X242" s="530" t="n"/>
      <c r="Y242" s="530" t="n"/>
      <c r="Z242" s="530" t="n"/>
      <c r="AA242" s="530" t="n"/>
      <c r="AB242" s="530" t="n"/>
      <c r="AC242" s="530" t="n"/>
      <c r="AD242" s="530" t="n"/>
      <c r="AE242" s="530" t="n"/>
      <c r="AF242" s="530" t="n"/>
      <c r="AG242" s="530" t="n"/>
      <c r="AH242" s="530" t="n"/>
      <c r="AI242" s="530" t="n"/>
      <c r="AJ242" s="530" t="n"/>
      <c r="AK242" s="530" t="n"/>
      <c r="AL242" s="530" t="n"/>
    </row>
    <row r="243">
      <c r="A243" s="530" t="inlineStr">
        <is>
          <t>신월동</t>
        </is>
      </c>
      <c r="B243" s="530" t="n"/>
      <c r="C243" s="530" t="n"/>
      <c r="D243" s="530" t="n">
        <v>7847</v>
      </c>
      <c r="E243" s="531" t="inlineStr">
        <is>
          <t>은아</t>
        </is>
      </c>
      <c r="F243" s="530" t="n">
        <v>1988.07</v>
      </c>
      <c r="G243" s="530" t="n">
        <v>1550</v>
      </c>
      <c r="H243" s="530">
        <f>2026-F243+1</f>
        <v/>
      </c>
      <c r="I243" s="530" t="n"/>
      <c r="J243" s="530" t="n">
        <v>150</v>
      </c>
      <c r="K243" s="530" t="n">
        <v>134</v>
      </c>
      <c r="L243" s="530" t="n">
        <v>45</v>
      </c>
      <c r="M243" s="530" t="inlineStr">
        <is>
          <t>계단식</t>
        </is>
      </c>
      <c r="N243" s="530" t="n">
        <v>4</v>
      </c>
      <c r="O243" s="530" t="n">
        <v>2</v>
      </c>
      <c r="P243" s="530" t="n">
        <v>50</v>
      </c>
      <c r="Q243" s="530" t="n"/>
      <c r="R243" s="530" t="n"/>
      <c r="S243" s="530" t="n"/>
      <c r="T243" s="530" t="n"/>
      <c r="U243" s="530" t="n">
        <v>9.699999999999999</v>
      </c>
      <c r="V243" s="530" t="n">
        <v>9.699999999999999</v>
      </c>
      <c r="W243" s="530" t="n"/>
      <c r="X243" s="530" t="n"/>
      <c r="Y243" s="530" t="n"/>
      <c r="Z243" s="530" t="n"/>
      <c r="AA243" s="530" t="n"/>
      <c r="AB243" s="530" t="n"/>
      <c r="AC243" s="530" t="n"/>
      <c r="AD243" s="530" t="n"/>
      <c r="AE243" s="530" t="n"/>
      <c r="AF243" s="530" t="n"/>
      <c r="AG243" s="530" t="n"/>
      <c r="AH243" s="530" t="n"/>
      <c r="AI243" s="530" t="n"/>
      <c r="AJ243" s="530" t="n"/>
      <c r="AK243" s="530" t="n"/>
      <c r="AL243" s="530" t="n"/>
    </row>
    <row r="244">
      <c r="A244" s="530" t="inlineStr">
        <is>
          <t>신월동</t>
        </is>
      </c>
      <c r="B244" s="530" t="n"/>
      <c r="C244" s="530" t="n"/>
      <c r="D244" s="530" t="n">
        <v>7847</v>
      </c>
      <c r="E244" s="531" t="inlineStr">
        <is>
          <t>은아</t>
        </is>
      </c>
      <c r="F244" s="530" t="n">
        <v>1988.07</v>
      </c>
      <c r="G244" s="530" t="n">
        <v>1550</v>
      </c>
      <c r="H244" s="530">
        <f>2026-F244+1</f>
        <v/>
      </c>
      <c r="I244" s="530" t="n"/>
      <c r="J244" s="530" t="n">
        <v>189</v>
      </c>
      <c r="K244" s="530" t="n">
        <v>170</v>
      </c>
      <c r="L244" s="530" t="n">
        <v>57</v>
      </c>
      <c r="M244" s="530" t="inlineStr">
        <is>
          <t>계단식</t>
        </is>
      </c>
      <c r="N244" s="530" t="n">
        <v>5</v>
      </c>
      <c r="O244" s="530" t="n">
        <v>2</v>
      </c>
      <c r="P244" s="530" t="n">
        <v>20</v>
      </c>
      <c r="Q244" s="530" t="n"/>
      <c r="R244" s="530" t="n"/>
      <c r="S244" s="530" t="n"/>
      <c r="T244" s="530" t="n"/>
      <c r="U244" s="530" t="n"/>
      <c r="V244" s="530" t="n"/>
      <c r="W244" s="530" t="n"/>
      <c r="X244" s="530" t="n"/>
      <c r="Y244" s="530" t="n"/>
      <c r="Z244" s="530" t="n"/>
      <c r="AA244" s="530" t="n"/>
      <c r="AB244" s="530" t="n"/>
      <c r="AC244" s="530" t="n"/>
      <c r="AD244" s="530" t="n"/>
      <c r="AE244" s="530" t="n"/>
      <c r="AF244" s="530" t="n"/>
      <c r="AG244" s="530" t="n"/>
      <c r="AH244" s="530" t="n"/>
      <c r="AI244" s="530" t="n"/>
      <c r="AJ244" s="530" t="n"/>
      <c r="AK244" s="530" t="n"/>
      <c r="AL244" s="530" t="n"/>
    </row>
    <row r="245">
      <c r="A245" s="339" t="inlineStr">
        <is>
          <t>신촌동</t>
        </is>
      </c>
      <c r="D245" s="339" t="n">
        <v>7853</v>
      </c>
      <c r="E245" s="532" t="inlineStr">
        <is>
          <t>동성1차</t>
        </is>
      </c>
      <c r="F245" s="339" t="n">
        <v>1986.1</v>
      </c>
      <c r="G245" s="339" t="n">
        <v>240</v>
      </c>
      <c r="H245" s="339">
        <f>2026-F245+1</f>
        <v/>
      </c>
      <c r="J245" s="339" t="n">
        <v>69</v>
      </c>
      <c r="K245" s="339" t="n">
        <v>59</v>
      </c>
      <c r="L245" s="339" t="n">
        <v>21</v>
      </c>
      <c r="M245" s="339" t="inlineStr">
        <is>
          <t>계단식</t>
        </is>
      </c>
      <c r="N245" s="339" t="n">
        <v>3</v>
      </c>
      <c r="O245" s="339" t="n">
        <v>1</v>
      </c>
      <c r="P245" s="339" t="n">
        <v>240</v>
      </c>
      <c r="U245" t="n">
        <v>1.39</v>
      </c>
      <c r="V245" t="n">
        <v>0.9</v>
      </c>
    </row>
    <row r="246">
      <c r="A246" s="530" t="inlineStr">
        <is>
          <t>신촌동</t>
        </is>
      </c>
      <c r="B246" s="530" t="n"/>
      <c r="C246" s="530" t="n"/>
      <c r="D246" s="530" t="n">
        <v>7854</v>
      </c>
      <c r="E246" s="531" t="inlineStr">
        <is>
          <t>동성2차(21-6)</t>
        </is>
      </c>
      <c r="F246" s="530" t="n">
        <v>1987.08</v>
      </c>
      <c r="G246" s="530" t="n">
        <v>300</v>
      </c>
      <c r="H246" s="530">
        <f>2026-F246+1</f>
        <v/>
      </c>
      <c r="I246" s="530" t="n"/>
      <c r="J246" s="530" t="n">
        <v>66</v>
      </c>
      <c r="K246" s="530" t="n">
        <v>59</v>
      </c>
      <c r="L246" s="530" t="n">
        <v>20</v>
      </c>
      <c r="M246" s="530" t="inlineStr">
        <is>
          <t>계단식</t>
        </is>
      </c>
      <c r="N246" s="530" t="n">
        <v>3</v>
      </c>
      <c r="O246" s="530" t="n">
        <v>1</v>
      </c>
      <c r="P246" s="530" t="n">
        <v>250</v>
      </c>
      <c r="Q246" s="530" t="n"/>
      <c r="R246" s="530" t="n"/>
      <c r="S246" s="530" t="n"/>
      <c r="T246" s="530" t="n"/>
      <c r="U246" s="530" t="n">
        <v>1.4</v>
      </c>
      <c r="V246" s="530" t="n">
        <v>0.9</v>
      </c>
      <c r="W246" s="530" t="n"/>
      <c r="X246" s="530" t="n"/>
      <c r="Y246" s="530" t="n"/>
      <c r="Z246" s="530" t="n"/>
      <c r="AA246" s="530" t="n"/>
      <c r="AB246" s="530" t="n"/>
      <c r="AC246" s="530" t="n"/>
      <c r="AD246" s="530" t="n"/>
      <c r="AE246" s="530" t="n"/>
      <c r="AF246" s="530" t="n"/>
      <c r="AG246" s="530" t="n"/>
      <c r="AH246" s="530" t="n"/>
      <c r="AI246" s="530" t="n"/>
      <c r="AJ246" s="530" t="n"/>
      <c r="AK246" s="530" t="n"/>
      <c r="AL246" s="530" t="n"/>
    </row>
    <row r="247">
      <c r="A247" s="530" t="inlineStr">
        <is>
          <t>신촌동</t>
        </is>
      </c>
      <c r="B247" s="530" t="n"/>
      <c r="C247" s="530" t="n"/>
      <c r="D247" s="530" t="n">
        <v>7854</v>
      </c>
      <c r="E247" s="531" t="inlineStr">
        <is>
          <t>동성2차(21-6)</t>
        </is>
      </c>
      <c r="F247" s="530" t="n">
        <v>1987.08</v>
      </c>
      <c r="G247" s="530" t="n">
        <v>300</v>
      </c>
      <c r="H247" s="530">
        <f>2026-F247+1</f>
        <v/>
      </c>
      <c r="I247" s="530" t="n"/>
      <c r="J247" s="530" t="n">
        <v>66</v>
      </c>
      <c r="K247" s="530" t="n">
        <v>59</v>
      </c>
      <c r="L247" s="530" t="n">
        <v>20</v>
      </c>
      <c r="M247" s="530" t="inlineStr">
        <is>
          <t>계단식</t>
        </is>
      </c>
      <c r="N247" s="530" t="n">
        <v>2</v>
      </c>
      <c r="O247" s="530" t="n">
        <v>1</v>
      </c>
      <c r="P247" s="530" t="n">
        <v>50</v>
      </c>
      <c r="Q247" s="530" t="n"/>
      <c r="R247" s="530" t="n"/>
      <c r="S247" s="530" t="n"/>
      <c r="T247" s="530" t="n"/>
      <c r="U247" s="530" t="n">
        <v>1.4</v>
      </c>
      <c r="V247" s="530" t="n">
        <v>0.9</v>
      </c>
      <c r="W247" s="530" t="n"/>
      <c r="X247" s="530" t="n"/>
      <c r="Y247" s="530" t="n"/>
      <c r="Z247" s="530" t="n"/>
      <c r="AA247" s="530" t="n"/>
      <c r="AB247" s="530" t="n"/>
      <c r="AC247" s="530" t="n"/>
      <c r="AD247" s="530" t="n"/>
      <c r="AE247" s="530" t="n"/>
      <c r="AF247" s="530" t="n"/>
      <c r="AG247" s="530" t="n"/>
      <c r="AH247" s="530" t="n"/>
      <c r="AI247" s="530" t="n"/>
      <c r="AJ247" s="530" t="n"/>
      <c r="AK247" s="530" t="n"/>
      <c r="AL247" s="530" t="n"/>
    </row>
    <row r="248">
      <c r="A248" s="339" t="inlineStr">
        <is>
          <t>신촌동</t>
        </is>
      </c>
      <c r="D248" s="339" t="n">
        <v>16828</v>
      </c>
      <c r="E248" s="532" t="inlineStr">
        <is>
          <t>성원</t>
        </is>
      </c>
      <c r="F248" s="339" t="n">
        <v>1987.06</v>
      </c>
      <c r="G248" s="339" t="n">
        <v>410</v>
      </c>
      <c r="H248" s="339">
        <f>2026-F248+1</f>
        <v/>
      </c>
      <c r="J248" s="339" t="n">
        <v>56</v>
      </c>
      <c r="K248" s="339" t="n">
        <v>50</v>
      </c>
      <c r="L248" s="339" t="n">
        <v>17</v>
      </c>
      <c r="M248" s="339" t="inlineStr">
        <is>
          <t>계단식</t>
        </is>
      </c>
      <c r="N248" s="339" t="n">
        <v>2</v>
      </c>
      <c r="O248" s="339" t="n">
        <v>1</v>
      </c>
      <c r="P248" s="339" t="n">
        <v>90</v>
      </c>
      <c r="U248" t="n">
        <v>1.24</v>
      </c>
      <c r="V248" t="n">
        <v>0.85</v>
      </c>
    </row>
    <row r="249">
      <c r="A249" s="339" t="inlineStr">
        <is>
          <t>신촌동</t>
        </is>
      </c>
      <c r="D249" s="339" t="n">
        <v>16828</v>
      </c>
      <c r="E249" s="532" t="inlineStr">
        <is>
          <t>성원</t>
        </is>
      </c>
      <c r="F249" s="339" t="n">
        <v>1987.06</v>
      </c>
      <c r="G249" s="339" t="n">
        <v>410</v>
      </c>
      <c r="H249" s="339">
        <f>2026-F249+1</f>
        <v/>
      </c>
      <c r="J249" s="339" t="n">
        <v>57</v>
      </c>
      <c r="K249" s="339" t="n">
        <v>51</v>
      </c>
      <c r="L249" s="339" t="n">
        <v>17</v>
      </c>
      <c r="M249" s="339" t="inlineStr">
        <is>
          <t>계단식</t>
        </is>
      </c>
      <c r="N249" s="339" t="n">
        <v>2</v>
      </c>
      <c r="O249" s="339" t="n">
        <v>1</v>
      </c>
      <c r="P249" s="339" t="n">
        <v>90</v>
      </c>
      <c r="U249" t="n">
        <v>1.24</v>
      </c>
      <c r="V249" t="n">
        <v>0.85</v>
      </c>
    </row>
    <row r="250">
      <c r="A250" s="339" t="inlineStr">
        <is>
          <t>신촌동</t>
        </is>
      </c>
      <c r="D250" s="339" t="n">
        <v>16828</v>
      </c>
      <c r="E250" s="532" t="inlineStr">
        <is>
          <t>성원</t>
        </is>
      </c>
      <c r="F250" s="339" t="n">
        <v>1987.06</v>
      </c>
      <c r="G250" s="339" t="n">
        <v>410</v>
      </c>
      <c r="H250" s="339">
        <f>2026-F250+1</f>
        <v/>
      </c>
      <c r="J250" s="339" t="n">
        <v>59</v>
      </c>
      <c r="K250" s="339" t="n">
        <v>52</v>
      </c>
      <c r="L250" s="339" t="n">
        <v>18</v>
      </c>
      <c r="M250" s="339" t="inlineStr">
        <is>
          <t>계단식</t>
        </is>
      </c>
      <c r="N250" s="339" t="n">
        <v>2</v>
      </c>
      <c r="O250" s="339" t="n">
        <v>1</v>
      </c>
      <c r="P250" s="339" t="n">
        <v>90</v>
      </c>
      <c r="U250" t="n">
        <v>1.24</v>
      </c>
      <c r="V250" t="n">
        <v>0.8</v>
      </c>
    </row>
    <row r="251">
      <c r="A251" s="339" t="inlineStr">
        <is>
          <t>신촌동</t>
        </is>
      </c>
      <c r="D251" s="339" t="n">
        <v>16828</v>
      </c>
      <c r="E251" s="532" t="inlineStr">
        <is>
          <t>성원</t>
        </is>
      </c>
      <c r="F251" s="339" t="n">
        <v>1987.06</v>
      </c>
      <c r="G251" s="339" t="n">
        <v>410</v>
      </c>
      <c r="H251" s="339">
        <f>2026-F251+1</f>
        <v/>
      </c>
      <c r="J251" s="339" t="n">
        <v>65</v>
      </c>
      <c r="K251" s="339" t="n">
        <v>59</v>
      </c>
      <c r="L251" s="339" t="n">
        <v>20</v>
      </c>
      <c r="M251" s="339" t="inlineStr">
        <is>
          <t>계단식</t>
        </is>
      </c>
      <c r="N251" s="339" t="n">
        <v>3</v>
      </c>
      <c r="O251" s="339" t="n">
        <v>1</v>
      </c>
      <c r="P251" s="339" t="n">
        <v>140</v>
      </c>
      <c r="U251" t="n">
        <v>1.3</v>
      </c>
      <c r="V251" t="n">
        <v>1</v>
      </c>
    </row>
    <row r="252">
      <c r="A252" s="530" t="inlineStr">
        <is>
          <t>신촌동</t>
        </is>
      </c>
      <c r="B252" s="530" t="n"/>
      <c r="C252" s="530" t="n"/>
      <c r="D252" s="530" t="n">
        <v>7856</v>
      </c>
      <c r="E252" s="531" t="inlineStr">
        <is>
          <t>양곡상가(주상복합)</t>
        </is>
      </c>
      <c r="F252" s="530" t="n">
        <v>1979.09</v>
      </c>
      <c r="G252" s="530" t="n">
        <v>330</v>
      </c>
      <c r="H252" s="530">
        <f>2026-F252+1</f>
        <v/>
      </c>
      <c r="I252" s="530" t="n"/>
      <c r="J252" s="530" t="n">
        <v>82</v>
      </c>
      <c r="K252" s="530" t="n">
        <v>62</v>
      </c>
      <c r="L252" s="530" t="n">
        <v>25</v>
      </c>
      <c r="M252" s="530" t="inlineStr">
        <is>
          <t>복도식</t>
        </is>
      </c>
      <c r="N252" s="530" t="n">
        <v>2</v>
      </c>
      <c r="O252" s="530" t="n">
        <v>1</v>
      </c>
      <c r="P252" s="530" t="n">
        <v>264</v>
      </c>
      <c r="Q252" s="530" t="n"/>
      <c r="R252" s="530" t="n"/>
      <c r="S252" s="530" t="n"/>
      <c r="T252" s="530" t="n"/>
      <c r="U252" s="530" t="n">
        <v>0.83</v>
      </c>
      <c r="V252" s="530" t="n">
        <v>0.57</v>
      </c>
      <c r="W252" s="530" t="n"/>
      <c r="X252" s="530" t="n"/>
      <c r="Y252" s="530" t="n"/>
      <c r="Z252" s="530" t="n"/>
      <c r="AA252" s="530" t="n"/>
      <c r="AB252" s="530" t="n"/>
      <c r="AC252" s="530" t="n"/>
      <c r="AD252" s="530" t="n"/>
      <c r="AE252" s="530" t="n"/>
      <c r="AF252" s="530" t="n"/>
      <c r="AG252" s="530" t="n"/>
      <c r="AH252" s="530" t="n"/>
      <c r="AI252" s="530" t="n"/>
      <c r="AJ252" s="530" t="n"/>
      <c r="AK252" s="530" t="n"/>
      <c r="AL252" s="530" t="n"/>
    </row>
    <row r="253">
      <c r="A253" s="530" t="inlineStr">
        <is>
          <t>신촌동</t>
        </is>
      </c>
      <c r="B253" s="530" t="n"/>
      <c r="C253" s="530" t="n"/>
      <c r="D253" s="530" t="n">
        <v>7856</v>
      </c>
      <c r="E253" s="531" t="inlineStr">
        <is>
          <t>양곡상가(주상복합)</t>
        </is>
      </c>
      <c r="F253" s="530" t="n">
        <v>1979.09</v>
      </c>
      <c r="G253" s="530" t="n">
        <v>330</v>
      </c>
      <c r="H253" s="530">
        <f>2026-F253+1</f>
        <v/>
      </c>
      <c r="I253" s="530" t="n"/>
      <c r="J253" s="530" t="n">
        <v>105</v>
      </c>
      <c r="K253" s="530" t="n">
        <v>82</v>
      </c>
      <c r="L253" s="530" t="n">
        <v>32</v>
      </c>
      <c r="M253" s="530" t="inlineStr">
        <is>
          <t>복도식</t>
        </is>
      </c>
      <c r="N253" s="530" t="n">
        <v>3</v>
      </c>
      <c r="O253" s="530" t="n">
        <v>1</v>
      </c>
      <c r="P253" s="530" t="n">
        <v>66</v>
      </c>
      <c r="Q253" s="530" t="n"/>
      <c r="R253" s="530" t="n"/>
      <c r="S253" s="530" t="n"/>
      <c r="T253" s="530" t="n"/>
      <c r="U253" s="530" t="n">
        <v>1.08</v>
      </c>
      <c r="V253" s="530" t="n">
        <v>0.85</v>
      </c>
      <c r="W253" s="530" t="n"/>
      <c r="X253" s="530" t="n"/>
      <c r="Y253" s="530" t="n"/>
      <c r="Z253" s="530" t="n"/>
      <c r="AA253" s="530" t="n"/>
      <c r="AB253" s="530" t="n"/>
      <c r="AC253" s="530" t="n"/>
      <c r="AD253" s="530" t="n"/>
      <c r="AE253" s="530" t="n"/>
      <c r="AF253" s="530" t="n"/>
      <c r="AG253" s="530" t="n"/>
      <c r="AH253" s="530" t="n"/>
      <c r="AI253" s="530" t="n"/>
      <c r="AJ253" s="530" t="n"/>
      <c r="AK253" s="530" t="n"/>
      <c r="AL253" s="530" t="n"/>
    </row>
    <row r="254">
      <c r="A254" s="339" t="inlineStr">
        <is>
          <t>신촌동</t>
        </is>
      </c>
      <c r="D254" s="339" t="n">
        <v>27288</v>
      </c>
      <c r="E254" s="532" t="inlineStr">
        <is>
          <t>창원신촌동원로얄듀크</t>
        </is>
      </c>
      <c r="F254" s="339" t="n">
        <v>2008.1</v>
      </c>
      <c r="G254" s="339" t="n">
        <v>225</v>
      </c>
      <c r="H254" s="339">
        <f>2026-F254+1</f>
        <v/>
      </c>
      <c r="J254" s="339" t="n">
        <v>110</v>
      </c>
      <c r="K254" s="339" t="n">
        <v>84</v>
      </c>
      <c r="L254" s="339" t="n">
        <v>33</v>
      </c>
      <c r="M254" s="339" t="inlineStr">
        <is>
          <t>복합식</t>
        </is>
      </c>
      <c r="N254" s="339" t="n">
        <v>3</v>
      </c>
      <c r="O254" s="339" t="n">
        <v>2</v>
      </c>
      <c r="P254" s="339" t="n">
        <v>145</v>
      </c>
      <c r="U254" t="n">
        <v>3.1</v>
      </c>
      <c r="V254" t="n">
        <v>2.55</v>
      </c>
    </row>
    <row r="255">
      <c r="A255" s="339" t="inlineStr">
        <is>
          <t>신촌동</t>
        </is>
      </c>
      <c r="D255" s="339" t="n">
        <v>27288</v>
      </c>
      <c r="E255" s="532" t="inlineStr">
        <is>
          <t>창원신촌동원로얄듀크</t>
        </is>
      </c>
      <c r="F255" s="339" t="n">
        <v>2008.1</v>
      </c>
      <c r="G255" s="339" t="n">
        <v>225</v>
      </c>
      <c r="H255" s="339">
        <f>2026-F255+1</f>
        <v/>
      </c>
      <c r="J255" s="339" t="n">
        <v>148</v>
      </c>
      <c r="K255" s="339" t="n">
        <v>121</v>
      </c>
      <c r="L255" s="339" t="n">
        <v>45</v>
      </c>
      <c r="M255" s="339" t="inlineStr">
        <is>
          <t>복합식</t>
        </is>
      </c>
      <c r="N255" s="339" t="n">
        <v>4</v>
      </c>
      <c r="O255" s="339" t="n">
        <v>2</v>
      </c>
      <c r="P255" s="339" t="n">
        <v>80</v>
      </c>
      <c r="U255" t="n">
        <v>3.9</v>
      </c>
      <c r="V255" t="n">
        <v>3</v>
      </c>
    </row>
    <row r="256">
      <c r="A256" s="530" t="inlineStr">
        <is>
          <t>안민동</t>
        </is>
      </c>
      <c r="B256" s="530" t="n"/>
      <c r="C256" s="530" t="n"/>
      <c r="D256" s="530" t="n">
        <v>15802</v>
      </c>
      <c r="E256" s="531" t="inlineStr">
        <is>
          <t>동부산아이존빌</t>
        </is>
      </c>
      <c r="F256" s="530" t="n">
        <v>2002.03</v>
      </c>
      <c r="G256" s="530" t="n">
        <v>262</v>
      </c>
      <c r="H256" s="530">
        <f>2026-F256+1</f>
        <v/>
      </c>
      <c r="I256" s="530" t="n"/>
      <c r="J256" s="530" t="n">
        <v>81</v>
      </c>
      <c r="K256" s="530" t="n">
        <v>59</v>
      </c>
      <c r="L256" s="530" t="n">
        <v>25</v>
      </c>
      <c r="M256" s="530" t="inlineStr">
        <is>
          <t>계단식</t>
        </is>
      </c>
      <c r="N256" s="530" t="n">
        <v>2</v>
      </c>
      <c r="O256" s="530" t="n">
        <v>1</v>
      </c>
      <c r="P256" s="530" t="n">
        <v>55</v>
      </c>
      <c r="Q256" s="530" t="n"/>
      <c r="R256" s="530" t="n"/>
      <c r="S256" s="530" t="n"/>
      <c r="T256" s="530" t="n"/>
      <c r="U256" s="530" t="n">
        <v>2</v>
      </c>
      <c r="V256" s="530" t="n">
        <v>1.48</v>
      </c>
      <c r="W256" s="530" t="n"/>
      <c r="X256" s="530" t="n"/>
      <c r="Y256" s="530" t="n"/>
      <c r="Z256" s="530" t="n"/>
      <c r="AA256" s="530" t="n"/>
      <c r="AB256" s="530" t="n"/>
      <c r="AC256" s="530" t="n"/>
      <c r="AD256" s="530" t="n"/>
      <c r="AE256" s="530" t="n"/>
      <c r="AF256" s="530" t="n"/>
      <c r="AG256" s="530" t="n"/>
      <c r="AH256" s="530" t="n"/>
      <c r="AI256" s="530" t="n"/>
      <c r="AJ256" s="530" t="n"/>
      <c r="AK256" s="530" t="n"/>
      <c r="AL256" s="530" t="n"/>
    </row>
    <row r="257">
      <c r="A257" s="530" t="inlineStr">
        <is>
          <t>안민동</t>
        </is>
      </c>
      <c r="B257" s="530" t="n"/>
      <c r="C257" s="530" t="n"/>
      <c r="D257" s="530" t="n">
        <v>15802</v>
      </c>
      <c r="E257" s="531" t="inlineStr">
        <is>
          <t>동부산아이존빌</t>
        </is>
      </c>
      <c r="F257" s="530" t="n">
        <v>2002.03</v>
      </c>
      <c r="G257" s="530" t="n">
        <v>262</v>
      </c>
      <c r="H257" s="530">
        <f>2026-F257+1</f>
        <v/>
      </c>
      <c r="I257" s="530" t="n"/>
      <c r="J257" s="530" t="n">
        <v>82</v>
      </c>
      <c r="K257" s="530" t="n">
        <v>59</v>
      </c>
      <c r="L257" s="530" t="n">
        <v>25</v>
      </c>
      <c r="M257" s="530" t="inlineStr">
        <is>
          <t>계단식</t>
        </is>
      </c>
      <c r="N257" s="530" t="n">
        <v>3</v>
      </c>
      <c r="O257" s="530" t="n">
        <v>2</v>
      </c>
      <c r="P257" s="530" t="n">
        <v>115</v>
      </c>
      <c r="Q257" s="530" t="n"/>
      <c r="R257" s="530" t="n"/>
      <c r="S257" s="530" t="n"/>
      <c r="T257" s="530" t="n"/>
      <c r="U257" s="530" t="n">
        <v>2</v>
      </c>
      <c r="V257" s="530" t="n">
        <v>1.48</v>
      </c>
      <c r="W257" s="530" t="n"/>
      <c r="X257" s="530" t="n"/>
      <c r="Y257" s="530" t="n"/>
      <c r="Z257" s="530" t="n"/>
      <c r="AA257" s="530" t="n"/>
      <c r="AB257" s="530" t="n"/>
      <c r="AC257" s="530" t="n"/>
      <c r="AD257" s="530" t="n"/>
      <c r="AE257" s="530" t="n"/>
      <c r="AF257" s="530" t="n"/>
      <c r="AG257" s="530" t="n"/>
      <c r="AH257" s="530" t="n"/>
      <c r="AI257" s="530" t="n"/>
      <c r="AJ257" s="530" t="n"/>
      <c r="AK257" s="530" t="n"/>
      <c r="AL257" s="530" t="n"/>
    </row>
    <row r="258">
      <c r="A258" s="530" t="inlineStr">
        <is>
          <t>안민동</t>
        </is>
      </c>
      <c r="B258" s="530" t="n"/>
      <c r="C258" s="530" t="n"/>
      <c r="D258" s="530" t="n">
        <v>15802</v>
      </c>
      <c r="E258" s="531" t="inlineStr">
        <is>
          <t>동부산아이존빌</t>
        </is>
      </c>
      <c r="F258" s="530" t="n">
        <v>2002.03</v>
      </c>
      <c r="G258" s="530" t="n">
        <v>262</v>
      </c>
      <c r="H258" s="530">
        <f>2026-F258+1</f>
        <v/>
      </c>
      <c r="I258" s="530" t="n"/>
      <c r="J258" s="530" t="n">
        <v>114</v>
      </c>
      <c r="K258" s="530" t="n">
        <v>84</v>
      </c>
      <c r="L258" s="530" t="n">
        <v>34</v>
      </c>
      <c r="M258" s="530" t="inlineStr">
        <is>
          <t>계단식</t>
        </is>
      </c>
      <c r="N258" s="530" t="n">
        <v>3</v>
      </c>
      <c r="O258" s="530" t="n">
        <v>2</v>
      </c>
      <c r="P258" s="530" t="n">
        <v>92</v>
      </c>
      <c r="Q258" s="530" t="n"/>
      <c r="R258" s="530" t="n"/>
      <c r="S258" s="530" t="n"/>
      <c r="T258" s="530" t="n"/>
      <c r="U258" s="530" t="n">
        <v>2.7</v>
      </c>
      <c r="V258" s="530" t="n">
        <v>2</v>
      </c>
      <c r="W258" s="530" t="n"/>
      <c r="X258" s="530" t="n"/>
      <c r="Y258" s="530" t="n"/>
      <c r="Z258" s="530" t="n"/>
      <c r="AA258" s="530" t="n"/>
      <c r="AB258" s="530" t="n"/>
      <c r="AC258" s="530" t="n"/>
      <c r="AD258" s="530" t="n"/>
      <c r="AE258" s="530" t="n"/>
      <c r="AF258" s="530" t="n"/>
      <c r="AG258" s="530" t="n"/>
      <c r="AH258" s="530" t="n"/>
      <c r="AI258" s="530" t="n"/>
      <c r="AJ258" s="530" t="n"/>
      <c r="AK258" s="530" t="n"/>
      <c r="AL258" s="530" t="n"/>
    </row>
    <row r="259">
      <c r="A259" s="339" t="inlineStr">
        <is>
          <t>안민동</t>
        </is>
      </c>
      <c r="D259" s="339" t="n">
        <v>141478</v>
      </c>
      <c r="E259" s="532" t="inlineStr">
        <is>
          <t>성산삼정그린코아포레스트1단지</t>
        </is>
      </c>
      <c r="F259" s="339" t="n">
        <v>2024.05</v>
      </c>
      <c r="G259" s="339" t="n">
        <v>401</v>
      </c>
      <c r="H259" s="339">
        <f>2026-F259+1</f>
        <v/>
      </c>
      <c r="J259" s="339" t="n">
        <v>100</v>
      </c>
      <c r="K259" s="339" t="n">
        <v>75</v>
      </c>
      <c r="L259" s="339" t="n">
        <v>30</v>
      </c>
      <c r="M259" s="339" t="inlineStr">
        <is>
          <t>계단식</t>
        </is>
      </c>
      <c r="N259" s="339" t="n">
        <v>3</v>
      </c>
      <c r="O259" s="339" t="n">
        <v>2</v>
      </c>
      <c r="P259" s="339" t="n">
        <v>195</v>
      </c>
    </row>
    <row r="260">
      <c r="A260" s="339" t="inlineStr">
        <is>
          <t>안민동</t>
        </is>
      </c>
      <c r="D260" s="339" t="n">
        <v>141478</v>
      </c>
      <c r="E260" s="532" t="inlineStr">
        <is>
          <t>성산삼정그린코아포레스트1단지</t>
        </is>
      </c>
      <c r="F260" s="339" t="n">
        <v>2024.05</v>
      </c>
      <c r="G260" s="339" t="n">
        <v>401</v>
      </c>
      <c r="H260" s="339">
        <f>2026-F260+1</f>
        <v/>
      </c>
      <c r="J260" s="339" t="n">
        <v>108</v>
      </c>
      <c r="K260" s="339" t="n">
        <v>84</v>
      </c>
      <c r="L260" s="339" t="n">
        <v>33</v>
      </c>
      <c r="M260" s="339" t="inlineStr">
        <is>
          <t>계단식</t>
        </is>
      </c>
      <c r="N260" s="339" t="n">
        <v>3</v>
      </c>
      <c r="O260" s="339" t="n">
        <v>2</v>
      </c>
      <c r="P260" s="339" t="n">
        <v>206</v>
      </c>
    </row>
    <row r="261">
      <c r="A261" s="530" t="inlineStr">
        <is>
          <t>안민동</t>
        </is>
      </c>
      <c r="B261" s="530" t="n"/>
      <c r="C261" s="530" t="n"/>
      <c r="D261" s="530" t="n">
        <v>7858</v>
      </c>
      <c r="E261" s="531" t="inlineStr">
        <is>
          <t>안민청솔마을대동</t>
        </is>
      </c>
      <c r="F261" s="530" t="n">
        <v>1999.06</v>
      </c>
      <c r="G261" s="530" t="n">
        <v>920</v>
      </c>
      <c r="H261" s="530">
        <f>2026-F261+1</f>
        <v/>
      </c>
      <c r="I261" s="530" t="n"/>
      <c r="J261" s="530" t="n">
        <v>79</v>
      </c>
      <c r="K261" s="530" t="n">
        <v>59</v>
      </c>
      <c r="L261" s="530" t="n">
        <v>24</v>
      </c>
      <c r="M261" s="530" t="inlineStr">
        <is>
          <t>계단식</t>
        </is>
      </c>
      <c r="N261" s="530" t="n">
        <v>2</v>
      </c>
      <c r="O261" s="530" t="n">
        <v>1</v>
      </c>
      <c r="P261" s="530" t="n">
        <v>217</v>
      </c>
      <c r="Q261" s="530" t="n"/>
      <c r="R261" s="530" t="n"/>
      <c r="S261" s="530" t="n"/>
      <c r="T261" s="530" t="n"/>
      <c r="U261" s="530" t="n">
        <v>1.82</v>
      </c>
      <c r="V261" s="530" t="n">
        <v>1.35</v>
      </c>
      <c r="W261" s="530" t="n"/>
      <c r="X261" s="530" t="n"/>
      <c r="Y261" s="530" t="n"/>
      <c r="Z261" s="530" t="n"/>
      <c r="AA261" s="530" t="n"/>
      <c r="AB261" s="530" t="n"/>
      <c r="AC261" s="530" t="n"/>
      <c r="AD261" s="530" t="n"/>
      <c r="AE261" s="530" t="n"/>
      <c r="AF261" s="530" t="n"/>
      <c r="AG261" s="530" t="n"/>
      <c r="AH261" s="530" t="n"/>
      <c r="AI261" s="530" t="n"/>
      <c r="AJ261" s="530" t="n"/>
      <c r="AK261" s="530" t="n"/>
      <c r="AL261" s="530" t="n"/>
    </row>
    <row r="262">
      <c r="A262" s="530" t="inlineStr">
        <is>
          <t>안민동</t>
        </is>
      </c>
      <c r="B262" s="530" t="n"/>
      <c r="C262" s="530" t="n"/>
      <c r="D262" s="530" t="n">
        <v>7858</v>
      </c>
      <c r="E262" s="531" t="inlineStr">
        <is>
          <t>안민청솔마을대동</t>
        </is>
      </c>
      <c r="F262" s="530" t="n">
        <v>1999.06</v>
      </c>
      <c r="G262" s="530" t="n">
        <v>920</v>
      </c>
      <c r="H262" s="530">
        <f>2026-F262+1</f>
        <v/>
      </c>
      <c r="I262" s="530" t="n"/>
      <c r="J262" s="530" t="n">
        <v>107</v>
      </c>
      <c r="K262" s="530" t="n">
        <v>85</v>
      </c>
      <c r="L262" s="530" t="n">
        <v>32</v>
      </c>
      <c r="M262" s="530" t="inlineStr">
        <is>
          <t>계단식</t>
        </is>
      </c>
      <c r="N262" s="530" t="n">
        <v>3</v>
      </c>
      <c r="O262" s="530" t="n">
        <v>2</v>
      </c>
      <c r="P262" s="530" t="n">
        <v>537</v>
      </c>
      <c r="Q262" s="530" t="n"/>
      <c r="R262" s="530" t="n"/>
      <c r="S262" s="530" t="n"/>
      <c r="T262" s="530" t="n"/>
      <c r="U262" s="530" t="n">
        <v>2.58</v>
      </c>
      <c r="V262" s="530" t="n">
        <v>1.55</v>
      </c>
      <c r="W262" s="530" t="n"/>
      <c r="X262" s="530" t="n"/>
      <c r="Y262" s="530" t="n"/>
      <c r="Z262" s="530" t="n"/>
      <c r="AA262" s="530" t="n"/>
      <c r="AB262" s="530" t="n"/>
      <c r="AC262" s="530" t="n"/>
      <c r="AD262" s="530" t="n"/>
      <c r="AE262" s="530" t="n"/>
      <c r="AF262" s="530" t="n"/>
      <c r="AG262" s="530" t="n"/>
      <c r="AH262" s="530" t="n"/>
      <c r="AI262" s="530" t="n"/>
      <c r="AJ262" s="530" t="n"/>
      <c r="AK262" s="530" t="n"/>
      <c r="AL262" s="530" t="n"/>
    </row>
    <row r="263">
      <c r="A263" s="530" t="inlineStr">
        <is>
          <t>안민동</t>
        </is>
      </c>
      <c r="B263" s="530" t="n"/>
      <c r="C263" s="530" t="n"/>
      <c r="D263" s="530" t="n">
        <v>7858</v>
      </c>
      <c r="E263" s="531" t="inlineStr">
        <is>
          <t>안민청솔마을대동</t>
        </is>
      </c>
      <c r="F263" s="530" t="n">
        <v>1999.06</v>
      </c>
      <c r="G263" s="530" t="n">
        <v>920</v>
      </c>
      <c r="H263" s="530">
        <f>2026-F263+1</f>
        <v/>
      </c>
      <c r="I263" s="530" t="n"/>
      <c r="J263" s="530" t="n">
        <v>147</v>
      </c>
      <c r="K263" s="530" t="n">
        <v>119</v>
      </c>
      <c r="L263" s="530" t="n">
        <v>44</v>
      </c>
      <c r="M263" s="530" t="inlineStr">
        <is>
          <t>계단식</t>
        </is>
      </c>
      <c r="N263" s="530" t="n">
        <v>3</v>
      </c>
      <c r="O263" s="530" t="n">
        <v>2</v>
      </c>
      <c r="P263" s="530" t="n">
        <v>68</v>
      </c>
      <c r="Q263" s="530" t="n"/>
      <c r="R263" s="530" t="n"/>
      <c r="S263" s="530" t="n"/>
      <c r="T263" s="530" t="n"/>
      <c r="U263" s="530" t="n">
        <v>3.6</v>
      </c>
      <c r="V263" s="530" t="n">
        <v>2.65</v>
      </c>
      <c r="W263" s="530" t="n"/>
      <c r="X263" s="530" t="n"/>
      <c r="Y263" s="530" t="n"/>
      <c r="Z263" s="530" t="n"/>
      <c r="AA263" s="530" t="n"/>
      <c r="AB263" s="530" t="n"/>
      <c r="AC263" s="530" t="n"/>
      <c r="AD263" s="530" t="n"/>
      <c r="AE263" s="530" t="n"/>
      <c r="AF263" s="530" t="n"/>
      <c r="AG263" s="530" t="n"/>
      <c r="AH263" s="530" t="n"/>
      <c r="AI263" s="530" t="n"/>
      <c r="AJ263" s="530" t="n"/>
      <c r="AK263" s="530" t="n"/>
      <c r="AL263" s="530" t="n"/>
    </row>
    <row r="264">
      <c r="A264" s="530" t="inlineStr">
        <is>
          <t>안민동</t>
        </is>
      </c>
      <c r="B264" s="530" t="n"/>
      <c r="C264" s="530" t="n"/>
      <c r="D264" s="530" t="n">
        <v>7858</v>
      </c>
      <c r="E264" s="531" t="inlineStr">
        <is>
          <t>안민청솔마을대동</t>
        </is>
      </c>
      <c r="F264" s="530" t="n">
        <v>1999.06</v>
      </c>
      <c r="G264" s="530" t="n">
        <v>920</v>
      </c>
      <c r="H264" s="530">
        <f>2026-F264+1</f>
        <v/>
      </c>
      <c r="I264" s="530" t="n"/>
      <c r="J264" s="530" t="n">
        <v>181</v>
      </c>
      <c r="K264" s="530" t="n">
        <v>149</v>
      </c>
      <c r="L264" s="530" t="n">
        <v>55</v>
      </c>
      <c r="M264" s="530" t="inlineStr">
        <is>
          <t>계단식</t>
        </is>
      </c>
      <c r="N264" s="530" t="n">
        <v>4</v>
      </c>
      <c r="O264" s="530" t="n">
        <v>2</v>
      </c>
      <c r="P264" s="530" t="n">
        <v>98</v>
      </c>
      <c r="Q264" s="530" t="n"/>
      <c r="R264" s="530" t="n"/>
      <c r="S264" s="530" t="n"/>
      <c r="T264" s="530" t="n"/>
      <c r="U264" s="530" t="n">
        <v>3.25</v>
      </c>
      <c r="V264" s="530" t="n">
        <v>2.89</v>
      </c>
      <c r="W264" s="530" t="n"/>
      <c r="X264" s="530" t="n"/>
      <c r="Y264" s="530" t="n"/>
      <c r="Z264" s="530" t="n"/>
      <c r="AA264" s="530" t="n"/>
      <c r="AB264" s="530" t="n"/>
      <c r="AC264" s="530" t="n"/>
      <c r="AD264" s="530" t="n"/>
      <c r="AE264" s="530" t="n"/>
      <c r="AF264" s="530" t="n"/>
      <c r="AG264" s="530" t="n"/>
      <c r="AH264" s="530" t="n"/>
      <c r="AI264" s="530" t="n"/>
      <c r="AJ264" s="530" t="n"/>
      <c r="AK264" s="530" t="n"/>
      <c r="AL264" s="530" t="n"/>
    </row>
    <row r="265">
      <c r="A265" s="339" t="inlineStr">
        <is>
          <t>안민동</t>
        </is>
      </c>
      <c r="D265" s="339" t="n">
        <v>7862</v>
      </c>
      <c r="E265" s="532" t="inlineStr">
        <is>
          <t>한솔마을대동</t>
        </is>
      </c>
      <c r="F265" s="339" t="n">
        <v>1999.05</v>
      </c>
      <c r="G265" s="339" t="n">
        <v>640</v>
      </c>
      <c r="H265" s="339">
        <f>2026-F265+1</f>
        <v/>
      </c>
      <c r="J265" s="339" t="n">
        <v>75</v>
      </c>
      <c r="K265" s="339" t="n">
        <v>59</v>
      </c>
      <c r="L265" s="339" t="n">
        <v>23</v>
      </c>
      <c r="M265" s="339" t="inlineStr">
        <is>
          <t>계단식</t>
        </is>
      </c>
      <c r="N265" s="339" t="n">
        <v>3</v>
      </c>
      <c r="O265" s="339" t="n">
        <v>1</v>
      </c>
      <c r="P265" s="339" t="n">
        <v>140</v>
      </c>
      <c r="U265" t="n">
        <v>1.82</v>
      </c>
      <c r="V265" t="n">
        <v>1.35</v>
      </c>
    </row>
    <row r="266">
      <c r="A266" s="339" t="inlineStr">
        <is>
          <t>안민동</t>
        </is>
      </c>
      <c r="D266" s="339" t="n">
        <v>7862</v>
      </c>
      <c r="E266" s="532" t="inlineStr">
        <is>
          <t>한솔마을대동</t>
        </is>
      </c>
      <c r="F266" s="339" t="n">
        <v>1999.05</v>
      </c>
      <c r="G266" s="339" t="n">
        <v>640</v>
      </c>
      <c r="H266" s="339">
        <f>2026-F266+1</f>
        <v/>
      </c>
      <c r="J266" s="339" t="n">
        <v>108</v>
      </c>
      <c r="K266" s="339" t="n">
        <v>84</v>
      </c>
      <c r="L266" s="339" t="n">
        <v>33</v>
      </c>
      <c r="M266" s="339" t="inlineStr">
        <is>
          <t>계단식</t>
        </is>
      </c>
      <c r="N266" s="339" t="n">
        <v>3</v>
      </c>
      <c r="O266" s="339" t="n">
        <v>2</v>
      </c>
      <c r="P266" s="339" t="n">
        <v>500</v>
      </c>
      <c r="U266" t="n">
        <v>2.58</v>
      </c>
      <c r="V266" t="n">
        <v>1.55</v>
      </c>
    </row>
    <row r="267">
      <c r="A267" s="530" t="inlineStr">
        <is>
          <t>외동</t>
        </is>
      </c>
      <c r="B267" s="530" t="n"/>
      <c r="C267" s="530" t="n"/>
      <c r="D267" s="530" t="n">
        <v>101485</v>
      </c>
      <c r="E267" s="531" t="inlineStr">
        <is>
          <t>월드메르디앙이스턴애비뉴</t>
        </is>
      </c>
      <c r="F267" s="530" t="n">
        <v>2009.01</v>
      </c>
      <c r="G267" s="530" t="n">
        <v>439</v>
      </c>
      <c r="H267" s="530">
        <f>2026-F267+1</f>
        <v/>
      </c>
      <c r="I267" s="530" t="n"/>
      <c r="J267" s="530" t="n">
        <v>77</v>
      </c>
      <c r="K267" s="530" t="n">
        <v>59</v>
      </c>
      <c r="L267" s="530" t="n">
        <v>23</v>
      </c>
      <c r="M267" s="530" t="inlineStr">
        <is>
          <t>계단식</t>
        </is>
      </c>
      <c r="N267" s="530" t="n">
        <v>3</v>
      </c>
      <c r="O267" s="530" t="n">
        <v>2</v>
      </c>
      <c r="P267" s="530" t="n">
        <v>150</v>
      </c>
      <c r="Q267" s="530" t="n"/>
      <c r="R267" s="530" t="n"/>
      <c r="S267" s="530" t="n"/>
      <c r="T267" s="530" t="n"/>
      <c r="U267" s="530" t="n">
        <v>2.47</v>
      </c>
      <c r="V267" s="530" t="n">
        <v>2</v>
      </c>
      <c r="W267" s="530" t="n"/>
      <c r="X267" s="530" t="n"/>
      <c r="Y267" s="530" t="n"/>
      <c r="Z267" s="530" t="n"/>
      <c r="AA267" s="530" t="n"/>
      <c r="AB267" s="530" t="n"/>
      <c r="AC267" s="530" t="n"/>
      <c r="AD267" s="530" t="n"/>
      <c r="AE267" s="530" t="n"/>
      <c r="AF267" s="530" t="n"/>
      <c r="AG267" s="530" t="n"/>
      <c r="AH267" s="530" t="n"/>
      <c r="AI267" s="530" t="n"/>
      <c r="AJ267" s="530" t="n"/>
      <c r="AK267" s="530" t="n"/>
      <c r="AL267" s="530" t="n"/>
    </row>
    <row r="268">
      <c r="A268" s="530" t="inlineStr">
        <is>
          <t>외동</t>
        </is>
      </c>
      <c r="B268" s="530" t="n"/>
      <c r="C268" s="530" t="n"/>
      <c r="D268" s="530" t="n">
        <v>101485</v>
      </c>
      <c r="E268" s="531" t="inlineStr">
        <is>
          <t>월드메르디앙이스턴애비뉴</t>
        </is>
      </c>
      <c r="F268" s="530" t="n">
        <v>2009.01</v>
      </c>
      <c r="G268" s="530" t="n">
        <v>439</v>
      </c>
      <c r="H268" s="530">
        <f>2026-F268+1</f>
        <v/>
      </c>
      <c r="I268" s="530" t="n"/>
      <c r="J268" s="530" t="n">
        <v>107</v>
      </c>
      <c r="K268" s="530" t="n">
        <v>84</v>
      </c>
      <c r="L268" s="530" t="n">
        <v>32</v>
      </c>
      <c r="M268" s="530" t="inlineStr">
        <is>
          <t>계단식</t>
        </is>
      </c>
      <c r="N268" s="530" t="n">
        <v>3</v>
      </c>
      <c r="O268" s="530" t="n">
        <v>2</v>
      </c>
      <c r="P268" s="530" t="n">
        <v>205</v>
      </c>
      <c r="Q268" s="530" t="n"/>
      <c r="R268" s="530" t="n"/>
      <c r="S268" s="530" t="n"/>
      <c r="T268" s="530" t="n"/>
      <c r="U268" s="530" t="n">
        <v>3.22</v>
      </c>
      <c r="V268" s="530" t="n">
        <v>2.7</v>
      </c>
      <c r="W268" s="530" t="n"/>
      <c r="X268" s="530" t="n"/>
      <c r="Y268" s="530" t="n"/>
      <c r="Z268" s="530" t="n"/>
      <c r="AA268" s="530" t="n"/>
      <c r="AB268" s="530" t="n"/>
      <c r="AC268" s="530" t="n"/>
      <c r="AD268" s="530" t="n"/>
      <c r="AE268" s="530" t="n"/>
      <c r="AF268" s="530" t="n"/>
      <c r="AG268" s="530" t="n"/>
      <c r="AH268" s="530" t="n"/>
      <c r="AI268" s="530" t="n"/>
      <c r="AJ268" s="530" t="n"/>
      <c r="AK268" s="530" t="n"/>
      <c r="AL268" s="530" t="n"/>
    </row>
    <row r="269">
      <c r="A269" s="530" t="inlineStr">
        <is>
          <t>외동</t>
        </is>
      </c>
      <c r="B269" s="530" t="n"/>
      <c r="C269" s="530" t="n"/>
      <c r="D269" s="530" t="n">
        <v>101485</v>
      </c>
      <c r="E269" s="531" t="inlineStr">
        <is>
          <t>월드메르디앙이스턴애비뉴</t>
        </is>
      </c>
      <c r="F269" s="530" t="n">
        <v>2009.01</v>
      </c>
      <c r="G269" s="530" t="n">
        <v>439</v>
      </c>
      <c r="H269" s="530">
        <f>2026-F269+1</f>
        <v/>
      </c>
      <c r="I269" s="530" t="n"/>
      <c r="J269" s="530" t="n">
        <v>143</v>
      </c>
      <c r="K269" s="530" t="n">
        <v>115</v>
      </c>
      <c r="L269" s="530" t="n">
        <v>43</v>
      </c>
      <c r="M269" s="530" t="inlineStr">
        <is>
          <t>계단식</t>
        </is>
      </c>
      <c r="N269" s="530" t="n">
        <v>4</v>
      </c>
      <c r="O269" s="530" t="n">
        <v>2</v>
      </c>
      <c r="P269" s="530" t="n">
        <v>84</v>
      </c>
      <c r="Q269" s="530" t="n"/>
      <c r="R269" s="530" t="n"/>
      <c r="S269" s="530" t="n"/>
      <c r="T269" s="530" t="n"/>
      <c r="U269" s="530" t="n">
        <v>3.46</v>
      </c>
      <c r="V269" s="530" t="n">
        <v>3.43</v>
      </c>
      <c r="W269" s="530" t="n"/>
      <c r="X269" s="530" t="n"/>
      <c r="Y269" s="530" t="n"/>
      <c r="Z269" s="530" t="n"/>
      <c r="AA269" s="530" t="n"/>
      <c r="AB269" s="530" t="n"/>
      <c r="AC269" s="530" t="n"/>
      <c r="AD269" s="530" t="n"/>
      <c r="AE269" s="530" t="n"/>
      <c r="AF269" s="530" t="n"/>
      <c r="AG269" s="530" t="n"/>
      <c r="AH269" s="530" t="n"/>
      <c r="AI269" s="530" t="n"/>
      <c r="AJ269" s="530" t="n"/>
      <c r="AK269" s="530" t="n"/>
      <c r="AL269" s="530" t="n"/>
    </row>
    <row r="270">
      <c r="A270" s="339" t="inlineStr">
        <is>
          <t>용호동</t>
        </is>
      </c>
      <c r="D270" s="339" t="n">
        <v>14858</v>
      </c>
      <c r="E270" s="532" t="inlineStr">
        <is>
          <t>롯데맨션1단지</t>
        </is>
      </c>
      <c r="F270" s="339" t="n">
        <v>1984.11</v>
      </c>
      <c r="G270" s="339" t="n">
        <v>600</v>
      </c>
      <c r="H270" s="339">
        <f>2026-F270+1</f>
        <v/>
      </c>
      <c r="J270" s="339" t="n">
        <v>74</v>
      </c>
      <c r="K270" s="339" t="n">
        <v>67</v>
      </c>
      <c r="L270" s="339" t="n">
        <v>22</v>
      </c>
      <c r="M270" s="339" t="inlineStr">
        <is>
          <t>계단식</t>
        </is>
      </c>
      <c r="N270" s="339" t="n">
        <v>3</v>
      </c>
      <c r="O270" s="339" t="n">
        <v>1</v>
      </c>
      <c r="P270" s="339" t="n">
        <v>160</v>
      </c>
      <c r="U270" t="n">
        <v>6.9</v>
      </c>
      <c r="V270" t="n">
        <v>5.6</v>
      </c>
    </row>
    <row r="271">
      <c r="A271" s="339" t="inlineStr">
        <is>
          <t>용호동</t>
        </is>
      </c>
      <c r="D271" s="339" t="n">
        <v>14858</v>
      </c>
      <c r="E271" s="532" t="inlineStr">
        <is>
          <t>롯데맨션1단지</t>
        </is>
      </c>
      <c r="F271" s="339" t="n">
        <v>1984.11</v>
      </c>
      <c r="G271" s="339" t="n">
        <v>600</v>
      </c>
      <c r="H271" s="339">
        <f>2026-F271+1</f>
        <v/>
      </c>
      <c r="J271" s="339" t="n">
        <v>86</v>
      </c>
      <c r="K271" s="339" t="n">
        <v>79</v>
      </c>
      <c r="L271" s="339" t="n">
        <v>26</v>
      </c>
      <c r="M271" s="339" t="inlineStr">
        <is>
          <t>계단식</t>
        </is>
      </c>
      <c r="N271" s="339" t="n">
        <v>3</v>
      </c>
      <c r="O271" s="339" t="n">
        <v>1</v>
      </c>
      <c r="P271" s="339" t="n">
        <v>210</v>
      </c>
      <c r="U271" t="n">
        <v>7.9</v>
      </c>
      <c r="V271" t="n">
        <v>6.4</v>
      </c>
    </row>
    <row r="272">
      <c r="A272" s="339" t="inlineStr">
        <is>
          <t>용호동</t>
        </is>
      </c>
      <c r="D272" s="339" t="n">
        <v>14858</v>
      </c>
      <c r="E272" s="532" t="inlineStr">
        <is>
          <t>롯데맨션1단지</t>
        </is>
      </c>
      <c r="F272" s="339" t="n">
        <v>1984.11</v>
      </c>
      <c r="G272" s="339" t="n">
        <v>600</v>
      </c>
      <c r="H272" s="339">
        <f>2026-F272+1</f>
        <v/>
      </c>
      <c r="J272" s="339" t="n">
        <v>86</v>
      </c>
      <c r="K272" s="339" t="n">
        <v>82</v>
      </c>
      <c r="L272" s="339" t="n">
        <v>26</v>
      </c>
      <c r="M272" s="339" t="inlineStr">
        <is>
          <t>계단식</t>
        </is>
      </c>
      <c r="N272" s="339" t="n">
        <v>3</v>
      </c>
      <c r="O272" s="339" t="n">
        <v>1</v>
      </c>
      <c r="P272" s="339" t="n">
        <v>80</v>
      </c>
      <c r="U272" t="n">
        <v>7.98</v>
      </c>
      <c r="V272" t="n">
        <v>5.85</v>
      </c>
    </row>
    <row r="273">
      <c r="A273" s="339" t="inlineStr">
        <is>
          <t>용호동</t>
        </is>
      </c>
      <c r="D273" s="339" t="n">
        <v>14858</v>
      </c>
      <c r="E273" s="532" t="inlineStr">
        <is>
          <t>롯데맨션1단지</t>
        </is>
      </c>
      <c r="F273" s="339" t="n">
        <v>1984.11</v>
      </c>
      <c r="G273" s="339" t="n">
        <v>600</v>
      </c>
      <c r="H273" s="339">
        <f>2026-F273+1</f>
        <v/>
      </c>
      <c r="J273" s="339" t="n">
        <v>105</v>
      </c>
      <c r="K273" s="339" t="n">
        <v>99</v>
      </c>
      <c r="L273" s="339" t="n">
        <v>32</v>
      </c>
      <c r="M273" s="339" t="inlineStr">
        <is>
          <t>계단식</t>
        </is>
      </c>
      <c r="N273" s="339" t="n">
        <v>4</v>
      </c>
      <c r="O273" s="339" t="n">
        <v>1</v>
      </c>
      <c r="P273" s="339" t="n">
        <v>30</v>
      </c>
      <c r="U273" t="n">
        <v>8.35</v>
      </c>
    </row>
    <row r="274">
      <c r="A274" s="339" t="inlineStr">
        <is>
          <t>용호동</t>
        </is>
      </c>
      <c r="D274" s="339" t="n">
        <v>14858</v>
      </c>
      <c r="E274" s="532" t="inlineStr">
        <is>
          <t>롯데맨션1단지</t>
        </is>
      </c>
      <c r="F274" s="339" t="n">
        <v>1984.11</v>
      </c>
      <c r="G274" s="339" t="n">
        <v>600</v>
      </c>
      <c r="H274" s="339">
        <f>2026-F274+1</f>
        <v/>
      </c>
      <c r="J274" s="339" t="n">
        <v>120</v>
      </c>
      <c r="K274" s="339" t="n">
        <v>113</v>
      </c>
      <c r="L274" s="339" t="n">
        <v>36</v>
      </c>
      <c r="M274" s="339" t="inlineStr">
        <is>
          <t>계단식</t>
        </is>
      </c>
      <c r="N274" s="339" t="n">
        <v>4</v>
      </c>
      <c r="O274" s="339" t="n">
        <v>2</v>
      </c>
      <c r="P274" s="339" t="n">
        <v>30</v>
      </c>
      <c r="U274" t="n">
        <v>9.5</v>
      </c>
    </row>
    <row r="275">
      <c r="A275" s="339" t="inlineStr">
        <is>
          <t>용호동</t>
        </is>
      </c>
      <c r="D275" s="339" t="n">
        <v>14858</v>
      </c>
      <c r="E275" s="532" t="inlineStr">
        <is>
          <t>롯데맨션1단지</t>
        </is>
      </c>
      <c r="F275" s="339" t="n">
        <v>1984.11</v>
      </c>
      <c r="G275" s="339" t="n">
        <v>600</v>
      </c>
      <c r="H275" s="339">
        <f>2026-F275+1</f>
        <v/>
      </c>
      <c r="J275" s="339" t="n">
        <v>120</v>
      </c>
      <c r="K275" s="339" t="n">
        <v>112</v>
      </c>
      <c r="L275" s="339" t="n">
        <v>36</v>
      </c>
      <c r="M275" s="339" t="inlineStr">
        <is>
          <t>계단식</t>
        </is>
      </c>
      <c r="N275" s="339" t="n">
        <v>3</v>
      </c>
      <c r="O275" s="339" t="n">
        <v>2</v>
      </c>
      <c r="P275" s="339" t="n">
        <v>30</v>
      </c>
      <c r="U275" t="n">
        <v>9.5</v>
      </c>
    </row>
    <row r="276">
      <c r="A276" s="339" t="inlineStr">
        <is>
          <t>용호동</t>
        </is>
      </c>
      <c r="D276" s="339" t="n">
        <v>14858</v>
      </c>
      <c r="E276" s="532" t="inlineStr">
        <is>
          <t>롯데맨션1단지</t>
        </is>
      </c>
      <c r="F276" s="339" t="n">
        <v>1984.11</v>
      </c>
      <c r="G276" s="339" t="n">
        <v>600</v>
      </c>
      <c r="H276" s="339">
        <f>2026-F276+1</f>
        <v/>
      </c>
      <c r="J276" s="339" t="n">
        <v>139</v>
      </c>
      <c r="K276" s="339" t="n">
        <v>132</v>
      </c>
      <c r="L276" s="339" t="n">
        <v>42</v>
      </c>
      <c r="M276" s="339" t="inlineStr">
        <is>
          <t>계단식</t>
        </is>
      </c>
      <c r="N276" s="339" t="n">
        <v>4</v>
      </c>
      <c r="O276" s="339" t="n">
        <v>2</v>
      </c>
      <c r="P276" s="339" t="n">
        <v>30</v>
      </c>
      <c r="V276" t="n">
        <v>9.5</v>
      </c>
    </row>
    <row r="277">
      <c r="A277" s="339" t="inlineStr">
        <is>
          <t>용호동</t>
        </is>
      </c>
      <c r="D277" s="339" t="n">
        <v>14858</v>
      </c>
      <c r="E277" s="532" t="inlineStr">
        <is>
          <t>롯데맨션1단지</t>
        </is>
      </c>
      <c r="F277" s="339" t="n">
        <v>1984.11</v>
      </c>
      <c r="G277" s="339" t="n">
        <v>600</v>
      </c>
      <c r="H277" s="339">
        <f>2026-F277+1</f>
        <v/>
      </c>
      <c r="J277" s="339" t="n">
        <v>148</v>
      </c>
      <c r="K277" s="339" t="n">
        <v>141</v>
      </c>
      <c r="L277" s="339" t="n">
        <v>45</v>
      </c>
      <c r="M277" s="339" t="inlineStr">
        <is>
          <t>계단식</t>
        </is>
      </c>
      <c r="N277" s="339" t="n">
        <v>3</v>
      </c>
      <c r="O277" s="339" t="n">
        <v>2</v>
      </c>
      <c r="P277" s="339" t="n">
        <v>30</v>
      </c>
      <c r="V277" t="n">
        <v>11.8</v>
      </c>
    </row>
    <row r="278">
      <c r="A278" s="530" t="inlineStr">
        <is>
          <t>용호동</t>
        </is>
      </c>
      <c r="B278" s="530" t="n"/>
      <c r="C278" s="530" t="n"/>
      <c r="D278" s="530" t="n">
        <v>141629</v>
      </c>
      <c r="E278" s="531" t="inlineStr">
        <is>
          <t>롯데맨션2단지</t>
        </is>
      </c>
      <c r="F278" s="530" t="n">
        <v>1988.09</v>
      </c>
      <c r="G278" s="530" t="n">
        <v>320</v>
      </c>
      <c r="H278" s="530">
        <f>2026-F278+1</f>
        <v/>
      </c>
      <c r="I278" s="530" t="n"/>
      <c r="J278" s="530" t="n">
        <v>60</v>
      </c>
      <c r="K278" s="530" t="n">
        <v>55</v>
      </c>
      <c r="L278" s="530" t="n">
        <v>18</v>
      </c>
      <c r="M278" s="530" t="inlineStr">
        <is>
          <t>계단식</t>
        </is>
      </c>
      <c r="N278" s="530" t="n">
        <v>3</v>
      </c>
      <c r="O278" s="530" t="n">
        <v>2</v>
      </c>
      <c r="P278" s="530" t="n">
        <v>90</v>
      </c>
      <c r="Q278" s="530" t="n"/>
      <c r="R278" s="530" t="n"/>
      <c r="S278" s="530" t="n"/>
      <c r="T278" s="530" t="n"/>
      <c r="U278" s="530" t="n"/>
      <c r="V278" s="530" t="n"/>
      <c r="W278" s="530" t="n"/>
      <c r="X278" s="530" t="n"/>
      <c r="Y278" s="530" t="n"/>
      <c r="Z278" s="530" t="n"/>
      <c r="AA278" s="530" t="n"/>
      <c r="AB278" s="530" t="n"/>
      <c r="AC278" s="530" t="n"/>
      <c r="AD278" s="530" t="n"/>
      <c r="AE278" s="530" t="n"/>
      <c r="AF278" s="530" t="n"/>
      <c r="AG278" s="530" t="n"/>
      <c r="AH278" s="530" t="n"/>
      <c r="AI278" s="530" t="n"/>
      <c r="AJ278" s="530" t="n"/>
      <c r="AK278" s="530" t="n"/>
      <c r="AL278" s="530" t="n"/>
    </row>
    <row r="279">
      <c r="A279" s="530" t="inlineStr">
        <is>
          <t>용호동</t>
        </is>
      </c>
      <c r="B279" s="530" t="n"/>
      <c r="C279" s="530" t="n"/>
      <c r="D279" s="530" t="n">
        <v>141629</v>
      </c>
      <c r="E279" s="531" t="inlineStr">
        <is>
          <t>롯데맨션2단지</t>
        </is>
      </c>
      <c r="F279" s="530" t="n">
        <v>1988.09</v>
      </c>
      <c r="G279" s="530" t="n">
        <v>320</v>
      </c>
      <c r="H279" s="530">
        <f>2026-F279+1</f>
        <v/>
      </c>
      <c r="I279" s="530" t="n"/>
      <c r="J279" s="530" t="n">
        <v>75</v>
      </c>
      <c r="K279" s="530" t="n">
        <v>68</v>
      </c>
      <c r="L279" s="530" t="n">
        <v>23</v>
      </c>
      <c r="M279" s="530" t="inlineStr">
        <is>
          <t>계단식</t>
        </is>
      </c>
      <c r="N279" s="530" t="n">
        <v>3</v>
      </c>
      <c r="O279" s="530" t="n">
        <v>2</v>
      </c>
      <c r="P279" s="530" t="n">
        <v>50</v>
      </c>
      <c r="Q279" s="530" t="n"/>
      <c r="R279" s="530" t="n"/>
      <c r="S279" s="530" t="n"/>
      <c r="T279" s="530" t="n"/>
      <c r="U279" s="530" t="n"/>
      <c r="V279" s="530" t="n"/>
      <c r="W279" s="530" t="n"/>
      <c r="X279" s="530" t="n"/>
      <c r="Y279" s="530" t="n"/>
      <c r="Z279" s="530" t="n"/>
      <c r="AA279" s="530" t="n"/>
      <c r="AB279" s="530" t="n"/>
      <c r="AC279" s="530" t="n"/>
      <c r="AD279" s="530" t="n"/>
      <c r="AE279" s="530" t="n"/>
      <c r="AF279" s="530" t="n"/>
      <c r="AG279" s="530" t="n"/>
      <c r="AH279" s="530" t="n"/>
      <c r="AI279" s="530" t="n"/>
      <c r="AJ279" s="530" t="n"/>
      <c r="AK279" s="530" t="n"/>
      <c r="AL279" s="530" t="n"/>
    </row>
    <row r="280">
      <c r="A280" s="530" t="inlineStr">
        <is>
          <t>용호동</t>
        </is>
      </c>
      <c r="B280" s="530" t="n"/>
      <c r="C280" s="530" t="n"/>
      <c r="D280" s="530" t="n">
        <v>141629</v>
      </c>
      <c r="E280" s="531" t="inlineStr">
        <is>
          <t>롯데맨션2단지</t>
        </is>
      </c>
      <c r="F280" s="530" t="n">
        <v>1988.09</v>
      </c>
      <c r="G280" s="530" t="n">
        <v>320</v>
      </c>
      <c r="H280" s="530">
        <f>2026-F280+1</f>
        <v/>
      </c>
      <c r="I280" s="530" t="n"/>
      <c r="J280" s="530" t="n">
        <v>86</v>
      </c>
      <c r="K280" s="530" t="n">
        <v>82</v>
      </c>
      <c r="L280" s="530" t="n">
        <v>26</v>
      </c>
      <c r="M280" s="530" t="inlineStr">
        <is>
          <t>계단식</t>
        </is>
      </c>
      <c r="N280" s="530" t="n">
        <v>3</v>
      </c>
      <c r="O280" s="530" t="n">
        <v>2</v>
      </c>
      <c r="P280" s="530" t="n">
        <v>20</v>
      </c>
      <c r="Q280" s="530" t="n"/>
      <c r="R280" s="530" t="n"/>
      <c r="S280" s="530" t="n"/>
      <c r="T280" s="530" t="n"/>
      <c r="U280" s="530" t="n"/>
      <c r="V280" s="530" t="n"/>
      <c r="W280" s="530" t="n"/>
      <c r="X280" s="530" t="n"/>
      <c r="Y280" s="530" t="n"/>
      <c r="Z280" s="530" t="n"/>
      <c r="AA280" s="530" t="n"/>
      <c r="AB280" s="530" t="n"/>
      <c r="AC280" s="530" t="n"/>
      <c r="AD280" s="530" t="n"/>
      <c r="AE280" s="530" t="n"/>
      <c r="AF280" s="530" t="n"/>
      <c r="AG280" s="530" t="n"/>
      <c r="AH280" s="530" t="n"/>
      <c r="AI280" s="530" t="n"/>
      <c r="AJ280" s="530" t="n"/>
      <c r="AK280" s="530" t="n"/>
      <c r="AL280" s="530" t="n"/>
    </row>
    <row r="281">
      <c r="A281" s="530" t="inlineStr">
        <is>
          <t>용호동</t>
        </is>
      </c>
      <c r="B281" s="530" t="n"/>
      <c r="C281" s="530" t="n"/>
      <c r="D281" s="530" t="n">
        <v>141629</v>
      </c>
      <c r="E281" s="531" t="inlineStr">
        <is>
          <t>롯데맨션2단지</t>
        </is>
      </c>
      <c r="F281" s="530" t="n">
        <v>1988.09</v>
      </c>
      <c r="G281" s="530" t="n">
        <v>320</v>
      </c>
      <c r="H281" s="530">
        <f>2026-F281+1</f>
        <v/>
      </c>
      <c r="I281" s="530" t="n"/>
      <c r="J281" s="530" t="n">
        <v>113</v>
      </c>
      <c r="K281" s="530" t="n">
        <v>106</v>
      </c>
      <c r="L281" s="530" t="n">
        <v>34</v>
      </c>
      <c r="M281" s="530" t="inlineStr">
        <is>
          <t>계단식</t>
        </is>
      </c>
      <c r="N281" s="530" t="n">
        <v>3</v>
      </c>
      <c r="O281" s="530" t="n">
        <v>2</v>
      </c>
      <c r="P281" s="530" t="n">
        <v>40</v>
      </c>
      <c r="Q281" s="530" t="n"/>
      <c r="R281" s="530" t="n"/>
      <c r="S281" s="530" t="n"/>
      <c r="T281" s="530" t="n"/>
      <c r="U281" s="530" t="n"/>
      <c r="V281" s="530" t="n"/>
      <c r="W281" s="530" t="n"/>
      <c r="X281" s="530" t="n"/>
      <c r="Y281" s="530" t="n"/>
      <c r="Z281" s="530" t="n"/>
      <c r="AA281" s="530" t="n"/>
      <c r="AB281" s="530" t="n"/>
      <c r="AC281" s="530" t="n"/>
      <c r="AD281" s="530" t="n"/>
      <c r="AE281" s="530" t="n"/>
      <c r="AF281" s="530" t="n"/>
      <c r="AG281" s="530" t="n"/>
      <c r="AH281" s="530" t="n"/>
      <c r="AI281" s="530" t="n"/>
      <c r="AJ281" s="530" t="n"/>
      <c r="AK281" s="530" t="n"/>
      <c r="AL281" s="530" t="n"/>
    </row>
    <row r="282">
      <c r="A282" s="530" t="inlineStr">
        <is>
          <t>용호동</t>
        </is>
      </c>
      <c r="B282" s="530" t="n"/>
      <c r="C282" s="530" t="n"/>
      <c r="D282" s="530" t="n">
        <v>141629</v>
      </c>
      <c r="E282" s="531" t="inlineStr">
        <is>
          <t>롯데맨션2단지</t>
        </is>
      </c>
      <c r="F282" s="530" t="n">
        <v>1988.09</v>
      </c>
      <c r="G282" s="530" t="n">
        <v>320</v>
      </c>
      <c r="H282" s="530">
        <f>2026-F282+1</f>
        <v/>
      </c>
      <c r="I282" s="530" t="n"/>
      <c r="J282" s="530" t="n">
        <v>120</v>
      </c>
      <c r="K282" s="530" t="n">
        <v>112</v>
      </c>
      <c r="L282" s="530" t="n">
        <v>36</v>
      </c>
      <c r="M282" s="530" t="inlineStr">
        <is>
          <t>계단식</t>
        </is>
      </c>
      <c r="N282" s="530" t="n">
        <v>3</v>
      </c>
      <c r="O282" s="530" t="n">
        <v>2</v>
      </c>
      <c r="P282" s="530" t="n">
        <v>60</v>
      </c>
      <c r="Q282" s="530" t="n"/>
      <c r="R282" s="530" t="n"/>
      <c r="S282" s="530" t="n"/>
      <c r="T282" s="530" t="n"/>
      <c r="U282" s="530" t="n"/>
      <c r="V282" s="530" t="n"/>
      <c r="W282" s="530" t="n"/>
      <c r="X282" s="530" t="n"/>
      <c r="Y282" s="530" t="n"/>
      <c r="Z282" s="530" t="n"/>
      <c r="AA282" s="530" t="n"/>
      <c r="AB282" s="530" t="n"/>
      <c r="AC282" s="530" t="n"/>
      <c r="AD282" s="530" t="n"/>
      <c r="AE282" s="530" t="n"/>
      <c r="AF282" s="530" t="n"/>
      <c r="AG282" s="530" t="n"/>
      <c r="AH282" s="530" t="n"/>
      <c r="AI282" s="530" t="n"/>
      <c r="AJ282" s="530" t="n"/>
      <c r="AK282" s="530" t="n"/>
      <c r="AL282" s="530" t="n"/>
    </row>
    <row r="283">
      <c r="A283" s="530" t="inlineStr">
        <is>
          <t>용호동</t>
        </is>
      </c>
      <c r="B283" s="530" t="n"/>
      <c r="C283" s="530" t="n"/>
      <c r="D283" s="530" t="n">
        <v>141629</v>
      </c>
      <c r="E283" s="531" t="inlineStr">
        <is>
          <t>롯데맨션2단지</t>
        </is>
      </c>
      <c r="F283" s="530" t="n">
        <v>1988.09</v>
      </c>
      <c r="G283" s="530" t="n">
        <v>320</v>
      </c>
      <c r="H283" s="530">
        <f>2026-F283+1</f>
        <v/>
      </c>
      <c r="I283" s="530" t="n"/>
      <c r="J283" s="530" t="n">
        <v>148</v>
      </c>
      <c r="K283" s="530" t="n">
        <v>141</v>
      </c>
      <c r="L283" s="530" t="n">
        <v>45</v>
      </c>
      <c r="M283" s="530" t="inlineStr">
        <is>
          <t>계단식</t>
        </is>
      </c>
      <c r="N283" s="530" t="n">
        <v>3</v>
      </c>
      <c r="O283" s="530" t="n">
        <v>2</v>
      </c>
      <c r="P283" s="530" t="n">
        <v>40</v>
      </c>
      <c r="Q283" s="530" t="n"/>
      <c r="R283" s="530" t="n"/>
      <c r="S283" s="530" t="n"/>
      <c r="T283" s="530" t="n"/>
      <c r="U283" s="530" t="n"/>
      <c r="V283" s="530" t="n"/>
      <c r="W283" s="530" t="n"/>
      <c r="X283" s="530" t="n"/>
      <c r="Y283" s="530" t="n"/>
      <c r="Z283" s="530" t="n"/>
      <c r="AA283" s="530" t="n"/>
      <c r="AB283" s="530" t="n"/>
      <c r="AC283" s="530" t="n"/>
      <c r="AD283" s="530" t="n"/>
      <c r="AE283" s="530" t="n"/>
      <c r="AF283" s="530" t="n"/>
      <c r="AG283" s="530" t="n"/>
      <c r="AH283" s="530" t="n"/>
      <c r="AI283" s="530" t="n"/>
      <c r="AJ283" s="530" t="n"/>
      <c r="AK283" s="530" t="n"/>
      <c r="AL283" s="530" t="n"/>
    </row>
    <row r="284">
      <c r="A284" s="530" t="inlineStr">
        <is>
          <t>용호동</t>
        </is>
      </c>
      <c r="B284" s="530" t="n"/>
      <c r="C284" s="530" t="n"/>
      <c r="D284" s="530" t="n">
        <v>141629</v>
      </c>
      <c r="E284" s="531" t="inlineStr">
        <is>
          <t>롯데맨션2단지</t>
        </is>
      </c>
      <c r="F284" s="530" t="n">
        <v>1988.09</v>
      </c>
      <c r="G284" s="530" t="n">
        <v>320</v>
      </c>
      <c r="H284" s="530">
        <f>2026-F284+1</f>
        <v/>
      </c>
      <c r="I284" s="530" t="n"/>
      <c r="J284" s="530" t="n">
        <v>194</v>
      </c>
      <c r="K284" s="530" t="n">
        <v>186</v>
      </c>
      <c r="L284" s="530" t="n">
        <v>59</v>
      </c>
      <c r="M284" s="530" t="inlineStr">
        <is>
          <t>계단식</t>
        </is>
      </c>
      <c r="N284" s="530" t="n">
        <v>3</v>
      </c>
      <c r="O284" s="530" t="n">
        <v>2</v>
      </c>
      <c r="P284" s="530" t="n">
        <v>20</v>
      </c>
      <c r="Q284" s="530" t="n"/>
      <c r="R284" s="530" t="n"/>
      <c r="S284" s="530" t="n"/>
      <c r="T284" s="530" t="n"/>
      <c r="U284" s="530" t="n"/>
      <c r="V284" s="530" t="n"/>
      <c r="W284" s="530" t="n"/>
      <c r="X284" s="530" t="n"/>
      <c r="Y284" s="530" t="n"/>
      <c r="Z284" s="530" t="n"/>
      <c r="AA284" s="530" t="n"/>
      <c r="AB284" s="530" t="n"/>
      <c r="AC284" s="530" t="n"/>
      <c r="AD284" s="530" t="n"/>
      <c r="AE284" s="530" t="n"/>
      <c r="AF284" s="530" t="n"/>
      <c r="AG284" s="530" t="n"/>
      <c r="AH284" s="530" t="n"/>
      <c r="AI284" s="530" t="n"/>
      <c r="AJ284" s="530" t="n"/>
      <c r="AK284" s="530" t="n"/>
      <c r="AL284" s="530" t="n"/>
    </row>
    <row r="285">
      <c r="A285" s="339" t="inlineStr">
        <is>
          <t>용호동</t>
        </is>
      </c>
      <c r="D285" s="339" t="n">
        <v>112307</v>
      </c>
      <c r="E285" s="532" t="inlineStr">
        <is>
          <t>용지더샵레이크파크</t>
        </is>
      </c>
      <c r="F285" s="339" t="n">
        <v>2017.11</v>
      </c>
      <c r="G285" s="339" t="n">
        <v>883</v>
      </c>
      <c r="H285" s="339">
        <f>2026-F285+1</f>
        <v/>
      </c>
      <c r="J285" s="339" t="n">
        <v>85</v>
      </c>
      <c r="K285" s="339" t="n">
        <v>59</v>
      </c>
      <c r="L285" s="339" t="n">
        <v>26</v>
      </c>
      <c r="M285" s="339" t="inlineStr">
        <is>
          <t>계단식</t>
        </is>
      </c>
      <c r="N285" s="339" t="n">
        <v>3</v>
      </c>
      <c r="O285" s="339" t="n">
        <v>2</v>
      </c>
      <c r="P285" s="339" t="n">
        <v>196</v>
      </c>
      <c r="U285" t="n">
        <v>8</v>
      </c>
      <c r="V285" t="n">
        <v>5.5</v>
      </c>
    </row>
    <row r="286">
      <c r="A286" s="339" t="inlineStr">
        <is>
          <t>용호동</t>
        </is>
      </c>
      <c r="D286" s="339" t="n">
        <v>112307</v>
      </c>
      <c r="E286" s="532" t="inlineStr">
        <is>
          <t>용지더샵레이크파크</t>
        </is>
      </c>
      <c r="F286" s="339" t="n">
        <v>2017.11</v>
      </c>
      <c r="G286" s="339" t="n">
        <v>883</v>
      </c>
      <c r="H286" s="339">
        <f>2026-F286+1</f>
        <v/>
      </c>
      <c r="J286" s="339" t="n">
        <v>112</v>
      </c>
      <c r="K286" s="339" t="n">
        <v>84</v>
      </c>
      <c r="L286" s="339" t="n">
        <v>34</v>
      </c>
      <c r="M286" s="339" t="inlineStr">
        <is>
          <t>계단식</t>
        </is>
      </c>
      <c r="N286" s="339" t="n">
        <v>3</v>
      </c>
      <c r="O286" s="339" t="n">
        <v>2</v>
      </c>
      <c r="P286" s="339" t="n">
        <v>516</v>
      </c>
      <c r="U286" t="n">
        <v>11.45</v>
      </c>
      <c r="V286" t="n">
        <v>7.3</v>
      </c>
    </row>
    <row r="287">
      <c r="A287" s="339" t="inlineStr">
        <is>
          <t>용호동</t>
        </is>
      </c>
      <c r="D287" s="339" t="n">
        <v>112307</v>
      </c>
      <c r="E287" s="532" t="inlineStr">
        <is>
          <t>용지더샵레이크파크</t>
        </is>
      </c>
      <c r="F287" s="339" t="n">
        <v>2017.11</v>
      </c>
      <c r="G287" s="339" t="n">
        <v>883</v>
      </c>
      <c r="H287" s="339">
        <f>2026-F287+1</f>
        <v/>
      </c>
      <c r="J287" s="339" t="n">
        <v>130</v>
      </c>
      <c r="K287" s="339" t="n">
        <v>101</v>
      </c>
      <c r="L287" s="339" t="n">
        <v>39</v>
      </c>
      <c r="M287" s="339" t="inlineStr">
        <is>
          <t>계단식</t>
        </is>
      </c>
      <c r="N287" s="339" t="n">
        <v>4</v>
      </c>
      <c r="O287" s="339" t="n">
        <v>2</v>
      </c>
      <c r="P287" s="339" t="n">
        <v>114</v>
      </c>
      <c r="U287" t="n">
        <v>14.25</v>
      </c>
      <c r="V287" t="n">
        <v>11.7</v>
      </c>
    </row>
    <row r="288">
      <c r="A288" s="339" t="inlineStr">
        <is>
          <t>용호동</t>
        </is>
      </c>
      <c r="D288" s="339" t="n">
        <v>112307</v>
      </c>
      <c r="E288" s="532" t="inlineStr">
        <is>
          <t>용지더샵레이크파크</t>
        </is>
      </c>
      <c r="F288" s="339" t="n">
        <v>2017.11</v>
      </c>
      <c r="G288" s="339" t="n">
        <v>883</v>
      </c>
      <c r="H288" s="339">
        <f>2026-F288+1</f>
        <v/>
      </c>
      <c r="J288" s="339" t="n">
        <v>147</v>
      </c>
      <c r="K288" s="339" t="n">
        <v>119</v>
      </c>
      <c r="L288" s="339" t="n">
        <v>44</v>
      </c>
      <c r="M288" s="339" t="inlineStr">
        <is>
          <t>계단식</t>
        </is>
      </c>
      <c r="N288" s="339" t="n">
        <v>4</v>
      </c>
      <c r="O288" s="339" t="n">
        <v>2</v>
      </c>
      <c r="P288" s="339" t="n">
        <v>57</v>
      </c>
      <c r="U288" t="n">
        <v>17.1</v>
      </c>
      <c r="V288" t="n">
        <v>14</v>
      </c>
    </row>
    <row r="289">
      <c r="A289" s="530" t="inlineStr">
        <is>
          <t>용호동</t>
        </is>
      </c>
      <c r="B289" s="530" t="n"/>
      <c r="C289" s="530" t="n"/>
      <c r="D289" s="530" t="n">
        <v>16836</v>
      </c>
      <c r="E289" s="531" t="inlineStr">
        <is>
          <t>용지무학</t>
        </is>
      </c>
      <c r="F289" s="530" t="n">
        <v>1987.1</v>
      </c>
      <c r="G289" s="530" t="n">
        <v>1040</v>
      </c>
      <c r="H289" s="530">
        <f>2026-F289+1</f>
        <v/>
      </c>
      <c r="I289" s="530" t="n"/>
      <c r="J289" s="530" t="n">
        <v>60</v>
      </c>
      <c r="K289" s="530" t="n">
        <v>50</v>
      </c>
      <c r="L289" s="530" t="n">
        <v>18</v>
      </c>
      <c r="M289" s="530" t="inlineStr">
        <is>
          <t>계단식</t>
        </is>
      </c>
      <c r="N289" s="530" t="n">
        <v>2</v>
      </c>
      <c r="O289" s="530" t="n">
        <v>1</v>
      </c>
      <c r="P289" s="530" t="n">
        <v>230</v>
      </c>
      <c r="Q289" s="530" t="n"/>
      <c r="R289" s="530" t="n"/>
      <c r="S289" s="530" t="n"/>
      <c r="T289" s="530" t="n"/>
      <c r="U289" s="530" t="n">
        <v>3.99</v>
      </c>
      <c r="V289" s="530" t="n">
        <v>2</v>
      </c>
      <c r="W289" s="530" t="n"/>
      <c r="X289" s="530" t="n"/>
      <c r="Y289" s="530" t="n"/>
      <c r="Z289" s="530" t="n"/>
      <c r="AA289" s="530" t="n"/>
      <c r="AB289" s="530" t="n"/>
      <c r="AC289" s="530" t="n"/>
      <c r="AD289" s="530" t="n"/>
      <c r="AE289" s="530" t="n"/>
      <c r="AF289" s="530" t="n"/>
      <c r="AG289" s="530" t="n"/>
      <c r="AH289" s="530" t="n"/>
      <c r="AI289" s="530" t="n"/>
      <c r="AJ289" s="530" t="n"/>
      <c r="AK289" s="530" t="n"/>
      <c r="AL289" s="530" t="n"/>
    </row>
    <row r="290">
      <c r="A290" s="530" t="inlineStr">
        <is>
          <t>용호동</t>
        </is>
      </c>
      <c r="B290" s="530" t="n"/>
      <c r="C290" s="530" t="n"/>
      <c r="D290" s="530" t="n">
        <v>16836</v>
      </c>
      <c r="E290" s="531" t="inlineStr">
        <is>
          <t>용지무학</t>
        </is>
      </c>
      <c r="F290" s="530" t="n">
        <v>1987.1</v>
      </c>
      <c r="G290" s="530" t="n">
        <v>1040</v>
      </c>
      <c r="H290" s="530">
        <f>2026-F290+1</f>
        <v/>
      </c>
      <c r="I290" s="530" t="n"/>
      <c r="J290" s="530" t="n">
        <v>66</v>
      </c>
      <c r="K290" s="530" t="n">
        <v>56</v>
      </c>
      <c r="L290" s="530" t="n">
        <v>20</v>
      </c>
      <c r="M290" s="530" t="inlineStr">
        <is>
          <t>계단식</t>
        </is>
      </c>
      <c r="N290" s="530" t="n">
        <v>3</v>
      </c>
      <c r="O290" s="530" t="n">
        <v>1</v>
      </c>
      <c r="P290" s="530" t="n">
        <v>810</v>
      </c>
      <c r="Q290" s="530" t="n"/>
      <c r="R290" s="530" t="n"/>
      <c r="S290" s="530" t="n"/>
      <c r="T290" s="530" t="n"/>
      <c r="U290" s="530" t="n">
        <v>4.7</v>
      </c>
      <c r="V290" s="530" t="n">
        <v>2.8</v>
      </c>
      <c r="W290" s="530" t="n"/>
      <c r="X290" s="530" t="n"/>
      <c r="Y290" s="530" t="n"/>
      <c r="Z290" s="530" t="n"/>
      <c r="AA290" s="530" t="n"/>
      <c r="AB290" s="530" t="n"/>
      <c r="AC290" s="530" t="n"/>
      <c r="AD290" s="530" t="n"/>
      <c r="AE290" s="530" t="n"/>
      <c r="AF290" s="530" t="n"/>
      <c r="AG290" s="530" t="n"/>
      <c r="AH290" s="530" t="n"/>
      <c r="AI290" s="530" t="n"/>
      <c r="AJ290" s="530" t="n"/>
      <c r="AK290" s="530" t="n"/>
      <c r="AL290" s="530" t="n"/>
    </row>
    <row r="291">
      <c r="A291" s="339" t="inlineStr">
        <is>
          <t>용호동</t>
        </is>
      </c>
      <c r="D291" s="339" t="n">
        <v>109465</v>
      </c>
      <c r="E291" s="532" t="inlineStr">
        <is>
          <t>용지아이파크</t>
        </is>
      </c>
      <c r="F291" s="339" t="n">
        <v>2017.06</v>
      </c>
      <c r="G291" s="339" t="n">
        <v>1036</v>
      </c>
      <c r="H291" s="339">
        <f>2026-F291+1</f>
        <v/>
      </c>
      <c r="J291" s="339" t="n">
        <v>85</v>
      </c>
      <c r="K291" s="339" t="n">
        <v>59</v>
      </c>
      <c r="L291" s="339" t="n">
        <v>26</v>
      </c>
      <c r="M291" s="339" t="inlineStr">
        <is>
          <t>계단식</t>
        </is>
      </c>
      <c r="N291" s="339" t="n">
        <v>3</v>
      </c>
      <c r="O291" s="339" t="n">
        <v>2</v>
      </c>
      <c r="P291" s="339" t="n">
        <v>11</v>
      </c>
      <c r="U291" t="n">
        <v>6.75</v>
      </c>
      <c r="V291" t="n">
        <v>5.8</v>
      </c>
    </row>
    <row r="292">
      <c r="A292" s="339" t="inlineStr">
        <is>
          <t>용호동</t>
        </is>
      </c>
      <c r="D292" s="339" t="n">
        <v>109465</v>
      </c>
      <c r="E292" s="532" t="inlineStr">
        <is>
          <t>용지아이파크</t>
        </is>
      </c>
      <c r="F292" s="339" t="n">
        <v>2017.06</v>
      </c>
      <c r="G292" s="339" t="n">
        <v>1036</v>
      </c>
      <c r="H292" s="339">
        <f>2026-F292+1</f>
        <v/>
      </c>
      <c r="J292" s="339" t="n">
        <v>113</v>
      </c>
      <c r="K292" s="339" t="n">
        <v>84</v>
      </c>
      <c r="L292" s="339" t="n">
        <v>34</v>
      </c>
      <c r="M292" s="339" t="inlineStr">
        <is>
          <t>계단식</t>
        </is>
      </c>
      <c r="N292" s="339" t="n">
        <v>3</v>
      </c>
      <c r="O292" s="339" t="n">
        <v>2</v>
      </c>
      <c r="P292" s="339" t="n">
        <v>642</v>
      </c>
      <c r="U292" t="n">
        <v>11.2</v>
      </c>
      <c r="V292" t="n">
        <v>7</v>
      </c>
    </row>
    <row r="293">
      <c r="A293" s="339" t="inlineStr">
        <is>
          <t>용호동</t>
        </is>
      </c>
      <c r="D293" s="339" t="n">
        <v>109465</v>
      </c>
      <c r="E293" s="532" t="inlineStr">
        <is>
          <t>용지아이파크</t>
        </is>
      </c>
      <c r="F293" s="339" t="n">
        <v>2017.06</v>
      </c>
      <c r="G293" s="339" t="n">
        <v>1036</v>
      </c>
      <c r="H293" s="339">
        <f>2026-F293+1</f>
        <v/>
      </c>
      <c r="J293" s="339" t="n">
        <v>130</v>
      </c>
      <c r="K293" s="339" t="n">
        <v>100</v>
      </c>
      <c r="L293" s="339" t="n">
        <v>39</v>
      </c>
      <c r="M293" s="339" t="inlineStr">
        <is>
          <t>계단식</t>
        </is>
      </c>
      <c r="N293" s="339" t="n">
        <v>3</v>
      </c>
      <c r="O293" s="339" t="n">
        <v>2</v>
      </c>
      <c r="P293" s="339" t="n">
        <v>140</v>
      </c>
      <c r="V293" t="n">
        <v>10.3</v>
      </c>
    </row>
    <row r="294">
      <c r="A294" s="339" t="inlineStr">
        <is>
          <t>용호동</t>
        </is>
      </c>
      <c r="D294" s="339" t="n">
        <v>109465</v>
      </c>
      <c r="E294" s="532" t="inlineStr">
        <is>
          <t>용지아이파크</t>
        </is>
      </c>
      <c r="F294" s="339" t="n">
        <v>2017.06</v>
      </c>
      <c r="G294" s="339" t="n">
        <v>1036</v>
      </c>
      <c r="H294" s="339">
        <f>2026-F294+1</f>
        <v/>
      </c>
      <c r="J294" s="339" t="n">
        <v>144</v>
      </c>
      <c r="K294" s="339" t="n">
        <v>114</v>
      </c>
      <c r="L294" s="339" t="n">
        <v>44</v>
      </c>
      <c r="M294" s="339" t="inlineStr">
        <is>
          <t>계단식</t>
        </is>
      </c>
      <c r="N294" s="339" t="n">
        <v>4</v>
      </c>
      <c r="O294" s="339" t="n">
        <v>2</v>
      </c>
      <c r="P294" s="339" t="n">
        <v>98</v>
      </c>
      <c r="U294" t="n">
        <v>15.55</v>
      </c>
      <c r="V294" t="n">
        <v>14.85</v>
      </c>
    </row>
    <row r="295">
      <c r="A295" s="339" t="inlineStr">
        <is>
          <t>용호동</t>
        </is>
      </c>
      <c r="D295" s="339" t="n">
        <v>109465</v>
      </c>
      <c r="E295" s="532" t="inlineStr">
        <is>
          <t>용지아이파크</t>
        </is>
      </c>
      <c r="F295" s="339" t="n">
        <v>2017.06</v>
      </c>
      <c r="G295" s="339" t="n">
        <v>1036</v>
      </c>
      <c r="H295" s="339">
        <f>2026-F295+1</f>
        <v/>
      </c>
      <c r="J295" s="339" t="n">
        <v>157</v>
      </c>
      <c r="K295" s="339" t="n">
        <v>127</v>
      </c>
      <c r="L295" s="339" t="n">
        <v>47</v>
      </c>
      <c r="M295" s="339" t="inlineStr">
        <is>
          <t>계단식</t>
        </is>
      </c>
      <c r="N295" s="339" t="n">
        <v>4</v>
      </c>
      <c r="O295" s="339" t="n">
        <v>2</v>
      </c>
      <c r="P295" s="339" t="n">
        <v>56</v>
      </c>
      <c r="V295" t="n">
        <v>14.9</v>
      </c>
    </row>
    <row r="296">
      <c r="A296" s="530" t="inlineStr">
        <is>
          <t>용호동</t>
        </is>
      </c>
      <c r="B296" s="530" t="n"/>
      <c r="C296" s="530" t="n"/>
      <c r="D296" s="530" t="n">
        <v>11007</v>
      </c>
      <c r="E296" s="531" t="inlineStr">
        <is>
          <t>일동</t>
        </is>
      </c>
      <c r="F296" s="530" t="n">
        <v>1986.1</v>
      </c>
      <c r="G296" s="530" t="n">
        <v>810</v>
      </c>
      <c r="H296" s="530">
        <f>2026-F296+1</f>
        <v/>
      </c>
      <c r="I296" s="530" t="n"/>
      <c r="J296" s="530" t="n">
        <v>57</v>
      </c>
      <c r="K296" s="530" t="n">
        <v>50</v>
      </c>
      <c r="L296" s="530" t="n">
        <v>17</v>
      </c>
      <c r="M296" s="530" t="inlineStr">
        <is>
          <t>계단식</t>
        </is>
      </c>
      <c r="N296" s="530" t="n">
        <v>3</v>
      </c>
      <c r="O296" s="530" t="n">
        <v>1</v>
      </c>
      <c r="P296" s="530" t="n">
        <v>400</v>
      </c>
      <c r="Q296" s="530" t="n"/>
      <c r="R296" s="530" t="n"/>
      <c r="S296" s="530" t="n"/>
      <c r="T296" s="530" t="n"/>
      <c r="U296" s="530" t="n">
        <v>4.2</v>
      </c>
      <c r="V296" s="530" t="n">
        <v>2.32</v>
      </c>
      <c r="W296" s="530" t="n"/>
      <c r="X296" s="530" t="n"/>
      <c r="Y296" s="530" t="n"/>
      <c r="Z296" s="530" t="n"/>
      <c r="AA296" s="530" t="n"/>
      <c r="AB296" s="530" t="n"/>
      <c r="AC296" s="530" t="n"/>
      <c r="AD296" s="530" t="n"/>
      <c r="AE296" s="530" t="n"/>
      <c r="AF296" s="530" t="n"/>
      <c r="AG296" s="530" t="n"/>
      <c r="AH296" s="530" t="n"/>
      <c r="AI296" s="530" t="n"/>
      <c r="AJ296" s="530" t="n"/>
      <c r="AK296" s="530" t="n"/>
      <c r="AL296" s="530" t="n"/>
    </row>
    <row r="297">
      <c r="A297" s="530" t="inlineStr">
        <is>
          <t>용호동</t>
        </is>
      </c>
      <c r="B297" s="530" t="n"/>
      <c r="C297" s="530" t="n"/>
      <c r="D297" s="530" t="n">
        <v>11007</v>
      </c>
      <c r="E297" s="531" t="inlineStr">
        <is>
          <t>일동</t>
        </is>
      </c>
      <c r="F297" s="530" t="n">
        <v>1986.1</v>
      </c>
      <c r="G297" s="530" t="n">
        <v>810</v>
      </c>
      <c r="H297" s="530">
        <f>2026-F297+1</f>
        <v/>
      </c>
      <c r="I297" s="530" t="n"/>
      <c r="J297" s="530" t="n">
        <v>66</v>
      </c>
      <c r="K297" s="530" t="n">
        <v>59</v>
      </c>
      <c r="L297" s="530" t="n">
        <v>20</v>
      </c>
      <c r="M297" s="530" t="inlineStr">
        <is>
          <t>계단식</t>
        </is>
      </c>
      <c r="N297" s="530" t="n">
        <v>3</v>
      </c>
      <c r="O297" s="530" t="n">
        <v>1</v>
      </c>
      <c r="P297" s="530" t="n">
        <v>410</v>
      </c>
      <c r="Q297" s="530" t="n"/>
      <c r="R297" s="530" t="n"/>
      <c r="S297" s="530" t="n"/>
      <c r="T297" s="530" t="n"/>
      <c r="U297" s="530" t="n">
        <v>4.58</v>
      </c>
      <c r="V297" s="530" t="n">
        <v>3</v>
      </c>
      <c r="W297" s="530" t="n"/>
      <c r="X297" s="530" t="n"/>
      <c r="Y297" s="530" t="n"/>
      <c r="Z297" s="530" t="n"/>
      <c r="AA297" s="530" t="n"/>
      <c r="AB297" s="530" t="n"/>
      <c r="AC297" s="530" t="n"/>
      <c r="AD297" s="530" t="n"/>
      <c r="AE297" s="530" t="n"/>
      <c r="AF297" s="530" t="n"/>
      <c r="AG297" s="530" t="n"/>
      <c r="AH297" s="530" t="n"/>
      <c r="AI297" s="530" t="n"/>
      <c r="AJ297" s="530" t="n"/>
      <c r="AK297" s="530" t="n"/>
      <c r="AL297" s="530" t="n"/>
    </row>
    <row r="298">
      <c r="A298" s="339" t="inlineStr">
        <is>
          <t>중앙동</t>
        </is>
      </c>
      <c r="D298" s="339" t="n">
        <v>148119</v>
      </c>
      <c r="E298" s="532" t="inlineStr">
        <is>
          <t>힐스테이트창원더퍼스트</t>
        </is>
      </c>
      <c r="F298" s="339" t="n">
        <v>2025.09</v>
      </c>
      <c r="G298" s="339" t="n">
        <v>1779</v>
      </c>
      <c r="H298" s="339">
        <f>2026-F298+1</f>
        <v/>
      </c>
      <c r="J298" s="339" t="n">
        <v>114</v>
      </c>
      <c r="K298" s="339" t="n">
        <v>84</v>
      </c>
      <c r="L298" s="339" t="n">
        <v>34</v>
      </c>
      <c r="M298" s="339" t="inlineStr">
        <is>
          <t>계단식</t>
        </is>
      </c>
      <c r="N298" s="339" t="n">
        <v>3</v>
      </c>
      <c r="O298" s="339" t="n">
        <v>2</v>
      </c>
      <c r="P298" s="339" t="n">
        <v>795</v>
      </c>
    </row>
    <row r="299">
      <c r="A299" s="339" t="inlineStr">
        <is>
          <t>중앙동</t>
        </is>
      </c>
      <c r="D299" s="339" t="n">
        <v>148119</v>
      </c>
      <c r="E299" s="532" t="inlineStr">
        <is>
          <t>힐스테이트창원더퍼스트</t>
        </is>
      </c>
      <c r="F299" s="339" t="n">
        <v>2025.09</v>
      </c>
      <c r="G299" s="339" t="n">
        <v>1779</v>
      </c>
      <c r="H299" s="339">
        <f>2026-F299+1</f>
        <v/>
      </c>
      <c r="J299" s="339" t="n">
        <v>137</v>
      </c>
      <c r="K299" s="339" t="n">
        <v>106</v>
      </c>
      <c r="L299" s="339" t="n">
        <v>41</v>
      </c>
      <c r="M299" s="339" t="inlineStr">
        <is>
          <t>계단식</t>
        </is>
      </c>
      <c r="N299" s="339" t="n">
        <v>4</v>
      </c>
      <c r="O299" s="339" t="n">
        <v>2</v>
      </c>
      <c r="P299" s="339" t="n">
        <v>328</v>
      </c>
    </row>
    <row r="300">
      <c r="A300" s="339" t="inlineStr">
        <is>
          <t>중앙동</t>
        </is>
      </c>
      <c r="D300" s="339" t="n">
        <v>148119</v>
      </c>
      <c r="E300" s="532" t="inlineStr">
        <is>
          <t>힐스테이트창원더퍼스트</t>
        </is>
      </c>
      <c r="F300" s="339" t="n">
        <v>2025.09</v>
      </c>
      <c r="G300" s="339" t="n">
        <v>1779</v>
      </c>
      <c r="H300" s="339">
        <f>2026-F300+1</f>
        <v/>
      </c>
      <c r="J300" s="339" t="n">
        <v>154</v>
      </c>
      <c r="K300" s="339" t="n">
        <v>123</v>
      </c>
      <c r="L300" s="339" t="n">
        <v>47</v>
      </c>
      <c r="M300" s="339" t="inlineStr">
        <is>
          <t>계단식</t>
        </is>
      </c>
      <c r="N300" s="339" t="n">
        <v>4</v>
      </c>
      <c r="O300" s="339" t="n">
        <v>2</v>
      </c>
      <c r="P300" s="339" t="n">
        <v>412</v>
      </c>
    </row>
    <row r="301">
      <c r="A301" s="339" t="inlineStr">
        <is>
          <t>중앙동</t>
        </is>
      </c>
      <c r="D301" s="339" t="n">
        <v>148119</v>
      </c>
      <c r="E301" s="532" t="inlineStr">
        <is>
          <t>힐스테이트창원더퍼스트</t>
        </is>
      </c>
      <c r="F301" s="339" t="n">
        <v>2025.09</v>
      </c>
      <c r="G301" s="339" t="n">
        <v>1779</v>
      </c>
      <c r="H301" s="339">
        <f>2026-F301+1</f>
        <v/>
      </c>
      <c r="J301" s="339" t="n">
        <v>170</v>
      </c>
      <c r="K301" s="339" t="n">
        <v>137</v>
      </c>
      <c r="L301" s="339" t="n">
        <v>51</v>
      </c>
      <c r="M301" s="339" t="inlineStr">
        <is>
          <t>계단식</t>
        </is>
      </c>
      <c r="N301" s="339" t="n">
        <v>4</v>
      </c>
      <c r="O301" s="339" t="n">
        <v>2</v>
      </c>
      <c r="P301" s="339" t="n">
        <v>244</v>
      </c>
    </row>
  </sheetData>
  <mergeCells count="2">
    <mergeCell ref="B3:C3"/>
    <mergeCell ref="AH3:AL3"/>
  </mergeCells>
  <hyperlinks>
    <hyperlink xmlns:r="http://schemas.openxmlformats.org/officeDocument/2006/relationships" ref="E5" r:id="rId1"/>
    <hyperlink xmlns:r="http://schemas.openxmlformats.org/officeDocument/2006/relationships" ref="E6" r:id="rId2"/>
    <hyperlink xmlns:r="http://schemas.openxmlformats.org/officeDocument/2006/relationships" ref="E7" r:id="rId3"/>
    <hyperlink xmlns:r="http://schemas.openxmlformats.org/officeDocument/2006/relationships" ref="E8" r:id="rId4"/>
    <hyperlink xmlns:r="http://schemas.openxmlformats.org/officeDocument/2006/relationships" ref="E9" r:id="rId5"/>
    <hyperlink xmlns:r="http://schemas.openxmlformats.org/officeDocument/2006/relationships" ref="E10" r:id="rId6"/>
    <hyperlink xmlns:r="http://schemas.openxmlformats.org/officeDocument/2006/relationships" ref="E11" r:id="rId7"/>
    <hyperlink xmlns:r="http://schemas.openxmlformats.org/officeDocument/2006/relationships" ref="E12" r:id="rId8"/>
    <hyperlink xmlns:r="http://schemas.openxmlformats.org/officeDocument/2006/relationships" ref="E13" r:id="rId9"/>
    <hyperlink xmlns:r="http://schemas.openxmlformats.org/officeDocument/2006/relationships" ref="E14" r:id="rId10"/>
    <hyperlink xmlns:r="http://schemas.openxmlformats.org/officeDocument/2006/relationships" ref="E15" r:id="rId11"/>
    <hyperlink xmlns:r="http://schemas.openxmlformats.org/officeDocument/2006/relationships" ref="E16" r:id="rId12"/>
    <hyperlink xmlns:r="http://schemas.openxmlformats.org/officeDocument/2006/relationships" ref="E17" r:id="rId13"/>
    <hyperlink xmlns:r="http://schemas.openxmlformats.org/officeDocument/2006/relationships" ref="E18" r:id="rId14"/>
    <hyperlink xmlns:r="http://schemas.openxmlformats.org/officeDocument/2006/relationships" ref="E19" r:id="rId15"/>
    <hyperlink xmlns:r="http://schemas.openxmlformats.org/officeDocument/2006/relationships" ref="E20" r:id="rId16"/>
    <hyperlink xmlns:r="http://schemas.openxmlformats.org/officeDocument/2006/relationships" ref="E21" r:id="rId17"/>
    <hyperlink xmlns:r="http://schemas.openxmlformats.org/officeDocument/2006/relationships" ref="E22" r:id="rId18"/>
    <hyperlink xmlns:r="http://schemas.openxmlformats.org/officeDocument/2006/relationships" ref="E23" r:id="rId19"/>
    <hyperlink xmlns:r="http://schemas.openxmlformats.org/officeDocument/2006/relationships" ref="E24" r:id="rId20"/>
    <hyperlink xmlns:r="http://schemas.openxmlformats.org/officeDocument/2006/relationships" ref="E25" r:id="rId21"/>
    <hyperlink xmlns:r="http://schemas.openxmlformats.org/officeDocument/2006/relationships" ref="E26" r:id="rId22"/>
    <hyperlink xmlns:r="http://schemas.openxmlformats.org/officeDocument/2006/relationships" ref="E27" r:id="rId23"/>
    <hyperlink xmlns:r="http://schemas.openxmlformats.org/officeDocument/2006/relationships" ref="E28" r:id="rId24"/>
    <hyperlink xmlns:r="http://schemas.openxmlformats.org/officeDocument/2006/relationships" ref="E29" r:id="rId25"/>
    <hyperlink xmlns:r="http://schemas.openxmlformats.org/officeDocument/2006/relationships" ref="E30" r:id="rId26"/>
    <hyperlink xmlns:r="http://schemas.openxmlformats.org/officeDocument/2006/relationships" ref="E31" r:id="rId27"/>
    <hyperlink xmlns:r="http://schemas.openxmlformats.org/officeDocument/2006/relationships" ref="E32" r:id="rId28"/>
    <hyperlink xmlns:r="http://schemas.openxmlformats.org/officeDocument/2006/relationships" ref="E33" r:id="rId29"/>
    <hyperlink xmlns:r="http://schemas.openxmlformats.org/officeDocument/2006/relationships" ref="E34" r:id="rId30"/>
    <hyperlink xmlns:r="http://schemas.openxmlformats.org/officeDocument/2006/relationships" ref="E35" r:id="rId31"/>
    <hyperlink xmlns:r="http://schemas.openxmlformats.org/officeDocument/2006/relationships" ref="E36" r:id="rId32"/>
    <hyperlink xmlns:r="http://schemas.openxmlformats.org/officeDocument/2006/relationships" ref="E37" r:id="rId33"/>
    <hyperlink xmlns:r="http://schemas.openxmlformats.org/officeDocument/2006/relationships" ref="E38" r:id="rId34"/>
    <hyperlink xmlns:r="http://schemas.openxmlformats.org/officeDocument/2006/relationships" ref="E39" r:id="rId35"/>
    <hyperlink xmlns:r="http://schemas.openxmlformats.org/officeDocument/2006/relationships" ref="E40" r:id="rId36"/>
    <hyperlink xmlns:r="http://schemas.openxmlformats.org/officeDocument/2006/relationships" ref="E41" r:id="rId37"/>
    <hyperlink xmlns:r="http://schemas.openxmlformats.org/officeDocument/2006/relationships" ref="E42" r:id="rId38"/>
    <hyperlink xmlns:r="http://schemas.openxmlformats.org/officeDocument/2006/relationships" ref="E43" r:id="rId39"/>
    <hyperlink xmlns:r="http://schemas.openxmlformats.org/officeDocument/2006/relationships" ref="E44" r:id="rId40"/>
    <hyperlink xmlns:r="http://schemas.openxmlformats.org/officeDocument/2006/relationships" ref="E45" r:id="rId41"/>
    <hyperlink xmlns:r="http://schemas.openxmlformats.org/officeDocument/2006/relationships" ref="E46" r:id="rId42"/>
    <hyperlink xmlns:r="http://schemas.openxmlformats.org/officeDocument/2006/relationships" ref="E47" r:id="rId43"/>
    <hyperlink xmlns:r="http://schemas.openxmlformats.org/officeDocument/2006/relationships" ref="E48" r:id="rId44"/>
    <hyperlink xmlns:r="http://schemas.openxmlformats.org/officeDocument/2006/relationships" ref="E49" r:id="rId45"/>
    <hyperlink xmlns:r="http://schemas.openxmlformats.org/officeDocument/2006/relationships" ref="E50" r:id="rId46"/>
    <hyperlink xmlns:r="http://schemas.openxmlformats.org/officeDocument/2006/relationships" ref="E51" r:id="rId47"/>
    <hyperlink xmlns:r="http://schemas.openxmlformats.org/officeDocument/2006/relationships" ref="E52" r:id="rId48"/>
    <hyperlink xmlns:r="http://schemas.openxmlformats.org/officeDocument/2006/relationships" ref="E53" r:id="rId49"/>
    <hyperlink xmlns:r="http://schemas.openxmlformats.org/officeDocument/2006/relationships" ref="E54" r:id="rId50"/>
    <hyperlink xmlns:r="http://schemas.openxmlformats.org/officeDocument/2006/relationships" ref="E55" r:id="rId51"/>
    <hyperlink xmlns:r="http://schemas.openxmlformats.org/officeDocument/2006/relationships" ref="E56" r:id="rId52"/>
    <hyperlink xmlns:r="http://schemas.openxmlformats.org/officeDocument/2006/relationships" ref="E57" r:id="rId53"/>
    <hyperlink xmlns:r="http://schemas.openxmlformats.org/officeDocument/2006/relationships" ref="E58" r:id="rId54"/>
    <hyperlink xmlns:r="http://schemas.openxmlformats.org/officeDocument/2006/relationships" ref="E59" r:id="rId55"/>
    <hyperlink xmlns:r="http://schemas.openxmlformats.org/officeDocument/2006/relationships" ref="E60" r:id="rId56"/>
    <hyperlink xmlns:r="http://schemas.openxmlformats.org/officeDocument/2006/relationships" ref="E61" r:id="rId57"/>
    <hyperlink xmlns:r="http://schemas.openxmlformats.org/officeDocument/2006/relationships" ref="E62" r:id="rId58"/>
    <hyperlink xmlns:r="http://schemas.openxmlformats.org/officeDocument/2006/relationships" ref="E63" r:id="rId59"/>
    <hyperlink xmlns:r="http://schemas.openxmlformats.org/officeDocument/2006/relationships" ref="E64" r:id="rId60"/>
    <hyperlink xmlns:r="http://schemas.openxmlformats.org/officeDocument/2006/relationships" ref="E65" r:id="rId61"/>
    <hyperlink xmlns:r="http://schemas.openxmlformats.org/officeDocument/2006/relationships" ref="E66" r:id="rId62"/>
    <hyperlink xmlns:r="http://schemas.openxmlformats.org/officeDocument/2006/relationships" ref="E67" r:id="rId63"/>
    <hyperlink xmlns:r="http://schemas.openxmlformats.org/officeDocument/2006/relationships" ref="E68" r:id="rId64"/>
    <hyperlink xmlns:r="http://schemas.openxmlformats.org/officeDocument/2006/relationships" ref="E69" r:id="rId65"/>
    <hyperlink xmlns:r="http://schemas.openxmlformats.org/officeDocument/2006/relationships" ref="E70" r:id="rId66"/>
    <hyperlink xmlns:r="http://schemas.openxmlformats.org/officeDocument/2006/relationships" ref="E71" r:id="rId67"/>
    <hyperlink xmlns:r="http://schemas.openxmlformats.org/officeDocument/2006/relationships" ref="E72" r:id="rId68"/>
    <hyperlink xmlns:r="http://schemas.openxmlformats.org/officeDocument/2006/relationships" ref="E73" r:id="rId69"/>
    <hyperlink xmlns:r="http://schemas.openxmlformats.org/officeDocument/2006/relationships" ref="E74" r:id="rId70"/>
    <hyperlink xmlns:r="http://schemas.openxmlformats.org/officeDocument/2006/relationships" ref="E75" r:id="rId71"/>
    <hyperlink xmlns:r="http://schemas.openxmlformats.org/officeDocument/2006/relationships" ref="E76" r:id="rId72"/>
    <hyperlink xmlns:r="http://schemas.openxmlformats.org/officeDocument/2006/relationships" ref="E77" r:id="rId73"/>
    <hyperlink xmlns:r="http://schemas.openxmlformats.org/officeDocument/2006/relationships" ref="E78" r:id="rId74"/>
    <hyperlink xmlns:r="http://schemas.openxmlformats.org/officeDocument/2006/relationships" ref="E79" r:id="rId75"/>
    <hyperlink xmlns:r="http://schemas.openxmlformats.org/officeDocument/2006/relationships" ref="E80" r:id="rId76"/>
    <hyperlink xmlns:r="http://schemas.openxmlformats.org/officeDocument/2006/relationships" ref="E81" r:id="rId77"/>
    <hyperlink xmlns:r="http://schemas.openxmlformats.org/officeDocument/2006/relationships" ref="E82" r:id="rId78"/>
    <hyperlink xmlns:r="http://schemas.openxmlformats.org/officeDocument/2006/relationships" ref="E83" r:id="rId79"/>
    <hyperlink xmlns:r="http://schemas.openxmlformats.org/officeDocument/2006/relationships" ref="E84" r:id="rId80"/>
    <hyperlink xmlns:r="http://schemas.openxmlformats.org/officeDocument/2006/relationships" ref="E85" r:id="rId81"/>
    <hyperlink xmlns:r="http://schemas.openxmlformats.org/officeDocument/2006/relationships" ref="E86" r:id="rId82"/>
    <hyperlink xmlns:r="http://schemas.openxmlformats.org/officeDocument/2006/relationships" ref="E87" r:id="rId83"/>
    <hyperlink xmlns:r="http://schemas.openxmlformats.org/officeDocument/2006/relationships" ref="E88" r:id="rId84"/>
    <hyperlink xmlns:r="http://schemas.openxmlformats.org/officeDocument/2006/relationships" ref="E89" r:id="rId85"/>
    <hyperlink xmlns:r="http://schemas.openxmlformats.org/officeDocument/2006/relationships" ref="E90" r:id="rId86"/>
    <hyperlink xmlns:r="http://schemas.openxmlformats.org/officeDocument/2006/relationships" ref="E91" r:id="rId87"/>
    <hyperlink xmlns:r="http://schemas.openxmlformats.org/officeDocument/2006/relationships" ref="E92" r:id="rId88"/>
    <hyperlink xmlns:r="http://schemas.openxmlformats.org/officeDocument/2006/relationships" ref="E93" r:id="rId89"/>
    <hyperlink xmlns:r="http://schemas.openxmlformats.org/officeDocument/2006/relationships" ref="E94" r:id="rId90"/>
    <hyperlink xmlns:r="http://schemas.openxmlformats.org/officeDocument/2006/relationships" ref="E95" r:id="rId91"/>
    <hyperlink xmlns:r="http://schemas.openxmlformats.org/officeDocument/2006/relationships" ref="E96" r:id="rId92"/>
    <hyperlink xmlns:r="http://schemas.openxmlformats.org/officeDocument/2006/relationships" ref="E97" r:id="rId93"/>
    <hyperlink xmlns:r="http://schemas.openxmlformats.org/officeDocument/2006/relationships" ref="E98" r:id="rId94"/>
    <hyperlink xmlns:r="http://schemas.openxmlformats.org/officeDocument/2006/relationships" ref="E99" r:id="rId95"/>
    <hyperlink xmlns:r="http://schemas.openxmlformats.org/officeDocument/2006/relationships" ref="E100" r:id="rId96"/>
    <hyperlink xmlns:r="http://schemas.openxmlformats.org/officeDocument/2006/relationships" ref="E101" r:id="rId97"/>
    <hyperlink xmlns:r="http://schemas.openxmlformats.org/officeDocument/2006/relationships" ref="E102" r:id="rId98"/>
    <hyperlink xmlns:r="http://schemas.openxmlformats.org/officeDocument/2006/relationships" ref="E103" r:id="rId99"/>
    <hyperlink xmlns:r="http://schemas.openxmlformats.org/officeDocument/2006/relationships" ref="E104" r:id="rId100"/>
    <hyperlink xmlns:r="http://schemas.openxmlformats.org/officeDocument/2006/relationships" ref="E105" r:id="rId101"/>
    <hyperlink xmlns:r="http://schemas.openxmlformats.org/officeDocument/2006/relationships" ref="E106" r:id="rId102"/>
    <hyperlink xmlns:r="http://schemas.openxmlformats.org/officeDocument/2006/relationships" ref="E107" r:id="rId103"/>
    <hyperlink xmlns:r="http://schemas.openxmlformats.org/officeDocument/2006/relationships" ref="E108" r:id="rId104"/>
    <hyperlink xmlns:r="http://schemas.openxmlformats.org/officeDocument/2006/relationships" ref="E109" r:id="rId105"/>
    <hyperlink xmlns:r="http://schemas.openxmlformats.org/officeDocument/2006/relationships" ref="E110" r:id="rId106"/>
    <hyperlink xmlns:r="http://schemas.openxmlformats.org/officeDocument/2006/relationships" ref="E111" r:id="rId107"/>
    <hyperlink xmlns:r="http://schemas.openxmlformats.org/officeDocument/2006/relationships" ref="E112" r:id="rId108"/>
    <hyperlink xmlns:r="http://schemas.openxmlformats.org/officeDocument/2006/relationships" ref="E113" r:id="rId109"/>
    <hyperlink xmlns:r="http://schemas.openxmlformats.org/officeDocument/2006/relationships" ref="E114" r:id="rId110"/>
    <hyperlink xmlns:r="http://schemas.openxmlformats.org/officeDocument/2006/relationships" ref="E115" r:id="rId111"/>
    <hyperlink xmlns:r="http://schemas.openxmlformats.org/officeDocument/2006/relationships" ref="E116" r:id="rId112"/>
    <hyperlink xmlns:r="http://schemas.openxmlformats.org/officeDocument/2006/relationships" ref="E117" r:id="rId113"/>
    <hyperlink xmlns:r="http://schemas.openxmlformats.org/officeDocument/2006/relationships" ref="E118" r:id="rId114"/>
    <hyperlink xmlns:r="http://schemas.openxmlformats.org/officeDocument/2006/relationships" ref="E119" r:id="rId115"/>
    <hyperlink xmlns:r="http://schemas.openxmlformats.org/officeDocument/2006/relationships" ref="E120" r:id="rId116"/>
    <hyperlink xmlns:r="http://schemas.openxmlformats.org/officeDocument/2006/relationships" ref="E121" r:id="rId117"/>
    <hyperlink xmlns:r="http://schemas.openxmlformats.org/officeDocument/2006/relationships" ref="E122" r:id="rId118"/>
    <hyperlink xmlns:r="http://schemas.openxmlformats.org/officeDocument/2006/relationships" ref="E123" r:id="rId119"/>
    <hyperlink xmlns:r="http://schemas.openxmlformats.org/officeDocument/2006/relationships" ref="E124" r:id="rId120"/>
    <hyperlink xmlns:r="http://schemas.openxmlformats.org/officeDocument/2006/relationships" ref="E125" r:id="rId121"/>
    <hyperlink xmlns:r="http://schemas.openxmlformats.org/officeDocument/2006/relationships" ref="E126" r:id="rId122"/>
    <hyperlink xmlns:r="http://schemas.openxmlformats.org/officeDocument/2006/relationships" ref="E127" r:id="rId123"/>
    <hyperlink xmlns:r="http://schemas.openxmlformats.org/officeDocument/2006/relationships" ref="E128" r:id="rId124"/>
    <hyperlink xmlns:r="http://schemas.openxmlformats.org/officeDocument/2006/relationships" ref="E129" r:id="rId125"/>
    <hyperlink xmlns:r="http://schemas.openxmlformats.org/officeDocument/2006/relationships" ref="E130" r:id="rId126"/>
    <hyperlink xmlns:r="http://schemas.openxmlformats.org/officeDocument/2006/relationships" ref="E131" r:id="rId127"/>
    <hyperlink xmlns:r="http://schemas.openxmlformats.org/officeDocument/2006/relationships" ref="E132" r:id="rId128"/>
    <hyperlink xmlns:r="http://schemas.openxmlformats.org/officeDocument/2006/relationships" ref="E133" r:id="rId129"/>
    <hyperlink xmlns:r="http://schemas.openxmlformats.org/officeDocument/2006/relationships" ref="E134" r:id="rId130"/>
    <hyperlink xmlns:r="http://schemas.openxmlformats.org/officeDocument/2006/relationships" ref="E135" r:id="rId131"/>
    <hyperlink xmlns:r="http://schemas.openxmlformats.org/officeDocument/2006/relationships" ref="E136" r:id="rId132"/>
    <hyperlink xmlns:r="http://schemas.openxmlformats.org/officeDocument/2006/relationships" ref="E137" r:id="rId133"/>
    <hyperlink xmlns:r="http://schemas.openxmlformats.org/officeDocument/2006/relationships" ref="E138" r:id="rId134"/>
    <hyperlink xmlns:r="http://schemas.openxmlformats.org/officeDocument/2006/relationships" ref="E139" r:id="rId135"/>
    <hyperlink xmlns:r="http://schemas.openxmlformats.org/officeDocument/2006/relationships" ref="E140" r:id="rId136"/>
    <hyperlink xmlns:r="http://schemas.openxmlformats.org/officeDocument/2006/relationships" ref="E141" r:id="rId137"/>
    <hyperlink xmlns:r="http://schemas.openxmlformats.org/officeDocument/2006/relationships" ref="E142" r:id="rId138"/>
    <hyperlink xmlns:r="http://schemas.openxmlformats.org/officeDocument/2006/relationships" ref="E143" r:id="rId139"/>
    <hyperlink xmlns:r="http://schemas.openxmlformats.org/officeDocument/2006/relationships" ref="E144" r:id="rId140"/>
    <hyperlink xmlns:r="http://schemas.openxmlformats.org/officeDocument/2006/relationships" ref="E145" r:id="rId141"/>
    <hyperlink xmlns:r="http://schemas.openxmlformats.org/officeDocument/2006/relationships" ref="E146" r:id="rId142"/>
    <hyperlink xmlns:r="http://schemas.openxmlformats.org/officeDocument/2006/relationships" ref="E147" r:id="rId143"/>
    <hyperlink xmlns:r="http://schemas.openxmlformats.org/officeDocument/2006/relationships" ref="E148" r:id="rId144"/>
    <hyperlink xmlns:r="http://schemas.openxmlformats.org/officeDocument/2006/relationships" ref="E149" r:id="rId145"/>
    <hyperlink xmlns:r="http://schemas.openxmlformats.org/officeDocument/2006/relationships" ref="E150" r:id="rId146"/>
    <hyperlink xmlns:r="http://schemas.openxmlformats.org/officeDocument/2006/relationships" ref="E151" r:id="rId147"/>
    <hyperlink xmlns:r="http://schemas.openxmlformats.org/officeDocument/2006/relationships" ref="E152" r:id="rId148"/>
    <hyperlink xmlns:r="http://schemas.openxmlformats.org/officeDocument/2006/relationships" ref="E153" r:id="rId149"/>
    <hyperlink xmlns:r="http://schemas.openxmlformats.org/officeDocument/2006/relationships" ref="E154" r:id="rId150"/>
    <hyperlink xmlns:r="http://schemas.openxmlformats.org/officeDocument/2006/relationships" ref="E155" r:id="rId151"/>
    <hyperlink xmlns:r="http://schemas.openxmlformats.org/officeDocument/2006/relationships" ref="E156" r:id="rId152"/>
    <hyperlink xmlns:r="http://schemas.openxmlformats.org/officeDocument/2006/relationships" ref="E157" r:id="rId153"/>
    <hyperlink xmlns:r="http://schemas.openxmlformats.org/officeDocument/2006/relationships" ref="E158" r:id="rId154"/>
    <hyperlink xmlns:r="http://schemas.openxmlformats.org/officeDocument/2006/relationships" ref="E159" r:id="rId155"/>
    <hyperlink xmlns:r="http://schemas.openxmlformats.org/officeDocument/2006/relationships" ref="E160" r:id="rId156"/>
    <hyperlink xmlns:r="http://schemas.openxmlformats.org/officeDocument/2006/relationships" ref="E161" r:id="rId157"/>
    <hyperlink xmlns:r="http://schemas.openxmlformats.org/officeDocument/2006/relationships" ref="E162" r:id="rId158"/>
    <hyperlink xmlns:r="http://schemas.openxmlformats.org/officeDocument/2006/relationships" ref="E163" r:id="rId159"/>
    <hyperlink xmlns:r="http://schemas.openxmlformats.org/officeDocument/2006/relationships" ref="E164" r:id="rId160"/>
    <hyperlink xmlns:r="http://schemas.openxmlformats.org/officeDocument/2006/relationships" ref="E165" r:id="rId161"/>
    <hyperlink xmlns:r="http://schemas.openxmlformats.org/officeDocument/2006/relationships" ref="E166" r:id="rId162"/>
    <hyperlink xmlns:r="http://schemas.openxmlformats.org/officeDocument/2006/relationships" ref="E167" r:id="rId163"/>
    <hyperlink xmlns:r="http://schemas.openxmlformats.org/officeDocument/2006/relationships" ref="E168" r:id="rId164"/>
    <hyperlink xmlns:r="http://schemas.openxmlformats.org/officeDocument/2006/relationships" ref="E169" r:id="rId165"/>
    <hyperlink xmlns:r="http://schemas.openxmlformats.org/officeDocument/2006/relationships" ref="E170" r:id="rId166"/>
    <hyperlink xmlns:r="http://schemas.openxmlformats.org/officeDocument/2006/relationships" ref="E171" r:id="rId167"/>
    <hyperlink xmlns:r="http://schemas.openxmlformats.org/officeDocument/2006/relationships" ref="E172" r:id="rId168"/>
    <hyperlink xmlns:r="http://schemas.openxmlformats.org/officeDocument/2006/relationships" ref="E173" r:id="rId169"/>
    <hyperlink xmlns:r="http://schemas.openxmlformats.org/officeDocument/2006/relationships" ref="E174" r:id="rId170"/>
    <hyperlink xmlns:r="http://schemas.openxmlformats.org/officeDocument/2006/relationships" ref="E175" r:id="rId171"/>
    <hyperlink xmlns:r="http://schemas.openxmlformats.org/officeDocument/2006/relationships" ref="E176" r:id="rId172"/>
    <hyperlink xmlns:r="http://schemas.openxmlformats.org/officeDocument/2006/relationships" ref="E177" r:id="rId173"/>
    <hyperlink xmlns:r="http://schemas.openxmlformats.org/officeDocument/2006/relationships" ref="E178" r:id="rId174"/>
    <hyperlink xmlns:r="http://schemas.openxmlformats.org/officeDocument/2006/relationships" ref="E179" r:id="rId175"/>
    <hyperlink xmlns:r="http://schemas.openxmlformats.org/officeDocument/2006/relationships" ref="E180" r:id="rId176"/>
    <hyperlink xmlns:r="http://schemas.openxmlformats.org/officeDocument/2006/relationships" ref="E181" r:id="rId177"/>
    <hyperlink xmlns:r="http://schemas.openxmlformats.org/officeDocument/2006/relationships" ref="E182" r:id="rId178"/>
    <hyperlink xmlns:r="http://schemas.openxmlformats.org/officeDocument/2006/relationships" ref="E183" r:id="rId179"/>
    <hyperlink xmlns:r="http://schemas.openxmlformats.org/officeDocument/2006/relationships" ref="E184" r:id="rId180"/>
    <hyperlink xmlns:r="http://schemas.openxmlformats.org/officeDocument/2006/relationships" ref="E185" r:id="rId181"/>
    <hyperlink xmlns:r="http://schemas.openxmlformats.org/officeDocument/2006/relationships" ref="E186" r:id="rId182"/>
    <hyperlink xmlns:r="http://schemas.openxmlformats.org/officeDocument/2006/relationships" ref="E187" r:id="rId183"/>
    <hyperlink xmlns:r="http://schemas.openxmlformats.org/officeDocument/2006/relationships" ref="E188" r:id="rId184"/>
    <hyperlink xmlns:r="http://schemas.openxmlformats.org/officeDocument/2006/relationships" ref="E189" r:id="rId185"/>
    <hyperlink xmlns:r="http://schemas.openxmlformats.org/officeDocument/2006/relationships" ref="E190" r:id="rId186"/>
    <hyperlink xmlns:r="http://schemas.openxmlformats.org/officeDocument/2006/relationships" ref="E191" r:id="rId187"/>
    <hyperlink xmlns:r="http://schemas.openxmlformats.org/officeDocument/2006/relationships" ref="E192" r:id="rId188"/>
    <hyperlink xmlns:r="http://schemas.openxmlformats.org/officeDocument/2006/relationships" ref="E193" r:id="rId189"/>
    <hyperlink xmlns:r="http://schemas.openxmlformats.org/officeDocument/2006/relationships" ref="E194" r:id="rId190"/>
    <hyperlink xmlns:r="http://schemas.openxmlformats.org/officeDocument/2006/relationships" ref="E195" r:id="rId191"/>
    <hyperlink xmlns:r="http://schemas.openxmlformats.org/officeDocument/2006/relationships" ref="E196" r:id="rId192"/>
    <hyperlink xmlns:r="http://schemas.openxmlformats.org/officeDocument/2006/relationships" ref="E197" r:id="rId193"/>
    <hyperlink xmlns:r="http://schemas.openxmlformats.org/officeDocument/2006/relationships" ref="E198" r:id="rId194"/>
    <hyperlink xmlns:r="http://schemas.openxmlformats.org/officeDocument/2006/relationships" ref="E199" r:id="rId195"/>
    <hyperlink xmlns:r="http://schemas.openxmlformats.org/officeDocument/2006/relationships" ref="E200" r:id="rId196"/>
    <hyperlink xmlns:r="http://schemas.openxmlformats.org/officeDocument/2006/relationships" ref="E201" r:id="rId197"/>
    <hyperlink xmlns:r="http://schemas.openxmlformats.org/officeDocument/2006/relationships" ref="E202" r:id="rId198"/>
    <hyperlink xmlns:r="http://schemas.openxmlformats.org/officeDocument/2006/relationships" ref="E203" r:id="rId199"/>
    <hyperlink xmlns:r="http://schemas.openxmlformats.org/officeDocument/2006/relationships" ref="E204" r:id="rId200"/>
    <hyperlink xmlns:r="http://schemas.openxmlformats.org/officeDocument/2006/relationships" ref="E205" r:id="rId201"/>
    <hyperlink xmlns:r="http://schemas.openxmlformats.org/officeDocument/2006/relationships" ref="E206" r:id="rId202"/>
    <hyperlink xmlns:r="http://schemas.openxmlformats.org/officeDocument/2006/relationships" ref="E207" r:id="rId203"/>
    <hyperlink xmlns:r="http://schemas.openxmlformats.org/officeDocument/2006/relationships" ref="E208" r:id="rId204"/>
    <hyperlink xmlns:r="http://schemas.openxmlformats.org/officeDocument/2006/relationships" ref="E209" r:id="rId205"/>
    <hyperlink xmlns:r="http://schemas.openxmlformats.org/officeDocument/2006/relationships" ref="E210" r:id="rId206"/>
    <hyperlink xmlns:r="http://schemas.openxmlformats.org/officeDocument/2006/relationships" ref="E211" r:id="rId207"/>
    <hyperlink xmlns:r="http://schemas.openxmlformats.org/officeDocument/2006/relationships" ref="E212" r:id="rId208"/>
    <hyperlink xmlns:r="http://schemas.openxmlformats.org/officeDocument/2006/relationships" ref="E213" r:id="rId209"/>
    <hyperlink xmlns:r="http://schemas.openxmlformats.org/officeDocument/2006/relationships" ref="E214" r:id="rId210"/>
    <hyperlink xmlns:r="http://schemas.openxmlformats.org/officeDocument/2006/relationships" ref="E215" r:id="rId211"/>
    <hyperlink xmlns:r="http://schemas.openxmlformats.org/officeDocument/2006/relationships" ref="E216" r:id="rId212"/>
    <hyperlink xmlns:r="http://schemas.openxmlformats.org/officeDocument/2006/relationships" ref="E217" r:id="rId213"/>
    <hyperlink xmlns:r="http://schemas.openxmlformats.org/officeDocument/2006/relationships" ref="E218" r:id="rId214"/>
    <hyperlink xmlns:r="http://schemas.openxmlformats.org/officeDocument/2006/relationships" ref="E219" r:id="rId215"/>
    <hyperlink xmlns:r="http://schemas.openxmlformats.org/officeDocument/2006/relationships" ref="E220" r:id="rId216"/>
    <hyperlink xmlns:r="http://schemas.openxmlformats.org/officeDocument/2006/relationships" ref="E221" r:id="rId217"/>
    <hyperlink xmlns:r="http://schemas.openxmlformats.org/officeDocument/2006/relationships" ref="E222" r:id="rId218"/>
    <hyperlink xmlns:r="http://schemas.openxmlformats.org/officeDocument/2006/relationships" ref="E223" r:id="rId219"/>
    <hyperlink xmlns:r="http://schemas.openxmlformats.org/officeDocument/2006/relationships" ref="E224" r:id="rId220"/>
    <hyperlink xmlns:r="http://schemas.openxmlformats.org/officeDocument/2006/relationships" ref="E225" r:id="rId221"/>
    <hyperlink xmlns:r="http://schemas.openxmlformats.org/officeDocument/2006/relationships" ref="E226" r:id="rId222"/>
    <hyperlink xmlns:r="http://schemas.openxmlformats.org/officeDocument/2006/relationships" ref="E227" r:id="rId223"/>
    <hyperlink xmlns:r="http://schemas.openxmlformats.org/officeDocument/2006/relationships" ref="E228" r:id="rId224"/>
    <hyperlink xmlns:r="http://schemas.openxmlformats.org/officeDocument/2006/relationships" ref="E229" r:id="rId225"/>
    <hyperlink xmlns:r="http://schemas.openxmlformats.org/officeDocument/2006/relationships" ref="E230" r:id="rId226"/>
    <hyperlink xmlns:r="http://schemas.openxmlformats.org/officeDocument/2006/relationships" ref="E231" r:id="rId227"/>
    <hyperlink xmlns:r="http://schemas.openxmlformats.org/officeDocument/2006/relationships" ref="E232" r:id="rId228"/>
    <hyperlink xmlns:r="http://schemas.openxmlformats.org/officeDocument/2006/relationships" ref="E233" r:id="rId229"/>
    <hyperlink xmlns:r="http://schemas.openxmlformats.org/officeDocument/2006/relationships" ref="E234" r:id="rId230"/>
    <hyperlink xmlns:r="http://schemas.openxmlformats.org/officeDocument/2006/relationships" ref="E235" r:id="rId231"/>
    <hyperlink xmlns:r="http://schemas.openxmlformats.org/officeDocument/2006/relationships" ref="E236" r:id="rId232"/>
    <hyperlink xmlns:r="http://schemas.openxmlformats.org/officeDocument/2006/relationships" ref="E237" r:id="rId233"/>
    <hyperlink xmlns:r="http://schemas.openxmlformats.org/officeDocument/2006/relationships" ref="E238" r:id="rId234"/>
    <hyperlink xmlns:r="http://schemas.openxmlformats.org/officeDocument/2006/relationships" ref="E239" r:id="rId235"/>
    <hyperlink xmlns:r="http://schemas.openxmlformats.org/officeDocument/2006/relationships" ref="E240" r:id="rId236"/>
    <hyperlink xmlns:r="http://schemas.openxmlformats.org/officeDocument/2006/relationships" ref="E241" r:id="rId237"/>
    <hyperlink xmlns:r="http://schemas.openxmlformats.org/officeDocument/2006/relationships" ref="E242" r:id="rId238"/>
    <hyperlink xmlns:r="http://schemas.openxmlformats.org/officeDocument/2006/relationships" ref="E243" r:id="rId239"/>
    <hyperlink xmlns:r="http://schemas.openxmlformats.org/officeDocument/2006/relationships" ref="E244" r:id="rId240"/>
    <hyperlink xmlns:r="http://schemas.openxmlformats.org/officeDocument/2006/relationships" ref="E245" r:id="rId241"/>
    <hyperlink xmlns:r="http://schemas.openxmlformats.org/officeDocument/2006/relationships" ref="E246" r:id="rId242"/>
    <hyperlink xmlns:r="http://schemas.openxmlformats.org/officeDocument/2006/relationships" ref="E247" r:id="rId243"/>
    <hyperlink xmlns:r="http://schemas.openxmlformats.org/officeDocument/2006/relationships" ref="E248" r:id="rId244"/>
    <hyperlink xmlns:r="http://schemas.openxmlformats.org/officeDocument/2006/relationships" ref="E249" r:id="rId245"/>
    <hyperlink xmlns:r="http://schemas.openxmlformats.org/officeDocument/2006/relationships" ref="E250" r:id="rId246"/>
    <hyperlink xmlns:r="http://schemas.openxmlformats.org/officeDocument/2006/relationships" ref="E251" r:id="rId247"/>
    <hyperlink xmlns:r="http://schemas.openxmlformats.org/officeDocument/2006/relationships" ref="E252" r:id="rId248"/>
    <hyperlink xmlns:r="http://schemas.openxmlformats.org/officeDocument/2006/relationships" ref="E253" r:id="rId249"/>
    <hyperlink xmlns:r="http://schemas.openxmlformats.org/officeDocument/2006/relationships" ref="E254" r:id="rId250"/>
    <hyperlink xmlns:r="http://schemas.openxmlformats.org/officeDocument/2006/relationships" ref="E255" r:id="rId251"/>
    <hyperlink xmlns:r="http://schemas.openxmlformats.org/officeDocument/2006/relationships" ref="E256" r:id="rId252"/>
    <hyperlink xmlns:r="http://schemas.openxmlformats.org/officeDocument/2006/relationships" ref="E257" r:id="rId253"/>
    <hyperlink xmlns:r="http://schemas.openxmlformats.org/officeDocument/2006/relationships" ref="E258" r:id="rId254"/>
    <hyperlink xmlns:r="http://schemas.openxmlformats.org/officeDocument/2006/relationships" ref="E259" r:id="rId255"/>
    <hyperlink xmlns:r="http://schemas.openxmlformats.org/officeDocument/2006/relationships" ref="E260" r:id="rId256"/>
    <hyperlink xmlns:r="http://schemas.openxmlformats.org/officeDocument/2006/relationships" ref="E261" r:id="rId257"/>
    <hyperlink xmlns:r="http://schemas.openxmlformats.org/officeDocument/2006/relationships" ref="E262" r:id="rId258"/>
    <hyperlink xmlns:r="http://schemas.openxmlformats.org/officeDocument/2006/relationships" ref="E263" r:id="rId259"/>
    <hyperlink xmlns:r="http://schemas.openxmlformats.org/officeDocument/2006/relationships" ref="E264" r:id="rId260"/>
    <hyperlink xmlns:r="http://schemas.openxmlformats.org/officeDocument/2006/relationships" ref="E265" r:id="rId261"/>
    <hyperlink xmlns:r="http://schemas.openxmlformats.org/officeDocument/2006/relationships" ref="E266" r:id="rId262"/>
    <hyperlink xmlns:r="http://schemas.openxmlformats.org/officeDocument/2006/relationships" ref="E267" r:id="rId263"/>
    <hyperlink xmlns:r="http://schemas.openxmlformats.org/officeDocument/2006/relationships" ref="E268" r:id="rId264"/>
    <hyperlink xmlns:r="http://schemas.openxmlformats.org/officeDocument/2006/relationships" ref="E269" r:id="rId265"/>
    <hyperlink xmlns:r="http://schemas.openxmlformats.org/officeDocument/2006/relationships" ref="E270" r:id="rId266"/>
    <hyperlink xmlns:r="http://schemas.openxmlformats.org/officeDocument/2006/relationships" ref="E271" r:id="rId267"/>
    <hyperlink xmlns:r="http://schemas.openxmlformats.org/officeDocument/2006/relationships" ref="E272" r:id="rId268"/>
    <hyperlink xmlns:r="http://schemas.openxmlformats.org/officeDocument/2006/relationships" ref="E273" r:id="rId269"/>
    <hyperlink xmlns:r="http://schemas.openxmlformats.org/officeDocument/2006/relationships" ref="E274" r:id="rId270"/>
    <hyperlink xmlns:r="http://schemas.openxmlformats.org/officeDocument/2006/relationships" ref="E275" r:id="rId271"/>
    <hyperlink xmlns:r="http://schemas.openxmlformats.org/officeDocument/2006/relationships" ref="E276" r:id="rId272"/>
    <hyperlink xmlns:r="http://schemas.openxmlformats.org/officeDocument/2006/relationships" ref="E277" r:id="rId273"/>
    <hyperlink xmlns:r="http://schemas.openxmlformats.org/officeDocument/2006/relationships" ref="E278" r:id="rId274"/>
    <hyperlink xmlns:r="http://schemas.openxmlformats.org/officeDocument/2006/relationships" ref="E279" r:id="rId275"/>
    <hyperlink xmlns:r="http://schemas.openxmlformats.org/officeDocument/2006/relationships" ref="E280" r:id="rId276"/>
    <hyperlink xmlns:r="http://schemas.openxmlformats.org/officeDocument/2006/relationships" ref="E281" r:id="rId277"/>
    <hyperlink xmlns:r="http://schemas.openxmlformats.org/officeDocument/2006/relationships" ref="E282" r:id="rId278"/>
    <hyperlink xmlns:r="http://schemas.openxmlformats.org/officeDocument/2006/relationships" ref="E283" r:id="rId279"/>
    <hyperlink xmlns:r="http://schemas.openxmlformats.org/officeDocument/2006/relationships" ref="E284" r:id="rId280"/>
    <hyperlink xmlns:r="http://schemas.openxmlformats.org/officeDocument/2006/relationships" ref="E285" r:id="rId281"/>
    <hyperlink xmlns:r="http://schemas.openxmlformats.org/officeDocument/2006/relationships" ref="E286" r:id="rId282"/>
    <hyperlink xmlns:r="http://schemas.openxmlformats.org/officeDocument/2006/relationships" ref="E287" r:id="rId283"/>
    <hyperlink xmlns:r="http://schemas.openxmlformats.org/officeDocument/2006/relationships" ref="E288" r:id="rId284"/>
    <hyperlink xmlns:r="http://schemas.openxmlformats.org/officeDocument/2006/relationships" ref="E289" r:id="rId285"/>
    <hyperlink xmlns:r="http://schemas.openxmlformats.org/officeDocument/2006/relationships" ref="E290" r:id="rId286"/>
    <hyperlink xmlns:r="http://schemas.openxmlformats.org/officeDocument/2006/relationships" ref="E291" r:id="rId287"/>
    <hyperlink xmlns:r="http://schemas.openxmlformats.org/officeDocument/2006/relationships" ref="E292" r:id="rId288"/>
    <hyperlink xmlns:r="http://schemas.openxmlformats.org/officeDocument/2006/relationships" ref="E293" r:id="rId289"/>
    <hyperlink xmlns:r="http://schemas.openxmlformats.org/officeDocument/2006/relationships" ref="E294" r:id="rId290"/>
    <hyperlink xmlns:r="http://schemas.openxmlformats.org/officeDocument/2006/relationships" ref="E295" r:id="rId291"/>
    <hyperlink xmlns:r="http://schemas.openxmlformats.org/officeDocument/2006/relationships" ref="E296" r:id="rId292"/>
    <hyperlink xmlns:r="http://schemas.openxmlformats.org/officeDocument/2006/relationships" ref="E297" r:id="rId293"/>
    <hyperlink xmlns:r="http://schemas.openxmlformats.org/officeDocument/2006/relationships" ref="E298" r:id="rId294"/>
    <hyperlink xmlns:r="http://schemas.openxmlformats.org/officeDocument/2006/relationships" ref="E299" r:id="rId295"/>
    <hyperlink xmlns:r="http://schemas.openxmlformats.org/officeDocument/2006/relationships" ref="E300" r:id="rId296"/>
    <hyperlink xmlns:r="http://schemas.openxmlformats.org/officeDocument/2006/relationships" ref="E301" r:id="rId297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뽀오뇨</dc:creator>
  <dcterms:created xsi:type="dcterms:W3CDTF">2026-04-14T14:46:35Z</dcterms:created>
  <dcterms:modified xsi:type="dcterms:W3CDTF">2026-04-24T10:05:03Z</dcterms:modified>
  <cp:lastModifiedBy>HANNA HONG</cp:lastModifiedBy>
</cp:coreProperties>
</file>